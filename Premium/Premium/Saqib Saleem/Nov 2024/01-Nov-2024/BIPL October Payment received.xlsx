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01-Nov-2024\"/>
    </mc:Choice>
  </mc:AlternateContent>
  <xr:revisionPtr revIDLastSave="0" documentId="13_ncr:1_{0A9FED97-CB48-445F-AE36-3DF6C9CEB30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Fresh cases" sheetId="1" r:id="rId1"/>
    <sheet name="Renewal working" sheetId="5" r:id="rId2"/>
    <sheet name="Summary" sheetId="4" r:id="rId3"/>
    <sheet name="working" sheetId="6" r:id="rId4"/>
    <sheet name="Sheet2" sheetId="7" r:id="rId5"/>
    <sheet name="policy" sheetId="8" r:id="rId6"/>
  </sheets>
  <definedNames>
    <definedName name="_xlnm._FilterDatabase" localSheetId="0" hidden="1">'Fresh cases'!$A$3:$AB$6</definedName>
    <definedName name="_xlnm._FilterDatabase" localSheetId="1" hidden="1">'Renewal working'!$A$2:$AH$276</definedName>
    <definedName name="_xlnm._FilterDatabase" localSheetId="4" hidden="1">Sheet2!$H$1:$H$275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4" i="6" l="1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C276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" i="6"/>
  <c r="F2" i="6"/>
  <c r="D2" i="6"/>
  <c r="D276" i="6" s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" i="7"/>
  <c r="H2" i="6" l="1"/>
  <c r="G24" i="4" l="1"/>
  <c r="G20" i="4"/>
  <c r="X278" i="5"/>
  <c r="AF278" i="5"/>
  <c r="AD8" i="1"/>
  <c r="AE5" i="1"/>
  <c r="AE4" i="1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3" i="5"/>
</calcChain>
</file>

<file path=xl/sharedStrings.xml><?xml version="1.0" encoding="utf-8"?>
<sst xmlns="http://schemas.openxmlformats.org/spreadsheetml/2006/main" count="6456" uniqueCount="2934">
  <si>
    <t>Fresh / Renewal</t>
  </si>
  <si>
    <t>Billing Month</t>
  </si>
  <si>
    <t>Takaful Company</t>
  </si>
  <si>
    <t>PMD #</t>
  </si>
  <si>
    <t>TRACKER_TYPE</t>
  </si>
  <si>
    <t>Start Date</t>
  </si>
  <si>
    <t>Expiry Date</t>
  </si>
  <si>
    <t>Make</t>
  </si>
  <si>
    <t>Model</t>
  </si>
  <si>
    <t>REGISTRATION_NUMBER</t>
  </si>
  <si>
    <t>ENGINE_NUMBER</t>
  </si>
  <si>
    <t>CHASIS_NUMBER</t>
  </si>
  <si>
    <t>Customer Name</t>
  </si>
  <si>
    <t>CNIC</t>
  </si>
  <si>
    <t>CIF+Deal+BR</t>
  </si>
  <si>
    <t>BRANCH_CODE</t>
  </si>
  <si>
    <t>CLASS</t>
  </si>
  <si>
    <t>DEAL_DATE</t>
  </si>
  <si>
    <t>MATURITY_DATE</t>
  </si>
  <si>
    <t>New Sum cover</t>
  </si>
  <si>
    <t>Rate</t>
  </si>
  <si>
    <t>Gross Amount</t>
  </si>
  <si>
    <t>Tracker Amount</t>
  </si>
  <si>
    <t>Net Premium Amount</t>
  </si>
  <si>
    <t>Remarks</t>
  </si>
  <si>
    <t>DEAL_STATUS</t>
  </si>
  <si>
    <t>Product_Detail</t>
  </si>
  <si>
    <t>Payment Date</t>
  </si>
  <si>
    <t>Fresh</t>
  </si>
  <si>
    <t>Salaam Takaful</t>
  </si>
  <si>
    <t>KHI/HO/D/MO/PC COMP/C/99725/1/10/2024</t>
  </si>
  <si>
    <t>-</t>
  </si>
  <si>
    <t>TOYOTA Corolla Cross 1.8</t>
  </si>
  <si>
    <t>2024</t>
  </si>
  <si>
    <t>ASZ-718</t>
  </si>
  <si>
    <t>9Z06965</t>
  </si>
  <si>
    <t>ZVG10R0905851</t>
  </si>
  <si>
    <t>M/S. Bankislami Pakistan Limited 
User M/S. Engi Plastic Industries Pvt Ltd</t>
  </si>
  <si>
    <t>69596-185-2116</t>
  </si>
  <si>
    <t>Ready to pay</t>
  </si>
  <si>
    <t>APPROVED</t>
  </si>
  <si>
    <t>Consumer</t>
  </si>
  <si>
    <t>KHI/HO/D/MO/PC COMP/C/100345/1/10/2024</t>
  </si>
  <si>
    <t>ResQ</t>
  </si>
  <si>
    <t>CHANGAN ALSVIN</t>
  </si>
  <si>
    <t>ATK-103</t>
  </si>
  <si>
    <t>NKMASE2E2E9R1000653</t>
  </si>
  <si>
    <t>JL473ZQ7RN8AT248821</t>
  </si>
  <si>
    <t>M/S. Bankislami Pakistan Limited
User Mr. Asm Pharma</t>
  </si>
  <si>
    <t>28956-103-2045</t>
  </si>
  <si>
    <t>Salam Takaful</t>
  </si>
  <si>
    <t>KHI/HO/D/MO/PC COMP/P/100177/10/2024</t>
  </si>
  <si>
    <t>Waiver</t>
  </si>
  <si>
    <t>TOYOTA LAND CRUISER PRADO</t>
  </si>
  <si>
    <t>2020</t>
  </si>
  <si>
    <t>AQN-105</t>
  </si>
  <si>
    <t>2TR2176978</t>
  </si>
  <si>
    <t>TRJ150-0105015</t>
  </si>
  <si>
    <t>M/s. Bankislami (Pakistan) Limited User Mr, USMAN SHAHID (STAFF)</t>
  </si>
  <si>
    <t>455278-10864-1003</t>
  </si>
  <si>
    <t xml:space="preserve">Renewal Case Add in Fresh Sheet </t>
  </si>
  <si>
    <t>Paid Already</t>
  </si>
  <si>
    <t>Staff</t>
  </si>
  <si>
    <t>KHI/HO/D/MO/PC COMP/C/76694/1/10/2023</t>
  </si>
  <si>
    <t>By Bank</t>
  </si>
  <si>
    <t>SUZUKI CULTUS VXR EURO-II</t>
  </si>
  <si>
    <t>BAH-501</t>
  </si>
  <si>
    <t>PK10K200656</t>
  </si>
  <si>
    <t>NF1AVK31H10100878</t>
  </si>
  <si>
    <t>M/S.Bankislami(Pakistan)Limited
A/c.M/s.RoyalIrrigationSystem(Pvt)Ltd</t>
  </si>
  <si>
    <t>67422-616-3018</t>
  </si>
  <si>
    <t>Ok for Renewal</t>
  </si>
  <si>
    <t>After_24-Dec-2021</t>
  </si>
  <si>
    <t>KHI/HO/D/MO/PC COMP/C/76694/10/10/2023</t>
  </si>
  <si>
    <t>SUZUKI ALTO</t>
  </si>
  <si>
    <t>BXT-502</t>
  </si>
  <si>
    <t>6R251171</t>
  </si>
  <si>
    <t>NF1AET306H1151169</t>
  </si>
  <si>
    <t>M/S.Bankislami(Pakistan)Limited
UserMr.HadiBux</t>
  </si>
  <si>
    <t>4130749507595</t>
  </si>
  <si>
    <t>1116967-147-1098</t>
  </si>
  <si>
    <t>KHI/HO/D/MO/PC COMP/C/76694/101/10/2023</t>
  </si>
  <si>
    <t>HONDA CITY 1.3 PT</t>
  </si>
  <si>
    <t>BHC-148</t>
  </si>
  <si>
    <t>L13Z17454086</t>
  </si>
  <si>
    <t>NFBGM1542GR196298</t>
  </si>
  <si>
    <t>M/S.Bankislami(Pakistan)Limited
UserMr.HaseebAliKhan</t>
  </si>
  <si>
    <t>4210148376195</t>
  </si>
  <si>
    <t>3730018-230-1007</t>
  </si>
  <si>
    <t>KHI/HO/D/MO/PC COMP/C/76694/102/10/2023</t>
  </si>
  <si>
    <t>HYUNDAI SONATA 6A/T SR DELUXE</t>
  </si>
  <si>
    <t>BAT-27</t>
  </si>
  <si>
    <t>G4KMNA218686</t>
  </si>
  <si>
    <t>PMHL341BMNN403149</t>
  </si>
  <si>
    <t>M/S.Bankislami(Pakistan)Limited
A/c.M/s.PlayRoxEntertainment</t>
  </si>
  <si>
    <t>6110195234309</t>
  </si>
  <si>
    <t>1275573-282-3011</t>
  </si>
  <si>
    <t>KHI/HO/D/MO/PC COMP/C/76694/103/10/2023</t>
  </si>
  <si>
    <t>KIA PICANTO 1.0L A/T</t>
  </si>
  <si>
    <t>BRU-211</t>
  </si>
  <si>
    <t>G3LALP038504</t>
  </si>
  <si>
    <t>NNATA52AZKP701810</t>
  </si>
  <si>
    <t>M/S.Bankislami(Pakistan)Limited
UserMr.MuhammadMoosaNaqvi</t>
  </si>
  <si>
    <t>4210139306157</t>
  </si>
  <si>
    <t>3778567-116-1060</t>
  </si>
  <si>
    <t>KHI/HO/D/MO/PC COMP/C/76694/104/10/2023</t>
  </si>
  <si>
    <t>SUZUKI ALTO VXR</t>
  </si>
  <si>
    <t>AMX-155</t>
  </si>
  <si>
    <t>6R252063</t>
  </si>
  <si>
    <t>F1AET306H1152056</t>
  </si>
  <si>
    <t>M/S.Bankislami(Pakistan)Limited
UserMr.SyedHashimAliNaqvi</t>
  </si>
  <si>
    <t>3520256589321</t>
  </si>
  <si>
    <t>3703496-249-2046</t>
  </si>
  <si>
    <t>KHI/HO/D/MO/PC COMP/C/76694/105/10/2023</t>
  </si>
  <si>
    <t>SUZUKI CULTUS VXL</t>
  </si>
  <si>
    <t>ACP-495</t>
  </si>
  <si>
    <t>PK10K170564</t>
  </si>
  <si>
    <t>NF1AVK31H10070564</t>
  </si>
  <si>
    <t>M/S.Bankislami(Pakistan)Limited
UserMr.TahirMahmood</t>
  </si>
  <si>
    <t>8220379487515</t>
  </si>
  <si>
    <t>3784637-168-2116</t>
  </si>
  <si>
    <t>KHI/HO/D/MO/PC COMP/C/76694/106/10/2023</t>
  </si>
  <si>
    <t>AKL-254</t>
  </si>
  <si>
    <t>6R232562</t>
  </si>
  <si>
    <t>NF1AET306H1132453</t>
  </si>
  <si>
    <t>M/S.Bankislami(Pakistan)Limited
UserMr.Ayeshafahad</t>
  </si>
  <si>
    <t>3520268030354</t>
  </si>
  <si>
    <t>3783428-376-2048</t>
  </si>
  <si>
    <t>KHI/HO/D/MO/PC COMP/C/76694/108/10/2023</t>
  </si>
  <si>
    <t>SUZUKI ALTO VXR E-2</t>
  </si>
  <si>
    <t>AZT-240</t>
  </si>
  <si>
    <t>6R241256</t>
  </si>
  <si>
    <t>NF1AET306H1141240</t>
  </si>
  <si>
    <t>M/S.Bankislami(Pakistan)Limited
UserMr.SajidJaved</t>
  </si>
  <si>
    <t>1210147572067</t>
  </si>
  <si>
    <t>950932-56-3100</t>
  </si>
  <si>
    <t>KHI/HO/D/MO/PC COMP/C/76694/109/10/2023</t>
  </si>
  <si>
    <t>SUZUKI ALTO VXL AGS</t>
  </si>
  <si>
    <t>AMC-970</t>
  </si>
  <si>
    <t>6R252962</t>
  </si>
  <si>
    <t>NF1AET306H1152960</t>
  </si>
  <si>
    <t>M/S.Bankislami(Pakistan)Limited
UserMr.MuhammadKaleem</t>
  </si>
  <si>
    <t>3520251066623</t>
  </si>
  <si>
    <t>277226-375-2048</t>
  </si>
  <si>
    <t>KHI/HO/D/MO/PC COMP/C/76694/110/10/2023</t>
  </si>
  <si>
    <t>CHANGAN KARVAAN PLUS</t>
  </si>
  <si>
    <t>CY-6413</t>
  </si>
  <si>
    <t>JL466Q9K69U500270</t>
  </si>
  <si>
    <t>NKMAAB3D1K1000294</t>
  </si>
  <si>
    <t>M/S.Bankislami(Pakistan)Limited
UserMr.TariqHussain</t>
  </si>
  <si>
    <t>4230174320665</t>
  </si>
  <si>
    <t>993325-764-1080</t>
  </si>
  <si>
    <t>KHI/HO/D/MO/PC COMP/C/76694/112/10/2023</t>
  </si>
  <si>
    <t>SUZUKI CULTUS</t>
  </si>
  <si>
    <t>BGT-541</t>
  </si>
  <si>
    <t>PKF629736</t>
  </si>
  <si>
    <t>SF410PK536588</t>
  </si>
  <si>
    <t>M/S.Bankislami(Pakistan)Limited
UserMr.ShaikhDanishZameer</t>
  </si>
  <si>
    <t>4220104928565</t>
  </si>
  <si>
    <t>3787597-1000-1091</t>
  </si>
  <si>
    <t>KHI/HO/D/MO/PC COMP/C/76694/114/10/2023</t>
  </si>
  <si>
    <t>BWB-377</t>
  </si>
  <si>
    <t>6R217693</t>
  </si>
  <si>
    <t>NF1AET306H1117678</t>
  </si>
  <si>
    <t>M/S.Bankislami(Pakistan)Limited
UserMr.MuhammadHamzaMunawar</t>
  </si>
  <si>
    <t>4210187487087</t>
  </si>
  <si>
    <t>3777069-121-1093</t>
  </si>
  <si>
    <t>KHI/HO/D/MO/PC COMP/C/76694/115/10/2023</t>
  </si>
  <si>
    <t>ADB-105</t>
  </si>
  <si>
    <t>G3LAMP027949</t>
  </si>
  <si>
    <t>NNATA52AXKP501204</t>
  </si>
  <si>
    <t>M/S.Bankislami(Pakistan)Limited
UserMr.MUSTAFAKAMAL</t>
  </si>
  <si>
    <t>3520289759039</t>
  </si>
  <si>
    <t>3785672-71-2128</t>
  </si>
  <si>
    <t>KHI/HO/D/MO/PC COMP/C/76694/116/10/2023</t>
  </si>
  <si>
    <t>TOYOTA COROLLA ALTIS</t>
  </si>
  <si>
    <t>AMD-345</t>
  </si>
  <si>
    <t>Q095844</t>
  </si>
  <si>
    <t>ZRE171R6073316</t>
  </si>
  <si>
    <t>M/S.Bankislami(Pakistan)Limited
UserMr.MuhammadRaheelSyal</t>
  </si>
  <si>
    <t>3520243428011</t>
  </si>
  <si>
    <t>597090-20-2135</t>
  </si>
  <si>
    <t>KHI/HO/D/MO/PC COMP/C/76694/117/10/2023</t>
  </si>
  <si>
    <t>TOYOTA HILUX REVO</t>
  </si>
  <si>
    <t>KZ-3377</t>
  </si>
  <si>
    <t>IGD0907853</t>
  </si>
  <si>
    <t>GUN126R-5542618</t>
  </si>
  <si>
    <t>M/S.Bankislami(Pakistan)Limited
UserMr.FaizanUlHaqueM/SMotorTown</t>
  </si>
  <si>
    <t>4250132237995</t>
  </si>
  <si>
    <t>1273301-123-1093</t>
  </si>
  <si>
    <t>KHI/HO/D/MO/PC COMP/C/76694/119/10/2023</t>
  </si>
  <si>
    <t>PROTON SAGA 1.3 L STD M/T</t>
  </si>
  <si>
    <t>BUS-610</t>
  </si>
  <si>
    <t>S4PEWJ7765</t>
  </si>
  <si>
    <t>PL1BT3SRRMB157298</t>
  </si>
  <si>
    <t>M/S.Bankislami(Pakistan)Limited
User:MubashirSiddique</t>
  </si>
  <si>
    <t>4220144391833</t>
  </si>
  <si>
    <t>960579-1511-1011</t>
  </si>
  <si>
    <t>Before_24-Dec-2021</t>
  </si>
  <si>
    <t>KHI/HO/D/MO/PC COMP/C/76694/12/10/2023</t>
  </si>
  <si>
    <t>AMC-651</t>
  </si>
  <si>
    <t>6R251923</t>
  </si>
  <si>
    <t>NF1AET306H1151901</t>
  </si>
  <si>
    <t>M/S.Bankislami(Pakistan)Limited
UserMr.HumaNaz</t>
  </si>
  <si>
    <t>3520213484462</t>
  </si>
  <si>
    <t>3708877-914-2053</t>
  </si>
  <si>
    <t>KHI/HO/D/MO/PC COMP/C/76694/120/10/2023</t>
  </si>
  <si>
    <t>HYUNDAI ELANTRA 2.0 MP1 AT</t>
  </si>
  <si>
    <t>AFF-764</t>
  </si>
  <si>
    <t>G4NAMU799374</t>
  </si>
  <si>
    <t>PMHD841FMMN300597</t>
  </si>
  <si>
    <t>M/S.Bankislami(Pakistan)Limited
User:MuhammadZaferIqbal</t>
  </si>
  <si>
    <t>3520265159803</t>
  </si>
  <si>
    <t>790132-226-2050</t>
  </si>
  <si>
    <t>KHI/HO/D/MO/PC COMP/C/76694/121/10/2023</t>
  </si>
  <si>
    <t>SUZUKI WAGON-R VXL E2</t>
  </si>
  <si>
    <t>AFE-622</t>
  </si>
  <si>
    <t>PK10B220740</t>
  </si>
  <si>
    <t>AIJ310PK10120736</t>
  </si>
  <si>
    <t>M/S.Bankislami(Pakistan)Limited
User:MalikMuhammadMohsi</t>
  </si>
  <si>
    <t>3520139920839</t>
  </si>
  <si>
    <t>3609627-2747-2002</t>
  </si>
  <si>
    <t>KHI/HO/D/MO/PC COMP/C/76694/123/10/2023</t>
  </si>
  <si>
    <t>HONDA CIVIC VTI  ORIEL PT</t>
  </si>
  <si>
    <t>LEB-15-2309</t>
  </si>
  <si>
    <t>R18213749617</t>
  </si>
  <si>
    <t>NFBFB2667FR123594</t>
  </si>
  <si>
    <t>M/S.Bankislami(Pakistan)Limited
User:SyedAhmedAmmar</t>
  </si>
  <si>
    <t>3520137533449</t>
  </si>
  <si>
    <t>982942-207-2028</t>
  </si>
  <si>
    <t>KHI/HO/D/MO/PC COMP/C/76694/124/10/2023</t>
  </si>
  <si>
    <t>SUZUKI WAGON R VXL AGS</t>
  </si>
  <si>
    <t>AVH-793</t>
  </si>
  <si>
    <t>PK10B221219</t>
  </si>
  <si>
    <t>A1J310PK10121216</t>
  </si>
  <si>
    <t>M/S.Bankislami(Pakistan)Limited
User:MuhammadZeeshanSaeed</t>
  </si>
  <si>
    <t>3130362654189</t>
  </si>
  <si>
    <t>927826-432-2009</t>
  </si>
  <si>
    <t>KHI/HO/D/MO/PC COMP/C/76694/125/10/2023</t>
  </si>
  <si>
    <t>AFF-047</t>
  </si>
  <si>
    <t>R18Z16925062</t>
  </si>
  <si>
    <t>NFBFC6669MR077526</t>
  </si>
  <si>
    <t>M/S.Bankislami(Pakistan)Limited
User:MuhammadBilal</t>
  </si>
  <si>
    <t>3520208208999</t>
  </si>
  <si>
    <t>999109-540-2071</t>
  </si>
  <si>
    <t>KHI/HO/D/MO/PC COMP/C/76694/127/10/2023</t>
  </si>
  <si>
    <t>KIA SPORTAGE ALPHA</t>
  </si>
  <si>
    <t>AFF-853</t>
  </si>
  <si>
    <t>G4NAMH319070</t>
  </si>
  <si>
    <t>NNAQL51AZKP307482</t>
  </si>
  <si>
    <t>M/S.Bankislami(Pakistan)Limited
User:BasharatAli</t>
  </si>
  <si>
    <t>3110489170647</t>
  </si>
  <si>
    <t>3611610-198-2072</t>
  </si>
  <si>
    <t>KHI/HO/D/MO/PC COMP/C/76694/128/10/2023</t>
  </si>
  <si>
    <t>TOYOTA YARIS ATIV X CVT</t>
  </si>
  <si>
    <t>AFA-694</t>
  </si>
  <si>
    <t>2A37822</t>
  </si>
  <si>
    <t>NSP151R-9514086</t>
  </si>
  <si>
    <t>M/S.Bankislami(Pakistan)Limited
User:NomanAmjad</t>
  </si>
  <si>
    <t>3630261308741</t>
  </si>
  <si>
    <t>983931-1127-2008</t>
  </si>
  <si>
    <t>KHI/HO/D/MO/PC COMP/C/76694/129/10/2023</t>
  </si>
  <si>
    <t>SUZUKI CULTUS VXL EURO II</t>
  </si>
  <si>
    <t>BNA-684</t>
  </si>
  <si>
    <t>PK10K123384</t>
  </si>
  <si>
    <t>NF1AVK31H-10023367</t>
  </si>
  <si>
    <t>M/S.Bankislami(Pakistan)Limited
User:MuhammadAzam</t>
  </si>
  <si>
    <t>3120249363651</t>
  </si>
  <si>
    <t>183401-184-1004</t>
  </si>
  <si>
    <t>KHI/HO/D/MO/PC COMP/C/76694/13/10/2023</t>
  </si>
  <si>
    <t>HYUNDAI TUCSON</t>
  </si>
  <si>
    <t>AYX-343</t>
  </si>
  <si>
    <t>G4NANU238851</t>
  </si>
  <si>
    <t>PMHJ2813SNN210118</t>
  </si>
  <si>
    <t>M/S.Bankislami(Pakistan)Limited
User:M/s.T.KInternationalTravels&amp;amp;Tours(Pvt)Ltd.</t>
  </si>
  <si>
    <t>82185</t>
  </si>
  <si>
    <t>65535-621-3018</t>
  </si>
  <si>
    <t>KHI/HO/D/MO/PC COMP/C/76694/130/10/2023</t>
  </si>
  <si>
    <t>AFG-706</t>
  </si>
  <si>
    <t>PK10K186915</t>
  </si>
  <si>
    <t>NF1AVK31H10086907</t>
  </si>
  <si>
    <t>M/S.Bankislami(Pakistan)Limited
User:FarrukhSaleemBhatt</t>
  </si>
  <si>
    <t>3520205505225</t>
  </si>
  <si>
    <t>975149-2753-2002</t>
  </si>
  <si>
    <t>KHI/HO/D/MO/PC COMP/C/76694/131/10/2023</t>
  </si>
  <si>
    <t>HONDA CITY 1.2  LS CVT</t>
  </si>
  <si>
    <t>AFG-221</t>
  </si>
  <si>
    <t>L12V51001618</t>
  </si>
  <si>
    <t>NFBGN8624MR001901</t>
  </si>
  <si>
    <t>M/S.Bankislami(Pakistan)Limited
User:AliAbbas</t>
  </si>
  <si>
    <t>3520229131039</t>
  </si>
  <si>
    <t>991359-2755-2002</t>
  </si>
  <si>
    <t>KHI/HO/D/MO/PC COMP/C/76694/132/10/2023</t>
  </si>
  <si>
    <t>TOYOTA YARIS ATIV X CVT 1.3</t>
  </si>
  <si>
    <t>BUU-708</t>
  </si>
  <si>
    <t>2A38542</t>
  </si>
  <si>
    <t>NSP150R-7024148</t>
  </si>
  <si>
    <t>M/S.Bankislami(Pakistan)Limited
User:MuhammadKhurram</t>
  </si>
  <si>
    <t>4250115151683</t>
  </si>
  <si>
    <t>977644-153-1149</t>
  </si>
  <si>
    <t>KHI/HO/D/MO/PC COMP/C/76694/133/10/2023</t>
  </si>
  <si>
    <t>AFF-724</t>
  </si>
  <si>
    <t>2A38164</t>
  </si>
  <si>
    <t>NSP150R-7023902</t>
  </si>
  <si>
    <t>M/S.Bankislami(Pakistan)Limited
User:AtifNaseerRana</t>
  </si>
  <si>
    <t>3410125303641</t>
  </si>
  <si>
    <t>964218-79-1164</t>
  </si>
  <si>
    <t>KHI/HO/D/MO/PC COMP/C/76694/134/10/2023</t>
  </si>
  <si>
    <t>AFF-117</t>
  </si>
  <si>
    <t>R18Z16926887</t>
  </si>
  <si>
    <t>NFBFC6669MR079471</t>
  </si>
  <si>
    <t>M/S.Bankislami(Pakistan)Limited
User:ShoaibTanveer</t>
  </si>
  <si>
    <t>4250141675619</t>
  </si>
  <si>
    <t>3615914-141-2039</t>
  </si>
  <si>
    <t>KHI/HO/D/MO/PC COMP/C/76694/135/10/2023</t>
  </si>
  <si>
    <t>TOYOTA COROLLA ALTIS CVT 1.8 A/T GRANDE</t>
  </si>
  <si>
    <t>BUU-578</t>
  </si>
  <si>
    <t>Q352971</t>
  </si>
  <si>
    <t>ZRE172R-7052155</t>
  </si>
  <si>
    <t>M/S.Bankislami(Pakistan)Limited
User:MaryamZakiAkbar</t>
  </si>
  <si>
    <t>4230139189548</t>
  </si>
  <si>
    <t>951144-117-1077</t>
  </si>
  <si>
    <t>KHI/HO/D/MO/PC COMP/C/76694/137/10/2023</t>
  </si>
  <si>
    <t>HONDA HYBRID INSIGHT A/T</t>
  </si>
  <si>
    <t>AVK-677</t>
  </si>
  <si>
    <t>LEB-7017747</t>
  </si>
  <si>
    <t>ZE4-1007742</t>
  </si>
  <si>
    <t>M/S.Bankislami(Pakistan)Limited
User:MuhammadTahir</t>
  </si>
  <si>
    <t>3310060969989</t>
  </si>
  <si>
    <t>880057-2791-2002</t>
  </si>
  <si>
    <t>KHI/HO/D/MO/PC COMP/C/76694/138/10/2023</t>
  </si>
  <si>
    <t>AEZ-380</t>
  </si>
  <si>
    <t>6R183202</t>
  </si>
  <si>
    <t>NF1AET306H1083160</t>
  </si>
  <si>
    <t>M/S.Bankislami(Pakistan)Limited
User:MuhammadIrfanYaqoob</t>
  </si>
  <si>
    <t>3520231525639</t>
  </si>
  <si>
    <t>600740-77-2111</t>
  </si>
  <si>
    <t>KHI/HO/D/MO/PC COMP/C/76694/139/10/2023</t>
  </si>
  <si>
    <t>AVJ-281</t>
  </si>
  <si>
    <t>JL473QFM3CAD512417</t>
  </si>
  <si>
    <t>NKMA2ASEE5M1003038</t>
  </si>
  <si>
    <t>M/S.Bankislami(Pakistan)Limited
User:ShahRukhHashmi</t>
  </si>
  <si>
    <t>3120273687101</t>
  </si>
  <si>
    <t>955805-58-1017</t>
  </si>
  <si>
    <t>KHI/HO/D/MO/PC COMP/C/76694/141/10/2023</t>
  </si>
  <si>
    <t>BUU-906</t>
  </si>
  <si>
    <t>2A38891</t>
  </si>
  <si>
    <t>NSP150R-7024355</t>
  </si>
  <si>
    <t>M/S.Bankislami(Pakistan)Limited
User:MuhammadAliKhan</t>
  </si>
  <si>
    <t>4250184457965</t>
  </si>
  <si>
    <t>991605-147-1067</t>
  </si>
  <si>
    <t>KHI/HO/D/MO/PC COMP/C/76694/142/10/2023</t>
  </si>
  <si>
    <t>LE-19A-6312</t>
  </si>
  <si>
    <t>PK10B199146</t>
  </si>
  <si>
    <t>A1J310PK10099147</t>
  </si>
  <si>
    <t>M/S.Bankislami(Pakistan)Limited
User:ShahbazRasheed</t>
  </si>
  <si>
    <t>3410110045117</t>
  </si>
  <si>
    <t>511003-76-3082</t>
  </si>
  <si>
    <t>KHI/HO/D/MO/PC COMP/C/76694/143/10/2023</t>
  </si>
  <si>
    <t>AFG-423</t>
  </si>
  <si>
    <t>L12B51002524</t>
  </si>
  <si>
    <t>NFBGN8620MR003368</t>
  </si>
  <si>
    <t>M/S.Bankislami(Pakistan)Limited
User:TahirAshraf</t>
  </si>
  <si>
    <t>3540121157311</t>
  </si>
  <si>
    <t>3617322-2759-2002</t>
  </si>
  <si>
    <t>KHI/HO/D/MO/PC COMP/C/76694/144/10/2023</t>
  </si>
  <si>
    <t>TOYOTA COROLLA ALTIS VVT-IA/T 1.6</t>
  </si>
  <si>
    <t>AVJ-286</t>
  </si>
  <si>
    <t>348185</t>
  </si>
  <si>
    <t>7047355</t>
  </si>
  <si>
    <t>M/S.Bankislami(Pakistan)Limited
User:SultanAhmedAbbasi</t>
  </si>
  <si>
    <t>3740526461417</t>
  </si>
  <si>
    <t>3609497-132-3099</t>
  </si>
  <si>
    <t>KHI/HO/D/MO/PC COMP/C/76694/145/10/2023</t>
  </si>
  <si>
    <t>AFG-877</t>
  </si>
  <si>
    <t>6R185327</t>
  </si>
  <si>
    <t>NF1AET306H1085338</t>
  </si>
  <si>
    <t>M/S.Bankislami(Pakistan)Limited
User:AliUsmanAwan</t>
  </si>
  <si>
    <t>3310041089745</t>
  </si>
  <si>
    <t>764127-325-2052</t>
  </si>
  <si>
    <t>KHI/HO/D/MO/PC COMP/C/76694/146/10/2023</t>
  </si>
  <si>
    <t>AFG-997</t>
  </si>
  <si>
    <t>6R185535</t>
  </si>
  <si>
    <t>NF1AET306H1085534</t>
  </si>
  <si>
    <t>M/S.Bankislami(Pakistan)Limited
User:RabbiaIqbal</t>
  </si>
  <si>
    <t>3520249992224</t>
  </si>
  <si>
    <t>3601615-2754-2002</t>
  </si>
  <si>
    <t>KHI/HO/D/MO/PC COMP/C/76694/15/10/2023</t>
  </si>
  <si>
    <t>BXT-637</t>
  </si>
  <si>
    <t>6R252541</t>
  </si>
  <si>
    <t>NF1AET306H1152552</t>
  </si>
  <si>
    <t>M/S.Bankislami(Pakistan)Limited
UserMr.MuhammadIbrahimLakho</t>
  </si>
  <si>
    <t>4150403527157</t>
  </si>
  <si>
    <t>3704997-1651-1011</t>
  </si>
  <si>
    <t>KHI/HO/D/MO/PC COMP/C/76694/150/10/2023</t>
  </si>
  <si>
    <t>SUZUKI ALTO VXL AGS E-2</t>
  </si>
  <si>
    <t>BVE-613</t>
  </si>
  <si>
    <t>6R181782</t>
  </si>
  <si>
    <t>NF1AET306H1081496</t>
  </si>
  <si>
    <t>M/S.Bankislami(Pakistan)Limited
User:WaseemSamuel</t>
  </si>
  <si>
    <t>5440067388229</t>
  </si>
  <si>
    <t>958587-227-1095</t>
  </si>
  <si>
    <t>KHI/HO/D/MO/PC COMP/C/76694/151/10/2023</t>
  </si>
  <si>
    <t>CHANGAN ALSVIN LUMEIRE</t>
  </si>
  <si>
    <t>BUU-902</t>
  </si>
  <si>
    <t>JL473QFM3CAD504998</t>
  </si>
  <si>
    <t>NKMA2ASEM1003372</t>
  </si>
  <si>
    <t>M/S.Bankislami(Pakistan)Limited
User:MuhammadMustafaAmin</t>
  </si>
  <si>
    <t>4220162056091</t>
  </si>
  <si>
    <t>954257-855-1132</t>
  </si>
  <si>
    <t>KHI/HO/D/MO/PC COMP/C/76694/152/10/2023</t>
  </si>
  <si>
    <t>HYUNDAI TUSCON AWD</t>
  </si>
  <si>
    <t>AVJ-559</t>
  </si>
  <si>
    <t>G4NAMU107566</t>
  </si>
  <si>
    <t>PMHJ2813SMN204539</t>
  </si>
  <si>
    <t>M/S.Bankislami(Pakistan)Limited
User:MuhammadBilalQadir</t>
  </si>
  <si>
    <t>3460195111821</t>
  </si>
  <si>
    <t>902282-83-3082</t>
  </si>
  <si>
    <t>KHI/HO/D/MO/PC COMP/C/76694/154/10/2023</t>
  </si>
  <si>
    <t>SUZUKI ALTO VX</t>
  </si>
  <si>
    <t>AFH-554</t>
  </si>
  <si>
    <t>6R186716</t>
  </si>
  <si>
    <t>NF1AET306H1086560</t>
  </si>
  <si>
    <t>M/S.Bankislami(Pakistan)Limited
User:MuhammadYousafFarooq</t>
  </si>
  <si>
    <t>3520216004893</t>
  </si>
  <si>
    <t>862703-651-2029</t>
  </si>
  <si>
    <t>KHI/HO/D/MO/PC COMP/C/76694/155/10/2023</t>
  </si>
  <si>
    <t>AVJ-294</t>
  </si>
  <si>
    <t>JL473Q4M3EE503971</t>
  </si>
  <si>
    <t>NKMA2CBR4M1000504</t>
  </si>
  <si>
    <t>M/S.Bankislami(Pakistan)Limited
User:GulAhmad</t>
  </si>
  <si>
    <t>1340382022047</t>
  </si>
  <si>
    <t>294852-16-3036</t>
  </si>
  <si>
    <t>KHI/HO/D/MO/PC COMP/C/76694/156/10/2023</t>
  </si>
  <si>
    <t>LE-19A-8483</t>
  </si>
  <si>
    <t>6R112062</t>
  </si>
  <si>
    <t>NF1AET306H1012028</t>
  </si>
  <si>
    <t>M/S.Bankislami(Pakistan)Limited
User:RehanAnwar</t>
  </si>
  <si>
    <t>3120291668541</t>
  </si>
  <si>
    <t>744622-133-2113</t>
  </si>
  <si>
    <t>KHI/HO/D/MO/PC COMP/C/76694/157/10/2023</t>
  </si>
  <si>
    <t>AFA-207</t>
  </si>
  <si>
    <t>G3LAMP083451</t>
  </si>
  <si>
    <t>NNATA52AXKP501952</t>
  </si>
  <si>
    <t>M/S.Bankislami(Pakistan)Limited
User:SaamiaAqib</t>
  </si>
  <si>
    <t>3520276219350</t>
  </si>
  <si>
    <t>3616024-2741-2002</t>
  </si>
  <si>
    <t>KHI/HO/D/MO/PC COMP/C/76694/158/10/2023</t>
  </si>
  <si>
    <t>LE-19A-3717</t>
  </si>
  <si>
    <t>PK10B199645</t>
  </si>
  <si>
    <t>A1J310PK10099670</t>
  </si>
  <si>
    <t>M/S.Bankislami(Pakistan)Limited
User:KausarKhan</t>
  </si>
  <si>
    <t>3130314041005</t>
  </si>
  <si>
    <t>662247-172-2025</t>
  </si>
  <si>
    <t>KHI/HO/D/MO/PC COMP/C/76694/159/10/2023</t>
  </si>
  <si>
    <t>LEB-18A-9496</t>
  </si>
  <si>
    <t>PK10B173501</t>
  </si>
  <si>
    <t>A1J310PK10073480</t>
  </si>
  <si>
    <t>M/S.Bankislami(Pakistan)Limited
User:WaqasAhmedAkash</t>
  </si>
  <si>
    <t>3530117127353</t>
  </si>
  <si>
    <t>1492440-166-2048</t>
  </si>
  <si>
    <t>KHI/HO/D/MO/PC COMP/C/76694/16/10/2023</t>
  </si>
  <si>
    <t>HONDA CITY</t>
  </si>
  <si>
    <t>AVY-764</t>
  </si>
  <si>
    <t>L15Z81000280</t>
  </si>
  <si>
    <t>NFBGN9667MR000587</t>
  </si>
  <si>
    <t>M/S.Bankislami(Pakistan)Limited
UserMr.QasimMasood</t>
  </si>
  <si>
    <t>3740695403415</t>
  </si>
  <si>
    <t>3760148-220-3002</t>
  </si>
  <si>
    <t>KHI/HO/D/MO/PC COMP/C/76694/161/10/2023</t>
  </si>
  <si>
    <t>HONDA BRV S CVT</t>
  </si>
  <si>
    <t>BG-8396</t>
  </si>
  <si>
    <t>L15Z1-3508614</t>
  </si>
  <si>
    <t>NFBDG1836JR008533</t>
  </si>
  <si>
    <t>M/S.Bankislami(Pakistan)Limited
User:DarrinDsouza</t>
  </si>
  <si>
    <t>4230152421133</t>
  </si>
  <si>
    <t>774240-821-1074</t>
  </si>
  <si>
    <t>KHI/HO/D/MO/PC COMP/C/76694/162/10/2023</t>
  </si>
  <si>
    <t>BQY-634</t>
  </si>
  <si>
    <t>6R114337</t>
  </si>
  <si>
    <t>6H1014339</t>
  </si>
  <si>
    <t>M/S.Bankislami(Pakistan)Limited
User:KashifAmeen</t>
  </si>
  <si>
    <t>4210115405967</t>
  </si>
  <si>
    <t>742171-153-1051</t>
  </si>
  <si>
    <t>KHI/HO/D/MO/PC COMP/C/76694/163/10/2023</t>
  </si>
  <si>
    <t>BUR-834</t>
  </si>
  <si>
    <t>JL473QFM3CAD502194</t>
  </si>
  <si>
    <t>NKMAZASE5M1000757</t>
  </si>
  <si>
    <t>M/S.Bankislami(Pakistan)Limited
User:MuhammadSaqib</t>
  </si>
  <si>
    <t>4220198289165</t>
  </si>
  <si>
    <t>998075-845-1132</t>
  </si>
  <si>
    <t>KHI/HO/D/MO/PC COMP/C/76694/164/10/2023</t>
  </si>
  <si>
    <t>TOYOTA COROLLA GLI</t>
  </si>
  <si>
    <t>LE-19A-8886</t>
  </si>
  <si>
    <t>Z567650</t>
  </si>
  <si>
    <t>NZE170R4192216</t>
  </si>
  <si>
    <t>M/S.Bankislami(Pakistan)Limited
User:AmjadAli</t>
  </si>
  <si>
    <t>3520133776049</t>
  </si>
  <si>
    <t>521189-15-2099</t>
  </si>
  <si>
    <t>KHI/HO/D/MO/PC COMP/C/76694/169/10/2023</t>
  </si>
  <si>
    <t>APB-064</t>
  </si>
  <si>
    <t>L13Z17534084</t>
  </si>
  <si>
    <t>NFBGM1542KR253544</t>
  </si>
  <si>
    <t>M/S.Bankislami(Pakistan)Limited
User:MuhammadHamza</t>
  </si>
  <si>
    <t>3650181603757</t>
  </si>
  <si>
    <t>638894-33-2041</t>
  </si>
  <si>
    <t>KHI/HO/D/MO/PC COMP/C/76694/17/10/2023</t>
  </si>
  <si>
    <t>TOYOTA YARIS ATIV CVT</t>
  </si>
  <si>
    <t>BAH-498</t>
  </si>
  <si>
    <t>2A56911</t>
  </si>
  <si>
    <t>NSP150R-7035937</t>
  </si>
  <si>
    <t>M/S.Bankislami(Pakistan)Limited
UserMs.SaimaRana</t>
  </si>
  <si>
    <t>1350305701776</t>
  </si>
  <si>
    <t>3700022-43-3047</t>
  </si>
  <si>
    <t>KHI/HO/D/MO/PC COMP/C/76694/173/10/2023</t>
  </si>
  <si>
    <t>DAIHATSU MOVE</t>
  </si>
  <si>
    <t>BKB-816</t>
  </si>
  <si>
    <t>KF-B732858</t>
  </si>
  <si>
    <t>LA100S-0284485</t>
  </si>
  <si>
    <t>M/S.Bankislami(Pakistan)Limited
User:MuhammadDanish</t>
  </si>
  <si>
    <t>4250128578953</t>
  </si>
  <si>
    <t>745972-33-1159</t>
  </si>
  <si>
    <t>KHI/HO/D/MO/PC COMP/C/76694/176/10/2023</t>
  </si>
  <si>
    <t>HONDA VEZEL HYBRID A/T.</t>
  </si>
  <si>
    <t>AFT-488</t>
  </si>
  <si>
    <t>15054190</t>
  </si>
  <si>
    <t>1104185</t>
  </si>
  <si>
    <t>M/S.Bankislami(Pakistan)Limited
User:SyedMQasimTirmizi</t>
  </si>
  <si>
    <t>4200078900919</t>
  </si>
  <si>
    <t>357199-128-3062</t>
  </si>
  <si>
    <t>KHI/HO/D/MO/PC COMP/C/76694/177/10/2023</t>
  </si>
  <si>
    <t>LE-19A-6430</t>
  </si>
  <si>
    <t>6R116720</t>
  </si>
  <si>
    <t>NF1AET306H1016710</t>
  </si>
  <si>
    <t>M/S.Bankislami(Pakistan)Limited
User:MunirAhmad</t>
  </si>
  <si>
    <t>3610146608589</t>
  </si>
  <si>
    <t>765306-6-2118</t>
  </si>
  <si>
    <t>KHI/HO/D/MO/PC COMP/C/76694/178/10/2023</t>
  </si>
  <si>
    <t>APK-372</t>
  </si>
  <si>
    <t>151614</t>
  </si>
  <si>
    <t>10051620</t>
  </si>
  <si>
    <t>M/S.Bankislami(Pakistan)Limited
User:NaumanRafique</t>
  </si>
  <si>
    <t>3740589823597</t>
  </si>
  <si>
    <t>773783-169-3011</t>
  </si>
  <si>
    <t>KHI/HO/D/MO/PC COMP/C/76694/179/10/2023</t>
  </si>
  <si>
    <t>AFA-593</t>
  </si>
  <si>
    <t>2A37596</t>
  </si>
  <si>
    <t>NSP151R-9513928</t>
  </si>
  <si>
    <t>M/S.Bankislami(Pakistan)Limited
User:MianShahidAnjum</t>
  </si>
  <si>
    <t>3520278104491</t>
  </si>
  <si>
    <t>977156-195-2072</t>
  </si>
  <si>
    <t>KHI/HO/D/MO/PC COMP/C/76694/18/10/2023</t>
  </si>
  <si>
    <t>ANJ-42</t>
  </si>
  <si>
    <t>6R252622</t>
  </si>
  <si>
    <t>NF1AET306H1152577</t>
  </si>
  <si>
    <t>M/S.Bankislami(Pakistan)Limited
UserMr.JawadAhmedKhan</t>
  </si>
  <si>
    <t>3210212291271</t>
  </si>
  <si>
    <t>3699489-317-3099</t>
  </si>
  <si>
    <t>KHI/HO/D/MO/PC COMP/C/76694/181/10/2023</t>
  </si>
  <si>
    <t>BQZ-928</t>
  </si>
  <si>
    <t>6R119778</t>
  </si>
  <si>
    <t>6H1019218</t>
  </si>
  <si>
    <t>M/S.Bankislami(Pakistan)Limited
User:Shazia</t>
  </si>
  <si>
    <t>4310323414034</t>
  </si>
  <si>
    <t>736732-61-1052</t>
  </si>
  <si>
    <t>KHI/HO/D/MO/PC COMP/C/76694/183/10/2023</t>
  </si>
  <si>
    <t>KIA PICANTO A/T</t>
  </si>
  <si>
    <t>BSG-213</t>
  </si>
  <si>
    <t>57708</t>
  </si>
  <si>
    <t>703179</t>
  </si>
  <si>
    <t>M/S.Bankislami(Pakistan)Limited
User:MajidLeghari</t>
  </si>
  <si>
    <t>4210102399115</t>
  </si>
  <si>
    <t>602303-18-1021</t>
  </si>
  <si>
    <t>KHI/HO/D/MO/PC COMP/C/76694/184/10/2023</t>
  </si>
  <si>
    <t>KIA KIA SPORTAGE</t>
  </si>
  <si>
    <t>AAM-785</t>
  </si>
  <si>
    <t>G4NALH323377</t>
  </si>
  <si>
    <t>NNAQL51AZKP505242</t>
  </si>
  <si>
    <t>M/S.Bankislami(Pakistan)Limited
User:MuhammadHafeezButt</t>
  </si>
  <si>
    <t>3520220247311</t>
  </si>
  <si>
    <t>849758-6-2125</t>
  </si>
  <si>
    <t>KHI/HO/D/MO/PC COMP/C/76694/186/10/2023</t>
  </si>
  <si>
    <t>BH-7857</t>
  </si>
  <si>
    <t>323796</t>
  </si>
  <si>
    <t>504981</t>
  </si>
  <si>
    <t>M/S.Bankislami(Pakistan)Limited
User:SyedSaeedUlHasan</t>
  </si>
  <si>
    <t>4210186416347</t>
  </si>
  <si>
    <t>552523-60-1103</t>
  </si>
  <si>
    <t>KHI/HO/D/MO/PC COMP/C/76694/187/10/2023</t>
  </si>
  <si>
    <t>KIA SPORTAGE FWD</t>
  </si>
  <si>
    <t>BH-7804</t>
  </si>
  <si>
    <t>320049</t>
  </si>
  <si>
    <t>303318</t>
  </si>
  <si>
    <t>M/S.Bankislami(Pakistan)Limited
User:SyedAsharAlam</t>
  </si>
  <si>
    <t>4210102084723</t>
  </si>
  <si>
    <t>438449-224-1148</t>
  </si>
  <si>
    <t>KHI/HO/D/MO/PC COMP/C/76694/188/10/2023</t>
  </si>
  <si>
    <t>AAN-131</t>
  </si>
  <si>
    <t>G4NALH319193</t>
  </si>
  <si>
    <t>NNAQL51AZKP303296</t>
  </si>
  <si>
    <t>M/S.Bankislami(Pakistan)Limited
User:MuhammadMubeenQadri</t>
  </si>
  <si>
    <t>3520208990027</t>
  </si>
  <si>
    <t>597140-120-2028</t>
  </si>
  <si>
    <t>KHI/HO/D/MO/PC COMP/C/76694/189/10/2023</t>
  </si>
  <si>
    <t>AAN-945</t>
  </si>
  <si>
    <t>G4NALH323383</t>
  </si>
  <si>
    <t>NNAQL51AZKP505019</t>
  </si>
  <si>
    <t>M/S.Bankislami(Pakistan)Limited
User:MuhammadNajamAbbas</t>
  </si>
  <si>
    <t>3230416099481</t>
  </si>
  <si>
    <t>855046-254-2052</t>
  </si>
  <si>
    <t>KHI/HO/D/MO/PC COMP/C/76694/190/10/2023</t>
  </si>
  <si>
    <t>ARK-551</t>
  </si>
  <si>
    <t>322783</t>
  </si>
  <si>
    <t>505413</t>
  </si>
  <si>
    <t>M/S.Bankislami(Pakistan)Limited
User:RafiqAhmed</t>
  </si>
  <si>
    <t>2170148708589</t>
  </si>
  <si>
    <t>849990-2802-3016</t>
  </si>
  <si>
    <t>KHI/HO/D/MO/PC COMP/C/76694/192/10/2023</t>
  </si>
  <si>
    <t>BH-7893</t>
  </si>
  <si>
    <t>H319920</t>
  </si>
  <si>
    <t>P303293</t>
  </si>
  <si>
    <t>M/S.Bankislami(Pakistan)Limited
User:AsadAliKhanWarsi</t>
  </si>
  <si>
    <t>4220105541881</t>
  </si>
  <si>
    <t>122928-718-1078</t>
  </si>
  <si>
    <t>KHI/HO/D/MO/PC COMP/C/76694/193/10/2023</t>
  </si>
  <si>
    <t>KIA SPORTAGE AWD-CW</t>
  </si>
  <si>
    <t>ABC-327</t>
  </si>
  <si>
    <t>G4NALH323148</t>
  </si>
  <si>
    <t>NNAQL51AZKP505330</t>
  </si>
  <si>
    <t>M/S.Bankislami(Pakistan)Limited
User:SheikhSohailSabir</t>
  </si>
  <si>
    <t>3520217769039</t>
  </si>
  <si>
    <t>857875-256-2052</t>
  </si>
  <si>
    <t>KHI/HO/D/MO/PC COMP/C/76694/194/10/2023</t>
  </si>
  <si>
    <t>HONDA CITY I-VTEC (M/T)</t>
  </si>
  <si>
    <t>AEV-955</t>
  </si>
  <si>
    <t>L12B51001977</t>
  </si>
  <si>
    <t>NFBGN8528MR002700</t>
  </si>
  <si>
    <t>M/S.Bankislami(Pakistan)Limited
User:AzizaImranMughal</t>
  </si>
  <si>
    <t>3520108431090</t>
  </si>
  <si>
    <t>3609458-2729-2002</t>
  </si>
  <si>
    <t>KHI/HO/D/MO/PC COMP/C/76694/195/10/2023</t>
  </si>
  <si>
    <t>EG-851</t>
  </si>
  <si>
    <t>7429200</t>
  </si>
  <si>
    <t>167393</t>
  </si>
  <si>
    <t>M/S.Bankislami(Pakistan)Limited
User:MohsinUllah</t>
  </si>
  <si>
    <t>1730183705093</t>
  </si>
  <si>
    <t>881006-56-3034</t>
  </si>
  <si>
    <t>KHI/HO/D/MO/PC COMP/C/76694/198/10/2023</t>
  </si>
  <si>
    <t>BH-8023</t>
  </si>
  <si>
    <t>H309779</t>
  </si>
  <si>
    <t>P502593</t>
  </si>
  <si>
    <t>M/S.Bankislami(Pakistan)Limited
User:ZahoorKhan</t>
  </si>
  <si>
    <t>4110438126209</t>
  </si>
  <si>
    <t>807803-37-1033</t>
  </si>
  <si>
    <t>KHI/HO/D/MO/PC COMP/C/76694/2/10/2023</t>
  </si>
  <si>
    <t>SUZUKI CULTUS VXR</t>
  </si>
  <si>
    <t>BAH-499</t>
  </si>
  <si>
    <t>PK10K201342</t>
  </si>
  <si>
    <t>NF1AVK31H10101354</t>
  </si>
  <si>
    <t>91442</t>
  </si>
  <si>
    <t>67422-615-3018</t>
  </si>
  <si>
    <t>KHI/HO/D/MO/PC COMP/C/76694/20/10/2023</t>
  </si>
  <si>
    <t>HONDA BRV - S</t>
  </si>
  <si>
    <t>BK-6938</t>
  </si>
  <si>
    <t>L15Z14809573</t>
  </si>
  <si>
    <t>NFBDG1831NR026251</t>
  </si>
  <si>
    <t>M/S.Bankislami(Pakistan)Limited
UserMr.FarhanShakilKhan</t>
  </si>
  <si>
    <t>4230106459097</t>
  </si>
  <si>
    <t>3769409-104-1094</t>
  </si>
  <si>
    <t>KHI/HO/D/MO/PC COMP/C/76694/200/10/2023</t>
  </si>
  <si>
    <t>AQT-320</t>
  </si>
  <si>
    <t>323124</t>
  </si>
  <si>
    <t>505251</t>
  </si>
  <si>
    <t>M/S.Bankislami(Pakistan)Limited
User:RashidMahmoodMinhas</t>
  </si>
  <si>
    <t>3740552385195</t>
  </si>
  <si>
    <t>607659-109-3029</t>
  </si>
  <si>
    <t>KHI/HO/D/MO/PC COMP/C/76694/201/10/2023</t>
  </si>
  <si>
    <t>SUZUKI SWIFT GL M/T</t>
  </si>
  <si>
    <t>BKV-688</t>
  </si>
  <si>
    <t>PKS-13038251</t>
  </si>
  <si>
    <t>RS413PK-10038232</t>
  </si>
  <si>
    <t>M/S.Bankislami(Pakistan)Limited
User:TariqJaved</t>
  </si>
  <si>
    <t>4220188630159</t>
  </si>
  <si>
    <t>881061-88-1060</t>
  </si>
  <si>
    <t>KHI/HO/D/MO/PC COMP/C/76694/203/10/2023</t>
  </si>
  <si>
    <t>DAIHATSU MIRA</t>
  </si>
  <si>
    <t>BSJ-064</t>
  </si>
  <si>
    <t>H401883</t>
  </si>
  <si>
    <t>D-0006013</t>
  </si>
  <si>
    <t>M/S.Bankislami(Pakistan)Limited
User:MuhammadAmin</t>
  </si>
  <si>
    <t>4230111086721</t>
  </si>
  <si>
    <t>503886-200-1024</t>
  </si>
  <si>
    <t>KHI/HO/D/MO/PC COMP/C/76694/207/10/2023</t>
  </si>
  <si>
    <t>SUZUKI MEHRAN VXR EURO-II</t>
  </si>
  <si>
    <t>BEH-996</t>
  </si>
  <si>
    <t>624420</t>
  </si>
  <si>
    <t>1162925</t>
  </si>
  <si>
    <t>M/S.Bankislami(Pakistan)Limited
User:MansoorKalwar</t>
  </si>
  <si>
    <t>4550152792769</t>
  </si>
  <si>
    <t>864901-89-1052</t>
  </si>
  <si>
    <t>KHI/HO/D/MO/PC COMP/C/76694/208/10/2023</t>
  </si>
  <si>
    <t>AAS-391</t>
  </si>
  <si>
    <t>G3LALP059059</t>
  </si>
  <si>
    <t>NNATA52AZKP702973</t>
  </si>
  <si>
    <t>M/S.Bankislami(Pakistan)Limited
User:Jahanzeb</t>
  </si>
  <si>
    <t>3310097283977</t>
  </si>
  <si>
    <t>701499-33-2108</t>
  </si>
  <si>
    <t>KHI/HO/D/MO/PC COMP/C/76694/209/10/2023</t>
  </si>
  <si>
    <t>TOYOTA YARIS ATIV MT 1.3</t>
  </si>
  <si>
    <t>BUS-174</t>
  </si>
  <si>
    <t>2A37475</t>
  </si>
  <si>
    <t>NSP150R-7023521</t>
  </si>
  <si>
    <t>M/S.Bankislami(Pakistan)Limited
User:JawadSodhar</t>
  </si>
  <si>
    <t>4120566100073</t>
  </si>
  <si>
    <t>977684-13-1169</t>
  </si>
  <si>
    <t>KHI/HO/D/MO/PC COMP/C/76694/210/10/2023</t>
  </si>
  <si>
    <t>ARU-332</t>
  </si>
  <si>
    <t>G4NALH321609</t>
  </si>
  <si>
    <t>NNAQL51AZKP504758</t>
  </si>
  <si>
    <t>M/S.Bankislami(Pakistan)Limited
User:ShaukatMahmoodAhmad</t>
  </si>
  <si>
    <t>3520268412631</t>
  </si>
  <si>
    <t>845908-2370-2002</t>
  </si>
  <si>
    <t>KHI/HO/D/MO/PC COMP/C/76694/211/10/2023</t>
  </si>
  <si>
    <t>AAS-842</t>
  </si>
  <si>
    <t>G3LALP057674</t>
  </si>
  <si>
    <t>NNATA52AZKP703298</t>
  </si>
  <si>
    <t>M/S.Bankislami(Pakistan)Limited
User:IftikharHussainNad</t>
  </si>
  <si>
    <t>3640207541781</t>
  </si>
  <si>
    <t>864141-10-2120</t>
  </si>
  <si>
    <t>KHI/HO/D/MO/PC COMP/C/76694/212/10/2023</t>
  </si>
  <si>
    <t>TOYOTA AXIO</t>
  </si>
  <si>
    <t>ARU-798</t>
  </si>
  <si>
    <t>8288612</t>
  </si>
  <si>
    <t>7156423</t>
  </si>
  <si>
    <t>M/S.Bankislami(Pakistan)Limited
User:TajMuhammad</t>
  </si>
  <si>
    <t>2140222694439</t>
  </si>
  <si>
    <t>886047-182-3011</t>
  </si>
  <si>
    <t>KHI/HO/D/MO/PC COMP/C/76694/213/10/2023</t>
  </si>
  <si>
    <t>AQY-015</t>
  </si>
  <si>
    <t>G4NALH326520</t>
  </si>
  <si>
    <t>NNAQL51AZKP303694</t>
  </si>
  <si>
    <t>M/S.Bankislami(Pakistan)Limited
User:AamirMaqbool</t>
  </si>
  <si>
    <t>3540476322951</t>
  </si>
  <si>
    <t>882205-2711-2013</t>
  </si>
  <si>
    <t>KHI/HO/D/MO/PC COMP/C/76694/214/10/2023</t>
  </si>
  <si>
    <t>BET-544</t>
  </si>
  <si>
    <t>616013</t>
  </si>
  <si>
    <t>522886</t>
  </si>
  <si>
    <t>M/S.Bankislami(Pakistan)Limited
User:MuhammadJauharAli</t>
  </si>
  <si>
    <t>4210141144423</t>
  </si>
  <si>
    <t>883819-440-1132</t>
  </si>
  <si>
    <t>KHI/HO/D/MO/PC COMP/C/76694/217/10/2023</t>
  </si>
  <si>
    <t>TOYOTA VITZ</t>
  </si>
  <si>
    <t>BSK-380</t>
  </si>
  <si>
    <t>1KR1764183</t>
  </si>
  <si>
    <t>2195849</t>
  </si>
  <si>
    <t>M/S.Bankislami(Pakistan)Limited
User:ShaikhAbdulFaheem</t>
  </si>
  <si>
    <t>4220107535069</t>
  </si>
  <si>
    <t>445907-153-1143</t>
  </si>
  <si>
    <t>KHI/HO/D/MO/PC COMP/C/76694/219/10/2023</t>
  </si>
  <si>
    <t>BH-8223</t>
  </si>
  <si>
    <t>LEB-5054991</t>
  </si>
  <si>
    <t>1104985</t>
  </si>
  <si>
    <t>M/S.Bankislami(Pakistan)Limited
User:NajiaFahad</t>
  </si>
  <si>
    <t>4230108195282</t>
  </si>
  <si>
    <t>873834-631-1080</t>
  </si>
  <si>
    <t>KHI/HO/D/MO/PC COMP/C/76694/22/10/2023</t>
  </si>
  <si>
    <t>SUZUKI WAGON R VXL</t>
  </si>
  <si>
    <t>AHQ-912</t>
  </si>
  <si>
    <t>PK10B228300</t>
  </si>
  <si>
    <t>A1J310PK10128323</t>
  </si>
  <si>
    <t>M/S.Bankislami(Pakistan)Limited
UserMr.GhulamRaza</t>
  </si>
  <si>
    <t>3520225438305</t>
  </si>
  <si>
    <t>3692477-248-2046</t>
  </si>
  <si>
    <t>KHI/HO/D/MO/PC COMP/C/76694/222/10/2023</t>
  </si>
  <si>
    <t>TOYOTA COROLLA XLI M/T 1.3</t>
  </si>
  <si>
    <t>ARV-452</t>
  </si>
  <si>
    <t>558143</t>
  </si>
  <si>
    <t>4184019</t>
  </si>
  <si>
    <t>1570111608229</t>
  </si>
  <si>
    <t>851298-18-3091</t>
  </si>
  <si>
    <t>KHI/HO/D/MO/PC COMP/C/76694/223/10/2023</t>
  </si>
  <si>
    <t>SUZUKI MEHRAN STD</t>
  </si>
  <si>
    <t>LE-16-2551</t>
  </si>
  <si>
    <t>PKB633936</t>
  </si>
  <si>
    <t>PK01172446</t>
  </si>
  <si>
    <t>M/S.Bankislami(Pakistan)Limited
User:UsmanIdrees</t>
  </si>
  <si>
    <t>3520270265975</t>
  </si>
  <si>
    <t>450588-148-2070</t>
  </si>
  <si>
    <t>KHI/HO/D/MO/PC COMP/C/76694/224/10/2023</t>
  </si>
  <si>
    <t>BHW-542</t>
  </si>
  <si>
    <t>PK10B128163</t>
  </si>
  <si>
    <t>A1J310PK10028135</t>
  </si>
  <si>
    <t>M/S.Bankislami(Pakistan)Limited
User:RafayRaza</t>
  </si>
  <si>
    <t>4220104443115</t>
  </si>
  <si>
    <t>883433-92-1062</t>
  </si>
  <si>
    <t>KHI/HO/D/MO/PC COMP/C/76694/225/10/2023</t>
  </si>
  <si>
    <t>TOYOTA COROLLA 1.3 GLI EFI M/T</t>
  </si>
  <si>
    <t>LE-19A-2150</t>
  </si>
  <si>
    <t>Z566800</t>
  </si>
  <si>
    <t>NZE170R-4193324</t>
  </si>
  <si>
    <t>M/S.Bankislami(Pakistan)Limited
User:MuhammadNaveedHussain</t>
  </si>
  <si>
    <t>3510281363533</t>
  </si>
  <si>
    <t>889115-79-2091</t>
  </si>
  <si>
    <t>KHI/HO/D/MO/PC COMP/C/76694/227/10/2023</t>
  </si>
  <si>
    <t>BHW-387</t>
  </si>
  <si>
    <t>SF410PK542035</t>
  </si>
  <si>
    <t>PKF635110</t>
  </si>
  <si>
    <t>M/S.Bankislami(Pakistan)Limited
User:SyedSheharyarRaza</t>
  </si>
  <si>
    <t>4210116374249</t>
  </si>
  <si>
    <t>865192-434-1132</t>
  </si>
  <si>
    <t>KHI/HO/D/MO/PC COMP/C/76694/229/10/2023</t>
  </si>
  <si>
    <t>AFA-463</t>
  </si>
  <si>
    <t>2A36944</t>
  </si>
  <si>
    <t>NSP151R9513726</t>
  </si>
  <si>
    <t>M/S.Bankislami(Pakistan)Limited
User:ImranKhan</t>
  </si>
  <si>
    <t>3730258559425</t>
  </si>
  <si>
    <t>972312-2739-2002</t>
  </si>
  <si>
    <t>KHI/HO/D/MO/PC COMP/C/76694/23/10/2023</t>
  </si>
  <si>
    <t>BVY-790</t>
  </si>
  <si>
    <t>6R168177</t>
  </si>
  <si>
    <t>NF1AET306H1068149</t>
  </si>
  <si>
    <t>M/S.Bankislami(Pakistan)Limited
UserMr.UsamaBinFakhar</t>
  </si>
  <si>
    <t>4220194270469</t>
  </si>
  <si>
    <t>3760143-75-1159</t>
  </si>
  <si>
    <t>KHI/HO/D/MO/PC COMP/C/76694/231/10/2023</t>
  </si>
  <si>
    <t>AVJ-560</t>
  </si>
  <si>
    <t>188275</t>
  </si>
  <si>
    <t>108826</t>
  </si>
  <si>
    <t>M/S.Bankislami(Pakistan)Limited
User:ZulfiqarAhmed</t>
  </si>
  <si>
    <t>4220169480239</t>
  </si>
  <si>
    <t>970704-131-3099</t>
  </si>
  <si>
    <t>KHI/HO/D/MO/PC COMP/C/76694/232/10/2023</t>
  </si>
  <si>
    <t>AFH-793</t>
  </si>
  <si>
    <t>2A38333</t>
  </si>
  <si>
    <t>NSP150R-7023983</t>
  </si>
  <si>
    <t>M/S.Bankislami(Pakistan)Limited
User:NadeemMahmood</t>
  </si>
  <si>
    <t>3410204599117</t>
  </si>
  <si>
    <t>987719-86-2033</t>
  </si>
  <si>
    <t>KHI/HO/D/MO/PC COMP/C/76694/233/10/2023</t>
  </si>
  <si>
    <t>AFH-618</t>
  </si>
  <si>
    <t>PK10B221917</t>
  </si>
  <si>
    <t>A1J310PK10121930</t>
  </si>
  <si>
    <t>M/S.Bankislami(Pakistan)Limited
User:AbbasAli</t>
  </si>
  <si>
    <t>3520298918887</t>
  </si>
  <si>
    <t>974924-938-2015</t>
  </si>
  <si>
    <t>KHI/HO/D/MO/PC COMP/C/76694/234/10/2023</t>
  </si>
  <si>
    <t>BUV-719</t>
  </si>
  <si>
    <t>Q081830</t>
  </si>
  <si>
    <t>ZRE171R-6059274</t>
  </si>
  <si>
    <t>M/S.Bankislami(Pakistan)Limited
User:SalmanSaeedLodhi</t>
  </si>
  <si>
    <t>4210178632813</t>
  </si>
  <si>
    <t>553742-293-1148</t>
  </si>
  <si>
    <t>KHI/HO/D/MO/PC COMP/C/76694/235/10/2023</t>
  </si>
  <si>
    <t>BQA-375</t>
  </si>
  <si>
    <t>L13Z1-7515664</t>
  </si>
  <si>
    <t>NFBGM1643JR230089</t>
  </si>
  <si>
    <t>M/S.Bankislami(Pakistan)Limited
User:MohammadHaseebMaso</t>
  </si>
  <si>
    <t>9150601220705</t>
  </si>
  <si>
    <t>893094-81-1147</t>
  </si>
  <si>
    <t>KHI/HO/D/MO/PC COMP/C/76694/237/10/2023</t>
  </si>
  <si>
    <t>AFH-472</t>
  </si>
  <si>
    <t>2A38645</t>
  </si>
  <si>
    <t>NSP150R-7024205</t>
  </si>
  <si>
    <t>M/S.Bankislami(Pakistan)Limited
User:BilalRiaz</t>
  </si>
  <si>
    <t>3520284012779</t>
  </si>
  <si>
    <t>994442-2762-2002</t>
  </si>
  <si>
    <t>KHI/HO/D/MO/PC COMP/C/76694/239/10/2023</t>
  </si>
  <si>
    <t>BUW-278</t>
  </si>
  <si>
    <t>6R188693</t>
  </si>
  <si>
    <t>NF1AET306H1088725</t>
  </si>
  <si>
    <t>M/S.Bankislami(Pakistan)Limited
User:AhmedJawadSaquib</t>
  </si>
  <si>
    <t>4220110264135</t>
  </si>
  <si>
    <t>980327-152-1032</t>
  </si>
  <si>
    <t>KHI/HO/D/MO/PC COMP/C/76694/240/10/2023</t>
  </si>
  <si>
    <t>BUV-942</t>
  </si>
  <si>
    <t>Q352940</t>
  </si>
  <si>
    <t>ZRE172R-7052110</t>
  </si>
  <si>
    <t>M/S.Bankislami(Pakistan)Limited
User:RajeshKumar</t>
  </si>
  <si>
    <t>4150703431427</t>
  </si>
  <si>
    <t>656296-11-1165</t>
  </si>
  <si>
    <t>KHI/HO/D/MO/PC COMP/C/76694/241/10/2023</t>
  </si>
  <si>
    <t>SUZUKI WAGON-R VXR</t>
  </si>
  <si>
    <t>LEH-18-1662</t>
  </si>
  <si>
    <t>PK10B162386</t>
  </si>
  <si>
    <t>A1J310PK10062375</t>
  </si>
  <si>
    <t>M/S.Bankislami(Pakistan)Limited
User:SaniaMqsood</t>
  </si>
  <si>
    <t>3520219388212</t>
  </si>
  <si>
    <t>3614360-2781-2002</t>
  </si>
  <si>
    <t>KHI/HO/D/MO/PC COMP/C/76694/245/10/2023</t>
  </si>
  <si>
    <t>TOYOTA FORTUNER A/T 2.7L VVTI ECT</t>
  </si>
  <si>
    <t>BJ-7152</t>
  </si>
  <si>
    <t>2TRA887274</t>
  </si>
  <si>
    <t>TGN166R-0893615</t>
  </si>
  <si>
    <t>M/S.Bankislami(Pakistan)Limited
User:Zia</t>
  </si>
  <si>
    <t>4220197843771</t>
  </si>
  <si>
    <t>869977-2445-1106</t>
  </si>
  <si>
    <t>KHI/HO/D/MO/PC COMP/C/76694/246/10/2023</t>
  </si>
  <si>
    <t>BNT-638</t>
  </si>
  <si>
    <t>J257794</t>
  </si>
  <si>
    <t>1330269</t>
  </si>
  <si>
    <t>M/S.Bankislami(Pakistan)Limited
User:Rehana</t>
  </si>
  <si>
    <t>4210198297632</t>
  </si>
  <si>
    <t>392435-74-1035</t>
  </si>
  <si>
    <t>KHI/HO/D/MO/PC COMP/C/76694/248/10/2023</t>
  </si>
  <si>
    <t>MITSUBISHI MIRAGE</t>
  </si>
  <si>
    <t>ADS-814</t>
  </si>
  <si>
    <t>9057</t>
  </si>
  <si>
    <t>30732</t>
  </si>
  <si>
    <t>M/S.Bankislami(Pakistan)Limited
User:AbdusSaleemKhan</t>
  </si>
  <si>
    <t>1220118784379</t>
  </si>
  <si>
    <t>632767-42-3049</t>
  </si>
  <si>
    <t>KHI/HO/D/MO/PC COMP/C/76694/25/10/2023</t>
  </si>
  <si>
    <t>BXT-819</t>
  </si>
  <si>
    <t>6R251873</t>
  </si>
  <si>
    <t>NF1AET306H1151879</t>
  </si>
  <si>
    <t>M/S.Bankislami(Pakistan)Limited
UserMr.BasitNaeem</t>
  </si>
  <si>
    <t>3520253314995</t>
  </si>
  <si>
    <t>3704899-14-1186</t>
  </si>
  <si>
    <t>KHI/HO/D/MO/PC COMP/C/76694/251/10/2023</t>
  </si>
  <si>
    <t>ALC-355</t>
  </si>
  <si>
    <t>R-06A</t>
  </si>
  <si>
    <t>177000</t>
  </si>
  <si>
    <t>M/S.Bankislami(Pakistan)Limited
User:WaqarAhmed</t>
  </si>
  <si>
    <t>1330283770081</t>
  </si>
  <si>
    <t>425854-206-3054</t>
  </si>
  <si>
    <t>KHI/HO/D/MO/PC COMP/C/76694/254/10/2023</t>
  </si>
  <si>
    <t>AFK-244</t>
  </si>
  <si>
    <t>2A39106</t>
  </si>
  <si>
    <t>NSP151R-9514563</t>
  </si>
  <si>
    <t>M/S.Bankislami(Pakistan)Limited
User:MuhammadFiazAhmad</t>
  </si>
  <si>
    <t>3110142123881</t>
  </si>
  <si>
    <t>863993-8-2131</t>
  </si>
  <si>
    <t>KHI/HO/D/MO/PC COMP/C/76694/256/10/2023</t>
  </si>
  <si>
    <t>AFK-562</t>
  </si>
  <si>
    <t>PK10B221184</t>
  </si>
  <si>
    <t>A1J310PK10121198</t>
  </si>
  <si>
    <t>M/S.Bankislami(Pakistan)Limited
User:AsimIqbal</t>
  </si>
  <si>
    <t>3520258857181</t>
  </si>
  <si>
    <t>3618120-2767-2002</t>
  </si>
  <si>
    <t>KHI/HO/D/MO/PC COMP/C/76694/257/10/2023</t>
  </si>
  <si>
    <t>AFK-130</t>
  </si>
  <si>
    <t>6R150845</t>
  </si>
  <si>
    <t>NF1AET306H1050833</t>
  </si>
  <si>
    <t>M/S.Bankislami(Pakistan)Limited
User:UmairYaqoob</t>
  </si>
  <si>
    <t>3520258389717</t>
  </si>
  <si>
    <t>568611-58-2099</t>
  </si>
  <si>
    <t>KHI/HO/D/MO/PC COMP/C/76694/258/10/2023</t>
  </si>
  <si>
    <t>AFA-665</t>
  </si>
  <si>
    <t>2A37121</t>
  </si>
  <si>
    <t>NSP151R-9513813</t>
  </si>
  <si>
    <t>M/S.Bankislami(Pakistan)Limited
User:MuhammadShahzadSaleem</t>
  </si>
  <si>
    <t>5440093703677</t>
  </si>
  <si>
    <t>954894-147-2027</t>
  </si>
  <si>
    <t>KHI/HO/D/MO/PC COMP/C/76694/26/10/2023</t>
  </si>
  <si>
    <t>BXT-825</t>
  </si>
  <si>
    <t>6R252297</t>
  </si>
  <si>
    <t>NF1AET306H1152306</t>
  </si>
  <si>
    <t>M/S.Bankislami(Pakistan)Limited
UserMr.SaifUllah</t>
  </si>
  <si>
    <t>4240177571049</t>
  </si>
  <si>
    <t>3703841-1038-1132</t>
  </si>
  <si>
    <t>KHI/HO/D/MO/PC COMP/C/76694/262/10/2023</t>
  </si>
  <si>
    <t>PROTON PREMIUM 2WD</t>
  </si>
  <si>
    <t>BJ-7616</t>
  </si>
  <si>
    <t>3G15TDM3UA3101424</t>
  </si>
  <si>
    <t>FL1NL2EVRMG028174</t>
  </si>
  <si>
    <t>3840142439281</t>
  </si>
  <si>
    <t>680205-471-1161</t>
  </si>
  <si>
    <t>KHI/HO/D/MO/PC COMP/C/76694/263/10/2023</t>
  </si>
  <si>
    <t>AFK-912</t>
  </si>
  <si>
    <t>L12B51002279</t>
  </si>
  <si>
    <t>NFBGN8621MR003007</t>
  </si>
  <si>
    <t>M/S.Bankislami(Pakistan)Limited
User:HabibUllah</t>
  </si>
  <si>
    <t>3660128220823</t>
  </si>
  <si>
    <t>827270-36-2109</t>
  </si>
  <si>
    <t>KHI/HO/D/MO/PC COMP/C/76694/264/10/2023</t>
  </si>
  <si>
    <t>SUZUKI CULTUS VXL AGS EURO II</t>
  </si>
  <si>
    <t>BUW-853</t>
  </si>
  <si>
    <t>PK10K187423</t>
  </si>
  <si>
    <t>NF1AVK31H10087419</t>
  </si>
  <si>
    <t>M/S.Bankislami(Pakistan)Limited
User:MuhammadFaizanRehan</t>
  </si>
  <si>
    <t>4220162628025</t>
  </si>
  <si>
    <t>960333-858-1132</t>
  </si>
  <si>
    <t>KHI/HO/D/MO/PC COMP/C/76694/265/10/2023</t>
  </si>
  <si>
    <t>BUW-852</t>
  </si>
  <si>
    <t>R18Z16926940</t>
  </si>
  <si>
    <t>NFBFC666MR079525</t>
  </si>
  <si>
    <t>M/S.Bankislami(Pakistan)Limited
User:AbdulWadood</t>
  </si>
  <si>
    <t>5530266945335</t>
  </si>
  <si>
    <t>607933-6-1175</t>
  </si>
  <si>
    <t>KHI/HO/D/MO/PC COMP/C/76694/267/10/2023</t>
  </si>
  <si>
    <t>BUW-869</t>
  </si>
  <si>
    <t>Q353265</t>
  </si>
  <si>
    <t>ZRE172R-7052331</t>
  </si>
  <si>
    <t>M/S.Bankislami(Pakistan)Limited
User:SumairaAmeen</t>
  </si>
  <si>
    <t>4210103842738</t>
  </si>
  <si>
    <t>654869-118-1077</t>
  </si>
  <si>
    <t>KHI/HO/D/MO/PC COMP/C/76694/268/10/2023</t>
  </si>
  <si>
    <t>AFC-805</t>
  </si>
  <si>
    <t>2A35874</t>
  </si>
  <si>
    <t>NSP150R-7022447</t>
  </si>
  <si>
    <t>M/S.Bankislami(Pakistan)Limited
User:RanaMehboobDanish</t>
  </si>
  <si>
    <t>3660116013553</t>
  </si>
  <si>
    <t>656925-83-2017</t>
  </si>
  <si>
    <t>KHI/HO/D/MO/PC COMP/C/76694/269/10/2023</t>
  </si>
  <si>
    <t>CHANGAN KARVAAN VAN</t>
  </si>
  <si>
    <t>CZ-5308</t>
  </si>
  <si>
    <t>JL466Q9M69U505987</t>
  </si>
  <si>
    <t>NKMAABJD1M1010038</t>
  </si>
  <si>
    <t>M/S.Bankislami(Pakistan)Limited
User:MuhammadNawaz</t>
  </si>
  <si>
    <t>4230110997673</t>
  </si>
  <si>
    <t>1353932-861-1132</t>
  </si>
  <si>
    <t>KHI/HO/D/MO/PC COMP/C/76694/27/10/2023</t>
  </si>
  <si>
    <t>BXT-931</t>
  </si>
  <si>
    <t>6R252582</t>
  </si>
  <si>
    <t>NF1AET306H1152560</t>
  </si>
  <si>
    <t>M/S.Bankislami(Pakistan)Limited
UserMr.AliBuxChandio</t>
  </si>
  <si>
    <t>4120315388713</t>
  </si>
  <si>
    <t>3649085-32-1122</t>
  </si>
  <si>
    <t>KHI/HO/D/MO/PC COMP/C/76694/271/10/2023</t>
  </si>
  <si>
    <t>AFK-607</t>
  </si>
  <si>
    <t>G4NAMH318855</t>
  </si>
  <si>
    <t>NNAQL51AZKP307470</t>
  </si>
  <si>
    <t>M/S.Bankislami(Pakistan)Limited
User:MajidBashirRath</t>
  </si>
  <si>
    <t>3520280313763</t>
  </si>
  <si>
    <t>3601593-2768-2002</t>
  </si>
  <si>
    <t>KHI/HO/D/MO/PC COMP/C/76694/272/10/2023</t>
  </si>
  <si>
    <t>SUZUKI BOLAN STD VX EURO II</t>
  </si>
  <si>
    <t>AHY-318</t>
  </si>
  <si>
    <t>975838</t>
  </si>
  <si>
    <t>1092339</t>
  </si>
  <si>
    <t>M/S.Bankislami(Pakistan)Limited
User:MuhammadFarooq</t>
  </si>
  <si>
    <t>1610141888123</t>
  </si>
  <si>
    <t>3627594-59-3034</t>
  </si>
  <si>
    <t>KHI/HO/D/MO/PC COMP/C/76694/273/10/2023</t>
  </si>
  <si>
    <t>LEB-16-8925</t>
  </si>
  <si>
    <t>R18Z214046120</t>
  </si>
  <si>
    <t>NFBFB266XFR129826</t>
  </si>
  <si>
    <t>M/S.Bankislami(Pakistan)Limited
User:MuhammadFaridAhmed</t>
  </si>
  <si>
    <t>3520154011499</t>
  </si>
  <si>
    <t>3610239-2788-2002</t>
  </si>
  <si>
    <t>KHI/HO/D/MO/PC COMP/C/76694/276/10/2023</t>
  </si>
  <si>
    <t>TOYOTA COROLLA GLI M/T 1.3</t>
  </si>
  <si>
    <t>BED-061</t>
  </si>
  <si>
    <t>Z298561</t>
  </si>
  <si>
    <t>NZE170R-4044956</t>
  </si>
  <si>
    <t>M/S.Bankislami(Pakistan)Limited
User:MuhammadShahidHussain</t>
  </si>
  <si>
    <t>4250179431391</t>
  </si>
  <si>
    <t>106886-7913-1003</t>
  </si>
  <si>
    <t>KHI/HO/D/MO/PC COMP/C/76694/277/10/2023</t>
  </si>
  <si>
    <t>AFL-955</t>
  </si>
  <si>
    <t>R18Z16926894</t>
  </si>
  <si>
    <t>NFBFC666XMR079477</t>
  </si>
  <si>
    <t>M/S.Bankislami(Pakistan)Limited
User:BilalAhmad</t>
  </si>
  <si>
    <t>3520227523661</t>
  </si>
  <si>
    <t>1415617-310-2048</t>
  </si>
  <si>
    <t>KHI/HO/D/MO/PC COMP/C/76694/278/10/2023</t>
  </si>
  <si>
    <t>AFK-797</t>
  </si>
  <si>
    <t>6R188116</t>
  </si>
  <si>
    <t>NF1AET306H1088159</t>
  </si>
  <si>
    <t>M/S.Bankislami(Pakistan)Limited
User:MuhammadNoorSamand</t>
  </si>
  <si>
    <t>3510113307815</t>
  </si>
  <si>
    <t>773800-140-2054</t>
  </si>
  <si>
    <t>KHI/HO/D/MO/PC COMP/C/76694/28/10/2023</t>
  </si>
  <si>
    <t>BXU-117</t>
  </si>
  <si>
    <t>6R252620</t>
  </si>
  <si>
    <t>NF1AET306H1152628</t>
  </si>
  <si>
    <t>M/S.Bankislami(Pakistan)Limited
UserMs.ShaziaShahnaz</t>
  </si>
  <si>
    <t>4210165959912</t>
  </si>
  <si>
    <t>745029-101-1099</t>
  </si>
  <si>
    <t>KHI/HO/D/MO/PC COMP/C/76694/280/10/2023</t>
  </si>
  <si>
    <t>HONDA CITY 1.2 LS MT</t>
  </si>
  <si>
    <t>AFL-405</t>
  </si>
  <si>
    <t>L12B51003850</t>
  </si>
  <si>
    <t>NFBGN8626MR005061</t>
  </si>
  <si>
    <t>M/S.Bankislami(Pakistan)Limited
User:RanaBalawal</t>
  </si>
  <si>
    <t>3520204160719</t>
  </si>
  <si>
    <t>3608330-2773-2002</t>
  </si>
  <si>
    <t>KHI/HO/D/MO/PC COMP/C/76694/283/10/2023</t>
  </si>
  <si>
    <t>AFK-944</t>
  </si>
  <si>
    <t>PK10B220969</t>
  </si>
  <si>
    <t>A1J310PK10120929</t>
  </si>
  <si>
    <t>M/S.Bankislami(Pakistan)Limited
User:RanaKashifGhazanfa</t>
  </si>
  <si>
    <t>3520187479061</t>
  </si>
  <si>
    <t>3616023-2776-2002</t>
  </si>
  <si>
    <t>KHI/HO/D/MO/PC COMP/C/76694/285/10/2023</t>
  </si>
  <si>
    <t>KIA SORENTO 2.4 L AWD</t>
  </si>
  <si>
    <t>AFL-158</t>
  </si>
  <si>
    <t>G4KEMH626952</t>
  </si>
  <si>
    <t>NNAUM53AZMP300378</t>
  </si>
  <si>
    <t>M/S.Bankislami(Pakistan)Limited
User:AhsanRiazKhan</t>
  </si>
  <si>
    <t>3520227323769</t>
  </si>
  <si>
    <t>3614415-227-2070</t>
  </si>
  <si>
    <t>KHI/HO/D/MO/PC COMP/C/76694/286/10/2023</t>
  </si>
  <si>
    <t>AFL-460</t>
  </si>
  <si>
    <t>L12B51000984</t>
  </si>
  <si>
    <t>NFBGN8628MR001397</t>
  </si>
  <si>
    <t>M/S.Bankislami(Pakistan)Limited
User:MuhammadYasin</t>
  </si>
  <si>
    <t>3630295472527</t>
  </si>
  <si>
    <t>3630731-800-2053</t>
  </si>
  <si>
    <t>KHI/HO/D/MO/PC COMP/C/76694/287/10/2023</t>
  </si>
  <si>
    <t>AFB-881</t>
  </si>
  <si>
    <t>PK10B221584</t>
  </si>
  <si>
    <t>A1J310PK10121610</t>
  </si>
  <si>
    <t>M/S.Bankislami(Pakistan)Limited
User:MuhammadZakaria</t>
  </si>
  <si>
    <t>3120113727013</t>
  </si>
  <si>
    <t>959265-8-2132</t>
  </si>
  <si>
    <t>KHI/HO/D/MO/PC COMP/C/76694/288/10/2023</t>
  </si>
  <si>
    <t>AFL-521</t>
  </si>
  <si>
    <t>L12B51002707</t>
  </si>
  <si>
    <t>NFBGN8528MR003734</t>
  </si>
  <si>
    <t>M/S.Bankislami(Pakistan)Limited
User:MuhammadAshraf</t>
  </si>
  <si>
    <t>3510253156989</t>
  </si>
  <si>
    <t>998035-2783-2002</t>
  </si>
  <si>
    <t>KHI/HO/D/MO/PC COMP/C/76694/289/10/2023</t>
  </si>
  <si>
    <t>AFM-634</t>
  </si>
  <si>
    <t>JL473QFM3CAD518277</t>
  </si>
  <si>
    <t>NKMA2ASE5M1003727</t>
  </si>
  <si>
    <t>M/S.Bankislami(Pakistan)Limited
User:RizwanAbbas</t>
  </si>
  <si>
    <t>3520206309415</t>
  </si>
  <si>
    <t>991133-2779-2002</t>
  </si>
  <si>
    <t>KHI/HO/D/MO/PC COMP/C/76694/29/10/2023</t>
  </si>
  <si>
    <t>TOYOTA Yaris ATIV X 1.5 (CVT)</t>
  </si>
  <si>
    <t>BSU-099</t>
  </si>
  <si>
    <t>2A08860</t>
  </si>
  <si>
    <t>NSP150R-9503725</t>
  </si>
  <si>
    <t>M/S.Bankislami(Pakistan)Limited
UserMr.HammadIsmail</t>
  </si>
  <si>
    <t>4220139078823</t>
  </si>
  <si>
    <t>998201-32-1177</t>
  </si>
  <si>
    <t>KHI/HO/D/MO/PC COMP/C/76694/290/10/2023</t>
  </si>
  <si>
    <t>SUZUKI VXL AGS EURO II</t>
  </si>
  <si>
    <t>AEA-855</t>
  </si>
  <si>
    <t>PK10B217038</t>
  </si>
  <si>
    <t>A1J310PK10117014</t>
  </si>
  <si>
    <t>M/S.Bankislami(Pakistan)Limited
User:MuhammadAbid</t>
  </si>
  <si>
    <t>3460344265407</t>
  </si>
  <si>
    <t>3614441-97-2100</t>
  </si>
  <si>
    <t>KHI/HO/D/MO/PC COMP/C/76694/291/10/2023</t>
  </si>
  <si>
    <t>AUC-662</t>
  </si>
  <si>
    <t>2A30073</t>
  </si>
  <si>
    <t>NSP150R-7018473</t>
  </si>
  <si>
    <t>M/S.Bankislami(Pakistan)Limited
User:SheikhDanyalJaved</t>
  </si>
  <si>
    <t>3520293494447</t>
  </si>
  <si>
    <t>3630736-2793-2002</t>
  </si>
  <si>
    <t>KHI/HO/D/MO/PC COMP/C/76694/292/10/2023</t>
  </si>
  <si>
    <t>BUX-510</t>
  </si>
  <si>
    <t>L12B51003674</t>
  </si>
  <si>
    <t>NFBGN8620MR004696</t>
  </si>
  <si>
    <t>M/S.Bankislami(Pakistan)Limited
User:MalikZahidMasood</t>
  </si>
  <si>
    <t>4220165913261</t>
  </si>
  <si>
    <t>451540-81-1164</t>
  </si>
  <si>
    <t>KHI/HO/D/MO/PC COMP/C/76694/293/10/2023</t>
  </si>
  <si>
    <t>BSC-149</t>
  </si>
  <si>
    <t>G3LALP-044552</t>
  </si>
  <si>
    <t>NNATA52AZ-KP702559</t>
  </si>
  <si>
    <t>M/S.Bankislami(Pakistan)Limited
User:JunaidIqbal</t>
  </si>
  <si>
    <t>1330289380335</t>
  </si>
  <si>
    <t>3622724-187-1004</t>
  </si>
  <si>
    <t>KHI/HO/D/MO/PC COMP/C/76694/294/10/2023</t>
  </si>
  <si>
    <t>AFM-623</t>
  </si>
  <si>
    <t>6R187397</t>
  </si>
  <si>
    <t>NF1AET306H1087403</t>
  </si>
  <si>
    <t>M/S.Bankislami(Pakistan)Limited
User:MunazaAbbas</t>
  </si>
  <si>
    <t>3520256701232</t>
  </si>
  <si>
    <t>3615564-597-2011</t>
  </si>
  <si>
    <t>KHI/HO/D/MO/PC COMP/C/76694/295/10/2023</t>
  </si>
  <si>
    <t>HONDA CIVIC VTI ORIEL I-VTEC</t>
  </si>
  <si>
    <t>AVF-915</t>
  </si>
  <si>
    <t>16926719</t>
  </si>
  <si>
    <t>79264</t>
  </si>
  <si>
    <t>M/S.Bankislami(Pakistan)Limited
User:MadeehaHasan</t>
  </si>
  <si>
    <t>3740694309716</t>
  </si>
  <si>
    <t>546794-70-3049</t>
  </si>
  <si>
    <t>KHI/HO/D/MO/PC COMP/C/76694/297/10/2023</t>
  </si>
  <si>
    <t>ARV-56</t>
  </si>
  <si>
    <t>G4NALH316453</t>
  </si>
  <si>
    <t>NNAQL51AZKP303113</t>
  </si>
  <si>
    <t>M/S.Bankislami(Pakistan)Limited
User:AhmedAli</t>
  </si>
  <si>
    <t>3460356263351</t>
  </si>
  <si>
    <t>3600878-101-2100</t>
  </si>
  <si>
    <t>KHI/HO/D/MO/PC COMP/C/76694/30/10/2023</t>
  </si>
  <si>
    <t>BTN-682</t>
  </si>
  <si>
    <t>6R153464</t>
  </si>
  <si>
    <t>NF1AET306H1053468</t>
  </si>
  <si>
    <t>M/S.Bankislami(Pakistan)Limited
UserMr.MuhammadZaighamAmjad</t>
  </si>
  <si>
    <t>4220133977811</t>
  </si>
  <si>
    <t>851159-15-1186</t>
  </si>
  <si>
    <t>KHI/HO/D/MO/PC COMP/C/76694/300/10/2023</t>
  </si>
  <si>
    <t>BGE-159</t>
  </si>
  <si>
    <t>Z454602</t>
  </si>
  <si>
    <t>NZE170R-4083758</t>
  </si>
  <si>
    <t>M/S.Bankislami(Pakistan)Limited
User:Ramoon</t>
  </si>
  <si>
    <t>4110477552933</t>
  </si>
  <si>
    <t>990448-87-1147</t>
  </si>
  <si>
    <t>KHI/HO/D/MO/PC COMP/C/76694/301/10/2023</t>
  </si>
  <si>
    <t>BUX-756</t>
  </si>
  <si>
    <t>6R191153</t>
  </si>
  <si>
    <t>NF1AET306H1091155</t>
  </si>
  <si>
    <t>M/S.Bankislami(Pakistan)Limited
User:AfaqAhmed</t>
  </si>
  <si>
    <t>4220194614467</t>
  </si>
  <si>
    <t>130359-46-1054</t>
  </si>
  <si>
    <t>KHI/HO/D/MO/PC COMP/C/76694/302/10/2023</t>
  </si>
  <si>
    <t>TOYOTA YARIS ATIV X 1.5 A T</t>
  </si>
  <si>
    <t>AFM-548</t>
  </si>
  <si>
    <t>2A39422</t>
  </si>
  <si>
    <t>NSP151R-9514613</t>
  </si>
  <si>
    <t>M/S.Bankislami(Pakistan)Limited
User:MuhammadYahya</t>
  </si>
  <si>
    <t>3510286069237</t>
  </si>
  <si>
    <t>975785-117-2091</t>
  </si>
  <si>
    <t>KHI/HO/D/MO/PC COMP/C/76694/303/10/2023</t>
  </si>
  <si>
    <t>FAW V-2</t>
  </si>
  <si>
    <t>BHY-806</t>
  </si>
  <si>
    <t>HG-300357</t>
  </si>
  <si>
    <t>LFP72APC6-G5A11986</t>
  </si>
  <si>
    <t>M/S.Bankislami(Pakistan)Limited
User:TajwarSaeed</t>
  </si>
  <si>
    <t>4210115011550</t>
  </si>
  <si>
    <t>473009-86-1147</t>
  </si>
  <si>
    <t>KHI/HO/D/MO/PC COMP/C/76694/304/10/2023</t>
  </si>
  <si>
    <t>SUZUKI ALTO VXR EURO II AGS</t>
  </si>
  <si>
    <t>AFM-590</t>
  </si>
  <si>
    <t>6R162728</t>
  </si>
  <si>
    <t>NF1AET3061062682</t>
  </si>
  <si>
    <t>M/S.Bankislami(Pakistan)Limited
User:NaveedIqbal</t>
  </si>
  <si>
    <t>3410125021015</t>
  </si>
  <si>
    <t>3609409-79-3082</t>
  </si>
  <si>
    <t>KHI/HO/D/MO/PC COMP/C/76694/305/10/2023</t>
  </si>
  <si>
    <t>AFS-287</t>
  </si>
  <si>
    <t>PK10B141801</t>
  </si>
  <si>
    <t>A1J310PK10041795</t>
  </si>
  <si>
    <t>M/S.Bankislami(Pakistan)Limited
User:MuhammadKamranShah</t>
  </si>
  <si>
    <t>3520238554753</t>
  </si>
  <si>
    <t>3619668-2764-2002</t>
  </si>
  <si>
    <t>KHI/HO/D/MO/PC COMP/C/76694/306/10/2023</t>
  </si>
  <si>
    <t>AVD-928</t>
  </si>
  <si>
    <t>185635</t>
  </si>
  <si>
    <t>1085668</t>
  </si>
  <si>
    <t>M/S.Bankislami(Pakistan)Limited
User:AhsanSadiqButt</t>
  </si>
  <si>
    <t>3740525213887</t>
  </si>
  <si>
    <t>774888-540-3018</t>
  </si>
  <si>
    <t>KHI/HO/D/MO/PC COMP/C/76694/308/10/2023</t>
  </si>
  <si>
    <t>AFC-840</t>
  </si>
  <si>
    <t>PK10K186379</t>
  </si>
  <si>
    <t>NF1AVK31H10086378</t>
  </si>
  <si>
    <t>M/S.Bankislami(Pakistan)Limited
User:IrfanAliAfzal</t>
  </si>
  <si>
    <t>3660375199537</t>
  </si>
  <si>
    <t>966377-38-2109</t>
  </si>
  <si>
    <t>KHI/HO/D/MO/PC COMP/C/76694/309/10/2023</t>
  </si>
  <si>
    <t>AVD-936</t>
  </si>
  <si>
    <t>186295</t>
  </si>
  <si>
    <t>1086231</t>
  </si>
  <si>
    <t>M/S.Bankislami(Pakistan)Limited
User:MudassarHussain</t>
  </si>
  <si>
    <t>3740578671173</t>
  </si>
  <si>
    <t>968953-22-3047</t>
  </si>
  <si>
    <t>KHI/HO/D/MO/PC COMP/C/76694/31/10/2023</t>
  </si>
  <si>
    <t>TOYOTA HILUX 4X2 S/CABIN</t>
  </si>
  <si>
    <t>LA-3060</t>
  </si>
  <si>
    <t>1GD-5007832</t>
  </si>
  <si>
    <t>GUN126R-5546766</t>
  </si>
  <si>
    <t>AL-IMRAN ENTERPRISES</t>
  </si>
  <si>
    <t>5420156675957</t>
  </si>
  <si>
    <t>99718-395-1148</t>
  </si>
  <si>
    <t>KHI/HO/D/MO/PC COMP/C/76694/311/10/2023</t>
  </si>
  <si>
    <t>AFC-788</t>
  </si>
  <si>
    <t>2A37736</t>
  </si>
  <si>
    <t>NSP151R-9513989</t>
  </si>
  <si>
    <t>M/S.Bankislami(Pakistan)Limited
User:AltafAhmad</t>
  </si>
  <si>
    <t>3660115745917</t>
  </si>
  <si>
    <t>920210-34-2109</t>
  </si>
  <si>
    <t>KHI/HO/D/MO/PC COMP/C/76694/313/10/2023</t>
  </si>
  <si>
    <t>AVF-738</t>
  </si>
  <si>
    <t>6R183730</t>
  </si>
  <si>
    <t>NF1AET306H1083695</t>
  </si>
  <si>
    <t>M/S.Bankislami(Pakistan)Limited
User:MuhammadJunaidAshraf</t>
  </si>
  <si>
    <t>3720198663833</t>
  </si>
  <si>
    <t>970577-150-2021</t>
  </si>
  <si>
    <t>KHI/HO/D/MO/PC COMP/C/76694/314/10/2023</t>
  </si>
  <si>
    <t>AVF-321</t>
  </si>
  <si>
    <t>6R186081</t>
  </si>
  <si>
    <t>NF1AET306H1086103</t>
  </si>
  <si>
    <t>M/S.Bankislami(Pakistan)Limited
User:ImranLatifKhan</t>
  </si>
  <si>
    <t>3740581344013</t>
  </si>
  <si>
    <t>979235-849-1132</t>
  </si>
  <si>
    <t>KHI/HO/D/MO/PC COMP/C/76694/315/10/2023</t>
  </si>
  <si>
    <t>BUS-834</t>
  </si>
  <si>
    <t>6R186727</t>
  </si>
  <si>
    <t>NF1AET306H1086723</t>
  </si>
  <si>
    <t>M/S.Bankislami(Pakistan)Limited
User:MuhammadTalha</t>
  </si>
  <si>
    <t>4130678468779</t>
  </si>
  <si>
    <t>968227-8629-1003</t>
  </si>
  <si>
    <t>KHI/HO/D/MO/PC COMP/C/76694/316/10/2023</t>
  </si>
  <si>
    <t>CZ-4862</t>
  </si>
  <si>
    <t>JL466Q9M69U501772</t>
  </si>
  <si>
    <t>NKMAAB3D1M1009071</t>
  </si>
  <si>
    <t>M/S.Bankislami(Pakistan)Limited
User:MuhammadImran</t>
  </si>
  <si>
    <t>4220105849635</t>
  </si>
  <si>
    <t>959583-852-1132</t>
  </si>
  <si>
    <t>KHI/HO/D/MO/PC COMP/C/76694/317/10/2023</t>
  </si>
  <si>
    <t>BUS-958</t>
  </si>
  <si>
    <t>R18Z16926117</t>
  </si>
  <si>
    <t>NFBFC6666MR078651</t>
  </si>
  <si>
    <t>M/S.Bankislami(Pakistan)Limited
User:MuhammadAsgharKhan</t>
  </si>
  <si>
    <t>5430271107345</t>
  </si>
  <si>
    <t>790501-43-1054</t>
  </si>
  <si>
    <t>KHI/HO/D/MO/PC COMP/C/76694/318/10/2023</t>
  </si>
  <si>
    <t>BUS-831</t>
  </si>
  <si>
    <t>L12B51002126</t>
  </si>
  <si>
    <t>NFBGN8520MR002853</t>
  </si>
  <si>
    <t>M/S.Bankislami(Pakistan)Limited
User:MuhammadShoaibMughal</t>
  </si>
  <si>
    <t>4210108940127</t>
  </si>
  <si>
    <t>957242-134-1082</t>
  </si>
  <si>
    <t>KHI/HO/D/MO/PC COMP/C/76694/32/10/2023</t>
  </si>
  <si>
    <t>FAW FAW XPV</t>
  </si>
  <si>
    <t>AFJ-990</t>
  </si>
  <si>
    <t>0500606-J2</t>
  </si>
  <si>
    <t>AHFMVE121PD000875</t>
  </si>
  <si>
    <t>M/S.Bankislami(Pakistan)Limited
User:AbubakarSiddique</t>
  </si>
  <si>
    <t>3520234348387</t>
  </si>
  <si>
    <t>834338-81-2111</t>
  </si>
  <si>
    <t>KHI/HO/D/MO/PC COMP/C/76694/321/10/2023</t>
  </si>
  <si>
    <t>AFC-803</t>
  </si>
  <si>
    <t>Q079486</t>
  </si>
  <si>
    <t>ZRE171R-6056949</t>
  </si>
  <si>
    <t>M/S.Bankislami(Pakistan)Limited
User:MuhammadZiaUlHaq</t>
  </si>
  <si>
    <t>3450289676285</t>
  </si>
  <si>
    <t>339134-98-2043</t>
  </si>
  <si>
    <t>KHI/HO/D/MO/PC COMP/C/76694/322/10/2023</t>
  </si>
  <si>
    <t>BUT-042</t>
  </si>
  <si>
    <t>2A38030</t>
  </si>
  <si>
    <t>NSP150R-7023906</t>
  </si>
  <si>
    <t>M/S.Bankislami(Pakistan)Limited
User:MuhammadAhsanZafar</t>
  </si>
  <si>
    <t>4210169160671</t>
  </si>
  <si>
    <t>983973-148-1149</t>
  </si>
  <si>
    <t>KHI/HO/D/MO/PC COMP/C/76694/323/10/2023</t>
  </si>
  <si>
    <t>KIA PICANTO 1.0L M/T</t>
  </si>
  <si>
    <t>AVF-902</t>
  </si>
  <si>
    <t>150557</t>
  </si>
  <si>
    <t>502460</t>
  </si>
  <si>
    <t>M/S.Bankislami(Pakistan)Limited
User:AtifAli</t>
  </si>
  <si>
    <t>3720114060603</t>
  </si>
  <si>
    <t>792785-117-3022</t>
  </si>
  <si>
    <t>KHI/HO/D/MO/PC COMP/C/76694/326/10/2023</t>
  </si>
  <si>
    <t>AFB-487</t>
  </si>
  <si>
    <t>2A38123</t>
  </si>
  <si>
    <t>NSP151R-9514094</t>
  </si>
  <si>
    <t>3610441330025</t>
  </si>
  <si>
    <t>551498-56-2023</t>
  </si>
  <si>
    <t>KHI/HO/D/MO/PC COMP/C/76694/329/10/2023</t>
  </si>
  <si>
    <t>MG HS MG HS TURBO</t>
  </si>
  <si>
    <t>BJ-7168</t>
  </si>
  <si>
    <t>5MGM6170135</t>
  </si>
  <si>
    <t>MN107761</t>
  </si>
  <si>
    <t>M/S.Bankislami(Pakistan)Limited
User:MalikMuhammadAshfa</t>
  </si>
  <si>
    <t>4230182061425</t>
  </si>
  <si>
    <t>871560-2446-1106</t>
  </si>
  <si>
    <t>KHI/HO/D/MO/PC COMP/C/76694/33/10/2023</t>
  </si>
  <si>
    <t>AMF 109</t>
  </si>
  <si>
    <t>6R252457</t>
  </si>
  <si>
    <t>NF1AET306H1152461</t>
  </si>
  <si>
    <t>M/S.Bankislami(Pakistan)Limited
UserMr.MuhammadJavaid</t>
  </si>
  <si>
    <t>3520153766945</t>
  </si>
  <si>
    <t>1396808-54-2041</t>
  </si>
  <si>
    <t>KHI/HO/D/MO/PC COMP/C/76694/330/10/2023</t>
  </si>
  <si>
    <t>AFC-986</t>
  </si>
  <si>
    <t>Q079735</t>
  </si>
  <si>
    <t>ZRE171R-6057238</t>
  </si>
  <si>
    <t>M/S.Bankislami(Pakistan)Limited
User:CyrusIshaq</t>
  </si>
  <si>
    <t>3520214078463</t>
  </si>
  <si>
    <t>936860-290-2003</t>
  </si>
  <si>
    <t>KHI/HO/D/MO/PC COMP/C/76694/331/10/2023</t>
  </si>
  <si>
    <t>TOYOTA YARIS ATIV AT</t>
  </si>
  <si>
    <t>AFC-176</t>
  </si>
  <si>
    <t>2A36144</t>
  </si>
  <si>
    <t>NSP150R-7022700</t>
  </si>
  <si>
    <t>M/S.Bankislami(Pakistan)Limited
User:SalmanHabib</t>
  </si>
  <si>
    <t>3520221956341</t>
  </si>
  <si>
    <t>989838-648-2029</t>
  </si>
  <si>
    <t>KHI/HO/D/MO/PC COMP/C/76694/332/10/2023</t>
  </si>
  <si>
    <t>BUT-380</t>
  </si>
  <si>
    <t>6R183621</t>
  </si>
  <si>
    <t>NF1AET306H1083610</t>
  </si>
  <si>
    <t>M/S.Bankislami(Pakistan)Limited
User:MuhammadAnayatMoula</t>
  </si>
  <si>
    <t>3120157726889</t>
  </si>
  <si>
    <t>801207-11-1179</t>
  </si>
  <si>
    <t>KHI/HO/D/MO/PC COMP/C/76694/333/10/2023</t>
  </si>
  <si>
    <t>AVG-584</t>
  </si>
  <si>
    <t>JL473Q4M3EE502365</t>
  </si>
  <si>
    <t>NKMA2CBR4M1000359</t>
  </si>
  <si>
    <t>M/S.Bankislami(Pakistan)Limited
User:MuhammadAmmar</t>
  </si>
  <si>
    <t>3650224020427</t>
  </si>
  <si>
    <t>3615151-71-2090</t>
  </si>
  <si>
    <t>KHI/HO/D/MO/PC COMP/C/76694/335/10/2023</t>
  </si>
  <si>
    <t>BUT-498</t>
  </si>
  <si>
    <t>G3LALP077856</t>
  </si>
  <si>
    <t>NNATA52AXKP502244</t>
  </si>
  <si>
    <t>M/S.Bankislami(Pakistan)Limited
User:MuzzamilZahid</t>
  </si>
  <si>
    <t>4210186706909</t>
  </si>
  <si>
    <t>3603456-183-1004</t>
  </si>
  <si>
    <t>KHI/HO/D/MO/PC COMP/C/76694/336/10/2023</t>
  </si>
  <si>
    <t>SUZUKI RAVI VX EURO II</t>
  </si>
  <si>
    <t>D-4904</t>
  </si>
  <si>
    <t>374329</t>
  </si>
  <si>
    <t>478993</t>
  </si>
  <si>
    <t>M/S.Bankislami(Pakistan)Limited
User:SulemanKhan</t>
  </si>
  <si>
    <t>1610112003789</t>
  </si>
  <si>
    <t>976511-66-3035</t>
  </si>
  <si>
    <t>KHI/HO/D/MO/PC COMP/C/76694/337/10/2023</t>
  </si>
  <si>
    <t>LED-14-1512</t>
  </si>
  <si>
    <t>R18Z13742137</t>
  </si>
  <si>
    <t>NFBFB2651ER116176</t>
  </si>
  <si>
    <t>M/S.Bankislami(Pakistan)Limited
User:NasirRaza</t>
  </si>
  <si>
    <t>3520229866883</t>
  </si>
  <si>
    <t>700282-96-2010</t>
  </si>
  <si>
    <t>KHI/HO/D/MO/PC COMP/C/76694/338/10/2023</t>
  </si>
  <si>
    <t>BUS-960</t>
  </si>
  <si>
    <t>Q078668</t>
  </si>
  <si>
    <t>ZRE171R-6056137</t>
  </si>
  <si>
    <t>M/S.Bankislami(Pakistan)Limited
User:AsgharKhan</t>
  </si>
  <si>
    <t>5440001279265</t>
  </si>
  <si>
    <t>886097-259-1023</t>
  </si>
  <si>
    <t>KHI/HO/D/MO/PC COMP/C/76694/34/10/2023</t>
  </si>
  <si>
    <t>HYUNDAI TUCSON 6A/T</t>
  </si>
  <si>
    <t>BAT-282</t>
  </si>
  <si>
    <t>G4NANU209682</t>
  </si>
  <si>
    <t>PMHJ2813MNN208321</t>
  </si>
  <si>
    <t>M/S.Bankislami(Pakistan)Limited
UserMr.ShahzaibFaridKhan</t>
  </si>
  <si>
    <t>3740504783867</t>
  </si>
  <si>
    <t>3790226-75-3044</t>
  </si>
  <si>
    <t>KHI/HO/D/MO/PC COMP/C/76694/340/10/2023</t>
  </si>
  <si>
    <t>AFD-588</t>
  </si>
  <si>
    <t>6R186140</t>
  </si>
  <si>
    <t>NF1AET306H1086171</t>
  </si>
  <si>
    <t>M/S.Bankislami(Pakistan)Limited
User:MuhammadAbubakarR</t>
  </si>
  <si>
    <t>3210204280277</t>
  </si>
  <si>
    <t>512188-89-2101</t>
  </si>
  <si>
    <t>KHI/HO/D/MO/PC COMP/C/76694/341/10/2023</t>
  </si>
  <si>
    <t>AFD-851</t>
  </si>
  <si>
    <t>2A37660</t>
  </si>
  <si>
    <t>NSP150R-7023670</t>
  </si>
  <si>
    <t>M/S.Bankislami(Pakistan)Limited
User:ZeeshanKhan</t>
  </si>
  <si>
    <t>3520211609203</t>
  </si>
  <si>
    <t>973387-2750-2002</t>
  </si>
  <si>
    <t>KHI/HO/D/MO/PC COMP/C/76694/342/10/2023</t>
  </si>
  <si>
    <t>AFD-152</t>
  </si>
  <si>
    <t>2A30586</t>
  </si>
  <si>
    <t>NSP150R-7018918</t>
  </si>
  <si>
    <t>M/S.Bankislami(Pakistan)Limited
User:MoazzamAli</t>
  </si>
  <si>
    <t>3520297053969</t>
  </si>
  <si>
    <t>3610433-2766-2002</t>
  </si>
  <si>
    <t>KHI/HO/D/MO/PC COMP/C/76694/343/10/2023</t>
  </si>
  <si>
    <t>AVG-566</t>
  </si>
  <si>
    <t>186419</t>
  </si>
  <si>
    <t>1086443</t>
  </si>
  <si>
    <t>M/S.Bankislami(Pakistan)Limited
User:AdilBashir</t>
  </si>
  <si>
    <t>1310135133663</t>
  </si>
  <si>
    <t>980981-55-3021</t>
  </si>
  <si>
    <t>KHI/HO/D/MO/PC COMP/C/76694/344/10/2023</t>
  </si>
  <si>
    <t>BUT-918</t>
  </si>
  <si>
    <t>G3LAMP150379</t>
  </si>
  <si>
    <t>NNATA52AXKP502594</t>
  </si>
  <si>
    <t>M/S.Bankislami(Pakistan)Limited
User:SyedImranAli</t>
  </si>
  <si>
    <t>4240191078269</t>
  </si>
  <si>
    <t>994699-263-1029</t>
  </si>
  <si>
    <t>KHI/HO/D/MO/PC COMP/C/76694/346/10/2023</t>
  </si>
  <si>
    <t>AFA-830</t>
  </si>
  <si>
    <t>PK10K185003</t>
  </si>
  <si>
    <t>NF1AVK31H10085002</t>
  </si>
  <si>
    <t>M/S.Bankislami(Pakistan)Limited
User:SyedSalmanArshadB</t>
  </si>
  <si>
    <t>3630248757211</t>
  </si>
  <si>
    <t>984961-1125-2008</t>
  </si>
  <si>
    <t>KHI/HO/D/MO/PC COMP/C/76694/347/10/2023</t>
  </si>
  <si>
    <t>TOYOTA COROLLA ALTIS M/T 1.6</t>
  </si>
  <si>
    <t>AVG-543</t>
  </si>
  <si>
    <t>81588</t>
  </si>
  <si>
    <t>6059079</t>
  </si>
  <si>
    <t>M/S.Bankislami(Pakistan)Limited
User:ZafarIqbal</t>
  </si>
  <si>
    <t>3450119561989</t>
  </si>
  <si>
    <t>949978-97-3050</t>
  </si>
  <si>
    <t>KHI/HO/D/MO/PC COMP/C/76694/348/10/2023</t>
  </si>
  <si>
    <t>AFD-334</t>
  </si>
  <si>
    <t>PK10B220784</t>
  </si>
  <si>
    <t>AIJ310PK10120773</t>
  </si>
  <si>
    <t>M/S.Bankislami(Pakistan)Limited
User:FaizanAhmadChughta</t>
  </si>
  <si>
    <t>3520266354313</t>
  </si>
  <si>
    <t>3614704-78-2111</t>
  </si>
  <si>
    <t>KHI/HO/D/MO/PC COMP/C/76694/349/10/2023</t>
  </si>
  <si>
    <t>HYUNDAI TUCSON GLS SPORTS</t>
  </si>
  <si>
    <t>AVH-251</t>
  </si>
  <si>
    <t>104399</t>
  </si>
  <si>
    <t>204653</t>
  </si>
  <si>
    <t>M/S.Bankislami(Pakistan)Limited
User:SairaAfeefZia</t>
  </si>
  <si>
    <t>6110155590586</t>
  </si>
  <si>
    <t>899355-142-3051</t>
  </si>
  <si>
    <t>KHI/HO/D/MO/PC COMP/C/76694/35/10/2023</t>
  </si>
  <si>
    <t>AME-883</t>
  </si>
  <si>
    <t>6R252496</t>
  </si>
  <si>
    <t>NF1AET306H1152499</t>
  </si>
  <si>
    <t>M/S.Bankislami(Pakistan)Limited
UserMr.AbidAli</t>
  </si>
  <si>
    <t>3510234683855</t>
  </si>
  <si>
    <t>3714697-157-2091</t>
  </si>
  <si>
    <t>KHI/HO/D/MO/PC COMP/C/76694/350/10/2023</t>
  </si>
  <si>
    <t>AVG-573</t>
  </si>
  <si>
    <t>319323</t>
  </si>
  <si>
    <t>307414</t>
  </si>
  <si>
    <t>M/S.Bankislami(Pakistan)Limited
User:AttaUllah</t>
  </si>
  <si>
    <t>3740538952893</t>
  </si>
  <si>
    <t>953150-314-3046</t>
  </si>
  <si>
    <t>KHI/HO/D/MO/PC COMP/C/76694/353/10/2023</t>
  </si>
  <si>
    <t>AFF-434</t>
  </si>
  <si>
    <t>2A37344</t>
  </si>
  <si>
    <t>NSP150R-7023441</t>
  </si>
  <si>
    <t>M/S.Bankislami(Pakistan)Limited
User:MuhammadBilalTahir</t>
  </si>
  <si>
    <t>3330120200833</t>
  </si>
  <si>
    <t>993311-428-2009</t>
  </si>
  <si>
    <t>KHI/HO/D/MO/PC COMP/C/76694/356/10/2023</t>
  </si>
  <si>
    <t>BJ-7334</t>
  </si>
  <si>
    <t>G4NAMH318561</t>
  </si>
  <si>
    <t>NNAQL51AZKP513493</t>
  </si>
  <si>
    <t>M/S.Bankislami(Pakistan)Limited
User:Faizan</t>
  </si>
  <si>
    <t>4210118564529</t>
  </si>
  <si>
    <t>658087-291-1148</t>
  </si>
  <si>
    <t>KHI/HO/D/MO/PC COMP/C/76694/357/10/2023</t>
  </si>
  <si>
    <t>AFE-742</t>
  </si>
  <si>
    <t>Q352588</t>
  </si>
  <si>
    <t>ZRE172R-7051764</t>
  </si>
  <si>
    <t>M/S.Bankislami(Pakistan)Limited
User:ZiaUrRehman</t>
  </si>
  <si>
    <t>3650242655343</t>
  </si>
  <si>
    <t>344011-72-2090</t>
  </si>
  <si>
    <t>KHI/HO/D/MO/PC COMP/C/76694/358/10/2023</t>
  </si>
  <si>
    <t>AFE-372</t>
  </si>
  <si>
    <t>2A37855</t>
  </si>
  <si>
    <t>NSP150R-7023809</t>
  </si>
  <si>
    <t>M/S.Bankislami(Pakistan)Limited
User:MuhammadShafique</t>
  </si>
  <si>
    <t>3510285065197</t>
  </si>
  <si>
    <t>974944-113-2091</t>
  </si>
  <si>
    <t>KHI/HO/D/MO/PC COMP/C/76694/36/10/2023</t>
  </si>
  <si>
    <t>HONDA CIVIC</t>
  </si>
  <si>
    <t>LEC-18A-6197</t>
  </si>
  <si>
    <t>R18Z12944379</t>
  </si>
  <si>
    <t>NFBFC6661JR047769</t>
  </si>
  <si>
    <t>M/S.Bankislami(Pakistan)Limited
UserMr.MuhammadIqbal</t>
  </si>
  <si>
    <t>3520266255261</t>
  </si>
  <si>
    <t>504222-277-2038</t>
  </si>
  <si>
    <t>KHI/HO/D/MO/PC COMP/C/76694/360/10/2023</t>
  </si>
  <si>
    <t>AVJ-289</t>
  </si>
  <si>
    <t>16926905</t>
  </si>
  <si>
    <t>79488</t>
  </si>
  <si>
    <t>M/S.Bankislami(Pakistan)Limited
User:GhazanfarJaved</t>
  </si>
  <si>
    <t>1310164476227</t>
  </si>
  <si>
    <t>928705-82-3010</t>
  </si>
  <si>
    <t>KHI/HO/D/MO/PC COMP/C/76694/361/10/2023</t>
  </si>
  <si>
    <t>AFF-497</t>
  </si>
  <si>
    <t>G4NAMU817036</t>
  </si>
  <si>
    <t>PMHD841FMMN300682</t>
  </si>
  <si>
    <t>M/S.Bankislami(Pakistan)Limited
User:TahirRasheed</t>
  </si>
  <si>
    <t>3520247311303</t>
  </si>
  <si>
    <t>3609819-17-2125</t>
  </si>
  <si>
    <t>KHI/HO/D/MO/PC COMP/C/76694/362/10/2023</t>
  </si>
  <si>
    <t>BUU-357</t>
  </si>
  <si>
    <t>Q081886</t>
  </si>
  <si>
    <t>ZRE171R-6059365</t>
  </si>
  <si>
    <t>M/S.Bankislami(Pakistan)Limited
User:AmirSaleem</t>
  </si>
  <si>
    <t>5440004515057</t>
  </si>
  <si>
    <t>954321-13-1055</t>
  </si>
  <si>
    <t>KHI/HO/D/MO/PC COMP/C/76694/363/10/2023</t>
  </si>
  <si>
    <t>AMH 039</t>
  </si>
  <si>
    <t>PK10K202533</t>
  </si>
  <si>
    <t>NF1AVK31H10102533</t>
  </si>
  <si>
    <t>M/S.Bankislami(Pakistan)Limited
UserMr.HaiderAli</t>
  </si>
  <si>
    <t>3110464005999</t>
  </si>
  <si>
    <t>967722-50-2057</t>
  </si>
  <si>
    <t>KHI/HO/D/MO/PC COMP/C/76694/365/10/2023</t>
  </si>
  <si>
    <t>BWS-312</t>
  </si>
  <si>
    <t>6R206321</t>
  </si>
  <si>
    <t>NF1AET306-H1106103</t>
  </si>
  <si>
    <t>M/S.Bankislami(Pakistan)Limited
UserMr.IrshadHussainAnsari</t>
  </si>
  <si>
    <t>4550439596495</t>
  </si>
  <si>
    <t>3764345-167-1006</t>
  </si>
  <si>
    <t>KHI/HO/D/MO/PC COMP/C/76694/367/10/2023</t>
  </si>
  <si>
    <t>AME-996</t>
  </si>
  <si>
    <t>6R253273</t>
  </si>
  <si>
    <t>NF1AET306H1153187</t>
  </si>
  <si>
    <t>M/S.Bankislami(Pakistan)Limited
UserMr.MuhammadNaveedSaeed</t>
  </si>
  <si>
    <t>3520277449535</t>
  </si>
  <si>
    <t>985488-155-2043</t>
  </si>
  <si>
    <t>KHI/HO/D/MO/PC COMP/C/76694/369/10/2023</t>
  </si>
  <si>
    <t>BGT-662</t>
  </si>
  <si>
    <t>R18Z12903816</t>
  </si>
  <si>
    <t>NFBFC6661GR004882</t>
  </si>
  <si>
    <t>M/S.Bankislami(Pakistan)Limited
UserMr.DanishKhan</t>
  </si>
  <si>
    <t>4220105685965</t>
  </si>
  <si>
    <t>3790237-265-1066</t>
  </si>
  <si>
    <t>KHI/HO/D/MO/PC COMP/C/76694/37/10/2023</t>
  </si>
  <si>
    <t>AAA-64</t>
  </si>
  <si>
    <t>L13Z17451554</t>
  </si>
  <si>
    <t>NFBGM1542GR193448</t>
  </si>
  <si>
    <t>M/S.Bankislami(Pakistan)Limited
UserMr.AyeshaNazir</t>
  </si>
  <si>
    <t>3460107792890</t>
  </si>
  <si>
    <t>1077120-179-3051</t>
  </si>
  <si>
    <t>KHI/HO/D/MO/PC COMP/C/76694/370/10/2023</t>
  </si>
  <si>
    <t>BPY-742</t>
  </si>
  <si>
    <t>PK10K141843</t>
  </si>
  <si>
    <t>NF1AVL31H10041841</t>
  </si>
  <si>
    <t>M/S.Bankislami(Pakistan)Limited
UserMr.AlimUddin</t>
  </si>
  <si>
    <t>4210114369261</t>
  </si>
  <si>
    <t>183081-123-1035</t>
  </si>
  <si>
    <t>KHI/HO/D/MO/PC COMP/C/76694/371/10/2023</t>
  </si>
  <si>
    <t>BML-580</t>
  </si>
  <si>
    <t>PK10B-159550</t>
  </si>
  <si>
    <t>A1J310PK-10059579</t>
  </si>
  <si>
    <t>M/S.Bankislami(Pakistan)Limited
UserMs.MariaIzharUlHaq</t>
  </si>
  <si>
    <t>4130354238186</t>
  </si>
  <si>
    <t>486657-65-1100</t>
  </si>
  <si>
    <t>KHI/HO/D/MO/PC COMP/C/76694/372/10/2023</t>
  </si>
  <si>
    <t>AME-248</t>
  </si>
  <si>
    <t>L12B51015287</t>
  </si>
  <si>
    <t>NFBGN8628NR027225</t>
  </si>
  <si>
    <t>M/S.Bankislami(Pakistan)Limited
UserMr.JavedIqbal</t>
  </si>
  <si>
    <t>3520116227359</t>
  </si>
  <si>
    <t>1376527-559-2071</t>
  </si>
  <si>
    <t>KHI/HO/D/MO/PC COMP/C/76694/373/10/2023</t>
  </si>
  <si>
    <t>HONDA CIVIC TURBO 1.5 L</t>
  </si>
  <si>
    <t>ADJ-793</t>
  </si>
  <si>
    <t>L15B71402922</t>
  </si>
  <si>
    <t>NFBFC1663HR011269</t>
  </si>
  <si>
    <t>M/S.Bankislami(Pakistan)Limited
UserMr.EjazAhmad</t>
  </si>
  <si>
    <t>3740557240267</t>
  </si>
  <si>
    <t>3781493-109-3030</t>
  </si>
  <si>
    <t>KHI/HO/D/MO/PC COMP/C/76694/374/10/2023</t>
  </si>
  <si>
    <t>LEF-17-95</t>
  </si>
  <si>
    <t>L15B71403302</t>
  </si>
  <si>
    <t>NFBFC166XHR018347</t>
  </si>
  <si>
    <t>M/S.Bankislami(Pakistan)Limited
User:MuhammadMashoodAhmad(Staff)</t>
  </si>
  <si>
    <t>3630204222261</t>
  </si>
  <si>
    <t>19446-7814-1003</t>
  </si>
  <si>
    <t>KHI/HO/D/MO/PC COMP/C/76694/38/10/2023</t>
  </si>
  <si>
    <t>TOYOTA COROLLA</t>
  </si>
  <si>
    <t>BEP-205</t>
  </si>
  <si>
    <t>Z353363</t>
  </si>
  <si>
    <t>NZE170R-4053337</t>
  </si>
  <si>
    <t>M/S.Bankislami(Pakistan)Limited
UserMr.MuhammadHashir</t>
  </si>
  <si>
    <t>4210192001769</t>
  </si>
  <si>
    <t>3785265-125-1093</t>
  </si>
  <si>
    <t>KHI/HO/D/MO/PC COMP/C/76694/39/10/2023</t>
  </si>
  <si>
    <t>AGU-373</t>
  </si>
  <si>
    <t>L12B51006421</t>
  </si>
  <si>
    <t>NFBGN8628NR010165</t>
  </si>
  <si>
    <t>M/S.Bankislami(Pakistan)Limited
UserMr.ImranMaqbool</t>
  </si>
  <si>
    <t>3520228009205</t>
  </si>
  <si>
    <t>3766654-918-2053</t>
  </si>
  <si>
    <t>KHI/HO/D/MO/PC COMP/C/76694/4/10/2023</t>
  </si>
  <si>
    <t>BXH-936</t>
  </si>
  <si>
    <t>PK10K200091</t>
  </si>
  <si>
    <t>NH1AVK31H10100083</t>
  </si>
  <si>
    <t>M/S.Bankislami(Pakistan)Limited
UserMr.MuhammadIshaq</t>
  </si>
  <si>
    <t>3210339845947</t>
  </si>
  <si>
    <t>501967-396-1148</t>
  </si>
  <si>
    <t>KHI/HO/D/MO/PC COMP/C/76694/41/10/2023</t>
  </si>
  <si>
    <t>BXQ-390</t>
  </si>
  <si>
    <t>6R248020</t>
  </si>
  <si>
    <t>NF1AET306H1148007</t>
  </si>
  <si>
    <t>M/S.Bankislami(Pakistan)Limited
UserMr.ShamLal</t>
  </si>
  <si>
    <t>4200052580933</t>
  </si>
  <si>
    <t>3757992-254-1141</t>
  </si>
  <si>
    <t>KHI/HO/D/MO/PC COMP/C/76694/42/10/2023</t>
  </si>
  <si>
    <t>BF-8071</t>
  </si>
  <si>
    <t>2015 2TR-8822247</t>
  </si>
  <si>
    <t>TGN51R-9402148</t>
  </si>
  <si>
    <t>M/S.Bankislami(Pakistan)Limited
UserMr.MuhammadKamran</t>
  </si>
  <si>
    <t>3520278661957</t>
  </si>
  <si>
    <t>3781099-116-1093</t>
  </si>
  <si>
    <t>KHI/HO/D/MO/PC COMP/C/76694/44/10/2023</t>
  </si>
  <si>
    <t>TOYOTA COROLL 1.6</t>
  </si>
  <si>
    <t>BTM-348</t>
  </si>
  <si>
    <t>Q070534</t>
  </si>
  <si>
    <t>ZRE171R-6047544</t>
  </si>
  <si>
    <t>M/S.Bankislami(Pakistan)Limited
UserMr.MuhammadYousuf</t>
  </si>
  <si>
    <t>4210170592993</t>
  </si>
  <si>
    <t>3757432-9816-1003</t>
  </si>
  <si>
    <t>KHI/HO/D/MO/PC COMP/C/76694/45/10/2023</t>
  </si>
  <si>
    <t>CHANGAN ALSVIN MT COMFORT</t>
  </si>
  <si>
    <t>BAG-965</t>
  </si>
  <si>
    <t>JL473QFN3CAD509126</t>
  </si>
  <si>
    <t>NKMA2ASE5N1010122</t>
  </si>
  <si>
    <t>M/S.Bankislami(Pakistan)Limited
UserMr.MuhammadUsman</t>
  </si>
  <si>
    <t>3710164997833</t>
  </si>
  <si>
    <t>3742983-59-2030</t>
  </si>
  <si>
    <t>KHI/HO/D/MO/PC COMP/C/76694/46/10/2023</t>
  </si>
  <si>
    <t>BPZ-925</t>
  </si>
  <si>
    <t>PK10B187221</t>
  </si>
  <si>
    <t>A1J310PK10087207</t>
  </si>
  <si>
    <t>M/S.Bankislami(Pakistan)Limited
UserMr.Jamiuddin</t>
  </si>
  <si>
    <t>2170603798341</t>
  </si>
  <si>
    <t>549561-137-1093</t>
  </si>
  <si>
    <t>KHI/HO/D/MO/PC COMP/C/76694/47/10/2023</t>
  </si>
  <si>
    <t>HAVAL H6 Turbo</t>
  </si>
  <si>
    <t>AMN-133</t>
  </si>
  <si>
    <t>22458005931</t>
  </si>
  <si>
    <t>NF9EF4A51N2000036</t>
  </si>
  <si>
    <t>M/S.Bankislami(Pakistan)Limited
UserMr.ZahidMehmood</t>
  </si>
  <si>
    <t>3520134665983</t>
  </si>
  <si>
    <t>369890-3382-2002</t>
  </si>
  <si>
    <t>KHI/HO/D/MO/PC COMP/C/76694/48/10/2023</t>
  </si>
  <si>
    <t>ALX-132</t>
  </si>
  <si>
    <t>PK10B239826</t>
  </si>
  <si>
    <t>A1J310PK10139842</t>
  </si>
  <si>
    <t>M/S.Bankislami(Pakistan)Limited
UserMr.MuhammadAslam</t>
  </si>
  <si>
    <t>3520179346235</t>
  </si>
  <si>
    <t>996038-235-2028</t>
  </si>
  <si>
    <t>KHI/HO/D/MO/PC COMP/C/76694/49/10/2023</t>
  </si>
  <si>
    <t>BWP-168</t>
  </si>
  <si>
    <t>6R228982</t>
  </si>
  <si>
    <t>MF1AET306H1128930</t>
  </si>
  <si>
    <t>M/S.Bankislami(Pakistan)Limited
UserMr.SamiUllah</t>
  </si>
  <si>
    <t>3130154927399</t>
  </si>
  <si>
    <t>3747810-63-2119</t>
  </si>
  <si>
    <t>KHI/HO/D/MO/PC COMP/C/76694/5/10/2023</t>
  </si>
  <si>
    <t>AFJ-445</t>
  </si>
  <si>
    <t>0700748-J2</t>
  </si>
  <si>
    <t>AHFMVE121PD000996</t>
  </si>
  <si>
    <t>834338-80-2111</t>
  </si>
  <si>
    <t>KHI/HO/D/MO/PC COMP/C/76694/50/10/2023</t>
  </si>
  <si>
    <t>PROTON X70</t>
  </si>
  <si>
    <t>BAK-919</t>
  </si>
  <si>
    <t>3G15TDN3WA3109937</t>
  </si>
  <si>
    <t>NKPLN2EVRNP000438</t>
  </si>
  <si>
    <t>M/S.Bankislami(Pakistan)Limited
UserMr.ArshadAli</t>
  </si>
  <si>
    <t>3320365119449</t>
  </si>
  <si>
    <t>962337-729-2022</t>
  </si>
  <si>
    <t>KHI/HO/D/MO/PC COMP/C/76694/51/10/2023</t>
  </si>
  <si>
    <t>ALY-239</t>
  </si>
  <si>
    <t>2A57295</t>
  </si>
  <si>
    <t>NSP150R7036248</t>
  </si>
  <si>
    <t>M/S.Bankislami(Pakistan)Limited
UserMr.ZahidNaseer</t>
  </si>
  <si>
    <t>3520147465925</t>
  </si>
  <si>
    <t>697414-557-2071</t>
  </si>
  <si>
    <t>KHI/HO/D/MO/PC COMP/C/76694/52/10/2023</t>
  </si>
  <si>
    <t>ALZ-357</t>
  </si>
  <si>
    <t>2A57246</t>
  </si>
  <si>
    <t>NSP150R7036232</t>
  </si>
  <si>
    <t>M/S.Bankislami(Pakistan)Limited
UserMr.SaadBinShahzad</t>
  </si>
  <si>
    <t>3610359613239</t>
  </si>
  <si>
    <t>3700679-81-2066</t>
  </si>
  <si>
    <t>KHI/HO/D/MO/PC COMP/C/76694/53/10/2023</t>
  </si>
  <si>
    <t>BAH-749</t>
  </si>
  <si>
    <t>6R250078</t>
  </si>
  <si>
    <t>NF1AET306H1150005</t>
  </si>
  <si>
    <t>M/S.Bankislami(Pakistan)Limited
UserMr.BilalAbbasi</t>
  </si>
  <si>
    <t>3740592662541</t>
  </si>
  <si>
    <t>3648556-614-3018</t>
  </si>
  <si>
    <t>KHI/HO/D/MO/PC COMP/C/76694/54/10/2023</t>
  </si>
  <si>
    <t>BAG-967</t>
  </si>
  <si>
    <t>2A56840</t>
  </si>
  <si>
    <t>NSP151R-9520834</t>
  </si>
  <si>
    <t>M/S.Bankislami(Pakistan)Limited
UserMs.NaureenChaudhary</t>
  </si>
  <si>
    <t>3520224542984</t>
  </si>
  <si>
    <t>3706024-306-3099</t>
  </si>
  <si>
    <t>KHI/HO/D/MO/PC COMP/C/76694/55/10/2023</t>
  </si>
  <si>
    <t>BAH-754</t>
  </si>
  <si>
    <t>6R249999</t>
  </si>
  <si>
    <t>NF1AET306H1149908</t>
  </si>
  <si>
    <t>M/S.Bankislami(Pakistan)Limited
UserMs.AsmaMajeed</t>
  </si>
  <si>
    <t>3620103762516</t>
  </si>
  <si>
    <t>456640-45-3074</t>
  </si>
  <si>
    <t>KHI/HO/D/MO/PC COMP/C/76694/56/10/2023</t>
  </si>
  <si>
    <t>BTL-142</t>
  </si>
  <si>
    <t>6R162269</t>
  </si>
  <si>
    <t>NF1AET306H1062256</t>
  </si>
  <si>
    <t>M/S.Bankislami(Pakistan)Limited
UserMr.MuhammadDanish</t>
  </si>
  <si>
    <t>4220142272233</t>
  </si>
  <si>
    <t>3778362-53-1153</t>
  </si>
  <si>
    <t>KHI/HO/D/MO/PC COMP/C/76694/58/10/2023</t>
  </si>
  <si>
    <t>AMA-819</t>
  </si>
  <si>
    <t>PK10B240006</t>
  </si>
  <si>
    <t>A1J310PK10140026</t>
  </si>
  <si>
    <t>M/S.Bankislami(Pakistan)Limited
UserMr.MuhammadOwais</t>
  </si>
  <si>
    <t>3520236522343</t>
  </si>
  <si>
    <t>624200-3392-2002</t>
  </si>
  <si>
    <t>KHI/HO/D/MO/PC COMP/C/76694/6/10/2023</t>
  </si>
  <si>
    <t>HYUNDAI PORTER H-100 DIESEL M/T</t>
  </si>
  <si>
    <t>TAB-423</t>
  </si>
  <si>
    <t>D4BBN004342</t>
  </si>
  <si>
    <t>PMFZBX7BLNN103658</t>
  </si>
  <si>
    <t>M/S.Bankislami(Pakistan)Limited
A/c.M/s.Basit&amp;amp;Brothers</t>
  </si>
  <si>
    <t>1430161100625</t>
  </si>
  <si>
    <t>1276482-7-3101</t>
  </si>
  <si>
    <t>KHI/HO/D/MO/PC COMP/C/76694/60/10/2023</t>
  </si>
  <si>
    <t>BXR-579</t>
  </si>
  <si>
    <t>JL473QFM3CAD533181</t>
  </si>
  <si>
    <t>NKMA2ASE5N1009991</t>
  </si>
  <si>
    <t>M/S.Bankislami(Pakistan)Limited
UserMr.MuhammadAliArif</t>
  </si>
  <si>
    <t>4210186417825</t>
  </si>
  <si>
    <t>3759179-1037-1132</t>
  </si>
  <si>
    <t>KHI/HO/D/MO/PC COMP/C/76694/61/10/2023</t>
  </si>
  <si>
    <t>BXR-587</t>
  </si>
  <si>
    <t>2A57217</t>
  </si>
  <si>
    <t>NSP150R-7036299</t>
  </si>
  <si>
    <t>M/S.Bankislami(Pakistan)Limited
UserMs.Nirmala</t>
  </si>
  <si>
    <t>4410190418362</t>
  </si>
  <si>
    <t>3700252-81-1042</t>
  </si>
  <si>
    <t>KHI/HO/D/MO/PC COMP/C/76694/63/10/2023</t>
  </si>
  <si>
    <t>ALM-955</t>
  </si>
  <si>
    <t>2A54116</t>
  </si>
  <si>
    <t>NSP150R7034268</t>
  </si>
  <si>
    <t>M/S.Bankislami(Pakistan)Limited
UserMr.AzanKhawar</t>
  </si>
  <si>
    <t>3410166864265</t>
  </si>
  <si>
    <t>3743953-122-2101</t>
  </si>
  <si>
    <t>KHI/HO/D/MO/PC COMP/C/76694/65/10/2023</t>
  </si>
  <si>
    <t>BAJ-401</t>
  </si>
  <si>
    <t>6R250787</t>
  </si>
  <si>
    <t>NF1AET306H1150767</t>
  </si>
  <si>
    <t>M/S.Bankislami(Pakistan)Limited
UserMr.UmarSharif</t>
  </si>
  <si>
    <t>1610164997833</t>
  </si>
  <si>
    <t>3710010-3004-3058</t>
  </si>
  <si>
    <t>KHI/HO/D/MO/PC COMP/C/76694/66/10/2023</t>
  </si>
  <si>
    <t>TOYOTA COROLLA ALTIS 1.6</t>
  </si>
  <si>
    <t>LEE-15-9494</t>
  </si>
  <si>
    <t>Q025746</t>
  </si>
  <si>
    <t>ZRE171R6003223</t>
  </si>
  <si>
    <t>M/S.Bankislami(Pakistan)Limited
UserMr.SyedAhmadRazaHashmi</t>
  </si>
  <si>
    <t>3520239348483</t>
  </si>
  <si>
    <t>3775559-3399-2002</t>
  </si>
  <si>
    <t>KHI/HO/D/MO/PC COMP/C/76694/67/10/2023</t>
  </si>
  <si>
    <t>LEA-18-6301</t>
  </si>
  <si>
    <t>PK10K111504</t>
  </si>
  <si>
    <t>NF1AVK31H10011494</t>
  </si>
  <si>
    <t>M/S.Bankislami(Pakistan)Limited
UserMr.HafizMuhammadUmar</t>
  </si>
  <si>
    <t>3520267582435</t>
  </si>
  <si>
    <t>851668-372-2048</t>
  </si>
  <si>
    <t>KHI/HO/D/MO/PC COMP/C/76694/68/10/2023</t>
  </si>
  <si>
    <t>BXR-574</t>
  </si>
  <si>
    <t>Q362650</t>
  </si>
  <si>
    <t>ZRE172R-7061811</t>
  </si>
  <si>
    <t>M/S.Bankislami(Pakistan)Limited
UserMr.AliAdrishZaidi</t>
  </si>
  <si>
    <t>4250106882383</t>
  </si>
  <si>
    <t>3639547-612-1092</t>
  </si>
  <si>
    <t>KHI/HO/D/MO/PC COMP/C/76694/69/10/2023</t>
  </si>
  <si>
    <t>ABW-176</t>
  </si>
  <si>
    <t>6R154472</t>
  </si>
  <si>
    <t>NF1AET306H1054479</t>
  </si>
  <si>
    <t>M/S.Bankislami(Pakistan)Limited
UserMr.FaizanRazzaq</t>
  </si>
  <si>
    <t>3520134169467</t>
  </si>
  <si>
    <t>3731455-70-2128</t>
  </si>
  <si>
    <t>KHI/HO/D/MO/PC COMP/C/76694/7/10/2023</t>
  </si>
  <si>
    <t>LEA-19-4865</t>
  </si>
  <si>
    <t>PK10K136852</t>
  </si>
  <si>
    <t>NF1AVK31H1037327</t>
  </si>
  <si>
    <t>M/S.Bankislami(Pakistan)Limited
UserMr.MuhammadAsghar</t>
  </si>
  <si>
    <t>3610316719673</t>
  </si>
  <si>
    <t>3716970-57-2118</t>
  </si>
  <si>
    <t>KHI/HO/D/MO/PC COMP/C/76694/70/10/2023</t>
  </si>
  <si>
    <t>BDY-214</t>
  </si>
  <si>
    <t>L13Z17432007</t>
  </si>
  <si>
    <t>NFBGM1543FR170677</t>
  </si>
  <si>
    <t>M/S.Bankislami(Pakistan)Limited
UserMr.ShahOwaisAhmad</t>
  </si>
  <si>
    <t>4210137049953</t>
  </si>
  <si>
    <t>452232-1475-1026</t>
  </si>
  <si>
    <t>KHI/HO/D/MO/PC COMP/C/76694/71/10/2023</t>
  </si>
  <si>
    <t>SUZUKI BOLAN VX  EURO II</t>
  </si>
  <si>
    <t>BAJ-406</t>
  </si>
  <si>
    <t>PKT1025681</t>
  </si>
  <si>
    <t>SV308PK01142184</t>
  </si>
  <si>
    <t>M/S.Bankislami(Pakistan)Limited
UserMs.KousarIqbal</t>
  </si>
  <si>
    <t>8220396905426</t>
  </si>
  <si>
    <t>991150-312-3099</t>
  </si>
  <si>
    <t>KHI/HO/D/MO/PC COMP/C/76694/72/10/2023</t>
  </si>
  <si>
    <t>SUZUKI ALTO VX EURO II</t>
  </si>
  <si>
    <t>BAJ-403</t>
  </si>
  <si>
    <t>6R250820</t>
  </si>
  <si>
    <t>NF1AET306H1150808</t>
  </si>
  <si>
    <t>M/S.Bankislami(Pakistan)Limited
UserMr.IrfanHaider</t>
  </si>
  <si>
    <t>1730178780305</t>
  </si>
  <si>
    <t>3701509-64-3007</t>
  </si>
  <si>
    <t>KHI/HO/D/MO/PC COMP/C/76694/73/10/2023</t>
  </si>
  <si>
    <t>CX-6103</t>
  </si>
  <si>
    <t>PKT974095</t>
  </si>
  <si>
    <t>ST308PK01090606</t>
  </si>
  <si>
    <t>M/S.Bankislami(Pakistan)Limited
UserMr.MuhammadMusa</t>
  </si>
  <si>
    <t>5650393571161</t>
  </si>
  <si>
    <t>3683273-11-1081</t>
  </si>
  <si>
    <t>KHI/HO/D/MO/PC COMP/C/76694/74/10/2023</t>
  </si>
  <si>
    <t>BVS-514</t>
  </si>
  <si>
    <t>PK10B224061</t>
  </si>
  <si>
    <t>A1J310PK10124100</t>
  </si>
  <si>
    <t>M/S.Bankislami(Pakistan)Limited
UserMr.NomanAhmadHashmi</t>
  </si>
  <si>
    <t>4250125248335</t>
  </si>
  <si>
    <t>507512-34-1178</t>
  </si>
  <si>
    <t>KHI/HO/D/MO/PC COMP/C/76694/75/10/2023</t>
  </si>
  <si>
    <t>KIA SPORTAGE AWD</t>
  </si>
  <si>
    <t>BJ-1199</t>
  </si>
  <si>
    <t>G4NALH313618</t>
  </si>
  <si>
    <t>NNAQL51AZKP503249</t>
  </si>
  <si>
    <t>M/S.Bankislami(Pakistan)Limited
UserMr.MuneebArif</t>
  </si>
  <si>
    <t>4230105927991</t>
  </si>
  <si>
    <t>3740945-362-1140</t>
  </si>
  <si>
    <t>KHI/HO/D/MO/PC COMP/C/76694/77/10/2023</t>
  </si>
  <si>
    <t>BXB-480</t>
  </si>
  <si>
    <t>6R-235879</t>
  </si>
  <si>
    <t>NF1AET306H1135981</t>
  </si>
  <si>
    <t>M/S.Bankislami(Pakistan)Limited
UserMr.SabahAhmed</t>
  </si>
  <si>
    <t>4220142443880</t>
  </si>
  <si>
    <t>511237-994-1091</t>
  </si>
  <si>
    <t>KHI/HO/D/MO/PC COMP/C/76694/79/10/2023</t>
  </si>
  <si>
    <t>BWB-070</t>
  </si>
  <si>
    <t>Z527309</t>
  </si>
  <si>
    <t>NZE170R-4153251</t>
  </si>
  <si>
    <t>M/S.Bankislami(Pakistan)Limited
UserMr.HabibUrRehman</t>
  </si>
  <si>
    <t>1310114689781</t>
  </si>
  <si>
    <t>3715000-102-3010</t>
  </si>
  <si>
    <t>KHI/HO/D/MO/PC COMP/C/76694/8/10/2023</t>
  </si>
  <si>
    <t>BAG-794</t>
  </si>
  <si>
    <t>L12B51015042</t>
  </si>
  <si>
    <t>NFBGN8621NR026756</t>
  </si>
  <si>
    <t>M/S.Bankislami(Pakistan)Limited
UserMr.FaizanKhan</t>
  </si>
  <si>
    <t>1110175912989</t>
  </si>
  <si>
    <t>419111-277-3011</t>
  </si>
  <si>
    <t>KHI/HO/D/MO/PC COMP/C/76694/81/10/2023</t>
  </si>
  <si>
    <t>HONDA CITY ASPIRE CVT PT 1.5L</t>
  </si>
  <si>
    <t>ALB-625</t>
  </si>
  <si>
    <t>L15Z81006661</t>
  </si>
  <si>
    <t>NFBGN9668NR016928</t>
  </si>
  <si>
    <t>M/S.Bankislami(Pakistan)Limited
UserMr.JavaidAnwar</t>
  </si>
  <si>
    <t>3520210635173</t>
  </si>
  <si>
    <t>3779123-913-2053</t>
  </si>
  <si>
    <t>KHI/HO/D/MO/PC COMP/C/76694/82/10/2023</t>
  </si>
  <si>
    <t>SUZUKI Swift GLX CVT</t>
  </si>
  <si>
    <t>BAK-286</t>
  </si>
  <si>
    <t>K12MR1007198</t>
  </si>
  <si>
    <t>NF1SZC63S00107205</t>
  </si>
  <si>
    <t>M/S.Bankislami(Pakistan)Limited
A/c.M/s.MatrixPrivateLimited</t>
  </si>
  <si>
    <t>6640</t>
  </si>
  <si>
    <t>67087-620-3018</t>
  </si>
  <si>
    <t>KHI/HO/D/MO/PC COMP/C/76694/83/10/2023</t>
  </si>
  <si>
    <t>LEH-15-8921</t>
  </si>
  <si>
    <t>Z181418</t>
  </si>
  <si>
    <t>NZE170R-4017379</t>
  </si>
  <si>
    <t>M/S.Bankislami(Pakistan)Limited
UserMr.MuhammadFawadKhan</t>
  </si>
  <si>
    <t>1730198633761</t>
  </si>
  <si>
    <t>3743976-118-3005</t>
  </si>
  <si>
    <t>KHI/HO/D/MO/PC COMP/C/76694/84/10/2023</t>
  </si>
  <si>
    <t>AMB 549</t>
  </si>
  <si>
    <t>PK10K201818</t>
  </si>
  <si>
    <t>NF1AVK31H10101810</t>
  </si>
  <si>
    <t>M/S.Bankislami(Pakistan)Limited
UserMr.MuhammadAamir</t>
  </si>
  <si>
    <t>3120202652749</t>
  </si>
  <si>
    <t>3736662-35-2132</t>
  </si>
  <si>
    <t>KHI/HO/D/MO/PC COMP/C/76694/85/10/2023</t>
  </si>
  <si>
    <t>AEH-528</t>
  </si>
  <si>
    <t>R18Z12947216</t>
  </si>
  <si>
    <t>NFBFC6661KR050642</t>
  </si>
  <si>
    <t>M/S.Bankislami(Pakistan)Limited
UserMr.AhsanUlHaq</t>
  </si>
  <si>
    <t>3740211319201</t>
  </si>
  <si>
    <t>3771026-6-3106</t>
  </si>
  <si>
    <t>KHI/HO/D/MO/PC COMP/C/76694/87/10/2023</t>
  </si>
  <si>
    <t>AMB 622</t>
  </si>
  <si>
    <t>6R252142</t>
  </si>
  <si>
    <t>NF1AET306H1152138</t>
  </si>
  <si>
    <t>M/S.Bankislami(Pakistan)Limited
UserMr.MuhammadAsifMirani</t>
  </si>
  <si>
    <t>3220320139751</t>
  </si>
  <si>
    <t>3706340-99-2126</t>
  </si>
  <si>
    <t>KHI/HO/D/MO/PC COMP/C/76694/88/10/2023</t>
  </si>
  <si>
    <t>CHERRY CHERRY Tiggo 8 Pro</t>
  </si>
  <si>
    <t>BK-9086</t>
  </si>
  <si>
    <t>SQRE4T15CAQNE00488</t>
  </si>
  <si>
    <t>PCE5A28T1900590</t>
  </si>
  <si>
    <t>M/S.Bankislami(Pakistan)Limited
UserMr.SyedZaidAhmed</t>
  </si>
  <si>
    <t>4220176728479</t>
  </si>
  <si>
    <t>3610852-9864-1003</t>
  </si>
  <si>
    <t>KHI/HO/D/MO/PC COMP/C/76694/89/10/2023</t>
  </si>
  <si>
    <t>CZ-1352</t>
  </si>
  <si>
    <t>JL466Q9L69U502351</t>
  </si>
  <si>
    <t>NKMAAB3D1-L1004189</t>
  </si>
  <si>
    <t>M/S.Bankislami(Pakistan)Limited
UserMr.RizwanTariq</t>
  </si>
  <si>
    <t>4210154102051</t>
  </si>
  <si>
    <t>3776682-133-1086</t>
  </si>
  <si>
    <t>KHI/HO/D/MO/PC COMP/C/76694/9/10/2023</t>
  </si>
  <si>
    <t>BXT-490</t>
  </si>
  <si>
    <t>6R253118</t>
  </si>
  <si>
    <t>NF1AET306H1152986</t>
  </si>
  <si>
    <t>M/S.Bankislami(Pakistan)Limited
User:SyedAhsanAbbasNaqvi</t>
  </si>
  <si>
    <t>4220160629165</t>
  </si>
  <si>
    <t>1432148-160-1068</t>
  </si>
  <si>
    <t>KHI/HO/D/MO/PC COMP/C/76694/90/10/2023</t>
  </si>
  <si>
    <t>AES-114</t>
  </si>
  <si>
    <t>6R181324</t>
  </si>
  <si>
    <t>NF1AET306-H1081507</t>
  </si>
  <si>
    <t>M/S.Bankislami(Pakistan)Limited
UserMr.MirzaHaiderAbbas</t>
  </si>
  <si>
    <t>3740489348807</t>
  </si>
  <si>
    <t>477777-67-3031</t>
  </si>
  <si>
    <t>KHI/HO/D/MO/PC COMP/C/76694/91/10/2023</t>
  </si>
  <si>
    <t>ADY-653</t>
  </si>
  <si>
    <t>6R172624</t>
  </si>
  <si>
    <t>NF1AET306H1072611</t>
  </si>
  <si>
    <t>M/S.Bankislami(Pakistan)Limited
UserMr.MuhammadNadeemButt</t>
  </si>
  <si>
    <t>3520215531895</t>
  </si>
  <si>
    <t>3753839-3424-2002</t>
  </si>
  <si>
    <t>KHI/HO/D/MO/PC COMP/C/76694/92/10/2023</t>
  </si>
  <si>
    <t>CHERRY CHERRY Tiggo 4 Pro</t>
  </si>
  <si>
    <t>ALY-317</t>
  </si>
  <si>
    <t>SQRE4T15CAQNE00496</t>
  </si>
  <si>
    <t>PCE5A28T1900587</t>
  </si>
  <si>
    <t>M/S.Bankislami(Pakistan)Limited
UserMr.MuhammadAftabKhalid</t>
  </si>
  <si>
    <t>3410147385119</t>
  </si>
  <si>
    <t>3716961-400-2052</t>
  </si>
  <si>
    <t>KHI/HO/D/MO/PC COMP/C/76694/93/10/2023</t>
  </si>
  <si>
    <t>AZX-414</t>
  </si>
  <si>
    <t>R18Z16922685</t>
  </si>
  <si>
    <t>NFBFC6664MR075022</t>
  </si>
  <si>
    <t>M/S.Bankislami(Pakistan)Limited
UserMr.RajaMuhammadSheeraz</t>
  </si>
  <si>
    <t>3740631639439</t>
  </si>
  <si>
    <t>139035-219-3002</t>
  </si>
  <si>
    <t>KHI/HO/D/MO/PC COMP/C/76694/94/10/2023</t>
  </si>
  <si>
    <t>BQP-262</t>
  </si>
  <si>
    <t>6R104107</t>
  </si>
  <si>
    <t>NF1AET306-H1004202</t>
  </si>
  <si>
    <t>M/S.Bankislami(Pakistan)Limited
UserMs.FarahNaz</t>
  </si>
  <si>
    <t>4220183019544</t>
  </si>
  <si>
    <t>3618546-614-1092</t>
  </si>
  <si>
    <t>KHI/HO/D/MO/PC COMP/C/76694/95/10/2023</t>
  </si>
  <si>
    <t>BRA-926</t>
  </si>
  <si>
    <t>6R121101</t>
  </si>
  <si>
    <t>NF1AET306H1021078</t>
  </si>
  <si>
    <t>M/S.Bankislami(Pakistan)Limited
UserMr.AsadHayatAkhtar</t>
  </si>
  <si>
    <t>4250111349955</t>
  </si>
  <si>
    <t>3778008-54-1153</t>
  </si>
  <si>
    <t>KHI/HO/D/MO/PC COMP/C/76694/96/10/2023</t>
  </si>
  <si>
    <t>AMC-433</t>
  </si>
  <si>
    <t>6R252028</t>
  </si>
  <si>
    <t>NF1AET306H1152037</t>
  </si>
  <si>
    <t>M/S.Bankislami(Pakistan)Limited
UserMr.MuhammadRamzan</t>
  </si>
  <si>
    <t>3520285755157</t>
  </si>
  <si>
    <t>3710663-323-2050</t>
  </si>
  <si>
    <t>KHI/HO/D/MO/PC COMP/C/76694/97/10/2023</t>
  </si>
  <si>
    <t>BSN-430</t>
  </si>
  <si>
    <t>6R136523</t>
  </si>
  <si>
    <t>NF1AET306H1036499</t>
  </si>
  <si>
    <t>M/S.Bankislami(Pakistan)Limited
UserMr.SyedMehmoodShah</t>
  </si>
  <si>
    <t>4220116691619</t>
  </si>
  <si>
    <t>3637392-179-1067</t>
  </si>
  <si>
    <t>KHI/HO/D/MO/PC COMP/C/76694/98/10/2023</t>
  </si>
  <si>
    <t>BMC-604</t>
  </si>
  <si>
    <t>PKB728180</t>
  </si>
  <si>
    <t>SB308PK01266680</t>
  </si>
  <si>
    <t>4310313959813</t>
  </si>
  <si>
    <t>523027-175-1121</t>
  </si>
  <si>
    <t>KHI/HO/D/MO/PC COMP/C/76694/99/10/2023</t>
  </si>
  <si>
    <t>TOYOTA HILUX REVO V</t>
  </si>
  <si>
    <t>BAK-416</t>
  </si>
  <si>
    <t>1GD5172641</t>
  </si>
  <si>
    <t>GUN126R-5554470</t>
  </si>
  <si>
    <t>M/S.Bankislami(Pakistan)Limited
UserMr.SikandarKhan</t>
  </si>
  <si>
    <t>5620117632755</t>
  </si>
  <si>
    <t>281591-10-1015</t>
  </si>
  <si>
    <t>KHI/HO/D/MO/PC COMP/P/76696/10/2023</t>
  </si>
  <si>
    <t>AUDI E-TRON50 QUATTRO</t>
  </si>
  <si>
    <t xml:space="preserve"> ARJ-956</t>
  </si>
  <si>
    <t xml:space="preserve"> 036443</t>
  </si>
  <si>
    <t>Sajid Nazir</t>
  </si>
  <si>
    <t>859935-56-3010</t>
  </si>
  <si>
    <t>KHI/HO/D/MO/PC COMP/P/76697/10/2023</t>
  </si>
  <si>
    <t>ALS-800</t>
  </si>
  <si>
    <t>029066</t>
  </si>
  <si>
    <t>019637</t>
  </si>
  <si>
    <t>M/s. Bankislami (Pakistan) Limited 
User. Mr. Imran Latif 
Cnic No. 61101-2739535-7  Cell No. 0300-3000296
PO No. 3083</t>
  </si>
  <si>
    <t>873920-62-3083</t>
  </si>
  <si>
    <t>KHI/HO/D/MO/PC COMP/P/77013/10/2023</t>
  </si>
  <si>
    <t>TOYOTA LAND CRUISER PRADO TX</t>
  </si>
  <si>
    <t xml:space="preserve"> AQN-105</t>
  </si>
  <si>
    <t xml:space="preserve"> TRJ150-0105015</t>
  </si>
  <si>
    <t xml:space="preserve">Mr, USMAN SHAHID </t>
  </si>
  <si>
    <t>Renewal Month</t>
  </si>
  <si>
    <t>Policy #</t>
  </si>
  <si>
    <t>Takaful start Date</t>
  </si>
  <si>
    <t>Takaful End End</t>
  </si>
  <si>
    <t>Registration_Number</t>
  </si>
  <si>
    <t>Engine_Number</t>
  </si>
  <si>
    <t>Chassis_Number</t>
  </si>
  <si>
    <t>CIF+Deal+Branch</t>
  </si>
  <si>
    <t>Old Sum Covered</t>
  </si>
  <si>
    <t>New Sum Covered</t>
  </si>
  <si>
    <t>Gross Premium</t>
  </si>
  <si>
    <t>Net Premium</t>
  </si>
  <si>
    <t>Category</t>
  </si>
  <si>
    <t>Prepaid Date</t>
  </si>
  <si>
    <t>Account #</t>
  </si>
  <si>
    <t>Takaful Fresh Payment</t>
  </si>
  <si>
    <t>Gross Total</t>
  </si>
  <si>
    <t>Deduction</t>
  </si>
  <si>
    <t>Final Payment</t>
  </si>
  <si>
    <t>1027-0036978-0226</t>
  </si>
  <si>
    <t xml:space="preserve">        269,700 </t>
  </si>
  <si>
    <t xml:space="preserve">                 -   </t>
  </si>
  <si>
    <t xml:space="preserve">        269,700 </t>
  </si>
  <si>
    <t xml:space="preserve">                   -   </t>
  </si>
  <si>
    <t>Takaful Renewal Payment - ( After 24-Dec-2021 )</t>
  </si>
  <si>
    <t xml:space="preserve">    5,086,912 </t>
  </si>
  <si>
    <t xml:space="preserve">     297,000 </t>
  </si>
  <si>
    <t xml:space="preserve">    5,383,912 </t>
  </si>
  <si>
    <t>Takaful Renewal Payment - ( Before 24-Dec-2021 )</t>
  </si>
  <si>
    <t xml:space="preserve">    7,143,801 </t>
  </si>
  <si>
    <t xml:space="preserve">        66,951 </t>
  </si>
  <si>
    <t xml:space="preserve">    7,210,752 </t>
  </si>
  <si>
    <t>Tms Prem</t>
  </si>
  <si>
    <t>Difference</t>
  </si>
  <si>
    <t>Tagging</t>
  </si>
  <si>
    <t>KHI/HO/D/MO/PC COMP/C/99922/1/10/2024</t>
  </si>
  <si>
    <t>KHI/HO/D/MO/CV/C/100370/1/10/2024</t>
  </si>
  <si>
    <t>KHI/HO/D/MO/PC COMP/C/100172/1/10/2024</t>
  </si>
  <si>
    <t>KHI/HO/D/MO/CV/C/100370/2/10/2024</t>
  </si>
  <si>
    <t>KHI/HO/D/MO/PC COMP/C/99922/269/10/2024</t>
  </si>
  <si>
    <t>KHI/HO/D/MO/PC COMP/C/99922/2/10/2024</t>
  </si>
  <si>
    <t>KHI/HO/D/MO/PC COMP/C/99922/3/10/2024</t>
  </si>
  <si>
    <t>KHI/HO/D/MO/PC COMP/C/99922/4/10/2024</t>
  </si>
  <si>
    <t>KHI/HO/D/MO/PC COMP/C/99922/5/10/2024</t>
  </si>
  <si>
    <t>KHI/HO/D/MO/PC COMP/C/99922/6/10/2024</t>
  </si>
  <si>
    <t>KHI/HO/D/MO/PC COMP/C/99922/7/10/2024</t>
  </si>
  <si>
    <t>KHI/HO/D/MO/PC COMP/C/99922/8/10/2024</t>
  </si>
  <si>
    <t>KHI/HO/D/MO/PC COMP/C/99922/9/10/2024</t>
  </si>
  <si>
    <t>KHI/HO/D/MO/PC COMP/C/99922/10/10/2024</t>
  </si>
  <si>
    <t>KHI/HO/D/MO/PC COMP/C/99922/11/10/2024</t>
  </si>
  <si>
    <t>KHI/HO/D/MO/PC COMP/C/99922/12/10/2024</t>
  </si>
  <si>
    <t>KHI/HO/D/MO/PC COMP/C/99922/13/10/2024</t>
  </si>
  <si>
    <t>KHI/HO/D/MO/PC COMP/C/99922/14/10/2024</t>
  </si>
  <si>
    <t>KHI/HO/D/MO/PC COMP/C/99922/15/10/2024</t>
  </si>
  <si>
    <t>KHI/HO/D/MO/PC COMP/C/99922/16/10/2024</t>
  </si>
  <si>
    <t>KHI/HO/D/MO/PC COMP/C/99922/17/10/2024</t>
  </si>
  <si>
    <t>KHI/HO/D/MO/PC COMP/C/99922/18/10/2024</t>
  </si>
  <si>
    <t>KHI/HO/D/MO/PC COMP/C/99922/19/10/2024</t>
  </si>
  <si>
    <t>KHI/HO/D/MO/PC COMP/C/99922/20/10/2024</t>
  </si>
  <si>
    <t>KHI/HO/D/MO/PC COMP/C/99922/21/10/2024</t>
  </si>
  <si>
    <t>KHI/HO/D/MO/PC COMP/C/99922/22/10/2024</t>
  </si>
  <si>
    <t>KHI/HO/D/MO/PC COMP/C/99922/23/10/2024</t>
  </si>
  <si>
    <t>KHI/HO/D/MO/PC COMP/C/99922/24/10/2024</t>
  </si>
  <si>
    <t>KHI/HO/D/MO/PC COMP/C/99922/25/10/2024</t>
  </si>
  <si>
    <t>KHI/HO/D/MO/PC COMP/C/99922/26/10/2024</t>
  </si>
  <si>
    <t>KHI/HO/D/MO/PC COMP/C/99922/27/10/2024</t>
  </si>
  <si>
    <t>KHI/HO/D/MO/PC COMP/C/99922/28/10/2024</t>
  </si>
  <si>
    <t>KHI/HO/D/MO/PC COMP/C/99922/29/10/2024</t>
  </si>
  <si>
    <t>KHI/HO/D/MO/PC COMP/C/99922/30/10/2024</t>
  </si>
  <si>
    <t>KHI/HO/D/MO/PC COMP/C/99922/31/10/2024</t>
  </si>
  <si>
    <t>KHI/HO/D/MO/PC COMP/C/99922/32/10/2024</t>
  </si>
  <si>
    <t>KHI/HO/D/MO/PC COMP/C/99922/33/10/2024</t>
  </si>
  <si>
    <t>KHI/HO/D/MO/PC COMP/C/99922/34/10/2024</t>
  </si>
  <si>
    <t>KHI/HO/D/MO/PC COMP/C/99922/35/10/2024</t>
  </si>
  <si>
    <t>KHI/HO/D/MO/PC COMP/C/99922/36/10/2024</t>
  </si>
  <si>
    <t>KHI/HO/D/MO/PC COMP/C/99922/37/10/2024</t>
  </si>
  <si>
    <t>KHI/HO/D/MO/PC COMP/C/99922/39/10/2024</t>
  </si>
  <si>
    <t>KHI/HO/D/MO/PC COMP/C/99922/40/10/2024</t>
  </si>
  <si>
    <t>KHI/HO/D/MO/PC COMP/C/99922/41/10/2024</t>
  </si>
  <si>
    <t>KHI/HO/D/MO/PC COMP/C/99922/42/10/2024</t>
  </si>
  <si>
    <t>KHI/HO/D/MO/PC COMP/C/99922/43/10/2024</t>
  </si>
  <si>
    <t>KHI/HO/D/MO/PC COMP/C/99922/44/10/2024</t>
  </si>
  <si>
    <t>KHI/HO/D/MO/PC COMP/C/99922/45/10/2024</t>
  </si>
  <si>
    <t>KHI/HO/D/MO/PC COMP/C/99922/46/10/2024</t>
  </si>
  <si>
    <t>KHI/HO/D/MO/PC COMP/C/99922/47/10/2024</t>
  </si>
  <si>
    <t>KHI/HO/D/MO/PC COMP/C/99922/48/10/2024</t>
  </si>
  <si>
    <t>KHI/HO/D/MO/PC COMP/C/99922/49/10/2024</t>
  </si>
  <si>
    <t>KHI/HO/D/MO/PC COMP/C/99922/50/10/2024</t>
  </si>
  <si>
    <t>KHI/HO/D/MO/PC COMP/C/99922/51/10/2024</t>
  </si>
  <si>
    <t>KHI/HO/D/MO/PC COMP/C/99922/52/10/2024</t>
  </si>
  <si>
    <t>KHI/HO/D/MO/PC COMP/C/99922/53/10/2024</t>
  </si>
  <si>
    <t>KHI/HO/D/MO/PC COMP/C/99922/54/10/2024</t>
  </si>
  <si>
    <t>KHI/HO/D/MO/PC COMP/C/99922/55/10/2024</t>
  </si>
  <si>
    <t>KHI/HO/D/MO/PC COMP/C/99922/56/10/2024</t>
  </si>
  <si>
    <t>KHI/HO/D/MO/PC COMP/C/99922/57/10/2024</t>
  </si>
  <si>
    <t>KHI/HO/D/MO/PC COMP/C/99922/58/10/2024</t>
  </si>
  <si>
    <t>KHI/HO/D/MO/PC COMP/C/99922/59/10/2024</t>
  </si>
  <si>
    <t>KHI/HO/D/MO/PC COMP/C/99922/60/10/2024</t>
  </si>
  <si>
    <t>KHI/HO/D/MO/PC COMP/C/99922/61/10/2024</t>
  </si>
  <si>
    <t>KHI/HO/D/MO/PC COMP/C/99922/62/10/2024</t>
  </si>
  <si>
    <t>KHI/HO/D/MO/PC COMP/C/99922/63/10/2024</t>
  </si>
  <si>
    <t>KHI/HO/D/MO/PC COMP/C/99922/64/10/2024</t>
  </si>
  <si>
    <t>KHI/HO/D/MO/PC COMP/C/99922/65/10/2024</t>
  </si>
  <si>
    <t>KHI/HO/D/MO/PC COMP/C/99922/66/10/2024</t>
  </si>
  <si>
    <t>KHI/HO/D/MO/PC COMP/C/99922/67/10/2024</t>
  </si>
  <si>
    <t>KHI/HO/D/MO/PC COMP/C/99922/68/10/2024</t>
  </si>
  <si>
    <t>KHI/HO/D/MO/PC COMP/C/99922/69/10/2024</t>
  </si>
  <si>
    <t>KHI/HO/D/MO/PC COMP/C/99922/70/10/2024</t>
  </si>
  <si>
    <t>KHI/HO/D/MO/PC COMP/C/99922/71/10/2024</t>
  </si>
  <si>
    <t>KHI/HO/D/MO/PC COMP/C/99922/72/10/2024</t>
  </si>
  <si>
    <t>KHI/HO/D/MO/PC COMP/C/99922/73/10/2024</t>
  </si>
  <si>
    <t>KHI/HO/D/MO/PC COMP/C/99922/74/10/2024</t>
  </si>
  <si>
    <t>KHI/HO/D/MO/PC COMP/C/99922/75/10/2024</t>
  </si>
  <si>
    <t>KHI/HO/D/MO/PC COMP/C/99922/76/10/2024</t>
  </si>
  <si>
    <t>KHI/HO/D/MO/PC COMP/C/99922/77/10/2024</t>
  </si>
  <si>
    <t>KHI/HO/D/MO/PC COMP/C/99922/78/10/2024</t>
  </si>
  <si>
    <t>KHI/HO/D/MO/PC COMP/C/99922/79/10/2024</t>
  </si>
  <si>
    <t>KHI/HO/D/MO/PC COMP/C/99922/80/10/2024</t>
  </si>
  <si>
    <t>KHI/HO/D/MO/PC COMP/C/99922/81/10/2024</t>
  </si>
  <si>
    <t>KHI/HO/D/MO/PC COMP/C/99922/82/10/2024</t>
  </si>
  <si>
    <t>KHI/HO/D/MO/PC COMP/C/99922/83/10/2024</t>
  </si>
  <si>
    <t>KHI/HO/D/MO/PC COMP/C/99922/84/10/2024</t>
  </si>
  <si>
    <t>KHI/HO/D/MO/PC COMP/C/99922/85/10/2024</t>
  </si>
  <si>
    <t>KHI/HO/D/MO/PC COMP/C/99922/86/10/2024</t>
  </si>
  <si>
    <t>KHI/HO/D/MO/PC COMP/C/99922/87/10/2024</t>
  </si>
  <si>
    <t>KHI/HO/D/MO/PC COMP/C/99922/88/10/2024</t>
  </si>
  <si>
    <t>KHI/HO/D/MO/PC COMP/C/99922/89/10/2024</t>
  </si>
  <si>
    <t>KHI/HO/D/MO/PC COMP/C/99922/90/10/2024</t>
  </si>
  <si>
    <t>KHI/HO/D/MO/PC COMP/C/99922/91/10/2024</t>
  </si>
  <si>
    <t>KHI/HO/D/MO/PC COMP/C/99922/92/10/2024</t>
  </si>
  <si>
    <t>KHI/HO/D/MO/PC COMP/C/99922/93/10/2024</t>
  </si>
  <si>
    <t>KHI/HO/D/MO/PC COMP/C/99922/94/10/2024</t>
  </si>
  <si>
    <t>KHI/HO/D/MO/PC COMP/C/99922/95/10/2024</t>
  </si>
  <si>
    <t>KHI/HO/D/MO/PC COMP/C/99922/96/10/2024</t>
  </si>
  <si>
    <t>KHI/HO/D/MO/PC COMP/C/99922/97/10/2024</t>
  </si>
  <si>
    <t>KHI/HO/D/MO/PC COMP/C/99922/98/10/2024</t>
  </si>
  <si>
    <t>KHI/HO/D/MO/PC COMP/C/99922/99/10/2024</t>
  </si>
  <si>
    <t>KHI/HO/D/MO/PC COMP/C/99922/100/10/2024</t>
  </si>
  <si>
    <t>KHI/HO/D/MO/PC COMP/C/99922/101/10/2024</t>
  </si>
  <si>
    <t>KHI/HO/D/MO/PC COMP/C/99922/102/10/2024</t>
  </si>
  <si>
    <t>KHI/HO/D/MO/PC COMP/C/99922/103/10/2024</t>
  </si>
  <si>
    <t>KHI/HO/D/MO/PC COMP/C/99922/104/10/2024</t>
  </si>
  <si>
    <t>KHI/HO/D/MO/PC COMP/C/99922/105/10/2024</t>
  </si>
  <si>
    <t>KHI/HO/D/MO/PC COMP/C/99922/106/10/2024</t>
  </si>
  <si>
    <t>KHI/HO/D/MO/PC COMP/C/99922/107/10/2024</t>
  </si>
  <si>
    <t>KHI/HO/D/MO/PC COMP/C/99922/108/10/2024</t>
  </si>
  <si>
    <t>KHI/HO/D/MO/PC COMP/C/99922/109/10/2024</t>
  </si>
  <si>
    <t>KHI/HO/D/MO/PC COMP/C/99922/110/10/2024</t>
  </si>
  <si>
    <t>KHI/HO/D/MO/PC COMP/C/99922/111/10/2024</t>
  </si>
  <si>
    <t>KHI/HO/D/MO/PC COMP/C/99922/112/10/2024</t>
  </si>
  <si>
    <t>KHI/HO/D/MO/PC COMP/C/99922/113/10/2024</t>
  </si>
  <si>
    <t>KHI/HO/D/MO/PC COMP/C/99922/114/10/2024</t>
  </si>
  <si>
    <t>KHI/HO/D/MO/PC COMP/C/99922/115/10/2024</t>
  </si>
  <si>
    <t>KHI/HO/D/MO/PC COMP/C/99922/116/10/2024</t>
  </si>
  <si>
    <t>KHI/HO/D/MO/PC COMP/C/99922/117/10/2024</t>
  </si>
  <si>
    <t>KHI/HO/D/MO/PC COMP/C/99922/118/10/2024</t>
  </si>
  <si>
    <t>KHI/HO/D/MO/PC COMP/C/99922/119/10/2024</t>
  </si>
  <si>
    <t>KHI/HO/D/MO/PC COMP/C/99922/120/10/2024</t>
  </si>
  <si>
    <t>KHI/HO/D/MO/PC COMP/C/99922/121/10/2024</t>
  </si>
  <si>
    <t>KHI/HO/D/MO/PC COMP/C/99922/122/10/2024</t>
  </si>
  <si>
    <t>KHI/HO/D/MO/PC COMP/C/99922/123/10/2024</t>
  </si>
  <si>
    <t>KHI/HO/D/MO/PC COMP/C/99922/124/10/2024</t>
  </si>
  <si>
    <t>KHI/HO/D/MO/PC COMP/C/99922/125/10/2024</t>
  </si>
  <si>
    <t>KHI/HO/D/MO/PC COMP/C/99922/126/10/2024</t>
  </si>
  <si>
    <t>KHI/HO/D/MO/PC COMP/C/99922/127/10/2024</t>
  </si>
  <si>
    <t>KHI/HO/D/MO/PC COMP/C/99922/128/10/2024</t>
  </si>
  <si>
    <t>KHI/HO/D/MO/PC COMP/C/99922/129/10/2024</t>
  </si>
  <si>
    <t>KHI/HO/D/MO/PC COMP/C/99922/130/10/2024</t>
  </si>
  <si>
    <t>KHI/HO/D/MO/PC COMP/C/99922/131/10/2024</t>
  </si>
  <si>
    <t>KHI/HO/D/MO/PC COMP/C/99922/132/10/2024</t>
  </si>
  <si>
    <t>KHI/HO/D/MO/PC COMP/C/99922/133/10/2024</t>
  </si>
  <si>
    <t>KHI/HO/D/MO/PC COMP/C/99922/134/10/2024</t>
  </si>
  <si>
    <t>KHI/HO/D/MO/PC COMP/C/99922/135/10/2024</t>
  </si>
  <si>
    <t>KHI/HO/D/MO/PC COMP/C/99922/136/10/2024</t>
  </si>
  <si>
    <t>KHI/HO/D/MO/PC COMP/C/99922/137/10/2024</t>
  </si>
  <si>
    <t>KHI/HO/D/MO/PC COMP/C/99922/138/10/2024</t>
  </si>
  <si>
    <t>KHI/HO/D/MO/PC COMP/C/99922/139/10/2024</t>
  </si>
  <si>
    <t>KHI/HO/D/MO/PC COMP/C/99922/140/10/2024</t>
  </si>
  <si>
    <t>KHI/HO/D/MO/PC COMP/C/99922/141/10/2024</t>
  </si>
  <si>
    <t>KHI/HO/D/MO/PC COMP/C/99922/142/10/2024</t>
  </si>
  <si>
    <t>KHI/HO/D/MO/PC COMP/C/99922/143/10/2024</t>
  </si>
  <si>
    <t>KHI/HO/D/MO/PC COMP/C/99922/144/10/2024</t>
  </si>
  <si>
    <t>KHI/HO/D/MO/PC COMP/C/99922/145/10/2024</t>
  </si>
  <si>
    <t>KHI/HO/D/MO/PC COMP/C/99922/146/10/2024</t>
  </si>
  <si>
    <t>KHI/HO/D/MO/PC COMP/C/99922/147/10/2024</t>
  </si>
  <si>
    <t>KHI/HO/D/MO/PC COMP/C/99922/148/10/2024</t>
  </si>
  <si>
    <t>KHI/HO/D/MO/PC COMP/C/99922/149/10/2024</t>
  </si>
  <si>
    <t>KHI/HO/D/MO/PC COMP/C/99922/150/10/2024</t>
  </si>
  <si>
    <t>KHI/HO/D/MO/PC COMP/C/99922/151/10/2024</t>
  </si>
  <si>
    <t>KHI/HO/D/MO/PC COMP/C/99922/152/10/2024</t>
  </si>
  <si>
    <t>KHI/HO/D/MO/PC COMP/C/99922/153/10/2024</t>
  </si>
  <si>
    <t>KHI/HO/D/MO/PC COMP/C/99922/154/10/2024</t>
  </si>
  <si>
    <t>KHI/HO/D/MO/PC COMP/C/99922/155/10/2024</t>
  </si>
  <si>
    <t>KHI/HO/D/MO/PC COMP/C/99922/156/10/2024</t>
  </si>
  <si>
    <t>KHI/HO/D/MO/PC COMP/C/99922/157/10/2024</t>
  </si>
  <si>
    <t>KHI/HO/D/MO/PC COMP/C/99922/158/10/2024</t>
  </si>
  <si>
    <t>KHI/HO/D/MO/PC COMP/C/99922/159/10/2024</t>
  </si>
  <si>
    <t>KHI/HO/D/MO/PC COMP/C/99922/160/10/2024</t>
  </si>
  <si>
    <t>KHI/HO/D/MO/PC COMP/C/99922/161/10/2024</t>
  </si>
  <si>
    <t>KHI/HO/D/MO/PC COMP/C/99922/162/10/2024</t>
  </si>
  <si>
    <t>KHI/HO/D/MO/PC COMP/C/99922/163/10/2024</t>
  </si>
  <si>
    <t>KHI/HO/D/MO/PC COMP/C/99922/164/10/2024</t>
  </si>
  <si>
    <t>KHI/HO/D/MO/PC COMP/C/99922/165/10/2024</t>
  </si>
  <si>
    <t>KHI/HO/D/MO/PC COMP/C/99922/166/10/2024</t>
  </si>
  <si>
    <t>KHI/HO/D/MO/PC COMP/C/99922/167/10/2024</t>
  </si>
  <si>
    <t>KHI/HO/D/MO/PC COMP/C/99922/168/10/2024</t>
  </si>
  <si>
    <t>KHI/HO/D/MO/PC COMP/C/99922/169/10/2024</t>
  </si>
  <si>
    <t>KHI/HO/D/MO/PC COMP/C/99922/170/10/2024</t>
  </si>
  <si>
    <t>KHI/HO/D/MO/PC COMP/C/99922/171/10/2024</t>
  </si>
  <si>
    <t>KHI/HO/D/MO/PC COMP/C/99922/172/10/2024</t>
  </si>
  <si>
    <t>KHI/HO/D/MO/PC COMP/C/99922/173/10/2024</t>
  </si>
  <si>
    <t>KHI/HO/D/MO/PC COMP/C/99922/174/10/2024</t>
  </si>
  <si>
    <t>KHI/HO/D/MO/PC COMP/C/99922/175/10/2024</t>
  </si>
  <si>
    <t>KHI/HO/D/MO/PC COMP/C/99922/176/10/2024</t>
  </si>
  <si>
    <t>KHI/HO/D/MO/PC COMP/C/99922/177/10/2024</t>
  </si>
  <si>
    <t>KHI/HO/D/MO/PC COMP/C/99922/178/10/2024</t>
  </si>
  <si>
    <t>KHI/HO/D/MO/PC COMP/C/99922/179/10/2024</t>
  </si>
  <si>
    <t>KHI/HO/D/MO/PC COMP/C/99922/180/10/2024</t>
  </si>
  <si>
    <t>KHI/HO/D/MO/PC COMP/C/99922/181/10/2024</t>
  </si>
  <si>
    <t>KHI/HO/D/MO/PC COMP/C/99922/182/10/2024</t>
  </si>
  <si>
    <t>KHI/HO/D/MO/PC COMP/C/99922/183/10/2024</t>
  </si>
  <si>
    <t>KHI/HO/D/MO/PC COMP/C/99922/184/10/2024</t>
  </si>
  <si>
    <t>KHI/HO/D/MO/PC COMP/C/99922/185/10/2024</t>
  </si>
  <si>
    <t>KHI/HO/D/MO/PC COMP/C/99922/186/10/2024</t>
  </si>
  <si>
    <t>KHI/HO/D/MO/PC COMP/C/99922/187/10/2024</t>
  </si>
  <si>
    <t>KHI/HO/D/MO/PC COMP/C/99922/188/10/2024</t>
  </si>
  <si>
    <t>KHI/HO/D/MO/PC COMP/C/99922/189/10/2024</t>
  </si>
  <si>
    <t>KHI/HO/D/MO/PC COMP/C/99922/190/10/2024</t>
  </si>
  <si>
    <t>KHI/HO/D/MO/PC COMP/C/99922/191/10/2024</t>
  </si>
  <si>
    <t>KHI/HO/D/MO/PC COMP/C/99922/192/10/2024</t>
  </si>
  <si>
    <t>KHI/HO/D/MO/PC COMP/C/99922/193/10/2024</t>
  </si>
  <si>
    <t>KHI/HO/D/MO/PC COMP/C/99922/194/10/2024</t>
  </si>
  <si>
    <t>KHI/HO/D/MO/PC COMP/C/99922/195/10/2024</t>
  </si>
  <si>
    <t>KHI/HO/D/MO/PC COMP/C/99922/196/10/2024</t>
  </si>
  <si>
    <t>KHI/HO/D/MO/PC COMP/C/99922/197/10/2024</t>
  </si>
  <si>
    <t>KHI/HO/D/MO/PC COMP/C/99922/198/10/2024</t>
  </si>
  <si>
    <t>KHI/HO/D/MO/PC COMP/C/99922/199/10/2024</t>
  </si>
  <si>
    <t>KHI/HO/D/MO/PC COMP/C/99922/200/10/2024</t>
  </si>
  <si>
    <t>KHI/HO/D/MO/PC COMP/C/99922/201/10/2024</t>
  </si>
  <si>
    <t>KHI/HO/D/MO/PC COMP/C/99922/202/10/2024</t>
  </si>
  <si>
    <t>KHI/HO/D/MO/PC COMP/C/99922/203/10/2024</t>
  </si>
  <si>
    <t>KHI/HO/D/MO/PC COMP/C/99922/204/10/2024</t>
  </si>
  <si>
    <t>KHI/HO/D/MO/PC COMP/C/99922/205/10/2024</t>
  </si>
  <si>
    <t>KHI/HO/D/MO/PC COMP/C/99922/206/10/2024</t>
  </si>
  <si>
    <t>KHI/HO/D/MO/PC COMP/C/99922/207/10/2024</t>
  </si>
  <si>
    <t>KHI/HO/D/MO/PC COMP/C/99922/208/10/2024</t>
  </si>
  <si>
    <t>KHI/HO/D/MO/PC COMP/C/99922/209/10/2024</t>
  </si>
  <si>
    <t>KHI/HO/D/MO/PC COMP/C/99922/210/10/2024</t>
  </si>
  <si>
    <t>KHI/HO/D/MO/PC COMP/C/99922/211/10/2024</t>
  </si>
  <si>
    <t>KHI/HO/D/MO/PC COMP/C/99922/212/10/2024</t>
  </si>
  <si>
    <t>KHI/HO/D/MO/PC COMP/C/99922/213/10/2024</t>
  </si>
  <si>
    <t>KHI/HO/D/MO/PC COMP/C/99922/214/10/2024</t>
  </si>
  <si>
    <t>KHI/HO/D/MO/PC COMP/C/99922/215/10/2024</t>
  </si>
  <si>
    <t>KHI/HO/D/MO/PC COMP/C/99922/216/10/2024</t>
  </si>
  <si>
    <t>KHI/HO/D/MO/PC COMP/C/99922/217/10/2024</t>
  </si>
  <si>
    <t>KHI/HO/D/MO/PC COMP/C/99922/218/10/2024</t>
  </si>
  <si>
    <t>KHI/HO/D/MO/PC COMP/C/99922/219/10/2024</t>
  </si>
  <si>
    <t>KHI/HO/D/MO/PC COMP/C/99922/220/10/2024</t>
  </si>
  <si>
    <t>KHI/HO/D/MO/PC COMP/C/99922/221/10/2024</t>
  </si>
  <si>
    <t>KHI/HO/D/MO/PC COMP/C/99922/222/10/2024</t>
  </si>
  <si>
    <t>KHI/HO/D/MO/PC COMP/C/99922/223/10/2024</t>
  </si>
  <si>
    <t>KHI/HO/D/MO/PC COMP/C/99922/224/10/2024</t>
  </si>
  <si>
    <t>KHI/HO/D/MO/PC COMP/C/99922/225/10/2024</t>
  </si>
  <si>
    <t>KHI/HO/D/MO/PC COMP/C/99922/226/10/2024</t>
  </si>
  <si>
    <t>KHI/HO/D/MO/PC COMP/C/99922/227/10/2024</t>
  </si>
  <si>
    <t>KHI/HO/D/MO/PC COMP/C/99922/228/10/2024</t>
  </si>
  <si>
    <t>KHI/HO/D/MO/PC COMP/C/99922/229/10/2024</t>
  </si>
  <si>
    <t>KHI/HO/D/MO/PC COMP/C/99922/230/10/2024</t>
  </si>
  <si>
    <t>KHI/HO/D/MO/PC COMP/C/99922/231/10/2024</t>
  </si>
  <si>
    <t>KHI/HO/D/MO/PC COMP/C/99922/232/10/2024</t>
  </si>
  <si>
    <t>KHI/HO/D/MO/PC COMP/C/99922/233/10/2024</t>
  </si>
  <si>
    <t>KHI/HO/D/MO/PC COMP/C/99922/234/10/2024</t>
  </si>
  <si>
    <t>KHI/HO/D/MO/PC COMP/C/99922/235/10/2024</t>
  </si>
  <si>
    <t>KHI/HO/D/MO/PC COMP/C/99922/236/10/2024</t>
  </si>
  <si>
    <t>KHI/HO/D/MO/PC COMP/C/99922/237/10/2024</t>
  </si>
  <si>
    <t>KHI/HO/D/MO/PC COMP/C/99922/238/10/2024</t>
  </si>
  <si>
    <t>KHI/HO/D/MO/PC COMP/C/99922/239/10/2024</t>
  </si>
  <si>
    <t>KHI/HO/D/MO/PC COMP/C/99922/240/10/2024</t>
  </si>
  <si>
    <t>KHI/HO/D/MO/PC COMP/C/99922/241/10/2024</t>
  </si>
  <si>
    <t>KHI/HO/D/MO/PC COMP/C/99922/242/10/2024</t>
  </si>
  <si>
    <t>KHI/HO/D/MO/PC COMP/C/99922/243/10/2024</t>
  </si>
  <si>
    <t>KHI/HO/D/MO/PC COMP/C/99922/244/10/2024</t>
  </si>
  <si>
    <t>KHI/HO/D/MO/PC COMP/C/99922/245/10/2024</t>
  </si>
  <si>
    <t>KHI/HO/D/MO/PC COMP/C/99922/246/10/2024</t>
  </si>
  <si>
    <t>KHI/HO/D/MO/PC COMP/C/99922/247/10/2024</t>
  </si>
  <si>
    <t>KHI/HO/D/MO/PC COMP/C/99922/248/10/2024</t>
  </si>
  <si>
    <t>KHI/HO/D/MO/PC COMP/C/99922/249/10/2024</t>
  </si>
  <si>
    <t>KHI/HO/D/MO/PC COMP/C/99922/250/10/2024</t>
  </si>
  <si>
    <t>KHI/HO/D/MO/PC COMP/C/99922/251/10/2024</t>
  </si>
  <si>
    <t>KHI/HO/D/MO/PC COMP/C/99922/252/10/2024</t>
  </si>
  <si>
    <t>KHI/HO/D/MO/PC COMP/C/99922/253/10/2024</t>
  </si>
  <si>
    <t>KHI/HO/D/MO/PC COMP/C/99922/254/10/2024</t>
  </si>
  <si>
    <t>KHI/HO/D/MO/PC COMP/C/99922/255/10/2024</t>
  </si>
  <si>
    <t>KHI/HO/D/MO/PC COMP/C/99922/256/10/2024</t>
  </si>
  <si>
    <t>KHI/HO/D/MO/PC COMP/C/99922/257/10/2024</t>
  </si>
  <si>
    <t>KHI/HO/D/MO/PC COMP/C/99922/258/10/2024</t>
  </si>
  <si>
    <t>KHI/HO/D/MO/PC COMP/C/99922/259/10/2024</t>
  </si>
  <si>
    <t>KHI/HO/D/MO/PC COMP/C/99922/260/10/2024</t>
  </si>
  <si>
    <t>KHI/HO/D/MO/PC COMP/C/99922/261/10/2024</t>
  </si>
  <si>
    <t>KHI/HO/D/MO/PC COMP/C/99922/262/10/2024</t>
  </si>
  <si>
    <t>KHI/HO/D/MO/PC COMP/C/99922/263/10/2024</t>
  </si>
  <si>
    <t>KHI/HO/D/MO/PC COMP/C/99922/264/10/2024</t>
  </si>
  <si>
    <t>KHI/HO/D/MO/PC COMP/C/99922/265/10/2024</t>
  </si>
  <si>
    <t>KHI/HO/D/MO/PC COMP/C/99922/266/10/2024</t>
  </si>
  <si>
    <t>KHI/HO/D/MO/PC COMP/C/99922/267/10/2024</t>
  </si>
  <si>
    <t>KHI/HO/D/MO/PC COMP/C/99922/268/10/2024</t>
  </si>
  <si>
    <t>KHI/HO/D/MO/PC COMP/C/99922/270/10/2024</t>
  </si>
  <si>
    <t>REN</t>
  </si>
  <si>
    <t>FRE</t>
  </si>
  <si>
    <t>Renewal Total</t>
  </si>
  <si>
    <t>Park in advance</t>
  </si>
  <si>
    <t>Policy still valid 30/11/2024 (Park in advance)</t>
  </si>
  <si>
    <t>Renewal Final</t>
  </si>
  <si>
    <t>advance)</t>
  </si>
  <si>
    <t>-10-2024</t>
  </si>
  <si>
    <t xml:space="preserve"> 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</si>
  <si>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</si>
  <si>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</si>
  <si>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</si>
  <si>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</si>
  <si>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</si>
  <si>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</si>
  <si>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</si>
  <si>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</si>
  <si>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</si>
  <si>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</si>
  <si>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</si>
  <si>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</si>
  <si>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</si>
  <si>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</si>
  <si>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</si>
  <si>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</si>
  <si>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</si>
  <si>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</si>
  <si>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</si>
  <si>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</si>
  <si>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</si>
  <si>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</si>
  <si>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</si>
  <si>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</si>
  <si>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</si>
  <si>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</si>
  <si>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</si>
  <si>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</si>
  <si>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</si>
  <si>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</si>
  <si>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</si>
  <si>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</si>
  <si>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</si>
  <si>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</si>
  <si>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</si>
  <si>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</si>
  <si>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</si>
  <si>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</si>
  <si>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</si>
  <si>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</si>
  <si>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</si>
  <si>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</si>
  <si>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</si>
  <si>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</si>
  <si>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</si>
  <si>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</si>
  <si>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</si>
  <si>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</si>
  <si>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</si>
  <si>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</si>
  <si>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</si>
  <si>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</si>
  <si>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</si>
  <si>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00001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</si>
  <si>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</si>
  <si>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</si>
  <si>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</si>
  <si>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</si>
  <si>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</si>
  <si>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</si>
  <si>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</si>
  <si>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</si>
  <si>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</si>
  <si>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</si>
  <si>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</si>
  <si>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</si>
  <si>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</si>
  <si>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</si>
  <si>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</si>
  <si>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</si>
  <si>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</si>
  <si>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</si>
  <si>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</si>
  <si>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</si>
  <si>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</si>
  <si>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</si>
  <si>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</si>
  <si>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</si>
  <si>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</si>
  <si>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</si>
  <si>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</si>
  <si>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</si>
  <si>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</si>
  <si>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</si>
  <si>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</si>
  <si>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</si>
  <si>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</si>
  <si>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</si>
  <si>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</si>
  <si>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</si>
  <si>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</si>
  <si>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</si>
  <si>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</si>
  <si>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</si>
  <si>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</si>
  <si>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</si>
  <si>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</si>
  <si>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</si>
  <si>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</si>
  <si>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</si>
  <si>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</si>
  <si>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</si>
  <si>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</si>
  <si>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</si>
  <si>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</si>
  <si>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</si>
  <si>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</si>
  <si>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</si>
  <si>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</si>
  <si>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</si>
  <si>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</si>
  <si>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</si>
  <si>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</si>
  <si>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</si>
  <si>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</si>
  <si>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</si>
  <si>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</si>
  <si>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</si>
  <si>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</si>
  <si>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</si>
  <si>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</si>
  <si>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</si>
  <si>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</si>
  <si>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</si>
  <si>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</si>
  <si>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</si>
  <si>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</si>
  <si>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</si>
  <si>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</si>
  <si>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</si>
  <si>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</si>
  <si>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</si>
  <si>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</si>
  <si>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</si>
  <si>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</si>
  <si>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</si>
  <si>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</si>
  <si>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</si>
  <si>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</si>
  <si>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</si>
  <si>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</si>
  <si>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</si>
  <si>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</si>
  <si>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</si>
  <si>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</si>
  <si>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</si>
  <si>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</si>
  <si>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</si>
  <si>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</si>
  <si>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</si>
  <si>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</si>
  <si>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</si>
  <si>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</si>
  <si>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</si>
  <si>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</si>
  <si>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</si>
  <si>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</si>
  <si>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</si>
  <si>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</si>
  <si>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</si>
  <si>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</si>
  <si>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</si>
  <si>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</si>
  <si>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</si>
  <si>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</si>
  <si>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</si>
  <si>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</si>
  <si>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</si>
  <si>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</si>
  <si>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</si>
  <si>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</si>
  <si>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</si>
  <si>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</si>
  <si>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</si>
  <si>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</si>
  <si>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</si>
  <si>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</si>
  <si>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</si>
  <si>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</si>
  <si>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</si>
  <si>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</si>
  <si>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</si>
  <si>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</si>
  <si>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</si>
  <si>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</si>
  <si>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</si>
  <si>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</si>
  <si>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</si>
  <si>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</si>
  <si>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</si>
  <si>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</si>
  <si>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</si>
  <si>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</si>
  <si>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</si>
  <si>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</si>
  <si>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</si>
  <si>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</si>
  <si>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</si>
  <si>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</si>
  <si>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</si>
  <si>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</si>
  <si>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</si>
  <si>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</si>
  <si>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</si>
  <si>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</si>
  <si>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</si>
  <si>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</si>
  <si>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</si>
  <si>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</si>
  <si>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</si>
  <si>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</si>
  <si>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</si>
  <si>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</si>
  <si>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</si>
  <si>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</si>
  <si>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</si>
  <si>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</si>
  <si>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</si>
  <si>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</si>
  <si>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</si>
  <si>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</si>
  <si>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</si>
  <si>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</si>
  <si>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</si>
  <si>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</si>
  <si>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</si>
  <si>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</si>
  <si>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</si>
  <si>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</si>
  <si>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</si>
  <si>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</si>
  <si>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</si>
  <si>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</si>
  <si>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</si>
  <si>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</si>
  <si>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</si>
  <si>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</si>
  <si>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</si>
  <si>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</si>
  <si>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</si>
  <si>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</si>
  <si>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</si>
  <si>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</si>
  <si>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</si>
  <si>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</si>
  <si>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</si>
  <si>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</si>
  <si>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</si>
  <si>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</si>
  <si>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</si>
  <si>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</si>
  <si>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</si>
  <si>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</si>
  <si>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</si>
  <si>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</si>
  <si>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</si>
  <si>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</si>
  <si>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</si>
  <si>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</si>
  <si>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</si>
  <si>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</si>
  <si>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</si>
  <si>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</si>
  <si>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</si>
  <si>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</si>
  <si>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</si>
  <si>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</si>
  <si>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</si>
  <si>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</si>
  <si>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 xml:space="preserve">   </t>
  </si>
  <si>
    <t>FUNC_ASSORTED_STRING(IA.ASSORTED_CODE)</t>
  </si>
  <si>
    <t>ASSORTED_CODE</t>
  </si>
  <si>
    <t>070000168902</t>
  </si>
  <si>
    <t>070000168903</t>
  </si>
  <si>
    <t>070000168904</t>
  </si>
  <si>
    <t>070000168905</t>
  </si>
  <si>
    <t>070000168906</t>
  </si>
  <si>
    <t>070000168907</t>
  </si>
  <si>
    <t>070000168908</t>
  </si>
  <si>
    <t>070000168909</t>
  </si>
  <si>
    <t>070000168910</t>
  </si>
  <si>
    <t>070000168912</t>
  </si>
  <si>
    <t>070000168913</t>
  </si>
  <si>
    <t>070000168915</t>
  </si>
  <si>
    <t>070000168916</t>
  </si>
  <si>
    <t>070000168917</t>
  </si>
  <si>
    <t>070000168919</t>
  </si>
  <si>
    <t>070000168920</t>
  </si>
  <si>
    <t>070000168922</t>
  </si>
  <si>
    <t>070000168923</t>
  </si>
  <si>
    <t>070000168924</t>
  </si>
  <si>
    <t>070000168926</t>
  </si>
  <si>
    <t>070000168927</t>
  </si>
  <si>
    <t>070000168928</t>
  </si>
  <si>
    <t>070000168929</t>
  </si>
  <si>
    <t>070000168930</t>
  </si>
  <si>
    <t>070000168931</t>
  </si>
  <si>
    <t>070000168932</t>
  </si>
  <si>
    <t>070000168933</t>
  </si>
  <si>
    <t>070000168934</t>
  </si>
  <si>
    <t>070000168935</t>
  </si>
  <si>
    <t>070000168937</t>
  </si>
  <si>
    <t>070000168938</t>
  </si>
  <si>
    <t>070000168939</t>
  </si>
  <si>
    <t>070000168941</t>
  </si>
  <si>
    <t>070000168942</t>
  </si>
  <si>
    <t>070000168944</t>
  </si>
  <si>
    <t>070000168945</t>
  </si>
  <si>
    <t>070000168946</t>
  </si>
  <si>
    <t>070000168948</t>
  </si>
  <si>
    <t>070000168949</t>
  </si>
  <si>
    <t>070000168951</t>
  </si>
  <si>
    <t>070000168952</t>
  </si>
  <si>
    <t>070000168953</t>
  </si>
  <si>
    <t>070000168955</t>
  </si>
  <si>
    <t>070000168806</t>
  </si>
  <si>
    <t>070000168807</t>
  </si>
  <si>
    <t>070000168808</t>
  </si>
  <si>
    <t>070000168809</t>
  </si>
  <si>
    <t>070000168810</t>
  </si>
  <si>
    <t>070000168811</t>
  </si>
  <si>
    <t>070000168812</t>
  </si>
  <si>
    <t>070000168814</t>
  </si>
  <si>
    <t>070000168956</t>
  </si>
  <si>
    <t>070000168957</t>
  </si>
  <si>
    <t>070000168958</t>
  </si>
  <si>
    <t>070000168959</t>
  </si>
  <si>
    <t>070000168960</t>
  </si>
  <si>
    <t>070000168961</t>
  </si>
  <si>
    <t>070000168962</t>
  </si>
  <si>
    <t>070000168963</t>
  </si>
  <si>
    <t>070000168964</t>
  </si>
  <si>
    <t>070000168966</t>
  </si>
  <si>
    <t>070000168967</t>
  </si>
  <si>
    <t>070000168969</t>
  </si>
  <si>
    <t>070000168970</t>
  </si>
  <si>
    <t>070000168971</t>
  </si>
  <si>
    <t>070000168973</t>
  </si>
  <si>
    <t>070000168974</t>
  </si>
  <si>
    <t>070000168976</t>
  </si>
  <si>
    <t>070000168977</t>
  </si>
  <si>
    <t>070000168978</t>
  </si>
  <si>
    <t>070000168815</t>
  </si>
  <si>
    <t>070000168816</t>
  </si>
  <si>
    <t>070000168817</t>
  </si>
  <si>
    <t>070000168818</t>
  </si>
  <si>
    <t>070000168819</t>
  </si>
  <si>
    <t>070000168820</t>
  </si>
  <si>
    <t>070000168821</t>
  </si>
  <si>
    <t>070000168822</t>
  </si>
  <si>
    <t>070000168823</t>
  </si>
  <si>
    <t>070000168825</t>
  </si>
  <si>
    <t>070000168826</t>
  </si>
  <si>
    <t>070000168828</t>
  </si>
  <si>
    <t>070000168829</t>
  </si>
  <si>
    <t>070000168830</t>
  </si>
  <si>
    <t>070000168832</t>
  </si>
  <si>
    <t>070000168833</t>
  </si>
  <si>
    <t>070000168835</t>
  </si>
  <si>
    <t>070000168836</t>
  </si>
  <si>
    <t>070000168837</t>
  </si>
  <si>
    <t>070000168979</t>
  </si>
  <si>
    <t>070000168980</t>
  </si>
  <si>
    <t>070000168981</t>
  </si>
  <si>
    <t>070000168982</t>
  </si>
  <si>
    <t>070000168983</t>
  </si>
  <si>
    <t>070000168984</t>
  </si>
  <si>
    <t>070000168985</t>
  </si>
  <si>
    <t>070000168987</t>
  </si>
  <si>
    <t>070000168988</t>
  </si>
  <si>
    <t>070000168990</t>
  </si>
  <si>
    <t>070000168991</t>
  </si>
  <si>
    <t>070000168992</t>
  </si>
  <si>
    <t>070000168994</t>
  </si>
  <si>
    <t>070000168995</t>
  </si>
  <si>
    <t>070000168997</t>
  </si>
  <si>
    <t>070000168998</t>
  </si>
  <si>
    <t>070000168999</t>
  </si>
  <si>
    <t>070000168838</t>
  </si>
  <si>
    <t>070000168839</t>
  </si>
  <si>
    <t>070000168840</t>
  </si>
  <si>
    <t>070000168841</t>
  </si>
  <si>
    <t>070000168842</t>
  </si>
  <si>
    <t>070000168843</t>
  </si>
  <si>
    <t>070000168844</t>
  </si>
  <si>
    <t>070000168845</t>
  </si>
  <si>
    <t>070000168846</t>
  </si>
  <si>
    <t>070000168848</t>
  </si>
  <si>
    <t>070000168849</t>
  </si>
  <si>
    <t>070000168851</t>
  </si>
  <si>
    <t>070000168852</t>
  </si>
  <si>
    <t>070000168853</t>
  </si>
  <si>
    <t>070000168855</t>
  </si>
  <si>
    <t>070000168856</t>
  </si>
  <si>
    <t>070000168857</t>
  </si>
  <si>
    <t>070000168858</t>
  </si>
  <si>
    <t>070000168859</t>
  </si>
  <si>
    <t>070000168860</t>
  </si>
  <si>
    <t>070000168861</t>
  </si>
  <si>
    <t>070000168862</t>
  </si>
  <si>
    <t>070000168863</t>
  </si>
  <si>
    <t>070000168865</t>
  </si>
  <si>
    <t>070000168866</t>
  </si>
  <si>
    <t>070000168867</t>
  </si>
  <si>
    <t>070000168868</t>
  </si>
  <si>
    <t>070000168869</t>
  </si>
  <si>
    <t>070000168870</t>
  </si>
  <si>
    <t>070000168872</t>
  </si>
  <si>
    <t>070000168873</t>
  </si>
  <si>
    <t>070000168874</t>
  </si>
  <si>
    <t>070000168875</t>
  </si>
  <si>
    <t>070000168876</t>
  </si>
  <si>
    <t>070000168877</t>
  </si>
  <si>
    <t>070000168878</t>
  </si>
  <si>
    <t>070000168879</t>
  </si>
  <si>
    <t>070000168880</t>
  </si>
  <si>
    <t>070000168881</t>
  </si>
  <si>
    <t>070000168883</t>
  </si>
  <si>
    <t>070000168884</t>
  </si>
  <si>
    <t>070000168885</t>
  </si>
  <si>
    <t>070000168887</t>
  </si>
  <si>
    <t>070000168888</t>
  </si>
  <si>
    <t>070000168890</t>
  </si>
  <si>
    <t>070000168891</t>
  </si>
  <si>
    <t>070000168892</t>
  </si>
  <si>
    <t>070000168894</t>
  </si>
  <si>
    <t>070000168895</t>
  </si>
  <si>
    <t>070000168897</t>
  </si>
  <si>
    <t>070000168898</t>
  </si>
  <si>
    <t>070000168899</t>
  </si>
  <si>
    <t>070000168901</t>
  </si>
  <si>
    <t>070000168834</t>
  </si>
  <si>
    <t>070000168738</t>
  </si>
  <si>
    <t>070000168747</t>
  </si>
  <si>
    <t>070000168751</t>
  </si>
  <si>
    <t>070000168780</t>
  </si>
  <si>
    <t>070000168783</t>
  </si>
  <si>
    <t>070000168787</t>
  </si>
  <si>
    <t>070000168790</t>
  </si>
  <si>
    <t>070000168795</t>
  </si>
  <si>
    <t>070000168799</t>
  </si>
  <si>
    <t>070000168802</t>
  </si>
  <si>
    <t>070000168847</t>
  </si>
  <si>
    <t>070000168936</t>
  </si>
  <si>
    <t>070000168940</t>
  </si>
  <si>
    <t>070000168943</t>
  </si>
  <si>
    <t>070000168947</t>
  </si>
  <si>
    <t>070000168950</t>
  </si>
  <si>
    <t>070000168954</t>
  </si>
  <si>
    <t>070000168730</t>
  </si>
  <si>
    <t>070000168731</t>
  </si>
  <si>
    <t>070000168732</t>
  </si>
  <si>
    <t>070000168733</t>
  </si>
  <si>
    <t>070000168734</t>
  </si>
  <si>
    <t>070000168735</t>
  </si>
  <si>
    <t>070000168736</t>
  </si>
  <si>
    <t>070000168737</t>
  </si>
  <si>
    <t>070000168739</t>
  </si>
  <si>
    <t>070000168740</t>
  </si>
  <si>
    <t>070000168741</t>
  </si>
  <si>
    <t>070000168742</t>
  </si>
  <si>
    <t>070000168743</t>
  </si>
  <si>
    <t>070000168744</t>
  </si>
  <si>
    <t>070000168745</t>
  </si>
  <si>
    <t>070000168746</t>
  </si>
  <si>
    <t>070000168748</t>
  </si>
  <si>
    <t>070000168749</t>
  </si>
  <si>
    <t>070000168750</t>
  </si>
  <si>
    <t>070000168752</t>
  </si>
  <si>
    <t>070000168753</t>
  </si>
  <si>
    <t>070000168755</t>
  </si>
  <si>
    <t>070000168756</t>
  </si>
  <si>
    <t>070000168757</t>
  </si>
  <si>
    <t>070000168759</t>
  </si>
  <si>
    <t>070000168760</t>
  </si>
  <si>
    <t>070000168762</t>
  </si>
  <si>
    <t>070000168763</t>
  </si>
  <si>
    <t>070000168764</t>
  </si>
  <si>
    <t>070000168767</t>
  </si>
  <si>
    <t>070000168768</t>
  </si>
  <si>
    <t>070000168769</t>
  </si>
  <si>
    <t>070000168770</t>
  </si>
  <si>
    <t>070000168771</t>
  </si>
  <si>
    <t>070000168772</t>
  </si>
  <si>
    <t>070000168773</t>
  </si>
  <si>
    <t>070000168774</t>
  </si>
  <si>
    <t>070000168775</t>
  </si>
  <si>
    <t>070000168777</t>
  </si>
  <si>
    <t>070000168778</t>
  </si>
  <si>
    <t>070000168779</t>
  </si>
  <si>
    <t>070000168781</t>
  </si>
  <si>
    <t>070000168782</t>
  </si>
  <si>
    <t>070000168784</t>
  </si>
  <si>
    <t>070000168785</t>
  </si>
  <si>
    <t>070000168786</t>
  </si>
  <si>
    <t>070000168788</t>
  </si>
  <si>
    <t>070000168789</t>
  </si>
  <si>
    <t>070000168791</t>
  </si>
  <si>
    <t>070000168792</t>
  </si>
  <si>
    <t>070000168793</t>
  </si>
  <si>
    <t>070000168794</t>
  </si>
  <si>
    <t>070000168796</t>
  </si>
  <si>
    <t>070000168797</t>
  </si>
  <si>
    <t>070000168798</t>
  </si>
  <si>
    <t>070000168800</t>
  </si>
  <si>
    <t>070000168801</t>
  </si>
  <si>
    <t>070000168803</t>
  </si>
  <si>
    <t>070000168804</t>
  </si>
  <si>
    <t>070000168754</t>
  </si>
  <si>
    <t>070000168758</t>
  </si>
  <si>
    <t>070000168761</t>
  </si>
  <si>
    <t>070000168765</t>
  </si>
  <si>
    <t>070000168776</t>
  </si>
  <si>
    <t>070000168824</t>
  </si>
  <si>
    <t>070000168827</t>
  </si>
  <si>
    <t>070000168831</t>
  </si>
  <si>
    <t>070000168850</t>
  </si>
  <si>
    <t>070000168854</t>
  </si>
  <si>
    <t>070000168864</t>
  </si>
  <si>
    <t>070000168871</t>
  </si>
  <si>
    <t>070000168882</t>
  </si>
  <si>
    <t>070000168886</t>
  </si>
  <si>
    <t>070000168889</t>
  </si>
  <si>
    <t>070000168893</t>
  </si>
  <si>
    <t>070000168896</t>
  </si>
  <si>
    <t>070000168900</t>
  </si>
  <si>
    <t>070000168911</t>
  </si>
  <si>
    <t>070000168914</t>
  </si>
  <si>
    <t>070000168918</t>
  </si>
  <si>
    <t>070000168921</t>
  </si>
  <si>
    <t>070000168925</t>
  </si>
  <si>
    <t>070000168993</t>
  </si>
  <si>
    <t>070000168996</t>
  </si>
  <si>
    <t>070000169001</t>
  </si>
  <si>
    <t>070000168813</t>
  </si>
  <si>
    <t>070000167869</t>
  </si>
  <si>
    <t>070000169000</t>
  </si>
  <si>
    <t>070000168965</t>
  </si>
  <si>
    <t>070000168968</t>
  </si>
  <si>
    <t>070000168972</t>
  </si>
  <si>
    <t>070000168975</t>
  </si>
  <si>
    <t>070000168986</t>
  </si>
  <si>
    <t>070000168989</t>
  </si>
  <si>
    <t>070000167616</t>
  </si>
  <si>
    <t>POLICY NO.</t>
  </si>
  <si>
    <t>Assorted_code</t>
  </si>
  <si>
    <t>Premium</t>
  </si>
  <si>
    <t>040000187295</t>
  </si>
  <si>
    <t>01Nov240029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</si>
</sst>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409]mmm\-yy;@"/>
    <numFmt numFmtId="166" formatCode="[$-409]d\-mmm\-yy;@"/>
    <numFmt numFmtId="167" formatCode="#,##0;[Red]#,##0"/>
    <numFmt numFmtId="168" formatCode="_(* #,##0_);_(* \(#,##0\);_(* &quot;-&quot;??_);_(@_)"/>
    <numFmt numFmtId="169" formatCode="[$-409]d\-mmm\-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ext"/>
    </font>
    <font>
      <sz val="9"/>
      <color rgb="FF000000"/>
      <name val="Text"/>
    </font>
    <font>
      <sz val="9"/>
      <color rgb="FF000000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A"/>
      <name val="Calibri"/>
      <family val="2"/>
    </font>
    <font>
      <b/>
      <sz val="10"/>
      <color rgb="FF000000"/>
      <name val="Calibri"/>
      <family val="2"/>
    </font>
    <font>
      <sz val="11"/>
      <color rgb="FF1F497D"/>
      <name val="Calibri"/>
      <family val="2"/>
      <scheme val="minor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rgb="FFC0C0C0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8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7" fontId="2" fillId="2" borderId="1" xfId="1" applyNumberFormat="1" applyFont="1" applyFill="1" applyBorder="1" applyAlignment="1">
      <alignment horizontal="left" vertical="center" wrapText="1"/>
    </xf>
    <xf numFmtId="10" fontId="2" fillId="2" borderId="1" xfId="2" applyNumberFormat="1" applyFont="1" applyFill="1" applyBorder="1" applyAlignment="1">
      <alignment horizontal="center" vertical="center" wrapText="1"/>
    </xf>
    <xf numFmtId="168" fontId="2" fillId="2" borderId="1" xfId="1" applyNumberFormat="1" applyFont="1" applyFill="1" applyBorder="1" applyAlignment="1">
      <alignment horizontal="center" vertical="center" wrapText="1"/>
    </xf>
    <xf numFmtId="167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5" fontId="2" fillId="2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5" fontId="4" fillId="3" borderId="1" xfId="1" applyNumberFormat="1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7" fontId="3" fillId="3" borderId="1" xfId="1" applyNumberFormat="1" applyFont="1" applyFill="1" applyBorder="1" applyAlignment="1" applyProtection="1">
      <alignment horizontal="left" vertical="center"/>
    </xf>
    <xf numFmtId="10" fontId="3" fillId="3" borderId="1" xfId="2" applyNumberFormat="1" applyFont="1" applyFill="1" applyBorder="1" applyAlignment="1" applyProtection="1">
      <alignment horizontal="center" vertical="center"/>
    </xf>
    <xf numFmtId="168" fontId="3" fillId="3" borderId="1" xfId="1" applyNumberFormat="1" applyFont="1" applyFill="1" applyBorder="1" applyAlignment="1">
      <alignment horizontal="center" vertical="center"/>
    </xf>
    <xf numFmtId="167" fontId="3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16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 wrapText="1"/>
    </xf>
    <xf numFmtId="10" fontId="4" fillId="0" borderId="1" xfId="2" applyNumberFormat="1" applyFont="1" applyBorder="1" applyAlignment="1">
      <alignment horizontal="center" vertical="center"/>
    </xf>
    <xf numFmtId="168" fontId="7" fillId="0" borderId="1" xfId="1" applyNumberFormat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5" fontId="2" fillId="4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7" fontId="2" fillId="4" borderId="1" xfId="1" applyNumberFormat="1" applyFont="1" applyFill="1" applyBorder="1" applyAlignment="1">
      <alignment horizontal="center" vertical="center" wrapText="1"/>
    </xf>
    <xf numFmtId="10" fontId="2" fillId="4" borderId="1" xfId="2" applyNumberFormat="1" applyFont="1" applyFill="1" applyBorder="1" applyAlignment="1">
      <alignment horizontal="center" vertical="center" wrapText="1"/>
    </xf>
    <xf numFmtId="168" fontId="2" fillId="4" borderId="1" xfId="1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6" fontId="9" fillId="5" borderId="1" xfId="0" applyNumberFormat="1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7" borderId="2" xfId="0" applyFont="1" applyFill="1" applyBorder="1" applyAlignment="1">
      <alignment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0" fontId="0" fillId="0" borderId="1" xfId="0" applyBorder="1"/>
    <xf numFmtId="168" fontId="0" fillId="0" borderId="1" xfId="1" applyNumberFormat="1" applyFont="1" applyBorder="1"/>
    <xf numFmtId="168" fontId="0" fillId="0" borderId="1" xfId="0" applyNumberFormat="1" applyBorder="1"/>
    <xf numFmtId="0" fontId="0" fillId="0" borderId="1" xfId="0" applyBorder="1" applyAlignment="1">
      <alignment vertical="top"/>
    </xf>
    <xf numFmtId="0" fontId="2" fillId="8" borderId="1" xfId="0" applyFont="1" applyFill="1" applyBorder="1" applyAlignment="1">
      <alignment horizontal="center" vertical="center"/>
    </xf>
    <xf numFmtId="168" fontId="10" fillId="8" borderId="1" xfId="1" applyNumberFormat="1" applyFont="1" applyFill="1" applyBorder="1"/>
    <xf numFmtId="168" fontId="10" fillId="9" borderId="1" xfId="1" applyNumberFormat="1" applyFont="1" applyFill="1" applyBorder="1"/>
    <xf numFmtId="168" fontId="15" fillId="0" borderId="0" xfId="1" applyNumberFormat="1" applyFont="1" applyBorder="1" applyAlignment="1">
      <alignment horizontal="center" vertical="center"/>
    </xf>
    <xf numFmtId="168" fontId="0" fillId="0" borderId="0" xfId="1" applyNumberFormat="1" applyFont="1" applyBorder="1"/>
    <xf numFmtId="168" fontId="0" fillId="0" borderId="0" xfId="0" applyNumberFormat="1"/>
    <xf numFmtId="168" fontId="12" fillId="8" borderId="1" xfId="1" applyNumberFormat="1" applyFont="1" applyFill="1" applyBorder="1" applyAlignment="1">
      <alignment horizontal="center" vertical="center"/>
    </xf>
    <xf numFmtId="0" fontId="10" fillId="8" borderId="1" xfId="0" applyFont="1" applyFill="1" applyBorder="1"/>
    <xf numFmtId="168" fontId="10" fillId="0" borderId="1" xfId="1" applyNumberFormat="1" applyFont="1" applyBorder="1"/>
    <xf numFmtId="0" fontId="10" fillId="0" borderId="1" xfId="0" applyFont="1" applyBorder="1"/>
    <xf numFmtId="168" fontId="12" fillId="0" borderId="1" xfId="1" applyNumberFormat="1" applyFont="1" applyBorder="1" applyAlignment="1">
      <alignment vertical="center"/>
    </xf>
    <xf numFmtId="168" fontId="10" fillId="8" borderId="1" xfId="0" applyNumberFormat="1" applyFont="1" applyFill="1" applyBorder="1"/>
    <xf numFmtId="0" fontId="11" fillId="6" borderId="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/>
    </xf>
    <xf numFmtId="0" fontId="16" fillId="0" borderId="0" xfId="0" applyFont="1"/>
    <xf numFmtId="0" fontId="10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168" fontId="17" fillId="0" borderId="0" xfId="1" applyNumberFormat="1" applyFont="1" applyAlignment="1">
      <alignment vertical="top"/>
    </xf>
    <xf numFmtId="0" fontId="0" fillId="8" borderId="0" xfId="0" applyFill="1" applyAlignment="1">
      <alignment vertical="top" wrapText="1"/>
    </xf>
    <xf numFmtId="0" fontId="0" fillId="8" borderId="0" xfId="0" applyFill="1" applyAlignment="1">
      <alignment horizontal="left" vertical="top" wrapText="1"/>
    </xf>
    <xf numFmtId="0" fontId="0" fillId="8" borderId="0" xfId="0" applyFill="1" applyAlignment="1">
      <alignment wrapText="1"/>
    </xf>
    <xf numFmtId="49" fontId="0" fillId="0" borderId="0" xfId="0" applyNumberFormat="1" applyAlignment="1">
      <alignment vertical="top"/>
    </xf>
    <xf numFmtId="0" fontId="1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F8"/>
  <sheetViews>
    <sheetView topLeftCell="S1" workbookViewId="0">
      <selection activeCell="AC14" sqref="AC14"/>
    </sheetView>
  </sheetViews>
  <sheetFormatPr defaultRowHeight="15"/>
  <cols>
    <col min="25" max="25" width="24.28515625" bestFit="1" customWidth="1"/>
    <col min="26" max="26" width="9.42578125" bestFit="1" customWidth="1"/>
    <col min="29" max="29" width="40.140625" bestFit="1" customWidth="1"/>
    <col min="30" max="30" width="11.140625" bestFit="1" customWidth="1"/>
  </cols>
  <sheetData>
    <row r="3" spans="1:32" ht="36">
      <c r="A3" s="1" t="s">
        <v>0</v>
      </c>
      <c r="B3" s="2" t="s">
        <v>1</v>
      </c>
      <c r="C3" s="1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1" t="s">
        <v>7</v>
      </c>
      <c r="I3" s="5" t="s">
        <v>8</v>
      </c>
      <c r="J3" s="6" t="s">
        <v>9</v>
      </c>
      <c r="K3" s="7" t="s">
        <v>10</v>
      </c>
      <c r="L3" s="7" t="s">
        <v>11</v>
      </c>
      <c r="M3" s="8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9" t="s">
        <v>17</v>
      </c>
      <c r="S3" s="9" t="s">
        <v>18</v>
      </c>
      <c r="T3" s="10" t="s">
        <v>19</v>
      </c>
      <c r="U3" s="11" t="s">
        <v>20</v>
      </c>
      <c r="V3" s="12" t="s">
        <v>21</v>
      </c>
      <c r="W3" s="12" t="s">
        <v>22</v>
      </c>
      <c r="X3" s="13" t="s">
        <v>23</v>
      </c>
      <c r="Y3" s="14" t="s">
        <v>24</v>
      </c>
      <c r="Z3" s="12" t="s">
        <v>25</v>
      </c>
      <c r="AA3" s="12" t="s">
        <v>26</v>
      </c>
      <c r="AB3" s="15" t="s">
        <v>27</v>
      </c>
      <c r="AC3" s="47" t="s">
        <v>2070</v>
      </c>
      <c r="AD3" s="47" t="s">
        <v>2101</v>
      </c>
      <c r="AE3" s="47" t="s">
        <v>2102</v>
      </c>
      <c r="AF3" s="47" t="s">
        <v>2103</v>
      </c>
    </row>
    <row r="4" spans="1:32">
      <c r="A4" s="16" t="s">
        <v>28</v>
      </c>
      <c r="B4" s="17">
        <v>45595</v>
      </c>
      <c r="C4" s="18" t="s">
        <v>29</v>
      </c>
      <c r="D4" s="18" t="s">
        <v>30</v>
      </c>
      <c r="E4" s="19" t="s">
        <v>31</v>
      </c>
      <c r="F4" s="20">
        <v>45580</v>
      </c>
      <c r="G4" s="21">
        <v>45945</v>
      </c>
      <c r="H4" s="16" t="s">
        <v>32</v>
      </c>
      <c r="I4" s="16" t="s">
        <v>33</v>
      </c>
      <c r="J4" s="22" t="s">
        <v>34</v>
      </c>
      <c r="K4" s="18" t="s">
        <v>35</v>
      </c>
      <c r="L4" s="18" t="s">
        <v>36</v>
      </c>
      <c r="M4" s="18" t="s">
        <v>37</v>
      </c>
      <c r="N4" s="23">
        <v>3520212256149</v>
      </c>
      <c r="O4" s="22" t="s">
        <v>38</v>
      </c>
      <c r="P4" s="22">
        <v>2116</v>
      </c>
      <c r="Q4" s="22">
        <v>573</v>
      </c>
      <c r="R4" s="24">
        <v>45582</v>
      </c>
      <c r="S4" s="24">
        <v>46675</v>
      </c>
      <c r="T4" s="25">
        <v>9081000</v>
      </c>
      <c r="U4" s="26">
        <v>1.4999999999999999E-2</v>
      </c>
      <c r="V4" s="27">
        <v>136215</v>
      </c>
      <c r="W4" s="27">
        <v>0</v>
      </c>
      <c r="X4" s="28">
        <v>136215</v>
      </c>
      <c r="Y4" s="22" t="s">
        <v>39</v>
      </c>
      <c r="Z4" s="22" t="s">
        <v>40</v>
      </c>
      <c r="AA4" s="21" t="s">
        <v>41</v>
      </c>
      <c r="AB4" s="21">
        <v>45596</v>
      </c>
      <c r="AC4" s="65" t="s">
        <v>30</v>
      </c>
      <c r="AD4" s="66">
        <v>136215</v>
      </c>
      <c r="AE4" s="67">
        <f>X4-AD4</f>
        <v>0</v>
      </c>
      <c r="AF4" s="68" t="s">
        <v>2377</v>
      </c>
    </row>
    <row r="5" spans="1:32">
      <c r="A5" s="16" t="s">
        <v>28</v>
      </c>
      <c r="B5" s="17">
        <v>45595</v>
      </c>
      <c r="C5" s="18" t="s">
        <v>29</v>
      </c>
      <c r="D5" s="18" t="s">
        <v>42</v>
      </c>
      <c r="E5" s="29" t="s">
        <v>43</v>
      </c>
      <c r="F5" s="20">
        <v>45589</v>
      </c>
      <c r="G5" s="21">
        <v>45954</v>
      </c>
      <c r="H5" s="16" t="s">
        <v>44</v>
      </c>
      <c r="I5" s="16" t="s">
        <v>33</v>
      </c>
      <c r="J5" s="22" t="s">
        <v>45</v>
      </c>
      <c r="K5" s="18" t="s">
        <v>47</v>
      </c>
      <c r="L5" s="18" t="s">
        <v>46</v>
      </c>
      <c r="M5" s="18" t="s">
        <v>48</v>
      </c>
      <c r="N5" s="23">
        <v>3520116709813</v>
      </c>
      <c r="O5" s="22" t="s">
        <v>49</v>
      </c>
      <c r="P5" s="22">
        <v>2045</v>
      </c>
      <c r="Q5" s="22">
        <v>573</v>
      </c>
      <c r="R5" s="24">
        <v>45594</v>
      </c>
      <c r="S5" s="24">
        <v>47416</v>
      </c>
      <c r="T5" s="25">
        <v>8899000</v>
      </c>
      <c r="U5" s="26">
        <v>1.4999999999999999E-2</v>
      </c>
      <c r="V5" s="27">
        <v>133485</v>
      </c>
      <c r="W5" s="27">
        <v>0</v>
      </c>
      <c r="X5" s="28">
        <v>133485</v>
      </c>
      <c r="Y5" s="22" t="s">
        <v>39</v>
      </c>
      <c r="Z5" s="22" t="s">
        <v>40</v>
      </c>
      <c r="AA5" s="21" t="s">
        <v>41</v>
      </c>
      <c r="AB5" s="21">
        <v>45596</v>
      </c>
      <c r="AC5" s="68" t="s">
        <v>42</v>
      </c>
      <c r="AD5" s="66">
        <v>133485</v>
      </c>
      <c r="AE5" s="67">
        <f>X5-AD5</f>
        <v>0</v>
      </c>
      <c r="AF5" s="68" t="s">
        <v>2377</v>
      </c>
    </row>
    <row r="6" spans="1:32">
      <c r="A6" s="16" t="s">
        <v>28</v>
      </c>
      <c r="B6" s="17">
        <v>45595</v>
      </c>
      <c r="C6" s="22" t="s">
        <v>50</v>
      </c>
      <c r="D6" s="18" t="s">
        <v>51</v>
      </c>
      <c r="E6" s="19" t="s">
        <v>52</v>
      </c>
      <c r="F6" s="20">
        <v>45589</v>
      </c>
      <c r="G6" s="21">
        <v>45954</v>
      </c>
      <c r="H6" s="16" t="s">
        <v>53</v>
      </c>
      <c r="I6" s="16" t="s">
        <v>54</v>
      </c>
      <c r="J6" s="22" t="s">
        <v>55</v>
      </c>
      <c r="K6" s="18" t="s">
        <v>56</v>
      </c>
      <c r="L6" s="18" t="s">
        <v>57</v>
      </c>
      <c r="M6" s="30" t="s">
        <v>58</v>
      </c>
      <c r="N6" s="23">
        <v>3520225986709</v>
      </c>
      <c r="O6" s="22" t="s">
        <v>59</v>
      </c>
      <c r="P6" s="22">
        <v>1003</v>
      </c>
      <c r="Q6" s="22">
        <v>528</v>
      </c>
      <c r="R6" s="24">
        <v>45230</v>
      </c>
      <c r="S6" s="24">
        <v>47782</v>
      </c>
      <c r="T6" s="25">
        <v>29700000</v>
      </c>
      <c r="U6" s="26">
        <v>0.01</v>
      </c>
      <c r="V6" s="27">
        <v>297000</v>
      </c>
      <c r="W6" s="27">
        <v>0</v>
      </c>
      <c r="X6" s="28">
        <v>297000</v>
      </c>
      <c r="Y6" s="69" t="s">
        <v>60</v>
      </c>
      <c r="Z6" s="22" t="s">
        <v>61</v>
      </c>
      <c r="AA6" s="21" t="s">
        <v>62</v>
      </c>
      <c r="AB6" s="21">
        <v>45596</v>
      </c>
      <c r="AC6" s="65"/>
      <c r="AD6" s="65"/>
      <c r="AE6" s="65"/>
      <c r="AF6" s="65"/>
    </row>
    <row r="8" spans="1:32">
      <c r="AD8" s="71">
        <f>SUBTOTAL(9,AD4:AD5)</f>
        <v>269700</v>
      </c>
    </row>
  </sheetData>
  <autoFilter ref="A3:AB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C9E0-AC4D-4AD7-8ECD-69651954334A}">
  <dimension ref="A2:AH278"/>
  <sheetViews>
    <sheetView topLeftCell="W266" workbookViewId="0">
      <selection activeCell="AF3" sqref="AF3:AF276"/>
    </sheetView>
  </sheetViews>
  <sheetFormatPr defaultRowHeight="15"/>
  <cols>
    <col min="3" max="3" width="36.140625" bestFit="1" customWidth="1"/>
    <col min="7" max="7" width="34.5703125" bestFit="1" customWidth="1"/>
    <col min="10" max="10" width="17.85546875" bestFit="1" customWidth="1"/>
    <col min="11" max="11" width="18.42578125" bestFit="1" customWidth="1"/>
    <col min="12" max="12" width="95.28515625" bestFit="1" customWidth="1"/>
    <col min="13" max="13" width="12.140625" bestFit="1" customWidth="1"/>
    <col min="14" max="14" width="15.140625" bestFit="1" customWidth="1"/>
    <col min="24" max="24" width="11.42578125" bestFit="1" customWidth="1"/>
    <col min="25" max="25" width="26.140625" bestFit="1" customWidth="1"/>
    <col min="27" max="27" width="12.7109375" bestFit="1" customWidth="1"/>
    <col min="28" max="28" width="14.7109375" bestFit="1" customWidth="1"/>
    <col min="29" max="29" width="10.5703125" bestFit="1" customWidth="1"/>
    <col min="31" max="31" width="41.140625" bestFit="1" customWidth="1"/>
    <col min="32" max="32" width="13.7109375" bestFit="1" customWidth="1"/>
  </cols>
  <sheetData>
    <row r="2" spans="1:34" ht="24">
      <c r="A2" s="47" t="s">
        <v>0</v>
      </c>
      <c r="B2" s="47" t="s">
        <v>2069</v>
      </c>
      <c r="C2" s="47" t="s">
        <v>2</v>
      </c>
      <c r="D2" s="47" t="s">
        <v>2070</v>
      </c>
      <c r="E2" s="47" t="s">
        <v>4</v>
      </c>
      <c r="F2" s="48" t="s">
        <v>2071</v>
      </c>
      <c r="G2" s="49" t="s">
        <v>2072</v>
      </c>
      <c r="H2" s="47" t="s">
        <v>7</v>
      </c>
      <c r="I2" s="50" t="s">
        <v>8</v>
      </c>
      <c r="J2" s="47" t="s">
        <v>2073</v>
      </c>
      <c r="K2" s="50" t="s">
        <v>2074</v>
      </c>
      <c r="L2" s="50" t="s">
        <v>2075</v>
      </c>
      <c r="M2" s="51" t="s">
        <v>12</v>
      </c>
      <c r="N2" s="50" t="s">
        <v>13</v>
      </c>
      <c r="O2" s="47" t="s">
        <v>2076</v>
      </c>
      <c r="P2" s="47" t="s">
        <v>15</v>
      </c>
      <c r="Q2" s="47" t="s">
        <v>16</v>
      </c>
      <c r="R2" s="49" t="s">
        <v>17</v>
      </c>
      <c r="S2" s="49" t="s">
        <v>18</v>
      </c>
      <c r="T2" s="52" t="s">
        <v>2077</v>
      </c>
      <c r="U2" s="53" t="s">
        <v>20</v>
      </c>
      <c r="V2" s="52" t="s">
        <v>2078</v>
      </c>
      <c r="W2" s="52" t="s">
        <v>2079</v>
      </c>
      <c r="X2" s="54" t="s">
        <v>22</v>
      </c>
      <c r="Y2" s="52" t="s">
        <v>2080</v>
      </c>
      <c r="Z2" s="47" t="s">
        <v>24</v>
      </c>
      <c r="AA2" s="47" t="s">
        <v>25</v>
      </c>
      <c r="AB2" s="47" t="s">
        <v>2081</v>
      </c>
      <c r="AC2" s="55" t="s">
        <v>2082</v>
      </c>
      <c r="AD2" s="56" t="s">
        <v>27</v>
      </c>
      <c r="AE2" s="47" t="s">
        <v>2070</v>
      </c>
      <c r="AF2" s="47" t="s">
        <v>2101</v>
      </c>
      <c r="AG2" s="47" t="s">
        <v>2102</v>
      </c>
      <c r="AH2" s="47" t="s">
        <v>2103</v>
      </c>
    </row>
    <row r="3" spans="1:34">
      <c r="A3" s="32">
        <v>45566</v>
      </c>
      <c r="B3" s="33" t="s">
        <v>29</v>
      </c>
      <c r="C3" s="34" t="s">
        <v>63</v>
      </c>
      <c r="D3" s="35" t="s">
        <v>64</v>
      </c>
      <c r="E3" s="36">
        <v>45569</v>
      </c>
      <c r="F3" s="37">
        <v>45934</v>
      </c>
      <c r="G3" s="34" t="s">
        <v>65</v>
      </c>
      <c r="H3" s="38">
        <v>2022</v>
      </c>
      <c r="I3" s="39" t="s">
        <v>66</v>
      </c>
      <c r="J3" s="38" t="s">
        <v>67</v>
      </c>
      <c r="K3" s="38" t="s">
        <v>68</v>
      </c>
      <c r="L3" s="40" t="s">
        <v>69</v>
      </c>
      <c r="M3" s="38">
        <v>91442</v>
      </c>
      <c r="N3" s="31" t="s">
        <v>70</v>
      </c>
      <c r="O3" s="39">
        <v>3018</v>
      </c>
      <c r="P3" s="39">
        <v>565</v>
      </c>
      <c r="Q3" s="41">
        <v>44845</v>
      </c>
      <c r="R3" s="41">
        <v>45935</v>
      </c>
      <c r="S3" s="42">
        <v>2478600</v>
      </c>
      <c r="T3" s="43">
        <v>1.9900000000000001E-2</v>
      </c>
      <c r="U3" s="42">
        <v>2230740</v>
      </c>
      <c r="V3" s="42">
        <v>44391.726000000002</v>
      </c>
      <c r="W3" s="44">
        <v>0</v>
      </c>
      <c r="X3" s="45">
        <v>44392</v>
      </c>
      <c r="Y3" s="46" t="s">
        <v>71</v>
      </c>
      <c r="Z3" s="39" t="s">
        <v>40</v>
      </c>
      <c r="AA3" s="31" t="s">
        <v>41</v>
      </c>
      <c r="AB3" s="31" t="s">
        <v>72</v>
      </c>
      <c r="AC3" s="37">
        <v>45596</v>
      </c>
      <c r="AD3" s="65"/>
      <c r="AE3" s="65" t="s">
        <v>2109</v>
      </c>
      <c r="AF3" s="66">
        <v>44392</v>
      </c>
      <c r="AG3" s="67">
        <f>X3-AF3</f>
        <v>0</v>
      </c>
      <c r="AH3" s="65" t="s">
        <v>2376</v>
      </c>
    </row>
    <row r="4" spans="1:34">
      <c r="A4" s="32">
        <v>45566</v>
      </c>
      <c r="B4" s="33" t="s">
        <v>29</v>
      </c>
      <c r="C4" s="34" t="s">
        <v>73</v>
      </c>
      <c r="D4" s="35" t="s">
        <v>64</v>
      </c>
      <c r="E4" s="36">
        <v>45590</v>
      </c>
      <c r="F4" s="37">
        <v>45955</v>
      </c>
      <c r="G4" s="34" t="s">
        <v>74</v>
      </c>
      <c r="H4" s="38">
        <v>2022</v>
      </c>
      <c r="I4" s="39" t="s">
        <v>75</v>
      </c>
      <c r="J4" s="38" t="s">
        <v>76</v>
      </c>
      <c r="K4" s="38" t="s">
        <v>77</v>
      </c>
      <c r="L4" s="40" t="s">
        <v>78</v>
      </c>
      <c r="M4" s="38" t="s">
        <v>79</v>
      </c>
      <c r="N4" s="31" t="s">
        <v>80</v>
      </c>
      <c r="O4" s="39">
        <v>1098</v>
      </c>
      <c r="P4" s="39">
        <v>450</v>
      </c>
      <c r="Q4" s="41">
        <v>44860</v>
      </c>
      <c r="R4" s="41">
        <v>47416</v>
      </c>
      <c r="S4" s="42">
        <v>1697400</v>
      </c>
      <c r="T4" s="43">
        <v>1.9900000000000001E-2</v>
      </c>
      <c r="U4" s="42">
        <v>1527660</v>
      </c>
      <c r="V4" s="42">
        <v>30400.434000000001</v>
      </c>
      <c r="W4" s="44">
        <v>0</v>
      </c>
      <c r="X4" s="45">
        <v>30400</v>
      </c>
      <c r="Y4" s="46" t="s">
        <v>71</v>
      </c>
      <c r="Z4" s="39" t="s">
        <v>40</v>
      </c>
      <c r="AA4" s="31" t="s">
        <v>41</v>
      </c>
      <c r="AB4" s="31" t="s">
        <v>72</v>
      </c>
      <c r="AC4" s="37">
        <v>45596</v>
      </c>
      <c r="AD4" s="65"/>
      <c r="AE4" s="65" t="s">
        <v>2110</v>
      </c>
      <c r="AF4" s="66">
        <v>30400</v>
      </c>
      <c r="AG4" s="67">
        <f t="shared" ref="AG4:AG67" si="0">X4-AF4</f>
        <v>0</v>
      </c>
      <c r="AH4" s="65" t="s">
        <v>2376</v>
      </c>
    </row>
    <row r="5" spans="1:34">
      <c r="A5" s="32">
        <v>45566</v>
      </c>
      <c r="B5" s="33" t="s">
        <v>29</v>
      </c>
      <c r="C5" s="34" t="s">
        <v>81</v>
      </c>
      <c r="D5" s="35" t="s">
        <v>64</v>
      </c>
      <c r="E5" s="36">
        <v>45585</v>
      </c>
      <c r="F5" s="37">
        <v>45950</v>
      </c>
      <c r="G5" s="34" t="s">
        <v>82</v>
      </c>
      <c r="H5" s="38">
        <v>2016</v>
      </c>
      <c r="I5" s="39" t="s">
        <v>83</v>
      </c>
      <c r="J5" s="38" t="s">
        <v>84</v>
      </c>
      <c r="K5" s="38" t="s">
        <v>85</v>
      </c>
      <c r="L5" s="40" t="s">
        <v>86</v>
      </c>
      <c r="M5" s="38" t="s">
        <v>87</v>
      </c>
      <c r="N5" s="31" t="s">
        <v>88</v>
      </c>
      <c r="O5" s="39">
        <v>1007</v>
      </c>
      <c r="P5" s="39">
        <v>450</v>
      </c>
      <c r="Q5" s="41">
        <v>44858</v>
      </c>
      <c r="R5" s="41">
        <v>45945</v>
      </c>
      <c r="S5" s="42">
        <v>1980000</v>
      </c>
      <c r="T5" s="43">
        <v>1.9900000000000001E-2</v>
      </c>
      <c r="U5" s="42">
        <v>1782000</v>
      </c>
      <c r="V5" s="42">
        <v>35461.800000000003</v>
      </c>
      <c r="W5" s="44">
        <v>0</v>
      </c>
      <c r="X5" s="45">
        <v>35462</v>
      </c>
      <c r="Y5" s="46" t="s">
        <v>71</v>
      </c>
      <c r="Z5" s="39" t="s">
        <v>40</v>
      </c>
      <c r="AA5" s="31" t="s">
        <v>41</v>
      </c>
      <c r="AB5" s="31" t="s">
        <v>72</v>
      </c>
      <c r="AC5" s="37">
        <v>45596</v>
      </c>
      <c r="AD5" s="65"/>
      <c r="AE5" s="65" t="s">
        <v>2111</v>
      </c>
      <c r="AF5" s="66">
        <v>35462</v>
      </c>
      <c r="AG5" s="67">
        <f t="shared" si="0"/>
        <v>0</v>
      </c>
      <c r="AH5" s="65" t="s">
        <v>2376</v>
      </c>
    </row>
    <row r="6" spans="1:34">
      <c r="A6" s="32">
        <v>45566</v>
      </c>
      <c r="B6" s="33" t="s">
        <v>29</v>
      </c>
      <c r="C6" s="34" t="s">
        <v>89</v>
      </c>
      <c r="D6" s="35" t="s">
        <v>64</v>
      </c>
      <c r="E6" s="36">
        <v>45585</v>
      </c>
      <c r="F6" s="37">
        <v>45950</v>
      </c>
      <c r="G6" s="34" t="s">
        <v>90</v>
      </c>
      <c r="H6" s="38">
        <v>2022</v>
      </c>
      <c r="I6" s="39" t="s">
        <v>91</v>
      </c>
      <c r="J6" s="38" t="s">
        <v>92</v>
      </c>
      <c r="K6" s="38" t="s">
        <v>93</v>
      </c>
      <c r="L6" s="40" t="s">
        <v>94</v>
      </c>
      <c r="M6" s="38" t="s">
        <v>95</v>
      </c>
      <c r="N6" s="31" t="s">
        <v>96</v>
      </c>
      <c r="O6" s="39">
        <v>3011</v>
      </c>
      <c r="P6" s="39">
        <v>565</v>
      </c>
      <c r="Q6" s="41">
        <v>44875</v>
      </c>
      <c r="R6" s="41">
        <v>46685</v>
      </c>
      <c r="S6" s="42">
        <v>7681500</v>
      </c>
      <c r="T6" s="43">
        <v>1.9900000000000001E-2</v>
      </c>
      <c r="U6" s="42">
        <v>6913350</v>
      </c>
      <c r="V6" s="42">
        <v>137575.66500000001</v>
      </c>
      <c r="W6" s="44">
        <v>0</v>
      </c>
      <c r="X6" s="45">
        <v>137576</v>
      </c>
      <c r="Y6" s="46" t="s">
        <v>71</v>
      </c>
      <c r="Z6" s="39" t="s">
        <v>40</v>
      </c>
      <c r="AA6" s="31" t="s">
        <v>41</v>
      </c>
      <c r="AB6" s="31" t="s">
        <v>72</v>
      </c>
      <c r="AC6" s="37">
        <v>45596</v>
      </c>
      <c r="AD6" s="65"/>
      <c r="AE6" s="65" t="s">
        <v>2112</v>
      </c>
      <c r="AF6" s="66">
        <v>137576</v>
      </c>
      <c r="AG6" s="67">
        <f t="shared" si="0"/>
        <v>0</v>
      </c>
      <c r="AH6" s="65" t="s">
        <v>2376</v>
      </c>
    </row>
    <row r="7" spans="1:34">
      <c r="A7" s="32">
        <v>45566</v>
      </c>
      <c r="B7" s="33" t="s">
        <v>29</v>
      </c>
      <c r="C7" s="34" t="s">
        <v>97</v>
      </c>
      <c r="D7" s="35" t="s">
        <v>64</v>
      </c>
      <c r="E7" s="36">
        <v>45588</v>
      </c>
      <c r="F7" s="37">
        <v>45953</v>
      </c>
      <c r="G7" s="34" t="s">
        <v>98</v>
      </c>
      <c r="H7" s="38">
        <v>2020</v>
      </c>
      <c r="I7" s="39" t="s">
        <v>99</v>
      </c>
      <c r="J7" s="38" t="s">
        <v>100</v>
      </c>
      <c r="K7" s="38" t="s">
        <v>101</v>
      </c>
      <c r="L7" s="40" t="s">
        <v>102</v>
      </c>
      <c r="M7" s="38" t="s">
        <v>103</v>
      </c>
      <c r="N7" s="31" t="s">
        <v>104</v>
      </c>
      <c r="O7" s="39">
        <v>1060</v>
      </c>
      <c r="P7" s="39">
        <v>450</v>
      </c>
      <c r="Q7" s="41">
        <v>44848</v>
      </c>
      <c r="R7" s="41">
        <v>46675</v>
      </c>
      <c r="S7" s="42">
        <v>2385000</v>
      </c>
      <c r="T7" s="43">
        <v>1.9900000000000001E-2</v>
      </c>
      <c r="U7" s="42">
        <v>2146500</v>
      </c>
      <c r="V7" s="42">
        <v>42715.350000000006</v>
      </c>
      <c r="W7" s="44">
        <v>0</v>
      </c>
      <c r="X7" s="45">
        <v>42715</v>
      </c>
      <c r="Y7" s="46" t="s">
        <v>71</v>
      </c>
      <c r="Z7" s="39" t="s">
        <v>40</v>
      </c>
      <c r="AA7" s="31" t="s">
        <v>41</v>
      </c>
      <c r="AB7" s="31" t="s">
        <v>72</v>
      </c>
      <c r="AC7" s="37">
        <v>45596</v>
      </c>
      <c r="AD7" s="65"/>
      <c r="AE7" s="65" t="s">
        <v>2113</v>
      </c>
      <c r="AF7" s="66">
        <v>42715</v>
      </c>
      <c r="AG7" s="67">
        <f t="shared" si="0"/>
        <v>0</v>
      </c>
      <c r="AH7" s="65" t="s">
        <v>2376</v>
      </c>
    </row>
    <row r="8" spans="1:34">
      <c r="A8" s="32">
        <v>45566</v>
      </c>
      <c r="B8" s="33" t="s">
        <v>29</v>
      </c>
      <c r="C8" s="34" t="s">
        <v>105</v>
      </c>
      <c r="D8" s="35" t="s">
        <v>64</v>
      </c>
      <c r="E8" s="36">
        <v>45588</v>
      </c>
      <c r="F8" s="37">
        <v>45953</v>
      </c>
      <c r="G8" s="34" t="s">
        <v>106</v>
      </c>
      <c r="H8" s="38">
        <v>2022</v>
      </c>
      <c r="I8" s="39" t="s">
        <v>107</v>
      </c>
      <c r="J8" s="38" t="s">
        <v>108</v>
      </c>
      <c r="K8" s="38" t="s">
        <v>109</v>
      </c>
      <c r="L8" s="40" t="s">
        <v>110</v>
      </c>
      <c r="M8" s="38" t="s">
        <v>111</v>
      </c>
      <c r="N8" s="31" t="s">
        <v>112</v>
      </c>
      <c r="O8" s="39">
        <v>2046</v>
      </c>
      <c r="P8" s="39">
        <v>477</v>
      </c>
      <c r="Q8" s="41">
        <v>44866</v>
      </c>
      <c r="R8" s="41">
        <v>46685</v>
      </c>
      <c r="S8" s="42">
        <v>1507500</v>
      </c>
      <c r="T8" s="43">
        <v>1.9900000000000001E-2</v>
      </c>
      <c r="U8" s="42">
        <v>1356750</v>
      </c>
      <c r="V8" s="42">
        <v>26999.325000000001</v>
      </c>
      <c r="W8" s="44">
        <v>0</v>
      </c>
      <c r="X8" s="45">
        <v>26999</v>
      </c>
      <c r="Y8" s="46" t="s">
        <v>71</v>
      </c>
      <c r="Z8" s="39" t="s">
        <v>40</v>
      </c>
      <c r="AA8" s="31" t="s">
        <v>41</v>
      </c>
      <c r="AB8" s="31" t="s">
        <v>72</v>
      </c>
      <c r="AC8" s="37">
        <v>45596</v>
      </c>
      <c r="AD8" s="65"/>
      <c r="AE8" s="65" t="s">
        <v>2114</v>
      </c>
      <c r="AF8" s="66">
        <v>26999</v>
      </c>
      <c r="AG8" s="67">
        <f t="shared" si="0"/>
        <v>0</v>
      </c>
      <c r="AH8" s="65" t="s">
        <v>2376</v>
      </c>
    </row>
    <row r="9" spans="1:34">
      <c r="A9" s="32">
        <v>45566</v>
      </c>
      <c r="B9" s="33" t="s">
        <v>29</v>
      </c>
      <c r="C9" s="34" t="s">
        <v>113</v>
      </c>
      <c r="D9" s="35" t="s">
        <v>64</v>
      </c>
      <c r="E9" s="36">
        <v>45588</v>
      </c>
      <c r="F9" s="37">
        <v>45953</v>
      </c>
      <c r="G9" s="34" t="s">
        <v>114</v>
      </c>
      <c r="H9" s="38">
        <v>2021</v>
      </c>
      <c r="I9" s="39" t="s">
        <v>115</v>
      </c>
      <c r="J9" s="38" t="s">
        <v>116</v>
      </c>
      <c r="K9" s="38" t="s">
        <v>117</v>
      </c>
      <c r="L9" s="40" t="s">
        <v>118</v>
      </c>
      <c r="M9" s="38" t="s">
        <v>119</v>
      </c>
      <c r="N9" s="31" t="s">
        <v>120</v>
      </c>
      <c r="O9" s="39">
        <v>2116</v>
      </c>
      <c r="P9" s="39">
        <v>450</v>
      </c>
      <c r="Q9" s="41">
        <v>44860</v>
      </c>
      <c r="R9" s="41">
        <v>46675</v>
      </c>
      <c r="S9" s="42">
        <v>2385000</v>
      </c>
      <c r="T9" s="43">
        <v>1.9900000000000001E-2</v>
      </c>
      <c r="U9" s="42">
        <v>2146500</v>
      </c>
      <c r="V9" s="42">
        <v>42715.350000000006</v>
      </c>
      <c r="W9" s="44">
        <v>0</v>
      </c>
      <c r="X9" s="45">
        <v>42715</v>
      </c>
      <c r="Y9" s="46" t="s">
        <v>71</v>
      </c>
      <c r="Z9" s="39" t="s">
        <v>40</v>
      </c>
      <c r="AA9" s="31" t="s">
        <v>41</v>
      </c>
      <c r="AB9" s="31" t="s">
        <v>72</v>
      </c>
      <c r="AC9" s="37">
        <v>45596</v>
      </c>
      <c r="AD9" s="65"/>
      <c r="AE9" s="65" t="s">
        <v>2115</v>
      </c>
      <c r="AF9" s="66">
        <v>42715</v>
      </c>
      <c r="AG9" s="67">
        <f t="shared" si="0"/>
        <v>0</v>
      </c>
      <c r="AH9" s="65" t="s">
        <v>2376</v>
      </c>
    </row>
    <row r="10" spans="1:34">
      <c r="A10" s="32">
        <v>45566</v>
      </c>
      <c r="B10" s="33" t="s">
        <v>29</v>
      </c>
      <c r="C10" s="34" t="s">
        <v>121</v>
      </c>
      <c r="D10" s="35" t="s">
        <v>64</v>
      </c>
      <c r="E10" s="36">
        <v>45588</v>
      </c>
      <c r="F10" s="37">
        <v>45953</v>
      </c>
      <c r="G10" s="34" t="s">
        <v>106</v>
      </c>
      <c r="H10" s="38">
        <v>2022</v>
      </c>
      <c r="I10" s="39" t="s">
        <v>122</v>
      </c>
      <c r="J10" s="38" t="s">
        <v>123</v>
      </c>
      <c r="K10" s="38" t="s">
        <v>124</v>
      </c>
      <c r="L10" s="40" t="s">
        <v>125</v>
      </c>
      <c r="M10" s="38" t="s">
        <v>126</v>
      </c>
      <c r="N10" s="31" t="s">
        <v>127</v>
      </c>
      <c r="O10" s="39">
        <v>2048</v>
      </c>
      <c r="P10" s="39">
        <v>450</v>
      </c>
      <c r="Q10" s="41">
        <v>44861</v>
      </c>
      <c r="R10" s="41">
        <v>46685</v>
      </c>
      <c r="S10" s="42">
        <v>1800000</v>
      </c>
      <c r="T10" s="43">
        <v>1.9900000000000001E-2</v>
      </c>
      <c r="U10" s="42">
        <v>1620000</v>
      </c>
      <c r="V10" s="42">
        <v>32238</v>
      </c>
      <c r="W10" s="44">
        <v>0</v>
      </c>
      <c r="X10" s="45">
        <v>32238</v>
      </c>
      <c r="Y10" s="46" t="s">
        <v>71</v>
      </c>
      <c r="Z10" s="39" t="s">
        <v>40</v>
      </c>
      <c r="AA10" s="31" t="s">
        <v>41</v>
      </c>
      <c r="AB10" s="31" t="s">
        <v>72</v>
      </c>
      <c r="AC10" s="37">
        <v>45596</v>
      </c>
      <c r="AD10" s="65"/>
      <c r="AE10" s="65" t="s">
        <v>2116</v>
      </c>
      <c r="AF10" s="66">
        <v>32238</v>
      </c>
      <c r="AG10" s="67">
        <f t="shared" si="0"/>
        <v>0</v>
      </c>
      <c r="AH10" s="65" t="s">
        <v>2376</v>
      </c>
    </row>
    <row r="11" spans="1:34">
      <c r="A11" s="32">
        <v>45566</v>
      </c>
      <c r="B11" s="33" t="s">
        <v>29</v>
      </c>
      <c r="C11" s="34" t="s">
        <v>128</v>
      </c>
      <c r="D11" s="35" t="s">
        <v>64</v>
      </c>
      <c r="E11" s="36">
        <v>45569</v>
      </c>
      <c r="F11" s="37">
        <v>45934</v>
      </c>
      <c r="G11" s="34" t="s">
        <v>129</v>
      </c>
      <c r="H11" s="38">
        <v>2022</v>
      </c>
      <c r="I11" s="39" t="s">
        <v>130</v>
      </c>
      <c r="J11" s="38" t="s">
        <v>131</v>
      </c>
      <c r="K11" s="38" t="s">
        <v>132</v>
      </c>
      <c r="L11" s="40" t="s">
        <v>133</v>
      </c>
      <c r="M11" s="38" t="s">
        <v>134</v>
      </c>
      <c r="N11" s="31" t="s">
        <v>135</v>
      </c>
      <c r="O11" s="39">
        <v>3100</v>
      </c>
      <c r="P11" s="39">
        <v>450</v>
      </c>
      <c r="Q11" s="41">
        <v>44838</v>
      </c>
      <c r="R11" s="41">
        <v>46665</v>
      </c>
      <c r="S11" s="42">
        <v>1800000</v>
      </c>
      <c r="T11" s="43">
        <v>1.9900000000000001E-2</v>
      </c>
      <c r="U11" s="42">
        <v>1620000</v>
      </c>
      <c r="V11" s="42">
        <v>32238</v>
      </c>
      <c r="W11" s="44">
        <v>0</v>
      </c>
      <c r="X11" s="45">
        <v>32238</v>
      </c>
      <c r="Y11" s="46" t="s">
        <v>71</v>
      </c>
      <c r="Z11" s="39" t="s">
        <v>40</v>
      </c>
      <c r="AA11" s="31" t="s">
        <v>41</v>
      </c>
      <c r="AB11" s="31" t="s">
        <v>72</v>
      </c>
      <c r="AC11" s="37">
        <v>45596</v>
      </c>
      <c r="AD11" s="65"/>
      <c r="AE11" s="65" t="s">
        <v>2117</v>
      </c>
      <c r="AF11" s="66">
        <v>32238</v>
      </c>
      <c r="AG11" s="67">
        <f t="shared" si="0"/>
        <v>0</v>
      </c>
      <c r="AH11" s="65" t="s">
        <v>2376</v>
      </c>
    </row>
    <row r="12" spans="1:34">
      <c r="A12" s="32">
        <v>45566</v>
      </c>
      <c r="B12" s="33" t="s">
        <v>29</v>
      </c>
      <c r="C12" s="34" t="s">
        <v>136</v>
      </c>
      <c r="D12" s="35" t="s">
        <v>64</v>
      </c>
      <c r="E12" s="36">
        <v>45588</v>
      </c>
      <c r="F12" s="37">
        <v>45953</v>
      </c>
      <c r="G12" s="34" t="s">
        <v>137</v>
      </c>
      <c r="H12" s="38">
        <v>2022</v>
      </c>
      <c r="I12" s="39" t="s">
        <v>138</v>
      </c>
      <c r="J12" s="38" t="s">
        <v>139</v>
      </c>
      <c r="K12" s="38" t="s">
        <v>140</v>
      </c>
      <c r="L12" s="40" t="s">
        <v>141</v>
      </c>
      <c r="M12" s="38" t="s">
        <v>142</v>
      </c>
      <c r="N12" s="31" t="s">
        <v>143</v>
      </c>
      <c r="O12" s="39">
        <v>2048</v>
      </c>
      <c r="P12" s="39">
        <v>450</v>
      </c>
      <c r="Q12" s="41">
        <v>44860</v>
      </c>
      <c r="R12" s="41">
        <v>45955</v>
      </c>
      <c r="S12" s="42">
        <v>1697400</v>
      </c>
      <c r="T12" s="43">
        <v>1.9900000000000001E-2</v>
      </c>
      <c r="U12" s="42">
        <v>1527660</v>
      </c>
      <c r="V12" s="42">
        <v>30400.434000000001</v>
      </c>
      <c r="W12" s="44">
        <v>0</v>
      </c>
      <c r="X12" s="45">
        <v>30400</v>
      </c>
      <c r="Y12" s="46" t="s">
        <v>71</v>
      </c>
      <c r="Z12" s="39" t="s">
        <v>40</v>
      </c>
      <c r="AA12" s="31" t="s">
        <v>41</v>
      </c>
      <c r="AB12" s="31" t="s">
        <v>72</v>
      </c>
      <c r="AC12" s="37">
        <v>45596</v>
      </c>
      <c r="AD12" s="65"/>
      <c r="AE12" s="65" t="s">
        <v>2118</v>
      </c>
      <c r="AF12" s="66">
        <v>30400</v>
      </c>
      <c r="AG12" s="67">
        <f t="shared" si="0"/>
        <v>0</v>
      </c>
      <c r="AH12" s="65" t="s">
        <v>2376</v>
      </c>
    </row>
    <row r="13" spans="1:34">
      <c r="A13" s="32">
        <v>45566</v>
      </c>
      <c r="B13" s="33" t="s">
        <v>29</v>
      </c>
      <c r="C13" s="34" t="s">
        <v>144</v>
      </c>
      <c r="D13" s="35" t="s">
        <v>64</v>
      </c>
      <c r="E13" s="36">
        <v>45589</v>
      </c>
      <c r="F13" s="37">
        <v>45954</v>
      </c>
      <c r="G13" s="34" t="s">
        <v>145</v>
      </c>
      <c r="H13" s="38">
        <v>2019</v>
      </c>
      <c r="I13" s="39" t="s">
        <v>146</v>
      </c>
      <c r="J13" s="38" t="s">
        <v>147</v>
      </c>
      <c r="K13" s="38" t="s">
        <v>148</v>
      </c>
      <c r="L13" s="40" t="s">
        <v>149</v>
      </c>
      <c r="M13" s="38" t="s">
        <v>150</v>
      </c>
      <c r="N13" s="31" t="s">
        <v>151</v>
      </c>
      <c r="O13" s="39">
        <v>1080</v>
      </c>
      <c r="P13" s="39">
        <v>450</v>
      </c>
      <c r="Q13" s="41">
        <v>44860</v>
      </c>
      <c r="R13" s="41">
        <v>46675</v>
      </c>
      <c r="S13" s="42">
        <v>1530000</v>
      </c>
      <c r="T13" s="43">
        <v>1.9900000000000001E-2</v>
      </c>
      <c r="U13" s="42">
        <v>1377000</v>
      </c>
      <c r="V13" s="42">
        <v>27402.300000000003</v>
      </c>
      <c r="W13" s="44">
        <v>0</v>
      </c>
      <c r="X13" s="45">
        <v>27402</v>
      </c>
      <c r="Y13" s="46" t="s">
        <v>71</v>
      </c>
      <c r="Z13" s="39" t="s">
        <v>40</v>
      </c>
      <c r="AA13" s="31" t="s">
        <v>41</v>
      </c>
      <c r="AB13" s="31" t="s">
        <v>72</v>
      </c>
      <c r="AC13" s="37">
        <v>45596</v>
      </c>
      <c r="AD13" s="65"/>
      <c r="AE13" s="65" t="s">
        <v>2119</v>
      </c>
      <c r="AF13" s="66">
        <v>27402</v>
      </c>
      <c r="AG13" s="67">
        <f t="shared" si="0"/>
        <v>0</v>
      </c>
      <c r="AH13" s="65" t="s">
        <v>2376</v>
      </c>
    </row>
    <row r="14" spans="1:34">
      <c r="A14" s="32">
        <v>45566</v>
      </c>
      <c r="B14" s="33" t="s">
        <v>29</v>
      </c>
      <c r="C14" s="34" t="s">
        <v>152</v>
      </c>
      <c r="D14" s="35" t="s">
        <v>64</v>
      </c>
      <c r="E14" s="36">
        <v>45589</v>
      </c>
      <c r="F14" s="37">
        <v>45954</v>
      </c>
      <c r="G14" s="34" t="s">
        <v>153</v>
      </c>
      <c r="H14" s="38">
        <v>2016</v>
      </c>
      <c r="I14" s="39" t="s">
        <v>154</v>
      </c>
      <c r="J14" s="38" t="s">
        <v>155</v>
      </c>
      <c r="K14" s="38" t="s">
        <v>156</v>
      </c>
      <c r="L14" s="40" t="s">
        <v>157</v>
      </c>
      <c r="M14" s="38" t="s">
        <v>158</v>
      </c>
      <c r="N14" s="31" t="s">
        <v>159</v>
      </c>
      <c r="O14" s="39">
        <v>1091</v>
      </c>
      <c r="P14" s="39">
        <v>477</v>
      </c>
      <c r="Q14" s="41">
        <v>44860</v>
      </c>
      <c r="R14" s="41">
        <v>46685</v>
      </c>
      <c r="S14" s="42">
        <v>1215000</v>
      </c>
      <c r="T14" s="43">
        <v>1.9900000000000001E-2</v>
      </c>
      <c r="U14" s="42">
        <v>1093500</v>
      </c>
      <c r="V14" s="42">
        <v>21760.65</v>
      </c>
      <c r="W14" s="44">
        <v>0</v>
      </c>
      <c r="X14" s="45">
        <v>21761</v>
      </c>
      <c r="Y14" s="46" t="s">
        <v>71</v>
      </c>
      <c r="Z14" s="39" t="s">
        <v>40</v>
      </c>
      <c r="AA14" s="31" t="s">
        <v>41</v>
      </c>
      <c r="AB14" s="31" t="s">
        <v>72</v>
      </c>
      <c r="AC14" s="37">
        <v>45596</v>
      </c>
      <c r="AD14" s="65"/>
      <c r="AE14" s="65" t="s">
        <v>2120</v>
      </c>
      <c r="AF14" s="66">
        <v>21761</v>
      </c>
      <c r="AG14" s="67">
        <f t="shared" si="0"/>
        <v>0</v>
      </c>
      <c r="AH14" s="65" t="s">
        <v>2376</v>
      </c>
    </row>
    <row r="15" spans="1:34">
      <c r="A15" s="32">
        <v>45566</v>
      </c>
      <c r="B15" s="33" t="s">
        <v>29</v>
      </c>
      <c r="C15" s="34" t="s">
        <v>160</v>
      </c>
      <c r="D15" s="35" t="s">
        <v>64</v>
      </c>
      <c r="E15" s="36">
        <v>45589</v>
      </c>
      <c r="F15" s="37">
        <v>45954</v>
      </c>
      <c r="G15" s="34" t="s">
        <v>74</v>
      </c>
      <c r="H15" s="38">
        <v>2022</v>
      </c>
      <c r="I15" s="39" t="s">
        <v>161</v>
      </c>
      <c r="J15" s="38" t="s">
        <v>162</v>
      </c>
      <c r="K15" s="38" t="s">
        <v>163</v>
      </c>
      <c r="L15" s="40" t="s">
        <v>164</v>
      </c>
      <c r="M15" s="38" t="s">
        <v>165</v>
      </c>
      <c r="N15" s="31" t="s">
        <v>166</v>
      </c>
      <c r="O15" s="39">
        <v>1093</v>
      </c>
      <c r="P15" s="39">
        <v>477</v>
      </c>
      <c r="Q15" s="41">
        <v>44859</v>
      </c>
      <c r="R15" s="41">
        <v>46675</v>
      </c>
      <c r="S15" s="42">
        <v>2250000</v>
      </c>
      <c r="T15" s="43">
        <v>1.9900000000000001E-2</v>
      </c>
      <c r="U15" s="42">
        <v>2025000</v>
      </c>
      <c r="V15" s="42">
        <v>40297.5</v>
      </c>
      <c r="W15" s="44">
        <v>0</v>
      </c>
      <c r="X15" s="45">
        <v>40298</v>
      </c>
      <c r="Y15" s="46" t="s">
        <v>71</v>
      </c>
      <c r="Z15" s="39" t="s">
        <v>40</v>
      </c>
      <c r="AA15" s="31" t="s">
        <v>41</v>
      </c>
      <c r="AB15" s="31" t="s">
        <v>72</v>
      </c>
      <c r="AC15" s="37">
        <v>45596</v>
      </c>
      <c r="AD15" s="65"/>
      <c r="AE15" s="65" t="s">
        <v>2121</v>
      </c>
      <c r="AF15" s="66">
        <v>40298</v>
      </c>
      <c r="AG15" s="67">
        <f t="shared" si="0"/>
        <v>0</v>
      </c>
      <c r="AH15" s="65" t="s">
        <v>2376</v>
      </c>
    </row>
    <row r="16" spans="1:34">
      <c r="A16" s="32">
        <v>45566</v>
      </c>
      <c r="B16" s="33" t="s">
        <v>29</v>
      </c>
      <c r="C16" s="34" t="s">
        <v>167</v>
      </c>
      <c r="D16" s="35" t="s">
        <v>64</v>
      </c>
      <c r="E16" s="36">
        <v>45589</v>
      </c>
      <c r="F16" s="37">
        <v>45954</v>
      </c>
      <c r="G16" s="34" t="s">
        <v>98</v>
      </c>
      <c r="H16" s="38">
        <v>2021</v>
      </c>
      <c r="I16" s="39" t="s">
        <v>168</v>
      </c>
      <c r="J16" s="38" t="s">
        <v>169</v>
      </c>
      <c r="K16" s="38" t="s">
        <v>170</v>
      </c>
      <c r="L16" s="40" t="s">
        <v>171</v>
      </c>
      <c r="M16" s="38" t="s">
        <v>172</v>
      </c>
      <c r="N16" s="31" t="s">
        <v>173</v>
      </c>
      <c r="O16" s="39">
        <v>2128</v>
      </c>
      <c r="P16" s="39">
        <v>450</v>
      </c>
      <c r="Q16" s="41">
        <v>44866</v>
      </c>
      <c r="R16" s="41">
        <v>46685</v>
      </c>
      <c r="S16" s="42">
        <v>2160000</v>
      </c>
      <c r="T16" s="43">
        <v>1.9900000000000001E-2</v>
      </c>
      <c r="U16" s="42">
        <v>1944000</v>
      </c>
      <c r="V16" s="42">
        <v>38685.599999999999</v>
      </c>
      <c r="W16" s="44">
        <v>0</v>
      </c>
      <c r="X16" s="45">
        <v>38686</v>
      </c>
      <c r="Y16" s="46" t="s">
        <v>71</v>
      </c>
      <c r="Z16" s="39" t="s">
        <v>40</v>
      </c>
      <c r="AA16" s="31" t="s">
        <v>41</v>
      </c>
      <c r="AB16" s="31" t="s">
        <v>72</v>
      </c>
      <c r="AC16" s="37">
        <v>45596</v>
      </c>
      <c r="AD16" s="65"/>
      <c r="AE16" s="65" t="s">
        <v>2122</v>
      </c>
      <c r="AF16" s="66">
        <v>38686</v>
      </c>
      <c r="AG16" s="67">
        <f t="shared" si="0"/>
        <v>0</v>
      </c>
      <c r="AH16" s="65" t="s">
        <v>2376</v>
      </c>
    </row>
    <row r="17" spans="1:34">
      <c r="A17" s="32">
        <v>45566</v>
      </c>
      <c r="B17" s="33" t="s">
        <v>29</v>
      </c>
      <c r="C17" s="34" t="s">
        <v>174</v>
      </c>
      <c r="D17" s="35" t="s">
        <v>64</v>
      </c>
      <c r="E17" s="36">
        <v>45590</v>
      </c>
      <c r="F17" s="37">
        <v>45955</v>
      </c>
      <c r="G17" s="34" t="s">
        <v>175</v>
      </c>
      <c r="H17" s="38">
        <v>2022</v>
      </c>
      <c r="I17" s="39" t="s">
        <v>176</v>
      </c>
      <c r="J17" s="38" t="s">
        <v>177</v>
      </c>
      <c r="K17" s="38" t="s">
        <v>178</v>
      </c>
      <c r="L17" s="40" t="s">
        <v>179</v>
      </c>
      <c r="M17" s="38" t="s">
        <v>180</v>
      </c>
      <c r="N17" s="31" t="s">
        <v>181</v>
      </c>
      <c r="O17" s="39">
        <v>2135</v>
      </c>
      <c r="P17" s="39">
        <v>450</v>
      </c>
      <c r="Q17" s="41">
        <v>44861</v>
      </c>
      <c r="R17" s="41">
        <v>45966</v>
      </c>
      <c r="S17" s="42">
        <v>3395249.1</v>
      </c>
      <c r="T17" s="43">
        <v>1.9900000000000001E-2</v>
      </c>
      <c r="U17" s="42">
        <v>3055724.19</v>
      </c>
      <c r="V17" s="42">
        <v>60808.911381000005</v>
      </c>
      <c r="W17" s="44">
        <v>0</v>
      </c>
      <c r="X17" s="45">
        <v>60809</v>
      </c>
      <c r="Y17" s="46" t="s">
        <v>71</v>
      </c>
      <c r="Z17" s="39" t="s">
        <v>40</v>
      </c>
      <c r="AA17" s="31" t="s">
        <v>41</v>
      </c>
      <c r="AB17" s="31" t="s">
        <v>72</v>
      </c>
      <c r="AC17" s="37">
        <v>45596</v>
      </c>
      <c r="AD17" s="65"/>
      <c r="AE17" s="65" t="s">
        <v>2123</v>
      </c>
      <c r="AF17" s="66">
        <v>60809</v>
      </c>
      <c r="AG17" s="67">
        <f t="shared" si="0"/>
        <v>0</v>
      </c>
      <c r="AH17" s="65" t="s">
        <v>2376</v>
      </c>
    </row>
    <row r="18" spans="1:34">
      <c r="A18" s="32">
        <v>45566</v>
      </c>
      <c r="B18" s="33" t="s">
        <v>29</v>
      </c>
      <c r="C18" s="34" t="s">
        <v>182</v>
      </c>
      <c r="D18" s="35" t="s">
        <v>64</v>
      </c>
      <c r="E18" s="36">
        <v>45590</v>
      </c>
      <c r="F18" s="37">
        <v>45955</v>
      </c>
      <c r="G18" s="34" t="s">
        <v>183</v>
      </c>
      <c r="H18" s="38">
        <v>2021</v>
      </c>
      <c r="I18" s="39" t="s">
        <v>184</v>
      </c>
      <c r="J18" s="38" t="s">
        <v>185</v>
      </c>
      <c r="K18" s="38" t="s">
        <v>186</v>
      </c>
      <c r="L18" s="40" t="s">
        <v>187</v>
      </c>
      <c r="M18" s="38" t="s">
        <v>188</v>
      </c>
      <c r="N18" s="31" t="s">
        <v>189</v>
      </c>
      <c r="O18" s="39">
        <v>1093</v>
      </c>
      <c r="P18" s="39">
        <v>565</v>
      </c>
      <c r="Q18" s="41">
        <v>44859</v>
      </c>
      <c r="R18" s="41">
        <v>47406</v>
      </c>
      <c r="S18" s="42">
        <v>7920000</v>
      </c>
      <c r="T18" s="43">
        <v>1.9900000000000001E-2</v>
      </c>
      <c r="U18" s="42">
        <v>7128000</v>
      </c>
      <c r="V18" s="42">
        <v>141847.20000000001</v>
      </c>
      <c r="W18" s="44">
        <v>0</v>
      </c>
      <c r="X18" s="45">
        <v>141847</v>
      </c>
      <c r="Y18" s="46" t="s">
        <v>71</v>
      </c>
      <c r="Z18" s="39" t="s">
        <v>40</v>
      </c>
      <c r="AA18" s="31" t="s">
        <v>41</v>
      </c>
      <c r="AB18" s="31" t="s">
        <v>72</v>
      </c>
      <c r="AC18" s="37">
        <v>45596</v>
      </c>
      <c r="AD18" s="65"/>
      <c r="AE18" s="65" t="s">
        <v>2124</v>
      </c>
      <c r="AF18" s="66">
        <v>141847</v>
      </c>
      <c r="AG18" s="67">
        <f t="shared" si="0"/>
        <v>0</v>
      </c>
      <c r="AH18" s="65" t="s">
        <v>2376</v>
      </c>
    </row>
    <row r="19" spans="1:34">
      <c r="A19" s="32">
        <v>45566</v>
      </c>
      <c r="B19" s="33" t="s">
        <v>29</v>
      </c>
      <c r="C19" s="34" t="s">
        <v>190</v>
      </c>
      <c r="D19" s="35" t="s">
        <v>64</v>
      </c>
      <c r="E19" s="36">
        <v>45568</v>
      </c>
      <c r="F19" s="37">
        <v>45933</v>
      </c>
      <c r="G19" s="34" t="s">
        <v>191</v>
      </c>
      <c r="H19" s="38">
        <v>2021</v>
      </c>
      <c r="I19" s="39" t="s">
        <v>192</v>
      </c>
      <c r="J19" s="38" t="s">
        <v>193</v>
      </c>
      <c r="K19" s="38" t="s">
        <v>194</v>
      </c>
      <c r="L19" s="40" t="s">
        <v>195</v>
      </c>
      <c r="M19" s="38" t="s">
        <v>196</v>
      </c>
      <c r="N19" s="31" t="s">
        <v>197</v>
      </c>
      <c r="O19" s="39">
        <v>1011</v>
      </c>
      <c r="P19" s="39">
        <v>450</v>
      </c>
      <c r="Q19" s="41">
        <v>44475</v>
      </c>
      <c r="R19" s="41">
        <v>46300</v>
      </c>
      <c r="S19" s="42">
        <v>1964250</v>
      </c>
      <c r="T19" s="43">
        <v>1.9900000000000001E-2</v>
      </c>
      <c r="U19" s="42">
        <v>1767825</v>
      </c>
      <c r="V19" s="42">
        <v>35179.717499999999</v>
      </c>
      <c r="W19" s="44">
        <v>0</v>
      </c>
      <c r="X19" s="45">
        <v>35180</v>
      </c>
      <c r="Y19" s="46" t="s">
        <v>71</v>
      </c>
      <c r="Z19" s="39" t="s">
        <v>40</v>
      </c>
      <c r="AA19" s="31" t="s">
        <v>41</v>
      </c>
      <c r="AB19" s="31" t="s">
        <v>198</v>
      </c>
      <c r="AC19" s="37">
        <v>45596</v>
      </c>
      <c r="AD19" s="65"/>
      <c r="AE19" s="65" t="s">
        <v>2125</v>
      </c>
      <c r="AF19" s="66">
        <v>35180</v>
      </c>
      <c r="AG19" s="67">
        <f t="shared" si="0"/>
        <v>0</v>
      </c>
      <c r="AH19" s="65" t="s">
        <v>2376</v>
      </c>
    </row>
    <row r="20" spans="1:34">
      <c r="A20" s="32">
        <v>45566</v>
      </c>
      <c r="B20" s="33" t="s">
        <v>29</v>
      </c>
      <c r="C20" s="34" t="s">
        <v>199</v>
      </c>
      <c r="D20" s="35" t="s">
        <v>64</v>
      </c>
      <c r="E20" s="36">
        <v>45590</v>
      </c>
      <c r="F20" s="37">
        <v>45955</v>
      </c>
      <c r="G20" s="34" t="s">
        <v>106</v>
      </c>
      <c r="H20" s="38">
        <v>2022</v>
      </c>
      <c r="I20" s="39" t="s">
        <v>200</v>
      </c>
      <c r="J20" s="38" t="s">
        <v>201</v>
      </c>
      <c r="K20" s="38" t="s">
        <v>202</v>
      </c>
      <c r="L20" s="40" t="s">
        <v>203</v>
      </c>
      <c r="M20" s="38" t="s">
        <v>204</v>
      </c>
      <c r="N20" s="31" t="s">
        <v>205</v>
      </c>
      <c r="O20" s="39">
        <v>2053</v>
      </c>
      <c r="P20" s="39">
        <v>477</v>
      </c>
      <c r="Q20" s="41">
        <v>44865</v>
      </c>
      <c r="R20" s="41">
        <v>47427</v>
      </c>
      <c r="S20" s="42">
        <v>1507500</v>
      </c>
      <c r="T20" s="43">
        <v>1.9900000000000001E-2</v>
      </c>
      <c r="U20" s="42">
        <v>1356750</v>
      </c>
      <c r="V20" s="42">
        <v>26999.325000000001</v>
      </c>
      <c r="W20" s="44">
        <v>0</v>
      </c>
      <c r="X20" s="45">
        <v>26999</v>
      </c>
      <c r="Y20" s="46" t="s">
        <v>71</v>
      </c>
      <c r="Z20" s="39" t="s">
        <v>40</v>
      </c>
      <c r="AA20" s="31" t="s">
        <v>41</v>
      </c>
      <c r="AB20" s="31" t="s">
        <v>72</v>
      </c>
      <c r="AC20" s="37">
        <v>45596</v>
      </c>
      <c r="AD20" s="65"/>
      <c r="AE20" s="65" t="s">
        <v>2126</v>
      </c>
      <c r="AF20" s="66">
        <v>26999</v>
      </c>
      <c r="AG20" s="67">
        <f t="shared" si="0"/>
        <v>0</v>
      </c>
      <c r="AH20" s="65" t="s">
        <v>2376</v>
      </c>
    </row>
    <row r="21" spans="1:34">
      <c r="A21" s="32">
        <v>45566</v>
      </c>
      <c r="B21" s="33" t="s">
        <v>29</v>
      </c>
      <c r="C21" s="34" t="s">
        <v>206</v>
      </c>
      <c r="D21" s="35" t="s">
        <v>64</v>
      </c>
      <c r="E21" s="36">
        <v>45578</v>
      </c>
      <c r="F21" s="37">
        <v>45943</v>
      </c>
      <c r="G21" s="34" t="s">
        <v>207</v>
      </c>
      <c r="H21" s="38">
        <v>2021</v>
      </c>
      <c r="I21" s="39" t="s">
        <v>208</v>
      </c>
      <c r="J21" s="38" t="s">
        <v>209</v>
      </c>
      <c r="K21" s="38" t="s">
        <v>210</v>
      </c>
      <c r="L21" s="40" t="s">
        <v>211</v>
      </c>
      <c r="M21" s="38" t="s">
        <v>212</v>
      </c>
      <c r="N21" s="31" t="s">
        <v>213</v>
      </c>
      <c r="O21" s="39">
        <v>2050</v>
      </c>
      <c r="P21" s="39">
        <v>450</v>
      </c>
      <c r="Q21" s="41">
        <v>44484</v>
      </c>
      <c r="R21" s="41">
        <v>46310</v>
      </c>
      <c r="S21" s="42">
        <v>3287628</v>
      </c>
      <c r="T21" s="43">
        <v>2.2499999999999999E-2</v>
      </c>
      <c r="U21" s="42">
        <v>2958865.2</v>
      </c>
      <c r="V21" s="42">
        <v>66574.467000000004</v>
      </c>
      <c r="W21" s="44">
        <v>0</v>
      </c>
      <c r="X21" s="45">
        <v>66574</v>
      </c>
      <c r="Y21" s="46" t="s">
        <v>71</v>
      </c>
      <c r="Z21" s="39" t="s">
        <v>40</v>
      </c>
      <c r="AA21" s="31" t="s">
        <v>41</v>
      </c>
      <c r="AB21" s="31" t="s">
        <v>198</v>
      </c>
      <c r="AC21" s="37">
        <v>45596</v>
      </c>
      <c r="AD21" s="65"/>
      <c r="AE21" s="65" t="s">
        <v>2127</v>
      </c>
      <c r="AF21" s="66">
        <v>66574</v>
      </c>
      <c r="AG21" s="67">
        <f t="shared" si="0"/>
        <v>0</v>
      </c>
      <c r="AH21" s="65" t="s">
        <v>2376</v>
      </c>
    </row>
    <row r="22" spans="1:34">
      <c r="A22" s="32">
        <v>45566</v>
      </c>
      <c r="B22" s="33" t="s">
        <v>29</v>
      </c>
      <c r="C22" s="34" t="s">
        <v>214</v>
      </c>
      <c r="D22" s="35" t="s">
        <v>64</v>
      </c>
      <c r="E22" s="36">
        <v>45578</v>
      </c>
      <c r="F22" s="37">
        <v>45943</v>
      </c>
      <c r="G22" s="34" t="s">
        <v>215</v>
      </c>
      <c r="H22" s="38">
        <v>2021</v>
      </c>
      <c r="I22" s="39" t="s">
        <v>216</v>
      </c>
      <c r="J22" s="38" t="s">
        <v>217</v>
      </c>
      <c r="K22" s="38" t="s">
        <v>218</v>
      </c>
      <c r="L22" s="40" t="s">
        <v>219</v>
      </c>
      <c r="M22" s="38" t="s">
        <v>220</v>
      </c>
      <c r="N22" s="31" t="s">
        <v>221</v>
      </c>
      <c r="O22" s="39">
        <v>2002</v>
      </c>
      <c r="P22" s="39">
        <v>477</v>
      </c>
      <c r="Q22" s="41">
        <v>44483</v>
      </c>
      <c r="R22" s="41">
        <v>46310</v>
      </c>
      <c r="S22" s="42">
        <v>1304100</v>
      </c>
      <c r="T22" s="43">
        <v>2.2499999999999999E-2</v>
      </c>
      <c r="U22" s="42">
        <v>1173690</v>
      </c>
      <c r="V22" s="42">
        <v>26408.024999999998</v>
      </c>
      <c r="W22" s="44">
        <v>0</v>
      </c>
      <c r="X22" s="45">
        <v>26408</v>
      </c>
      <c r="Y22" s="46" t="s">
        <v>71</v>
      </c>
      <c r="Z22" s="39" t="s">
        <v>40</v>
      </c>
      <c r="AA22" s="31" t="s">
        <v>41</v>
      </c>
      <c r="AB22" s="31" t="s">
        <v>198</v>
      </c>
      <c r="AC22" s="37">
        <v>45596</v>
      </c>
      <c r="AD22" s="65"/>
      <c r="AE22" s="65" t="s">
        <v>2128</v>
      </c>
      <c r="AF22" s="66">
        <v>26408</v>
      </c>
      <c r="AG22" s="67">
        <f t="shared" si="0"/>
        <v>0</v>
      </c>
      <c r="AH22" s="65" t="s">
        <v>2376</v>
      </c>
    </row>
    <row r="23" spans="1:34">
      <c r="A23" s="32">
        <v>45566</v>
      </c>
      <c r="B23" s="33" t="s">
        <v>29</v>
      </c>
      <c r="C23" s="34" t="s">
        <v>222</v>
      </c>
      <c r="D23" s="35" t="s">
        <v>64</v>
      </c>
      <c r="E23" s="36">
        <v>45579</v>
      </c>
      <c r="F23" s="37">
        <v>45944</v>
      </c>
      <c r="G23" s="34" t="s">
        <v>223</v>
      </c>
      <c r="H23" s="38">
        <v>2017</v>
      </c>
      <c r="I23" s="39" t="s">
        <v>224</v>
      </c>
      <c r="J23" s="38" t="s">
        <v>225</v>
      </c>
      <c r="K23" s="38" t="s">
        <v>226</v>
      </c>
      <c r="L23" s="40" t="s">
        <v>227</v>
      </c>
      <c r="M23" s="38" t="s">
        <v>228</v>
      </c>
      <c r="N23" s="31" t="s">
        <v>229</v>
      </c>
      <c r="O23" s="39">
        <v>2028</v>
      </c>
      <c r="P23" s="39">
        <v>450</v>
      </c>
      <c r="Q23" s="41">
        <v>44487</v>
      </c>
      <c r="R23" s="41">
        <v>46310</v>
      </c>
      <c r="S23" s="42">
        <v>1982475</v>
      </c>
      <c r="T23" s="43">
        <v>2.2499999999999999E-2</v>
      </c>
      <c r="U23" s="42">
        <v>1784227.5</v>
      </c>
      <c r="V23" s="42">
        <v>40145.118750000001</v>
      </c>
      <c r="W23" s="44">
        <v>0</v>
      </c>
      <c r="X23" s="45">
        <v>40145</v>
      </c>
      <c r="Y23" s="46" t="s">
        <v>71</v>
      </c>
      <c r="Z23" s="39" t="s">
        <v>40</v>
      </c>
      <c r="AA23" s="31" t="s">
        <v>41</v>
      </c>
      <c r="AB23" s="31" t="s">
        <v>198</v>
      </c>
      <c r="AC23" s="37">
        <v>45596</v>
      </c>
      <c r="AD23" s="65"/>
      <c r="AE23" s="65" t="s">
        <v>2129</v>
      </c>
      <c r="AF23" s="66">
        <v>40145</v>
      </c>
      <c r="AG23" s="67">
        <f t="shared" si="0"/>
        <v>0</v>
      </c>
      <c r="AH23" s="65" t="s">
        <v>2376</v>
      </c>
    </row>
    <row r="24" spans="1:34">
      <c r="A24" s="32">
        <v>45566</v>
      </c>
      <c r="B24" s="33" t="s">
        <v>29</v>
      </c>
      <c r="C24" s="34" t="s">
        <v>230</v>
      </c>
      <c r="D24" s="35" t="s">
        <v>64</v>
      </c>
      <c r="E24" s="36">
        <v>45579</v>
      </c>
      <c r="F24" s="37">
        <v>45944</v>
      </c>
      <c r="G24" s="34" t="s">
        <v>231</v>
      </c>
      <c r="H24" s="38">
        <v>2021</v>
      </c>
      <c r="I24" s="39" t="s">
        <v>232</v>
      </c>
      <c r="J24" s="38" t="s">
        <v>233</v>
      </c>
      <c r="K24" s="38" t="s">
        <v>234</v>
      </c>
      <c r="L24" s="40" t="s">
        <v>235</v>
      </c>
      <c r="M24" s="38" t="s">
        <v>236</v>
      </c>
      <c r="N24" s="31" t="s">
        <v>237</v>
      </c>
      <c r="O24" s="39">
        <v>2009</v>
      </c>
      <c r="P24" s="39">
        <v>450</v>
      </c>
      <c r="Q24" s="41">
        <v>44490</v>
      </c>
      <c r="R24" s="41">
        <v>46310</v>
      </c>
      <c r="S24" s="42">
        <v>1425600</v>
      </c>
      <c r="T24" s="43">
        <v>2.2499999999999999E-2</v>
      </c>
      <c r="U24" s="42">
        <v>1283040</v>
      </c>
      <c r="V24" s="42">
        <v>28868.399999999998</v>
      </c>
      <c r="W24" s="44">
        <v>0</v>
      </c>
      <c r="X24" s="45">
        <v>28868</v>
      </c>
      <c r="Y24" s="46" t="s">
        <v>71</v>
      </c>
      <c r="Z24" s="39" t="s">
        <v>40</v>
      </c>
      <c r="AA24" s="31" t="s">
        <v>41</v>
      </c>
      <c r="AB24" s="31" t="s">
        <v>198</v>
      </c>
      <c r="AC24" s="37">
        <v>45596</v>
      </c>
      <c r="AD24" s="65"/>
      <c r="AE24" s="65" t="s">
        <v>2130</v>
      </c>
      <c r="AF24" s="66">
        <v>28868</v>
      </c>
      <c r="AG24" s="67">
        <f t="shared" si="0"/>
        <v>0</v>
      </c>
      <c r="AH24" s="65" t="s">
        <v>2376</v>
      </c>
    </row>
    <row r="25" spans="1:34">
      <c r="A25" s="32">
        <v>45566</v>
      </c>
      <c r="B25" s="33" t="s">
        <v>29</v>
      </c>
      <c r="C25" s="34" t="s">
        <v>238</v>
      </c>
      <c r="D25" s="35" t="s">
        <v>64</v>
      </c>
      <c r="E25" s="36">
        <v>45579</v>
      </c>
      <c r="F25" s="37">
        <v>45944</v>
      </c>
      <c r="G25" s="34" t="s">
        <v>223</v>
      </c>
      <c r="H25" s="38">
        <v>2021</v>
      </c>
      <c r="I25" s="39" t="s">
        <v>239</v>
      </c>
      <c r="J25" s="38" t="s">
        <v>240</v>
      </c>
      <c r="K25" s="38" t="s">
        <v>241</v>
      </c>
      <c r="L25" s="40" t="s">
        <v>242</v>
      </c>
      <c r="M25" s="38" t="s">
        <v>243</v>
      </c>
      <c r="N25" s="31" t="s">
        <v>244</v>
      </c>
      <c r="O25" s="39">
        <v>2071</v>
      </c>
      <c r="P25" s="39">
        <v>450</v>
      </c>
      <c r="Q25" s="41">
        <v>44484</v>
      </c>
      <c r="R25" s="41">
        <v>46310</v>
      </c>
      <c r="S25" s="42">
        <v>3134700</v>
      </c>
      <c r="T25" s="43">
        <v>2.2499999999999999E-2</v>
      </c>
      <c r="U25" s="42">
        <v>2821230</v>
      </c>
      <c r="V25" s="42">
        <v>63477.674999999996</v>
      </c>
      <c r="W25" s="44">
        <v>0</v>
      </c>
      <c r="X25" s="45">
        <v>63478</v>
      </c>
      <c r="Y25" s="46" t="s">
        <v>71</v>
      </c>
      <c r="Z25" s="39" t="s">
        <v>40</v>
      </c>
      <c r="AA25" s="31" t="s">
        <v>41</v>
      </c>
      <c r="AB25" s="31" t="s">
        <v>198</v>
      </c>
      <c r="AC25" s="37">
        <v>45596</v>
      </c>
      <c r="AD25" s="65"/>
      <c r="AE25" s="65" t="s">
        <v>2131</v>
      </c>
      <c r="AF25" s="66">
        <v>63478</v>
      </c>
      <c r="AG25" s="67">
        <f t="shared" si="0"/>
        <v>0</v>
      </c>
      <c r="AH25" s="65" t="s">
        <v>2376</v>
      </c>
    </row>
    <row r="26" spans="1:34">
      <c r="A26" s="32">
        <v>45566</v>
      </c>
      <c r="B26" s="33" t="s">
        <v>29</v>
      </c>
      <c r="C26" s="34" t="s">
        <v>245</v>
      </c>
      <c r="D26" s="35" t="s">
        <v>64</v>
      </c>
      <c r="E26" s="36">
        <v>45579</v>
      </c>
      <c r="F26" s="37">
        <v>45944</v>
      </c>
      <c r="G26" s="34" t="s">
        <v>246</v>
      </c>
      <c r="H26" s="38">
        <v>2021</v>
      </c>
      <c r="I26" s="39" t="s">
        <v>247</v>
      </c>
      <c r="J26" s="38" t="s">
        <v>248</v>
      </c>
      <c r="K26" s="38" t="s">
        <v>249</v>
      </c>
      <c r="L26" s="40" t="s">
        <v>250</v>
      </c>
      <c r="M26" s="38" t="s">
        <v>251</v>
      </c>
      <c r="N26" s="31" t="s">
        <v>252</v>
      </c>
      <c r="O26" s="39">
        <v>2072</v>
      </c>
      <c r="P26" s="39">
        <v>450</v>
      </c>
      <c r="Q26" s="41">
        <v>44487</v>
      </c>
      <c r="R26" s="41">
        <v>46310</v>
      </c>
      <c r="S26" s="42">
        <v>3902580</v>
      </c>
      <c r="T26" s="43">
        <v>2.2499999999999999E-2</v>
      </c>
      <c r="U26" s="42">
        <v>3512322</v>
      </c>
      <c r="V26" s="42">
        <v>79027.244999999995</v>
      </c>
      <c r="W26" s="44">
        <v>0</v>
      </c>
      <c r="X26" s="45">
        <v>79027</v>
      </c>
      <c r="Y26" s="46" t="s">
        <v>71</v>
      </c>
      <c r="Z26" s="39" t="s">
        <v>40</v>
      </c>
      <c r="AA26" s="31" t="s">
        <v>41</v>
      </c>
      <c r="AB26" s="31" t="s">
        <v>198</v>
      </c>
      <c r="AC26" s="37">
        <v>45596</v>
      </c>
      <c r="AD26" s="65"/>
      <c r="AE26" s="65" t="s">
        <v>2132</v>
      </c>
      <c r="AF26" s="66">
        <v>79027</v>
      </c>
      <c r="AG26" s="67">
        <f t="shared" si="0"/>
        <v>0</v>
      </c>
      <c r="AH26" s="65" t="s">
        <v>2376</v>
      </c>
    </row>
    <row r="27" spans="1:34">
      <c r="A27" s="32">
        <v>45566</v>
      </c>
      <c r="B27" s="33" t="s">
        <v>29</v>
      </c>
      <c r="C27" s="34" t="s">
        <v>253</v>
      </c>
      <c r="D27" s="35" t="s">
        <v>64</v>
      </c>
      <c r="E27" s="36">
        <v>45568</v>
      </c>
      <c r="F27" s="37">
        <v>45933</v>
      </c>
      <c r="G27" s="34" t="s">
        <v>254</v>
      </c>
      <c r="H27" s="38">
        <v>2021</v>
      </c>
      <c r="I27" s="39" t="s">
        <v>255</v>
      </c>
      <c r="J27" s="38" t="s">
        <v>256</v>
      </c>
      <c r="K27" s="38" t="s">
        <v>257</v>
      </c>
      <c r="L27" s="40" t="s">
        <v>258</v>
      </c>
      <c r="M27" s="38" t="s">
        <v>259</v>
      </c>
      <c r="N27" s="31" t="s">
        <v>260</v>
      </c>
      <c r="O27" s="39">
        <v>2008</v>
      </c>
      <c r="P27" s="39">
        <v>450</v>
      </c>
      <c r="Q27" s="41">
        <v>44476</v>
      </c>
      <c r="R27" s="41">
        <v>46300</v>
      </c>
      <c r="S27" s="42">
        <v>2371680</v>
      </c>
      <c r="T27" s="43">
        <v>1.9900000000000001E-2</v>
      </c>
      <c r="U27" s="42">
        <v>2134512</v>
      </c>
      <c r="V27" s="42">
        <v>42476.788800000002</v>
      </c>
      <c r="W27" s="44">
        <v>0</v>
      </c>
      <c r="X27" s="45">
        <v>42477</v>
      </c>
      <c r="Y27" s="46" t="s">
        <v>71</v>
      </c>
      <c r="Z27" s="39" t="s">
        <v>40</v>
      </c>
      <c r="AA27" s="31" t="s">
        <v>41</v>
      </c>
      <c r="AB27" s="31" t="s">
        <v>198</v>
      </c>
      <c r="AC27" s="37">
        <v>45596</v>
      </c>
      <c r="AD27" s="65"/>
      <c r="AE27" s="65" t="s">
        <v>2133</v>
      </c>
      <c r="AF27" s="66">
        <v>42477</v>
      </c>
      <c r="AG27" s="67">
        <f t="shared" si="0"/>
        <v>0</v>
      </c>
      <c r="AH27" s="65" t="s">
        <v>2376</v>
      </c>
    </row>
    <row r="28" spans="1:34">
      <c r="A28" s="32">
        <v>45566</v>
      </c>
      <c r="B28" s="33" t="s">
        <v>29</v>
      </c>
      <c r="C28" s="34" t="s">
        <v>261</v>
      </c>
      <c r="D28" s="35" t="s">
        <v>64</v>
      </c>
      <c r="E28" s="36">
        <v>45579</v>
      </c>
      <c r="F28" s="37">
        <v>45944</v>
      </c>
      <c r="G28" s="34" t="s">
        <v>262</v>
      </c>
      <c r="H28" s="38">
        <v>2018</v>
      </c>
      <c r="I28" s="39" t="s">
        <v>263</v>
      </c>
      <c r="J28" s="38" t="s">
        <v>264</v>
      </c>
      <c r="K28" s="38" t="s">
        <v>265</v>
      </c>
      <c r="L28" s="40" t="s">
        <v>266</v>
      </c>
      <c r="M28" s="38" t="s">
        <v>267</v>
      </c>
      <c r="N28" s="31" t="s">
        <v>268</v>
      </c>
      <c r="O28" s="39">
        <v>1004</v>
      </c>
      <c r="P28" s="39">
        <v>450</v>
      </c>
      <c r="Q28" s="41">
        <v>44489</v>
      </c>
      <c r="R28" s="41">
        <v>46300</v>
      </c>
      <c r="S28" s="42">
        <v>1336500</v>
      </c>
      <c r="T28" s="43">
        <v>2.2499999999999999E-2</v>
      </c>
      <c r="U28" s="42">
        <v>1202850</v>
      </c>
      <c r="V28" s="42">
        <v>27064.125</v>
      </c>
      <c r="W28" s="44">
        <v>0</v>
      </c>
      <c r="X28" s="45">
        <v>27064</v>
      </c>
      <c r="Y28" s="46" t="s">
        <v>71</v>
      </c>
      <c r="Z28" s="39" t="s">
        <v>40</v>
      </c>
      <c r="AA28" s="31" t="s">
        <v>41</v>
      </c>
      <c r="AB28" s="31" t="s">
        <v>198</v>
      </c>
      <c r="AC28" s="37">
        <v>45596</v>
      </c>
      <c r="AD28" s="65"/>
      <c r="AE28" s="65" t="s">
        <v>2134</v>
      </c>
      <c r="AF28" s="66">
        <v>27064</v>
      </c>
      <c r="AG28" s="67">
        <f t="shared" si="0"/>
        <v>0</v>
      </c>
      <c r="AH28" s="65" t="s">
        <v>2376</v>
      </c>
    </row>
    <row r="29" spans="1:34">
      <c r="A29" s="32">
        <v>45566</v>
      </c>
      <c r="B29" s="33" t="s">
        <v>29</v>
      </c>
      <c r="C29" s="34" t="s">
        <v>269</v>
      </c>
      <c r="D29" s="35" t="s">
        <v>64</v>
      </c>
      <c r="E29" s="36">
        <v>45590</v>
      </c>
      <c r="F29" s="37">
        <v>45955</v>
      </c>
      <c r="G29" s="34" t="s">
        <v>270</v>
      </c>
      <c r="H29" s="38">
        <v>2022</v>
      </c>
      <c r="I29" s="39" t="s">
        <v>271</v>
      </c>
      <c r="J29" s="38" t="s">
        <v>272</v>
      </c>
      <c r="K29" s="38" t="s">
        <v>273</v>
      </c>
      <c r="L29" s="40" t="s">
        <v>274</v>
      </c>
      <c r="M29" s="38" t="s">
        <v>275</v>
      </c>
      <c r="N29" s="31" t="s">
        <v>276</v>
      </c>
      <c r="O29" s="39">
        <v>3018</v>
      </c>
      <c r="P29" s="39">
        <v>565</v>
      </c>
      <c r="Q29" s="41">
        <v>44875</v>
      </c>
      <c r="R29" s="41">
        <v>46696</v>
      </c>
      <c r="S29" s="42">
        <v>6684300</v>
      </c>
      <c r="T29" s="43">
        <v>1.9900000000000001E-2</v>
      </c>
      <c r="U29" s="42">
        <v>6015870</v>
      </c>
      <c r="V29" s="42">
        <v>119715.81300000001</v>
      </c>
      <c r="W29" s="44">
        <v>0</v>
      </c>
      <c r="X29" s="45">
        <v>119716</v>
      </c>
      <c r="Y29" s="46" t="s">
        <v>71</v>
      </c>
      <c r="Z29" s="39" t="s">
        <v>40</v>
      </c>
      <c r="AA29" s="31" t="s">
        <v>41</v>
      </c>
      <c r="AB29" s="31" t="s">
        <v>72</v>
      </c>
      <c r="AC29" s="37">
        <v>45596</v>
      </c>
      <c r="AD29" s="65"/>
      <c r="AE29" s="65" t="s">
        <v>2135</v>
      </c>
      <c r="AF29" s="66">
        <v>119716</v>
      </c>
      <c r="AG29" s="67">
        <f t="shared" si="0"/>
        <v>0</v>
      </c>
      <c r="AH29" s="65" t="s">
        <v>2376</v>
      </c>
    </row>
    <row r="30" spans="1:34">
      <c r="A30" s="32">
        <v>45566</v>
      </c>
      <c r="B30" s="33" t="s">
        <v>29</v>
      </c>
      <c r="C30" s="34" t="s">
        <v>277</v>
      </c>
      <c r="D30" s="35" t="s">
        <v>64</v>
      </c>
      <c r="E30" s="36">
        <v>45582</v>
      </c>
      <c r="F30" s="37">
        <v>45947</v>
      </c>
      <c r="G30" s="34" t="s">
        <v>262</v>
      </c>
      <c r="H30" s="38">
        <v>2021</v>
      </c>
      <c r="I30" s="39" t="s">
        <v>278</v>
      </c>
      <c r="J30" s="38" t="s">
        <v>279</v>
      </c>
      <c r="K30" s="38" t="s">
        <v>280</v>
      </c>
      <c r="L30" s="40" t="s">
        <v>281</v>
      </c>
      <c r="M30" s="38" t="s">
        <v>282</v>
      </c>
      <c r="N30" s="31" t="s">
        <v>283</v>
      </c>
      <c r="O30" s="39">
        <v>2002</v>
      </c>
      <c r="P30" s="39">
        <v>477</v>
      </c>
      <c r="Q30" s="41">
        <v>44489</v>
      </c>
      <c r="R30" s="41">
        <v>46310</v>
      </c>
      <c r="S30" s="42">
        <v>1482300</v>
      </c>
      <c r="T30" s="43">
        <v>1.9900000000000001E-2</v>
      </c>
      <c r="U30" s="42">
        <v>1334070</v>
      </c>
      <c r="V30" s="42">
        <v>26547.993000000002</v>
      </c>
      <c r="W30" s="44">
        <v>0</v>
      </c>
      <c r="X30" s="45">
        <v>26548</v>
      </c>
      <c r="Y30" s="46" t="s">
        <v>71</v>
      </c>
      <c r="Z30" s="39" t="s">
        <v>40</v>
      </c>
      <c r="AA30" s="31" t="s">
        <v>41</v>
      </c>
      <c r="AB30" s="31" t="s">
        <v>198</v>
      </c>
      <c r="AC30" s="37">
        <v>45596</v>
      </c>
      <c r="AD30" s="65"/>
      <c r="AE30" s="65" t="s">
        <v>2136</v>
      </c>
      <c r="AF30" s="66">
        <v>26548</v>
      </c>
      <c r="AG30" s="67">
        <f t="shared" si="0"/>
        <v>0</v>
      </c>
      <c r="AH30" s="65" t="s">
        <v>2376</v>
      </c>
    </row>
    <row r="31" spans="1:34">
      <c r="A31" s="32">
        <v>45566</v>
      </c>
      <c r="B31" s="33" t="s">
        <v>29</v>
      </c>
      <c r="C31" s="34" t="s">
        <v>284</v>
      </c>
      <c r="D31" s="35" t="s">
        <v>64</v>
      </c>
      <c r="E31" s="36">
        <v>45582</v>
      </c>
      <c r="F31" s="37">
        <v>45947</v>
      </c>
      <c r="G31" s="34" t="s">
        <v>285</v>
      </c>
      <c r="H31" s="38">
        <v>2021</v>
      </c>
      <c r="I31" s="39" t="s">
        <v>286</v>
      </c>
      <c r="J31" s="38" t="s">
        <v>287</v>
      </c>
      <c r="K31" s="38" t="s">
        <v>288</v>
      </c>
      <c r="L31" s="40" t="s">
        <v>289</v>
      </c>
      <c r="M31" s="38" t="s">
        <v>290</v>
      </c>
      <c r="N31" s="31" t="s">
        <v>291</v>
      </c>
      <c r="O31" s="39">
        <v>2002</v>
      </c>
      <c r="P31" s="39">
        <v>477</v>
      </c>
      <c r="Q31" s="41">
        <v>44489</v>
      </c>
      <c r="R31" s="41">
        <v>46310</v>
      </c>
      <c r="S31" s="42">
        <v>2272050</v>
      </c>
      <c r="T31" s="43">
        <v>2.2499999999999999E-2</v>
      </c>
      <c r="U31" s="42">
        <v>2044845</v>
      </c>
      <c r="V31" s="42">
        <v>46009.012499999997</v>
      </c>
      <c r="W31" s="44">
        <v>0</v>
      </c>
      <c r="X31" s="45">
        <v>46009</v>
      </c>
      <c r="Y31" s="46" t="s">
        <v>71</v>
      </c>
      <c r="Z31" s="39" t="s">
        <v>40</v>
      </c>
      <c r="AA31" s="31" t="s">
        <v>41</v>
      </c>
      <c r="AB31" s="31" t="s">
        <v>198</v>
      </c>
      <c r="AC31" s="37">
        <v>45596</v>
      </c>
      <c r="AD31" s="65"/>
      <c r="AE31" s="65" t="s">
        <v>2137</v>
      </c>
      <c r="AF31" s="66">
        <v>46009</v>
      </c>
      <c r="AG31" s="67">
        <f t="shared" si="0"/>
        <v>0</v>
      </c>
      <c r="AH31" s="65" t="s">
        <v>2376</v>
      </c>
    </row>
    <row r="32" spans="1:34">
      <c r="A32" s="32">
        <v>45566</v>
      </c>
      <c r="B32" s="33" t="s">
        <v>29</v>
      </c>
      <c r="C32" s="34" t="s">
        <v>292</v>
      </c>
      <c r="D32" s="35" t="s">
        <v>64</v>
      </c>
      <c r="E32" s="36">
        <v>45582</v>
      </c>
      <c r="F32" s="37">
        <v>45947</v>
      </c>
      <c r="G32" s="34" t="s">
        <v>293</v>
      </c>
      <c r="H32" s="38">
        <v>2021</v>
      </c>
      <c r="I32" s="39" t="s">
        <v>294</v>
      </c>
      <c r="J32" s="38" t="s">
        <v>295</v>
      </c>
      <c r="K32" s="38" t="s">
        <v>296</v>
      </c>
      <c r="L32" s="40" t="s">
        <v>297</v>
      </c>
      <c r="M32" s="38" t="s">
        <v>298</v>
      </c>
      <c r="N32" s="31" t="s">
        <v>299</v>
      </c>
      <c r="O32" s="39">
        <v>1149</v>
      </c>
      <c r="P32" s="39">
        <v>477</v>
      </c>
      <c r="Q32" s="41">
        <v>44490</v>
      </c>
      <c r="R32" s="41">
        <v>47041</v>
      </c>
      <c r="S32" s="42">
        <v>2166750</v>
      </c>
      <c r="T32" s="43">
        <v>1.9900000000000001E-2</v>
      </c>
      <c r="U32" s="42">
        <v>1950075</v>
      </c>
      <c r="V32" s="42">
        <v>38806.4925</v>
      </c>
      <c r="W32" s="44">
        <v>0</v>
      </c>
      <c r="X32" s="45">
        <v>38806</v>
      </c>
      <c r="Y32" s="46" t="s">
        <v>71</v>
      </c>
      <c r="Z32" s="39" t="s">
        <v>40</v>
      </c>
      <c r="AA32" s="31" t="s">
        <v>41</v>
      </c>
      <c r="AB32" s="31" t="s">
        <v>198</v>
      </c>
      <c r="AC32" s="37">
        <v>45596</v>
      </c>
      <c r="AD32" s="65"/>
      <c r="AE32" s="65" t="s">
        <v>2138</v>
      </c>
      <c r="AF32" s="66">
        <v>38806</v>
      </c>
      <c r="AG32" s="67">
        <f t="shared" si="0"/>
        <v>0</v>
      </c>
      <c r="AH32" s="65" t="s">
        <v>2376</v>
      </c>
    </row>
    <row r="33" spans="1:34">
      <c r="A33" s="32">
        <v>45566</v>
      </c>
      <c r="B33" s="33" t="s">
        <v>29</v>
      </c>
      <c r="C33" s="34" t="s">
        <v>300</v>
      </c>
      <c r="D33" s="35" t="s">
        <v>64</v>
      </c>
      <c r="E33" s="36">
        <v>45582</v>
      </c>
      <c r="F33" s="37">
        <v>45947</v>
      </c>
      <c r="G33" s="34" t="s">
        <v>293</v>
      </c>
      <c r="H33" s="38">
        <v>2021</v>
      </c>
      <c r="I33" s="39" t="s">
        <v>301</v>
      </c>
      <c r="J33" s="38" t="s">
        <v>302</v>
      </c>
      <c r="K33" s="38" t="s">
        <v>303</v>
      </c>
      <c r="L33" s="40" t="s">
        <v>304</v>
      </c>
      <c r="M33" s="38" t="s">
        <v>305</v>
      </c>
      <c r="N33" s="31" t="s">
        <v>306</v>
      </c>
      <c r="O33" s="39">
        <v>1164</v>
      </c>
      <c r="P33" s="39">
        <v>450</v>
      </c>
      <c r="Q33" s="41">
        <v>44491</v>
      </c>
      <c r="R33" s="41">
        <v>46310</v>
      </c>
      <c r="S33" s="42">
        <v>2189430</v>
      </c>
      <c r="T33" s="43">
        <v>1.9900000000000001E-2</v>
      </c>
      <c r="U33" s="42">
        <v>1970487</v>
      </c>
      <c r="V33" s="42">
        <v>39212.691299999999</v>
      </c>
      <c r="W33" s="44">
        <v>0</v>
      </c>
      <c r="X33" s="45">
        <v>39213</v>
      </c>
      <c r="Y33" s="46" t="s">
        <v>71</v>
      </c>
      <c r="Z33" s="39" t="s">
        <v>40</v>
      </c>
      <c r="AA33" s="31" t="s">
        <v>41</v>
      </c>
      <c r="AB33" s="31" t="s">
        <v>198</v>
      </c>
      <c r="AC33" s="37">
        <v>45596</v>
      </c>
      <c r="AD33" s="65"/>
      <c r="AE33" s="65" t="s">
        <v>2139</v>
      </c>
      <c r="AF33" s="66">
        <v>39213</v>
      </c>
      <c r="AG33" s="67">
        <f t="shared" si="0"/>
        <v>0</v>
      </c>
      <c r="AH33" s="65" t="s">
        <v>2376</v>
      </c>
    </row>
    <row r="34" spans="1:34">
      <c r="A34" s="32">
        <v>45566</v>
      </c>
      <c r="B34" s="33" t="s">
        <v>29</v>
      </c>
      <c r="C34" s="34" t="s">
        <v>307</v>
      </c>
      <c r="D34" s="35" t="s">
        <v>64</v>
      </c>
      <c r="E34" s="36">
        <v>45582</v>
      </c>
      <c r="F34" s="37">
        <v>45947</v>
      </c>
      <c r="G34" s="34" t="s">
        <v>223</v>
      </c>
      <c r="H34" s="38">
        <v>2021</v>
      </c>
      <c r="I34" s="39" t="s">
        <v>308</v>
      </c>
      <c r="J34" s="38" t="s">
        <v>309</v>
      </c>
      <c r="K34" s="38" t="s">
        <v>310</v>
      </c>
      <c r="L34" s="40" t="s">
        <v>311</v>
      </c>
      <c r="M34" s="38" t="s">
        <v>312</v>
      </c>
      <c r="N34" s="31" t="s">
        <v>313</v>
      </c>
      <c r="O34" s="39">
        <v>2039</v>
      </c>
      <c r="P34" s="39">
        <v>477</v>
      </c>
      <c r="Q34" s="41">
        <v>44487</v>
      </c>
      <c r="R34" s="41">
        <v>46320</v>
      </c>
      <c r="S34" s="42">
        <v>3134700</v>
      </c>
      <c r="T34" s="43">
        <v>2.2499999999999999E-2</v>
      </c>
      <c r="U34" s="42">
        <v>2821230</v>
      </c>
      <c r="V34" s="42">
        <v>63477.674999999996</v>
      </c>
      <c r="W34" s="44">
        <v>0</v>
      </c>
      <c r="X34" s="45">
        <v>63478</v>
      </c>
      <c r="Y34" s="46" t="s">
        <v>71</v>
      </c>
      <c r="Z34" s="39" t="s">
        <v>40</v>
      </c>
      <c r="AA34" s="31" t="s">
        <v>41</v>
      </c>
      <c r="AB34" s="31" t="s">
        <v>198</v>
      </c>
      <c r="AC34" s="37">
        <v>45596</v>
      </c>
      <c r="AD34" s="65"/>
      <c r="AE34" s="65" t="s">
        <v>2140</v>
      </c>
      <c r="AF34" s="66">
        <v>63478</v>
      </c>
      <c r="AG34" s="67">
        <f t="shared" si="0"/>
        <v>0</v>
      </c>
      <c r="AH34" s="65" t="s">
        <v>2376</v>
      </c>
    </row>
    <row r="35" spans="1:34">
      <c r="A35" s="32">
        <v>45566</v>
      </c>
      <c r="B35" s="33" t="s">
        <v>29</v>
      </c>
      <c r="C35" s="34" t="s">
        <v>314</v>
      </c>
      <c r="D35" s="35" t="s">
        <v>64</v>
      </c>
      <c r="E35" s="36">
        <v>45582</v>
      </c>
      <c r="F35" s="37">
        <v>45947</v>
      </c>
      <c r="G35" s="34" t="s">
        <v>315</v>
      </c>
      <c r="H35" s="38">
        <v>2021</v>
      </c>
      <c r="I35" s="39" t="s">
        <v>316</v>
      </c>
      <c r="J35" s="38" t="s">
        <v>317</v>
      </c>
      <c r="K35" s="38" t="s">
        <v>318</v>
      </c>
      <c r="L35" s="40" t="s">
        <v>319</v>
      </c>
      <c r="M35" s="38" t="s">
        <v>320</v>
      </c>
      <c r="N35" s="31" t="s">
        <v>321</v>
      </c>
      <c r="O35" s="39">
        <v>1077</v>
      </c>
      <c r="P35" s="39">
        <v>450</v>
      </c>
      <c r="Q35" s="41">
        <v>44489</v>
      </c>
      <c r="R35" s="41">
        <v>47041</v>
      </c>
      <c r="S35" s="42">
        <v>2903850</v>
      </c>
      <c r="T35" s="43">
        <v>1.9900000000000001E-2</v>
      </c>
      <c r="U35" s="42">
        <v>2613465</v>
      </c>
      <c r="V35" s="42">
        <v>52007.953500000003</v>
      </c>
      <c r="W35" s="44">
        <v>0</v>
      </c>
      <c r="X35" s="45">
        <v>52008</v>
      </c>
      <c r="Y35" s="46" t="s">
        <v>71</v>
      </c>
      <c r="Z35" s="39" t="s">
        <v>40</v>
      </c>
      <c r="AA35" s="31" t="s">
        <v>41</v>
      </c>
      <c r="AB35" s="31" t="s">
        <v>198</v>
      </c>
      <c r="AC35" s="37">
        <v>45596</v>
      </c>
      <c r="AD35" s="65"/>
      <c r="AE35" s="65" t="s">
        <v>2141</v>
      </c>
      <c r="AF35" s="66">
        <v>52008</v>
      </c>
      <c r="AG35" s="67">
        <f t="shared" si="0"/>
        <v>0</v>
      </c>
      <c r="AH35" s="65" t="s">
        <v>2376</v>
      </c>
    </row>
    <row r="36" spans="1:34">
      <c r="A36" s="32">
        <v>45566</v>
      </c>
      <c r="B36" s="33" t="s">
        <v>29</v>
      </c>
      <c r="C36" s="34" t="s">
        <v>322</v>
      </c>
      <c r="D36" s="35" t="s">
        <v>64</v>
      </c>
      <c r="E36" s="36">
        <v>45582</v>
      </c>
      <c r="F36" s="37">
        <v>45947</v>
      </c>
      <c r="G36" s="34" t="s">
        <v>323</v>
      </c>
      <c r="H36" s="38">
        <v>2019</v>
      </c>
      <c r="I36" s="39" t="s">
        <v>324</v>
      </c>
      <c r="J36" s="38" t="s">
        <v>325</v>
      </c>
      <c r="K36" s="38" t="s">
        <v>326</v>
      </c>
      <c r="L36" s="40" t="s">
        <v>327</v>
      </c>
      <c r="M36" s="38" t="s">
        <v>328</v>
      </c>
      <c r="N36" s="31" t="s">
        <v>329</v>
      </c>
      <c r="O36" s="39">
        <v>2002</v>
      </c>
      <c r="P36" s="39">
        <v>477</v>
      </c>
      <c r="Q36" s="41">
        <v>44509</v>
      </c>
      <c r="R36" s="41">
        <v>46310</v>
      </c>
      <c r="S36" s="42">
        <v>5589000</v>
      </c>
      <c r="T36" s="43">
        <v>1.7500000000000002E-2</v>
      </c>
      <c r="U36" s="42">
        <v>5030100</v>
      </c>
      <c r="V36" s="42">
        <v>88026.750000000015</v>
      </c>
      <c r="W36" s="44">
        <v>0</v>
      </c>
      <c r="X36" s="45">
        <v>88027</v>
      </c>
      <c r="Y36" s="46" t="s">
        <v>71</v>
      </c>
      <c r="Z36" s="39" t="s">
        <v>40</v>
      </c>
      <c r="AA36" s="31" t="s">
        <v>41</v>
      </c>
      <c r="AB36" s="31" t="s">
        <v>198</v>
      </c>
      <c r="AC36" s="37">
        <v>45596</v>
      </c>
      <c r="AD36" s="65"/>
      <c r="AE36" s="65" t="s">
        <v>2142</v>
      </c>
      <c r="AF36" s="66">
        <v>88027</v>
      </c>
      <c r="AG36" s="67">
        <f t="shared" si="0"/>
        <v>0</v>
      </c>
      <c r="AH36" s="65" t="s">
        <v>2376</v>
      </c>
    </row>
    <row r="37" spans="1:34">
      <c r="A37" s="32">
        <v>45566</v>
      </c>
      <c r="B37" s="33" t="s">
        <v>29</v>
      </c>
      <c r="C37" s="34" t="s">
        <v>330</v>
      </c>
      <c r="D37" s="35" t="s">
        <v>64</v>
      </c>
      <c r="E37" s="36">
        <v>45568</v>
      </c>
      <c r="F37" s="37">
        <v>45933</v>
      </c>
      <c r="G37" s="34" t="s">
        <v>129</v>
      </c>
      <c r="H37" s="38">
        <v>2021</v>
      </c>
      <c r="I37" s="39" t="s">
        <v>331</v>
      </c>
      <c r="J37" s="38" t="s">
        <v>332</v>
      </c>
      <c r="K37" s="38" t="s">
        <v>333</v>
      </c>
      <c r="L37" s="40" t="s">
        <v>334</v>
      </c>
      <c r="M37" s="38" t="s">
        <v>335</v>
      </c>
      <c r="N37" s="31" t="s">
        <v>336</v>
      </c>
      <c r="O37" s="39">
        <v>2111</v>
      </c>
      <c r="P37" s="39">
        <v>450</v>
      </c>
      <c r="Q37" s="41">
        <v>44473</v>
      </c>
      <c r="R37" s="41">
        <v>46665</v>
      </c>
      <c r="S37" s="42">
        <v>1081350</v>
      </c>
      <c r="T37" s="43">
        <v>2.2499999999999999E-2</v>
      </c>
      <c r="U37" s="42">
        <v>973215</v>
      </c>
      <c r="V37" s="42">
        <v>21897.337499999998</v>
      </c>
      <c r="W37" s="44">
        <v>0</v>
      </c>
      <c r="X37" s="45">
        <v>21897</v>
      </c>
      <c r="Y37" s="46" t="s">
        <v>71</v>
      </c>
      <c r="Z37" s="39" t="s">
        <v>40</v>
      </c>
      <c r="AA37" s="31" t="s">
        <v>41</v>
      </c>
      <c r="AB37" s="31" t="s">
        <v>198</v>
      </c>
      <c r="AC37" s="37">
        <v>45596</v>
      </c>
      <c r="AD37" s="65"/>
      <c r="AE37" s="65" t="s">
        <v>2143</v>
      </c>
      <c r="AF37" s="66">
        <v>21897</v>
      </c>
      <c r="AG37" s="67">
        <f t="shared" si="0"/>
        <v>0</v>
      </c>
      <c r="AH37" s="65" t="s">
        <v>2376</v>
      </c>
    </row>
    <row r="38" spans="1:34">
      <c r="A38" s="32">
        <v>45566</v>
      </c>
      <c r="B38" s="33" t="s">
        <v>29</v>
      </c>
      <c r="C38" s="34" t="s">
        <v>337</v>
      </c>
      <c r="D38" s="35" t="s">
        <v>64</v>
      </c>
      <c r="E38" s="36">
        <v>45582</v>
      </c>
      <c r="F38" s="37">
        <v>45947</v>
      </c>
      <c r="G38" s="34" t="s">
        <v>44</v>
      </c>
      <c r="H38" s="38">
        <v>2021</v>
      </c>
      <c r="I38" s="39" t="s">
        <v>338</v>
      </c>
      <c r="J38" s="38" t="s">
        <v>339</v>
      </c>
      <c r="K38" s="38" t="s">
        <v>340</v>
      </c>
      <c r="L38" s="40" t="s">
        <v>341</v>
      </c>
      <c r="M38" s="38" t="s">
        <v>342</v>
      </c>
      <c r="N38" s="31" t="s">
        <v>343</v>
      </c>
      <c r="O38" s="39">
        <v>1017</v>
      </c>
      <c r="P38" s="39">
        <v>450</v>
      </c>
      <c r="Q38" s="41">
        <v>44494</v>
      </c>
      <c r="R38" s="41">
        <v>47041</v>
      </c>
      <c r="S38" s="42">
        <v>2097090</v>
      </c>
      <c r="T38" s="43">
        <v>1.9900000000000001E-2</v>
      </c>
      <c r="U38" s="42">
        <v>1887381</v>
      </c>
      <c r="V38" s="42">
        <v>37558.8819</v>
      </c>
      <c r="W38" s="44">
        <v>0</v>
      </c>
      <c r="X38" s="45">
        <v>37559</v>
      </c>
      <c r="Y38" s="46" t="s">
        <v>71</v>
      </c>
      <c r="Z38" s="39" t="s">
        <v>40</v>
      </c>
      <c r="AA38" s="31" t="s">
        <v>41</v>
      </c>
      <c r="AB38" s="31" t="s">
        <v>198</v>
      </c>
      <c r="AC38" s="37">
        <v>45596</v>
      </c>
      <c r="AD38" s="65"/>
      <c r="AE38" s="65" t="s">
        <v>2144</v>
      </c>
      <c r="AF38" s="66">
        <v>37559</v>
      </c>
      <c r="AG38" s="67">
        <f t="shared" si="0"/>
        <v>0</v>
      </c>
      <c r="AH38" s="65" t="s">
        <v>2376</v>
      </c>
    </row>
    <row r="39" spans="1:34">
      <c r="A39" s="32">
        <v>45566</v>
      </c>
      <c r="B39" s="33" t="s">
        <v>29</v>
      </c>
      <c r="C39" s="34" t="s">
        <v>344</v>
      </c>
      <c r="D39" s="35" t="s">
        <v>64</v>
      </c>
      <c r="E39" s="36">
        <v>45582</v>
      </c>
      <c r="F39" s="37">
        <v>45947</v>
      </c>
      <c r="G39" s="34" t="s">
        <v>293</v>
      </c>
      <c r="H39" s="38">
        <v>2021</v>
      </c>
      <c r="I39" s="39" t="s">
        <v>345</v>
      </c>
      <c r="J39" s="38" t="s">
        <v>346</v>
      </c>
      <c r="K39" s="38" t="s">
        <v>347</v>
      </c>
      <c r="L39" s="40" t="s">
        <v>348</v>
      </c>
      <c r="M39" s="38" t="s">
        <v>349</v>
      </c>
      <c r="N39" s="31" t="s">
        <v>350</v>
      </c>
      <c r="O39" s="39">
        <v>1067</v>
      </c>
      <c r="P39" s="39">
        <v>477</v>
      </c>
      <c r="Q39" s="41">
        <v>44494</v>
      </c>
      <c r="R39" s="41">
        <v>46320</v>
      </c>
      <c r="S39" s="42">
        <v>2166750</v>
      </c>
      <c r="T39" s="43">
        <v>2.2499999999999999E-2</v>
      </c>
      <c r="U39" s="42">
        <v>1950075</v>
      </c>
      <c r="V39" s="42">
        <v>43876.6875</v>
      </c>
      <c r="W39" s="44">
        <v>0</v>
      </c>
      <c r="X39" s="45">
        <v>43877</v>
      </c>
      <c r="Y39" s="46" t="s">
        <v>71</v>
      </c>
      <c r="Z39" s="39" t="s">
        <v>40</v>
      </c>
      <c r="AA39" s="31" t="s">
        <v>41</v>
      </c>
      <c r="AB39" s="31" t="s">
        <v>198</v>
      </c>
      <c r="AC39" s="37">
        <v>45596</v>
      </c>
      <c r="AD39" s="65"/>
      <c r="AE39" s="65" t="s">
        <v>2145</v>
      </c>
      <c r="AF39" s="66">
        <v>43877</v>
      </c>
      <c r="AG39" s="67">
        <f t="shared" si="0"/>
        <v>0</v>
      </c>
      <c r="AH39" s="65" t="s">
        <v>2376</v>
      </c>
    </row>
    <row r="40" spans="1:34">
      <c r="A40" s="32">
        <v>45566</v>
      </c>
      <c r="B40" s="33" t="s">
        <v>29</v>
      </c>
      <c r="C40" s="34" t="s">
        <v>351</v>
      </c>
      <c r="D40" s="35" t="s">
        <v>64</v>
      </c>
      <c r="E40" s="36">
        <v>45582</v>
      </c>
      <c r="F40" s="37">
        <v>45947</v>
      </c>
      <c r="G40" s="34" t="s">
        <v>215</v>
      </c>
      <c r="H40" s="38">
        <v>2021</v>
      </c>
      <c r="I40" s="39" t="s">
        <v>352</v>
      </c>
      <c r="J40" s="38" t="s">
        <v>353</v>
      </c>
      <c r="K40" s="38" t="s">
        <v>354</v>
      </c>
      <c r="L40" s="40" t="s">
        <v>355</v>
      </c>
      <c r="M40" s="38" t="s">
        <v>356</v>
      </c>
      <c r="N40" s="31" t="s">
        <v>357</v>
      </c>
      <c r="O40" s="39">
        <v>3082</v>
      </c>
      <c r="P40" s="39">
        <v>450</v>
      </c>
      <c r="Q40" s="41">
        <v>44491</v>
      </c>
      <c r="R40" s="41">
        <v>47041</v>
      </c>
      <c r="S40" s="42">
        <v>1174500</v>
      </c>
      <c r="T40" s="43">
        <v>2.2499999999999999E-2</v>
      </c>
      <c r="U40" s="42">
        <v>1057050</v>
      </c>
      <c r="V40" s="42">
        <v>23783.625</v>
      </c>
      <c r="W40" s="44">
        <v>0</v>
      </c>
      <c r="X40" s="45">
        <v>23784</v>
      </c>
      <c r="Y40" s="46" t="s">
        <v>71</v>
      </c>
      <c r="Z40" s="39" t="s">
        <v>40</v>
      </c>
      <c r="AA40" s="31" t="s">
        <v>41</v>
      </c>
      <c r="AB40" s="31" t="s">
        <v>198</v>
      </c>
      <c r="AC40" s="37">
        <v>45596</v>
      </c>
      <c r="AD40" s="65"/>
      <c r="AE40" s="65" t="s">
        <v>2146</v>
      </c>
      <c r="AF40" s="66">
        <v>23784</v>
      </c>
      <c r="AG40" s="67">
        <f t="shared" si="0"/>
        <v>0</v>
      </c>
      <c r="AH40" s="65" t="s">
        <v>2376</v>
      </c>
    </row>
    <row r="41" spans="1:34">
      <c r="A41" s="32">
        <v>45566</v>
      </c>
      <c r="B41" s="33" t="s">
        <v>29</v>
      </c>
      <c r="C41" s="34" t="s">
        <v>358</v>
      </c>
      <c r="D41" s="35" t="s">
        <v>64</v>
      </c>
      <c r="E41" s="36">
        <v>45582</v>
      </c>
      <c r="F41" s="37">
        <v>45947</v>
      </c>
      <c r="G41" s="34" t="s">
        <v>285</v>
      </c>
      <c r="H41" s="38">
        <v>2021</v>
      </c>
      <c r="I41" s="39" t="s">
        <v>359</v>
      </c>
      <c r="J41" s="38" t="s">
        <v>360</v>
      </c>
      <c r="K41" s="38" t="s">
        <v>361</v>
      </c>
      <c r="L41" s="40" t="s">
        <v>362</v>
      </c>
      <c r="M41" s="38" t="s">
        <v>363</v>
      </c>
      <c r="N41" s="31" t="s">
        <v>364</v>
      </c>
      <c r="O41" s="39">
        <v>2002</v>
      </c>
      <c r="P41" s="39">
        <v>477</v>
      </c>
      <c r="Q41" s="41">
        <v>44491</v>
      </c>
      <c r="R41" s="41">
        <v>46310</v>
      </c>
      <c r="S41" s="42">
        <v>2272050</v>
      </c>
      <c r="T41" s="43">
        <v>2.2499999999999999E-2</v>
      </c>
      <c r="U41" s="42">
        <v>2044845</v>
      </c>
      <c r="V41" s="42">
        <v>46009.012499999997</v>
      </c>
      <c r="W41" s="44">
        <v>0</v>
      </c>
      <c r="X41" s="45">
        <v>46009</v>
      </c>
      <c r="Y41" s="46" t="s">
        <v>71</v>
      </c>
      <c r="Z41" s="39" t="s">
        <v>40</v>
      </c>
      <c r="AA41" s="31" t="s">
        <v>41</v>
      </c>
      <c r="AB41" s="31" t="s">
        <v>198</v>
      </c>
      <c r="AC41" s="37">
        <v>45596</v>
      </c>
      <c r="AD41" s="65"/>
      <c r="AE41" s="65" t="s">
        <v>2147</v>
      </c>
      <c r="AF41" s="66">
        <v>46009</v>
      </c>
      <c r="AG41" s="67">
        <f t="shared" si="0"/>
        <v>0</v>
      </c>
      <c r="AH41" s="65" t="s">
        <v>2376</v>
      </c>
    </row>
    <row r="42" spans="1:34">
      <c r="A42" s="32">
        <v>45566</v>
      </c>
      <c r="B42" s="33" t="s">
        <v>29</v>
      </c>
      <c r="C42" s="34" t="s">
        <v>365</v>
      </c>
      <c r="D42" s="35" t="s">
        <v>64</v>
      </c>
      <c r="E42" s="36">
        <v>45582</v>
      </c>
      <c r="F42" s="37">
        <v>45947</v>
      </c>
      <c r="G42" s="34" t="s">
        <v>366</v>
      </c>
      <c r="H42" s="38">
        <v>2021</v>
      </c>
      <c r="I42" s="39" t="s">
        <v>367</v>
      </c>
      <c r="J42" s="38" t="s">
        <v>368</v>
      </c>
      <c r="K42" s="38" t="s">
        <v>369</v>
      </c>
      <c r="L42" s="40" t="s">
        <v>370</v>
      </c>
      <c r="M42" s="38" t="s">
        <v>371</v>
      </c>
      <c r="N42" s="31" t="s">
        <v>372</v>
      </c>
      <c r="O42" s="39">
        <v>3099</v>
      </c>
      <c r="P42" s="39">
        <v>477</v>
      </c>
      <c r="Q42" s="41">
        <v>44491</v>
      </c>
      <c r="R42" s="41">
        <v>46310</v>
      </c>
      <c r="S42" s="42">
        <v>3250530</v>
      </c>
      <c r="T42" s="43">
        <v>2.2499999999999999E-2</v>
      </c>
      <c r="U42" s="42">
        <v>2925477</v>
      </c>
      <c r="V42" s="42">
        <v>65823.232499999998</v>
      </c>
      <c r="W42" s="44">
        <v>0</v>
      </c>
      <c r="X42" s="45">
        <v>65823</v>
      </c>
      <c r="Y42" s="46" t="s">
        <v>71</v>
      </c>
      <c r="Z42" s="39" t="s">
        <v>40</v>
      </c>
      <c r="AA42" s="31" t="s">
        <v>41</v>
      </c>
      <c r="AB42" s="31" t="s">
        <v>198</v>
      </c>
      <c r="AC42" s="37">
        <v>45596</v>
      </c>
      <c r="AD42" s="65"/>
      <c r="AE42" s="65" t="s">
        <v>2148</v>
      </c>
      <c r="AF42" s="66">
        <v>65823</v>
      </c>
      <c r="AG42" s="67">
        <f t="shared" si="0"/>
        <v>0</v>
      </c>
      <c r="AH42" s="65" t="s">
        <v>2376</v>
      </c>
    </row>
    <row r="43" spans="1:34">
      <c r="A43" s="32">
        <v>45566</v>
      </c>
      <c r="B43" s="33" t="s">
        <v>29</v>
      </c>
      <c r="C43" s="34" t="s">
        <v>373</v>
      </c>
      <c r="D43" s="35" t="s">
        <v>64</v>
      </c>
      <c r="E43" s="36">
        <v>45584</v>
      </c>
      <c r="F43" s="37">
        <v>45949</v>
      </c>
      <c r="G43" s="34" t="s">
        <v>129</v>
      </c>
      <c r="H43" s="38">
        <v>2021</v>
      </c>
      <c r="I43" s="39" t="s">
        <v>374</v>
      </c>
      <c r="J43" s="38" t="s">
        <v>375</v>
      </c>
      <c r="K43" s="38" t="s">
        <v>376</v>
      </c>
      <c r="L43" s="40" t="s">
        <v>377</v>
      </c>
      <c r="M43" s="38" t="s">
        <v>378</v>
      </c>
      <c r="N43" s="31" t="s">
        <v>379</v>
      </c>
      <c r="O43" s="39">
        <v>2052</v>
      </c>
      <c r="P43" s="39">
        <v>450</v>
      </c>
      <c r="Q43" s="41">
        <v>44490</v>
      </c>
      <c r="R43" s="41">
        <v>46675</v>
      </c>
      <c r="S43" s="42">
        <v>1081350</v>
      </c>
      <c r="T43" s="43">
        <v>2.2499999999999999E-2</v>
      </c>
      <c r="U43" s="42">
        <v>973215</v>
      </c>
      <c r="V43" s="42">
        <v>21897.337499999998</v>
      </c>
      <c r="W43" s="44">
        <v>0</v>
      </c>
      <c r="X43" s="45">
        <v>21897</v>
      </c>
      <c r="Y43" s="46" t="s">
        <v>71</v>
      </c>
      <c r="Z43" s="39" t="s">
        <v>40</v>
      </c>
      <c r="AA43" s="31" t="s">
        <v>41</v>
      </c>
      <c r="AB43" s="31" t="s">
        <v>198</v>
      </c>
      <c r="AC43" s="37">
        <v>45596</v>
      </c>
      <c r="AD43" s="65"/>
      <c r="AE43" s="65" t="s">
        <v>2149</v>
      </c>
      <c r="AF43" s="66">
        <v>21897</v>
      </c>
      <c r="AG43" s="67">
        <f t="shared" si="0"/>
        <v>0</v>
      </c>
      <c r="AH43" s="65" t="s">
        <v>2376</v>
      </c>
    </row>
    <row r="44" spans="1:34">
      <c r="A44" s="32">
        <v>45566</v>
      </c>
      <c r="B44" s="33" t="s">
        <v>29</v>
      </c>
      <c r="C44" s="34" t="s">
        <v>380</v>
      </c>
      <c r="D44" s="35" t="s">
        <v>64</v>
      </c>
      <c r="E44" s="36">
        <v>45584</v>
      </c>
      <c r="F44" s="37">
        <v>45949</v>
      </c>
      <c r="G44" s="34" t="s">
        <v>129</v>
      </c>
      <c r="H44" s="38">
        <v>2021</v>
      </c>
      <c r="I44" s="39" t="s">
        <v>381</v>
      </c>
      <c r="J44" s="38" t="s">
        <v>382</v>
      </c>
      <c r="K44" s="38" t="s">
        <v>383</v>
      </c>
      <c r="L44" s="40" t="s">
        <v>384</v>
      </c>
      <c r="M44" s="38" t="s">
        <v>385</v>
      </c>
      <c r="N44" s="31" t="s">
        <v>386</v>
      </c>
      <c r="O44" s="39">
        <v>2002</v>
      </c>
      <c r="P44" s="39">
        <v>477</v>
      </c>
      <c r="Q44" s="41">
        <v>44489</v>
      </c>
      <c r="R44" s="41">
        <v>46685</v>
      </c>
      <c r="S44" s="42">
        <v>1081350</v>
      </c>
      <c r="T44" s="43">
        <v>2.2499999999999999E-2</v>
      </c>
      <c r="U44" s="42">
        <v>973215</v>
      </c>
      <c r="V44" s="42">
        <v>21897.337499999998</v>
      </c>
      <c r="W44" s="44">
        <v>0</v>
      </c>
      <c r="X44" s="45">
        <v>21897</v>
      </c>
      <c r="Y44" s="46" t="s">
        <v>71</v>
      </c>
      <c r="Z44" s="39" t="s">
        <v>40</v>
      </c>
      <c r="AA44" s="31" t="s">
        <v>41</v>
      </c>
      <c r="AB44" s="31" t="s">
        <v>198</v>
      </c>
      <c r="AC44" s="37">
        <v>45596</v>
      </c>
      <c r="AD44" s="65"/>
      <c r="AE44" s="65" t="s">
        <v>2150</v>
      </c>
      <c r="AF44" s="66">
        <v>21897</v>
      </c>
      <c r="AG44" s="67">
        <f t="shared" si="0"/>
        <v>0</v>
      </c>
      <c r="AH44" s="65" t="s">
        <v>2376</v>
      </c>
    </row>
    <row r="45" spans="1:34">
      <c r="A45" s="32">
        <v>45566</v>
      </c>
      <c r="B45" s="33" t="s">
        <v>29</v>
      </c>
      <c r="C45" s="34" t="s">
        <v>387</v>
      </c>
      <c r="D45" s="35" t="s">
        <v>64</v>
      </c>
      <c r="E45" s="36">
        <v>45590</v>
      </c>
      <c r="F45" s="37">
        <v>45955</v>
      </c>
      <c r="G45" s="34" t="s">
        <v>74</v>
      </c>
      <c r="H45" s="38">
        <v>2022</v>
      </c>
      <c r="I45" s="39" t="s">
        <v>388</v>
      </c>
      <c r="J45" s="38" t="s">
        <v>389</v>
      </c>
      <c r="K45" s="38" t="s">
        <v>390</v>
      </c>
      <c r="L45" s="40" t="s">
        <v>391</v>
      </c>
      <c r="M45" s="38" t="s">
        <v>392</v>
      </c>
      <c r="N45" s="31" t="s">
        <v>393</v>
      </c>
      <c r="O45" s="39">
        <v>1011</v>
      </c>
      <c r="P45" s="39">
        <v>477</v>
      </c>
      <c r="Q45" s="41">
        <v>44861</v>
      </c>
      <c r="R45" s="41">
        <v>46685</v>
      </c>
      <c r="S45" s="42">
        <v>1697400</v>
      </c>
      <c r="T45" s="43">
        <v>1.9900000000000001E-2</v>
      </c>
      <c r="U45" s="42">
        <v>1527660</v>
      </c>
      <c r="V45" s="42">
        <v>30400.434000000001</v>
      </c>
      <c r="W45" s="44">
        <v>0</v>
      </c>
      <c r="X45" s="45">
        <v>30400</v>
      </c>
      <c r="Y45" s="46" t="s">
        <v>71</v>
      </c>
      <c r="Z45" s="39" t="s">
        <v>40</v>
      </c>
      <c r="AA45" s="31" t="s">
        <v>41</v>
      </c>
      <c r="AB45" s="31" t="s">
        <v>72</v>
      </c>
      <c r="AC45" s="37">
        <v>45596</v>
      </c>
      <c r="AD45" s="65"/>
      <c r="AE45" s="65" t="s">
        <v>2151</v>
      </c>
      <c r="AF45" s="66">
        <v>30400</v>
      </c>
      <c r="AG45" s="67">
        <f t="shared" si="0"/>
        <v>0</v>
      </c>
      <c r="AH45" s="65" t="s">
        <v>2376</v>
      </c>
    </row>
    <row r="46" spans="1:34">
      <c r="A46" s="32">
        <v>45566</v>
      </c>
      <c r="B46" s="33" t="s">
        <v>29</v>
      </c>
      <c r="C46" s="34" t="s">
        <v>394</v>
      </c>
      <c r="D46" s="35" t="s">
        <v>64</v>
      </c>
      <c r="E46" s="36">
        <v>45584</v>
      </c>
      <c r="F46" s="37">
        <v>45949</v>
      </c>
      <c r="G46" s="34" t="s">
        <v>395</v>
      </c>
      <c r="H46" s="38">
        <v>2021</v>
      </c>
      <c r="I46" s="39" t="s">
        <v>396</v>
      </c>
      <c r="J46" s="38" t="s">
        <v>397</v>
      </c>
      <c r="K46" s="38" t="s">
        <v>398</v>
      </c>
      <c r="L46" s="40" t="s">
        <v>399</v>
      </c>
      <c r="M46" s="38" t="s">
        <v>400</v>
      </c>
      <c r="N46" s="31" t="s">
        <v>401</v>
      </c>
      <c r="O46" s="39">
        <v>1095</v>
      </c>
      <c r="P46" s="39">
        <v>450</v>
      </c>
      <c r="Q46" s="41">
        <v>44544</v>
      </c>
      <c r="R46" s="41">
        <v>46310</v>
      </c>
      <c r="S46" s="42">
        <v>1232010</v>
      </c>
      <c r="T46" s="43">
        <v>1.9900000000000001E-2</v>
      </c>
      <c r="U46" s="42">
        <v>1108809</v>
      </c>
      <c r="V46" s="42">
        <v>22065.2991</v>
      </c>
      <c r="W46" s="44">
        <v>0</v>
      </c>
      <c r="X46" s="45">
        <v>22065</v>
      </c>
      <c r="Y46" s="46" t="s">
        <v>71</v>
      </c>
      <c r="Z46" s="39" t="s">
        <v>40</v>
      </c>
      <c r="AA46" s="31" t="s">
        <v>41</v>
      </c>
      <c r="AB46" s="31" t="s">
        <v>198</v>
      </c>
      <c r="AC46" s="37">
        <v>45596</v>
      </c>
      <c r="AD46" s="65"/>
      <c r="AE46" s="65" t="s">
        <v>2152</v>
      </c>
      <c r="AF46" s="66">
        <v>22065</v>
      </c>
      <c r="AG46" s="67">
        <f t="shared" si="0"/>
        <v>0</v>
      </c>
      <c r="AH46" s="65" t="s">
        <v>2376</v>
      </c>
    </row>
    <row r="47" spans="1:34">
      <c r="A47" s="32">
        <v>45566</v>
      </c>
      <c r="B47" s="33" t="s">
        <v>29</v>
      </c>
      <c r="C47" s="34" t="s">
        <v>402</v>
      </c>
      <c r="D47" s="35" t="s">
        <v>64</v>
      </c>
      <c r="E47" s="36">
        <v>45584</v>
      </c>
      <c r="F47" s="37">
        <v>45949</v>
      </c>
      <c r="G47" s="34" t="s">
        <v>403</v>
      </c>
      <c r="H47" s="38">
        <v>2021</v>
      </c>
      <c r="I47" s="39" t="s">
        <v>404</v>
      </c>
      <c r="J47" s="38" t="s">
        <v>405</v>
      </c>
      <c r="K47" s="38" t="s">
        <v>406</v>
      </c>
      <c r="L47" s="40" t="s">
        <v>407</v>
      </c>
      <c r="M47" s="38" t="s">
        <v>408</v>
      </c>
      <c r="N47" s="31" t="s">
        <v>409</v>
      </c>
      <c r="O47" s="39">
        <v>1132</v>
      </c>
      <c r="P47" s="39">
        <v>450</v>
      </c>
      <c r="Q47" s="41">
        <v>44490</v>
      </c>
      <c r="R47" s="41">
        <v>46310</v>
      </c>
      <c r="S47" s="42">
        <v>2097090</v>
      </c>
      <c r="T47" s="43">
        <v>1.9900000000000001E-2</v>
      </c>
      <c r="U47" s="42">
        <v>1887381</v>
      </c>
      <c r="V47" s="42">
        <v>37558.8819</v>
      </c>
      <c r="W47" s="44">
        <v>0</v>
      </c>
      <c r="X47" s="45">
        <v>37559</v>
      </c>
      <c r="Y47" s="46" t="s">
        <v>71</v>
      </c>
      <c r="Z47" s="39" t="s">
        <v>40</v>
      </c>
      <c r="AA47" s="31" t="s">
        <v>41</v>
      </c>
      <c r="AB47" s="31" t="s">
        <v>198</v>
      </c>
      <c r="AC47" s="37">
        <v>45596</v>
      </c>
      <c r="AD47" s="65"/>
      <c r="AE47" s="65" t="s">
        <v>2153</v>
      </c>
      <c r="AF47" s="66">
        <v>37559</v>
      </c>
      <c r="AG47" s="67">
        <f t="shared" si="0"/>
        <v>0</v>
      </c>
      <c r="AH47" s="65" t="s">
        <v>2376</v>
      </c>
    </row>
    <row r="48" spans="1:34">
      <c r="A48" s="32">
        <v>45566</v>
      </c>
      <c r="B48" s="33" t="s">
        <v>29</v>
      </c>
      <c r="C48" s="34" t="s">
        <v>410</v>
      </c>
      <c r="D48" s="35" t="s">
        <v>64</v>
      </c>
      <c r="E48" s="36">
        <v>45584</v>
      </c>
      <c r="F48" s="37">
        <v>45949</v>
      </c>
      <c r="G48" s="34" t="s">
        <v>411</v>
      </c>
      <c r="H48" s="38">
        <v>2021</v>
      </c>
      <c r="I48" s="39" t="s">
        <v>412</v>
      </c>
      <c r="J48" s="38" t="s">
        <v>413</v>
      </c>
      <c r="K48" s="38" t="s">
        <v>414</v>
      </c>
      <c r="L48" s="40" t="s">
        <v>415</v>
      </c>
      <c r="M48" s="38" t="s">
        <v>416</v>
      </c>
      <c r="N48" s="31" t="s">
        <v>417</v>
      </c>
      <c r="O48" s="39">
        <v>3082</v>
      </c>
      <c r="P48" s="39">
        <v>450</v>
      </c>
      <c r="Q48" s="41">
        <v>44530</v>
      </c>
      <c r="R48" s="41">
        <v>46310</v>
      </c>
      <c r="S48" s="42">
        <v>4439205</v>
      </c>
      <c r="T48" s="43">
        <v>2.8000000000000001E-2</v>
      </c>
      <c r="U48" s="42">
        <v>3995284.5</v>
      </c>
      <c r="V48" s="42">
        <v>111867.966</v>
      </c>
      <c r="W48" s="44">
        <v>0</v>
      </c>
      <c r="X48" s="45">
        <v>111868</v>
      </c>
      <c r="Y48" s="46" t="s">
        <v>71</v>
      </c>
      <c r="Z48" s="39" t="s">
        <v>40</v>
      </c>
      <c r="AA48" s="31" t="s">
        <v>41</v>
      </c>
      <c r="AB48" s="31" t="s">
        <v>198</v>
      </c>
      <c r="AC48" s="37">
        <v>45596</v>
      </c>
      <c r="AD48" s="65"/>
      <c r="AE48" s="65" t="s">
        <v>2154</v>
      </c>
      <c r="AF48" s="66">
        <v>111868</v>
      </c>
      <c r="AG48" s="67">
        <f t="shared" si="0"/>
        <v>0</v>
      </c>
      <c r="AH48" s="65" t="s">
        <v>2376</v>
      </c>
    </row>
    <row r="49" spans="1:34">
      <c r="A49" s="32">
        <v>45566</v>
      </c>
      <c r="B49" s="33" t="s">
        <v>29</v>
      </c>
      <c r="C49" s="34" t="s">
        <v>418</v>
      </c>
      <c r="D49" s="35" t="s">
        <v>64</v>
      </c>
      <c r="E49" s="36">
        <v>45584</v>
      </c>
      <c r="F49" s="37">
        <v>45949</v>
      </c>
      <c r="G49" s="34" t="s">
        <v>419</v>
      </c>
      <c r="H49" s="38">
        <v>2021</v>
      </c>
      <c r="I49" s="39" t="s">
        <v>420</v>
      </c>
      <c r="J49" s="38" t="s">
        <v>421</v>
      </c>
      <c r="K49" s="38" t="s">
        <v>422</v>
      </c>
      <c r="L49" s="40" t="s">
        <v>423</v>
      </c>
      <c r="M49" s="38" t="s">
        <v>424</v>
      </c>
      <c r="N49" s="31" t="s">
        <v>425</v>
      </c>
      <c r="O49" s="39">
        <v>2029</v>
      </c>
      <c r="P49" s="39">
        <v>450</v>
      </c>
      <c r="Q49" s="41">
        <v>44490</v>
      </c>
      <c r="R49" s="41">
        <v>46310</v>
      </c>
      <c r="S49" s="42">
        <v>901530</v>
      </c>
      <c r="T49" s="43">
        <v>1.7999999999999999E-2</v>
      </c>
      <c r="U49" s="42">
        <v>811377</v>
      </c>
      <c r="V49" s="42">
        <v>14604.785999999998</v>
      </c>
      <c r="W49" s="44">
        <v>0</v>
      </c>
      <c r="X49" s="45">
        <v>14605</v>
      </c>
      <c r="Y49" s="46" t="s">
        <v>71</v>
      </c>
      <c r="Z49" s="39" t="s">
        <v>40</v>
      </c>
      <c r="AA49" s="31" t="s">
        <v>41</v>
      </c>
      <c r="AB49" s="31" t="s">
        <v>198</v>
      </c>
      <c r="AC49" s="37">
        <v>45596</v>
      </c>
      <c r="AD49" s="65"/>
      <c r="AE49" s="65" t="s">
        <v>2155</v>
      </c>
      <c r="AF49" s="66">
        <v>14605</v>
      </c>
      <c r="AG49" s="67">
        <f t="shared" si="0"/>
        <v>0</v>
      </c>
      <c r="AH49" s="65" t="s">
        <v>2376</v>
      </c>
    </row>
    <row r="50" spans="1:34">
      <c r="A50" s="32">
        <v>45566</v>
      </c>
      <c r="B50" s="33" t="s">
        <v>29</v>
      </c>
      <c r="C50" s="34" t="s">
        <v>426</v>
      </c>
      <c r="D50" s="35" t="s">
        <v>64</v>
      </c>
      <c r="E50" s="36">
        <v>45585</v>
      </c>
      <c r="F50" s="37">
        <v>45950</v>
      </c>
      <c r="G50" s="34" t="s">
        <v>403</v>
      </c>
      <c r="H50" s="38">
        <v>2021</v>
      </c>
      <c r="I50" s="39" t="s">
        <v>427</v>
      </c>
      <c r="J50" s="38" t="s">
        <v>428</v>
      </c>
      <c r="K50" s="38" t="s">
        <v>429</v>
      </c>
      <c r="L50" s="40" t="s">
        <v>430</v>
      </c>
      <c r="M50" s="38" t="s">
        <v>431</v>
      </c>
      <c r="N50" s="31" t="s">
        <v>432</v>
      </c>
      <c r="O50" s="39">
        <v>3036</v>
      </c>
      <c r="P50" s="39">
        <v>450</v>
      </c>
      <c r="Q50" s="41">
        <v>44510</v>
      </c>
      <c r="R50" s="41">
        <v>46320</v>
      </c>
      <c r="S50" s="42">
        <v>1740690</v>
      </c>
      <c r="T50" s="43">
        <v>1.9900000000000001E-2</v>
      </c>
      <c r="U50" s="42">
        <v>1566621</v>
      </c>
      <c r="V50" s="42">
        <v>31175.757900000001</v>
      </c>
      <c r="W50" s="44">
        <v>0</v>
      </c>
      <c r="X50" s="45">
        <v>31176</v>
      </c>
      <c r="Y50" s="46" t="s">
        <v>71</v>
      </c>
      <c r="Z50" s="39" t="s">
        <v>40</v>
      </c>
      <c r="AA50" s="31" t="s">
        <v>41</v>
      </c>
      <c r="AB50" s="31" t="s">
        <v>198</v>
      </c>
      <c r="AC50" s="37">
        <v>45596</v>
      </c>
      <c r="AD50" s="65"/>
      <c r="AE50" s="65" t="s">
        <v>2156</v>
      </c>
      <c r="AF50" s="66">
        <v>31176</v>
      </c>
      <c r="AG50" s="67">
        <f t="shared" si="0"/>
        <v>0</v>
      </c>
      <c r="AH50" s="65" t="s">
        <v>2376</v>
      </c>
    </row>
    <row r="51" spans="1:34">
      <c r="A51" s="32">
        <v>45566</v>
      </c>
      <c r="B51" s="33" t="s">
        <v>29</v>
      </c>
      <c r="C51" s="34" t="s">
        <v>433</v>
      </c>
      <c r="D51" s="35" t="s">
        <v>64</v>
      </c>
      <c r="E51" s="36">
        <v>45566</v>
      </c>
      <c r="F51" s="37">
        <v>45931</v>
      </c>
      <c r="G51" s="34" t="s">
        <v>395</v>
      </c>
      <c r="H51" s="38">
        <v>2019</v>
      </c>
      <c r="I51" s="39" t="s">
        <v>434</v>
      </c>
      <c r="J51" s="38" t="s">
        <v>435</v>
      </c>
      <c r="K51" s="38" t="s">
        <v>436</v>
      </c>
      <c r="L51" s="40" t="s">
        <v>437</v>
      </c>
      <c r="M51" s="38" t="s">
        <v>438</v>
      </c>
      <c r="N51" s="31" t="s">
        <v>439</v>
      </c>
      <c r="O51" s="39">
        <v>2113</v>
      </c>
      <c r="P51" s="39">
        <v>450</v>
      </c>
      <c r="Q51" s="41">
        <v>43742</v>
      </c>
      <c r="R51" s="41">
        <v>46300</v>
      </c>
      <c r="S51" s="42">
        <v>849649.5</v>
      </c>
      <c r="T51" s="43">
        <v>2.7E-2</v>
      </c>
      <c r="U51" s="42">
        <v>764684.55</v>
      </c>
      <c r="V51" s="42">
        <v>20646.48285</v>
      </c>
      <c r="W51" s="44">
        <v>0</v>
      </c>
      <c r="X51" s="45">
        <v>20646</v>
      </c>
      <c r="Y51" s="46" t="s">
        <v>71</v>
      </c>
      <c r="Z51" s="39" t="s">
        <v>40</v>
      </c>
      <c r="AA51" s="31" t="s">
        <v>41</v>
      </c>
      <c r="AB51" s="31" t="s">
        <v>198</v>
      </c>
      <c r="AC51" s="37">
        <v>45596</v>
      </c>
      <c r="AD51" s="65"/>
      <c r="AE51" s="65" t="s">
        <v>2157</v>
      </c>
      <c r="AF51" s="66">
        <v>20646</v>
      </c>
      <c r="AG51" s="67">
        <f t="shared" si="0"/>
        <v>0</v>
      </c>
      <c r="AH51" s="65" t="s">
        <v>2376</v>
      </c>
    </row>
    <row r="52" spans="1:34">
      <c r="A52" s="32">
        <v>45566</v>
      </c>
      <c r="B52" s="33" t="s">
        <v>29</v>
      </c>
      <c r="C52" s="34" t="s">
        <v>440</v>
      </c>
      <c r="D52" s="35" t="s">
        <v>64</v>
      </c>
      <c r="E52" s="36">
        <v>45568</v>
      </c>
      <c r="F52" s="37">
        <v>45933</v>
      </c>
      <c r="G52" s="34" t="s">
        <v>98</v>
      </c>
      <c r="H52" s="38">
        <v>2021</v>
      </c>
      <c r="I52" s="39" t="s">
        <v>441</v>
      </c>
      <c r="J52" s="38" t="s">
        <v>442</v>
      </c>
      <c r="K52" s="38" t="s">
        <v>443</v>
      </c>
      <c r="L52" s="40" t="s">
        <v>444</v>
      </c>
      <c r="M52" s="38" t="s">
        <v>445</v>
      </c>
      <c r="N52" s="31" t="s">
        <v>446</v>
      </c>
      <c r="O52" s="39">
        <v>2002</v>
      </c>
      <c r="P52" s="39">
        <v>477</v>
      </c>
      <c r="Q52" s="41">
        <v>44477</v>
      </c>
      <c r="R52" s="41">
        <v>46665</v>
      </c>
      <c r="S52" s="42">
        <v>1462860</v>
      </c>
      <c r="T52" s="43">
        <v>2.2499999999999999E-2</v>
      </c>
      <c r="U52" s="42">
        <v>1316574</v>
      </c>
      <c r="V52" s="42">
        <v>29622.914999999997</v>
      </c>
      <c r="W52" s="44">
        <v>0</v>
      </c>
      <c r="X52" s="45">
        <v>29623</v>
      </c>
      <c r="Y52" s="46" t="s">
        <v>71</v>
      </c>
      <c r="Z52" s="39" t="s">
        <v>40</v>
      </c>
      <c r="AA52" s="31" t="s">
        <v>41</v>
      </c>
      <c r="AB52" s="31" t="s">
        <v>198</v>
      </c>
      <c r="AC52" s="37">
        <v>45596</v>
      </c>
      <c r="AD52" s="65"/>
      <c r="AE52" s="65" t="s">
        <v>2158</v>
      </c>
      <c r="AF52" s="66">
        <v>29623</v>
      </c>
      <c r="AG52" s="67">
        <f t="shared" si="0"/>
        <v>0</v>
      </c>
      <c r="AH52" s="65" t="s">
        <v>2376</v>
      </c>
    </row>
    <row r="53" spans="1:34">
      <c r="A53" s="32">
        <v>45566</v>
      </c>
      <c r="B53" s="33" t="s">
        <v>29</v>
      </c>
      <c r="C53" s="34" t="s">
        <v>447</v>
      </c>
      <c r="D53" s="35" t="s">
        <v>64</v>
      </c>
      <c r="E53" s="36">
        <v>45567</v>
      </c>
      <c r="F53" s="37">
        <v>45932</v>
      </c>
      <c r="G53" s="34" t="s">
        <v>215</v>
      </c>
      <c r="H53" s="38">
        <v>2019</v>
      </c>
      <c r="I53" s="39" t="s">
        <v>448</v>
      </c>
      <c r="J53" s="38" t="s">
        <v>449</v>
      </c>
      <c r="K53" s="38" t="s">
        <v>450</v>
      </c>
      <c r="L53" s="40" t="s">
        <v>451</v>
      </c>
      <c r="M53" s="38" t="s">
        <v>452</v>
      </c>
      <c r="N53" s="31" t="s">
        <v>453</v>
      </c>
      <c r="O53" s="39">
        <v>2025</v>
      </c>
      <c r="P53" s="39">
        <v>450</v>
      </c>
      <c r="Q53" s="41">
        <v>43742</v>
      </c>
      <c r="R53" s="41">
        <v>46300</v>
      </c>
      <c r="S53" s="42">
        <v>908042.4</v>
      </c>
      <c r="T53" s="43">
        <v>2.7E-2</v>
      </c>
      <c r="U53" s="42">
        <v>817238.16</v>
      </c>
      <c r="V53" s="42">
        <v>22065.430319999999</v>
      </c>
      <c r="W53" s="44">
        <v>0</v>
      </c>
      <c r="X53" s="45">
        <v>22065</v>
      </c>
      <c r="Y53" s="46" t="s">
        <v>71</v>
      </c>
      <c r="Z53" s="39" t="s">
        <v>40</v>
      </c>
      <c r="AA53" s="31" t="s">
        <v>41</v>
      </c>
      <c r="AB53" s="31" t="s">
        <v>198</v>
      </c>
      <c r="AC53" s="37">
        <v>45596</v>
      </c>
      <c r="AD53" s="65"/>
      <c r="AE53" s="65" t="s">
        <v>2159</v>
      </c>
      <c r="AF53" s="66">
        <v>22065</v>
      </c>
      <c r="AG53" s="67">
        <f t="shared" si="0"/>
        <v>0</v>
      </c>
      <c r="AH53" s="65" t="s">
        <v>2376</v>
      </c>
    </row>
    <row r="54" spans="1:34">
      <c r="A54" s="32">
        <v>45566</v>
      </c>
      <c r="B54" s="33" t="s">
        <v>29</v>
      </c>
      <c r="C54" s="34" t="s">
        <v>454</v>
      </c>
      <c r="D54" s="35" t="s">
        <v>64</v>
      </c>
      <c r="E54" s="36">
        <v>45587</v>
      </c>
      <c r="F54" s="37">
        <v>45952</v>
      </c>
      <c r="G54" s="34" t="s">
        <v>231</v>
      </c>
      <c r="H54" s="38">
        <v>2018</v>
      </c>
      <c r="I54" s="39" t="s">
        <v>455</v>
      </c>
      <c r="J54" s="38" t="s">
        <v>456</v>
      </c>
      <c r="K54" s="38" t="s">
        <v>457</v>
      </c>
      <c r="L54" s="40" t="s">
        <v>458</v>
      </c>
      <c r="M54" s="38" t="s">
        <v>459</v>
      </c>
      <c r="N54" s="31" t="s">
        <v>460</v>
      </c>
      <c r="O54" s="39">
        <v>2048</v>
      </c>
      <c r="P54" s="39">
        <v>450</v>
      </c>
      <c r="Q54" s="41">
        <v>43397</v>
      </c>
      <c r="R54" s="41">
        <v>45955</v>
      </c>
      <c r="S54" s="42">
        <v>634186.26</v>
      </c>
      <c r="T54" s="43">
        <v>2.8500000000000001E-2</v>
      </c>
      <c r="U54" s="42">
        <v>570767.63399999996</v>
      </c>
      <c r="V54" s="42">
        <v>16266.877569</v>
      </c>
      <c r="W54" s="44">
        <v>0</v>
      </c>
      <c r="X54" s="45">
        <v>16267</v>
      </c>
      <c r="Y54" s="46" t="s">
        <v>71</v>
      </c>
      <c r="Z54" s="39" t="s">
        <v>40</v>
      </c>
      <c r="AA54" s="31" t="s">
        <v>41</v>
      </c>
      <c r="AB54" s="31" t="s">
        <v>198</v>
      </c>
      <c r="AC54" s="37">
        <v>45596</v>
      </c>
      <c r="AD54" s="65"/>
      <c r="AE54" s="65" t="s">
        <v>2160</v>
      </c>
      <c r="AF54" s="66">
        <v>16267</v>
      </c>
      <c r="AG54" s="67">
        <f t="shared" si="0"/>
        <v>0</v>
      </c>
      <c r="AH54" s="65" t="s">
        <v>2376</v>
      </c>
    </row>
    <row r="55" spans="1:34">
      <c r="A55" s="32">
        <v>45566</v>
      </c>
      <c r="B55" s="33" t="s">
        <v>29</v>
      </c>
      <c r="C55" s="34" t="s">
        <v>461</v>
      </c>
      <c r="D55" s="35" t="s">
        <v>64</v>
      </c>
      <c r="E55" s="36">
        <v>45590</v>
      </c>
      <c r="F55" s="37">
        <v>45955</v>
      </c>
      <c r="G55" s="34" t="s">
        <v>462</v>
      </c>
      <c r="H55" s="38">
        <v>2021</v>
      </c>
      <c r="I55" s="39" t="s">
        <v>463</v>
      </c>
      <c r="J55" s="38" t="s">
        <v>464</v>
      </c>
      <c r="K55" s="38" t="s">
        <v>465</v>
      </c>
      <c r="L55" s="40" t="s">
        <v>466</v>
      </c>
      <c r="M55" s="38" t="s">
        <v>467</v>
      </c>
      <c r="N55" s="31" t="s">
        <v>468</v>
      </c>
      <c r="O55" s="39">
        <v>3002</v>
      </c>
      <c r="P55" s="39">
        <v>450</v>
      </c>
      <c r="Q55" s="41">
        <v>44862</v>
      </c>
      <c r="R55" s="41">
        <v>45955</v>
      </c>
      <c r="S55" s="42">
        <v>3510000</v>
      </c>
      <c r="T55" s="43">
        <v>1.9900000000000001E-2</v>
      </c>
      <c r="U55" s="42">
        <v>3159000</v>
      </c>
      <c r="V55" s="42">
        <v>62864.100000000006</v>
      </c>
      <c r="W55" s="44">
        <v>0</v>
      </c>
      <c r="X55" s="45">
        <v>62864</v>
      </c>
      <c r="Y55" s="46" t="s">
        <v>71</v>
      </c>
      <c r="Z55" s="39" t="s">
        <v>40</v>
      </c>
      <c r="AA55" s="31" t="s">
        <v>41</v>
      </c>
      <c r="AB55" s="31" t="s">
        <v>72</v>
      </c>
      <c r="AC55" s="37">
        <v>45596</v>
      </c>
      <c r="AD55" s="65"/>
      <c r="AE55" s="65" t="s">
        <v>2161</v>
      </c>
      <c r="AF55" s="66">
        <v>62864</v>
      </c>
      <c r="AG55" s="67">
        <f t="shared" si="0"/>
        <v>0</v>
      </c>
      <c r="AH55" s="65" t="s">
        <v>2376</v>
      </c>
    </row>
    <row r="56" spans="1:34">
      <c r="A56" s="32">
        <v>45566</v>
      </c>
      <c r="B56" s="33" t="s">
        <v>29</v>
      </c>
      <c r="C56" s="34" t="s">
        <v>469</v>
      </c>
      <c r="D56" s="35" t="s">
        <v>64</v>
      </c>
      <c r="E56" s="36">
        <v>45578</v>
      </c>
      <c r="F56" s="37">
        <v>45943</v>
      </c>
      <c r="G56" s="34" t="s">
        <v>470</v>
      </c>
      <c r="H56" s="38">
        <v>2018</v>
      </c>
      <c r="I56" s="39" t="s">
        <v>471</v>
      </c>
      <c r="J56" s="38" t="s">
        <v>472</v>
      </c>
      <c r="K56" s="38" t="s">
        <v>473</v>
      </c>
      <c r="L56" s="40" t="s">
        <v>474</v>
      </c>
      <c r="M56" s="38" t="s">
        <v>475</v>
      </c>
      <c r="N56" s="31" t="s">
        <v>476</v>
      </c>
      <c r="O56" s="39">
        <v>1074</v>
      </c>
      <c r="P56" s="39">
        <v>450</v>
      </c>
      <c r="Q56" s="41">
        <v>43754</v>
      </c>
      <c r="R56" s="41">
        <v>46310</v>
      </c>
      <c r="S56" s="42">
        <v>1535274</v>
      </c>
      <c r="T56" s="43">
        <v>0.02</v>
      </c>
      <c r="U56" s="42">
        <v>1381746.6</v>
      </c>
      <c r="V56" s="42">
        <v>27634.932000000001</v>
      </c>
      <c r="W56" s="44">
        <v>0</v>
      </c>
      <c r="X56" s="45">
        <v>27635</v>
      </c>
      <c r="Y56" s="46" t="s">
        <v>71</v>
      </c>
      <c r="Z56" s="39" t="s">
        <v>40</v>
      </c>
      <c r="AA56" s="31" t="s">
        <v>41</v>
      </c>
      <c r="AB56" s="31" t="s">
        <v>198</v>
      </c>
      <c r="AC56" s="37">
        <v>45596</v>
      </c>
      <c r="AD56" s="65"/>
      <c r="AE56" s="68" t="s">
        <v>2104</v>
      </c>
      <c r="AF56" s="66">
        <v>27635</v>
      </c>
      <c r="AG56" s="67">
        <f t="shared" si="0"/>
        <v>0</v>
      </c>
      <c r="AH56" s="65" t="s">
        <v>2376</v>
      </c>
    </row>
    <row r="57" spans="1:34">
      <c r="A57" s="32">
        <v>45566</v>
      </c>
      <c r="B57" s="33" t="s">
        <v>29</v>
      </c>
      <c r="C57" s="34" t="s">
        <v>477</v>
      </c>
      <c r="D57" s="35" t="s">
        <v>64</v>
      </c>
      <c r="E57" s="36">
        <v>45581</v>
      </c>
      <c r="F57" s="37">
        <v>45946</v>
      </c>
      <c r="G57" s="34" t="s">
        <v>74</v>
      </c>
      <c r="H57" s="38">
        <v>2019</v>
      </c>
      <c r="I57" s="39" t="s">
        <v>478</v>
      </c>
      <c r="J57" s="38" t="s">
        <v>479</v>
      </c>
      <c r="K57" s="38" t="s">
        <v>480</v>
      </c>
      <c r="L57" s="40" t="s">
        <v>481</v>
      </c>
      <c r="M57" s="38" t="s">
        <v>482</v>
      </c>
      <c r="N57" s="31" t="s">
        <v>483</v>
      </c>
      <c r="O57" s="39">
        <v>1051</v>
      </c>
      <c r="P57" s="39">
        <v>450</v>
      </c>
      <c r="Q57" s="41">
        <v>43760</v>
      </c>
      <c r="R57" s="41">
        <v>45945</v>
      </c>
      <c r="S57" s="42">
        <v>940191.3</v>
      </c>
      <c r="T57" s="43">
        <v>2.7E-2</v>
      </c>
      <c r="U57" s="42">
        <v>846172.17</v>
      </c>
      <c r="V57" s="42">
        <v>22846.648590000001</v>
      </c>
      <c r="W57" s="44">
        <v>0</v>
      </c>
      <c r="X57" s="45">
        <v>22847</v>
      </c>
      <c r="Y57" s="46" t="s">
        <v>71</v>
      </c>
      <c r="Z57" s="39" t="s">
        <v>40</v>
      </c>
      <c r="AA57" s="31" t="s">
        <v>41</v>
      </c>
      <c r="AB57" s="31" t="s">
        <v>198</v>
      </c>
      <c r="AC57" s="37">
        <v>45596</v>
      </c>
      <c r="AD57" s="65"/>
      <c r="AE57" s="65" t="s">
        <v>2162</v>
      </c>
      <c r="AF57" s="66">
        <v>22847</v>
      </c>
      <c r="AG57" s="67">
        <f t="shared" si="0"/>
        <v>0</v>
      </c>
      <c r="AH57" s="65" t="s">
        <v>2376</v>
      </c>
    </row>
    <row r="58" spans="1:34">
      <c r="A58" s="32">
        <v>45566</v>
      </c>
      <c r="B58" s="33" t="s">
        <v>29</v>
      </c>
      <c r="C58" s="34" t="s">
        <v>484</v>
      </c>
      <c r="D58" s="35" t="s">
        <v>64</v>
      </c>
      <c r="E58" s="36">
        <v>45568</v>
      </c>
      <c r="F58" s="37">
        <v>45933</v>
      </c>
      <c r="G58" s="34" t="s">
        <v>403</v>
      </c>
      <c r="H58" s="38">
        <v>2021</v>
      </c>
      <c r="I58" s="39" t="s">
        <v>485</v>
      </c>
      <c r="J58" s="38" t="s">
        <v>486</v>
      </c>
      <c r="K58" s="38" t="s">
        <v>487</v>
      </c>
      <c r="L58" s="40" t="s">
        <v>488</v>
      </c>
      <c r="M58" s="38" t="s">
        <v>489</v>
      </c>
      <c r="N58" s="31" t="s">
        <v>490</v>
      </c>
      <c r="O58" s="39">
        <v>1132</v>
      </c>
      <c r="P58" s="39">
        <v>477</v>
      </c>
      <c r="Q58" s="41">
        <v>44475</v>
      </c>
      <c r="R58" s="41">
        <v>47031</v>
      </c>
      <c r="S58" s="42">
        <v>2097090</v>
      </c>
      <c r="T58" s="43">
        <v>2.2499999999999999E-2</v>
      </c>
      <c r="U58" s="42">
        <v>1887381</v>
      </c>
      <c r="V58" s="42">
        <v>42466.072500000002</v>
      </c>
      <c r="W58" s="44">
        <v>0</v>
      </c>
      <c r="X58" s="45">
        <v>42466</v>
      </c>
      <c r="Y58" s="46" t="s">
        <v>71</v>
      </c>
      <c r="Z58" s="39" t="s">
        <v>40</v>
      </c>
      <c r="AA58" s="31" t="s">
        <v>41</v>
      </c>
      <c r="AB58" s="31" t="s">
        <v>198</v>
      </c>
      <c r="AC58" s="37">
        <v>45596</v>
      </c>
      <c r="AD58" s="65"/>
      <c r="AE58" s="65" t="s">
        <v>2163</v>
      </c>
      <c r="AF58" s="66">
        <v>42466</v>
      </c>
      <c r="AG58" s="67">
        <f t="shared" si="0"/>
        <v>0</v>
      </c>
      <c r="AH58" s="65" t="s">
        <v>2376</v>
      </c>
    </row>
    <row r="59" spans="1:34">
      <c r="A59" s="32">
        <v>45566</v>
      </c>
      <c r="B59" s="33" t="s">
        <v>29</v>
      </c>
      <c r="C59" s="34" t="s">
        <v>491</v>
      </c>
      <c r="D59" s="35" t="s">
        <v>64</v>
      </c>
      <c r="E59" s="36">
        <v>45581</v>
      </c>
      <c r="F59" s="37">
        <v>45946</v>
      </c>
      <c r="G59" s="34" t="s">
        <v>492</v>
      </c>
      <c r="H59" s="38">
        <v>2019</v>
      </c>
      <c r="I59" s="39" t="s">
        <v>493</v>
      </c>
      <c r="J59" s="38" t="s">
        <v>494</v>
      </c>
      <c r="K59" s="38" t="s">
        <v>495</v>
      </c>
      <c r="L59" s="40" t="s">
        <v>496</v>
      </c>
      <c r="M59" s="38" t="s">
        <v>497</v>
      </c>
      <c r="N59" s="31" t="s">
        <v>498</v>
      </c>
      <c r="O59" s="39">
        <v>2099</v>
      </c>
      <c r="P59" s="39">
        <v>450</v>
      </c>
      <c r="Q59" s="41">
        <v>43759</v>
      </c>
      <c r="R59" s="41">
        <v>46320</v>
      </c>
      <c r="S59" s="42">
        <v>1891536.3</v>
      </c>
      <c r="T59" s="43">
        <v>2.7E-2</v>
      </c>
      <c r="U59" s="42">
        <v>1702382.67</v>
      </c>
      <c r="V59" s="42">
        <v>45964.332089999996</v>
      </c>
      <c r="W59" s="44">
        <v>0</v>
      </c>
      <c r="X59" s="45">
        <v>45964</v>
      </c>
      <c r="Y59" s="46" t="s">
        <v>71</v>
      </c>
      <c r="Z59" s="39" t="s">
        <v>40</v>
      </c>
      <c r="AA59" s="31" t="s">
        <v>41</v>
      </c>
      <c r="AB59" s="31" t="s">
        <v>198</v>
      </c>
      <c r="AC59" s="37">
        <v>45596</v>
      </c>
      <c r="AD59" s="65"/>
      <c r="AE59" s="65" t="s">
        <v>2164</v>
      </c>
      <c r="AF59" s="66">
        <v>45964</v>
      </c>
      <c r="AG59" s="67">
        <f t="shared" si="0"/>
        <v>0</v>
      </c>
      <c r="AH59" s="65" t="s">
        <v>2376</v>
      </c>
    </row>
    <row r="60" spans="1:34">
      <c r="A60" s="32">
        <v>45566</v>
      </c>
      <c r="B60" s="33" t="s">
        <v>29</v>
      </c>
      <c r="C60" s="34" t="s">
        <v>499</v>
      </c>
      <c r="D60" s="35" t="s">
        <v>64</v>
      </c>
      <c r="E60" s="36">
        <v>45586</v>
      </c>
      <c r="F60" s="37">
        <v>45951</v>
      </c>
      <c r="G60" s="34" t="s">
        <v>462</v>
      </c>
      <c r="H60" s="38">
        <v>2019</v>
      </c>
      <c r="I60" s="39" t="s">
        <v>500</v>
      </c>
      <c r="J60" s="38" t="s">
        <v>501</v>
      </c>
      <c r="K60" s="38" t="s">
        <v>502</v>
      </c>
      <c r="L60" s="40" t="s">
        <v>503</v>
      </c>
      <c r="M60" s="38" t="s">
        <v>504</v>
      </c>
      <c r="N60" s="31" t="s">
        <v>505</v>
      </c>
      <c r="O60" s="39">
        <v>2041</v>
      </c>
      <c r="P60" s="39">
        <v>450</v>
      </c>
      <c r="Q60" s="41">
        <v>43769</v>
      </c>
      <c r="R60" s="41">
        <v>46320</v>
      </c>
      <c r="S60" s="42">
        <v>1522480.05</v>
      </c>
      <c r="T60" s="43">
        <v>0.02</v>
      </c>
      <c r="U60" s="42">
        <v>1370232.0449999999</v>
      </c>
      <c r="V60" s="42">
        <v>27404.640899999999</v>
      </c>
      <c r="W60" s="44">
        <v>0</v>
      </c>
      <c r="X60" s="45">
        <v>27405</v>
      </c>
      <c r="Y60" s="46" t="s">
        <v>71</v>
      </c>
      <c r="Z60" s="39" t="s">
        <v>40</v>
      </c>
      <c r="AA60" s="31" t="s">
        <v>41</v>
      </c>
      <c r="AB60" s="31" t="s">
        <v>198</v>
      </c>
      <c r="AC60" s="37">
        <v>45596</v>
      </c>
      <c r="AD60" s="65"/>
      <c r="AE60" s="65" t="s">
        <v>2165</v>
      </c>
      <c r="AF60" s="66">
        <v>27405</v>
      </c>
      <c r="AG60" s="67">
        <f t="shared" si="0"/>
        <v>0</v>
      </c>
      <c r="AH60" s="65" t="s">
        <v>2376</v>
      </c>
    </row>
    <row r="61" spans="1:34">
      <c r="A61" s="32">
        <v>45566</v>
      </c>
      <c r="B61" s="33" t="s">
        <v>29</v>
      </c>
      <c r="C61" s="34" t="s">
        <v>506</v>
      </c>
      <c r="D61" s="35" t="s">
        <v>64</v>
      </c>
      <c r="E61" s="36">
        <v>45569</v>
      </c>
      <c r="F61" s="37">
        <v>45934</v>
      </c>
      <c r="G61" s="34" t="s">
        <v>507</v>
      </c>
      <c r="H61" s="38">
        <v>2022</v>
      </c>
      <c r="I61" s="39" t="s">
        <v>508</v>
      </c>
      <c r="J61" s="38" t="s">
        <v>509</v>
      </c>
      <c r="K61" s="38" t="s">
        <v>510</v>
      </c>
      <c r="L61" s="40" t="s">
        <v>511</v>
      </c>
      <c r="M61" s="38" t="s">
        <v>512</v>
      </c>
      <c r="N61" s="31" t="s">
        <v>513</v>
      </c>
      <c r="O61" s="39">
        <v>3047</v>
      </c>
      <c r="P61" s="39">
        <v>450</v>
      </c>
      <c r="Q61" s="41">
        <v>44841</v>
      </c>
      <c r="R61" s="41">
        <v>45935</v>
      </c>
      <c r="S61" s="42">
        <v>2998161</v>
      </c>
      <c r="T61" s="43">
        <v>1.9900000000000001E-2</v>
      </c>
      <c r="U61" s="42">
        <v>2698344.9</v>
      </c>
      <c r="V61" s="42">
        <v>53697.06351</v>
      </c>
      <c r="W61" s="44">
        <v>0</v>
      </c>
      <c r="X61" s="45">
        <v>53697</v>
      </c>
      <c r="Y61" s="46" t="s">
        <v>71</v>
      </c>
      <c r="Z61" s="39" t="s">
        <v>40</v>
      </c>
      <c r="AA61" s="31" t="s">
        <v>41</v>
      </c>
      <c r="AB61" s="31" t="s">
        <v>72</v>
      </c>
      <c r="AC61" s="37">
        <v>45596</v>
      </c>
      <c r="AD61" s="65"/>
      <c r="AE61" s="65" t="s">
        <v>2166</v>
      </c>
      <c r="AF61" s="66">
        <v>53697</v>
      </c>
      <c r="AG61" s="67">
        <f t="shared" si="0"/>
        <v>0</v>
      </c>
      <c r="AH61" s="65" t="s">
        <v>2376</v>
      </c>
    </row>
    <row r="62" spans="1:34">
      <c r="A62" s="32">
        <v>45566</v>
      </c>
      <c r="B62" s="33" t="s">
        <v>29</v>
      </c>
      <c r="C62" s="34" t="s">
        <v>514</v>
      </c>
      <c r="D62" s="35" t="s">
        <v>64</v>
      </c>
      <c r="E62" s="36">
        <v>45588</v>
      </c>
      <c r="F62" s="37">
        <v>45953</v>
      </c>
      <c r="G62" s="34" t="s">
        <v>515</v>
      </c>
      <c r="H62" s="38">
        <v>2014</v>
      </c>
      <c r="I62" s="39" t="s">
        <v>516</v>
      </c>
      <c r="J62" s="38" t="s">
        <v>517</v>
      </c>
      <c r="K62" s="38" t="s">
        <v>518</v>
      </c>
      <c r="L62" s="40" t="s">
        <v>519</v>
      </c>
      <c r="M62" s="38" t="s">
        <v>520</v>
      </c>
      <c r="N62" s="31" t="s">
        <v>521</v>
      </c>
      <c r="O62" s="39">
        <v>1159</v>
      </c>
      <c r="P62" s="39">
        <v>450</v>
      </c>
      <c r="Q62" s="41">
        <v>43766</v>
      </c>
      <c r="R62" s="41">
        <v>46320</v>
      </c>
      <c r="S62" s="42">
        <v>649539</v>
      </c>
      <c r="T62" s="43">
        <v>2.7E-2</v>
      </c>
      <c r="U62" s="42">
        <v>584585.1</v>
      </c>
      <c r="V62" s="42">
        <v>15783.797699999999</v>
      </c>
      <c r="W62" s="44">
        <v>0</v>
      </c>
      <c r="X62" s="45">
        <v>15784</v>
      </c>
      <c r="Y62" s="46" t="s">
        <v>71</v>
      </c>
      <c r="Z62" s="39" t="s">
        <v>40</v>
      </c>
      <c r="AA62" s="31" t="s">
        <v>41</v>
      </c>
      <c r="AB62" s="31" t="s">
        <v>198</v>
      </c>
      <c r="AC62" s="37">
        <v>45596</v>
      </c>
      <c r="AD62" s="65"/>
      <c r="AE62" s="65" t="s">
        <v>2167</v>
      </c>
      <c r="AF62" s="66">
        <v>15784</v>
      </c>
      <c r="AG62" s="67">
        <f t="shared" si="0"/>
        <v>0</v>
      </c>
      <c r="AH62" s="65" t="s">
        <v>2376</v>
      </c>
    </row>
    <row r="63" spans="1:34">
      <c r="A63" s="32">
        <v>45566</v>
      </c>
      <c r="B63" s="33" t="s">
        <v>29</v>
      </c>
      <c r="C63" s="34" t="s">
        <v>522</v>
      </c>
      <c r="D63" s="35" t="s">
        <v>64</v>
      </c>
      <c r="E63" s="36">
        <v>45592</v>
      </c>
      <c r="F63" s="37">
        <v>45957</v>
      </c>
      <c r="G63" s="34" t="s">
        <v>523</v>
      </c>
      <c r="H63" s="38">
        <v>2015</v>
      </c>
      <c r="I63" s="39" t="s">
        <v>524</v>
      </c>
      <c r="J63" s="38" t="s">
        <v>525</v>
      </c>
      <c r="K63" s="38" t="s">
        <v>526</v>
      </c>
      <c r="L63" s="40" t="s">
        <v>527</v>
      </c>
      <c r="M63" s="38" t="s">
        <v>528</v>
      </c>
      <c r="N63" s="31" t="s">
        <v>529</v>
      </c>
      <c r="O63" s="39">
        <v>3062</v>
      </c>
      <c r="P63" s="39">
        <v>450</v>
      </c>
      <c r="Q63" s="41">
        <v>43774</v>
      </c>
      <c r="R63" s="41">
        <v>46331</v>
      </c>
      <c r="S63" s="42">
        <v>1837080</v>
      </c>
      <c r="T63" s="43">
        <v>2.7E-2</v>
      </c>
      <c r="U63" s="42">
        <v>1653372</v>
      </c>
      <c r="V63" s="42">
        <v>44641.044000000002</v>
      </c>
      <c r="W63" s="44">
        <v>0</v>
      </c>
      <c r="X63" s="45">
        <v>44641</v>
      </c>
      <c r="Y63" s="46" t="s">
        <v>71</v>
      </c>
      <c r="Z63" s="39" t="s">
        <v>40</v>
      </c>
      <c r="AA63" s="31" t="s">
        <v>41</v>
      </c>
      <c r="AB63" s="31" t="s">
        <v>198</v>
      </c>
      <c r="AC63" s="37">
        <v>45596</v>
      </c>
      <c r="AD63" s="65"/>
      <c r="AE63" s="65" t="s">
        <v>2168</v>
      </c>
      <c r="AF63" s="66">
        <v>44641</v>
      </c>
      <c r="AG63" s="67">
        <f t="shared" si="0"/>
        <v>0</v>
      </c>
      <c r="AH63" s="65" t="s">
        <v>2376</v>
      </c>
    </row>
    <row r="64" spans="1:34">
      <c r="A64" s="32">
        <v>45566</v>
      </c>
      <c r="B64" s="33" t="s">
        <v>29</v>
      </c>
      <c r="C64" s="34" t="s">
        <v>530</v>
      </c>
      <c r="D64" s="35" t="s">
        <v>64</v>
      </c>
      <c r="E64" s="36">
        <v>45592</v>
      </c>
      <c r="F64" s="37">
        <v>45957</v>
      </c>
      <c r="G64" s="34" t="s">
        <v>74</v>
      </c>
      <c r="H64" s="38">
        <v>2019</v>
      </c>
      <c r="I64" s="39" t="s">
        <v>531</v>
      </c>
      <c r="J64" s="38" t="s">
        <v>532</v>
      </c>
      <c r="K64" s="38" t="s">
        <v>533</v>
      </c>
      <c r="L64" s="40" t="s">
        <v>534</v>
      </c>
      <c r="M64" s="38" t="s">
        <v>535</v>
      </c>
      <c r="N64" s="31" t="s">
        <v>536</v>
      </c>
      <c r="O64" s="39">
        <v>2118</v>
      </c>
      <c r="P64" s="39">
        <v>450</v>
      </c>
      <c r="Q64" s="41">
        <v>43767</v>
      </c>
      <c r="R64" s="41">
        <v>46320</v>
      </c>
      <c r="S64" s="42">
        <v>995959.8</v>
      </c>
      <c r="T64" s="43">
        <v>2.7E-2</v>
      </c>
      <c r="U64" s="42">
        <v>896363.82</v>
      </c>
      <c r="V64" s="42">
        <v>24201.823139999997</v>
      </c>
      <c r="W64" s="44">
        <v>0</v>
      </c>
      <c r="X64" s="45">
        <v>24202</v>
      </c>
      <c r="Y64" s="46" t="s">
        <v>71</v>
      </c>
      <c r="Z64" s="39" t="s">
        <v>40</v>
      </c>
      <c r="AA64" s="31" t="s">
        <v>41</v>
      </c>
      <c r="AB64" s="31" t="s">
        <v>198</v>
      </c>
      <c r="AC64" s="37">
        <v>45596</v>
      </c>
      <c r="AD64" s="65"/>
      <c r="AE64" s="65" t="s">
        <v>2169</v>
      </c>
      <c r="AF64" s="66">
        <v>24202</v>
      </c>
      <c r="AG64" s="67">
        <f t="shared" si="0"/>
        <v>0</v>
      </c>
      <c r="AH64" s="65" t="s">
        <v>2376</v>
      </c>
    </row>
    <row r="65" spans="1:34">
      <c r="A65" s="32">
        <v>45566</v>
      </c>
      <c r="B65" s="33" t="s">
        <v>29</v>
      </c>
      <c r="C65" s="34" t="s">
        <v>537</v>
      </c>
      <c r="D65" s="35" t="s">
        <v>64</v>
      </c>
      <c r="E65" s="36">
        <v>45593</v>
      </c>
      <c r="F65" s="37">
        <v>45958</v>
      </c>
      <c r="G65" s="34" t="s">
        <v>114</v>
      </c>
      <c r="H65" s="38">
        <v>2019</v>
      </c>
      <c r="I65" s="39" t="s">
        <v>538</v>
      </c>
      <c r="J65" s="38" t="s">
        <v>539</v>
      </c>
      <c r="K65" s="38" t="s">
        <v>540</v>
      </c>
      <c r="L65" s="40" t="s">
        <v>541</v>
      </c>
      <c r="M65" s="38" t="s">
        <v>542</v>
      </c>
      <c r="N65" s="31" t="s">
        <v>543</v>
      </c>
      <c r="O65" s="39">
        <v>3011</v>
      </c>
      <c r="P65" s="39">
        <v>450</v>
      </c>
      <c r="Q65" s="41">
        <v>43768</v>
      </c>
      <c r="R65" s="41">
        <v>46331</v>
      </c>
      <c r="S65" s="42">
        <v>1217065.5</v>
      </c>
      <c r="T65" s="43">
        <v>2.7E-2</v>
      </c>
      <c r="U65" s="42">
        <v>1095358.95</v>
      </c>
      <c r="V65" s="42">
        <v>29574.691649999997</v>
      </c>
      <c r="W65" s="44">
        <v>0</v>
      </c>
      <c r="X65" s="45">
        <v>29575</v>
      </c>
      <c r="Y65" s="46" t="s">
        <v>71</v>
      </c>
      <c r="Z65" s="39" t="s">
        <v>40</v>
      </c>
      <c r="AA65" s="31" t="s">
        <v>41</v>
      </c>
      <c r="AB65" s="31" t="s">
        <v>198</v>
      </c>
      <c r="AC65" s="37">
        <v>45596</v>
      </c>
      <c r="AD65" s="65"/>
      <c r="AE65" s="65" t="s">
        <v>2170</v>
      </c>
      <c r="AF65" s="66">
        <v>29575</v>
      </c>
      <c r="AG65" s="67">
        <f t="shared" si="0"/>
        <v>0</v>
      </c>
      <c r="AH65" s="65" t="s">
        <v>2376</v>
      </c>
    </row>
    <row r="66" spans="1:34">
      <c r="A66" s="32">
        <v>45566</v>
      </c>
      <c r="B66" s="33" t="s">
        <v>29</v>
      </c>
      <c r="C66" s="34" t="s">
        <v>544</v>
      </c>
      <c r="D66" s="35" t="s">
        <v>64</v>
      </c>
      <c r="E66" s="36">
        <v>45569</v>
      </c>
      <c r="F66" s="37">
        <v>45934</v>
      </c>
      <c r="G66" s="34" t="s">
        <v>254</v>
      </c>
      <c r="H66" s="38">
        <v>2021</v>
      </c>
      <c r="I66" s="39" t="s">
        <v>545</v>
      </c>
      <c r="J66" s="38" t="s">
        <v>546</v>
      </c>
      <c r="K66" s="38" t="s">
        <v>547</v>
      </c>
      <c r="L66" s="40" t="s">
        <v>548</v>
      </c>
      <c r="M66" s="38" t="s">
        <v>549</v>
      </c>
      <c r="N66" s="31" t="s">
        <v>550</v>
      </c>
      <c r="O66" s="39">
        <v>2072</v>
      </c>
      <c r="P66" s="39">
        <v>450</v>
      </c>
      <c r="Q66" s="41">
        <v>44474</v>
      </c>
      <c r="R66" s="41">
        <v>46300</v>
      </c>
      <c r="S66" s="42">
        <v>2375730</v>
      </c>
      <c r="T66" s="43">
        <v>1.9900000000000001E-2</v>
      </c>
      <c r="U66" s="42">
        <v>2138157</v>
      </c>
      <c r="V66" s="42">
        <v>42549.3243</v>
      </c>
      <c r="W66" s="44">
        <v>0</v>
      </c>
      <c r="X66" s="45">
        <v>42549</v>
      </c>
      <c r="Y66" s="46" t="s">
        <v>71</v>
      </c>
      <c r="Z66" s="39" t="s">
        <v>40</v>
      </c>
      <c r="AA66" s="31" t="s">
        <v>41</v>
      </c>
      <c r="AB66" s="31" t="s">
        <v>198</v>
      </c>
      <c r="AC66" s="37">
        <v>45596</v>
      </c>
      <c r="AD66" s="65"/>
      <c r="AE66" s="65" t="s">
        <v>2171</v>
      </c>
      <c r="AF66" s="66">
        <v>42549</v>
      </c>
      <c r="AG66" s="67">
        <f t="shared" si="0"/>
        <v>0</v>
      </c>
      <c r="AH66" s="65" t="s">
        <v>2376</v>
      </c>
    </row>
    <row r="67" spans="1:34">
      <c r="A67" s="32">
        <v>45566</v>
      </c>
      <c r="B67" s="33" t="s">
        <v>29</v>
      </c>
      <c r="C67" s="34" t="s">
        <v>551</v>
      </c>
      <c r="D67" s="35" t="s">
        <v>64</v>
      </c>
      <c r="E67" s="36">
        <v>45591</v>
      </c>
      <c r="F67" s="37">
        <v>45956</v>
      </c>
      <c r="G67" s="34" t="s">
        <v>395</v>
      </c>
      <c r="H67" s="38">
        <v>2022</v>
      </c>
      <c r="I67" s="39" t="s">
        <v>552</v>
      </c>
      <c r="J67" s="38" t="s">
        <v>553</v>
      </c>
      <c r="K67" s="38" t="s">
        <v>554</v>
      </c>
      <c r="L67" s="40" t="s">
        <v>555</v>
      </c>
      <c r="M67" s="38" t="s">
        <v>556</v>
      </c>
      <c r="N67" s="31" t="s">
        <v>557</v>
      </c>
      <c r="O67" s="39">
        <v>3099</v>
      </c>
      <c r="P67" s="39">
        <v>450</v>
      </c>
      <c r="Q67" s="41">
        <v>44862</v>
      </c>
      <c r="R67" s="41">
        <v>47427</v>
      </c>
      <c r="S67" s="42">
        <v>1697400</v>
      </c>
      <c r="T67" s="43">
        <v>1.9900000000000001E-2</v>
      </c>
      <c r="U67" s="42">
        <v>1527660</v>
      </c>
      <c r="V67" s="42">
        <v>30400.434000000001</v>
      </c>
      <c r="W67" s="44">
        <v>0</v>
      </c>
      <c r="X67" s="45">
        <v>30400</v>
      </c>
      <c r="Y67" s="46" t="s">
        <v>71</v>
      </c>
      <c r="Z67" s="39" t="s">
        <v>40</v>
      </c>
      <c r="AA67" s="31" t="s">
        <v>41</v>
      </c>
      <c r="AB67" s="31" t="s">
        <v>72</v>
      </c>
      <c r="AC67" s="37">
        <v>45596</v>
      </c>
      <c r="AD67" s="65"/>
      <c r="AE67" s="65" t="s">
        <v>2172</v>
      </c>
      <c r="AF67" s="66">
        <v>30400</v>
      </c>
      <c r="AG67" s="67">
        <f t="shared" si="0"/>
        <v>0</v>
      </c>
      <c r="AH67" s="65" t="s">
        <v>2376</v>
      </c>
    </row>
    <row r="68" spans="1:34">
      <c r="A68" s="32">
        <v>45566</v>
      </c>
      <c r="B68" s="33" t="s">
        <v>29</v>
      </c>
      <c r="C68" s="34" t="s">
        <v>558</v>
      </c>
      <c r="D68" s="35" t="s">
        <v>64</v>
      </c>
      <c r="E68" s="36">
        <v>45595</v>
      </c>
      <c r="F68" s="37">
        <v>45960</v>
      </c>
      <c r="G68" s="34" t="s">
        <v>74</v>
      </c>
      <c r="H68" s="38">
        <v>2019</v>
      </c>
      <c r="I68" s="39" t="s">
        <v>559</v>
      </c>
      <c r="J68" s="38" t="s">
        <v>560</v>
      </c>
      <c r="K68" s="38" t="s">
        <v>561</v>
      </c>
      <c r="L68" s="40" t="s">
        <v>562</v>
      </c>
      <c r="M68" s="38" t="s">
        <v>563</v>
      </c>
      <c r="N68" s="31" t="s">
        <v>564</v>
      </c>
      <c r="O68" s="39">
        <v>1052</v>
      </c>
      <c r="P68" s="39">
        <v>450</v>
      </c>
      <c r="Q68" s="41">
        <v>43776</v>
      </c>
      <c r="R68" s="41">
        <v>46331</v>
      </c>
      <c r="S68" s="42">
        <v>940191.3</v>
      </c>
      <c r="T68" s="43">
        <v>2.7E-2</v>
      </c>
      <c r="U68" s="42">
        <v>846172.17</v>
      </c>
      <c r="V68" s="42">
        <v>22846.648590000001</v>
      </c>
      <c r="W68" s="44">
        <v>0</v>
      </c>
      <c r="X68" s="45">
        <v>22847</v>
      </c>
      <c r="Y68" s="46" t="s">
        <v>71</v>
      </c>
      <c r="Z68" s="39" t="s">
        <v>40</v>
      </c>
      <c r="AA68" s="31" t="s">
        <v>41</v>
      </c>
      <c r="AB68" s="31" t="s">
        <v>198</v>
      </c>
      <c r="AC68" s="37">
        <v>45596</v>
      </c>
      <c r="AD68" s="65"/>
      <c r="AE68" s="65" t="s">
        <v>2173</v>
      </c>
      <c r="AF68" s="66">
        <v>22847</v>
      </c>
      <c r="AG68" s="67">
        <f t="shared" ref="AG68:AG131" si="1">X68-AF68</f>
        <v>0</v>
      </c>
      <c r="AH68" s="65" t="s">
        <v>2376</v>
      </c>
    </row>
    <row r="69" spans="1:34">
      <c r="A69" s="32">
        <v>45566</v>
      </c>
      <c r="B69" s="33" t="s">
        <v>29</v>
      </c>
      <c r="C69" s="34" t="s">
        <v>565</v>
      </c>
      <c r="D69" s="35" t="s">
        <v>64</v>
      </c>
      <c r="E69" s="36">
        <v>45566</v>
      </c>
      <c r="F69" s="37">
        <v>45931</v>
      </c>
      <c r="G69" s="34" t="s">
        <v>566</v>
      </c>
      <c r="H69" s="38">
        <v>2020</v>
      </c>
      <c r="I69" s="39" t="s">
        <v>567</v>
      </c>
      <c r="J69" s="38" t="s">
        <v>568</v>
      </c>
      <c r="K69" s="38" t="s">
        <v>569</v>
      </c>
      <c r="L69" s="40" t="s">
        <v>570</v>
      </c>
      <c r="M69" s="38" t="s">
        <v>571</v>
      </c>
      <c r="N69" s="31" t="s">
        <v>572</v>
      </c>
      <c r="O69" s="39">
        <v>1021</v>
      </c>
      <c r="P69" s="39">
        <v>450</v>
      </c>
      <c r="Q69" s="41">
        <v>44113</v>
      </c>
      <c r="R69" s="41">
        <v>45925</v>
      </c>
      <c r="S69" s="42">
        <v>1457271</v>
      </c>
      <c r="T69" s="43">
        <v>0.02</v>
      </c>
      <c r="U69" s="42">
        <v>1311543.8999999999</v>
      </c>
      <c r="V69" s="42">
        <v>26230.877999999997</v>
      </c>
      <c r="W69" s="44">
        <v>0</v>
      </c>
      <c r="X69" s="45">
        <v>26231</v>
      </c>
      <c r="Y69" s="46" t="s">
        <v>71</v>
      </c>
      <c r="Z69" s="39" t="s">
        <v>40</v>
      </c>
      <c r="AA69" s="31" t="s">
        <v>41</v>
      </c>
      <c r="AB69" s="31" t="s">
        <v>198</v>
      </c>
      <c r="AC69" s="37">
        <v>45596</v>
      </c>
      <c r="AD69" s="65"/>
      <c r="AE69" s="65" t="s">
        <v>2174</v>
      </c>
      <c r="AF69" s="66">
        <v>26231</v>
      </c>
      <c r="AG69" s="67">
        <f t="shared" si="1"/>
        <v>0</v>
      </c>
      <c r="AH69" s="65" t="s">
        <v>2376</v>
      </c>
    </row>
    <row r="70" spans="1:34">
      <c r="A70" s="32">
        <v>45566</v>
      </c>
      <c r="B70" s="33" t="s">
        <v>29</v>
      </c>
      <c r="C70" s="34" t="s">
        <v>573</v>
      </c>
      <c r="D70" s="35" t="s">
        <v>64</v>
      </c>
      <c r="E70" s="36">
        <v>45566</v>
      </c>
      <c r="F70" s="37">
        <v>45931</v>
      </c>
      <c r="G70" s="34" t="s">
        <v>574</v>
      </c>
      <c r="H70" s="38">
        <v>2020</v>
      </c>
      <c r="I70" s="39" t="s">
        <v>575</v>
      </c>
      <c r="J70" s="38" t="s">
        <v>576</v>
      </c>
      <c r="K70" s="38" t="s">
        <v>577</v>
      </c>
      <c r="L70" s="40" t="s">
        <v>578</v>
      </c>
      <c r="M70" s="38" t="s">
        <v>579</v>
      </c>
      <c r="N70" s="31" t="s">
        <v>580</v>
      </c>
      <c r="O70" s="39">
        <v>2125</v>
      </c>
      <c r="P70" s="39">
        <v>450</v>
      </c>
      <c r="Q70" s="41">
        <v>44110</v>
      </c>
      <c r="R70" s="41">
        <v>45935</v>
      </c>
      <c r="S70" s="42">
        <v>3958470</v>
      </c>
      <c r="T70" s="43">
        <v>1.9E-2</v>
      </c>
      <c r="U70" s="42">
        <v>3562623</v>
      </c>
      <c r="V70" s="42">
        <v>67689.837</v>
      </c>
      <c r="W70" s="44">
        <v>0</v>
      </c>
      <c r="X70" s="45">
        <v>67690</v>
      </c>
      <c r="Y70" s="46" t="s">
        <v>71</v>
      </c>
      <c r="Z70" s="39" t="s">
        <v>40</v>
      </c>
      <c r="AA70" s="31" t="s">
        <v>41</v>
      </c>
      <c r="AB70" s="31" t="s">
        <v>198</v>
      </c>
      <c r="AC70" s="37">
        <v>45596</v>
      </c>
      <c r="AD70" s="65"/>
      <c r="AE70" s="65" t="s">
        <v>2175</v>
      </c>
      <c r="AF70" s="66">
        <v>67690</v>
      </c>
      <c r="AG70" s="67">
        <f t="shared" si="1"/>
        <v>0</v>
      </c>
      <c r="AH70" s="65" t="s">
        <v>2376</v>
      </c>
    </row>
    <row r="71" spans="1:34">
      <c r="A71" s="32">
        <v>45566</v>
      </c>
      <c r="B71" s="33" t="s">
        <v>29</v>
      </c>
      <c r="C71" s="34" t="s">
        <v>581</v>
      </c>
      <c r="D71" s="35" t="s">
        <v>64</v>
      </c>
      <c r="E71" s="36">
        <v>45569</v>
      </c>
      <c r="F71" s="37">
        <v>45934</v>
      </c>
      <c r="G71" s="34" t="s">
        <v>574</v>
      </c>
      <c r="H71" s="38">
        <v>2020</v>
      </c>
      <c r="I71" s="39" t="s">
        <v>582</v>
      </c>
      <c r="J71" s="38" t="s">
        <v>583</v>
      </c>
      <c r="K71" s="38" t="s">
        <v>584</v>
      </c>
      <c r="L71" s="40" t="s">
        <v>585</v>
      </c>
      <c r="M71" s="38" t="s">
        <v>586</v>
      </c>
      <c r="N71" s="31" t="s">
        <v>587</v>
      </c>
      <c r="O71" s="39">
        <v>1103</v>
      </c>
      <c r="P71" s="39">
        <v>450</v>
      </c>
      <c r="Q71" s="41">
        <v>44117</v>
      </c>
      <c r="R71" s="41">
        <v>45935</v>
      </c>
      <c r="S71" s="42">
        <v>3935871</v>
      </c>
      <c r="T71" s="43">
        <v>0.02</v>
      </c>
      <c r="U71" s="42">
        <v>3542283.9</v>
      </c>
      <c r="V71" s="42">
        <v>70845.678</v>
      </c>
      <c r="W71" s="44">
        <v>0</v>
      </c>
      <c r="X71" s="45">
        <v>70846</v>
      </c>
      <c r="Y71" s="46" t="s">
        <v>71</v>
      </c>
      <c r="Z71" s="39" t="s">
        <v>40</v>
      </c>
      <c r="AA71" s="31" t="s">
        <v>41</v>
      </c>
      <c r="AB71" s="31" t="s">
        <v>198</v>
      </c>
      <c r="AC71" s="37">
        <v>45596</v>
      </c>
      <c r="AD71" s="65"/>
      <c r="AE71" s="65" t="s">
        <v>2176</v>
      </c>
      <c r="AF71" s="66">
        <v>70846</v>
      </c>
      <c r="AG71" s="67">
        <f t="shared" si="1"/>
        <v>0</v>
      </c>
      <c r="AH71" s="65" t="s">
        <v>2376</v>
      </c>
    </row>
    <row r="72" spans="1:34">
      <c r="A72" s="32">
        <v>45566</v>
      </c>
      <c r="B72" s="33" t="s">
        <v>29</v>
      </c>
      <c r="C72" s="34" t="s">
        <v>588</v>
      </c>
      <c r="D72" s="35" t="s">
        <v>64</v>
      </c>
      <c r="E72" s="36">
        <v>45570</v>
      </c>
      <c r="F72" s="37">
        <v>45935</v>
      </c>
      <c r="G72" s="34" t="s">
        <v>589</v>
      </c>
      <c r="H72" s="38">
        <v>2020</v>
      </c>
      <c r="I72" s="39" t="s">
        <v>590</v>
      </c>
      <c r="J72" s="38" t="s">
        <v>591</v>
      </c>
      <c r="K72" s="38" t="s">
        <v>592</v>
      </c>
      <c r="L72" s="40" t="s">
        <v>593</v>
      </c>
      <c r="M72" s="38" t="s">
        <v>594</v>
      </c>
      <c r="N72" s="31" t="s">
        <v>595</v>
      </c>
      <c r="O72" s="39">
        <v>1148</v>
      </c>
      <c r="P72" s="39">
        <v>450</v>
      </c>
      <c r="Q72" s="41">
        <v>44117</v>
      </c>
      <c r="R72" s="41">
        <v>45935</v>
      </c>
      <c r="S72" s="42">
        <v>3571371</v>
      </c>
      <c r="T72" s="43">
        <v>1.9E-2</v>
      </c>
      <c r="U72" s="42">
        <v>3214233.9</v>
      </c>
      <c r="V72" s="42">
        <v>61070.444099999993</v>
      </c>
      <c r="W72" s="44">
        <v>0</v>
      </c>
      <c r="X72" s="45">
        <v>61070</v>
      </c>
      <c r="Y72" s="46" t="s">
        <v>71</v>
      </c>
      <c r="Z72" s="39" t="s">
        <v>40</v>
      </c>
      <c r="AA72" s="31" t="s">
        <v>41</v>
      </c>
      <c r="AB72" s="31" t="s">
        <v>198</v>
      </c>
      <c r="AC72" s="37">
        <v>45596</v>
      </c>
      <c r="AD72" s="65"/>
      <c r="AE72" s="65" t="s">
        <v>2177</v>
      </c>
      <c r="AF72" s="66">
        <v>61070</v>
      </c>
      <c r="AG72" s="67">
        <f t="shared" si="1"/>
        <v>0</v>
      </c>
      <c r="AH72" s="65" t="s">
        <v>2376</v>
      </c>
    </row>
    <row r="73" spans="1:34">
      <c r="A73" s="32">
        <v>45566</v>
      </c>
      <c r="B73" s="33" t="s">
        <v>29</v>
      </c>
      <c r="C73" s="34" t="s">
        <v>596</v>
      </c>
      <c r="D73" s="35" t="s">
        <v>64</v>
      </c>
      <c r="E73" s="36">
        <v>45570</v>
      </c>
      <c r="F73" s="37">
        <v>45935</v>
      </c>
      <c r="G73" s="34" t="s">
        <v>574</v>
      </c>
      <c r="H73" s="38">
        <v>2020</v>
      </c>
      <c r="I73" s="39" t="s">
        <v>597</v>
      </c>
      <c r="J73" s="38" t="s">
        <v>598</v>
      </c>
      <c r="K73" s="38" t="s">
        <v>599</v>
      </c>
      <c r="L73" s="40" t="s">
        <v>600</v>
      </c>
      <c r="M73" s="38" t="s">
        <v>601</v>
      </c>
      <c r="N73" s="31" t="s">
        <v>602</v>
      </c>
      <c r="O73" s="39">
        <v>2028</v>
      </c>
      <c r="P73" s="39">
        <v>550</v>
      </c>
      <c r="Q73" s="41">
        <v>44111</v>
      </c>
      <c r="R73" s="41">
        <v>45945</v>
      </c>
      <c r="S73" s="42">
        <v>3593970</v>
      </c>
      <c r="T73" s="43">
        <v>0.02</v>
      </c>
      <c r="U73" s="42">
        <v>3234573</v>
      </c>
      <c r="V73" s="42">
        <v>64691.46</v>
      </c>
      <c r="W73" s="44">
        <v>0</v>
      </c>
      <c r="X73" s="45">
        <v>64691</v>
      </c>
      <c r="Y73" s="46" t="s">
        <v>71</v>
      </c>
      <c r="Z73" s="39" t="s">
        <v>40</v>
      </c>
      <c r="AA73" s="31" t="s">
        <v>41</v>
      </c>
      <c r="AB73" s="31" t="s">
        <v>198</v>
      </c>
      <c r="AC73" s="37">
        <v>45596</v>
      </c>
      <c r="AD73" s="65"/>
      <c r="AE73" s="65" t="s">
        <v>2178</v>
      </c>
      <c r="AF73" s="66">
        <v>64691</v>
      </c>
      <c r="AG73" s="67">
        <f t="shared" si="1"/>
        <v>0</v>
      </c>
      <c r="AH73" s="65" t="s">
        <v>2376</v>
      </c>
    </row>
    <row r="74" spans="1:34">
      <c r="A74" s="32">
        <v>45566</v>
      </c>
      <c r="B74" s="33" t="s">
        <v>29</v>
      </c>
      <c r="C74" s="34" t="s">
        <v>603</v>
      </c>
      <c r="D74" s="35" t="s">
        <v>64</v>
      </c>
      <c r="E74" s="36">
        <v>45570</v>
      </c>
      <c r="F74" s="37">
        <v>45935</v>
      </c>
      <c r="G74" s="34" t="s">
        <v>574</v>
      </c>
      <c r="H74" s="38">
        <v>2020</v>
      </c>
      <c r="I74" s="39" t="s">
        <v>604</v>
      </c>
      <c r="J74" s="38" t="s">
        <v>605</v>
      </c>
      <c r="K74" s="38" t="s">
        <v>606</v>
      </c>
      <c r="L74" s="40" t="s">
        <v>607</v>
      </c>
      <c r="M74" s="38" t="s">
        <v>608</v>
      </c>
      <c r="N74" s="31" t="s">
        <v>609</v>
      </c>
      <c r="O74" s="39">
        <v>2052</v>
      </c>
      <c r="P74" s="39">
        <v>477</v>
      </c>
      <c r="Q74" s="41">
        <v>44111</v>
      </c>
      <c r="R74" s="41">
        <v>45935</v>
      </c>
      <c r="S74" s="42">
        <v>3956283</v>
      </c>
      <c r="T74" s="43">
        <v>1.9E-2</v>
      </c>
      <c r="U74" s="42">
        <v>3560654.7</v>
      </c>
      <c r="V74" s="42">
        <v>67652.439299999998</v>
      </c>
      <c r="W74" s="44">
        <v>0</v>
      </c>
      <c r="X74" s="45">
        <v>67652</v>
      </c>
      <c r="Y74" s="46" t="s">
        <v>71</v>
      </c>
      <c r="Z74" s="39" t="s">
        <v>40</v>
      </c>
      <c r="AA74" s="31" t="s">
        <v>41</v>
      </c>
      <c r="AB74" s="31" t="s">
        <v>198</v>
      </c>
      <c r="AC74" s="37">
        <v>45596</v>
      </c>
      <c r="AD74" s="65"/>
      <c r="AE74" s="65" t="s">
        <v>2179</v>
      </c>
      <c r="AF74" s="66">
        <v>67652</v>
      </c>
      <c r="AG74" s="67">
        <f t="shared" si="1"/>
        <v>0</v>
      </c>
      <c r="AH74" s="65" t="s">
        <v>2376</v>
      </c>
    </row>
    <row r="75" spans="1:34">
      <c r="A75" s="32">
        <v>45566</v>
      </c>
      <c r="B75" s="33" t="s">
        <v>29</v>
      </c>
      <c r="C75" s="34" t="s">
        <v>610</v>
      </c>
      <c r="D75" s="35" t="s">
        <v>64</v>
      </c>
      <c r="E75" s="36">
        <v>45570</v>
      </c>
      <c r="F75" s="37">
        <v>45935</v>
      </c>
      <c r="G75" s="34" t="s">
        <v>574</v>
      </c>
      <c r="H75" s="38">
        <v>2020</v>
      </c>
      <c r="I75" s="39" t="s">
        <v>611</v>
      </c>
      <c r="J75" s="38" t="s">
        <v>612</v>
      </c>
      <c r="K75" s="38" t="s">
        <v>613</v>
      </c>
      <c r="L75" s="40" t="s">
        <v>614</v>
      </c>
      <c r="M75" s="38" t="s">
        <v>615</v>
      </c>
      <c r="N75" s="31" t="s">
        <v>616</v>
      </c>
      <c r="O75" s="39">
        <v>3016</v>
      </c>
      <c r="P75" s="39">
        <v>450</v>
      </c>
      <c r="Q75" s="41">
        <v>44111</v>
      </c>
      <c r="R75" s="41">
        <v>45945</v>
      </c>
      <c r="S75" s="42">
        <v>3960657</v>
      </c>
      <c r="T75" s="43">
        <v>1.9E-2</v>
      </c>
      <c r="U75" s="42">
        <v>3564591.3</v>
      </c>
      <c r="V75" s="42">
        <v>67727.234700000001</v>
      </c>
      <c r="W75" s="44">
        <v>0</v>
      </c>
      <c r="X75" s="45">
        <v>67727</v>
      </c>
      <c r="Y75" s="46" t="s">
        <v>71</v>
      </c>
      <c r="Z75" s="39" t="s">
        <v>40</v>
      </c>
      <c r="AA75" s="31" t="s">
        <v>41</v>
      </c>
      <c r="AB75" s="31" t="s">
        <v>198</v>
      </c>
      <c r="AC75" s="37">
        <v>45596</v>
      </c>
      <c r="AD75" s="65"/>
      <c r="AE75" s="65" t="s">
        <v>2180</v>
      </c>
      <c r="AF75" s="66">
        <v>67727</v>
      </c>
      <c r="AG75" s="67">
        <f t="shared" si="1"/>
        <v>0</v>
      </c>
      <c r="AH75" s="65" t="s">
        <v>2376</v>
      </c>
    </row>
    <row r="76" spans="1:34">
      <c r="A76" s="32">
        <v>45566</v>
      </c>
      <c r="B76" s="33" t="s">
        <v>29</v>
      </c>
      <c r="C76" s="34" t="s">
        <v>617</v>
      </c>
      <c r="D76" s="35" t="s">
        <v>64</v>
      </c>
      <c r="E76" s="36">
        <v>45572</v>
      </c>
      <c r="F76" s="37">
        <v>45937</v>
      </c>
      <c r="G76" s="34" t="s">
        <v>589</v>
      </c>
      <c r="H76" s="38">
        <v>2020</v>
      </c>
      <c r="I76" s="39" t="s">
        <v>618</v>
      </c>
      <c r="J76" s="38" t="s">
        <v>619</v>
      </c>
      <c r="K76" s="38" t="s">
        <v>620</v>
      </c>
      <c r="L76" s="40" t="s">
        <v>621</v>
      </c>
      <c r="M76" s="38" t="s">
        <v>622</v>
      </c>
      <c r="N76" s="31" t="s">
        <v>623</v>
      </c>
      <c r="O76" s="39">
        <v>1078</v>
      </c>
      <c r="P76" s="39">
        <v>450</v>
      </c>
      <c r="Q76" s="41">
        <v>44119</v>
      </c>
      <c r="R76" s="41">
        <v>46675</v>
      </c>
      <c r="S76" s="42">
        <v>3575745</v>
      </c>
      <c r="T76" s="43">
        <v>0.02</v>
      </c>
      <c r="U76" s="42">
        <v>3218170.5</v>
      </c>
      <c r="V76" s="42">
        <v>64363.41</v>
      </c>
      <c r="W76" s="44">
        <v>0</v>
      </c>
      <c r="X76" s="45">
        <v>64363</v>
      </c>
      <c r="Y76" s="46" t="s">
        <v>71</v>
      </c>
      <c r="Z76" s="39" t="s">
        <v>40</v>
      </c>
      <c r="AA76" s="31" t="s">
        <v>41</v>
      </c>
      <c r="AB76" s="31" t="s">
        <v>198</v>
      </c>
      <c r="AC76" s="37">
        <v>45596</v>
      </c>
      <c r="AD76" s="65"/>
      <c r="AE76" s="65" t="s">
        <v>2181</v>
      </c>
      <c r="AF76" s="66">
        <v>64363</v>
      </c>
      <c r="AG76" s="67">
        <f t="shared" si="1"/>
        <v>0</v>
      </c>
      <c r="AH76" s="65" t="s">
        <v>2376</v>
      </c>
    </row>
    <row r="77" spans="1:34">
      <c r="A77" s="32">
        <v>45566</v>
      </c>
      <c r="B77" s="33" t="s">
        <v>29</v>
      </c>
      <c r="C77" s="34" t="s">
        <v>624</v>
      </c>
      <c r="D77" s="35" t="s">
        <v>64</v>
      </c>
      <c r="E77" s="36">
        <v>45576</v>
      </c>
      <c r="F77" s="37">
        <v>45941</v>
      </c>
      <c r="G77" s="34" t="s">
        <v>625</v>
      </c>
      <c r="H77" s="38">
        <v>2020</v>
      </c>
      <c r="I77" s="39" t="s">
        <v>626</v>
      </c>
      <c r="J77" s="38" t="s">
        <v>627</v>
      </c>
      <c r="K77" s="38" t="s">
        <v>628</v>
      </c>
      <c r="L77" s="40" t="s">
        <v>629</v>
      </c>
      <c r="M77" s="38" t="s">
        <v>630</v>
      </c>
      <c r="N77" s="31" t="s">
        <v>631</v>
      </c>
      <c r="O77" s="39">
        <v>2052</v>
      </c>
      <c r="P77" s="39">
        <v>450</v>
      </c>
      <c r="Q77" s="41">
        <v>44125</v>
      </c>
      <c r="R77" s="41">
        <v>46675</v>
      </c>
      <c r="S77" s="42">
        <v>3958470</v>
      </c>
      <c r="T77" s="43">
        <v>0.02</v>
      </c>
      <c r="U77" s="42">
        <v>3562623</v>
      </c>
      <c r="V77" s="42">
        <v>71252.460000000006</v>
      </c>
      <c r="W77" s="44">
        <v>0</v>
      </c>
      <c r="X77" s="45">
        <v>71252</v>
      </c>
      <c r="Y77" s="46" t="s">
        <v>71</v>
      </c>
      <c r="Z77" s="39" t="s">
        <v>40</v>
      </c>
      <c r="AA77" s="31" t="s">
        <v>41</v>
      </c>
      <c r="AB77" s="31" t="s">
        <v>198</v>
      </c>
      <c r="AC77" s="37">
        <v>45596</v>
      </c>
      <c r="AD77" s="65"/>
      <c r="AE77" s="65" t="s">
        <v>2182</v>
      </c>
      <c r="AF77" s="66">
        <v>71252</v>
      </c>
      <c r="AG77" s="67">
        <f t="shared" si="1"/>
        <v>0</v>
      </c>
      <c r="AH77" s="65" t="s">
        <v>2376</v>
      </c>
    </row>
    <row r="78" spans="1:34">
      <c r="A78" s="32">
        <v>45566</v>
      </c>
      <c r="B78" s="33" t="s">
        <v>29</v>
      </c>
      <c r="C78" s="34" t="s">
        <v>632</v>
      </c>
      <c r="D78" s="35" t="s">
        <v>64</v>
      </c>
      <c r="E78" s="36">
        <v>45569</v>
      </c>
      <c r="F78" s="37">
        <v>45934</v>
      </c>
      <c r="G78" s="34" t="s">
        <v>633</v>
      </c>
      <c r="H78" s="38">
        <v>2021</v>
      </c>
      <c r="I78" s="39" t="s">
        <v>634</v>
      </c>
      <c r="J78" s="38" t="s">
        <v>635</v>
      </c>
      <c r="K78" s="38" t="s">
        <v>636</v>
      </c>
      <c r="L78" s="40" t="s">
        <v>637</v>
      </c>
      <c r="M78" s="38" t="s">
        <v>638</v>
      </c>
      <c r="N78" s="31" t="s">
        <v>639</v>
      </c>
      <c r="O78" s="39">
        <v>2002</v>
      </c>
      <c r="P78" s="39">
        <v>477</v>
      </c>
      <c r="Q78" s="41">
        <v>44474</v>
      </c>
      <c r="R78" s="41">
        <v>46300</v>
      </c>
      <c r="S78" s="42">
        <v>2110050</v>
      </c>
      <c r="T78" s="43">
        <v>2.2499999999999999E-2</v>
      </c>
      <c r="U78" s="42">
        <v>1899045</v>
      </c>
      <c r="V78" s="42">
        <v>42728.512499999997</v>
      </c>
      <c r="W78" s="44">
        <v>0</v>
      </c>
      <c r="X78" s="45">
        <v>42729</v>
      </c>
      <c r="Y78" s="46" t="s">
        <v>71</v>
      </c>
      <c r="Z78" s="39" t="s">
        <v>40</v>
      </c>
      <c r="AA78" s="31" t="s">
        <v>41</v>
      </c>
      <c r="AB78" s="31" t="s">
        <v>198</v>
      </c>
      <c r="AC78" s="37">
        <v>45596</v>
      </c>
      <c r="AD78" s="65"/>
      <c r="AE78" s="65" t="s">
        <v>2183</v>
      </c>
      <c r="AF78" s="66">
        <v>42729</v>
      </c>
      <c r="AG78" s="67">
        <f t="shared" si="1"/>
        <v>0</v>
      </c>
      <c r="AH78" s="65" t="s">
        <v>2376</v>
      </c>
    </row>
    <row r="79" spans="1:34">
      <c r="A79" s="32">
        <v>45566</v>
      </c>
      <c r="B79" s="33" t="s">
        <v>29</v>
      </c>
      <c r="C79" s="34" t="s">
        <v>640</v>
      </c>
      <c r="D79" s="35" t="s">
        <v>64</v>
      </c>
      <c r="E79" s="36">
        <v>45576</v>
      </c>
      <c r="F79" s="37">
        <v>45941</v>
      </c>
      <c r="G79" s="34" t="s">
        <v>633</v>
      </c>
      <c r="H79" s="38">
        <v>2015</v>
      </c>
      <c r="I79" s="39" t="s">
        <v>641</v>
      </c>
      <c r="J79" s="38" t="s">
        <v>642</v>
      </c>
      <c r="K79" s="38" t="s">
        <v>643</v>
      </c>
      <c r="L79" s="40" t="s">
        <v>644</v>
      </c>
      <c r="M79" s="38" t="s">
        <v>645</v>
      </c>
      <c r="N79" s="31" t="s">
        <v>646</v>
      </c>
      <c r="O79" s="39">
        <v>3034</v>
      </c>
      <c r="P79" s="39">
        <v>450</v>
      </c>
      <c r="Q79" s="41">
        <v>44119</v>
      </c>
      <c r="R79" s="41">
        <v>46310</v>
      </c>
      <c r="S79" s="42">
        <v>1144530</v>
      </c>
      <c r="T79" s="43">
        <v>2.3E-2</v>
      </c>
      <c r="U79" s="42">
        <v>1030077</v>
      </c>
      <c r="V79" s="42">
        <v>23691.771000000001</v>
      </c>
      <c r="W79" s="44">
        <v>0</v>
      </c>
      <c r="X79" s="45">
        <v>23692</v>
      </c>
      <c r="Y79" s="46" t="s">
        <v>71</v>
      </c>
      <c r="Z79" s="39" t="s">
        <v>40</v>
      </c>
      <c r="AA79" s="31" t="s">
        <v>41</v>
      </c>
      <c r="AB79" s="31" t="s">
        <v>198</v>
      </c>
      <c r="AC79" s="37">
        <v>45596</v>
      </c>
      <c r="AD79" s="65"/>
      <c r="AE79" s="65" t="s">
        <v>2184</v>
      </c>
      <c r="AF79" s="66">
        <v>23692</v>
      </c>
      <c r="AG79" s="67">
        <f t="shared" si="1"/>
        <v>0</v>
      </c>
      <c r="AH79" s="65" t="s">
        <v>2376</v>
      </c>
    </row>
    <row r="80" spans="1:34">
      <c r="A80" s="32">
        <v>45566</v>
      </c>
      <c r="B80" s="33" t="s">
        <v>29</v>
      </c>
      <c r="C80" s="34" t="s">
        <v>647</v>
      </c>
      <c r="D80" s="35" t="s">
        <v>64</v>
      </c>
      <c r="E80" s="36">
        <v>45579</v>
      </c>
      <c r="F80" s="37">
        <v>45944</v>
      </c>
      <c r="G80" s="34" t="s">
        <v>625</v>
      </c>
      <c r="H80" s="38">
        <v>2020</v>
      </c>
      <c r="I80" s="39" t="s">
        <v>648</v>
      </c>
      <c r="J80" s="38" t="s">
        <v>649</v>
      </c>
      <c r="K80" s="38" t="s">
        <v>650</v>
      </c>
      <c r="L80" s="40" t="s">
        <v>651</v>
      </c>
      <c r="M80" s="38" t="s">
        <v>652</v>
      </c>
      <c r="N80" s="31" t="s">
        <v>653</v>
      </c>
      <c r="O80" s="39">
        <v>1033</v>
      </c>
      <c r="P80" s="39">
        <v>450</v>
      </c>
      <c r="Q80" s="41">
        <v>44123</v>
      </c>
      <c r="R80" s="41">
        <v>46675</v>
      </c>
      <c r="S80" s="42">
        <v>3935871</v>
      </c>
      <c r="T80" s="43">
        <v>0.02</v>
      </c>
      <c r="U80" s="42">
        <v>3542283.9</v>
      </c>
      <c r="V80" s="42">
        <v>70845.678</v>
      </c>
      <c r="W80" s="44">
        <v>0</v>
      </c>
      <c r="X80" s="45">
        <v>70846</v>
      </c>
      <c r="Y80" s="46" t="s">
        <v>71</v>
      </c>
      <c r="Z80" s="39" t="s">
        <v>40</v>
      </c>
      <c r="AA80" s="31" t="s">
        <v>41</v>
      </c>
      <c r="AB80" s="31" t="s">
        <v>198</v>
      </c>
      <c r="AC80" s="37">
        <v>45596</v>
      </c>
      <c r="AD80" s="65"/>
      <c r="AE80" s="65" t="s">
        <v>2185</v>
      </c>
      <c r="AF80" s="66">
        <v>70846</v>
      </c>
      <c r="AG80" s="67">
        <f t="shared" si="1"/>
        <v>0</v>
      </c>
      <c r="AH80" s="65" t="s">
        <v>2376</v>
      </c>
    </row>
    <row r="81" spans="1:34">
      <c r="A81" s="32">
        <v>45566</v>
      </c>
      <c r="B81" s="33" t="s">
        <v>29</v>
      </c>
      <c r="C81" s="34" t="s">
        <v>654</v>
      </c>
      <c r="D81" s="35" t="s">
        <v>64</v>
      </c>
      <c r="E81" s="36">
        <v>45570</v>
      </c>
      <c r="F81" s="37">
        <v>45935</v>
      </c>
      <c r="G81" s="34" t="s">
        <v>655</v>
      </c>
      <c r="H81" s="38">
        <v>2022</v>
      </c>
      <c r="I81" s="39" t="s">
        <v>656</v>
      </c>
      <c r="J81" s="38" t="s">
        <v>657</v>
      </c>
      <c r="K81" s="38" t="s">
        <v>658</v>
      </c>
      <c r="L81" s="40" t="s">
        <v>69</v>
      </c>
      <c r="M81" s="38" t="s">
        <v>659</v>
      </c>
      <c r="N81" s="31" t="s">
        <v>660</v>
      </c>
      <c r="O81" s="39">
        <v>3018</v>
      </c>
      <c r="P81" s="39">
        <v>565</v>
      </c>
      <c r="Q81" s="41">
        <v>44845</v>
      </c>
      <c r="R81" s="41">
        <v>45935</v>
      </c>
      <c r="S81" s="42">
        <v>2478600</v>
      </c>
      <c r="T81" s="43">
        <v>1.9900000000000001E-2</v>
      </c>
      <c r="U81" s="42">
        <v>2230740</v>
      </c>
      <c r="V81" s="42">
        <v>44391.726000000002</v>
      </c>
      <c r="W81" s="44">
        <v>0</v>
      </c>
      <c r="X81" s="45">
        <v>44392</v>
      </c>
      <c r="Y81" s="46" t="s">
        <v>71</v>
      </c>
      <c r="Z81" s="39" t="s">
        <v>40</v>
      </c>
      <c r="AA81" s="31" t="s">
        <v>41</v>
      </c>
      <c r="AB81" s="31" t="s">
        <v>72</v>
      </c>
      <c r="AC81" s="37">
        <v>45596</v>
      </c>
      <c r="AD81" s="65"/>
      <c r="AE81" s="65" t="s">
        <v>2186</v>
      </c>
      <c r="AF81" s="66">
        <v>44392</v>
      </c>
      <c r="AG81" s="67">
        <f t="shared" si="1"/>
        <v>0</v>
      </c>
      <c r="AH81" s="65" t="s">
        <v>2376</v>
      </c>
    </row>
    <row r="82" spans="1:34">
      <c r="A82" s="32">
        <v>45566</v>
      </c>
      <c r="B82" s="33" t="s">
        <v>29</v>
      </c>
      <c r="C82" s="34" t="s">
        <v>661</v>
      </c>
      <c r="D82" s="35" t="s">
        <v>64</v>
      </c>
      <c r="E82" s="36">
        <v>45591</v>
      </c>
      <c r="F82" s="37">
        <v>45956</v>
      </c>
      <c r="G82" s="34" t="s">
        <v>662</v>
      </c>
      <c r="H82" s="38">
        <v>2022</v>
      </c>
      <c r="I82" s="39" t="s">
        <v>663</v>
      </c>
      <c r="J82" s="38" t="s">
        <v>664</v>
      </c>
      <c r="K82" s="38" t="s">
        <v>665</v>
      </c>
      <c r="L82" s="40" t="s">
        <v>666</v>
      </c>
      <c r="M82" s="38" t="s">
        <v>667</v>
      </c>
      <c r="N82" s="31" t="s">
        <v>668</v>
      </c>
      <c r="O82" s="39">
        <v>1094</v>
      </c>
      <c r="P82" s="39">
        <v>450</v>
      </c>
      <c r="Q82" s="41">
        <v>44861</v>
      </c>
      <c r="R82" s="41">
        <v>45955</v>
      </c>
      <c r="S82" s="42">
        <v>4050000</v>
      </c>
      <c r="T82" s="43">
        <v>1.9900000000000001E-2</v>
      </c>
      <c r="U82" s="42">
        <v>3645000</v>
      </c>
      <c r="V82" s="42">
        <v>72535.5</v>
      </c>
      <c r="W82" s="44">
        <v>0</v>
      </c>
      <c r="X82" s="45">
        <v>72536</v>
      </c>
      <c r="Y82" s="46" t="s">
        <v>71</v>
      </c>
      <c r="Z82" s="39" t="s">
        <v>40</v>
      </c>
      <c r="AA82" s="31" t="s">
        <v>41</v>
      </c>
      <c r="AB82" s="31" t="s">
        <v>72</v>
      </c>
      <c r="AC82" s="37">
        <v>45596</v>
      </c>
      <c r="AD82" s="65"/>
      <c r="AE82" s="65" t="s">
        <v>2187</v>
      </c>
      <c r="AF82" s="66">
        <v>72536</v>
      </c>
      <c r="AG82" s="67">
        <f t="shared" si="1"/>
        <v>0</v>
      </c>
      <c r="AH82" s="65" t="s">
        <v>2376</v>
      </c>
    </row>
    <row r="83" spans="1:34">
      <c r="A83" s="32">
        <v>45566</v>
      </c>
      <c r="B83" s="33" t="s">
        <v>29</v>
      </c>
      <c r="C83" s="34" t="s">
        <v>669</v>
      </c>
      <c r="D83" s="35" t="s">
        <v>64</v>
      </c>
      <c r="E83" s="36">
        <v>45580</v>
      </c>
      <c r="F83" s="37">
        <v>45945</v>
      </c>
      <c r="G83" s="34" t="s">
        <v>574</v>
      </c>
      <c r="H83" s="38">
        <v>2020</v>
      </c>
      <c r="I83" s="39" t="s">
        <v>670</v>
      </c>
      <c r="J83" s="38" t="s">
        <v>671</v>
      </c>
      <c r="K83" s="38" t="s">
        <v>672</v>
      </c>
      <c r="L83" s="40" t="s">
        <v>673</v>
      </c>
      <c r="M83" s="38" t="s">
        <v>674</v>
      </c>
      <c r="N83" s="31" t="s">
        <v>675</v>
      </c>
      <c r="O83" s="39">
        <v>3029</v>
      </c>
      <c r="P83" s="39">
        <v>550</v>
      </c>
      <c r="Q83" s="41">
        <v>44123</v>
      </c>
      <c r="R83" s="41">
        <v>45955</v>
      </c>
      <c r="S83" s="42">
        <v>3960657</v>
      </c>
      <c r="T83" s="43">
        <v>1.9E-2</v>
      </c>
      <c r="U83" s="42">
        <v>3564591.3</v>
      </c>
      <c r="V83" s="42">
        <v>67727.234700000001</v>
      </c>
      <c r="W83" s="44">
        <v>0</v>
      </c>
      <c r="X83" s="45">
        <v>67727</v>
      </c>
      <c r="Y83" s="46" t="s">
        <v>71</v>
      </c>
      <c r="Z83" s="39" t="s">
        <v>40</v>
      </c>
      <c r="AA83" s="31" t="s">
        <v>41</v>
      </c>
      <c r="AB83" s="31" t="s">
        <v>198</v>
      </c>
      <c r="AC83" s="37">
        <v>45596</v>
      </c>
      <c r="AD83" s="65"/>
      <c r="AE83" s="65" t="s">
        <v>2188</v>
      </c>
      <c r="AF83" s="66">
        <v>67727</v>
      </c>
      <c r="AG83" s="67">
        <f t="shared" si="1"/>
        <v>0</v>
      </c>
      <c r="AH83" s="65" t="s">
        <v>2376</v>
      </c>
    </row>
    <row r="84" spans="1:34">
      <c r="A84" s="32">
        <v>45566</v>
      </c>
      <c r="B84" s="33" t="s">
        <v>29</v>
      </c>
      <c r="C84" s="34" t="s">
        <v>676</v>
      </c>
      <c r="D84" s="35" t="s">
        <v>64</v>
      </c>
      <c r="E84" s="36">
        <v>45580</v>
      </c>
      <c r="F84" s="37">
        <v>45945</v>
      </c>
      <c r="G84" s="34" t="s">
        <v>677</v>
      </c>
      <c r="H84" s="38">
        <v>2017</v>
      </c>
      <c r="I84" s="39" t="s">
        <v>678</v>
      </c>
      <c r="J84" s="38" t="s">
        <v>679</v>
      </c>
      <c r="K84" s="38" t="s">
        <v>680</v>
      </c>
      <c r="L84" s="40" t="s">
        <v>681</v>
      </c>
      <c r="M84" s="38" t="s">
        <v>682</v>
      </c>
      <c r="N84" s="31" t="s">
        <v>683</v>
      </c>
      <c r="O84" s="39">
        <v>1060</v>
      </c>
      <c r="P84" s="39">
        <v>450</v>
      </c>
      <c r="Q84" s="41">
        <v>44127</v>
      </c>
      <c r="R84" s="41">
        <v>45945</v>
      </c>
      <c r="S84" s="42">
        <v>1035180</v>
      </c>
      <c r="T84" s="43">
        <v>2.3E-2</v>
      </c>
      <c r="U84" s="42">
        <v>931662</v>
      </c>
      <c r="V84" s="42">
        <v>21428.225999999999</v>
      </c>
      <c r="W84" s="44">
        <v>0</v>
      </c>
      <c r="X84" s="45">
        <v>21428</v>
      </c>
      <c r="Y84" s="46" t="s">
        <v>71</v>
      </c>
      <c r="Z84" s="39" t="s">
        <v>40</v>
      </c>
      <c r="AA84" s="31" t="s">
        <v>41</v>
      </c>
      <c r="AB84" s="31" t="s">
        <v>198</v>
      </c>
      <c r="AC84" s="37">
        <v>45596</v>
      </c>
      <c r="AD84" s="65"/>
      <c r="AE84" s="65" t="s">
        <v>2189</v>
      </c>
      <c r="AF84" s="66">
        <v>21428</v>
      </c>
      <c r="AG84" s="67">
        <f t="shared" si="1"/>
        <v>0</v>
      </c>
      <c r="AH84" s="65" t="s">
        <v>2376</v>
      </c>
    </row>
    <row r="85" spans="1:34">
      <c r="A85" s="32">
        <v>45566</v>
      </c>
      <c r="B85" s="33" t="s">
        <v>29</v>
      </c>
      <c r="C85" s="34" t="s">
        <v>684</v>
      </c>
      <c r="D85" s="35" t="s">
        <v>64</v>
      </c>
      <c r="E85" s="36">
        <v>45584</v>
      </c>
      <c r="F85" s="37">
        <v>45949</v>
      </c>
      <c r="G85" s="34" t="s">
        <v>685</v>
      </c>
      <c r="H85" s="38">
        <v>2017</v>
      </c>
      <c r="I85" s="39" t="s">
        <v>686</v>
      </c>
      <c r="J85" s="38" t="s">
        <v>687</v>
      </c>
      <c r="K85" s="38" t="s">
        <v>688</v>
      </c>
      <c r="L85" s="40" t="s">
        <v>689</v>
      </c>
      <c r="M85" s="38" t="s">
        <v>690</v>
      </c>
      <c r="N85" s="31" t="s">
        <v>691</v>
      </c>
      <c r="O85" s="39">
        <v>1024</v>
      </c>
      <c r="P85" s="39">
        <v>450</v>
      </c>
      <c r="Q85" s="41">
        <v>44127</v>
      </c>
      <c r="R85" s="41">
        <v>45945</v>
      </c>
      <c r="S85" s="42">
        <v>1348650</v>
      </c>
      <c r="T85" s="43">
        <v>2.3E-2</v>
      </c>
      <c r="U85" s="42">
        <v>1213785</v>
      </c>
      <c r="V85" s="42">
        <v>27917.055</v>
      </c>
      <c r="W85" s="44">
        <v>0</v>
      </c>
      <c r="X85" s="45">
        <v>27917</v>
      </c>
      <c r="Y85" s="46" t="s">
        <v>71</v>
      </c>
      <c r="Z85" s="39" t="s">
        <v>40</v>
      </c>
      <c r="AA85" s="31" t="s">
        <v>41</v>
      </c>
      <c r="AB85" s="31" t="s">
        <v>198</v>
      </c>
      <c r="AC85" s="37">
        <v>45596</v>
      </c>
      <c r="AD85" s="65"/>
      <c r="AE85" s="65" t="s">
        <v>2190</v>
      </c>
      <c r="AF85" s="66">
        <v>27917</v>
      </c>
      <c r="AG85" s="67">
        <f t="shared" si="1"/>
        <v>0</v>
      </c>
      <c r="AH85" s="65" t="s">
        <v>2376</v>
      </c>
    </row>
    <row r="86" spans="1:34">
      <c r="A86" s="32">
        <v>45566</v>
      </c>
      <c r="B86" s="33" t="s">
        <v>29</v>
      </c>
      <c r="C86" s="34" t="s">
        <v>692</v>
      </c>
      <c r="D86" s="35" t="s">
        <v>64</v>
      </c>
      <c r="E86" s="36">
        <v>45586</v>
      </c>
      <c r="F86" s="37">
        <v>45951</v>
      </c>
      <c r="G86" s="34" t="s">
        <v>693</v>
      </c>
      <c r="H86" s="38">
        <v>2015</v>
      </c>
      <c r="I86" s="39" t="s">
        <v>694</v>
      </c>
      <c r="J86" s="38" t="s">
        <v>695</v>
      </c>
      <c r="K86" s="38" t="s">
        <v>696</v>
      </c>
      <c r="L86" s="40" t="s">
        <v>697</v>
      </c>
      <c r="M86" s="38" t="s">
        <v>698</v>
      </c>
      <c r="N86" s="31" t="s">
        <v>699</v>
      </c>
      <c r="O86" s="39">
        <v>1052</v>
      </c>
      <c r="P86" s="39">
        <v>450</v>
      </c>
      <c r="Q86" s="41">
        <v>44146</v>
      </c>
      <c r="R86" s="41">
        <v>45945</v>
      </c>
      <c r="S86" s="42">
        <v>437400</v>
      </c>
      <c r="T86" s="43">
        <v>2.3E-2</v>
      </c>
      <c r="U86" s="42">
        <v>393660</v>
      </c>
      <c r="V86" s="42">
        <v>9054.18</v>
      </c>
      <c r="W86" s="44">
        <v>0</v>
      </c>
      <c r="X86" s="45">
        <v>9054</v>
      </c>
      <c r="Y86" s="46" t="s">
        <v>71</v>
      </c>
      <c r="Z86" s="39" t="s">
        <v>40</v>
      </c>
      <c r="AA86" s="31" t="s">
        <v>41</v>
      </c>
      <c r="AB86" s="31" t="s">
        <v>198</v>
      </c>
      <c r="AC86" s="37">
        <v>45596</v>
      </c>
      <c r="AD86" s="65"/>
      <c r="AE86" s="65" t="s">
        <v>2191</v>
      </c>
      <c r="AF86" s="66">
        <v>9054</v>
      </c>
      <c r="AG86" s="67">
        <f t="shared" si="1"/>
        <v>0</v>
      </c>
      <c r="AH86" s="65" t="s">
        <v>2376</v>
      </c>
    </row>
    <row r="87" spans="1:34">
      <c r="A87" s="32">
        <v>45566</v>
      </c>
      <c r="B87" s="33" t="s">
        <v>29</v>
      </c>
      <c r="C87" s="34" t="s">
        <v>700</v>
      </c>
      <c r="D87" s="35" t="s">
        <v>64</v>
      </c>
      <c r="E87" s="36">
        <v>45587</v>
      </c>
      <c r="F87" s="37">
        <v>45952</v>
      </c>
      <c r="G87" s="34" t="s">
        <v>566</v>
      </c>
      <c r="H87" s="38">
        <v>2020</v>
      </c>
      <c r="I87" s="39" t="s">
        <v>701</v>
      </c>
      <c r="J87" s="38" t="s">
        <v>702</v>
      </c>
      <c r="K87" s="38" t="s">
        <v>703</v>
      </c>
      <c r="L87" s="40" t="s">
        <v>704</v>
      </c>
      <c r="M87" s="38" t="s">
        <v>705</v>
      </c>
      <c r="N87" s="31" t="s">
        <v>706</v>
      </c>
      <c r="O87" s="39">
        <v>2108</v>
      </c>
      <c r="P87" s="39">
        <v>450</v>
      </c>
      <c r="Q87" s="41">
        <v>44146</v>
      </c>
      <c r="R87" s="41">
        <v>45955</v>
      </c>
      <c r="S87" s="42">
        <v>1497366</v>
      </c>
      <c r="T87" s="43">
        <v>0.02</v>
      </c>
      <c r="U87" s="42">
        <v>1347629.4</v>
      </c>
      <c r="V87" s="42">
        <v>26952.588</v>
      </c>
      <c r="W87" s="44">
        <v>0</v>
      </c>
      <c r="X87" s="45">
        <v>26953</v>
      </c>
      <c r="Y87" s="46" t="s">
        <v>71</v>
      </c>
      <c r="Z87" s="39" t="s">
        <v>40</v>
      </c>
      <c r="AA87" s="31" t="s">
        <v>41</v>
      </c>
      <c r="AB87" s="31" t="s">
        <v>198</v>
      </c>
      <c r="AC87" s="37">
        <v>45596</v>
      </c>
      <c r="AD87" s="65"/>
      <c r="AE87" s="65" t="s">
        <v>2192</v>
      </c>
      <c r="AF87" s="66">
        <v>26953</v>
      </c>
      <c r="AG87" s="67">
        <f t="shared" si="1"/>
        <v>0</v>
      </c>
      <c r="AH87" s="65" t="s">
        <v>2376</v>
      </c>
    </row>
    <row r="88" spans="1:34">
      <c r="A88" s="32">
        <v>45566</v>
      </c>
      <c r="B88" s="33" t="s">
        <v>29</v>
      </c>
      <c r="C88" s="34" t="s">
        <v>707</v>
      </c>
      <c r="D88" s="35" t="s">
        <v>64</v>
      </c>
      <c r="E88" s="36">
        <v>45570</v>
      </c>
      <c r="F88" s="37">
        <v>45935</v>
      </c>
      <c r="G88" s="34" t="s">
        <v>708</v>
      </c>
      <c r="H88" s="38">
        <v>2021</v>
      </c>
      <c r="I88" s="39" t="s">
        <v>709</v>
      </c>
      <c r="J88" s="38" t="s">
        <v>710</v>
      </c>
      <c r="K88" s="38" t="s">
        <v>711</v>
      </c>
      <c r="L88" s="40" t="s">
        <v>712</v>
      </c>
      <c r="M88" s="38" t="s">
        <v>713</v>
      </c>
      <c r="N88" s="31" t="s">
        <v>714</v>
      </c>
      <c r="O88" s="39">
        <v>1169</v>
      </c>
      <c r="P88" s="39">
        <v>450</v>
      </c>
      <c r="Q88" s="41">
        <v>44475</v>
      </c>
      <c r="R88" s="41">
        <v>47031</v>
      </c>
      <c r="S88" s="42">
        <v>2170800</v>
      </c>
      <c r="T88" s="43">
        <v>1.9900000000000001E-2</v>
      </c>
      <c r="U88" s="42">
        <v>1953720</v>
      </c>
      <c r="V88" s="42">
        <v>38879.027999999998</v>
      </c>
      <c r="W88" s="44">
        <v>0</v>
      </c>
      <c r="X88" s="45">
        <v>38879</v>
      </c>
      <c r="Y88" s="46" t="s">
        <v>71</v>
      </c>
      <c r="Z88" s="39" t="s">
        <v>40</v>
      </c>
      <c r="AA88" s="31" t="s">
        <v>41</v>
      </c>
      <c r="AB88" s="31" t="s">
        <v>198</v>
      </c>
      <c r="AC88" s="37">
        <v>45596</v>
      </c>
      <c r="AD88" s="65"/>
      <c r="AE88" s="65" t="s">
        <v>2193</v>
      </c>
      <c r="AF88" s="66">
        <v>38879</v>
      </c>
      <c r="AG88" s="67">
        <f t="shared" si="1"/>
        <v>0</v>
      </c>
      <c r="AH88" s="65" t="s">
        <v>2376</v>
      </c>
    </row>
    <row r="89" spans="1:34">
      <c r="A89" s="32">
        <v>45566</v>
      </c>
      <c r="B89" s="33" t="s">
        <v>29</v>
      </c>
      <c r="C89" s="34" t="s">
        <v>715</v>
      </c>
      <c r="D89" s="35" t="s">
        <v>64</v>
      </c>
      <c r="E89" s="36">
        <v>45587</v>
      </c>
      <c r="F89" s="37">
        <v>45952</v>
      </c>
      <c r="G89" s="34" t="s">
        <v>574</v>
      </c>
      <c r="H89" s="38">
        <v>2020</v>
      </c>
      <c r="I89" s="39" t="s">
        <v>716</v>
      </c>
      <c r="J89" s="38" t="s">
        <v>717</v>
      </c>
      <c r="K89" s="38" t="s">
        <v>718</v>
      </c>
      <c r="L89" s="40" t="s">
        <v>719</v>
      </c>
      <c r="M89" s="38" t="s">
        <v>720</v>
      </c>
      <c r="N89" s="31" t="s">
        <v>721</v>
      </c>
      <c r="O89" s="39">
        <v>2002</v>
      </c>
      <c r="P89" s="39">
        <v>450</v>
      </c>
      <c r="Q89" s="41">
        <v>44131</v>
      </c>
      <c r="R89" s="41">
        <v>45955</v>
      </c>
      <c r="S89" s="42">
        <v>3958470</v>
      </c>
      <c r="T89" s="43">
        <v>0.02</v>
      </c>
      <c r="U89" s="42">
        <v>3562623</v>
      </c>
      <c r="V89" s="42">
        <v>71252.460000000006</v>
      </c>
      <c r="W89" s="44">
        <v>0</v>
      </c>
      <c r="X89" s="45">
        <v>71252</v>
      </c>
      <c r="Y89" s="46" t="s">
        <v>71</v>
      </c>
      <c r="Z89" s="39" t="s">
        <v>40</v>
      </c>
      <c r="AA89" s="31" t="s">
        <v>41</v>
      </c>
      <c r="AB89" s="31" t="s">
        <v>198</v>
      </c>
      <c r="AC89" s="37">
        <v>45596</v>
      </c>
      <c r="AD89" s="65"/>
      <c r="AE89" s="65" t="s">
        <v>2194</v>
      </c>
      <c r="AF89" s="66">
        <v>71252</v>
      </c>
      <c r="AG89" s="67">
        <f t="shared" si="1"/>
        <v>0</v>
      </c>
      <c r="AH89" s="65" t="s">
        <v>2376</v>
      </c>
    </row>
    <row r="90" spans="1:34">
      <c r="A90" s="32">
        <v>45566</v>
      </c>
      <c r="B90" s="33" t="s">
        <v>29</v>
      </c>
      <c r="C90" s="34" t="s">
        <v>722</v>
      </c>
      <c r="D90" s="35" t="s">
        <v>64</v>
      </c>
      <c r="E90" s="36">
        <v>45590</v>
      </c>
      <c r="F90" s="37">
        <v>45955</v>
      </c>
      <c r="G90" s="34" t="s">
        <v>566</v>
      </c>
      <c r="H90" s="38">
        <v>2020</v>
      </c>
      <c r="I90" s="39" t="s">
        <v>723</v>
      </c>
      <c r="J90" s="38" t="s">
        <v>724</v>
      </c>
      <c r="K90" s="38" t="s">
        <v>725</v>
      </c>
      <c r="L90" s="40" t="s">
        <v>726</v>
      </c>
      <c r="M90" s="38" t="s">
        <v>727</v>
      </c>
      <c r="N90" s="31" t="s">
        <v>728</v>
      </c>
      <c r="O90" s="39">
        <v>2120</v>
      </c>
      <c r="P90" s="39">
        <v>450</v>
      </c>
      <c r="Q90" s="41">
        <v>44133</v>
      </c>
      <c r="R90" s="41">
        <v>45955</v>
      </c>
      <c r="S90" s="42">
        <v>1457271</v>
      </c>
      <c r="T90" s="43">
        <v>0.02</v>
      </c>
      <c r="U90" s="42">
        <v>1311543.8999999999</v>
      </c>
      <c r="V90" s="42">
        <v>26230.877999999997</v>
      </c>
      <c r="W90" s="44">
        <v>0</v>
      </c>
      <c r="X90" s="45">
        <v>26231</v>
      </c>
      <c r="Y90" s="46" t="s">
        <v>71</v>
      </c>
      <c r="Z90" s="39" t="s">
        <v>40</v>
      </c>
      <c r="AA90" s="31" t="s">
        <v>41</v>
      </c>
      <c r="AB90" s="31" t="s">
        <v>198</v>
      </c>
      <c r="AC90" s="37">
        <v>45596</v>
      </c>
      <c r="AD90" s="65"/>
      <c r="AE90" s="65" t="s">
        <v>2195</v>
      </c>
      <c r="AF90" s="66">
        <v>26231</v>
      </c>
      <c r="AG90" s="67">
        <f t="shared" si="1"/>
        <v>0</v>
      </c>
      <c r="AH90" s="65" t="s">
        <v>2376</v>
      </c>
    </row>
    <row r="91" spans="1:34">
      <c r="A91" s="32">
        <v>45566</v>
      </c>
      <c r="B91" s="33" t="s">
        <v>29</v>
      </c>
      <c r="C91" s="34" t="s">
        <v>729</v>
      </c>
      <c r="D91" s="35" t="s">
        <v>64</v>
      </c>
      <c r="E91" s="36">
        <v>45590</v>
      </c>
      <c r="F91" s="37">
        <v>45955</v>
      </c>
      <c r="G91" s="34" t="s">
        <v>730</v>
      </c>
      <c r="H91" s="38">
        <v>2017</v>
      </c>
      <c r="I91" s="39" t="s">
        <v>731</v>
      </c>
      <c r="J91" s="38" t="s">
        <v>732</v>
      </c>
      <c r="K91" s="38" t="s">
        <v>733</v>
      </c>
      <c r="L91" s="40" t="s">
        <v>734</v>
      </c>
      <c r="M91" s="38" t="s">
        <v>735</v>
      </c>
      <c r="N91" s="31" t="s">
        <v>736</v>
      </c>
      <c r="O91" s="39">
        <v>3011</v>
      </c>
      <c r="P91" s="39">
        <v>450</v>
      </c>
      <c r="Q91" s="41">
        <v>44137</v>
      </c>
      <c r="R91" s="41">
        <v>45966</v>
      </c>
      <c r="S91" s="42">
        <v>2551500</v>
      </c>
      <c r="T91" s="43">
        <v>2.3E-2</v>
      </c>
      <c r="U91" s="42">
        <v>2296350</v>
      </c>
      <c r="V91" s="42">
        <v>52816.049999999996</v>
      </c>
      <c r="W91" s="44">
        <v>0</v>
      </c>
      <c r="X91" s="45">
        <v>52816</v>
      </c>
      <c r="Y91" s="46" t="s">
        <v>71</v>
      </c>
      <c r="Z91" s="39" t="s">
        <v>40</v>
      </c>
      <c r="AA91" s="31" t="s">
        <v>41</v>
      </c>
      <c r="AB91" s="31" t="s">
        <v>198</v>
      </c>
      <c r="AC91" s="37">
        <v>45596</v>
      </c>
      <c r="AD91" s="65"/>
      <c r="AE91" s="65" t="s">
        <v>2196</v>
      </c>
      <c r="AF91" s="66">
        <v>52816</v>
      </c>
      <c r="AG91" s="67">
        <f t="shared" si="1"/>
        <v>0</v>
      </c>
      <c r="AH91" s="65" t="s">
        <v>2376</v>
      </c>
    </row>
    <row r="92" spans="1:34">
      <c r="A92" s="32">
        <v>45566</v>
      </c>
      <c r="B92" s="33" t="s">
        <v>29</v>
      </c>
      <c r="C92" s="34" t="s">
        <v>737</v>
      </c>
      <c r="D92" s="35" t="s">
        <v>64</v>
      </c>
      <c r="E92" s="36">
        <v>45590</v>
      </c>
      <c r="F92" s="37">
        <v>45955</v>
      </c>
      <c r="G92" s="34" t="s">
        <v>574</v>
      </c>
      <c r="H92" s="38">
        <v>2020</v>
      </c>
      <c r="I92" s="39" t="s">
        <v>738</v>
      </c>
      <c r="J92" s="38" t="s">
        <v>739</v>
      </c>
      <c r="K92" s="38" t="s">
        <v>740</v>
      </c>
      <c r="L92" s="40" t="s">
        <v>741</v>
      </c>
      <c r="M92" s="38" t="s">
        <v>742</v>
      </c>
      <c r="N92" s="31" t="s">
        <v>743</v>
      </c>
      <c r="O92" s="39">
        <v>2013</v>
      </c>
      <c r="P92" s="39">
        <v>450</v>
      </c>
      <c r="Q92" s="41">
        <v>44138</v>
      </c>
      <c r="R92" s="41">
        <v>45955</v>
      </c>
      <c r="S92" s="42">
        <v>3593970</v>
      </c>
      <c r="T92" s="43">
        <v>0.02</v>
      </c>
      <c r="U92" s="42">
        <v>3234573</v>
      </c>
      <c r="V92" s="42">
        <v>64691.46</v>
      </c>
      <c r="W92" s="44">
        <v>0</v>
      </c>
      <c r="X92" s="45">
        <v>64691</v>
      </c>
      <c r="Y92" s="46" t="s">
        <v>71</v>
      </c>
      <c r="Z92" s="39" t="s">
        <v>40</v>
      </c>
      <c r="AA92" s="31" t="s">
        <v>41</v>
      </c>
      <c r="AB92" s="31" t="s">
        <v>198</v>
      </c>
      <c r="AC92" s="37">
        <v>45596</v>
      </c>
      <c r="AD92" s="65"/>
      <c r="AE92" s="65" t="s">
        <v>2197</v>
      </c>
      <c r="AF92" s="66">
        <v>64691</v>
      </c>
      <c r="AG92" s="67">
        <f t="shared" si="1"/>
        <v>0</v>
      </c>
      <c r="AH92" s="65" t="s">
        <v>2376</v>
      </c>
    </row>
    <row r="93" spans="1:34">
      <c r="A93" s="32">
        <v>45566</v>
      </c>
      <c r="B93" s="33" t="s">
        <v>29</v>
      </c>
      <c r="C93" s="34" t="s">
        <v>744</v>
      </c>
      <c r="D93" s="35" t="s">
        <v>64</v>
      </c>
      <c r="E93" s="36">
        <v>45591</v>
      </c>
      <c r="F93" s="37">
        <v>45956</v>
      </c>
      <c r="G93" s="34" t="s">
        <v>153</v>
      </c>
      <c r="H93" s="38">
        <v>2015</v>
      </c>
      <c r="I93" s="39" t="s">
        <v>745</v>
      </c>
      <c r="J93" s="38" t="s">
        <v>746</v>
      </c>
      <c r="K93" s="38" t="s">
        <v>747</v>
      </c>
      <c r="L93" s="40" t="s">
        <v>748</v>
      </c>
      <c r="M93" s="38" t="s">
        <v>749</v>
      </c>
      <c r="N93" s="31" t="s">
        <v>750</v>
      </c>
      <c r="O93" s="39">
        <v>1132</v>
      </c>
      <c r="P93" s="39">
        <v>477</v>
      </c>
      <c r="Q93" s="41">
        <v>44147</v>
      </c>
      <c r="R93" s="41">
        <v>46685</v>
      </c>
      <c r="S93" s="42">
        <v>765450</v>
      </c>
      <c r="T93" s="43">
        <v>2.3E-2</v>
      </c>
      <c r="U93" s="42">
        <v>688905</v>
      </c>
      <c r="V93" s="42">
        <v>15844.815000000001</v>
      </c>
      <c r="W93" s="44">
        <v>0</v>
      </c>
      <c r="X93" s="45">
        <v>15845</v>
      </c>
      <c r="Y93" s="46" t="s">
        <v>71</v>
      </c>
      <c r="Z93" s="39" t="s">
        <v>40</v>
      </c>
      <c r="AA93" s="31" t="s">
        <v>41</v>
      </c>
      <c r="AB93" s="31" t="s">
        <v>198</v>
      </c>
      <c r="AC93" s="37">
        <v>45596</v>
      </c>
      <c r="AD93" s="65"/>
      <c r="AE93" s="65" t="s">
        <v>2198</v>
      </c>
      <c r="AF93" s="66">
        <v>15845</v>
      </c>
      <c r="AG93" s="67">
        <f t="shared" si="1"/>
        <v>0</v>
      </c>
      <c r="AH93" s="65" t="s">
        <v>2376</v>
      </c>
    </row>
    <row r="94" spans="1:34">
      <c r="A94" s="32">
        <v>45566</v>
      </c>
      <c r="B94" s="33" t="s">
        <v>29</v>
      </c>
      <c r="C94" s="34" t="s">
        <v>751</v>
      </c>
      <c r="D94" s="35" t="s">
        <v>64</v>
      </c>
      <c r="E94" s="36">
        <v>45593</v>
      </c>
      <c r="F94" s="37">
        <v>45958</v>
      </c>
      <c r="G94" s="34" t="s">
        <v>752</v>
      </c>
      <c r="H94" s="38">
        <v>2017</v>
      </c>
      <c r="I94" s="39" t="s">
        <v>753</v>
      </c>
      <c r="J94" s="38" t="s">
        <v>754</v>
      </c>
      <c r="K94" s="38" t="s">
        <v>755</v>
      </c>
      <c r="L94" s="40" t="s">
        <v>756</v>
      </c>
      <c r="M94" s="38" t="s">
        <v>757</v>
      </c>
      <c r="N94" s="31" t="s">
        <v>758</v>
      </c>
      <c r="O94" s="39">
        <v>1143</v>
      </c>
      <c r="P94" s="39">
        <v>450</v>
      </c>
      <c r="Q94" s="41">
        <v>44139</v>
      </c>
      <c r="R94" s="41">
        <v>45966</v>
      </c>
      <c r="S94" s="42">
        <v>1822500</v>
      </c>
      <c r="T94" s="43">
        <v>2.3E-2</v>
      </c>
      <c r="U94" s="42">
        <v>1640250</v>
      </c>
      <c r="V94" s="42">
        <v>37725.75</v>
      </c>
      <c r="W94" s="44">
        <v>0</v>
      </c>
      <c r="X94" s="45">
        <v>37726</v>
      </c>
      <c r="Y94" s="46" t="s">
        <v>71</v>
      </c>
      <c r="Z94" s="39" t="s">
        <v>40</v>
      </c>
      <c r="AA94" s="31" t="s">
        <v>41</v>
      </c>
      <c r="AB94" s="31" t="s">
        <v>198</v>
      </c>
      <c r="AC94" s="37">
        <v>45596</v>
      </c>
      <c r="AD94" s="65"/>
      <c r="AE94" s="65" t="s">
        <v>2199</v>
      </c>
      <c r="AF94" s="66">
        <v>37726</v>
      </c>
      <c r="AG94" s="67">
        <f t="shared" si="1"/>
        <v>0</v>
      </c>
      <c r="AH94" s="65" t="s">
        <v>2376</v>
      </c>
    </row>
    <row r="95" spans="1:34">
      <c r="A95" s="32">
        <v>45566</v>
      </c>
      <c r="B95" s="33" t="s">
        <v>29</v>
      </c>
      <c r="C95" s="34" t="s">
        <v>759</v>
      </c>
      <c r="D95" s="35" t="s">
        <v>64</v>
      </c>
      <c r="E95" s="36">
        <v>45593</v>
      </c>
      <c r="F95" s="37">
        <v>45958</v>
      </c>
      <c r="G95" s="34" t="s">
        <v>523</v>
      </c>
      <c r="H95" s="38">
        <v>2015</v>
      </c>
      <c r="I95" s="39" t="s">
        <v>760</v>
      </c>
      <c r="J95" s="38" t="s">
        <v>761</v>
      </c>
      <c r="K95" s="38" t="s">
        <v>762</v>
      </c>
      <c r="L95" s="40" t="s">
        <v>763</v>
      </c>
      <c r="M95" s="38" t="s">
        <v>764</v>
      </c>
      <c r="N95" s="31" t="s">
        <v>765</v>
      </c>
      <c r="O95" s="39">
        <v>1080</v>
      </c>
      <c r="P95" s="39">
        <v>450</v>
      </c>
      <c r="Q95" s="41">
        <v>44140</v>
      </c>
      <c r="R95" s="41">
        <v>45966</v>
      </c>
      <c r="S95" s="42">
        <v>2988900</v>
      </c>
      <c r="T95" s="43">
        <v>1.7500000000000002E-2</v>
      </c>
      <c r="U95" s="42">
        <v>2690010</v>
      </c>
      <c r="V95" s="42">
        <v>47075.175000000003</v>
      </c>
      <c r="W95" s="44">
        <v>0</v>
      </c>
      <c r="X95" s="45">
        <v>47075</v>
      </c>
      <c r="Y95" s="46" t="s">
        <v>71</v>
      </c>
      <c r="Z95" s="39" t="s">
        <v>40</v>
      </c>
      <c r="AA95" s="31" t="s">
        <v>41</v>
      </c>
      <c r="AB95" s="31" t="s">
        <v>198</v>
      </c>
      <c r="AC95" s="37">
        <v>45596</v>
      </c>
      <c r="AD95" s="65"/>
      <c r="AE95" s="65" t="s">
        <v>2200</v>
      </c>
      <c r="AF95" s="66">
        <v>47075</v>
      </c>
      <c r="AG95" s="67">
        <f t="shared" si="1"/>
        <v>0</v>
      </c>
      <c r="AH95" s="65" t="s">
        <v>2376</v>
      </c>
    </row>
    <row r="96" spans="1:34">
      <c r="A96" s="32">
        <v>45566</v>
      </c>
      <c r="B96" s="33" t="s">
        <v>29</v>
      </c>
      <c r="C96" s="34" t="s">
        <v>766</v>
      </c>
      <c r="D96" s="35" t="s">
        <v>64</v>
      </c>
      <c r="E96" s="36">
        <v>45591</v>
      </c>
      <c r="F96" s="37">
        <v>45956</v>
      </c>
      <c r="G96" s="34" t="s">
        <v>767</v>
      </c>
      <c r="H96" s="38">
        <v>2022</v>
      </c>
      <c r="I96" s="39" t="s">
        <v>768</v>
      </c>
      <c r="J96" s="38" t="s">
        <v>769</v>
      </c>
      <c r="K96" s="38" t="s">
        <v>770</v>
      </c>
      <c r="L96" s="40" t="s">
        <v>771</v>
      </c>
      <c r="M96" s="38" t="s">
        <v>772</v>
      </c>
      <c r="N96" s="31" t="s">
        <v>773</v>
      </c>
      <c r="O96" s="39">
        <v>2046</v>
      </c>
      <c r="P96" s="39">
        <v>477</v>
      </c>
      <c r="Q96" s="41">
        <v>44865</v>
      </c>
      <c r="R96" s="41">
        <v>46696</v>
      </c>
      <c r="S96" s="42">
        <v>2070000</v>
      </c>
      <c r="T96" s="43">
        <v>1.9900000000000001E-2</v>
      </c>
      <c r="U96" s="42">
        <v>1863000</v>
      </c>
      <c r="V96" s="42">
        <v>37073.700000000004</v>
      </c>
      <c r="W96" s="44">
        <v>0</v>
      </c>
      <c r="X96" s="45">
        <v>37074</v>
      </c>
      <c r="Y96" s="46" t="s">
        <v>71</v>
      </c>
      <c r="Z96" s="39" t="s">
        <v>40</v>
      </c>
      <c r="AA96" s="31" t="s">
        <v>41</v>
      </c>
      <c r="AB96" s="31" t="s">
        <v>72</v>
      </c>
      <c r="AC96" s="37">
        <v>45596</v>
      </c>
      <c r="AD96" s="65"/>
      <c r="AE96" s="65" t="s">
        <v>2201</v>
      </c>
      <c r="AF96" s="66">
        <v>37074</v>
      </c>
      <c r="AG96" s="67">
        <f t="shared" si="1"/>
        <v>0</v>
      </c>
      <c r="AH96" s="65" t="s">
        <v>2376</v>
      </c>
    </row>
    <row r="97" spans="1:34">
      <c r="A97" s="32">
        <v>45566</v>
      </c>
      <c r="B97" s="33" t="s">
        <v>29</v>
      </c>
      <c r="C97" s="34" t="s">
        <v>774</v>
      </c>
      <c r="D97" s="35" t="s">
        <v>64</v>
      </c>
      <c r="E97" s="36">
        <v>45593</v>
      </c>
      <c r="F97" s="37">
        <v>45958</v>
      </c>
      <c r="G97" s="34" t="s">
        <v>775</v>
      </c>
      <c r="H97" s="38">
        <v>2019</v>
      </c>
      <c r="I97" s="39" t="s">
        <v>776</v>
      </c>
      <c r="J97" s="38" t="s">
        <v>777</v>
      </c>
      <c r="K97" s="38" t="s">
        <v>778</v>
      </c>
      <c r="L97" s="40" t="s">
        <v>327</v>
      </c>
      <c r="M97" s="38" t="s">
        <v>779</v>
      </c>
      <c r="N97" s="31" t="s">
        <v>780</v>
      </c>
      <c r="O97" s="39">
        <v>3091</v>
      </c>
      <c r="P97" s="39">
        <v>450</v>
      </c>
      <c r="Q97" s="41">
        <v>44146</v>
      </c>
      <c r="R97" s="41">
        <v>45966</v>
      </c>
      <c r="S97" s="42">
        <v>1515591</v>
      </c>
      <c r="T97" s="43">
        <v>2.3E-2</v>
      </c>
      <c r="U97" s="42">
        <v>1364031.9</v>
      </c>
      <c r="V97" s="42">
        <v>31372.733699999997</v>
      </c>
      <c r="W97" s="44">
        <v>0</v>
      </c>
      <c r="X97" s="45">
        <v>31373</v>
      </c>
      <c r="Y97" s="46" t="s">
        <v>71</v>
      </c>
      <c r="Z97" s="39" t="s">
        <v>40</v>
      </c>
      <c r="AA97" s="31" t="s">
        <v>41</v>
      </c>
      <c r="AB97" s="31" t="s">
        <v>198</v>
      </c>
      <c r="AC97" s="37">
        <v>45596</v>
      </c>
      <c r="AD97" s="65"/>
      <c r="AE97" s="65" t="s">
        <v>2202</v>
      </c>
      <c r="AF97" s="66">
        <v>31373</v>
      </c>
      <c r="AG97" s="67">
        <f t="shared" si="1"/>
        <v>0</v>
      </c>
      <c r="AH97" s="65" t="s">
        <v>2376</v>
      </c>
    </row>
    <row r="98" spans="1:34">
      <c r="A98" s="32">
        <v>45566</v>
      </c>
      <c r="B98" s="33" t="s">
        <v>29</v>
      </c>
      <c r="C98" s="34" t="s">
        <v>781</v>
      </c>
      <c r="D98" s="35" t="s">
        <v>64</v>
      </c>
      <c r="E98" s="36">
        <v>45593</v>
      </c>
      <c r="F98" s="37">
        <v>45958</v>
      </c>
      <c r="G98" s="34" t="s">
        <v>782</v>
      </c>
      <c r="H98" s="38">
        <v>2020</v>
      </c>
      <c r="I98" s="39" t="s">
        <v>783</v>
      </c>
      <c r="J98" s="38" t="s">
        <v>784</v>
      </c>
      <c r="K98" s="38" t="s">
        <v>785</v>
      </c>
      <c r="L98" s="40" t="s">
        <v>786</v>
      </c>
      <c r="M98" s="38" t="s">
        <v>787</v>
      </c>
      <c r="N98" s="31" t="s">
        <v>788</v>
      </c>
      <c r="O98" s="39">
        <v>2070</v>
      </c>
      <c r="P98" s="39">
        <v>450</v>
      </c>
      <c r="Q98" s="41">
        <v>44139</v>
      </c>
      <c r="R98" s="41">
        <v>45966</v>
      </c>
      <c r="S98" s="42">
        <v>473850</v>
      </c>
      <c r="T98" s="43">
        <v>2.3E-2</v>
      </c>
      <c r="U98" s="42">
        <v>426465</v>
      </c>
      <c r="V98" s="42">
        <v>9808.6949999999997</v>
      </c>
      <c r="W98" s="44">
        <v>0</v>
      </c>
      <c r="X98" s="45">
        <v>9809</v>
      </c>
      <c r="Y98" s="46" t="s">
        <v>71</v>
      </c>
      <c r="Z98" s="39" t="s">
        <v>40</v>
      </c>
      <c r="AA98" s="31" t="s">
        <v>41</v>
      </c>
      <c r="AB98" s="31" t="s">
        <v>198</v>
      </c>
      <c r="AC98" s="37">
        <v>45596</v>
      </c>
      <c r="AD98" s="65"/>
      <c r="AE98" s="65" t="s">
        <v>2203</v>
      </c>
      <c r="AF98" s="66">
        <v>9809</v>
      </c>
      <c r="AG98" s="67">
        <f t="shared" si="1"/>
        <v>0</v>
      </c>
      <c r="AH98" s="65" t="s">
        <v>2376</v>
      </c>
    </row>
    <row r="99" spans="1:34">
      <c r="A99" s="32">
        <v>45566</v>
      </c>
      <c r="B99" s="33" t="s">
        <v>29</v>
      </c>
      <c r="C99" s="34" t="s">
        <v>789</v>
      </c>
      <c r="D99" s="35" t="s">
        <v>64</v>
      </c>
      <c r="E99" s="36">
        <v>45593</v>
      </c>
      <c r="F99" s="37">
        <v>45958</v>
      </c>
      <c r="G99" s="34" t="s">
        <v>215</v>
      </c>
      <c r="H99" s="38">
        <v>2017</v>
      </c>
      <c r="I99" s="39" t="s">
        <v>790</v>
      </c>
      <c r="J99" s="38" t="s">
        <v>791</v>
      </c>
      <c r="K99" s="38" t="s">
        <v>792</v>
      </c>
      <c r="L99" s="40" t="s">
        <v>793</v>
      </c>
      <c r="M99" s="38" t="s">
        <v>794</v>
      </c>
      <c r="N99" s="31" t="s">
        <v>795</v>
      </c>
      <c r="O99" s="39">
        <v>1062</v>
      </c>
      <c r="P99" s="39">
        <v>450</v>
      </c>
      <c r="Q99" s="41">
        <v>44181</v>
      </c>
      <c r="R99" s="41">
        <v>46685</v>
      </c>
      <c r="S99" s="42">
        <v>780030</v>
      </c>
      <c r="T99" s="43">
        <v>2.3E-2</v>
      </c>
      <c r="U99" s="42">
        <v>702027</v>
      </c>
      <c r="V99" s="42">
        <v>16146.620999999999</v>
      </c>
      <c r="W99" s="44">
        <v>0</v>
      </c>
      <c r="X99" s="45">
        <v>16147</v>
      </c>
      <c r="Y99" s="46" t="s">
        <v>71</v>
      </c>
      <c r="Z99" s="39" t="s">
        <v>40</v>
      </c>
      <c r="AA99" s="31" t="s">
        <v>41</v>
      </c>
      <c r="AB99" s="31" t="s">
        <v>198</v>
      </c>
      <c r="AC99" s="37">
        <v>45596</v>
      </c>
      <c r="AD99" s="65"/>
      <c r="AE99" s="65" t="s">
        <v>2204</v>
      </c>
      <c r="AF99" s="66">
        <v>16147</v>
      </c>
      <c r="AG99" s="67">
        <f t="shared" si="1"/>
        <v>0</v>
      </c>
      <c r="AH99" s="65" t="s">
        <v>2376</v>
      </c>
    </row>
    <row r="100" spans="1:34">
      <c r="A100" s="32">
        <v>45566</v>
      </c>
      <c r="B100" s="33" t="s">
        <v>29</v>
      </c>
      <c r="C100" s="34" t="s">
        <v>796</v>
      </c>
      <c r="D100" s="35" t="s">
        <v>64</v>
      </c>
      <c r="E100" s="36">
        <v>45593</v>
      </c>
      <c r="F100" s="37">
        <v>45958</v>
      </c>
      <c r="G100" s="34" t="s">
        <v>797</v>
      </c>
      <c r="H100" s="38">
        <v>2019</v>
      </c>
      <c r="I100" s="39" t="s">
        <v>798</v>
      </c>
      <c r="J100" s="38" t="s">
        <v>799</v>
      </c>
      <c r="K100" s="38" t="s">
        <v>800</v>
      </c>
      <c r="L100" s="40" t="s">
        <v>801</v>
      </c>
      <c r="M100" s="38" t="s">
        <v>802</v>
      </c>
      <c r="N100" s="31" t="s">
        <v>803</v>
      </c>
      <c r="O100" s="39">
        <v>2091</v>
      </c>
      <c r="P100" s="39">
        <v>450</v>
      </c>
      <c r="Q100" s="41">
        <v>44141</v>
      </c>
      <c r="R100" s="41">
        <v>46331</v>
      </c>
      <c r="S100" s="42">
        <v>2028807</v>
      </c>
      <c r="T100" s="43">
        <v>2.3E-2</v>
      </c>
      <c r="U100" s="42">
        <v>1825926.3</v>
      </c>
      <c r="V100" s="42">
        <v>41996.304900000003</v>
      </c>
      <c r="W100" s="44">
        <v>0</v>
      </c>
      <c r="X100" s="45">
        <v>41996</v>
      </c>
      <c r="Y100" s="46" t="s">
        <v>71</v>
      </c>
      <c r="Z100" s="39" t="s">
        <v>40</v>
      </c>
      <c r="AA100" s="31" t="s">
        <v>41</v>
      </c>
      <c r="AB100" s="31" t="s">
        <v>198</v>
      </c>
      <c r="AC100" s="37">
        <v>45596</v>
      </c>
      <c r="AD100" s="65"/>
      <c r="AE100" s="65" t="s">
        <v>2205</v>
      </c>
      <c r="AF100" s="66">
        <v>41996</v>
      </c>
      <c r="AG100" s="67">
        <f t="shared" si="1"/>
        <v>0</v>
      </c>
      <c r="AH100" s="65" t="s">
        <v>2376</v>
      </c>
    </row>
    <row r="101" spans="1:34">
      <c r="A101" s="32">
        <v>45566</v>
      </c>
      <c r="B101" s="33" t="s">
        <v>29</v>
      </c>
      <c r="C101" s="34" t="s">
        <v>804</v>
      </c>
      <c r="D101" s="35" t="s">
        <v>64</v>
      </c>
      <c r="E101" s="36">
        <v>45595</v>
      </c>
      <c r="F101" s="37">
        <v>45960</v>
      </c>
      <c r="G101" s="34" t="s">
        <v>153</v>
      </c>
      <c r="H101" s="38">
        <v>2017</v>
      </c>
      <c r="I101" s="39" t="s">
        <v>805</v>
      </c>
      <c r="J101" s="38" t="s">
        <v>806</v>
      </c>
      <c r="K101" s="38" t="s">
        <v>807</v>
      </c>
      <c r="L101" s="40" t="s">
        <v>808</v>
      </c>
      <c r="M101" s="38" t="s">
        <v>809</v>
      </c>
      <c r="N101" s="31" t="s">
        <v>810</v>
      </c>
      <c r="O101" s="39">
        <v>1132</v>
      </c>
      <c r="P101" s="39">
        <v>477</v>
      </c>
      <c r="Q101" s="41">
        <v>44141</v>
      </c>
      <c r="R101" s="41">
        <v>45966</v>
      </c>
      <c r="S101" s="42">
        <v>911250</v>
      </c>
      <c r="T101" s="43">
        <v>2.3E-2</v>
      </c>
      <c r="U101" s="42">
        <v>820125</v>
      </c>
      <c r="V101" s="42">
        <v>18862.875</v>
      </c>
      <c r="W101" s="44">
        <v>0</v>
      </c>
      <c r="X101" s="45">
        <v>18863</v>
      </c>
      <c r="Y101" s="46" t="s">
        <v>71</v>
      </c>
      <c r="Z101" s="39" t="s">
        <v>40</v>
      </c>
      <c r="AA101" s="31" t="s">
        <v>41</v>
      </c>
      <c r="AB101" s="31" t="s">
        <v>198</v>
      </c>
      <c r="AC101" s="37">
        <v>45596</v>
      </c>
      <c r="AD101" s="65"/>
      <c r="AE101" s="65" t="s">
        <v>2206</v>
      </c>
      <c r="AF101" s="66">
        <v>18863</v>
      </c>
      <c r="AG101" s="67">
        <f t="shared" si="1"/>
        <v>0</v>
      </c>
      <c r="AH101" s="65" t="s">
        <v>2376</v>
      </c>
    </row>
    <row r="102" spans="1:34">
      <c r="A102" s="32">
        <v>45566</v>
      </c>
      <c r="B102" s="33" t="s">
        <v>29</v>
      </c>
      <c r="C102" s="34" t="s">
        <v>811</v>
      </c>
      <c r="D102" s="35" t="s">
        <v>64</v>
      </c>
      <c r="E102" s="36">
        <v>45570</v>
      </c>
      <c r="F102" s="37">
        <v>45935</v>
      </c>
      <c r="G102" s="34" t="s">
        <v>254</v>
      </c>
      <c r="H102" s="38">
        <v>2021</v>
      </c>
      <c r="I102" s="39" t="s">
        <v>812</v>
      </c>
      <c r="J102" s="38" t="s">
        <v>813</v>
      </c>
      <c r="K102" s="38" t="s">
        <v>814</v>
      </c>
      <c r="L102" s="40" t="s">
        <v>815</v>
      </c>
      <c r="M102" s="38" t="s">
        <v>816</v>
      </c>
      <c r="N102" s="31" t="s">
        <v>817</v>
      </c>
      <c r="O102" s="39">
        <v>2002</v>
      </c>
      <c r="P102" s="39">
        <v>477</v>
      </c>
      <c r="Q102" s="41">
        <v>44475</v>
      </c>
      <c r="R102" s="41">
        <v>46300</v>
      </c>
      <c r="S102" s="42">
        <v>2375730</v>
      </c>
      <c r="T102" s="43">
        <v>1.9900000000000001E-2</v>
      </c>
      <c r="U102" s="42">
        <v>2138157</v>
      </c>
      <c r="V102" s="42">
        <v>42549.3243</v>
      </c>
      <c r="W102" s="44">
        <v>0</v>
      </c>
      <c r="X102" s="45">
        <v>42549</v>
      </c>
      <c r="Y102" s="46" t="s">
        <v>71</v>
      </c>
      <c r="Z102" s="39" t="s">
        <v>40</v>
      </c>
      <c r="AA102" s="31" t="s">
        <v>41</v>
      </c>
      <c r="AB102" s="31" t="s">
        <v>198</v>
      </c>
      <c r="AC102" s="37">
        <v>45596</v>
      </c>
      <c r="AD102" s="65"/>
      <c r="AE102" s="65" t="s">
        <v>2207</v>
      </c>
      <c r="AF102" s="66">
        <v>42549</v>
      </c>
      <c r="AG102" s="67">
        <f t="shared" si="1"/>
        <v>0</v>
      </c>
      <c r="AH102" s="65" t="s">
        <v>2376</v>
      </c>
    </row>
    <row r="103" spans="1:34">
      <c r="A103" s="32">
        <v>45566</v>
      </c>
      <c r="B103" s="33" t="s">
        <v>29</v>
      </c>
      <c r="C103" s="34" t="s">
        <v>818</v>
      </c>
      <c r="D103" s="35" t="s">
        <v>64</v>
      </c>
      <c r="E103" s="36">
        <v>45591</v>
      </c>
      <c r="F103" s="37">
        <v>45956</v>
      </c>
      <c r="G103" s="34" t="s">
        <v>395</v>
      </c>
      <c r="H103" s="38">
        <v>2021</v>
      </c>
      <c r="I103" s="39" t="s">
        <v>819</v>
      </c>
      <c r="J103" s="38" t="s">
        <v>820</v>
      </c>
      <c r="K103" s="38" t="s">
        <v>821</v>
      </c>
      <c r="L103" s="40" t="s">
        <v>822</v>
      </c>
      <c r="M103" s="38" t="s">
        <v>823</v>
      </c>
      <c r="N103" s="31" t="s">
        <v>824</v>
      </c>
      <c r="O103" s="39">
        <v>1159</v>
      </c>
      <c r="P103" s="39">
        <v>450</v>
      </c>
      <c r="Q103" s="41">
        <v>44861</v>
      </c>
      <c r="R103" s="41">
        <v>46665</v>
      </c>
      <c r="S103" s="42">
        <v>1935000</v>
      </c>
      <c r="T103" s="43">
        <v>1.9900000000000001E-2</v>
      </c>
      <c r="U103" s="42">
        <v>1741500</v>
      </c>
      <c r="V103" s="42">
        <v>34655.85</v>
      </c>
      <c r="W103" s="44">
        <v>0</v>
      </c>
      <c r="X103" s="45">
        <v>34656</v>
      </c>
      <c r="Y103" s="46" t="s">
        <v>71</v>
      </c>
      <c r="Z103" s="39" t="s">
        <v>40</v>
      </c>
      <c r="AA103" s="31" t="s">
        <v>41</v>
      </c>
      <c r="AB103" s="31" t="s">
        <v>72</v>
      </c>
      <c r="AC103" s="37">
        <v>45596</v>
      </c>
      <c r="AD103" s="65"/>
      <c r="AE103" s="65" t="s">
        <v>2208</v>
      </c>
      <c r="AF103" s="66">
        <v>34656</v>
      </c>
      <c r="AG103" s="67">
        <f t="shared" si="1"/>
        <v>0</v>
      </c>
      <c r="AH103" s="65" t="s">
        <v>2376</v>
      </c>
    </row>
    <row r="104" spans="1:34">
      <c r="A104" s="32">
        <v>45566</v>
      </c>
      <c r="B104" s="33" t="s">
        <v>29</v>
      </c>
      <c r="C104" s="34" t="s">
        <v>825</v>
      </c>
      <c r="D104" s="35" t="s">
        <v>64</v>
      </c>
      <c r="E104" s="36">
        <v>45586</v>
      </c>
      <c r="F104" s="37">
        <v>45951</v>
      </c>
      <c r="G104" s="34" t="s">
        <v>419</v>
      </c>
      <c r="H104" s="38">
        <v>2021</v>
      </c>
      <c r="I104" s="39" t="s">
        <v>826</v>
      </c>
      <c r="J104" s="38" t="s">
        <v>827</v>
      </c>
      <c r="K104" s="38" t="s">
        <v>828</v>
      </c>
      <c r="L104" s="40" t="s">
        <v>829</v>
      </c>
      <c r="M104" s="38" t="s">
        <v>830</v>
      </c>
      <c r="N104" s="31" t="s">
        <v>831</v>
      </c>
      <c r="O104" s="39">
        <v>3099</v>
      </c>
      <c r="P104" s="39">
        <v>477</v>
      </c>
      <c r="Q104" s="41">
        <v>44491</v>
      </c>
      <c r="R104" s="41">
        <v>45955</v>
      </c>
      <c r="S104" s="42">
        <v>901530</v>
      </c>
      <c r="T104" s="43">
        <v>1.9900000000000001E-2</v>
      </c>
      <c r="U104" s="42">
        <v>811377</v>
      </c>
      <c r="V104" s="42">
        <v>16146.402300000002</v>
      </c>
      <c r="W104" s="44">
        <v>0</v>
      </c>
      <c r="X104" s="45">
        <v>16146</v>
      </c>
      <c r="Y104" s="46" t="s">
        <v>71</v>
      </c>
      <c r="Z104" s="39" t="s">
        <v>40</v>
      </c>
      <c r="AA104" s="31" t="s">
        <v>41</v>
      </c>
      <c r="AB104" s="31" t="s">
        <v>198</v>
      </c>
      <c r="AC104" s="37">
        <v>45596</v>
      </c>
      <c r="AD104" s="65"/>
      <c r="AE104" s="65" t="s">
        <v>2209</v>
      </c>
      <c r="AF104" s="66">
        <v>16146</v>
      </c>
      <c r="AG104" s="67">
        <f t="shared" si="1"/>
        <v>0</v>
      </c>
      <c r="AH104" s="65" t="s">
        <v>2376</v>
      </c>
    </row>
    <row r="105" spans="1:34">
      <c r="A105" s="32">
        <v>45566</v>
      </c>
      <c r="B105" s="33" t="s">
        <v>29</v>
      </c>
      <c r="C105" s="34" t="s">
        <v>832</v>
      </c>
      <c r="D105" s="35" t="s">
        <v>64</v>
      </c>
      <c r="E105" s="36">
        <v>45586</v>
      </c>
      <c r="F105" s="37">
        <v>45951</v>
      </c>
      <c r="G105" s="34" t="s">
        <v>293</v>
      </c>
      <c r="H105" s="38">
        <v>2021</v>
      </c>
      <c r="I105" s="39" t="s">
        <v>833</v>
      </c>
      <c r="J105" s="38" t="s">
        <v>834</v>
      </c>
      <c r="K105" s="38" t="s">
        <v>835</v>
      </c>
      <c r="L105" s="40" t="s">
        <v>836</v>
      </c>
      <c r="M105" s="38" t="s">
        <v>837</v>
      </c>
      <c r="N105" s="31" t="s">
        <v>838</v>
      </c>
      <c r="O105" s="39">
        <v>2033</v>
      </c>
      <c r="P105" s="39">
        <v>450</v>
      </c>
      <c r="Q105" s="41">
        <v>44491</v>
      </c>
      <c r="R105" s="41">
        <v>46320</v>
      </c>
      <c r="S105" s="42">
        <v>2189430</v>
      </c>
      <c r="T105" s="43">
        <v>2.2499999999999999E-2</v>
      </c>
      <c r="U105" s="42">
        <v>1970487</v>
      </c>
      <c r="V105" s="42">
        <v>44335.957499999997</v>
      </c>
      <c r="W105" s="44">
        <v>0</v>
      </c>
      <c r="X105" s="45">
        <v>44336</v>
      </c>
      <c r="Y105" s="46" t="s">
        <v>71</v>
      </c>
      <c r="Z105" s="39" t="s">
        <v>40</v>
      </c>
      <c r="AA105" s="31" t="s">
        <v>41</v>
      </c>
      <c r="AB105" s="31" t="s">
        <v>198</v>
      </c>
      <c r="AC105" s="37">
        <v>45596</v>
      </c>
      <c r="AD105" s="65"/>
      <c r="AE105" s="65" t="s">
        <v>2210</v>
      </c>
      <c r="AF105" s="66">
        <v>44336</v>
      </c>
      <c r="AG105" s="67">
        <f t="shared" si="1"/>
        <v>0</v>
      </c>
      <c r="AH105" s="65" t="s">
        <v>2376</v>
      </c>
    </row>
    <row r="106" spans="1:34">
      <c r="A106" s="32">
        <v>45566</v>
      </c>
      <c r="B106" s="33" t="s">
        <v>29</v>
      </c>
      <c r="C106" s="34" t="s">
        <v>839</v>
      </c>
      <c r="D106" s="35" t="s">
        <v>64</v>
      </c>
      <c r="E106" s="36">
        <v>45586</v>
      </c>
      <c r="F106" s="37">
        <v>45951</v>
      </c>
      <c r="G106" s="34" t="s">
        <v>215</v>
      </c>
      <c r="H106" s="38">
        <v>2021</v>
      </c>
      <c r="I106" s="39" t="s">
        <v>840</v>
      </c>
      <c r="J106" s="38" t="s">
        <v>841</v>
      </c>
      <c r="K106" s="38" t="s">
        <v>842</v>
      </c>
      <c r="L106" s="40" t="s">
        <v>843</v>
      </c>
      <c r="M106" s="38" t="s">
        <v>844</v>
      </c>
      <c r="N106" s="31" t="s">
        <v>845</v>
      </c>
      <c r="O106" s="39">
        <v>2015</v>
      </c>
      <c r="P106" s="39">
        <v>477</v>
      </c>
      <c r="Q106" s="41">
        <v>44495</v>
      </c>
      <c r="R106" s="41">
        <v>46320</v>
      </c>
      <c r="S106" s="42">
        <v>1304100</v>
      </c>
      <c r="T106" s="43">
        <v>2.2499999999999999E-2</v>
      </c>
      <c r="U106" s="42">
        <v>1173690</v>
      </c>
      <c r="V106" s="42">
        <v>26408.024999999998</v>
      </c>
      <c r="W106" s="44">
        <v>0</v>
      </c>
      <c r="X106" s="45">
        <v>26408</v>
      </c>
      <c r="Y106" s="46" t="s">
        <v>71</v>
      </c>
      <c r="Z106" s="39" t="s">
        <v>40</v>
      </c>
      <c r="AA106" s="31" t="s">
        <v>41</v>
      </c>
      <c r="AB106" s="31" t="s">
        <v>198</v>
      </c>
      <c r="AC106" s="37">
        <v>45596</v>
      </c>
      <c r="AD106" s="65"/>
      <c r="AE106" s="65" t="s">
        <v>2211</v>
      </c>
      <c r="AF106" s="66">
        <v>26408</v>
      </c>
      <c r="AG106" s="67">
        <f t="shared" si="1"/>
        <v>0</v>
      </c>
      <c r="AH106" s="65" t="s">
        <v>2376</v>
      </c>
    </row>
    <row r="107" spans="1:34">
      <c r="A107" s="32">
        <v>45566</v>
      </c>
      <c r="B107" s="33" t="s">
        <v>29</v>
      </c>
      <c r="C107" s="34" t="s">
        <v>846</v>
      </c>
      <c r="D107" s="35" t="s">
        <v>64</v>
      </c>
      <c r="E107" s="36">
        <v>45586</v>
      </c>
      <c r="F107" s="37">
        <v>45951</v>
      </c>
      <c r="G107" s="34" t="s">
        <v>366</v>
      </c>
      <c r="H107" s="38">
        <v>2021</v>
      </c>
      <c r="I107" s="39" t="s">
        <v>847</v>
      </c>
      <c r="J107" s="38" t="s">
        <v>848</v>
      </c>
      <c r="K107" s="38" t="s">
        <v>849</v>
      </c>
      <c r="L107" s="40" t="s">
        <v>850</v>
      </c>
      <c r="M107" s="38" t="s">
        <v>851</v>
      </c>
      <c r="N107" s="31" t="s">
        <v>852</v>
      </c>
      <c r="O107" s="39">
        <v>1148</v>
      </c>
      <c r="P107" s="39">
        <v>450</v>
      </c>
      <c r="Q107" s="41">
        <v>44494</v>
      </c>
      <c r="R107" s="41">
        <v>47047</v>
      </c>
      <c r="S107" s="42">
        <v>2636550</v>
      </c>
      <c r="T107" s="43">
        <v>1.9900000000000001E-2</v>
      </c>
      <c r="U107" s="42">
        <v>2372895</v>
      </c>
      <c r="V107" s="42">
        <v>47220.610500000003</v>
      </c>
      <c r="W107" s="44">
        <v>0</v>
      </c>
      <c r="X107" s="45">
        <v>47221</v>
      </c>
      <c r="Y107" s="46" t="s">
        <v>71</v>
      </c>
      <c r="Z107" s="39" t="s">
        <v>40</v>
      </c>
      <c r="AA107" s="31" t="s">
        <v>41</v>
      </c>
      <c r="AB107" s="31" t="s">
        <v>198</v>
      </c>
      <c r="AC107" s="37">
        <v>45596</v>
      </c>
      <c r="AD107" s="65"/>
      <c r="AE107" s="65" t="s">
        <v>2212</v>
      </c>
      <c r="AF107" s="66">
        <v>47221</v>
      </c>
      <c r="AG107" s="67">
        <f t="shared" si="1"/>
        <v>0</v>
      </c>
      <c r="AH107" s="65" t="s">
        <v>2376</v>
      </c>
    </row>
    <row r="108" spans="1:34">
      <c r="A108" s="32">
        <v>45566</v>
      </c>
      <c r="B108" s="33" t="s">
        <v>29</v>
      </c>
      <c r="C108" s="34" t="s">
        <v>853</v>
      </c>
      <c r="D108" s="35" t="s">
        <v>64</v>
      </c>
      <c r="E108" s="36">
        <v>45586</v>
      </c>
      <c r="F108" s="37">
        <v>45951</v>
      </c>
      <c r="G108" s="34" t="s">
        <v>633</v>
      </c>
      <c r="H108" s="38">
        <v>2018</v>
      </c>
      <c r="I108" s="39" t="s">
        <v>854</v>
      </c>
      <c r="J108" s="38" t="s">
        <v>855</v>
      </c>
      <c r="K108" s="38" t="s">
        <v>856</v>
      </c>
      <c r="L108" s="40" t="s">
        <v>857</v>
      </c>
      <c r="M108" s="38" t="s">
        <v>858</v>
      </c>
      <c r="N108" s="31" t="s">
        <v>859</v>
      </c>
      <c r="O108" s="39">
        <v>1147</v>
      </c>
      <c r="P108" s="39">
        <v>477</v>
      </c>
      <c r="Q108" s="41">
        <v>44495</v>
      </c>
      <c r="R108" s="41">
        <v>46320</v>
      </c>
      <c r="S108" s="42">
        <v>1944000</v>
      </c>
      <c r="T108" s="43">
        <v>1.7999999999999999E-2</v>
      </c>
      <c r="U108" s="42">
        <v>1749600</v>
      </c>
      <c r="V108" s="42">
        <v>31492.799999999999</v>
      </c>
      <c r="W108" s="44">
        <v>0</v>
      </c>
      <c r="X108" s="45">
        <v>31493</v>
      </c>
      <c r="Y108" s="46" t="s">
        <v>71</v>
      </c>
      <c r="Z108" s="39" t="s">
        <v>40</v>
      </c>
      <c r="AA108" s="31" t="s">
        <v>41</v>
      </c>
      <c r="AB108" s="31" t="s">
        <v>198</v>
      </c>
      <c r="AC108" s="37">
        <v>45596</v>
      </c>
      <c r="AD108" s="65"/>
      <c r="AE108" s="65" t="s">
        <v>2213</v>
      </c>
      <c r="AF108" s="66">
        <v>31493</v>
      </c>
      <c r="AG108" s="67">
        <f t="shared" si="1"/>
        <v>0</v>
      </c>
      <c r="AH108" s="65" t="s">
        <v>2376</v>
      </c>
    </row>
    <row r="109" spans="1:34">
      <c r="A109" s="32">
        <v>45566</v>
      </c>
      <c r="B109" s="33" t="s">
        <v>29</v>
      </c>
      <c r="C109" s="34" t="s">
        <v>860</v>
      </c>
      <c r="D109" s="35" t="s">
        <v>64</v>
      </c>
      <c r="E109" s="36">
        <v>45586</v>
      </c>
      <c r="F109" s="37">
        <v>45951</v>
      </c>
      <c r="G109" s="34" t="s">
        <v>293</v>
      </c>
      <c r="H109" s="38">
        <v>2021</v>
      </c>
      <c r="I109" s="39" t="s">
        <v>861</v>
      </c>
      <c r="J109" s="38" t="s">
        <v>862</v>
      </c>
      <c r="K109" s="38" t="s">
        <v>863</v>
      </c>
      <c r="L109" s="40" t="s">
        <v>864</v>
      </c>
      <c r="M109" s="38" t="s">
        <v>865</v>
      </c>
      <c r="N109" s="31" t="s">
        <v>866</v>
      </c>
      <c r="O109" s="39">
        <v>2002</v>
      </c>
      <c r="P109" s="39">
        <v>477</v>
      </c>
      <c r="Q109" s="41">
        <v>44495</v>
      </c>
      <c r="R109" s="41">
        <v>46320</v>
      </c>
      <c r="S109" s="42">
        <v>2189430</v>
      </c>
      <c r="T109" s="43">
        <v>2.2499999999999999E-2</v>
      </c>
      <c r="U109" s="42">
        <v>1970487</v>
      </c>
      <c r="V109" s="42">
        <v>44335.957499999997</v>
      </c>
      <c r="W109" s="44">
        <v>0</v>
      </c>
      <c r="X109" s="45">
        <v>44336</v>
      </c>
      <c r="Y109" s="46" t="s">
        <v>71</v>
      </c>
      <c r="Z109" s="39" t="s">
        <v>40</v>
      </c>
      <c r="AA109" s="31" t="s">
        <v>41</v>
      </c>
      <c r="AB109" s="31" t="s">
        <v>198</v>
      </c>
      <c r="AC109" s="37">
        <v>45596</v>
      </c>
      <c r="AD109" s="65"/>
      <c r="AE109" s="65" t="s">
        <v>2214</v>
      </c>
      <c r="AF109" s="66">
        <v>44336</v>
      </c>
      <c r="AG109" s="67">
        <f t="shared" si="1"/>
        <v>0</v>
      </c>
      <c r="AH109" s="65" t="s">
        <v>2376</v>
      </c>
    </row>
    <row r="110" spans="1:34">
      <c r="A110" s="32">
        <v>45566</v>
      </c>
      <c r="B110" s="33" t="s">
        <v>29</v>
      </c>
      <c r="C110" s="34" t="s">
        <v>867</v>
      </c>
      <c r="D110" s="35" t="s">
        <v>64</v>
      </c>
      <c r="E110" s="36">
        <v>45589</v>
      </c>
      <c r="F110" s="37">
        <v>45954</v>
      </c>
      <c r="G110" s="34" t="s">
        <v>395</v>
      </c>
      <c r="H110" s="38">
        <v>2021</v>
      </c>
      <c r="I110" s="39" t="s">
        <v>868</v>
      </c>
      <c r="J110" s="38" t="s">
        <v>869</v>
      </c>
      <c r="K110" s="38" t="s">
        <v>870</v>
      </c>
      <c r="L110" s="40" t="s">
        <v>871</v>
      </c>
      <c r="M110" s="38" t="s">
        <v>872</v>
      </c>
      <c r="N110" s="31" t="s">
        <v>873</v>
      </c>
      <c r="O110" s="39">
        <v>1032</v>
      </c>
      <c r="P110" s="39">
        <v>450</v>
      </c>
      <c r="Q110" s="41">
        <v>44495</v>
      </c>
      <c r="R110" s="41">
        <v>46320</v>
      </c>
      <c r="S110" s="42">
        <v>1232010</v>
      </c>
      <c r="T110" s="43">
        <v>1.9900000000000001E-2</v>
      </c>
      <c r="U110" s="42">
        <v>1108809</v>
      </c>
      <c r="V110" s="42">
        <v>22065.2991</v>
      </c>
      <c r="W110" s="44">
        <v>0</v>
      </c>
      <c r="X110" s="45">
        <v>22065</v>
      </c>
      <c r="Y110" s="46" t="s">
        <v>71</v>
      </c>
      <c r="Z110" s="39" t="s">
        <v>40</v>
      </c>
      <c r="AA110" s="31" t="s">
        <v>41</v>
      </c>
      <c r="AB110" s="31" t="s">
        <v>198</v>
      </c>
      <c r="AC110" s="37">
        <v>45596</v>
      </c>
      <c r="AD110" s="65"/>
      <c r="AE110" s="65" t="s">
        <v>2215</v>
      </c>
      <c r="AF110" s="66">
        <v>22065</v>
      </c>
      <c r="AG110" s="67">
        <f t="shared" si="1"/>
        <v>0</v>
      </c>
      <c r="AH110" s="65" t="s">
        <v>2376</v>
      </c>
    </row>
    <row r="111" spans="1:34">
      <c r="A111" s="32">
        <v>45566</v>
      </c>
      <c r="B111" s="33" t="s">
        <v>29</v>
      </c>
      <c r="C111" s="34" t="s">
        <v>874</v>
      </c>
      <c r="D111" s="35" t="s">
        <v>64</v>
      </c>
      <c r="E111" s="36">
        <v>45589</v>
      </c>
      <c r="F111" s="37">
        <v>45954</v>
      </c>
      <c r="G111" s="34" t="s">
        <v>315</v>
      </c>
      <c r="H111" s="38">
        <v>2021</v>
      </c>
      <c r="I111" s="39" t="s">
        <v>875</v>
      </c>
      <c r="J111" s="38" t="s">
        <v>876</v>
      </c>
      <c r="K111" s="38" t="s">
        <v>877</v>
      </c>
      <c r="L111" s="40" t="s">
        <v>878</v>
      </c>
      <c r="M111" s="38" t="s">
        <v>879</v>
      </c>
      <c r="N111" s="31" t="s">
        <v>880</v>
      </c>
      <c r="O111" s="39">
        <v>1165</v>
      </c>
      <c r="P111" s="39">
        <v>450</v>
      </c>
      <c r="Q111" s="41">
        <v>44495</v>
      </c>
      <c r="R111" s="41">
        <v>46320</v>
      </c>
      <c r="S111" s="42">
        <v>3142800</v>
      </c>
      <c r="T111" s="43">
        <v>1.9900000000000001E-2</v>
      </c>
      <c r="U111" s="42">
        <v>2828520</v>
      </c>
      <c r="V111" s="42">
        <v>56287.548000000003</v>
      </c>
      <c r="W111" s="44">
        <v>0</v>
      </c>
      <c r="X111" s="45">
        <v>56288</v>
      </c>
      <c r="Y111" s="46" t="s">
        <v>71</v>
      </c>
      <c r="Z111" s="39" t="s">
        <v>40</v>
      </c>
      <c r="AA111" s="31" t="s">
        <v>41</v>
      </c>
      <c r="AB111" s="31" t="s">
        <v>198</v>
      </c>
      <c r="AC111" s="37">
        <v>45596</v>
      </c>
      <c r="AD111" s="65"/>
      <c r="AE111" s="65" t="s">
        <v>2216</v>
      </c>
      <c r="AF111" s="66">
        <v>56288</v>
      </c>
      <c r="AG111" s="67">
        <f t="shared" si="1"/>
        <v>0</v>
      </c>
      <c r="AH111" s="65" t="s">
        <v>2376</v>
      </c>
    </row>
    <row r="112" spans="1:34">
      <c r="A112" s="32">
        <v>45566</v>
      </c>
      <c r="B112" s="33" t="s">
        <v>29</v>
      </c>
      <c r="C112" s="34" t="s">
        <v>881</v>
      </c>
      <c r="D112" s="35" t="s">
        <v>64</v>
      </c>
      <c r="E112" s="36">
        <v>45589</v>
      </c>
      <c r="F112" s="37">
        <v>45954</v>
      </c>
      <c r="G112" s="34" t="s">
        <v>882</v>
      </c>
      <c r="H112" s="38">
        <v>2018</v>
      </c>
      <c r="I112" s="39" t="s">
        <v>883</v>
      </c>
      <c r="J112" s="38" t="s">
        <v>884</v>
      </c>
      <c r="K112" s="38" t="s">
        <v>885</v>
      </c>
      <c r="L112" s="40" t="s">
        <v>886</v>
      </c>
      <c r="M112" s="38" t="s">
        <v>887</v>
      </c>
      <c r="N112" s="31" t="s">
        <v>888</v>
      </c>
      <c r="O112" s="39">
        <v>2002</v>
      </c>
      <c r="P112" s="39">
        <v>477</v>
      </c>
      <c r="Q112" s="41">
        <v>44503</v>
      </c>
      <c r="R112" s="41">
        <v>46320</v>
      </c>
      <c r="S112" s="42">
        <v>1093500</v>
      </c>
      <c r="T112" s="43">
        <v>2.2499999999999999E-2</v>
      </c>
      <c r="U112" s="42">
        <v>984150</v>
      </c>
      <c r="V112" s="42">
        <v>22143.375</v>
      </c>
      <c r="W112" s="44">
        <v>0</v>
      </c>
      <c r="X112" s="45">
        <v>22143</v>
      </c>
      <c r="Y112" s="46" t="s">
        <v>71</v>
      </c>
      <c r="Z112" s="39" t="s">
        <v>40</v>
      </c>
      <c r="AA112" s="31" t="s">
        <v>41</v>
      </c>
      <c r="AB112" s="31" t="s">
        <v>198</v>
      </c>
      <c r="AC112" s="37">
        <v>45596</v>
      </c>
      <c r="AD112" s="65"/>
      <c r="AE112" s="65" t="s">
        <v>2217</v>
      </c>
      <c r="AF112" s="66">
        <v>22143</v>
      </c>
      <c r="AG112" s="67">
        <f t="shared" si="1"/>
        <v>0</v>
      </c>
      <c r="AH112" s="65" t="s">
        <v>2376</v>
      </c>
    </row>
    <row r="113" spans="1:34">
      <c r="A113" s="32">
        <v>45566</v>
      </c>
      <c r="B113" s="33" t="s">
        <v>29</v>
      </c>
      <c r="C113" s="34" t="s">
        <v>889</v>
      </c>
      <c r="D113" s="35" t="s">
        <v>64</v>
      </c>
      <c r="E113" s="36">
        <v>45570</v>
      </c>
      <c r="F113" s="37">
        <v>45935</v>
      </c>
      <c r="G113" s="34" t="s">
        <v>890</v>
      </c>
      <c r="H113" s="38">
        <v>2021</v>
      </c>
      <c r="I113" s="39" t="s">
        <v>891</v>
      </c>
      <c r="J113" s="38" t="s">
        <v>892</v>
      </c>
      <c r="K113" s="38" t="s">
        <v>893</v>
      </c>
      <c r="L113" s="40" t="s">
        <v>894</v>
      </c>
      <c r="M113" s="38" t="s">
        <v>895</v>
      </c>
      <c r="N113" s="31" t="s">
        <v>896</v>
      </c>
      <c r="O113" s="39">
        <v>1106</v>
      </c>
      <c r="P113" s="39">
        <v>450</v>
      </c>
      <c r="Q113" s="41">
        <v>44477</v>
      </c>
      <c r="R113" s="41">
        <v>46300</v>
      </c>
      <c r="S113" s="42">
        <v>6202980</v>
      </c>
      <c r="T113" s="43">
        <v>1.7500000000000002E-2</v>
      </c>
      <c r="U113" s="42">
        <v>5582682</v>
      </c>
      <c r="V113" s="42">
        <v>97696.935000000012</v>
      </c>
      <c r="W113" s="44">
        <v>0</v>
      </c>
      <c r="X113" s="45">
        <v>97697</v>
      </c>
      <c r="Y113" s="46" t="s">
        <v>71</v>
      </c>
      <c r="Z113" s="39" t="s">
        <v>40</v>
      </c>
      <c r="AA113" s="31" t="s">
        <v>41</v>
      </c>
      <c r="AB113" s="31" t="s">
        <v>198</v>
      </c>
      <c r="AC113" s="37">
        <v>45596</v>
      </c>
      <c r="AD113" s="65"/>
      <c r="AE113" s="65" t="s">
        <v>2218</v>
      </c>
      <c r="AF113" s="66">
        <v>97697</v>
      </c>
      <c r="AG113" s="67">
        <f t="shared" si="1"/>
        <v>0</v>
      </c>
      <c r="AH113" s="65" t="s">
        <v>2376</v>
      </c>
    </row>
    <row r="114" spans="1:34">
      <c r="A114" s="32">
        <v>45566</v>
      </c>
      <c r="B114" s="33" t="s">
        <v>29</v>
      </c>
      <c r="C114" s="34" t="s">
        <v>897</v>
      </c>
      <c r="D114" s="35" t="s">
        <v>64</v>
      </c>
      <c r="E114" s="36">
        <v>45593</v>
      </c>
      <c r="F114" s="37">
        <v>45958</v>
      </c>
      <c r="G114" s="34" t="s">
        <v>685</v>
      </c>
      <c r="H114" s="38">
        <v>2015</v>
      </c>
      <c r="I114" s="39" t="s">
        <v>898</v>
      </c>
      <c r="J114" s="38" t="s">
        <v>899</v>
      </c>
      <c r="K114" s="38" t="s">
        <v>900</v>
      </c>
      <c r="L114" s="40" t="s">
        <v>901</v>
      </c>
      <c r="M114" s="38" t="s">
        <v>902</v>
      </c>
      <c r="N114" s="31" t="s">
        <v>903</v>
      </c>
      <c r="O114" s="39">
        <v>1035</v>
      </c>
      <c r="P114" s="39">
        <v>450</v>
      </c>
      <c r="Q114" s="41">
        <v>43421</v>
      </c>
      <c r="R114" s="41">
        <v>45966</v>
      </c>
      <c r="S114" s="42">
        <v>738112.5</v>
      </c>
      <c r="T114" s="43">
        <v>2.7E-2</v>
      </c>
      <c r="U114" s="42">
        <v>664301.25</v>
      </c>
      <c r="V114" s="42">
        <v>17936.133750000001</v>
      </c>
      <c r="W114" s="44">
        <v>0</v>
      </c>
      <c r="X114" s="45">
        <v>17936</v>
      </c>
      <c r="Y114" s="46" t="s">
        <v>71</v>
      </c>
      <c r="Z114" s="39" t="s">
        <v>40</v>
      </c>
      <c r="AA114" s="31" t="s">
        <v>41</v>
      </c>
      <c r="AB114" s="31" t="s">
        <v>198</v>
      </c>
      <c r="AC114" s="37">
        <v>45596</v>
      </c>
      <c r="AD114" s="65"/>
      <c r="AE114" s="65" t="s">
        <v>2219</v>
      </c>
      <c r="AF114" s="66">
        <v>17936</v>
      </c>
      <c r="AG114" s="67">
        <f t="shared" si="1"/>
        <v>0</v>
      </c>
      <c r="AH114" s="65" t="s">
        <v>2376</v>
      </c>
    </row>
    <row r="115" spans="1:34">
      <c r="A115" s="32">
        <v>45566</v>
      </c>
      <c r="B115" s="33" t="s">
        <v>29</v>
      </c>
      <c r="C115" s="34" t="s">
        <v>904</v>
      </c>
      <c r="D115" s="35" t="s">
        <v>64</v>
      </c>
      <c r="E115" s="36">
        <v>45595</v>
      </c>
      <c r="F115" s="37">
        <v>45960</v>
      </c>
      <c r="G115" s="34" t="s">
        <v>905</v>
      </c>
      <c r="H115" s="38">
        <v>2014</v>
      </c>
      <c r="I115" s="39" t="s">
        <v>906</v>
      </c>
      <c r="J115" s="38" t="s">
        <v>907</v>
      </c>
      <c r="K115" s="38" t="s">
        <v>908</v>
      </c>
      <c r="L115" s="40" t="s">
        <v>909</v>
      </c>
      <c r="M115" s="38" t="s">
        <v>910</v>
      </c>
      <c r="N115" s="31" t="s">
        <v>911</v>
      </c>
      <c r="O115" s="39">
        <v>3049</v>
      </c>
      <c r="P115" s="39">
        <v>450</v>
      </c>
      <c r="Q115" s="41">
        <v>43405</v>
      </c>
      <c r="R115" s="41">
        <v>45966</v>
      </c>
      <c r="S115" s="42">
        <v>708588</v>
      </c>
      <c r="T115" s="43">
        <v>2.7E-2</v>
      </c>
      <c r="U115" s="42">
        <v>637729.19999999995</v>
      </c>
      <c r="V115" s="42">
        <v>17218.688399999999</v>
      </c>
      <c r="W115" s="44">
        <v>0</v>
      </c>
      <c r="X115" s="45">
        <v>17219</v>
      </c>
      <c r="Y115" s="46" t="s">
        <v>71</v>
      </c>
      <c r="Z115" s="39" t="s">
        <v>40</v>
      </c>
      <c r="AA115" s="31" t="s">
        <v>41</v>
      </c>
      <c r="AB115" s="31" t="s">
        <v>198</v>
      </c>
      <c r="AC115" s="37">
        <v>45596</v>
      </c>
      <c r="AD115" s="65"/>
      <c r="AE115" s="65" t="s">
        <v>2220</v>
      </c>
      <c r="AF115" s="66">
        <v>17219</v>
      </c>
      <c r="AG115" s="67">
        <f t="shared" si="1"/>
        <v>0</v>
      </c>
      <c r="AH115" s="65" t="s">
        <v>2376</v>
      </c>
    </row>
    <row r="116" spans="1:34">
      <c r="A116" s="32">
        <v>45566</v>
      </c>
      <c r="B116" s="33" t="s">
        <v>29</v>
      </c>
      <c r="C116" s="34" t="s">
        <v>912</v>
      </c>
      <c r="D116" s="35" t="s">
        <v>64</v>
      </c>
      <c r="E116" s="36">
        <v>45591</v>
      </c>
      <c r="F116" s="37">
        <v>45956</v>
      </c>
      <c r="G116" s="34" t="s">
        <v>74</v>
      </c>
      <c r="H116" s="38">
        <v>2022</v>
      </c>
      <c r="I116" s="39" t="s">
        <v>913</v>
      </c>
      <c r="J116" s="38" t="s">
        <v>914</v>
      </c>
      <c r="K116" s="38" t="s">
        <v>915</v>
      </c>
      <c r="L116" s="40" t="s">
        <v>916</v>
      </c>
      <c r="M116" s="38" t="s">
        <v>917</v>
      </c>
      <c r="N116" s="31" t="s">
        <v>918</v>
      </c>
      <c r="O116" s="39">
        <v>1186</v>
      </c>
      <c r="P116" s="39">
        <v>477</v>
      </c>
      <c r="Q116" s="41">
        <v>44862</v>
      </c>
      <c r="R116" s="41">
        <v>46685</v>
      </c>
      <c r="S116" s="42">
        <v>1697400</v>
      </c>
      <c r="T116" s="43">
        <v>1.9900000000000001E-2</v>
      </c>
      <c r="U116" s="42">
        <v>1527660</v>
      </c>
      <c r="V116" s="42">
        <v>30400.434000000001</v>
      </c>
      <c r="W116" s="44">
        <v>0</v>
      </c>
      <c r="X116" s="45">
        <v>30400</v>
      </c>
      <c r="Y116" s="46" t="s">
        <v>71</v>
      </c>
      <c r="Z116" s="39" t="s">
        <v>40</v>
      </c>
      <c r="AA116" s="31" t="s">
        <v>41</v>
      </c>
      <c r="AB116" s="31" t="s">
        <v>72</v>
      </c>
      <c r="AC116" s="37">
        <v>45596</v>
      </c>
      <c r="AD116" s="65"/>
      <c r="AE116" s="65" t="s">
        <v>2221</v>
      </c>
      <c r="AF116" s="66">
        <v>30400</v>
      </c>
      <c r="AG116" s="67">
        <f t="shared" si="1"/>
        <v>0</v>
      </c>
      <c r="AH116" s="65" t="s">
        <v>2376</v>
      </c>
    </row>
    <row r="117" spans="1:34">
      <c r="A117" s="32">
        <v>45566</v>
      </c>
      <c r="B117" s="33" t="s">
        <v>29</v>
      </c>
      <c r="C117" s="34" t="s">
        <v>919</v>
      </c>
      <c r="D117" s="35" t="s">
        <v>64</v>
      </c>
      <c r="E117" s="36">
        <v>45596</v>
      </c>
      <c r="F117" s="37">
        <v>45961</v>
      </c>
      <c r="G117" s="34" t="s">
        <v>231</v>
      </c>
      <c r="H117" s="38">
        <v>2016</v>
      </c>
      <c r="I117" s="39" t="s">
        <v>920</v>
      </c>
      <c r="J117" s="38" t="s">
        <v>921</v>
      </c>
      <c r="K117" s="38" t="s">
        <v>922</v>
      </c>
      <c r="L117" s="40" t="s">
        <v>923</v>
      </c>
      <c r="M117" s="38" t="s">
        <v>924</v>
      </c>
      <c r="N117" s="31" t="s">
        <v>925</v>
      </c>
      <c r="O117" s="39">
        <v>3054</v>
      </c>
      <c r="P117" s="39">
        <v>450</v>
      </c>
      <c r="Q117" s="41">
        <v>43411</v>
      </c>
      <c r="R117" s="41">
        <v>45966</v>
      </c>
      <c r="S117" s="42">
        <v>767637</v>
      </c>
      <c r="T117" s="43">
        <v>2.7E-2</v>
      </c>
      <c r="U117" s="42">
        <v>690873.3</v>
      </c>
      <c r="V117" s="42">
        <v>18653.579100000003</v>
      </c>
      <c r="W117" s="44">
        <v>0</v>
      </c>
      <c r="X117" s="45">
        <v>18654</v>
      </c>
      <c r="Y117" s="46" t="s">
        <v>71</v>
      </c>
      <c r="Z117" s="39" t="s">
        <v>40</v>
      </c>
      <c r="AA117" s="31" t="s">
        <v>41</v>
      </c>
      <c r="AB117" s="31" t="s">
        <v>198</v>
      </c>
      <c r="AC117" s="37">
        <v>45596</v>
      </c>
      <c r="AD117" s="65"/>
      <c r="AE117" s="65" t="s">
        <v>2222</v>
      </c>
      <c r="AF117" s="66">
        <v>18654</v>
      </c>
      <c r="AG117" s="67">
        <f t="shared" si="1"/>
        <v>0</v>
      </c>
      <c r="AH117" s="65" t="s">
        <v>2376</v>
      </c>
    </row>
    <row r="118" spans="1:34">
      <c r="A118" s="32">
        <v>45566</v>
      </c>
      <c r="B118" s="33" t="s">
        <v>29</v>
      </c>
      <c r="C118" s="34" t="s">
        <v>926</v>
      </c>
      <c r="D118" s="35" t="s">
        <v>64</v>
      </c>
      <c r="E118" s="36">
        <v>45590</v>
      </c>
      <c r="F118" s="37">
        <v>45955</v>
      </c>
      <c r="G118" s="34" t="s">
        <v>254</v>
      </c>
      <c r="H118" s="38">
        <v>2021</v>
      </c>
      <c r="I118" s="39" t="s">
        <v>927</v>
      </c>
      <c r="J118" s="38" t="s">
        <v>928</v>
      </c>
      <c r="K118" s="38" t="s">
        <v>929</v>
      </c>
      <c r="L118" s="40" t="s">
        <v>930</v>
      </c>
      <c r="M118" s="38" t="s">
        <v>931</v>
      </c>
      <c r="N118" s="31" t="s">
        <v>932</v>
      </c>
      <c r="O118" s="39">
        <v>2131</v>
      </c>
      <c r="P118" s="39">
        <v>450</v>
      </c>
      <c r="Q118" s="41">
        <v>44497</v>
      </c>
      <c r="R118" s="41">
        <v>46331</v>
      </c>
      <c r="S118" s="42">
        <v>2370060</v>
      </c>
      <c r="T118" s="43">
        <v>2.2499999999999999E-2</v>
      </c>
      <c r="U118" s="42">
        <v>2133054</v>
      </c>
      <c r="V118" s="42">
        <v>47993.714999999997</v>
      </c>
      <c r="W118" s="44">
        <v>0</v>
      </c>
      <c r="X118" s="45">
        <v>47994</v>
      </c>
      <c r="Y118" s="46" t="s">
        <v>71</v>
      </c>
      <c r="Z118" s="39" t="s">
        <v>40</v>
      </c>
      <c r="AA118" s="31" t="s">
        <v>41</v>
      </c>
      <c r="AB118" s="31" t="s">
        <v>198</v>
      </c>
      <c r="AC118" s="37">
        <v>45596</v>
      </c>
      <c r="AD118" s="65"/>
      <c r="AE118" s="65" t="s">
        <v>2223</v>
      </c>
      <c r="AF118" s="66">
        <v>47994</v>
      </c>
      <c r="AG118" s="67">
        <f t="shared" si="1"/>
        <v>0</v>
      </c>
      <c r="AH118" s="65" t="s">
        <v>2376</v>
      </c>
    </row>
    <row r="119" spans="1:34">
      <c r="A119" s="32">
        <v>45566</v>
      </c>
      <c r="B119" s="33" t="s">
        <v>29</v>
      </c>
      <c r="C119" s="34" t="s">
        <v>933</v>
      </c>
      <c r="D119" s="35" t="s">
        <v>64</v>
      </c>
      <c r="E119" s="36">
        <v>45591</v>
      </c>
      <c r="F119" s="37">
        <v>45956</v>
      </c>
      <c r="G119" s="34" t="s">
        <v>231</v>
      </c>
      <c r="H119" s="38">
        <v>2021</v>
      </c>
      <c r="I119" s="39" t="s">
        <v>934</v>
      </c>
      <c r="J119" s="38" t="s">
        <v>935</v>
      </c>
      <c r="K119" s="38" t="s">
        <v>936</v>
      </c>
      <c r="L119" s="40" t="s">
        <v>937</v>
      </c>
      <c r="M119" s="38" t="s">
        <v>938</v>
      </c>
      <c r="N119" s="31" t="s">
        <v>939</v>
      </c>
      <c r="O119" s="39">
        <v>2002</v>
      </c>
      <c r="P119" s="39">
        <v>477</v>
      </c>
      <c r="Q119" s="41">
        <v>44497</v>
      </c>
      <c r="R119" s="41">
        <v>46331</v>
      </c>
      <c r="S119" s="42">
        <v>1425600</v>
      </c>
      <c r="T119" s="43">
        <v>2.2499999999999999E-2</v>
      </c>
      <c r="U119" s="42">
        <v>1283040</v>
      </c>
      <c r="V119" s="42">
        <v>28868.399999999998</v>
      </c>
      <c r="W119" s="44">
        <v>0</v>
      </c>
      <c r="X119" s="45">
        <v>28868</v>
      </c>
      <c r="Y119" s="46" t="s">
        <v>71</v>
      </c>
      <c r="Z119" s="39" t="s">
        <v>40</v>
      </c>
      <c r="AA119" s="31" t="s">
        <v>41</v>
      </c>
      <c r="AB119" s="31" t="s">
        <v>198</v>
      </c>
      <c r="AC119" s="37">
        <v>45596</v>
      </c>
      <c r="AD119" s="65"/>
      <c r="AE119" s="65" t="s">
        <v>2224</v>
      </c>
      <c r="AF119" s="66">
        <v>28868</v>
      </c>
      <c r="AG119" s="67">
        <f t="shared" si="1"/>
        <v>0</v>
      </c>
      <c r="AH119" s="65" t="s">
        <v>2376</v>
      </c>
    </row>
    <row r="120" spans="1:34">
      <c r="A120" s="32">
        <v>45566</v>
      </c>
      <c r="B120" s="33" t="s">
        <v>29</v>
      </c>
      <c r="C120" s="34" t="s">
        <v>940</v>
      </c>
      <c r="D120" s="35" t="s">
        <v>64</v>
      </c>
      <c r="E120" s="36">
        <v>45591</v>
      </c>
      <c r="F120" s="37">
        <v>45956</v>
      </c>
      <c r="G120" s="34" t="s">
        <v>285</v>
      </c>
      <c r="H120" s="38">
        <v>2021</v>
      </c>
      <c r="I120" s="39" t="s">
        <v>941</v>
      </c>
      <c r="J120" s="38" t="s">
        <v>942</v>
      </c>
      <c r="K120" s="38" t="s">
        <v>943</v>
      </c>
      <c r="L120" s="40" t="s">
        <v>944</v>
      </c>
      <c r="M120" s="38" t="s">
        <v>945</v>
      </c>
      <c r="N120" s="31" t="s">
        <v>946</v>
      </c>
      <c r="O120" s="39">
        <v>2099</v>
      </c>
      <c r="P120" s="39">
        <v>450</v>
      </c>
      <c r="Q120" s="41">
        <v>44497</v>
      </c>
      <c r="R120" s="41">
        <v>46331</v>
      </c>
      <c r="S120" s="42">
        <v>2272050</v>
      </c>
      <c r="T120" s="43">
        <v>2.2499999999999999E-2</v>
      </c>
      <c r="U120" s="42">
        <v>2044845</v>
      </c>
      <c r="V120" s="42">
        <v>46009.012499999997</v>
      </c>
      <c r="W120" s="44">
        <v>0</v>
      </c>
      <c r="X120" s="45">
        <v>46009</v>
      </c>
      <c r="Y120" s="46" t="s">
        <v>71</v>
      </c>
      <c r="Z120" s="39" t="s">
        <v>40</v>
      </c>
      <c r="AA120" s="31" t="s">
        <v>41</v>
      </c>
      <c r="AB120" s="31" t="s">
        <v>198</v>
      </c>
      <c r="AC120" s="37">
        <v>45596</v>
      </c>
      <c r="AD120" s="65"/>
      <c r="AE120" s="65" t="s">
        <v>2225</v>
      </c>
      <c r="AF120" s="66">
        <v>46009</v>
      </c>
      <c r="AG120" s="67">
        <f t="shared" si="1"/>
        <v>0</v>
      </c>
      <c r="AH120" s="65" t="s">
        <v>2376</v>
      </c>
    </row>
    <row r="121" spans="1:34">
      <c r="A121" s="32">
        <v>45566</v>
      </c>
      <c r="B121" s="33" t="s">
        <v>29</v>
      </c>
      <c r="C121" s="34" t="s">
        <v>947</v>
      </c>
      <c r="D121" s="35" t="s">
        <v>64</v>
      </c>
      <c r="E121" s="36">
        <v>45570</v>
      </c>
      <c r="F121" s="37">
        <v>45935</v>
      </c>
      <c r="G121" s="34" t="s">
        <v>254</v>
      </c>
      <c r="H121" s="38">
        <v>2021</v>
      </c>
      <c r="I121" s="39" t="s">
        <v>948</v>
      </c>
      <c r="J121" s="38" t="s">
        <v>949</v>
      </c>
      <c r="K121" s="38" t="s">
        <v>950</v>
      </c>
      <c r="L121" s="40" t="s">
        <v>951</v>
      </c>
      <c r="M121" s="38" t="s">
        <v>952</v>
      </c>
      <c r="N121" s="31" t="s">
        <v>953</v>
      </c>
      <c r="O121" s="39">
        <v>2027</v>
      </c>
      <c r="P121" s="39">
        <v>450</v>
      </c>
      <c r="Q121" s="41">
        <v>44477</v>
      </c>
      <c r="R121" s="41">
        <v>46310</v>
      </c>
      <c r="S121" s="42">
        <v>2375730</v>
      </c>
      <c r="T121" s="43">
        <v>1.9900000000000001E-2</v>
      </c>
      <c r="U121" s="42">
        <v>2138157</v>
      </c>
      <c r="V121" s="42">
        <v>42549.3243</v>
      </c>
      <c r="W121" s="44">
        <v>0</v>
      </c>
      <c r="X121" s="45">
        <v>42549</v>
      </c>
      <c r="Y121" s="46" t="s">
        <v>71</v>
      </c>
      <c r="Z121" s="39" t="s">
        <v>40</v>
      </c>
      <c r="AA121" s="31" t="s">
        <v>41</v>
      </c>
      <c r="AB121" s="31" t="s">
        <v>198</v>
      </c>
      <c r="AC121" s="37">
        <v>45596</v>
      </c>
      <c r="AD121" s="65"/>
      <c r="AE121" s="65" t="s">
        <v>2226</v>
      </c>
      <c r="AF121" s="66">
        <v>42549</v>
      </c>
      <c r="AG121" s="67">
        <f t="shared" si="1"/>
        <v>0</v>
      </c>
      <c r="AH121" s="65" t="s">
        <v>2376</v>
      </c>
    </row>
    <row r="122" spans="1:34">
      <c r="A122" s="32">
        <v>45566</v>
      </c>
      <c r="B122" s="33" t="s">
        <v>29</v>
      </c>
      <c r="C122" s="34" t="s">
        <v>954</v>
      </c>
      <c r="D122" s="35" t="s">
        <v>64</v>
      </c>
      <c r="E122" s="36">
        <v>45591</v>
      </c>
      <c r="F122" s="37">
        <v>45956</v>
      </c>
      <c r="G122" s="34" t="s">
        <v>74</v>
      </c>
      <c r="H122" s="38">
        <v>2022</v>
      </c>
      <c r="I122" s="39" t="s">
        <v>955</v>
      </c>
      <c r="J122" s="38" t="s">
        <v>956</v>
      </c>
      <c r="K122" s="38" t="s">
        <v>957</v>
      </c>
      <c r="L122" s="40" t="s">
        <v>958</v>
      </c>
      <c r="M122" s="38" t="s">
        <v>959</v>
      </c>
      <c r="N122" s="31" t="s">
        <v>960</v>
      </c>
      <c r="O122" s="39">
        <v>1132</v>
      </c>
      <c r="P122" s="39">
        <v>477</v>
      </c>
      <c r="Q122" s="41">
        <v>44865</v>
      </c>
      <c r="R122" s="41">
        <v>46685</v>
      </c>
      <c r="S122" s="42">
        <v>1175400</v>
      </c>
      <c r="T122" s="43">
        <v>1.9900000000000001E-2</v>
      </c>
      <c r="U122" s="42">
        <v>1057860</v>
      </c>
      <c r="V122" s="42">
        <v>21051.414000000001</v>
      </c>
      <c r="W122" s="44">
        <v>0</v>
      </c>
      <c r="X122" s="45">
        <v>21051</v>
      </c>
      <c r="Y122" s="46" t="s">
        <v>71</v>
      </c>
      <c r="Z122" s="39" t="s">
        <v>40</v>
      </c>
      <c r="AA122" s="31" t="s">
        <v>41</v>
      </c>
      <c r="AB122" s="31" t="s">
        <v>72</v>
      </c>
      <c r="AC122" s="37">
        <v>45596</v>
      </c>
      <c r="AD122" s="65"/>
      <c r="AE122" s="65" t="s">
        <v>2227</v>
      </c>
      <c r="AF122" s="66">
        <v>21051</v>
      </c>
      <c r="AG122" s="67">
        <f t="shared" si="1"/>
        <v>0</v>
      </c>
      <c r="AH122" s="65" t="s">
        <v>2376</v>
      </c>
    </row>
    <row r="123" spans="1:34">
      <c r="A123" s="32">
        <v>45566</v>
      </c>
      <c r="B123" s="33" t="s">
        <v>29</v>
      </c>
      <c r="C123" s="34" t="s">
        <v>961</v>
      </c>
      <c r="D123" s="35" t="s">
        <v>64</v>
      </c>
      <c r="E123" s="36">
        <v>45590</v>
      </c>
      <c r="F123" s="37">
        <v>45955</v>
      </c>
      <c r="G123" s="34" t="s">
        <v>962</v>
      </c>
      <c r="H123" s="38">
        <v>2021</v>
      </c>
      <c r="I123" s="39" t="s">
        <v>963</v>
      </c>
      <c r="J123" s="38" t="s">
        <v>964</v>
      </c>
      <c r="K123" s="38" t="s">
        <v>965</v>
      </c>
      <c r="L123" s="40" t="s">
        <v>923</v>
      </c>
      <c r="M123" s="38" t="s">
        <v>966</v>
      </c>
      <c r="N123" s="31" t="s">
        <v>967</v>
      </c>
      <c r="O123" s="39">
        <v>1161</v>
      </c>
      <c r="P123" s="39">
        <v>450</v>
      </c>
      <c r="Q123" s="41">
        <v>44498</v>
      </c>
      <c r="R123" s="41">
        <v>46331</v>
      </c>
      <c r="S123" s="42">
        <v>4365900</v>
      </c>
      <c r="T123" s="43">
        <v>2.1999999999999999E-2</v>
      </c>
      <c r="U123" s="42">
        <v>3929310</v>
      </c>
      <c r="V123" s="42">
        <v>86444.819999999992</v>
      </c>
      <c r="W123" s="44">
        <v>0</v>
      </c>
      <c r="X123" s="45">
        <v>86445</v>
      </c>
      <c r="Y123" s="46" t="s">
        <v>71</v>
      </c>
      <c r="Z123" s="39" t="s">
        <v>40</v>
      </c>
      <c r="AA123" s="31" t="s">
        <v>41</v>
      </c>
      <c r="AB123" s="31" t="s">
        <v>198</v>
      </c>
      <c r="AC123" s="37">
        <v>45596</v>
      </c>
      <c r="AD123" s="65"/>
      <c r="AE123" s="65" t="s">
        <v>2228</v>
      </c>
      <c r="AF123" s="66">
        <v>86445</v>
      </c>
      <c r="AG123" s="67">
        <f t="shared" si="1"/>
        <v>0</v>
      </c>
      <c r="AH123" s="65" t="s">
        <v>2376</v>
      </c>
    </row>
    <row r="124" spans="1:34">
      <c r="A124" s="32">
        <v>45566</v>
      </c>
      <c r="B124" s="33" t="s">
        <v>29</v>
      </c>
      <c r="C124" s="34" t="s">
        <v>968</v>
      </c>
      <c r="D124" s="35" t="s">
        <v>64</v>
      </c>
      <c r="E124" s="36">
        <v>45590</v>
      </c>
      <c r="F124" s="37">
        <v>45955</v>
      </c>
      <c r="G124" s="34" t="s">
        <v>285</v>
      </c>
      <c r="H124" s="38">
        <v>2021</v>
      </c>
      <c r="I124" s="39" t="s">
        <v>969</v>
      </c>
      <c r="J124" s="38" t="s">
        <v>970</v>
      </c>
      <c r="K124" s="38" t="s">
        <v>971</v>
      </c>
      <c r="L124" s="40" t="s">
        <v>972</v>
      </c>
      <c r="M124" s="38" t="s">
        <v>973</v>
      </c>
      <c r="N124" s="31" t="s">
        <v>974</v>
      </c>
      <c r="O124" s="39">
        <v>2109</v>
      </c>
      <c r="P124" s="39">
        <v>450</v>
      </c>
      <c r="Q124" s="41">
        <v>44498</v>
      </c>
      <c r="R124" s="41">
        <v>46331</v>
      </c>
      <c r="S124" s="42">
        <v>2267190</v>
      </c>
      <c r="T124" s="43">
        <v>2.2499999999999999E-2</v>
      </c>
      <c r="U124" s="42">
        <v>2040471</v>
      </c>
      <c r="V124" s="42">
        <v>45910.597499999996</v>
      </c>
      <c r="W124" s="44">
        <v>0</v>
      </c>
      <c r="X124" s="45">
        <v>45911</v>
      </c>
      <c r="Y124" s="46" t="s">
        <v>71</v>
      </c>
      <c r="Z124" s="39" t="s">
        <v>40</v>
      </c>
      <c r="AA124" s="31" t="s">
        <v>41</v>
      </c>
      <c r="AB124" s="31" t="s">
        <v>198</v>
      </c>
      <c r="AC124" s="37">
        <v>45596</v>
      </c>
      <c r="AD124" s="65"/>
      <c r="AE124" s="65" t="s">
        <v>2229</v>
      </c>
      <c r="AF124" s="66">
        <v>45911</v>
      </c>
      <c r="AG124" s="67">
        <f t="shared" si="1"/>
        <v>0</v>
      </c>
      <c r="AH124" s="65" t="s">
        <v>2376</v>
      </c>
    </row>
    <row r="125" spans="1:34">
      <c r="A125" s="32">
        <v>45566</v>
      </c>
      <c r="B125" s="33" t="s">
        <v>29</v>
      </c>
      <c r="C125" s="34" t="s">
        <v>975</v>
      </c>
      <c r="D125" s="35" t="s">
        <v>64</v>
      </c>
      <c r="E125" s="36">
        <v>45590</v>
      </c>
      <c r="F125" s="37">
        <v>45955</v>
      </c>
      <c r="G125" s="34" t="s">
        <v>976</v>
      </c>
      <c r="H125" s="38">
        <v>2021</v>
      </c>
      <c r="I125" s="39" t="s">
        <v>977</v>
      </c>
      <c r="J125" s="38" t="s">
        <v>978</v>
      </c>
      <c r="K125" s="38" t="s">
        <v>979</v>
      </c>
      <c r="L125" s="40" t="s">
        <v>980</v>
      </c>
      <c r="M125" s="38" t="s">
        <v>981</v>
      </c>
      <c r="N125" s="31" t="s">
        <v>982</v>
      </c>
      <c r="O125" s="39">
        <v>1132</v>
      </c>
      <c r="P125" s="39">
        <v>450</v>
      </c>
      <c r="Q125" s="41">
        <v>44498</v>
      </c>
      <c r="R125" s="41">
        <v>46331</v>
      </c>
      <c r="S125" s="42">
        <v>1599750</v>
      </c>
      <c r="T125" s="43">
        <v>1.9900000000000001E-2</v>
      </c>
      <c r="U125" s="42">
        <v>1439775</v>
      </c>
      <c r="V125" s="42">
        <v>28651.522500000003</v>
      </c>
      <c r="W125" s="44">
        <v>0</v>
      </c>
      <c r="X125" s="45">
        <v>28652</v>
      </c>
      <c r="Y125" s="46" t="s">
        <v>71</v>
      </c>
      <c r="Z125" s="39" t="s">
        <v>40</v>
      </c>
      <c r="AA125" s="31" t="s">
        <v>41</v>
      </c>
      <c r="AB125" s="31" t="s">
        <v>198</v>
      </c>
      <c r="AC125" s="37">
        <v>45596</v>
      </c>
      <c r="AD125" s="65"/>
      <c r="AE125" s="65" t="s">
        <v>2230</v>
      </c>
      <c r="AF125" s="66">
        <v>28652</v>
      </c>
      <c r="AG125" s="67">
        <f t="shared" si="1"/>
        <v>0</v>
      </c>
      <c r="AH125" s="65" t="s">
        <v>2376</v>
      </c>
    </row>
    <row r="126" spans="1:34">
      <c r="A126" s="32">
        <v>45566</v>
      </c>
      <c r="B126" s="33" t="s">
        <v>29</v>
      </c>
      <c r="C126" s="34" t="s">
        <v>983</v>
      </c>
      <c r="D126" s="35" t="s">
        <v>64</v>
      </c>
      <c r="E126" s="36">
        <v>45591</v>
      </c>
      <c r="F126" s="37">
        <v>45956</v>
      </c>
      <c r="G126" s="34" t="s">
        <v>223</v>
      </c>
      <c r="H126" s="38">
        <v>2021</v>
      </c>
      <c r="I126" s="39" t="s">
        <v>984</v>
      </c>
      <c r="J126" s="38" t="s">
        <v>985</v>
      </c>
      <c r="K126" s="38" t="s">
        <v>986</v>
      </c>
      <c r="L126" s="40" t="s">
        <v>987</v>
      </c>
      <c r="M126" s="38" t="s">
        <v>988</v>
      </c>
      <c r="N126" s="31" t="s">
        <v>989</v>
      </c>
      <c r="O126" s="39">
        <v>1175</v>
      </c>
      <c r="P126" s="39">
        <v>450</v>
      </c>
      <c r="Q126" s="41">
        <v>44498</v>
      </c>
      <c r="R126" s="41">
        <v>46310</v>
      </c>
      <c r="S126" s="42">
        <v>3267540</v>
      </c>
      <c r="T126" s="43">
        <v>1.9900000000000001E-2</v>
      </c>
      <c r="U126" s="42">
        <v>2940786</v>
      </c>
      <c r="V126" s="42">
        <v>58521.6414</v>
      </c>
      <c r="W126" s="44">
        <v>0</v>
      </c>
      <c r="X126" s="45">
        <v>58522</v>
      </c>
      <c r="Y126" s="46" t="s">
        <v>71</v>
      </c>
      <c r="Z126" s="39" t="s">
        <v>40</v>
      </c>
      <c r="AA126" s="31" t="s">
        <v>41</v>
      </c>
      <c r="AB126" s="31" t="s">
        <v>198</v>
      </c>
      <c r="AC126" s="37">
        <v>45596</v>
      </c>
      <c r="AD126" s="65"/>
      <c r="AE126" s="65" t="s">
        <v>2231</v>
      </c>
      <c r="AF126" s="66">
        <v>58522</v>
      </c>
      <c r="AG126" s="67">
        <f t="shared" si="1"/>
        <v>0</v>
      </c>
      <c r="AH126" s="65" t="s">
        <v>2376</v>
      </c>
    </row>
    <row r="127" spans="1:34">
      <c r="A127" s="32">
        <v>45566</v>
      </c>
      <c r="B127" s="33" t="s">
        <v>29</v>
      </c>
      <c r="C127" s="34" t="s">
        <v>990</v>
      </c>
      <c r="D127" s="35" t="s">
        <v>64</v>
      </c>
      <c r="E127" s="36">
        <v>45591</v>
      </c>
      <c r="F127" s="37">
        <v>45956</v>
      </c>
      <c r="G127" s="34" t="s">
        <v>315</v>
      </c>
      <c r="H127" s="38">
        <v>2021</v>
      </c>
      <c r="I127" s="39" t="s">
        <v>991</v>
      </c>
      <c r="J127" s="38" t="s">
        <v>992</v>
      </c>
      <c r="K127" s="38" t="s">
        <v>993</v>
      </c>
      <c r="L127" s="40" t="s">
        <v>994</v>
      </c>
      <c r="M127" s="38" t="s">
        <v>995</v>
      </c>
      <c r="N127" s="31" t="s">
        <v>996</v>
      </c>
      <c r="O127" s="39">
        <v>1077</v>
      </c>
      <c r="P127" s="39">
        <v>450</v>
      </c>
      <c r="Q127" s="41">
        <v>44498</v>
      </c>
      <c r="R127" s="41">
        <v>47051</v>
      </c>
      <c r="S127" s="42">
        <v>3138750</v>
      </c>
      <c r="T127" s="43">
        <v>1.9900000000000001E-2</v>
      </c>
      <c r="U127" s="42">
        <v>2824875</v>
      </c>
      <c r="V127" s="42">
        <v>56215.012500000004</v>
      </c>
      <c r="W127" s="44">
        <v>0</v>
      </c>
      <c r="X127" s="45">
        <v>56215</v>
      </c>
      <c r="Y127" s="46" t="s">
        <v>71</v>
      </c>
      <c r="Z127" s="39" t="s">
        <v>40</v>
      </c>
      <c r="AA127" s="31" t="s">
        <v>41</v>
      </c>
      <c r="AB127" s="31" t="s">
        <v>198</v>
      </c>
      <c r="AC127" s="37">
        <v>45596</v>
      </c>
      <c r="AD127" s="65"/>
      <c r="AE127" s="65" t="s">
        <v>2232</v>
      </c>
      <c r="AF127" s="66">
        <v>56215</v>
      </c>
      <c r="AG127" s="67">
        <f t="shared" si="1"/>
        <v>0</v>
      </c>
      <c r="AH127" s="65" t="s">
        <v>2376</v>
      </c>
    </row>
    <row r="128" spans="1:34">
      <c r="A128" s="32">
        <v>45566</v>
      </c>
      <c r="B128" s="33" t="s">
        <v>29</v>
      </c>
      <c r="C128" s="34" t="s">
        <v>997</v>
      </c>
      <c r="D128" s="35" t="s">
        <v>64</v>
      </c>
      <c r="E128" s="36">
        <v>45571</v>
      </c>
      <c r="F128" s="37">
        <v>45936</v>
      </c>
      <c r="G128" s="34" t="s">
        <v>293</v>
      </c>
      <c r="H128" s="38">
        <v>2021</v>
      </c>
      <c r="I128" s="39" t="s">
        <v>998</v>
      </c>
      <c r="J128" s="38" t="s">
        <v>999</v>
      </c>
      <c r="K128" s="38" t="s">
        <v>1000</v>
      </c>
      <c r="L128" s="40" t="s">
        <v>1001</v>
      </c>
      <c r="M128" s="38" t="s">
        <v>1002</v>
      </c>
      <c r="N128" s="31" t="s">
        <v>1003</v>
      </c>
      <c r="O128" s="39">
        <v>2017</v>
      </c>
      <c r="P128" s="39">
        <v>450</v>
      </c>
      <c r="Q128" s="41">
        <v>44480</v>
      </c>
      <c r="R128" s="41">
        <v>47031</v>
      </c>
      <c r="S128" s="42">
        <v>1969110</v>
      </c>
      <c r="T128" s="43">
        <v>2.2499999999999999E-2</v>
      </c>
      <c r="U128" s="42">
        <v>1772199</v>
      </c>
      <c r="V128" s="42">
        <v>39874.477500000001</v>
      </c>
      <c r="W128" s="44">
        <v>0</v>
      </c>
      <c r="X128" s="45">
        <v>39874</v>
      </c>
      <c r="Y128" s="46" t="s">
        <v>71</v>
      </c>
      <c r="Z128" s="39" t="s">
        <v>40</v>
      </c>
      <c r="AA128" s="31" t="s">
        <v>41</v>
      </c>
      <c r="AB128" s="31" t="s">
        <v>198</v>
      </c>
      <c r="AC128" s="37">
        <v>45596</v>
      </c>
      <c r="AD128" s="65"/>
      <c r="AE128" s="65" t="s">
        <v>2233</v>
      </c>
      <c r="AF128" s="66">
        <v>39874</v>
      </c>
      <c r="AG128" s="67">
        <f t="shared" si="1"/>
        <v>0</v>
      </c>
      <c r="AH128" s="65" t="s">
        <v>2376</v>
      </c>
    </row>
    <row r="129" spans="1:34">
      <c r="A129" s="32">
        <v>45566</v>
      </c>
      <c r="B129" s="33" t="s">
        <v>29</v>
      </c>
      <c r="C129" s="34" t="s">
        <v>1004</v>
      </c>
      <c r="D129" s="35" t="s">
        <v>64</v>
      </c>
      <c r="E129" s="36">
        <v>45592</v>
      </c>
      <c r="F129" s="37">
        <v>45957</v>
      </c>
      <c r="G129" s="34" t="s">
        <v>1005</v>
      </c>
      <c r="H129" s="38">
        <v>2021</v>
      </c>
      <c r="I129" s="39" t="s">
        <v>1006</v>
      </c>
      <c r="J129" s="38" t="s">
        <v>1007</v>
      </c>
      <c r="K129" s="38" t="s">
        <v>1008</v>
      </c>
      <c r="L129" s="40" t="s">
        <v>1009</v>
      </c>
      <c r="M129" s="38" t="s">
        <v>1010</v>
      </c>
      <c r="N129" s="31" t="s">
        <v>1011</v>
      </c>
      <c r="O129" s="39">
        <v>1132</v>
      </c>
      <c r="P129" s="39">
        <v>477</v>
      </c>
      <c r="Q129" s="41">
        <v>44503</v>
      </c>
      <c r="R129" s="41">
        <v>46331</v>
      </c>
      <c r="S129" s="42">
        <v>1246590</v>
      </c>
      <c r="T129" s="43">
        <v>2.2499999999999999E-2</v>
      </c>
      <c r="U129" s="42">
        <v>1121931</v>
      </c>
      <c r="V129" s="42">
        <v>25243.447499999998</v>
      </c>
      <c r="W129" s="44">
        <v>0</v>
      </c>
      <c r="X129" s="45">
        <v>25243</v>
      </c>
      <c r="Y129" s="46" t="s">
        <v>71</v>
      </c>
      <c r="Z129" s="39" t="s">
        <v>40</v>
      </c>
      <c r="AA129" s="31" t="s">
        <v>41</v>
      </c>
      <c r="AB129" s="31" t="s">
        <v>198</v>
      </c>
      <c r="AC129" s="37">
        <v>45596</v>
      </c>
      <c r="AD129" s="65"/>
      <c r="AE129" s="65" t="s">
        <v>2234</v>
      </c>
      <c r="AF129" s="66">
        <v>25243</v>
      </c>
      <c r="AG129" s="67">
        <f t="shared" si="1"/>
        <v>0</v>
      </c>
      <c r="AH129" s="65" t="s">
        <v>2376</v>
      </c>
    </row>
    <row r="130" spans="1:34">
      <c r="A130" s="32">
        <v>45566</v>
      </c>
      <c r="B130" s="33" t="s">
        <v>29</v>
      </c>
      <c r="C130" s="34" t="s">
        <v>1012</v>
      </c>
      <c r="D130" s="35" t="s">
        <v>64</v>
      </c>
      <c r="E130" s="36">
        <v>45591</v>
      </c>
      <c r="F130" s="37">
        <v>45956</v>
      </c>
      <c r="G130" s="34" t="s">
        <v>74</v>
      </c>
      <c r="H130" s="38">
        <v>2022</v>
      </c>
      <c r="I130" s="39" t="s">
        <v>1013</v>
      </c>
      <c r="J130" s="38" t="s">
        <v>1014</v>
      </c>
      <c r="K130" s="38" t="s">
        <v>1015</v>
      </c>
      <c r="L130" s="40" t="s">
        <v>1016</v>
      </c>
      <c r="M130" s="38" t="s">
        <v>1017</v>
      </c>
      <c r="N130" s="31" t="s">
        <v>1018</v>
      </c>
      <c r="O130" s="39">
        <v>1122</v>
      </c>
      <c r="P130" s="39">
        <v>450</v>
      </c>
      <c r="Q130" s="41">
        <v>44867</v>
      </c>
      <c r="R130" s="41">
        <v>46685</v>
      </c>
      <c r="S130" s="42">
        <v>1507500</v>
      </c>
      <c r="T130" s="43">
        <v>1.9900000000000001E-2</v>
      </c>
      <c r="U130" s="42">
        <v>1356750</v>
      </c>
      <c r="V130" s="42">
        <v>26999.325000000001</v>
      </c>
      <c r="W130" s="44">
        <v>0</v>
      </c>
      <c r="X130" s="45">
        <v>26999</v>
      </c>
      <c r="Y130" s="46" t="s">
        <v>71</v>
      </c>
      <c r="Z130" s="39" t="s">
        <v>40</v>
      </c>
      <c r="AA130" s="31" t="s">
        <v>41</v>
      </c>
      <c r="AB130" s="31" t="s">
        <v>72</v>
      </c>
      <c r="AC130" s="37">
        <v>45596</v>
      </c>
      <c r="AD130" s="65"/>
      <c r="AE130" s="65" t="s">
        <v>2235</v>
      </c>
      <c r="AF130" s="66">
        <v>26999</v>
      </c>
      <c r="AG130" s="67">
        <f t="shared" si="1"/>
        <v>0</v>
      </c>
      <c r="AH130" s="65" t="s">
        <v>2376</v>
      </c>
    </row>
    <row r="131" spans="1:34">
      <c r="A131" s="32">
        <v>45566</v>
      </c>
      <c r="B131" s="33" t="s">
        <v>29</v>
      </c>
      <c r="C131" s="34" t="s">
        <v>1019</v>
      </c>
      <c r="D131" s="35" t="s">
        <v>64</v>
      </c>
      <c r="E131" s="36">
        <v>45592</v>
      </c>
      <c r="F131" s="37">
        <v>45957</v>
      </c>
      <c r="G131" s="34" t="s">
        <v>246</v>
      </c>
      <c r="H131" s="38">
        <v>2021</v>
      </c>
      <c r="I131" s="39" t="s">
        <v>1020</v>
      </c>
      <c r="J131" s="38" t="s">
        <v>1021</v>
      </c>
      <c r="K131" s="38" t="s">
        <v>1022</v>
      </c>
      <c r="L131" s="40" t="s">
        <v>1023</v>
      </c>
      <c r="M131" s="38" t="s">
        <v>1024</v>
      </c>
      <c r="N131" s="31" t="s">
        <v>1025</v>
      </c>
      <c r="O131" s="39">
        <v>2002</v>
      </c>
      <c r="P131" s="39">
        <v>477</v>
      </c>
      <c r="Q131" s="41">
        <v>44498</v>
      </c>
      <c r="R131" s="41">
        <v>47062</v>
      </c>
      <c r="S131" s="42">
        <v>3900150</v>
      </c>
      <c r="T131" s="43">
        <v>2.2499999999999999E-2</v>
      </c>
      <c r="U131" s="42">
        <v>3510135</v>
      </c>
      <c r="V131" s="42">
        <v>78978.037499999991</v>
      </c>
      <c r="W131" s="44">
        <v>0</v>
      </c>
      <c r="X131" s="45">
        <v>78978</v>
      </c>
      <c r="Y131" s="46" t="s">
        <v>71</v>
      </c>
      <c r="Z131" s="39" t="s">
        <v>40</v>
      </c>
      <c r="AA131" s="31" t="s">
        <v>41</v>
      </c>
      <c r="AB131" s="31" t="s">
        <v>198</v>
      </c>
      <c r="AC131" s="37">
        <v>45596</v>
      </c>
      <c r="AD131" s="65"/>
      <c r="AE131" s="65" t="s">
        <v>2236</v>
      </c>
      <c r="AF131" s="66">
        <v>78978</v>
      </c>
      <c r="AG131" s="67">
        <f t="shared" si="1"/>
        <v>0</v>
      </c>
      <c r="AH131" s="65" t="s">
        <v>2376</v>
      </c>
    </row>
    <row r="132" spans="1:34">
      <c r="A132" s="32">
        <v>45566</v>
      </c>
      <c r="B132" s="33" t="s">
        <v>29</v>
      </c>
      <c r="C132" s="34" t="s">
        <v>1026</v>
      </c>
      <c r="D132" s="35" t="s">
        <v>64</v>
      </c>
      <c r="E132" s="36">
        <v>45592</v>
      </c>
      <c r="F132" s="37">
        <v>45957</v>
      </c>
      <c r="G132" s="34" t="s">
        <v>1027</v>
      </c>
      <c r="H132" s="38">
        <v>2018</v>
      </c>
      <c r="I132" s="39" t="s">
        <v>1028</v>
      </c>
      <c r="J132" s="38" t="s">
        <v>1029</v>
      </c>
      <c r="K132" s="38" t="s">
        <v>1030</v>
      </c>
      <c r="L132" s="40" t="s">
        <v>1031</v>
      </c>
      <c r="M132" s="38" t="s">
        <v>1032</v>
      </c>
      <c r="N132" s="31" t="s">
        <v>1033</v>
      </c>
      <c r="O132" s="39">
        <v>3034</v>
      </c>
      <c r="P132" s="39">
        <v>450</v>
      </c>
      <c r="Q132" s="41">
        <v>44502</v>
      </c>
      <c r="R132" s="41">
        <v>46331</v>
      </c>
      <c r="S132" s="42">
        <v>810000</v>
      </c>
      <c r="T132" s="43">
        <v>2.2499999999999999E-2</v>
      </c>
      <c r="U132" s="42">
        <v>729000</v>
      </c>
      <c r="V132" s="42">
        <v>16402.5</v>
      </c>
      <c r="W132" s="44">
        <v>0</v>
      </c>
      <c r="X132" s="45">
        <v>16403</v>
      </c>
      <c r="Y132" s="46" t="s">
        <v>71</v>
      </c>
      <c r="Z132" s="39" t="s">
        <v>40</v>
      </c>
      <c r="AA132" s="31" t="s">
        <v>41</v>
      </c>
      <c r="AB132" s="31" t="s">
        <v>198</v>
      </c>
      <c r="AC132" s="37">
        <v>45596</v>
      </c>
      <c r="AD132" s="65"/>
      <c r="AE132" s="65" t="s">
        <v>2237</v>
      </c>
      <c r="AF132" s="66">
        <v>16403</v>
      </c>
      <c r="AG132" s="67">
        <f t="shared" ref="AG132:AG195" si="2">X132-AF132</f>
        <v>0</v>
      </c>
      <c r="AH132" s="65" t="s">
        <v>2376</v>
      </c>
    </row>
    <row r="133" spans="1:34">
      <c r="A133" s="32">
        <v>45566</v>
      </c>
      <c r="B133" s="33" t="s">
        <v>29</v>
      </c>
      <c r="C133" s="34" t="s">
        <v>1034</v>
      </c>
      <c r="D133" s="35" t="s">
        <v>64</v>
      </c>
      <c r="E133" s="36">
        <v>45592</v>
      </c>
      <c r="F133" s="37">
        <v>45957</v>
      </c>
      <c r="G133" s="34" t="s">
        <v>223</v>
      </c>
      <c r="H133" s="38">
        <v>2016</v>
      </c>
      <c r="I133" s="39" t="s">
        <v>1035</v>
      </c>
      <c r="J133" s="38" t="s">
        <v>1036</v>
      </c>
      <c r="K133" s="38" t="s">
        <v>1037</v>
      </c>
      <c r="L133" s="40" t="s">
        <v>1038</v>
      </c>
      <c r="M133" s="38" t="s">
        <v>1039</v>
      </c>
      <c r="N133" s="31" t="s">
        <v>1040</v>
      </c>
      <c r="O133" s="39">
        <v>2002</v>
      </c>
      <c r="P133" s="39">
        <v>477</v>
      </c>
      <c r="Q133" s="41">
        <v>44508</v>
      </c>
      <c r="R133" s="41">
        <v>46331</v>
      </c>
      <c r="S133" s="42">
        <v>2042010</v>
      </c>
      <c r="T133" s="43">
        <v>2.2499999999999999E-2</v>
      </c>
      <c r="U133" s="42">
        <v>1837809</v>
      </c>
      <c r="V133" s="42">
        <v>41350.702499999999</v>
      </c>
      <c r="W133" s="44">
        <v>0</v>
      </c>
      <c r="X133" s="45">
        <v>41351</v>
      </c>
      <c r="Y133" s="46" t="s">
        <v>71</v>
      </c>
      <c r="Z133" s="39" t="s">
        <v>40</v>
      </c>
      <c r="AA133" s="31" t="s">
        <v>41</v>
      </c>
      <c r="AB133" s="31" t="s">
        <v>198</v>
      </c>
      <c r="AC133" s="37">
        <v>45596</v>
      </c>
      <c r="AD133" s="65"/>
      <c r="AE133" s="65" t="s">
        <v>2238</v>
      </c>
      <c r="AF133" s="66">
        <v>41351</v>
      </c>
      <c r="AG133" s="67">
        <f t="shared" si="2"/>
        <v>0</v>
      </c>
      <c r="AH133" s="65" t="s">
        <v>2376</v>
      </c>
    </row>
    <row r="134" spans="1:34">
      <c r="A134" s="32">
        <v>45566</v>
      </c>
      <c r="B134" s="33" t="s">
        <v>29</v>
      </c>
      <c r="C134" s="34" t="s">
        <v>1041</v>
      </c>
      <c r="D134" s="35" t="s">
        <v>64</v>
      </c>
      <c r="E134" s="36">
        <v>45592</v>
      </c>
      <c r="F134" s="37">
        <v>45957</v>
      </c>
      <c r="G134" s="34" t="s">
        <v>1042</v>
      </c>
      <c r="H134" s="38">
        <v>2015</v>
      </c>
      <c r="I134" s="39" t="s">
        <v>1043</v>
      </c>
      <c r="J134" s="38" t="s">
        <v>1044</v>
      </c>
      <c r="K134" s="38" t="s">
        <v>1045</v>
      </c>
      <c r="L134" s="40" t="s">
        <v>1046</v>
      </c>
      <c r="M134" s="38" t="s">
        <v>1047</v>
      </c>
      <c r="N134" s="31" t="s">
        <v>1048</v>
      </c>
      <c r="O134" s="39">
        <v>1003</v>
      </c>
      <c r="P134" s="39">
        <v>459</v>
      </c>
      <c r="Q134" s="41">
        <v>44158</v>
      </c>
      <c r="R134" s="41">
        <v>46686</v>
      </c>
      <c r="S134" s="42">
        <v>1800000</v>
      </c>
      <c r="T134" s="43">
        <v>1.7999999999999999E-2</v>
      </c>
      <c r="U134" s="42">
        <v>1620000</v>
      </c>
      <c r="V134" s="42">
        <v>29159.999999999996</v>
      </c>
      <c r="W134" s="44">
        <v>0</v>
      </c>
      <c r="X134" s="45">
        <v>29160</v>
      </c>
      <c r="Y134" s="46" t="s">
        <v>71</v>
      </c>
      <c r="Z134" s="39" t="s">
        <v>40</v>
      </c>
      <c r="AA134" s="31" t="s">
        <v>62</v>
      </c>
      <c r="AB134" s="31" t="s">
        <v>198</v>
      </c>
      <c r="AC134" s="37">
        <v>45596</v>
      </c>
      <c r="AD134" s="65"/>
      <c r="AE134" s="78" t="s">
        <v>2380</v>
      </c>
      <c r="AF134" s="77"/>
      <c r="AG134" s="67"/>
      <c r="AH134" s="65"/>
    </row>
    <row r="135" spans="1:34">
      <c r="A135" s="32">
        <v>45566</v>
      </c>
      <c r="B135" s="33" t="s">
        <v>29</v>
      </c>
      <c r="C135" s="34" t="s">
        <v>1049</v>
      </c>
      <c r="D135" s="35" t="s">
        <v>64</v>
      </c>
      <c r="E135" s="36">
        <v>45592</v>
      </c>
      <c r="F135" s="37">
        <v>45957</v>
      </c>
      <c r="G135" s="34" t="s">
        <v>223</v>
      </c>
      <c r="H135" s="38">
        <v>2021</v>
      </c>
      <c r="I135" s="39" t="s">
        <v>1050</v>
      </c>
      <c r="J135" s="38" t="s">
        <v>1051</v>
      </c>
      <c r="K135" s="38" t="s">
        <v>1052</v>
      </c>
      <c r="L135" s="40" t="s">
        <v>1053</v>
      </c>
      <c r="M135" s="38" t="s">
        <v>1054</v>
      </c>
      <c r="N135" s="31" t="s">
        <v>1055</v>
      </c>
      <c r="O135" s="39">
        <v>2048</v>
      </c>
      <c r="P135" s="39">
        <v>477</v>
      </c>
      <c r="Q135" s="41">
        <v>44501</v>
      </c>
      <c r="R135" s="41">
        <v>46331</v>
      </c>
      <c r="S135" s="42">
        <v>3249720</v>
      </c>
      <c r="T135" s="43">
        <v>2.2499999999999999E-2</v>
      </c>
      <c r="U135" s="42">
        <v>2924748</v>
      </c>
      <c r="V135" s="42">
        <v>65806.83</v>
      </c>
      <c r="W135" s="44">
        <v>0</v>
      </c>
      <c r="X135" s="45">
        <v>65807</v>
      </c>
      <c r="Y135" s="46" t="s">
        <v>71</v>
      </c>
      <c r="Z135" s="39" t="s">
        <v>40</v>
      </c>
      <c r="AA135" s="31" t="s">
        <v>41</v>
      </c>
      <c r="AB135" s="31" t="s">
        <v>198</v>
      </c>
      <c r="AC135" s="37">
        <v>45596</v>
      </c>
      <c r="AD135" s="65"/>
      <c r="AE135" s="65" t="s">
        <v>2239</v>
      </c>
      <c r="AF135" s="66">
        <v>65807</v>
      </c>
      <c r="AG135" s="67">
        <f t="shared" si="2"/>
        <v>0</v>
      </c>
      <c r="AH135" s="65" t="s">
        <v>2376</v>
      </c>
    </row>
    <row r="136" spans="1:34">
      <c r="A136" s="32">
        <v>45566</v>
      </c>
      <c r="B136" s="33" t="s">
        <v>29</v>
      </c>
      <c r="C136" s="34" t="s">
        <v>1056</v>
      </c>
      <c r="D136" s="35" t="s">
        <v>64</v>
      </c>
      <c r="E136" s="36">
        <v>45592</v>
      </c>
      <c r="F136" s="37">
        <v>45957</v>
      </c>
      <c r="G136" s="34" t="s">
        <v>395</v>
      </c>
      <c r="H136" s="38">
        <v>2021</v>
      </c>
      <c r="I136" s="39" t="s">
        <v>1057</v>
      </c>
      <c r="J136" s="38" t="s">
        <v>1058</v>
      </c>
      <c r="K136" s="38" t="s">
        <v>1059</v>
      </c>
      <c r="L136" s="40" t="s">
        <v>1060</v>
      </c>
      <c r="M136" s="38" t="s">
        <v>1061</v>
      </c>
      <c r="N136" s="31" t="s">
        <v>1062</v>
      </c>
      <c r="O136" s="39">
        <v>2054</v>
      </c>
      <c r="P136" s="39">
        <v>450</v>
      </c>
      <c r="Q136" s="41">
        <v>44503</v>
      </c>
      <c r="R136" s="41">
        <v>46320</v>
      </c>
      <c r="S136" s="42">
        <v>1232010</v>
      </c>
      <c r="T136" s="43">
        <v>2.2499999999999999E-2</v>
      </c>
      <c r="U136" s="42">
        <v>1108809</v>
      </c>
      <c r="V136" s="42">
        <v>24948.202499999999</v>
      </c>
      <c r="W136" s="44">
        <v>0</v>
      </c>
      <c r="X136" s="45">
        <v>24948</v>
      </c>
      <c r="Y136" s="46" t="s">
        <v>71</v>
      </c>
      <c r="Z136" s="39" t="s">
        <v>40</v>
      </c>
      <c r="AA136" s="31" t="s">
        <v>41</v>
      </c>
      <c r="AB136" s="31" t="s">
        <v>198</v>
      </c>
      <c r="AC136" s="37">
        <v>45596</v>
      </c>
      <c r="AD136" s="65"/>
      <c r="AE136" s="65" t="s">
        <v>2240</v>
      </c>
      <c r="AF136" s="66">
        <v>24948</v>
      </c>
      <c r="AG136" s="67">
        <f t="shared" si="2"/>
        <v>0</v>
      </c>
      <c r="AH136" s="65" t="s">
        <v>2376</v>
      </c>
    </row>
    <row r="137" spans="1:34">
      <c r="A137" s="32">
        <v>45566</v>
      </c>
      <c r="B137" s="33" t="s">
        <v>29</v>
      </c>
      <c r="C137" s="34" t="s">
        <v>1063</v>
      </c>
      <c r="D137" s="35" t="s">
        <v>64</v>
      </c>
      <c r="E137" s="36">
        <v>45592</v>
      </c>
      <c r="F137" s="37">
        <v>45957</v>
      </c>
      <c r="G137" s="34" t="s">
        <v>74</v>
      </c>
      <c r="H137" s="38">
        <v>2022</v>
      </c>
      <c r="I137" s="39" t="s">
        <v>1064</v>
      </c>
      <c r="J137" s="38" t="s">
        <v>1065</v>
      </c>
      <c r="K137" s="38" t="s">
        <v>1066</v>
      </c>
      <c r="L137" s="40" t="s">
        <v>1067</v>
      </c>
      <c r="M137" s="38" t="s">
        <v>1068</v>
      </c>
      <c r="N137" s="31" t="s">
        <v>1069</v>
      </c>
      <c r="O137" s="39">
        <v>1099</v>
      </c>
      <c r="P137" s="39">
        <v>450</v>
      </c>
      <c r="Q137" s="41">
        <v>44862</v>
      </c>
      <c r="R137" s="41">
        <v>46696</v>
      </c>
      <c r="S137" s="42">
        <v>1697400</v>
      </c>
      <c r="T137" s="43">
        <v>1.9900000000000001E-2</v>
      </c>
      <c r="U137" s="42">
        <v>1527660</v>
      </c>
      <c r="V137" s="42">
        <v>30400.434000000001</v>
      </c>
      <c r="W137" s="44">
        <v>0</v>
      </c>
      <c r="X137" s="45">
        <v>30400</v>
      </c>
      <c r="Y137" s="46" t="s">
        <v>71</v>
      </c>
      <c r="Z137" s="39" t="s">
        <v>40</v>
      </c>
      <c r="AA137" s="31" t="s">
        <v>41</v>
      </c>
      <c r="AB137" s="31" t="s">
        <v>72</v>
      </c>
      <c r="AC137" s="37">
        <v>45596</v>
      </c>
      <c r="AD137" s="65"/>
      <c r="AE137" s="65" t="s">
        <v>2241</v>
      </c>
      <c r="AF137" s="66">
        <v>30400</v>
      </c>
      <c r="AG137" s="67">
        <f t="shared" si="2"/>
        <v>0</v>
      </c>
      <c r="AH137" s="65" t="s">
        <v>2376</v>
      </c>
    </row>
    <row r="138" spans="1:34">
      <c r="A138" s="32">
        <v>45566</v>
      </c>
      <c r="B138" s="33" t="s">
        <v>29</v>
      </c>
      <c r="C138" s="34" t="s">
        <v>1070</v>
      </c>
      <c r="D138" s="35" t="s">
        <v>64</v>
      </c>
      <c r="E138" s="36">
        <v>45592</v>
      </c>
      <c r="F138" s="37">
        <v>45957</v>
      </c>
      <c r="G138" s="34" t="s">
        <v>1071</v>
      </c>
      <c r="H138" s="38">
        <v>2021</v>
      </c>
      <c r="I138" s="39" t="s">
        <v>1072</v>
      </c>
      <c r="J138" s="38" t="s">
        <v>1073</v>
      </c>
      <c r="K138" s="38" t="s">
        <v>1074</v>
      </c>
      <c r="L138" s="40" t="s">
        <v>1075</v>
      </c>
      <c r="M138" s="38" t="s">
        <v>1076</v>
      </c>
      <c r="N138" s="31" t="s">
        <v>1077</v>
      </c>
      <c r="O138" s="39">
        <v>2002</v>
      </c>
      <c r="P138" s="39">
        <v>477</v>
      </c>
      <c r="Q138" s="41">
        <v>44498</v>
      </c>
      <c r="R138" s="41">
        <v>46331</v>
      </c>
      <c r="S138" s="42">
        <v>2272050</v>
      </c>
      <c r="T138" s="43">
        <v>2.2499999999999999E-2</v>
      </c>
      <c r="U138" s="42">
        <v>2044845</v>
      </c>
      <c r="V138" s="42">
        <v>46009.012499999997</v>
      </c>
      <c r="W138" s="44">
        <v>0</v>
      </c>
      <c r="X138" s="45">
        <v>46009</v>
      </c>
      <c r="Y138" s="46" t="s">
        <v>71</v>
      </c>
      <c r="Z138" s="39" t="s">
        <v>40</v>
      </c>
      <c r="AA138" s="31" t="s">
        <v>41</v>
      </c>
      <c r="AB138" s="31" t="s">
        <v>198</v>
      </c>
      <c r="AC138" s="37">
        <v>45596</v>
      </c>
      <c r="AD138" s="65"/>
      <c r="AE138" s="65" t="s">
        <v>2242</v>
      </c>
      <c r="AF138" s="66">
        <v>46009</v>
      </c>
      <c r="AG138" s="67">
        <f t="shared" si="2"/>
        <v>0</v>
      </c>
      <c r="AH138" s="65" t="s">
        <v>2376</v>
      </c>
    </row>
    <row r="139" spans="1:34">
      <c r="A139" s="32">
        <v>45566</v>
      </c>
      <c r="B139" s="33" t="s">
        <v>29</v>
      </c>
      <c r="C139" s="34" t="s">
        <v>1078</v>
      </c>
      <c r="D139" s="35" t="s">
        <v>64</v>
      </c>
      <c r="E139" s="36">
        <v>45592</v>
      </c>
      <c r="F139" s="37">
        <v>45957</v>
      </c>
      <c r="G139" s="34" t="s">
        <v>215</v>
      </c>
      <c r="H139" s="38">
        <v>2021</v>
      </c>
      <c r="I139" s="39" t="s">
        <v>1079</v>
      </c>
      <c r="J139" s="38" t="s">
        <v>1080</v>
      </c>
      <c r="K139" s="38" t="s">
        <v>1081</v>
      </c>
      <c r="L139" s="40" t="s">
        <v>1082</v>
      </c>
      <c r="M139" s="38" t="s">
        <v>1083</v>
      </c>
      <c r="N139" s="31" t="s">
        <v>1084</v>
      </c>
      <c r="O139" s="39">
        <v>2002</v>
      </c>
      <c r="P139" s="39">
        <v>477</v>
      </c>
      <c r="Q139" s="41">
        <v>44502</v>
      </c>
      <c r="R139" s="41">
        <v>46331</v>
      </c>
      <c r="S139" s="42">
        <v>1304100</v>
      </c>
      <c r="T139" s="43">
        <v>2.2499999999999999E-2</v>
      </c>
      <c r="U139" s="42">
        <v>1173690</v>
      </c>
      <c r="V139" s="42">
        <v>26408.024999999998</v>
      </c>
      <c r="W139" s="44">
        <v>0</v>
      </c>
      <c r="X139" s="45">
        <v>26408</v>
      </c>
      <c r="Y139" s="46" t="s">
        <v>71</v>
      </c>
      <c r="Z139" s="39" t="s">
        <v>40</v>
      </c>
      <c r="AA139" s="31" t="s">
        <v>41</v>
      </c>
      <c r="AB139" s="31" t="s">
        <v>198</v>
      </c>
      <c r="AC139" s="37">
        <v>45596</v>
      </c>
      <c r="AD139" s="65"/>
      <c r="AE139" s="65" t="s">
        <v>2243</v>
      </c>
      <c r="AF139" s="66">
        <v>26408</v>
      </c>
      <c r="AG139" s="67">
        <f t="shared" si="2"/>
        <v>0</v>
      </c>
      <c r="AH139" s="65" t="s">
        <v>2376</v>
      </c>
    </row>
    <row r="140" spans="1:34">
      <c r="A140" s="32">
        <v>45566</v>
      </c>
      <c r="B140" s="33" t="s">
        <v>29</v>
      </c>
      <c r="C140" s="34" t="s">
        <v>1085</v>
      </c>
      <c r="D140" s="35" t="s">
        <v>64</v>
      </c>
      <c r="E140" s="36">
        <v>45593</v>
      </c>
      <c r="F140" s="37">
        <v>45958</v>
      </c>
      <c r="G140" s="34" t="s">
        <v>1086</v>
      </c>
      <c r="H140" s="38">
        <v>2021</v>
      </c>
      <c r="I140" s="39" t="s">
        <v>1087</v>
      </c>
      <c r="J140" s="38" t="s">
        <v>1088</v>
      </c>
      <c r="K140" s="38" t="s">
        <v>1089</v>
      </c>
      <c r="L140" s="40" t="s">
        <v>1090</v>
      </c>
      <c r="M140" s="38" t="s">
        <v>1091</v>
      </c>
      <c r="N140" s="31" t="s">
        <v>1092</v>
      </c>
      <c r="O140" s="39">
        <v>2070</v>
      </c>
      <c r="P140" s="39">
        <v>450</v>
      </c>
      <c r="Q140" s="41">
        <v>44498</v>
      </c>
      <c r="R140" s="41">
        <v>47062</v>
      </c>
      <c r="S140" s="42">
        <v>5569560</v>
      </c>
      <c r="T140" s="43">
        <v>1.7500000000000002E-2</v>
      </c>
      <c r="U140" s="42">
        <v>5012604</v>
      </c>
      <c r="V140" s="42">
        <v>87720.57</v>
      </c>
      <c r="W140" s="44">
        <v>0</v>
      </c>
      <c r="X140" s="45">
        <v>87721</v>
      </c>
      <c r="Y140" s="46" t="s">
        <v>71</v>
      </c>
      <c r="Z140" s="39" t="s">
        <v>40</v>
      </c>
      <c r="AA140" s="31" t="s">
        <v>41</v>
      </c>
      <c r="AB140" s="31" t="s">
        <v>198</v>
      </c>
      <c r="AC140" s="37">
        <v>45596</v>
      </c>
      <c r="AD140" s="65"/>
      <c r="AE140" s="65" t="s">
        <v>2244</v>
      </c>
      <c r="AF140" s="66">
        <v>87721</v>
      </c>
      <c r="AG140" s="67">
        <f t="shared" si="2"/>
        <v>0</v>
      </c>
      <c r="AH140" s="65" t="s">
        <v>2376</v>
      </c>
    </row>
    <row r="141" spans="1:34">
      <c r="A141" s="32">
        <v>45566</v>
      </c>
      <c r="B141" s="33" t="s">
        <v>29</v>
      </c>
      <c r="C141" s="34" t="s">
        <v>1093</v>
      </c>
      <c r="D141" s="35" t="s">
        <v>64</v>
      </c>
      <c r="E141" s="36">
        <v>45593</v>
      </c>
      <c r="F141" s="37">
        <v>45958</v>
      </c>
      <c r="G141" s="34" t="s">
        <v>1071</v>
      </c>
      <c r="H141" s="38">
        <v>2021</v>
      </c>
      <c r="I141" s="39" t="s">
        <v>1094</v>
      </c>
      <c r="J141" s="38" t="s">
        <v>1095</v>
      </c>
      <c r="K141" s="38" t="s">
        <v>1096</v>
      </c>
      <c r="L141" s="40" t="s">
        <v>1097</v>
      </c>
      <c r="M141" s="38" t="s">
        <v>1098</v>
      </c>
      <c r="N141" s="31" t="s">
        <v>1099</v>
      </c>
      <c r="O141" s="39">
        <v>2053</v>
      </c>
      <c r="P141" s="39">
        <v>450</v>
      </c>
      <c r="Q141" s="41">
        <v>44501</v>
      </c>
      <c r="R141" s="41">
        <v>46331</v>
      </c>
      <c r="S141" s="42">
        <v>2272050</v>
      </c>
      <c r="T141" s="43">
        <v>2.2499999999999999E-2</v>
      </c>
      <c r="U141" s="42">
        <v>2044845</v>
      </c>
      <c r="V141" s="42">
        <v>46009.012499999997</v>
      </c>
      <c r="W141" s="44">
        <v>0</v>
      </c>
      <c r="X141" s="45">
        <v>46009</v>
      </c>
      <c r="Y141" s="46" t="s">
        <v>71</v>
      </c>
      <c r="Z141" s="39" t="s">
        <v>40</v>
      </c>
      <c r="AA141" s="31" t="s">
        <v>41</v>
      </c>
      <c r="AB141" s="31" t="s">
        <v>198</v>
      </c>
      <c r="AC141" s="37">
        <v>45596</v>
      </c>
      <c r="AD141" s="65"/>
      <c r="AE141" s="65" t="s">
        <v>2245</v>
      </c>
      <c r="AF141" s="66">
        <v>46009</v>
      </c>
      <c r="AG141" s="67">
        <f t="shared" si="2"/>
        <v>0</v>
      </c>
      <c r="AH141" s="65" t="s">
        <v>2376</v>
      </c>
    </row>
    <row r="142" spans="1:34">
      <c r="A142" s="32">
        <v>45566</v>
      </c>
      <c r="B142" s="33" t="s">
        <v>29</v>
      </c>
      <c r="C142" s="34" t="s">
        <v>1100</v>
      </c>
      <c r="D142" s="35" t="s">
        <v>64</v>
      </c>
      <c r="E142" s="36">
        <v>45571</v>
      </c>
      <c r="F142" s="37">
        <v>45936</v>
      </c>
      <c r="G142" s="34" t="s">
        <v>215</v>
      </c>
      <c r="H142" s="38">
        <v>2021</v>
      </c>
      <c r="I142" s="39" t="s">
        <v>1101</v>
      </c>
      <c r="J142" s="38" t="s">
        <v>1102</v>
      </c>
      <c r="K142" s="38" t="s">
        <v>1103</v>
      </c>
      <c r="L142" s="40" t="s">
        <v>1104</v>
      </c>
      <c r="M142" s="38" t="s">
        <v>1105</v>
      </c>
      <c r="N142" s="31" t="s">
        <v>1106</v>
      </c>
      <c r="O142" s="39">
        <v>2132</v>
      </c>
      <c r="P142" s="39">
        <v>450</v>
      </c>
      <c r="Q142" s="41">
        <v>44482</v>
      </c>
      <c r="R142" s="41">
        <v>45945</v>
      </c>
      <c r="S142" s="42">
        <v>1304100</v>
      </c>
      <c r="T142" s="43">
        <v>1.9900000000000001E-2</v>
      </c>
      <c r="U142" s="42">
        <v>1173690</v>
      </c>
      <c r="V142" s="42">
        <v>23356.431</v>
      </c>
      <c r="W142" s="44">
        <v>0</v>
      </c>
      <c r="X142" s="45">
        <v>23356</v>
      </c>
      <c r="Y142" s="46" t="s">
        <v>71</v>
      </c>
      <c r="Z142" s="39" t="s">
        <v>40</v>
      </c>
      <c r="AA142" s="31" t="s">
        <v>41</v>
      </c>
      <c r="AB142" s="31" t="s">
        <v>198</v>
      </c>
      <c r="AC142" s="37">
        <v>45596</v>
      </c>
      <c r="AD142" s="65"/>
      <c r="AE142" s="65" t="s">
        <v>2246</v>
      </c>
      <c r="AF142" s="66">
        <v>23356</v>
      </c>
      <c r="AG142" s="67">
        <f t="shared" si="2"/>
        <v>0</v>
      </c>
      <c r="AH142" s="65" t="s">
        <v>2376</v>
      </c>
    </row>
    <row r="143" spans="1:34">
      <c r="A143" s="32">
        <v>45566</v>
      </c>
      <c r="B143" s="33" t="s">
        <v>29</v>
      </c>
      <c r="C143" s="34" t="s">
        <v>1107</v>
      </c>
      <c r="D143" s="35" t="s">
        <v>64</v>
      </c>
      <c r="E143" s="36">
        <v>45593</v>
      </c>
      <c r="F143" s="37">
        <v>45958</v>
      </c>
      <c r="G143" s="34" t="s">
        <v>285</v>
      </c>
      <c r="H143" s="38">
        <v>2021</v>
      </c>
      <c r="I143" s="39" t="s">
        <v>1108</v>
      </c>
      <c r="J143" s="38" t="s">
        <v>1109</v>
      </c>
      <c r="K143" s="38" t="s">
        <v>1110</v>
      </c>
      <c r="L143" s="40" t="s">
        <v>1111</v>
      </c>
      <c r="M143" s="38" t="s">
        <v>1112</v>
      </c>
      <c r="N143" s="31" t="s">
        <v>1113</v>
      </c>
      <c r="O143" s="39">
        <v>2002</v>
      </c>
      <c r="P143" s="39">
        <v>477</v>
      </c>
      <c r="Q143" s="41">
        <v>44503</v>
      </c>
      <c r="R143" s="41">
        <v>46331</v>
      </c>
      <c r="S143" s="42">
        <v>2110050</v>
      </c>
      <c r="T143" s="43">
        <v>2.2499999999999999E-2</v>
      </c>
      <c r="U143" s="42">
        <v>1899045</v>
      </c>
      <c r="V143" s="42">
        <v>42728.512499999997</v>
      </c>
      <c r="W143" s="44">
        <v>0</v>
      </c>
      <c r="X143" s="45">
        <v>42729</v>
      </c>
      <c r="Y143" s="46" t="s">
        <v>71</v>
      </c>
      <c r="Z143" s="39" t="s">
        <v>40</v>
      </c>
      <c r="AA143" s="31" t="s">
        <v>41</v>
      </c>
      <c r="AB143" s="31" t="s">
        <v>198</v>
      </c>
      <c r="AC143" s="37">
        <v>45596</v>
      </c>
      <c r="AD143" s="65"/>
      <c r="AE143" s="65" t="s">
        <v>2247</v>
      </c>
      <c r="AF143" s="66">
        <v>42729</v>
      </c>
      <c r="AG143" s="67">
        <f t="shared" si="2"/>
        <v>0</v>
      </c>
      <c r="AH143" s="65" t="s">
        <v>2376</v>
      </c>
    </row>
    <row r="144" spans="1:34">
      <c r="A144" s="32">
        <v>45566</v>
      </c>
      <c r="B144" s="33" t="s">
        <v>29</v>
      </c>
      <c r="C144" s="34" t="s">
        <v>1114</v>
      </c>
      <c r="D144" s="35" t="s">
        <v>64</v>
      </c>
      <c r="E144" s="36">
        <v>45593</v>
      </c>
      <c r="F144" s="37">
        <v>45958</v>
      </c>
      <c r="G144" s="34" t="s">
        <v>403</v>
      </c>
      <c r="H144" s="38">
        <v>2021</v>
      </c>
      <c r="I144" s="39" t="s">
        <v>1115</v>
      </c>
      <c r="J144" s="38" t="s">
        <v>1116</v>
      </c>
      <c r="K144" s="38" t="s">
        <v>1117</v>
      </c>
      <c r="L144" s="40" t="s">
        <v>1118</v>
      </c>
      <c r="M144" s="38" t="s">
        <v>1119</v>
      </c>
      <c r="N144" s="31" t="s">
        <v>1120</v>
      </c>
      <c r="O144" s="39">
        <v>2002</v>
      </c>
      <c r="P144" s="39">
        <v>477</v>
      </c>
      <c r="Q144" s="41">
        <v>44502</v>
      </c>
      <c r="R144" s="41">
        <v>46331</v>
      </c>
      <c r="S144" s="42">
        <v>2097090</v>
      </c>
      <c r="T144" s="43">
        <v>2.2499999999999999E-2</v>
      </c>
      <c r="U144" s="42">
        <v>1887381</v>
      </c>
      <c r="V144" s="42">
        <v>42466.072500000002</v>
      </c>
      <c r="W144" s="44">
        <v>0</v>
      </c>
      <c r="X144" s="45">
        <v>42466</v>
      </c>
      <c r="Y144" s="46" t="s">
        <v>71</v>
      </c>
      <c r="Z144" s="39" t="s">
        <v>40</v>
      </c>
      <c r="AA144" s="31" t="s">
        <v>41</v>
      </c>
      <c r="AB144" s="31" t="s">
        <v>198</v>
      </c>
      <c r="AC144" s="37">
        <v>45596</v>
      </c>
      <c r="AD144" s="65"/>
      <c r="AE144" s="65" t="s">
        <v>2248</v>
      </c>
      <c r="AF144" s="66">
        <v>42466</v>
      </c>
      <c r="AG144" s="67">
        <f t="shared" si="2"/>
        <v>0</v>
      </c>
      <c r="AH144" s="65" t="s">
        <v>2376</v>
      </c>
    </row>
    <row r="145" spans="1:34">
      <c r="A145" s="32">
        <v>45566</v>
      </c>
      <c r="B145" s="33" t="s">
        <v>29</v>
      </c>
      <c r="C145" s="34" t="s">
        <v>1121</v>
      </c>
      <c r="D145" s="35" t="s">
        <v>64</v>
      </c>
      <c r="E145" s="36">
        <v>45595</v>
      </c>
      <c r="F145" s="37">
        <v>45960</v>
      </c>
      <c r="G145" s="34" t="s">
        <v>1122</v>
      </c>
      <c r="H145" s="38">
        <v>2022</v>
      </c>
      <c r="I145" s="39" t="s">
        <v>1123</v>
      </c>
      <c r="J145" s="38" t="s">
        <v>1124</v>
      </c>
      <c r="K145" s="38" t="s">
        <v>1125</v>
      </c>
      <c r="L145" s="40" t="s">
        <v>1126</v>
      </c>
      <c r="M145" s="38" t="s">
        <v>1127</v>
      </c>
      <c r="N145" s="31" t="s">
        <v>1128</v>
      </c>
      <c r="O145" s="39">
        <v>1177</v>
      </c>
      <c r="P145" s="39">
        <v>450</v>
      </c>
      <c r="Q145" s="41">
        <v>44865</v>
      </c>
      <c r="R145" s="41">
        <v>45955</v>
      </c>
      <c r="S145" s="42">
        <v>3060000</v>
      </c>
      <c r="T145" s="43">
        <v>1.9900000000000001E-2</v>
      </c>
      <c r="U145" s="42">
        <v>2754000</v>
      </c>
      <c r="V145" s="42">
        <v>54804.600000000006</v>
      </c>
      <c r="W145" s="44">
        <v>0</v>
      </c>
      <c r="X145" s="45">
        <v>54805</v>
      </c>
      <c r="Y145" s="46" t="s">
        <v>71</v>
      </c>
      <c r="Z145" s="39" t="s">
        <v>40</v>
      </c>
      <c r="AA145" s="31" t="s">
        <v>41</v>
      </c>
      <c r="AB145" s="31" t="s">
        <v>72</v>
      </c>
      <c r="AC145" s="37">
        <v>45596</v>
      </c>
      <c r="AD145" s="65"/>
      <c r="AE145" s="65" t="s">
        <v>2249</v>
      </c>
      <c r="AF145" s="66">
        <v>54805</v>
      </c>
      <c r="AG145" s="67">
        <f t="shared" si="2"/>
        <v>0</v>
      </c>
      <c r="AH145" s="65" t="s">
        <v>2376</v>
      </c>
    </row>
    <row r="146" spans="1:34">
      <c r="A146" s="32">
        <v>45566</v>
      </c>
      <c r="B146" s="33" t="s">
        <v>29</v>
      </c>
      <c r="C146" s="34" t="s">
        <v>1129</v>
      </c>
      <c r="D146" s="35" t="s">
        <v>64</v>
      </c>
      <c r="E146" s="36">
        <v>45593</v>
      </c>
      <c r="F146" s="37">
        <v>45958</v>
      </c>
      <c r="G146" s="34" t="s">
        <v>1130</v>
      </c>
      <c r="H146" s="38">
        <v>2021</v>
      </c>
      <c r="I146" s="39" t="s">
        <v>1131</v>
      </c>
      <c r="J146" s="38" t="s">
        <v>1132</v>
      </c>
      <c r="K146" s="38" t="s">
        <v>1133</v>
      </c>
      <c r="L146" s="40" t="s">
        <v>1134</v>
      </c>
      <c r="M146" s="38" t="s">
        <v>1135</v>
      </c>
      <c r="N146" s="31" t="s">
        <v>1136</v>
      </c>
      <c r="O146" s="39">
        <v>2100</v>
      </c>
      <c r="P146" s="39">
        <v>450</v>
      </c>
      <c r="Q146" s="41">
        <v>44503</v>
      </c>
      <c r="R146" s="41">
        <v>46331</v>
      </c>
      <c r="S146" s="42">
        <v>1417500</v>
      </c>
      <c r="T146" s="43">
        <v>2.2499999999999999E-2</v>
      </c>
      <c r="U146" s="42">
        <v>1275750</v>
      </c>
      <c r="V146" s="42">
        <v>28704.375</v>
      </c>
      <c r="W146" s="44">
        <v>0</v>
      </c>
      <c r="X146" s="45">
        <v>28704</v>
      </c>
      <c r="Y146" s="46" t="s">
        <v>71</v>
      </c>
      <c r="Z146" s="39" t="s">
        <v>40</v>
      </c>
      <c r="AA146" s="31" t="s">
        <v>41</v>
      </c>
      <c r="AB146" s="31" t="s">
        <v>198</v>
      </c>
      <c r="AC146" s="37">
        <v>45596</v>
      </c>
      <c r="AD146" s="65"/>
      <c r="AE146" s="65" t="s">
        <v>2250</v>
      </c>
      <c r="AF146" s="66">
        <v>28704</v>
      </c>
      <c r="AG146" s="67">
        <f t="shared" si="2"/>
        <v>0</v>
      </c>
      <c r="AH146" s="65" t="s">
        <v>2376</v>
      </c>
    </row>
    <row r="147" spans="1:34">
      <c r="A147" s="32">
        <v>45566</v>
      </c>
      <c r="B147" s="33" t="s">
        <v>29</v>
      </c>
      <c r="C147" s="34" t="s">
        <v>1137</v>
      </c>
      <c r="D147" s="35" t="s">
        <v>64</v>
      </c>
      <c r="E147" s="36">
        <v>45593</v>
      </c>
      <c r="F147" s="37">
        <v>45958</v>
      </c>
      <c r="G147" s="34" t="s">
        <v>708</v>
      </c>
      <c r="H147" s="38">
        <v>2021</v>
      </c>
      <c r="I147" s="39" t="s">
        <v>1138</v>
      </c>
      <c r="J147" s="38" t="s">
        <v>1139</v>
      </c>
      <c r="K147" s="38" t="s">
        <v>1140</v>
      </c>
      <c r="L147" s="40" t="s">
        <v>1141</v>
      </c>
      <c r="M147" s="38" t="s">
        <v>1142</v>
      </c>
      <c r="N147" s="31" t="s">
        <v>1143</v>
      </c>
      <c r="O147" s="39">
        <v>2002</v>
      </c>
      <c r="P147" s="39">
        <v>477</v>
      </c>
      <c r="Q147" s="41">
        <v>44511</v>
      </c>
      <c r="R147" s="41">
        <v>46331</v>
      </c>
      <c r="S147" s="42">
        <v>2187000</v>
      </c>
      <c r="T147" s="43">
        <v>2.2499999999999999E-2</v>
      </c>
      <c r="U147" s="42">
        <v>1968300</v>
      </c>
      <c r="V147" s="42">
        <v>44286.75</v>
      </c>
      <c r="W147" s="44">
        <v>0</v>
      </c>
      <c r="X147" s="45">
        <v>44287</v>
      </c>
      <c r="Y147" s="46" t="s">
        <v>71</v>
      </c>
      <c r="Z147" s="39" t="s">
        <v>40</v>
      </c>
      <c r="AA147" s="31" t="s">
        <v>41</v>
      </c>
      <c r="AB147" s="31" t="s">
        <v>198</v>
      </c>
      <c r="AC147" s="37">
        <v>45596</v>
      </c>
      <c r="AD147" s="65"/>
      <c r="AE147" s="65" t="s">
        <v>2251</v>
      </c>
      <c r="AF147" s="66">
        <v>44287</v>
      </c>
      <c r="AG147" s="67">
        <f t="shared" si="2"/>
        <v>0</v>
      </c>
      <c r="AH147" s="65" t="s">
        <v>2376</v>
      </c>
    </row>
    <row r="148" spans="1:34">
      <c r="A148" s="32">
        <v>45566</v>
      </c>
      <c r="B148" s="33" t="s">
        <v>29</v>
      </c>
      <c r="C148" s="34" t="s">
        <v>1144</v>
      </c>
      <c r="D148" s="35" t="s">
        <v>64</v>
      </c>
      <c r="E148" s="36">
        <v>45593</v>
      </c>
      <c r="F148" s="37">
        <v>45958</v>
      </c>
      <c r="G148" s="34" t="s">
        <v>285</v>
      </c>
      <c r="H148" s="38">
        <v>2021</v>
      </c>
      <c r="I148" s="39" t="s">
        <v>1145</v>
      </c>
      <c r="J148" s="38" t="s">
        <v>1146</v>
      </c>
      <c r="K148" s="38" t="s">
        <v>1147</v>
      </c>
      <c r="L148" s="40" t="s">
        <v>1148</v>
      </c>
      <c r="M148" s="38" t="s">
        <v>1149</v>
      </c>
      <c r="N148" s="31" t="s">
        <v>1150</v>
      </c>
      <c r="O148" s="39">
        <v>1164</v>
      </c>
      <c r="P148" s="39">
        <v>450</v>
      </c>
      <c r="Q148" s="41">
        <v>44502</v>
      </c>
      <c r="R148" s="41">
        <v>46320</v>
      </c>
      <c r="S148" s="42">
        <v>2281770</v>
      </c>
      <c r="T148" s="43">
        <v>1.9900000000000001E-2</v>
      </c>
      <c r="U148" s="42">
        <v>2053593</v>
      </c>
      <c r="V148" s="42">
        <v>40866.500700000004</v>
      </c>
      <c r="W148" s="44">
        <v>0</v>
      </c>
      <c r="X148" s="45">
        <v>40867</v>
      </c>
      <c r="Y148" s="46" t="s">
        <v>71</v>
      </c>
      <c r="Z148" s="39" t="s">
        <v>40</v>
      </c>
      <c r="AA148" s="31" t="s">
        <v>41</v>
      </c>
      <c r="AB148" s="31" t="s">
        <v>198</v>
      </c>
      <c r="AC148" s="37">
        <v>45596</v>
      </c>
      <c r="AD148" s="65"/>
      <c r="AE148" s="65" t="s">
        <v>2252</v>
      </c>
      <c r="AF148" s="66">
        <v>40867</v>
      </c>
      <c r="AG148" s="67">
        <f t="shared" si="2"/>
        <v>0</v>
      </c>
      <c r="AH148" s="65" t="s">
        <v>2376</v>
      </c>
    </row>
    <row r="149" spans="1:34">
      <c r="A149" s="32">
        <v>45566</v>
      </c>
      <c r="B149" s="33" t="s">
        <v>29</v>
      </c>
      <c r="C149" s="34" t="s">
        <v>1151</v>
      </c>
      <c r="D149" s="35" t="s">
        <v>64</v>
      </c>
      <c r="E149" s="36">
        <v>45593</v>
      </c>
      <c r="F149" s="37">
        <v>45958</v>
      </c>
      <c r="G149" s="34" t="s">
        <v>98</v>
      </c>
      <c r="H149" s="38">
        <v>2020</v>
      </c>
      <c r="I149" s="39" t="s">
        <v>1152</v>
      </c>
      <c r="J149" s="38" t="s">
        <v>1153</v>
      </c>
      <c r="K149" s="38" t="s">
        <v>1154</v>
      </c>
      <c r="L149" s="40" t="s">
        <v>1155</v>
      </c>
      <c r="M149" s="38" t="s">
        <v>1156</v>
      </c>
      <c r="N149" s="31" t="s">
        <v>1157</v>
      </c>
      <c r="O149" s="39">
        <v>1004</v>
      </c>
      <c r="P149" s="39">
        <v>477</v>
      </c>
      <c r="Q149" s="41">
        <v>44512</v>
      </c>
      <c r="R149" s="41">
        <v>47062</v>
      </c>
      <c r="S149" s="42">
        <v>1701000</v>
      </c>
      <c r="T149" s="43">
        <v>2.2499999999999999E-2</v>
      </c>
      <c r="U149" s="42">
        <v>1530900</v>
      </c>
      <c r="V149" s="42">
        <v>34445.25</v>
      </c>
      <c r="W149" s="44">
        <v>0</v>
      </c>
      <c r="X149" s="45">
        <v>34445</v>
      </c>
      <c r="Y149" s="46" t="s">
        <v>71</v>
      </c>
      <c r="Z149" s="39" t="s">
        <v>40</v>
      </c>
      <c r="AA149" s="31" t="s">
        <v>41</v>
      </c>
      <c r="AB149" s="31" t="s">
        <v>198</v>
      </c>
      <c r="AC149" s="37">
        <v>45596</v>
      </c>
      <c r="AD149" s="65"/>
      <c r="AE149" s="65" t="s">
        <v>2253</v>
      </c>
      <c r="AF149" s="66">
        <v>34445</v>
      </c>
      <c r="AG149" s="67">
        <f t="shared" si="2"/>
        <v>0</v>
      </c>
      <c r="AH149" s="65" t="s">
        <v>2376</v>
      </c>
    </row>
    <row r="150" spans="1:34">
      <c r="A150" s="32">
        <v>45566</v>
      </c>
      <c r="B150" s="33" t="s">
        <v>29</v>
      </c>
      <c r="C150" s="34" t="s">
        <v>1158</v>
      </c>
      <c r="D150" s="35" t="s">
        <v>64</v>
      </c>
      <c r="E150" s="36">
        <v>45596</v>
      </c>
      <c r="F150" s="37">
        <v>45961</v>
      </c>
      <c r="G150" s="34" t="s">
        <v>129</v>
      </c>
      <c r="H150" s="38">
        <v>2021</v>
      </c>
      <c r="I150" s="39" t="s">
        <v>1159</v>
      </c>
      <c r="J150" s="38" t="s">
        <v>1160</v>
      </c>
      <c r="K150" s="38" t="s">
        <v>1161</v>
      </c>
      <c r="L150" s="40" t="s">
        <v>1162</v>
      </c>
      <c r="M150" s="38" t="s">
        <v>1163</v>
      </c>
      <c r="N150" s="31" t="s">
        <v>1164</v>
      </c>
      <c r="O150" s="39">
        <v>2011</v>
      </c>
      <c r="P150" s="39">
        <v>450</v>
      </c>
      <c r="Q150" s="41">
        <v>44501</v>
      </c>
      <c r="R150" s="41">
        <v>46331</v>
      </c>
      <c r="S150" s="42">
        <v>1081350</v>
      </c>
      <c r="T150" s="43">
        <v>2.2499999999999999E-2</v>
      </c>
      <c r="U150" s="42">
        <v>973215</v>
      </c>
      <c r="V150" s="42">
        <v>21897.337499999998</v>
      </c>
      <c r="W150" s="44">
        <v>0</v>
      </c>
      <c r="X150" s="45">
        <v>21897</v>
      </c>
      <c r="Y150" s="46" t="s">
        <v>71</v>
      </c>
      <c r="Z150" s="39" t="s">
        <v>40</v>
      </c>
      <c r="AA150" s="31" t="s">
        <v>41</v>
      </c>
      <c r="AB150" s="31" t="s">
        <v>198</v>
      </c>
      <c r="AC150" s="37">
        <v>45596</v>
      </c>
      <c r="AD150" s="65"/>
      <c r="AE150" s="65" t="s">
        <v>2254</v>
      </c>
      <c r="AF150" s="66">
        <v>21897</v>
      </c>
      <c r="AG150" s="67">
        <f t="shared" si="2"/>
        <v>0</v>
      </c>
      <c r="AH150" s="65" t="s">
        <v>2376</v>
      </c>
    </row>
    <row r="151" spans="1:34">
      <c r="A151" s="32">
        <v>45566</v>
      </c>
      <c r="B151" s="33" t="s">
        <v>29</v>
      </c>
      <c r="C151" s="34" t="s">
        <v>1165</v>
      </c>
      <c r="D151" s="35" t="s">
        <v>64</v>
      </c>
      <c r="E151" s="36">
        <v>45571</v>
      </c>
      <c r="F151" s="37">
        <v>45936</v>
      </c>
      <c r="G151" s="34" t="s">
        <v>1166</v>
      </c>
      <c r="H151" s="38">
        <v>2021</v>
      </c>
      <c r="I151" s="39" t="s">
        <v>1167</v>
      </c>
      <c r="J151" s="38" t="s">
        <v>1168</v>
      </c>
      <c r="K151" s="38" t="s">
        <v>1169</v>
      </c>
      <c r="L151" s="40" t="s">
        <v>1170</v>
      </c>
      <c r="M151" s="38" t="s">
        <v>1171</v>
      </c>
      <c r="N151" s="31" t="s">
        <v>1172</v>
      </c>
      <c r="O151" s="39">
        <v>3049</v>
      </c>
      <c r="P151" s="39">
        <v>450</v>
      </c>
      <c r="Q151" s="41">
        <v>44478</v>
      </c>
      <c r="R151" s="41">
        <v>47041</v>
      </c>
      <c r="S151" s="42">
        <v>3257820</v>
      </c>
      <c r="T151" s="43">
        <v>2.2499999999999999E-2</v>
      </c>
      <c r="U151" s="42">
        <v>2932038</v>
      </c>
      <c r="V151" s="42">
        <v>65970.854999999996</v>
      </c>
      <c r="W151" s="44">
        <v>0</v>
      </c>
      <c r="X151" s="45">
        <v>65971</v>
      </c>
      <c r="Y151" s="46" t="s">
        <v>71</v>
      </c>
      <c r="Z151" s="39" t="s">
        <v>40</v>
      </c>
      <c r="AA151" s="31" t="s">
        <v>41</v>
      </c>
      <c r="AB151" s="31" t="s">
        <v>198</v>
      </c>
      <c r="AC151" s="37">
        <v>45596</v>
      </c>
      <c r="AD151" s="65"/>
      <c r="AE151" s="65" t="s">
        <v>2255</v>
      </c>
      <c r="AF151" s="66">
        <v>65971</v>
      </c>
      <c r="AG151" s="67">
        <f t="shared" si="2"/>
        <v>0</v>
      </c>
      <c r="AH151" s="65" t="s">
        <v>2376</v>
      </c>
    </row>
    <row r="152" spans="1:34">
      <c r="A152" s="32">
        <v>45566</v>
      </c>
      <c r="B152" s="33" t="s">
        <v>29</v>
      </c>
      <c r="C152" s="34" t="s">
        <v>1173</v>
      </c>
      <c r="D152" s="35" t="s">
        <v>64</v>
      </c>
      <c r="E152" s="36">
        <v>45596</v>
      </c>
      <c r="F152" s="37">
        <v>45961</v>
      </c>
      <c r="G152" s="34" t="s">
        <v>625</v>
      </c>
      <c r="H152" s="38">
        <v>2020</v>
      </c>
      <c r="I152" s="39" t="s">
        <v>1174</v>
      </c>
      <c r="J152" s="38" t="s">
        <v>1175</v>
      </c>
      <c r="K152" s="38" t="s">
        <v>1176</v>
      </c>
      <c r="L152" s="40" t="s">
        <v>1177</v>
      </c>
      <c r="M152" s="38" t="s">
        <v>1178</v>
      </c>
      <c r="N152" s="31" t="s">
        <v>1179</v>
      </c>
      <c r="O152" s="39">
        <v>2100</v>
      </c>
      <c r="P152" s="39">
        <v>450</v>
      </c>
      <c r="Q152" s="41">
        <v>44530</v>
      </c>
      <c r="R152" s="41">
        <v>46331</v>
      </c>
      <c r="S152" s="42">
        <v>3726000</v>
      </c>
      <c r="T152" s="43">
        <v>2.2499999999999999E-2</v>
      </c>
      <c r="U152" s="42">
        <v>3353400</v>
      </c>
      <c r="V152" s="42">
        <v>75451.5</v>
      </c>
      <c r="W152" s="44">
        <v>0</v>
      </c>
      <c r="X152" s="45">
        <v>75452</v>
      </c>
      <c r="Y152" s="46" t="s">
        <v>71</v>
      </c>
      <c r="Z152" s="39" t="s">
        <v>40</v>
      </c>
      <c r="AA152" s="31" t="s">
        <v>41</v>
      </c>
      <c r="AB152" s="31" t="s">
        <v>198</v>
      </c>
      <c r="AC152" s="37">
        <v>45596</v>
      </c>
      <c r="AD152" s="65"/>
      <c r="AE152" s="65" t="s">
        <v>2256</v>
      </c>
      <c r="AF152" s="66">
        <v>75452</v>
      </c>
      <c r="AG152" s="67">
        <f t="shared" si="2"/>
        <v>0</v>
      </c>
      <c r="AH152" s="65" t="s">
        <v>2376</v>
      </c>
    </row>
    <row r="153" spans="1:34">
      <c r="A153" s="32">
        <v>45566</v>
      </c>
      <c r="B153" s="33" t="s">
        <v>29</v>
      </c>
      <c r="C153" s="34" t="s">
        <v>1180</v>
      </c>
      <c r="D153" s="35" t="s">
        <v>64</v>
      </c>
      <c r="E153" s="36">
        <v>45595</v>
      </c>
      <c r="F153" s="37">
        <v>45960</v>
      </c>
      <c r="G153" s="34" t="s">
        <v>129</v>
      </c>
      <c r="H153" s="38">
        <v>2021</v>
      </c>
      <c r="I153" s="39" t="s">
        <v>1181</v>
      </c>
      <c r="J153" s="38" t="s">
        <v>1182</v>
      </c>
      <c r="K153" s="38" t="s">
        <v>1183</v>
      </c>
      <c r="L153" s="40" t="s">
        <v>1184</v>
      </c>
      <c r="M153" s="38" t="s">
        <v>1185</v>
      </c>
      <c r="N153" s="31" t="s">
        <v>1186</v>
      </c>
      <c r="O153" s="39">
        <v>1186</v>
      </c>
      <c r="P153" s="39">
        <v>450</v>
      </c>
      <c r="Q153" s="41">
        <v>44865</v>
      </c>
      <c r="R153" s="41">
        <v>46685</v>
      </c>
      <c r="S153" s="42">
        <v>1890000</v>
      </c>
      <c r="T153" s="43">
        <v>1.9900000000000001E-2</v>
      </c>
      <c r="U153" s="42">
        <v>1701000</v>
      </c>
      <c r="V153" s="42">
        <v>33849.9</v>
      </c>
      <c r="W153" s="44">
        <v>0</v>
      </c>
      <c r="X153" s="45">
        <v>33850</v>
      </c>
      <c r="Y153" s="46" t="s">
        <v>71</v>
      </c>
      <c r="Z153" s="39" t="s">
        <v>40</v>
      </c>
      <c r="AA153" s="31" t="s">
        <v>41</v>
      </c>
      <c r="AB153" s="31" t="s">
        <v>72</v>
      </c>
      <c r="AC153" s="37">
        <v>45596</v>
      </c>
      <c r="AD153" s="65"/>
      <c r="AE153" s="65" t="s">
        <v>2257</v>
      </c>
      <c r="AF153" s="66">
        <v>33850</v>
      </c>
      <c r="AG153" s="67">
        <f t="shared" si="2"/>
        <v>0</v>
      </c>
      <c r="AH153" s="65" t="s">
        <v>2376</v>
      </c>
    </row>
    <row r="154" spans="1:34">
      <c r="A154" s="32">
        <v>45566</v>
      </c>
      <c r="B154" s="33" t="s">
        <v>29</v>
      </c>
      <c r="C154" s="34" t="s">
        <v>1187</v>
      </c>
      <c r="D154" s="35" t="s">
        <v>64</v>
      </c>
      <c r="E154" s="36">
        <v>45596</v>
      </c>
      <c r="F154" s="37">
        <v>45961</v>
      </c>
      <c r="G154" s="34" t="s">
        <v>1042</v>
      </c>
      <c r="H154" s="38">
        <v>2016</v>
      </c>
      <c r="I154" s="39" t="s">
        <v>1188</v>
      </c>
      <c r="J154" s="38" t="s">
        <v>1189</v>
      </c>
      <c r="K154" s="38" t="s">
        <v>1190</v>
      </c>
      <c r="L154" s="40" t="s">
        <v>1191</v>
      </c>
      <c r="M154" s="38" t="s">
        <v>1192</v>
      </c>
      <c r="N154" s="31" t="s">
        <v>1193</v>
      </c>
      <c r="O154" s="39">
        <v>1147</v>
      </c>
      <c r="P154" s="39">
        <v>450</v>
      </c>
      <c r="Q154" s="41">
        <v>44504</v>
      </c>
      <c r="R154" s="41">
        <v>46320</v>
      </c>
      <c r="S154" s="42">
        <v>1822500</v>
      </c>
      <c r="T154" s="43">
        <v>2.2499999999999999E-2</v>
      </c>
      <c r="U154" s="42">
        <v>1640250</v>
      </c>
      <c r="V154" s="42">
        <v>36905.625</v>
      </c>
      <c r="W154" s="44">
        <v>0</v>
      </c>
      <c r="X154" s="45">
        <v>36906</v>
      </c>
      <c r="Y154" s="46" t="s">
        <v>71</v>
      </c>
      <c r="Z154" s="39" t="s">
        <v>40</v>
      </c>
      <c r="AA154" s="31" t="s">
        <v>41</v>
      </c>
      <c r="AB154" s="31" t="s">
        <v>198</v>
      </c>
      <c r="AC154" s="37">
        <v>45596</v>
      </c>
      <c r="AD154" s="65"/>
      <c r="AE154" s="65" t="s">
        <v>2258</v>
      </c>
      <c r="AF154" s="66">
        <v>36906</v>
      </c>
      <c r="AG154" s="67">
        <f t="shared" si="2"/>
        <v>0</v>
      </c>
      <c r="AH154" s="65" t="s">
        <v>2376</v>
      </c>
    </row>
    <row r="155" spans="1:34">
      <c r="A155" s="32">
        <v>45566</v>
      </c>
      <c r="B155" s="33" t="s">
        <v>29</v>
      </c>
      <c r="C155" s="34" t="s">
        <v>1194</v>
      </c>
      <c r="D155" s="35" t="s">
        <v>64</v>
      </c>
      <c r="E155" s="36">
        <v>45596</v>
      </c>
      <c r="F155" s="37">
        <v>45961</v>
      </c>
      <c r="G155" s="34" t="s">
        <v>74</v>
      </c>
      <c r="H155" s="38">
        <v>2021</v>
      </c>
      <c r="I155" s="39" t="s">
        <v>1195</v>
      </c>
      <c r="J155" s="38" t="s">
        <v>1196</v>
      </c>
      <c r="K155" s="38" t="s">
        <v>1197</v>
      </c>
      <c r="L155" s="40" t="s">
        <v>1198</v>
      </c>
      <c r="M155" s="38" t="s">
        <v>1199</v>
      </c>
      <c r="N155" s="31" t="s">
        <v>1200</v>
      </c>
      <c r="O155" s="39">
        <v>1054</v>
      </c>
      <c r="P155" s="39">
        <v>477</v>
      </c>
      <c r="Q155" s="41">
        <v>44503</v>
      </c>
      <c r="R155" s="41">
        <v>46331</v>
      </c>
      <c r="S155" s="42">
        <v>1232010</v>
      </c>
      <c r="T155" s="43">
        <v>1.9900000000000001E-2</v>
      </c>
      <c r="U155" s="42">
        <v>1108809</v>
      </c>
      <c r="V155" s="42">
        <v>22065.2991</v>
      </c>
      <c r="W155" s="44">
        <v>0</v>
      </c>
      <c r="X155" s="45">
        <v>22065</v>
      </c>
      <c r="Y155" s="46" t="s">
        <v>71</v>
      </c>
      <c r="Z155" s="39" t="s">
        <v>40</v>
      </c>
      <c r="AA155" s="31" t="s">
        <v>41</v>
      </c>
      <c r="AB155" s="31" t="s">
        <v>198</v>
      </c>
      <c r="AC155" s="37">
        <v>45596</v>
      </c>
      <c r="AD155" s="65"/>
      <c r="AE155" s="65" t="s">
        <v>2259</v>
      </c>
      <c r="AF155" s="66">
        <v>22065</v>
      </c>
      <c r="AG155" s="67">
        <f t="shared" si="2"/>
        <v>0</v>
      </c>
      <c r="AH155" s="65" t="s">
        <v>2376</v>
      </c>
    </row>
    <row r="156" spans="1:34">
      <c r="A156" s="32">
        <v>45566</v>
      </c>
      <c r="B156" s="33" t="s">
        <v>29</v>
      </c>
      <c r="C156" s="34" t="s">
        <v>1201</v>
      </c>
      <c r="D156" s="35" t="s">
        <v>64</v>
      </c>
      <c r="E156" s="36">
        <v>45596</v>
      </c>
      <c r="F156" s="37">
        <v>45961</v>
      </c>
      <c r="G156" s="34" t="s">
        <v>1202</v>
      </c>
      <c r="H156" s="38">
        <v>2021</v>
      </c>
      <c r="I156" s="39" t="s">
        <v>1203</v>
      </c>
      <c r="J156" s="38" t="s">
        <v>1204</v>
      </c>
      <c r="K156" s="38" t="s">
        <v>1205</v>
      </c>
      <c r="L156" s="40" t="s">
        <v>1206</v>
      </c>
      <c r="M156" s="38" t="s">
        <v>1207</v>
      </c>
      <c r="N156" s="31" t="s">
        <v>1208</v>
      </c>
      <c r="O156" s="39">
        <v>2091</v>
      </c>
      <c r="P156" s="39">
        <v>450</v>
      </c>
      <c r="Q156" s="41">
        <v>44502</v>
      </c>
      <c r="R156" s="41">
        <v>46331</v>
      </c>
      <c r="S156" s="42">
        <v>2375730</v>
      </c>
      <c r="T156" s="43">
        <v>1.9900000000000001E-2</v>
      </c>
      <c r="U156" s="42">
        <v>2138157</v>
      </c>
      <c r="V156" s="42">
        <v>42549.3243</v>
      </c>
      <c r="W156" s="44">
        <v>0</v>
      </c>
      <c r="X156" s="45">
        <v>42549</v>
      </c>
      <c r="Y156" s="46" t="s">
        <v>71</v>
      </c>
      <c r="Z156" s="39" t="s">
        <v>40</v>
      </c>
      <c r="AA156" s="31" t="s">
        <v>41</v>
      </c>
      <c r="AB156" s="31" t="s">
        <v>198</v>
      </c>
      <c r="AC156" s="37">
        <v>45596</v>
      </c>
      <c r="AD156" s="65"/>
      <c r="AE156" s="65" t="s">
        <v>2260</v>
      </c>
      <c r="AF156" s="66">
        <v>42549</v>
      </c>
      <c r="AG156" s="67">
        <f t="shared" si="2"/>
        <v>0</v>
      </c>
      <c r="AH156" s="65" t="s">
        <v>2376</v>
      </c>
    </row>
    <row r="157" spans="1:34">
      <c r="A157" s="32">
        <v>45566</v>
      </c>
      <c r="B157" s="33" t="s">
        <v>29</v>
      </c>
      <c r="C157" s="34" t="s">
        <v>1209</v>
      </c>
      <c r="D157" s="35" t="s">
        <v>64</v>
      </c>
      <c r="E157" s="36">
        <v>45596</v>
      </c>
      <c r="F157" s="37">
        <v>45961</v>
      </c>
      <c r="G157" s="34" t="s">
        <v>1210</v>
      </c>
      <c r="H157" s="38">
        <v>2017</v>
      </c>
      <c r="I157" s="39" t="s">
        <v>1211</v>
      </c>
      <c r="J157" s="38" t="s">
        <v>1212</v>
      </c>
      <c r="K157" s="38" t="s">
        <v>1213</v>
      </c>
      <c r="L157" s="40" t="s">
        <v>1214</v>
      </c>
      <c r="M157" s="38" t="s">
        <v>1215</v>
      </c>
      <c r="N157" s="31" t="s">
        <v>1216</v>
      </c>
      <c r="O157" s="39">
        <v>1147</v>
      </c>
      <c r="P157" s="39">
        <v>477</v>
      </c>
      <c r="Q157" s="41">
        <v>44503</v>
      </c>
      <c r="R157" s="41">
        <v>46331</v>
      </c>
      <c r="S157" s="42">
        <v>891000</v>
      </c>
      <c r="T157" s="43">
        <v>2.2499999999999999E-2</v>
      </c>
      <c r="U157" s="42">
        <v>801900</v>
      </c>
      <c r="V157" s="42">
        <v>18042.75</v>
      </c>
      <c r="W157" s="44">
        <v>0</v>
      </c>
      <c r="X157" s="45">
        <v>18043</v>
      </c>
      <c r="Y157" s="46" t="s">
        <v>71</v>
      </c>
      <c r="Z157" s="39" t="s">
        <v>40</v>
      </c>
      <c r="AA157" s="31" t="s">
        <v>41</v>
      </c>
      <c r="AB157" s="31" t="s">
        <v>198</v>
      </c>
      <c r="AC157" s="37">
        <v>45596</v>
      </c>
      <c r="AD157" s="65"/>
      <c r="AE157" s="65" t="s">
        <v>2261</v>
      </c>
      <c r="AF157" s="66">
        <v>18043</v>
      </c>
      <c r="AG157" s="67">
        <f t="shared" si="2"/>
        <v>0</v>
      </c>
      <c r="AH157" s="65" t="s">
        <v>2376</v>
      </c>
    </row>
    <row r="158" spans="1:34">
      <c r="A158" s="32">
        <v>45566</v>
      </c>
      <c r="B158" s="33" t="s">
        <v>29</v>
      </c>
      <c r="C158" s="34" t="s">
        <v>1217</v>
      </c>
      <c r="D158" s="35" t="s">
        <v>64</v>
      </c>
      <c r="E158" s="36">
        <v>45596</v>
      </c>
      <c r="F158" s="37">
        <v>45961</v>
      </c>
      <c r="G158" s="34" t="s">
        <v>1218</v>
      </c>
      <c r="H158" s="38">
        <v>2021</v>
      </c>
      <c r="I158" s="39" t="s">
        <v>1219</v>
      </c>
      <c r="J158" s="38" t="s">
        <v>1220</v>
      </c>
      <c r="K158" s="38" t="s">
        <v>1221</v>
      </c>
      <c r="L158" s="40" t="s">
        <v>1222</v>
      </c>
      <c r="M158" s="38" t="s">
        <v>1223</v>
      </c>
      <c r="N158" s="31" t="s">
        <v>1224</v>
      </c>
      <c r="O158" s="39">
        <v>3082</v>
      </c>
      <c r="P158" s="39">
        <v>450</v>
      </c>
      <c r="Q158" s="41">
        <v>44503</v>
      </c>
      <c r="R158" s="41">
        <v>47062</v>
      </c>
      <c r="S158" s="42">
        <v>1232010</v>
      </c>
      <c r="T158" s="43">
        <v>2.2499999999999999E-2</v>
      </c>
      <c r="U158" s="42">
        <v>1108809</v>
      </c>
      <c r="V158" s="42">
        <v>24948.202499999999</v>
      </c>
      <c r="W158" s="44">
        <v>0</v>
      </c>
      <c r="X158" s="45">
        <v>24948</v>
      </c>
      <c r="Y158" s="46" t="s">
        <v>71</v>
      </c>
      <c r="Z158" s="39" t="s">
        <v>40</v>
      </c>
      <c r="AA158" s="31" t="s">
        <v>41</v>
      </c>
      <c r="AB158" s="31" t="s">
        <v>198</v>
      </c>
      <c r="AC158" s="37">
        <v>45596</v>
      </c>
      <c r="AD158" s="65"/>
      <c r="AE158" s="65" t="s">
        <v>2262</v>
      </c>
      <c r="AF158" s="66">
        <v>24948</v>
      </c>
      <c r="AG158" s="67">
        <f t="shared" si="2"/>
        <v>0</v>
      </c>
      <c r="AH158" s="65" t="s">
        <v>2376</v>
      </c>
    </row>
    <row r="159" spans="1:34">
      <c r="A159" s="32">
        <v>45566</v>
      </c>
      <c r="B159" s="33" t="s">
        <v>29</v>
      </c>
      <c r="C159" s="34" t="s">
        <v>1225</v>
      </c>
      <c r="D159" s="35" t="s">
        <v>64</v>
      </c>
      <c r="E159" s="36">
        <v>45571</v>
      </c>
      <c r="F159" s="37">
        <v>45936</v>
      </c>
      <c r="G159" s="34" t="s">
        <v>767</v>
      </c>
      <c r="H159" s="38">
        <v>2017</v>
      </c>
      <c r="I159" s="39" t="s">
        <v>1226</v>
      </c>
      <c r="J159" s="38" t="s">
        <v>1227</v>
      </c>
      <c r="K159" s="38" t="s">
        <v>1228</v>
      </c>
      <c r="L159" s="40" t="s">
        <v>1229</v>
      </c>
      <c r="M159" s="38" t="s">
        <v>1230</v>
      </c>
      <c r="N159" s="31" t="s">
        <v>1231</v>
      </c>
      <c r="O159" s="39">
        <v>2002</v>
      </c>
      <c r="P159" s="39">
        <v>477</v>
      </c>
      <c r="Q159" s="41">
        <v>44495</v>
      </c>
      <c r="R159" s="41">
        <v>47041</v>
      </c>
      <c r="S159" s="42">
        <v>992250</v>
      </c>
      <c r="T159" s="43">
        <v>2.2499999999999999E-2</v>
      </c>
      <c r="U159" s="42">
        <v>893025</v>
      </c>
      <c r="V159" s="42">
        <v>20093.0625</v>
      </c>
      <c r="W159" s="44">
        <v>0</v>
      </c>
      <c r="X159" s="45">
        <v>20093</v>
      </c>
      <c r="Y159" s="46" t="s">
        <v>71</v>
      </c>
      <c r="Z159" s="39" t="s">
        <v>40</v>
      </c>
      <c r="AA159" s="31" t="s">
        <v>41</v>
      </c>
      <c r="AB159" s="31" t="s">
        <v>198</v>
      </c>
      <c r="AC159" s="37">
        <v>45596</v>
      </c>
      <c r="AD159" s="65"/>
      <c r="AE159" s="65" t="s">
        <v>2263</v>
      </c>
      <c r="AF159" s="66">
        <v>20093</v>
      </c>
      <c r="AG159" s="67">
        <f t="shared" si="2"/>
        <v>0</v>
      </c>
      <c r="AH159" s="65" t="s">
        <v>2376</v>
      </c>
    </row>
    <row r="160" spans="1:34">
      <c r="A160" s="32">
        <v>45566</v>
      </c>
      <c r="B160" s="33" t="s">
        <v>29</v>
      </c>
      <c r="C160" s="34" t="s">
        <v>1232</v>
      </c>
      <c r="D160" s="35" t="s">
        <v>64</v>
      </c>
      <c r="E160" s="36">
        <v>45568</v>
      </c>
      <c r="F160" s="37">
        <v>45933</v>
      </c>
      <c r="G160" s="34" t="s">
        <v>395</v>
      </c>
      <c r="H160" s="38">
        <v>2021</v>
      </c>
      <c r="I160" s="39" t="s">
        <v>1233</v>
      </c>
      <c r="J160" s="38" t="s">
        <v>1234</v>
      </c>
      <c r="K160" s="38" t="s">
        <v>1235</v>
      </c>
      <c r="L160" s="40" t="s">
        <v>1236</v>
      </c>
      <c r="M160" s="38" t="s">
        <v>1237</v>
      </c>
      <c r="N160" s="31" t="s">
        <v>1238</v>
      </c>
      <c r="O160" s="39">
        <v>3018</v>
      </c>
      <c r="P160" s="39">
        <v>550</v>
      </c>
      <c r="Q160" s="41">
        <v>44513</v>
      </c>
      <c r="R160" s="41">
        <v>46300</v>
      </c>
      <c r="S160" s="42">
        <v>1232010</v>
      </c>
      <c r="T160" s="43">
        <v>1.9900000000000001E-2</v>
      </c>
      <c r="U160" s="42">
        <v>1108809</v>
      </c>
      <c r="V160" s="42">
        <v>22065.2991</v>
      </c>
      <c r="W160" s="44">
        <v>0</v>
      </c>
      <c r="X160" s="45">
        <v>22065</v>
      </c>
      <c r="Y160" s="46" t="s">
        <v>71</v>
      </c>
      <c r="Z160" s="39" t="s">
        <v>40</v>
      </c>
      <c r="AA160" s="31" t="s">
        <v>41</v>
      </c>
      <c r="AB160" s="31" t="s">
        <v>198</v>
      </c>
      <c r="AC160" s="37">
        <v>45596</v>
      </c>
      <c r="AD160" s="65"/>
      <c r="AE160" s="65" t="s">
        <v>2264</v>
      </c>
      <c r="AF160" s="66">
        <v>22065</v>
      </c>
      <c r="AG160" s="67">
        <f t="shared" si="2"/>
        <v>0</v>
      </c>
      <c r="AH160" s="65" t="s">
        <v>2376</v>
      </c>
    </row>
    <row r="161" spans="1:34">
      <c r="A161" s="32">
        <v>45566</v>
      </c>
      <c r="B161" s="33" t="s">
        <v>29</v>
      </c>
      <c r="C161" s="34" t="s">
        <v>1239</v>
      </c>
      <c r="D161" s="35" t="s">
        <v>64</v>
      </c>
      <c r="E161" s="36">
        <v>45571</v>
      </c>
      <c r="F161" s="37">
        <v>45936</v>
      </c>
      <c r="G161" s="34" t="s">
        <v>976</v>
      </c>
      <c r="H161" s="38">
        <v>2021</v>
      </c>
      <c r="I161" s="39" t="s">
        <v>1240</v>
      </c>
      <c r="J161" s="38" t="s">
        <v>1241</v>
      </c>
      <c r="K161" s="38" t="s">
        <v>1242</v>
      </c>
      <c r="L161" s="40" t="s">
        <v>1243</v>
      </c>
      <c r="M161" s="38" t="s">
        <v>1244</v>
      </c>
      <c r="N161" s="31" t="s">
        <v>1245</v>
      </c>
      <c r="O161" s="39">
        <v>2109</v>
      </c>
      <c r="P161" s="39">
        <v>450</v>
      </c>
      <c r="Q161" s="41">
        <v>44515</v>
      </c>
      <c r="R161" s="41">
        <v>46310</v>
      </c>
      <c r="S161" s="42">
        <v>1599750</v>
      </c>
      <c r="T161" s="43">
        <v>1.9900000000000001E-2</v>
      </c>
      <c r="U161" s="42">
        <v>1439775</v>
      </c>
      <c r="V161" s="42">
        <v>28651.522500000003</v>
      </c>
      <c r="W161" s="44">
        <v>0</v>
      </c>
      <c r="X161" s="45">
        <v>28652</v>
      </c>
      <c r="Y161" s="46" t="s">
        <v>71</v>
      </c>
      <c r="Z161" s="39" t="s">
        <v>40</v>
      </c>
      <c r="AA161" s="31" t="s">
        <v>41</v>
      </c>
      <c r="AB161" s="31" t="s">
        <v>198</v>
      </c>
      <c r="AC161" s="37">
        <v>45596</v>
      </c>
      <c r="AD161" s="65"/>
      <c r="AE161" s="65" t="s">
        <v>2265</v>
      </c>
      <c r="AF161" s="66">
        <v>28652</v>
      </c>
      <c r="AG161" s="67">
        <f t="shared" si="2"/>
        <v>0</v>
      </c>
      <c r="AH161" s="65" t="s">
        <v>2376</v>
      </c>
    </row>
    <row r="162" spans="1:34">
      <c r="A162" s="32">
        <v>45566</v>
      </c>
      <c r="B162" s="33" t="s">
        <v>29</v>
      </c>
      <c r="C162" s="34" t="s">
        <v>1246</v>
      </c>
      <c r="D162" s="35" t="s">
        <v>64</v>
      </c>
      <c r="E162" s="36">
        <v>45566</v>
      </c>
      <c r="F162" s="37">
        <v>45931</v>
      </c>
      <c r="G162" s="34" t="s">
        <v>129</v>
      </c>
      <c r="H162" s="38">
        <v>2021</v>
      </c>
      <c r="I162" s="39" t="s">
        <v>1247</v>
      </c>
      <c r="J162" s="38" t="s">
        <v>1248</v>
      </c>
      <c r="K162" s="38" t="s">
        <v>1249</v>
      </c>
      <c r="L162" s="40" t="s">
        <v>1250</v>
      </c>
      <c r="M162" s="38" t="s">
        <v>1251</v>
      </c>
      <c r="N162" s="31" t="s">
        <v>1252</v>
      </c>
      <c r="O162" s="39">
        <v>3047</v>
      </c>
      <c r="P162" s="39">
        <v>450</v>
      </c>
      <c r="Q162" s="41">
        <v>44475</v>
      </c>
      <c r="R162" s="41">
        <v>46300</v>
      </c>
      <c r="S162" s="42">
        <v>1081350</v>
      </c>
      <c r="T162" s="43">
        <v>1.9900000000000001E-2</v>
      </c>
      <c r="U162" s="42">
        <v>973215</v>
      </c>
      <c r="V162" s="42">
        <v>19366.978500000001</v>
      </c>
      <c r="W162" s="44">
        <v>0</v>
      </c>
      <c r="X162" s="45">
        <v>19367</v>
      </c>
      <c r="Y162" s="46" t="s">
        <v>71</v>
      </c>
      <c r="Z162" s="39" t="s">
        <v>40</v>
      </c>
      <c r="AA162" s="31" t="s">
        <v>41</v>
      </c>
      <c r="AB162" s="31" t="s">
        <v>198</v>
      </c>
      <c r="AC162" s="37">
        <v>45596</v>
      </c>
      <c r="AD162" s="65"/>
      <c r="AE162" s="65" t="s">
        <v>2266</v>
      </c>
      <c r="AF162" s="66">
        <v>19367</v>
      </c>
      <c r="AG162" s="67">
        <f t="shared" si="2"/>
        <v>0</v>
      </c>
      <c r="AH162" s="65" t="s">
        <v>2376</v>
      </c>
    </row>
    <row r="163" spans="1:34">
      <c r="A163" s="32">
        <v>45566</v>
      </c>
      <c r="B163" s="33" t="s">
        <v>29</v>
      </c>
      <c r="C163" s="34" t="s">
        <v>1253</v>
      </c>
      <c r="D163" s="35" t="s">
        <v>64</v>
      </c>
      <c r="E163" s="36">
        <v>45595</v>
      </c>
      <c r="F163" s="37">
        <v>45960</v>
      </c>
      <c r="G163" s="34" t="s">
        <v>1254</v>
      </c>
      <c r="H163" s="38">
        <v>2021</v>
      </c>
      <c r="I163" s="39" t="s">
        <v>1255</v>
      </c>
      <c r="J163" s="38" t="s">
        <v>1256</v>
      </c>
      <c r="K163" s="38" t="s">
        <v>1257</v>
      </c>
      <c r="L163" s="40" t="s">
        <v>1258</v>
      </c>
      <c r="M163" s="38" t="s">
        <v>1259</v>
      </c>
      <c r="N163" s="31" t="s">
        <v>1260</v>
      </c>
      <c r="O163" s="39">
        <v>1148</v>
      </c>
      <c r="P163" s="39">
        <v>565</v>
      </c>
      <c r="Q163" s="41">
        <v>44865</v>
      </c>
      <c r="R163" s="41">
        <v>45945</v>
      </c>
      <c r="S163" s="42">
        <v>8550000</v>
      </c>
      <c r="T163" s="43">
        <v>1.9900000000000001E-2</v>
      </c>
      <c r="U163" s="42">
        <v>7695000</v>
      </c>
      <c r="V163" s="42">
        <v>153130.5</v>
      </c>
      <c r="W163" s="44">
        <v>0</v>
      </c>
      <c r="X163" s="45">
        <v>153131</v>
      </c>
      <c r="Y163" s="46" t="s">
        <v>71</v>
      </c>
      <c r="Z163" s="39" t="s">
        <v>40</v>
      </c>
      <c r="AA163" s="31" t="s">
        <v>41</v>
      </c>
      <c r="AB163" s="31" t="s">
        <v>72</v>
      </c>
      <c r="AC163" s="37">
        <v>45596</v>
      </c>
      <c r="AD163" s="65"/>
      <c r="AE163" s="65" t="s">
        <v>2267</v>
      </c>
      <c r="AF163" s="66">
        <v>153131</v>
      </c>
      <c r="AG163" s="67">
        <f t="shared" si="2"/>
        <v>0</v>
      </c>
      <c r="AH163" s="65" t="s">
        <v>2376</v>
      </c>
    </row>
    <row r="164" spans="1:34">
      <c r="A164" s="32">
        <v>45566</v>
      </c>
      <c r="B164" s="33" t="s">
        <v>29</v>
      </c>
      <c r="C164" s="34" t="s">
        <v>1261</v>
      </c>
      <c r="D164" s="35" t="s">
        <v>64</v>
      </c>
      <c r="E164" s="36">
        <v>45571</v>
      </c>
      <c r="F164" s="37">
        <v>45936</v>
      </c>
      <c r="G164" s="34" t="s">
        <v>254</v>
      </c>
      <c r="H164" s="38">
        <v>2021</v>
      </c>
      <c r="I164" s="39" t="s">
        <v>1262</v>
      </c>
      <c r="J164" s="38" t="s">
        <v>1263</v>
      </c>
      <c r="K164" s="38" t="s">
        <v>1264</v>
      </c>
      <c r="L164" s="40" t="s">
        <v>1265</v>
      </c>
      <c r="M164" s="38" t="s">
        <v>1266</v>
      </c>
      <c r="N164" s="31" t="s">
        <v>1267</v>
      </c>
      <c r="O164" s="39">
        <v>2109</v>
      </c>
      <c r="P164" s="39">
        <v>450</v>
      </c>
      <c r="Q164" s="41">
        <v>44477</v>
      </c>
      <c r="R164" s="41">
        <v>45945</v>
      </c>
      <c r="S164" s="42">
        <v>2375730</v>
      </c>
      <c r="T164" s="43">
        <v>1.9E-2</v>
      </c>
      <c r="U164" s="42">
        <v>2138157</v>
      </c>
      <c r="V164" s="42">
        <v>40624.983</v>
      </c>
      <c r="W164" s="44">
        <v>0</v>
      </c>
      <c r="X164" s="45">
        <v>40625</v>
      </c>
      <c r="Y164" s="46" t="s">
        <v>71</v>
      </c>
      <c r="Z164" s="39" t="s">
        <v>40</v>
      </c>
      <c r="AA164" s="31" t="s">
        <v>41</v>
      </c>
      <c r="AB164" s="31" t="s">
        <v>198</v>
      </c>
      <c r="AC164" s="37">
        <v>45596</v>
      </c>
      <c r="AD164" s="65"/>
      <c r="AE164" s="65" t="s">
        <v>2268</v>
      </c>
      <c r="AF164" s="66">
        <v>40625</v>
      </c>
      <c r="AG164" s="67">
        <f t="shared" si="2"/>
        <v>0</v>
      </c>
      <c r="AH164" s="65" t="s">
        <v>2376</v>
      </c>
    </row>
    <row r="165" spans="1:34">
      <c r="A165" s="32">
        <v>45566</v>
      </c>
      <c r="B165" s="33" t="s">
        <v>29</v>
      </c>
      <c r="C165" s="34" t="s">
        <v>1268</v>
      </c>
      <c r="D165" s="35" t="s">
        <v>64</v>
      </c>
      <c r="E165" s="36">
        <v>45571</v>
      </c>
      <c r="F165" s="37">
        <v>45936</v>
      </c>
      <c r="G165" s="34" t="s">
        <v>129</v>
      </c>
      <c r="H165" s="38">
        <v>2021</v>
      </c>
      <c r="I165" s="39" t="s">
        <v>1269</v>
      </c>
      <c r="J165" s="38" t="s">
        <v>1270</v>
      </c>
      <c r="K165" s="38" t="s">
        <v>1271</v>
      </c>
      <c r="L165" s="40" t="s">
        <v>1272</v>
      </c>
      <c r="M165" s="38" t="s">
        <v>1273</v>
      </c>
      <c r="N165" s="31" t="s">
        <v>1274</v>
      </c>
      <c r="O165" s="39">
        <v>2021</v>
      </c>
      <c r="P165" s="39">
        <v>450</v>
      </c>
      <c r="Q165" s="41">
        <v>44481</v>
      </c>
      <c r="R165" s="41">
        <v>46310</v>
      </c>
      <c r="S165" s="42">
        <v>1081350</v>
      </c>
      <c r="T165" s="43">
        <v>2.2499999999999999E-2</v>
      </c>
      <c r="U165" s="42">
        <v>973215</v>
      </c>
      <c r="V165" s="42">
        <v>21897.337499999998</v>
      </c>
      <c r="W165" s="44">
        <v>0</v>
      </c>
      <c r="X165" s="45">
        <v>21897</v>
      </c>
      <c r="Y165" s="46" t="s">
        <v>71</v>
      </c>
      <c r="Z165" s="39" t="s">
        <v>40</v>
      </c>
      <c r="AA165" s="31" t="s">
        <v>41</v>
      </c>
      <c r="AB165" s="31" t="s">
        <v>198</v>
      </c>
      <c r="AC165" s="37">
        <v>45596</v>
      </c>
      <c r="AD165" s="65"/>
      <c r="AE165" s="65" t="s">
        <v>2269</v>
      </c>
      <c r="AF165" s="66">
        <v>21897</v>
      </c>
      <c r="AG165" s="67">
        <f t="shared" si="2"/>
        <v>0</v>
      </c>
      <c r="AH165" s="65" t="s">
        <v>2376</v>
      </c>
    </row>
    <row r="166" spans="1:34">
      <c r="A166" s="32">
        <v>45566</v>
      </c>
      <c r="B166" s="33" t="s">
        <v>29</v>
      </c>
      <c r="C166" s="34" t="s">
        <v>1275</v>
      </c>
      <c r="D166" s="35" t="s">
        <v>64</v>
      </c>
      <c r="E166" s="36">
        <v>45571</v>
      </c>
      <c r="F166" s="37">
        <v>45936</v>
      </c>
      <c r="G166" s="34" t="s">
        <v>395</v>
      </c>
      <c r="H166" s="38">
        <v>2021</v>
      </c>
      <c r="I166" s="39" t="s">
        <v>1276</v>
      </c>
      <c r="J166" s="38" t="s">
        <v>1277</v>
      </c>
      <c r="K166" s="38" t="s">
        <v>1278</v>
      </c>
      <c r="L166" s="40" t="s">
        <v>1279</v>
      </c>
      <c r="M166" s="38" t="s">
        <v>1280</v>
      </c>
      <c r="N166" s="31" t="s">
        <v>1281</v>
      </c>
      <c r="O166" s="39">
        <v>1132</v>
      </c>
      <c r="P166" s="39">
        <v>477</v>
      </c>
      <c r="Q166" s="41">
        <v>44480</v>
      </c>
      <c r="R166" s="41">
        <v>46300</v>
      </c>
      <c r="S166" s="42">
        <v>1232010</v>
      </c>
      <c r="T166" s="43">
        <v>1.9900000000000001E-2</v>
      </c>
      <c r="U166" s="42">
        <v>1108809</v>
      </c>
      <c r="V166" s="42">
        <v>22065.2991</v>
      </c>
      <c r="W166" s="44">
        <v>0</v>
      </c>
      <c r="X166" s="45">
        <v>22065</v>
      </c>
      <c r="Y166" s="46" t="s">
        <v>71</v>
      </c>
      <c r="Z166" s="39" t="s">
        <v>40</v>
      </c>
      <c r="AA166" s="31" t="s">
        <v>41</v>
      </c>
      <c r="AB166" s="31" t="s">
        <v>198</v>
      </c>
      <c r="AC166" s="37">
        <v>45596</v>
      </c>
      <c r="AD166" s="65"/>
      <c r="AE166" s="65" t="s">
        <v>2270</v>
      </c>
      <c r="AF166" s="66">
        <v>22065</v>
      </c>
      <c r="AG166" s="67">
        <f t="shared" si="2"/>
        <v>0</v>
      </c>
      <c r="AH166" s="65" t="s">
        <v>2376</v>
      </c>
    </row>
    <row r="167" spans="1:34">
      <c r="A167" s="32">
        <v>45566</v>
      </c>
      <c r="B167" s="33" t="s">
        <v>29</v>
      </c>
      <c r="C167" s="34" t="s">
        <v>1282</v>
      </c>
      <c r="D167" s="35" t="s">
        <v>64</v>
      </c>
      <c r="E167" s="36">
        <v>45572</v>
      </c>
      <c r="F167" s="37">
        <v>45937</v>
      </c>
      <c r="G167" s="34" t="s">
        <v>106</v>
      </c>
      <c r="H167" s="38">
        <v>2021</v>
      </c>
      <c r="I167" s="39" t="s">
        <v>1283</v>
      </c>
      <c r="J167" s="38" t="s">
        <v>1284</v>
      </c>
      <c r="K167" s="38" t="s">
        <v>1285</v>
      </c>
      <c r="L167" s="40" t="s">
        <v>1286</v>
      </c>
      <c r="M167" s="38" t="s">
        <v>1287</v>
      </c>
      <c r="N167" s="31" t="s">
        <v>1288</v>
      </c>
      <c r="O167" s="39">
        <v>1003</v>
      </c>
      <c r="P167" s="39">
        <v>450</v>
      </c>
      <c r="Q167" s="41">
        <v>44477</v>
      </c>
      <c r="R167" s="41">
        <v>46310</v>
      </c>
      <c r="S167" s="42">
        <v>901530</v>
      </c>
      <c r="T167" s="43">
        <v>1.9900000000000001E-2</v>
      </c>
      <c r="U167" s="42">
        <v>811377</v>
      </c>
      <c r="V167" s="42">
        <v>16146.402300000002</v>
      </c>
      <c r="W167" s="44">
        <v>0</v>
      </c>
      <c r="X167" s="45">
        <v>16146</v>
      </c>
      <c r="Y167" s="46" t="s">
        <v>71</v>
      </c>
      <c r="Z167" s="39" t="s">
        <v>40</v>
      </c>
      <c r="AA167" s="31" t="s">
        <v>41</v>
      </c>
      <c r="AB167" s="31" t="s">
        <v>198</v>
      </c>
      <c r="AC167" s="37">
        <v>45596</v>
      </c>
      <c r="AD167" s="65"/>
      <c r="AE167" s="65" t="s">
        <v>2271</v>
      </c>
      <c r="AF167" s="66">
        <v>16146</v>
      </c>
      <c r="AG167" s="67">
        <f t="shared" si="2"/>
        <v>0</v>
      </c>
      <c r="AH167" s="65" t="s">
        <v>2376</v>
      </c>
    </row>
    <row r="168" spans="1:34">
      <c r="A168" s="32">
        <v>45566</v>
      </c>
      <c r="B168" s="33" t="s">
        <v>29</v>
      </c>
      <c r="C168" s="34" t="s">
        <v>1289</v>
      </c>
      <c r="D168" s="35" t="s">
        <v>64</v>
      </c>
      <c r="E168" s="36">
        <v>45572</v>
      </c>
      <c r="F168" s="37">
        <v>45937</v>
      </c>
      <c r="G168" s="34" t="s">
        <v>145</v>
      </c>
      <c r="H168" s="38">
        <v>2021</v>
      </c>
      <c r="I168" s="39" t="s">
        <v>1290</v>
      </c>
      <c r="J168" s="38" t="s">
        <v>1291</v>
      </c>
      <c r="K168" s="38" t="s">
        <v>1292</v>
      </c>
      <c r="L168" s="40" t="s">
        <v>1293</v>
      </c>
      <c r="M168" s="38" t="s">
        <v>1294</v>
      </c>
      <c r="N168" s="31" t="s">
        <v>1295</v>
      </c>
      <c r="O168" s="39">
        <v>1132</v>
      </c>
      <c r="P168" s="39">
        <v>450</v>
      </c>
      <c r="Q168" s="41">
        <v>44484</v>
      </c>
      <c r="R168" s="41">
        <v>46310</v>
      </c>
      <c r="S168" s="42">
        <v>1246590</v>
      </c>
      <c r="T168" s="43">
        <v>1.9900000000000001E-2</v>
      </c>
      <c r="U168" s="42">
        <v>1121931</v>
      </c>
      <c r="V168" s="42">
        <v>22326.426900000002</v>
      </c>
      <c r="W168" s="44">
        <v>0</v>
      </c>
      <c r="X168" s="45">
        <v>22326</v>
      </c>
      <c r="Y168" s="46" t="s">
        <v>71</v>
      </c>
      <c r="Z168" s="39" t="s">
        <v>40</v>
      </c>
      <c r="AA168" s="31" t="s">
        <v>41</v>
      </c>
      <c r="AB168" s="31" t="s">
        <v>198</v>
      </c>
      <c r="AC168" s="37">
        <v>45596</v>
      </c>
      <c r="AD168" s="65"/>
      <c r="AE168" s="65" t="s">
        <v>2272</v>
      </c>
      <c r="AF168" s="66">
        <v>22326</v>
      </c>
      <c r="AG168" s="67">
        <f t="shared" si="2"/>
        <v>0</v>
      </c>
      <c r="AH168" s="65" t="s">
        <v>2376</v>
      </c>
    </row>
    <row r="169" spans="1:34">
      <c r="A169" s="32">
        <v>45566</v>
      </c>
      <c r="B169" s="33" t="s">
        <v>29</v>
      </c>
      <c r="C169" s="34" t="s">
        <v>1296</v>
      </c>
      <c r="D169" s="35" t="s">
        <v>64</v>
      </c>
      <c r="E169" s="36">
        <v>45572</v>
      </c>
      <c r="F169" s="37">
        <v>45937</v>
      </c>
      <c r="G169" s="34" t="s">
        <v>223</v>
      </c>
      <c r="H169" s="38">
        <v>2021</v>
      </c>
      <c r="I169" s="39" t="s">
        <v>1297</v>
      </c>
      <c r="J169" s="38" t="s">
        <v>1298</v>
      </c>
      <c r="K169" s="38" t="s">
        <v>1299</v>
      </c>
      <c r="L169" s="40" t="s">
        <v>1300</v>
      </c>
      <c r="M169" s="38" t="s">
        <v>1301</v>
      </c>
      <c r="N169" s="31" t="s">
        <v>1302</v>
      </c>
      <c r="O169" s="39">
        <v>1054</v>
      </c>
      <c r="P169" s="39">
        <v>450</v>
      </c>
      <c r="Q169" s="41">
        <v>44483</v>
      </c>
      <c r="R169" s="41">
        <v>47031</v>
      </c>
      <c r="S169" s="42">
        <v>3267540</v>
      </c>
      <c r="T169" s="43">
        <v>1.9900000000000001E-2</v>
      </c>
      <c r="U169" s="42">
        <v>2940786</v>
      </c>
      <c r="V169" s="42">
        <v>58521.6414</v>
      </c>
      <c r="W169" s="44">
        <v>0</v>
      </c>
      <c r="X169" s="45">
        <v>58522</v>
      </c>
      <c r="Y169" s="46" t="s">
        <v>71</v>
      </c>
      <c r="Z169" s="39" t="s">
        <v>40</v>
      </c>
      <c r="AA169" s="31" t="s">
        <v>41</v>
      </c>
      <c r="AB169" s="31" t="s">
        <v>198</v>
      </c>
      <c r="AC169" s="37">
        <v>45596</v>
      </c>
      <c r="AD169" s="65"/>
      <c r="AE169" s="65" t="s">
        <v>2273</v>
      </c>
      <c r="AF169" s="66">
        <v>58522</v>
      </c>
      <c r="AG169" s="67">
        <f t="shared" si="2"/>
        <v>0</v>
      </c>
      <c r="AH169" s="65" t="s">
        <v>2376</v>
      </c>
    </row>
    <row r="170" spans="1:34">
      <c r="A170" s="32">
        <v>45566</v>
      </c>
      <c r="B170" s="33" t="s">
        <v>29</v>
      </c>
      <c r="C170" s="34" t="s">
        <v>1303</v>
      </c>
      <c r="D170" s="35" t="s">
        <v>64</v>
      </c>
      <c r="E170" s="36">
        <v>45572</v>
      </c>
      <c r="F170" s="37">
        <v>45937</v>
      </c>
      <c r="G170" s="34" t="s">
        <v>1071</v>
      </c>
      <c r="H170" s="38">
        <v>2021</v>
      </c>
      <c r="I170" s="39" t="s">
        <v>1304</v>
      </c>
      <c r="J170" s="38" t="s">
        <v>1305</v>
      </c>
      <c r="K170" s="38" t="s">
        <v>1306</v>
      </c>
      <c r="L170" s="40" t="s">
        <v>1307</v>
      </c>
      <c r="M170" s="38" t="s">
        <v>1308</v>
      </c>
      <c r="N170" s="31" t="s">
        <v>1309</v>
      </c>
      <c r="O170" s="39">
        <v>1082</v>
      </c>
      <c r="P170" s="39">
        <v>450</v>
      </c>
      <c r="Q170" s="41">
        <v>44484</v>
      </c>
      <c r="R170" s="41">
        <v>46310</v>
      </c>
      <c r="S170" s="42">
        <v>2119770</v>
      </c>
      <c r="T170" s="43">
        <v>1.9900000000000001E-2</v>
      </c>
      <c r="U170" s="42">
        <v>1907793</v>
      </c>
      <c r="V170" s="42">
        <v>37965.080699999999</v>
      </c>
      <c r="W170" s="44">
        <v>0</v>
      </c>
      <c r="X170" s="45">
        <v>37965</v>
      </c>
      <c r="Y170" s="46" t="s">
        <v>71</v>
      </c>
      <c r="Z170" s="39" t="s">
        <v>40</v>
      </c>
      <c r="AA170" s="31" t="s">
        <v>41</v>
      </c>
      <c r="AB170" s="31" t="s">
        <v>198</v>
      </c>
      <c r="AC170" s="37">
        <v>45596</v>
      </c>
      <c r="AD170" s="65"/>
      <c r="AE170" s="65" t="s">
        <v>2274</v>
      </c>
      <c r="AF170" s="66">
        <v>37965</v>
      </c>
      <c r="AG170" s="67">
        <f t="shared" si="2"/>
        <v>0</v>
      </c>
      <c r="AH170" s="65" t="s">
        <v>2376</v>
      </c>
    </row>
    <row r="171" spans="1:34">
      <c r="A171" s="32">
        <v>45566</v>
      </c>
      <c r="B171" s="33" t="s">
        <v>29</v>
      </c>
      <c r="C171" s="34" t="s">
        <v>1310</v>
      </c>
      <c r="D171" s="35" t="s">
        <v>64</v>
      </c>
      <c r="E171" s="36">
        <v>45591</v>
      </c>
      <c r="F171" s="37">
        <v>45956</v>
      </c>
      <c r="G171" s="34" t="s">
        <v>1311</v>
      </c>
      <c r="H171" s="38">
        <v>2021</v>
      </c>
      <c r="I171" s="39" t="s">
        <v>1312</v>
      </c>
      <c r="J171" s="38" t="s">
        <v>1313</v>
      </c>
      <c r="K171" s="38" t="s">
        <v>1314</v>
      </c>
      <c r="L171" s="40" t="s">
        <v>1315</v>
      </c>
      <c r="M171" s="38" t="s">
        <v>1316</v>
      </c>
      <c r="N171" s="31" t="s">
        <v>1317</v>
      </c>
      <c r="O171" s="39">
        <v>2111</v>
      </c>
      <c r="P171" s="39">
        <v>450</v>
      </c>
      <c r="Q171" s="41">
        <v>44495</v>
      </c>
      <c r="R171" s="41">
        <v>46331</v>
      </c>
      <c r="S171" s="42">
        <v>1024650</v>
      </c>
      <c r="T171" s="43">
        <v>2.2499999999999999E-2</v>
      </c>
      <c r="U171" s="42">
        <v>922185</v>
      </c>
      <c r="V171" s="42">
        <v>20749.162499999999</v>
      </c>
      <c r="W171" s="44">
        <v>0</v>
      </c>
      <c r="X171" s="45">
        <v>20749</v>
      </c>
      <c r="Y171" s="46" t="s">
        <v>71</v>
      </c>
      <c r="Z171" s="39" t="s">
        <v>40</v>
      </c>
      <c r="AA171" s="31" t="s">
        <v>41</v>
      </c>
      <c r="AB171" s="31" t="s">
        <v>198</v>
      </c>
      <c r="AC171" s="37">
        <v>45596</v>
      </c>
      <c r="AD171" s="65"/>
      <c r="AE171" s="65" t="s">
        <v>2275</v>
      </c>
      <c r="AF171" s="66">
        <v>20749</v>
      </c>
      <c r="AG171" s="67">
        <f t="shared" si="2"/>
        <v>0</v>
      </c>
      <c r="AH171" s="65" t="s">
        <v>2376</v>
      </c>
    </row>
    <row r="172" spans="1:34">
      <c r="A172" s="32">
        <v>45566</v>
      </c>
      <c r="B172" s="33" t="s">
        <v>29</v>
      </c>
      <c r="C172" s="34" t="s">
        <v>1318</v>
      </c>
      <c r="D172" s="35" t="s">
        <v>64</v>
      </c>
      <c r="E172" s="36">
        <v>45572</v>
      </c>
      <c r="F172" s="37">
        <v>45937</v>
      </c>
      <c r="G172" s="34" t="s">
        <v>366</v>
      </c>
      <c r="H172" s="38">
        <v>2021</v>
      </c>
      <c r="I172" s="39" t="s">
        <v>1319</v>
      </c>
      <c r="J172" s="38" t="s">
        <v>1320</v>
      </c>
      <c r="K172" s="38" t="s">
        <v>1321</v>
      </c>
      <c r="L172" s="40" t="s">
        <v>1322</v>
      </c>
      <c r="M172" s="38" t="s">
        <v>1323</v>
      </c>
      <c r="N172" s="31" t="s">
        <v>1324</v>
      </c>
      <c r="O172" s="39">
        <v>2043</v>
      </c>
      <c r="P172" s="39">
        <v>450</v>
      </c>
      <c r="Q172" s="41">
        <v>44483</v>
      </c>
      <c r="R172" s="41">
        <v>46310</v>
      </c>
      <c r="S172" s="42">
        <v>2659230</v>
      </c>
      <c r="T172" s="43">
        <v>2.2499999999999999E-2</v>
      </c>
      <c r="U172" s="42">
        <v>2393307</v>
      </c>
      <c r="V172" s="42">
        <v>53849.407500000001</v>
      </c>
      <c r="W172" s="44">
        <v>0</v>
      </c>
      <c r="X172" s="45">
        <v>53849</v>
      </c>
      <c r="Y172" s="46" t="s">
        <v>71</v>
      </c>
      <c r="Z172" s="39" t="s">
        <v>40</v>
      </c>
      <c r="AA172" s="31" t="s">
        <v>41</v>
      </c>
      <c r="AB172" s="31" t="s">
        <v>198</v>
      </c>
      <c r="AC172" s="37">
        <v>45596</v>
      </c>
      <c r="AD172" s="65"/>
      <c r="AE172" s="65" t="s">
        <v>2276</v>
      </c>
      <c r="AF172" s="66">
        <v>53849</v>
      </c>
      <c r="AG172" s="67">
        <f t="shared" si="2"/>
        <v>0</v>
      </c>
      <c r="AH172" s="65" t="s">
        <v>2376</v>
      </c>
    </row>
    <row r="173" spans="1:34">
      <c r="A173" s="32">
        <v>45566</v>
      </c>
      <c r="B173" s="33" t="s">
        <v>29</v>
      </c>
      <c r="C173" s="34" t="s">
        <v>1325</v>
      </c>
      <c r="D173" s="35" t="s">
        <v>64</v>
      </c>
      <c r="E173" s="36">
        <v>45572</v>
      </c>
      <c r="F173" s="37">
        <v>45937</v>
      </c>
      <c r="G173" s="34" t="s">
        <v>708</v>
      </c>
      <c r="H173" s="38">
        <v>2021</v>
      </c>
      <c r="I173" s="39" t="s">
        <v>1326</v>
      </c>
      <c r="J173" s="38" t="s">
        <v>1327</v>
      </c>
      <c r="K173" s="38" t="s">
        <v>1328</v>
      </c>
      <c r="L173" s="40" t="s">
        <v>1329</v>
      </c>
      <c r="M173" s="38" t="s">
        <v>1330</v>
      </c>
      <c r="N173" s="31" t="s">
        <v>1331</v>
      </c>
      <c r="O173" s="39">
        <v>1149</v>
      </c>
      <c r="P173" s="39">
        <v>450</v>
      </c>
      <c r="Q173" s="41">
        <v>44481</v>
      </c>
      <c r="R173" s="41">
        <v>46310</v>
      </c>
      <c r="S173" s="42">
        <v>2166750</v>
      </c>
      <c r="T173" s="43">
        <v>1.9900000000000001E-2</v>
      </c>
      <c r="U173" s="42">
        <v>1950075</v>
      </c>
      <c r="V173" s="42">
        <v>38806.4925</v>
      </c>
      <c r="W173" s="44">
        <v>0</v>
      </c>
      <c r="X173" s="45">
        <v>38806</v>
      </c>
      <c r="Y173" s="46" t="s">
        <v>71</v>
      </c>
      <c r="Z173" s="39" t="s">
        <v>40</v>
      </c>
      <c r="AA173" s="31" t="s">
        <v>41</v>
      </c>
      <c r="AB173" s="31" t="s">
        <v>198</v>
      </c>
      <c r="AC173" s="37">
        <v>45596</v>
      </c>
      <c r="AD173" s="65"/>
      <c r="AE173" s="65" t="s">
        <v>2277</v>
      </c>
      <c r="AF173" s="66">
        <v>38806</v>
      </c>
      <c r="AG173" s="67">
        <f t="shared" si="2"/>
        <v>0</v>
      </c>
      <c r="AH173" s="65" t="s">
        <v>2376</v>
      </c>
    </row>
    <row r="174" spans="1:34">
      <c r="A174" s="32">
        <v>45566</v>
      </c>
      <c r="B174" s="33" t="s">
        <v>29</v>
      </c>
      <c r="C174" s="34" t="s">
        <v>1332</v>
      </c>
      <c r="D174" s="35" t="s">
        <v>64</v>
      </c>
      <c r="E174" s="36">
        <v>45572</v>
      </c>
      <c r="F174" s="37">
        <v>45937</v>
      </c>
      <c r="G174" s="34" t="s">
        <v>1333</v>
      </c>
      <c r="H174" s="38">
        <v>2021</v>
      </c>
      <c r="I174" s="39" t="s">
        <v>1334</v>
      </c>
      <c r="J174" s="38" t="s">
        <v>1335</v>
      </c>
      <c r="K174" s="38" t="s">
        <v>1336</v>
      </c>
      <c r="L174" s="40" t="s">
        <v>1337</v>
      </c>
      <c r="M174" s="38" t="s">
        <v>1338</v>
      </c>
      <c r="N174" s="31" t="s">
        <v>1339</v>
      </c>
      <c r="O174" s="39">
        <v>3022</v>
      </c>
      <c r="P174" s="39">
        <v>450</v>
      </c>
      <c r="Q174" s="41">
        <v>44496</v>
      </c>
      <c r="R174" s="41">
        <v>46310</v>
      </c>
      <c r="S174" s="42">
        <v>1466910</v>
      </c>
      <c r="T174" s="43">
        <v>1.9900000000000001E-2</v>
      </c>
      <c r="U174" s="42">
        <v>1320219</v>
      </c>
      <c r="V174" s="42">
        <v>26272.358100000001</v>
      </c>
      <c r="W174" s="44">
        <v>0</v>
      </c>
      <c r="X174" s="45">
        <v>26272</v>
      </c>
      <c r="Y174" s="46" t="s">
        <v>71</v>
      </c>
      <c r="Z174" s="39" t="s">
        <v>40</v>
      </c>
      <c r="AA174" s="31" t="s">
        <v>41</v>
      </c>
      <c r="AB174" s="31" t="s">
        <v>198</v>
      </c>
      <c r="AC174" s="37">
        <v>45596</v>
      </c>
      <c r="AD174" s="65"/>
      <c r="AE174" s="65" t="s">
        <v>2278</v>
      </c>
      <c r="AF174" s="66">
        <v>26272</v>
      </c>
      <c r="AG174" s="67">
        <f t="shared" si="2"/>
        <v>0</v>
      </c>
      <c r="AH174" s="65" t="s">
        <v>2376</v>
      </c>
    </row>
    <row r="175" spans="1:34">
      <c r="A175" s="32">
        <v>45566</v>
      </c>
      <c r="B175" s="33" t="s">
        <v>29</v>
      </c>
      <c r="C175" s="34" t="s">
        <v>1340</v>
      </c>
      <c r="D175" s="35" t="s">
        <v>64</v>
      </c>
      <c r="E175" s="36">
        <v>45572</v>
      </c>
      <c r="F175" s="37">
        <v>45937</v>
      </c>
      <c r="G175" s="34" t="s">
        <v>254</v>
      </c>
      <c r="H175" s="38">
        <v>2021</v>
      </c>
      <c r="I175" s="39" t="s">
        <v>1341</v>
      </c>
      <c r="J175" s="38" t="s">
        <v>1342</v>
      </c>
      <c r="K175" s="38" t="s">
        <v>1343</v>
      </c>
      <c r="L175" s="40" t="s">
        <v>242</v>
      </c>
      <c r="M175" s="38" t="s">
        <v>1344</v>
      </c>
      <c r="N175" s="31" t="s">
        <v>1345</v>
      </c>
      <c r="O175" s="39">
        <v>2023</v>
      </c>
      <c r="P175" s="39">
        <v>450</v>
      </c>
      <c r="Q175" s="41">
        <v>44480</v>
      </c>
      <c r="R175" s="41">
        <v>45945</v>
      </c>
      <c r="S175" s="42">
        <v>2371680</v>
      </c>
      <c r="T175" s="43">
        <v>2.2499999999999999E-2</v>
      </c>
      <c r="U175" s="42">
        <v>2134512</v>
      </c>
      <c r="V175" s="42">
        <v>48026.52</v>
      </c>
      <c r="W175" s="44">
        <v>0</v>
      </c>
      <c r="X175" s="45">
        <v>48027</v>
      </c>
      <c r="Y175" s="46" t="s">
        <v>71</v>
      </c>
      <c r="Z175" s="39" t="s">
        <v>40</v>
      </c>
      <c r="AA175" s="31" t="s">
        <v>41</v>
      </c>
      <c r="AB175" s="31" t="s">
        <v>198</v>
      </c>
      <c r="AC175" s="37">
        <v>45596</v>
      </c>
      <c r="AD175" s="65"/>
      <c r="AE175" s="65" t="s">
        <v>2279</v>
      </c>
      <c r="AF175" s="66">
        <v>48027</v>
      </c>
      <c r="AG175" s="67">
        <f t="shared" si="2"/>
        <v>0</v>
      </c>
      <c r="AH175" s="65" t="s">
        <v>2376</v>
      </c>
    </row>
    <row r="176" spans="1:34">
      <c r="A176" s="32">
        <v>45566</v>
      </c>
      <c r="B176" s="33" t="s">
        <v>29</v>
      </c>
      <c r="C176" s="34" t="s">
        <v>1346</v>
      </c>
      <c r="D176" s="35" t="s">
        <v>64</v>
      </c>
      <c r="E176" s="36">
        <v>45572</v>
      </c>
      <c r="F176" s="37">
        <v>45937</v>
      </c>
      <c r="G176" s="34" t="s">
        <v>1347</v>
      </c>
      <c r="H176" s="38">
        <v>2021</v>
      </c>
      <c r="I176" s="39" t="s">
        <v>1348</v>
      </c>
      <c r="J176" s="38" t="s">
        <v>1349</v>
      </c>
      <c r="K176" s="38" t="s">
        <v>1350</v>
      </c>
      <c r="L176" s="40" t="s">
        <v>1351</v>
      </c>
      <c r="M176" s="38" t="s">
        <v>1352</v>
      </c>
      <c r="N176" s="31" t="s">
        <v>1353</v>
      </c>
      <c r="O176" s="39">
        <v>1106</v>
      </c>
      <c r="P176" s="39">
        <v>450</v>
      </c>
      <c r="Q176" s="41">
        <v>44477</v>
      </c>
      <c r="R176" s="41">
        <v>46310</v>
      </c>
      <c r="S176" s="42">
        <v>4425030</v>
      </c>
      <c r="T176" s="43">
        <v>2.1999999999999999E-2</v>
      </c>
      <c r="U176" s="42">
        <v>3982527</v>
      </c>
      <c r="V176" s="42">
        <v>87615.593999999997</v>
      </c>
      <c r="W176" s="44">
        <v>0</v>
      </c>
      <c r="X176" s="45">
        <v>87616</v>
      </c>
      <c r="Y176" s="46" t="s">
        <v>71</v>
      </c>
      <c r="Z176" s="39" t="s">
        <v>40</v>
      </c>
      <c r="AA176" s="31" t="s">
        <v>41</v>
      </c>
      <c r="AB176" s="31" t="s">
        <v>198</v>
      </c>
      <c r="AC176" s="37">
        <v>45596</v>
      </c>
      <c r="AD176" s="65"/>
      <c r="AE176" s="65" t="s">
        <v>2280</v>
      </c>
      <c r="AF176" s="66">
        <v>87616</v>
      </c>
      <c r="AG176" s="67">
        <f t="shared" si="2"/>
        <v>0</v>
      </c>
      <c r="AH176" s="65" t="s">
        <v>2376</v>
      </c>
    </row>
    <row r="177" spans="1:34">
      <c r="A177" s="32">
        <v>45566</v>
      </c>
      <c r="B177" s="33" t="s">
        <v>29</v>
      </c>
      <c r="C177" s="34" t="s">
        <v>1354</v>
      </c>
      <c r="D177" s="35" t="s">
        <v>64</v>
      </c>
      <c r="E177" s="36">
        <v>45595</v>
      </c>
      <c r="F177" s="37">
        <v>45960</v>
      </c>
      <c r="G177" s="34" t="s">
        <v>395</v>
      </c>
      <c r="H177" s="38">
        <v>2022</v>
      </c>
      <c r="I177" s="39" t="s">
        <v>1355</v>
      </c>
      <c r="J177" s="38" t="s">
        <v>1356</v>
      </c>
      <c r="K177" s="38" t="s">
        <v>1357</v>
      </c>
      <c r="L177" s="40" t="s">
        <v>1358</v>
      </c>
      <c r="M177" s="38" t="s">
        <v>1359</v>
      </c>
      <c r="N177" s="31" t="s">
        <v>1360</v>
      </c>
      <c r="O177" s="39">
        <v>2041</v>
      </c>
      <c r="P177" s="39">
        <v>450</v>
      </c>
      <c r="Q177" s="41">
        <v>44867</v>
      </c>
      <c r="R177" s="41">
        <v>46696</v>
      </c>
      <c r="S177" s="42">
        <v>1755900</v>
      </c>
      <c r="T177" s="43">
        <v>1.9900000000000001E-2</v>
      </c>
      <c r="U177" s="42">
        <v>1580310</v>
      </c>
      <c r="V177" s="42">
        <v>31448.169000000002</v>
      </c>
      <c r="W177" s="44">
        <v>0</v>
      </c>
      <c r="X177" s="45">
        <v>31448</v>
      </c>
      <c r="Y177" s="46" t="s">
        <v>71</v>
      </c>
      <c r="Z177" s="39" t="s">
        <v>40</v>
      </c>
      <c r="AA177" s="31" t="s">
        <v>41</v>
      </c>
      <c r="AB177" s="31" t="s">
        <v>72</v>
      </c>
      <c r="AC177" s="37">
        <v>45596</v>
      </c>
      <c r="AD177" s="65"/>
      <c r="AE177" s="65" t="s">
        <v>2281</v>
      </c>
      <c r="AF177" s="66">
        <v>31448</v>
      </c>
      <c r="AG177" s="67">
        <f t="shared" si="2"/>
        <v>0</v>
      </c>
      <c r="AH177" s="65" t="s">
        <v>2376</v>
      </c>
    </row>
    <row r="178" spans="1:34">
      <c r="A178" s="32">
        <v>45566</v>
      </c>
      <c r="B178" s="33" t="s">
        <v>29</v>
      </c>
      <c r="C178" s="34" t="s">
        <v>1361</v>
      </c>
      <c r="D178" s="35" t="s">
        <v>64</v>
      </c>
      <c r="E178" s="36">
        <v>45575</v>
      </c>
      <c r="F178" s="37">
        <v>45940</v>
      </c>
      <c r="G178" s="34" t="s">
        <v>366</v>
      </c>
      <c r="H178" s="38">
        <v>2021</v>
      </c>
      <c r="I178" s="39" t="s">
        <v>1362</v>
      </c>
      <c r="J178" s="38" t="s">
        <v>1363</v>
      </c>
      <c r="K178" s="38" t="s">
        <v>1364</v>
      </c>
      <c r="L178" s="40" t="s">
        <v>1365</v>
      </c>
      <c r="M178" s="38" t="s">
        <v>1366</v>
      </c>
      <c r="N178" s="31" t="s">
        <v>1367</v>
      </c>
      <c r="O178" s="39">
        <v>2003</v>
      </c>
      <c r="P178" s="39">
        <v>450</v>
      </c>
      <c r="Q178" s="41">
        <v>44481</v>
      </c>
      <c r="R178" s="41">
        <v>46310</v>
      </c>
      <c r="S178" s="42">
        <v>2659230</v>
      </c>
      <c r="T178" s="43">
        <v>2.2499999999999999E-2</v>
      </c>
      <c r="U178" s="42">
        <v>2393307</v>
      </c>
      <c r="V178" s="42">
        <v>53849.407500000001</v>
      </c>
      <c r="W178" s="44">
        <v>0</v>
      </c>
      <c r="X178" s="45">
        <v>53849</v>
      </c>
      <c r="Y178" s="46" t="s">
        <v>71</v>
      </c>
      <c r="Z178" s="39" t="s">
        <v>40</v>
      </c>
      <c r="AA178" s="31" t="s">
        <v>41</v>
      </c>
      <c r="AB178" s="31" t="s">
        <v>198</v>
      </c>
      <c r="AC178" s="37">
        <v>45596</v>
      </c>
      <c r="AD178" s="65"/>
      <c r="AE178" s="65" t="s">
        <v>2282</v>
      </c>
      <c r="AF178" s="66">
        <v>53849</v>
      </c>
      <c r="AG178" s="67">
        <f t="shared" si="2"/>
        <v>0</v>
      </c>
      <c r="AH178" s="65" t="s">
        <v>2376</v>
      </c>
    </row>
    <row r="179" spans="1:34">
      <c r="A179" s="32">
        <v>45566</v>
      </c>
      <c r="B179" s="33" t="s">
        <v>29</v>
      </c>
      <c r="C179" s="34" t="s">
        <v>1368</v>
      </c>
      <c r="D179" s="35" t="s">
        <v>64</v>
      </c>
      <c r="E179" s="36">
        <v>45575</v>
      </c>
      <c r="F179" s="37">
        <v>45940</v>
      </c>
      <c r="G179" s="34" t="s">
        <v>1369</v>
      </c>
      <c r="H179" s="38">
        <v>2021</v>
      </c>
      <c r="I179" s="39" t="s">
        <v>1370</v>
      </c>
      <c r="J179" s="38" t="s">
        <v>1371</v>
      </c>
      <c r="K179" s="38" t="s">
        <v>1372</v>
      </c>
      <c r="L179" s="40" t="s">
        <v>1373</v>
      </c>
      <c r="M179" s="38" t="s">
        <v>1374</v>
      </c>
      <c r="N179" s="31" t="s">
        <v>1375</v>
      </c>
      <c r="O179" s="39">
        <v>2029</v>
      </c>
      <c r="P179" s="39">
        <v>450</v>
      </c>
      <c r="Q179" s="41">
        <v>44480</v>
      </c>
      <c r="R179" s="41">
        <v>47041</v>
      </c>
      <c r="S179" s="42">
        <v>2067930</v>
      </c>
      <c r="T179" s="43">
        <v>2.2499999999999999E-2</v>
      </c>
      <c r="U179" s="42">
        <v>1861137</v>
      </c>
      <c r="V179" s="42">
        <v>41875.582499999997</v>
      </c>
      <c r="W179" s="44">
        <v>0</v>
      </c>
      <c r="X179" s="45">
        <v>41876</v>
      </c>
      <c r="Y179" s="46" t="s">
        <v>71</v>
      </c>
      <c r="Z179" s="39" t="s">
        <v>40</v>
      </c>
      <c r="AA179" s="31" t="s">
        <v>41</v>
      </c>
      <c r="AB179" s="31" t="s">
        <v>198</v>
      </c>
      <c r="AC179" s="37">
        <v>45596</v>
      </c>
      <c r="AD179" s="65"/>
      <c r="AE179" s="65" t="s">
        <v>2283</v>
      </c>
      <c r="AF179" s="66">
        <v>41876</v>
      </c>
      <c r="AG179" s="67">
        <f t="shared" si="2"/>
        <v>0</v>
      </c>
      <c r="AH179" s="65" t="s">
        <v>2376</v>
      </c>
    </row>
    <row r="180" spans="1:34">
      <c r="A180" s="32">
        <v>45566</v>
      </c>
      <c r="B180" s="33" t="s">
        <v>29</v>
      </c>
      <c r="C180" s="34" t="s">
        <v>1376</v>
      </c>
      <c r="D180" s="35" t="s">
        <v>64</v>
      </c>
      <c r="E180" s="36">
        <v>45575</v>
      </c>
      <c r="F180" s="37">
        <v>45940</v>
      </c>
      <c r="G180" s="34" t="s">
        <v>1218</v>
      </c>
      <c r="H180" s="38">
        <v>2021</v>
      </c>
      <c r="I180" s="39" t="s">
        <v>1377</v>
      </c>
      <c r="J180" s="38" t="s">
        <v>1378</v>
      </c>
      <c r="K180" s="38" t="s">
        <v>1379</v>
      </c>
      <c r="L180" s="40" t="s">
        <v>1380</v>
      </c>
      <c r="M180" s="38" t="s">
        <v>1381</v>
      </c>
      <c r="N180" s="31" t="s">
        <v>1382</v>
      </c>
      <c r="O180" s="39">
        <v>1179</v>
      </c>
      <c r="P180" s="39">
        <v>450</v>
      </c>
      <c r="Q180" s="41">
        <v>44482</v>
      </c>
      <c r="R180" s="41">
        <v>46310</v>
      </c>
      <c r="S180" s="42">
        <v>1081350</v>
      </c>
      <c r="T180" s="43">
        <v>2.2499999999999999E-2</v>
      </c>
      <c r="U180" s="42">
        <v>973215</v>
      </c>
      <c r="V180" s="42">
        <v>21897.337499999998</v>
      </c>
      <c r="W180" s="44">
        <v>0</v>
      </c>
      <c r="X180" s="45">
        <v>21897</v>
      </c>
      <c r="Y180" s="46" t="s">
        <v>71</v>
      </c>
      <c r="Z180" s="39" t="s">
        <v>40</v>
      </c>
      <c r="AA180" s="31" t="s">
        <v>41</v>
      </c>
      <c r="AB180" s="31" t="s">
        <v>198</v>
      </c>
      <c r="AC180" s="37">
        <v>45596</v>
      </c>
      <c r="AD180" s="65"/>
      <c r="AE180" s="65" t="s">
        <v>2284</v>
      </c>
      <c r="AF180" s="66">
        <v>21897</v>
      </c>
      <c r="AG180" s="67">
        <f t="shared" si="2"/>
        <v>0</v>
      </c>
      <c r="AH180" s="65" t="s">
        <v>2376</v>
      </c>
    </row>
    <row r="181" spans="1:34">
      <c r="A181" s="32">
        <v>45566</v>
      </c>
      <c r="B181" s="33" t="s">
        <v>29</v>
      </c>
      <c r="C181" s="34" t="s">
        <v>1383</v>
      </c>
      <c r="D181" s="35" t="s">
        <v>64</v>
      </c>
      <c r="E181" s="36">
        <v>45575</v>
      </c>
      <c r="F181" s="37">
        <v>45940</v>
      </c>
      <c r="G181" s="34" t="s">
        <v>403</v>
      </c>
      <c r="H181" s="38">
        <v>2021</v>
      </c>
      <c r="I181" s="39" t="s">
        <v>1384</v>
      </c>
      <c r="J181" s="38" t="s">
        <v>1385</v>
      </c>
      <c r="K181" s="38" t="s">
        <v>1386</v>
      </c>
      <c r="L181" s="40" t="s">
        <v>1387</v>
      </c>
      <c r="M181" s="38" t="s">
        <v>1388</v>
      </c>
      <c r="N181" s="31" t="s">
        <v>1389</v>
      </c>
      <c r="O181" s="39">
        <v>2090</v>
      </c>
      <c r="P181" s="39">
        <v>450</v>
      </c>
      <c r="Q181" s="41">
        <v>44483</v>
      </c>
      <c r="R181" s="41">
        <v>47041</v>
      </c>
      <c r="S181" s="42">
        <v>1740690</v>
      </c>
      <c r="T181" s="43">
        <v>2.2499999999999999E-2</v>
      </c>
      <c r="U181" s="42">
        <v>1566621</v>
      </c>
      <c r="V181" s="42">
        <v>35248.972499999996</v>
      </c>
      <c r="W181" s="44">
        <v>0</v>
      </c>
      <c r="X181" s="45">
        <v>35249</v>
      </c>
      <c r="Y181" s="46" t="s">
        <v>71</v>
      </c>
      <c r="Z181" s="39" t="s">
        <v>40</v>
      </c>
      <c r="AA181" s="31" t="s">
        <v>41</v>
      </c>
      <c r="AB181" s="31" t="s">
        <v>198</v>
      </c>
      <c r="AC181" s="37">
        <v>45596</v>
      </c>
      <c r="AD181" s="65"/>
      <c r="AE181" s="65" t="s">
        <v>2285</v>
      </c>
      <c r="AF181" s="66">
        <v>35249</v>
      </c>
      <c r="AG181" s="67">
        <f t="shared" si="2"/>
        <v>0</v>
      </c>
      <c r="AH181" s="65" t="s">
        <v>2376</v>
      </c>
    </row>
    <row r="182" spans="1:34">
      <c r="A182" s="32">
        <v>45566</v>
      </c>
      <c r="B182" s="33" t="s">
        <v>29</v>
      </c>
      <c r="C182" s="34" t="s">
        <v>1390</v>
      </c>
      <c r="D182" s="35" t="s">
        <v>64</v>
      </c>
      <c r="E182" s="36">
        <v>45575</v>
      </c>
      <c r="F182" s="37">
        <v>45940</v>
      </c>
      <c r="G182" s="34" t="s">
        <v>1333</v>
      </c>
      <c r="H182" s="38">
        <v>2021</v>
      </c>
      <c r="I182" s="39" t="s">
        <v>1391</v>
      </c>
      <c r="J182" s="38" t="s">
        <v>1392</v>
      </c>
      <c r="K182" s="38" t="s">
        <v>1393</v>
      </c>
      <c r="L182" s="40" t="s">
        <v>1394</v>
      </c>
      <c r="M182" s="38" t="s">
        <v>1395</v>
      </c>
      <c r="N182" s="31" t="s">
        <v>1396</v>
      </c>
      <c r="O182" s="39">
        <v>1004</v>
      </c>
      <c r="P182" s="39">
        <v>450</v>
      </c>
      <c r="Q182" s="41">
        <v>44482</v>
      </c>
      <c r="R182" s="41">
        <v>46310</v>
      </c>
      <c r="S182" s="42">
        <v>1446660</v>
      </c>
      <c r="T182" s="43">
        <v>2.2499999999999999E-2</v>
      </c>
      <c r="U182" s="42">
        <v>1301994</v>
      </c>
      <c r="V182" s="42">
        <v>29294.864999999998</v>
      </c>
      <c r="W182" s="44">
        <v>0</v>
      </c>
      <c r="X182" s="45">
        <v>29295</v>
      </c>
      <c r="Y182" s="46" t="s">
        <v>71</v>
      </c>
      <c r="Z182" s="39" t="s">
        <v>40</v>
      </c>
      <c r="AA182" s="31" t="s">
        <v>41</v>
      </c>
      <c r="AB182" s="31" t="s">
        <v>198</v>
      </c>
      <c r="AC182" s="37">
        <v>45596</v>
      </c>
      <c r="AD182" s="65"/>
      <c r="AE182" s="65" t="s">
        <v>2286</v>
      </c>
      <c r="AF182" s="66">
        <v>29295</v>
      </c>
      <c r="AG182" s="67">
        <f t="shared" si="2"/>
        <v>0</v>
      </c>
      <c r="AH182" s="65" t="s">
        <v>2376</v>
      </c>
    </row>
    <row r="183" spans="1:34">
      <c r="A183" s="32">
        <v>45566</v>
      </c>
      <c r="B183" s="33" t="s">
        <v>29</v>
      </c>
      <c r="C183" s="34" t="s">
        <v>1397</v>
      </c>
      <c r="D183" s="35" t="s">
        <v>64</v>
      </c>
      <c r="E183" s="36">
        <v>45566</v>
      </c>
      <c r="F183" s="37">
        <v>45931</v>
      </c>
      <c r="G183" s="34" t="s">
        <v>1398</v>
      </c>
      <c r="H183" s="38">
        <v>2021</v>
      </c>
      <c r="I183" s="39" t="s">
        <v>1399</v>
      </c>
      <c r="J183" s="38" t="s">
        <v>1400</v>
      </c>
      <c r="K183" s="38" t="s">
        <v>1401</v>
      </c>
      <c r="L183" s="40" t="s">
        <v>1402</v>
      </c>
      <c r="M183" s="38" t="s">
        <v>1403</v>
      </c>
      <c r="N183" s="31" t="s">
        <v>1404</v>
      </c>
      <c r="O183" s="39">
        <v>3035</v>
      </c>
      <c r="P183" s="39">
        <v>450</v>
      </c>
      <c r="Q183" s="41">
        <v>44530</v>
      </c>
      <c r="R183" s="41">
        <v>46300</v>
      </c>
      <c r="S183" s="42">
        <v>826200</v>
      </c>
      <c r="T183" s="43">
        <v>1.9900000000000001E-2</v>
      </c>
      <c r="U183" s="42">
        <v>743580</v>
      </c>
      <c r="V183" s="42">
        <v>14797.242</v>
      </c>
      <c r="W183" s="44">
        <v>0</v>
      </c>
      <c r="X183" s="45">
        <v>14797</v>
      </c>
      <c r="Y183" s="46" t="s">
        <v>71</v>
      </c>
      <c r="Z183" s="39" t="s">
        <v>40</v>
      </c>
      <c r="AA183" s="31" t="s">
        <v>41</v>
      </c>
      <c r="AB183" s="31" t="s">
        <v>198</v>
      </c>
      <c r="AC183" s="37">
        <v>45596</v>
      </c>
      <c r="AD183" s="65"/>
      <c r="AE183" s="68" t="s">
        <v>2105</v>
      </c>
      <c r="AF183" s="66">
        <v>14797</v>
      </c>
      <c r="AG183" s="67">
        <f t="shared" si="2"/>
        <v>0</v>
      </c>
      <c r="AH183" s="65" t="s">
        <v>2376</v>
      </c>
    </row>
    <row r="184" spans="1:34">
      <c r="A184" s="32">
        <v>45566</v>
      </c>
      <c r="B184" s="33" t="s">
        <v>29</v>
      </c>
      <c r="C184" s="34" t="s">
        <v>1405</v>
      </c>
      <c r="D184" s="35" t="s">
        <v>64</v>
      </c>
      <c r="E184" s="36">
        <v>45576</v>
      </c>
      <c r="F184" s="37">
        <v>45941</v>
      </c>
      <c r="G184" s="34" t="s">
        <v>223</v>
      </c>
      <c r="H184" s="38">
        <v>2014</v>
      </c>
      <c r="I184" s="39" t="s">
        <v>1406</v>
      </c>
      <c r="J184" s="38" t="s">
        <v>1407</v>
      </c>
      <c r="K184" s="38" t="s">
        <v>1408</v>
      </c>
      <c r="L184" s="40" t="s">
        <v>1409</v>
      </c>
      <c r="M184" s="38" t="s">
        <v>1410</v>
      </c>
      <c r="N184" s="31" t="s">
        <v>1411</v>
      </c>
      <c r="O184" s="39">
        <v>2010</v>
      </c>
      <c r="P184" s="39">
        <v>450</v>
      </c>
      <c r="Q184" s="41">
        <v>44487</v>
      </c>
      <c r="R184" s="41">
        <v>45945</v>
      </c>
      <c r="S184" s="42">
        <v>1903500</v>
      </c>
      <c r="T184" s="43">
        <v>2.2499999999999999E-2</v>
      </c>
      <c r="U184" s="42">
        <v>1713150</v>
      </c>
      <c r="V184" s="42">
        <v>38545.875</v>
      </c>
      <c r="W184" s="44">
        <v>0</v>
      </c>
      <c r="X184" s="45">
        <v>38546</v>
      </c>
      <c r="Y184" s="46" t="s">
        <v>71</v>
      </c>
      <c r="Z184" s="39" t="s">
        <v>40</v>
      </c>
      <c r="AA184" s="31" t="s">
        <v>41</v>
      </c>
      <c r="AB184" s="31" t="s">
        <v>198</v>
      </c>
      <c r="AC184" s="37">
        <v>45596</v>
      </c>
      <c r="AD184" s="65"/>
      <c r="AE184" s="65" t="s">
        <v>2287</v>
      </c>
      <c r="AF184" s="66">
        <v>38546</v>
      </c>
      <c r="AG184" s="67">
        <f t="shared" si="2"/>
        <v>0</v>
      </c>
      <c r="AH184" s="65" t="s">
        <v>2376</v>
      </c>
    </row>
    <row r="185" spans="1:34">
      <c r="A185" s="32">
        <v>45566</v>
      </c>
      <c r="B185" s="33" t="s">
        <v>29</v>
      </c>
      <c r="C185" s="34" t="s">
        <v>1412</v>
      </c>
      <c r="D185" s="35" t="s">
        <v>64</v>
      </c>
      <c r="E185" s="36">
        <v>45576</v>
      </c>
      <c r="F185" s="37">
        <v>45941</v>
      </c>
      <c r="G185" s="34" t="s">
        <v>366</v>
      </c>
      <c r="H185" s="38">
        <v>2021</v>
      </c>
      <c r="I185" s="39" t="s">
        <v>1413</v>
      </c>
      <c r="J185" s="38" t="s">
        <v>1414</v>
      </c>
      <c r="K185" s="38" t="s">
        <v>1415</v>
      </c>
      <c r="L185" s="40" t="s">
        <v>1416</v>
      </c>
      <c r="M185" s="38" t="s">
        <v>1417</v>
      </c>
      <c r="N185" s="31" t="s">
        <v>1418</v>
      </c>
      <c r="O185" s="39">
        <v>1023</v>
      </c>
      <c r="P185" s="39">
        <v>450</v>
      </c>
      <c r="Q185" s="41">
        <v>44812</v>
      </c>
      <c r="R185" s="41">
        <v>46290</v>
      </c>
      <c r="S185" s="42">
        <v>2655180</v>
      </c>
      <c r="T185" s="43">
        <v>1.9900000000000001E-2</v>
      </c>
      <c r="U185" s="42">
        <v>2389662</v>
      </c>
      <c r="V185" s="42">
        <v>47554.273800000003</v>
      </c>
      <c r="W185" s="44">
        <v>0</v>
      </c>
      <c r="X185" s="45">
        <v>47554</v>
      </c>
      <c r="Y185" s="46" t="s">
        <v>71</v>
      </c>
      <c r="Z185" s="39" t="s">
        <v>40</v>
      </c>
      <c r="AA185" s="31" t="s">
        <v>41</v>
      </c>
      <c r="AB185" s="31" t="s">
        <v>72</v>
      </c>
      <c r="AC185" s="37">
        <v>45596</v>
      </c>
      <c r="AD185" s="65"/>
      <c r="AE185" s="65" t="s">
        <v>2288</v>
      </c>
      <c r="AF185" s="66">
        <v>47554</v>
      </c>
      <c r="AG185" s="67">
        <f t="shared" si="2"/>
        <v>0</v>
      </c>
      <c r="AH185" s="65" t="s">
        <v>2376</v>
      </c>
    </row>
    <row r="186" spans="1:34">
      <c r="A186" s="32">
        <v>45566</v>
      </c>
      <c r="B186" s="33" t="s">
        <v>29</v>
      </c>
      <c r="C186" s="34" t="s">
        <v>1419</v>
      </c>
      <c r="D186" s="35" t="s">
        <v>64</v>
      </c>
      <c r="E186" s="36">
        <v>45595</v>
      </c>
      <c r="F186" s="37">
        <v>45960</v>
      </c>
      <c r="G186" s="34" t="s">
        <v>1420</v>
      </c>
      <c r="H186" s="38">
        <v>2022</v>
      </c>
      <c r="I186" s="39" t="s">
        <v>1421</v>
      </c>
      <c r="J186" s="38" t="s">
        <v>1422</v>
      </c>
      <c r="K186" s="38" t="s">
        <v>1423</v>
      </c>
      <c r="L186" s="40" t="s">
        <v>1424</v>
      </c>
      <c r="M186" s="38" t="s">
        <v>1425</v>
      </c>
      <c r="N186" s="31" t="s">
        <v>1426</v>
      </c>
      <c r="O186" s="39">
        <v>3044</v>
      </c>
      <c r="P186" s="39">
        <v>450</v>
      </c>
      <c r="Q186" s="41">
        <v>44866</v>
      </c>
      <c r="R186" s="41">
        <v>45966</v>
      </c>
      <c r="S186" s="42">
        <v>5232780</v>
      </c>
      <c r="T186" s="43">
        <v>1.9900000000000001E-2</v>
      </c>
      <c r="U186" s="42">
        <v>4709502</v>
      </c>
      <c r="V186" s="42">
        <v>93719.089800000002</v>
      </c>
      <c r="W186" s="44">
        <v>0</v>
      </c>
      <c r="X186" s="45">
        <v>93719</v>
      </c>
      <c r="Y186" s="46" t="s">
        <v>71</v>
      </c>
      <c r="Z186" s="39" t="s">
        <v>40</v>
      </c>
      <c r="AA186" s="31" t="s">
        <v>41</v>
      </c>
      <c r="AB186" s="31" t="s">
        <v>72</v>
      </c>
      <c r="AC186" s="37">
        <v>45596</v>
      </c>
      <c r="AD186" s="65"/>
      <c r="AE186" s="65" t="s">
        <v>2289</v>
      </c>
      <c r="AF186" s="66">
        <v>93719</v>
      </c>
      <c r="AG186" s="67">
        <f t="shared" si="2"/>
        <v>0</v>
      </c>
      <c r="AH186" s="65" t="s">
        <v>2376</v>
      </c>
    </row>
    <row r="187" spans="1:34">
      <c r="A187" s="32">
        <v>45566</v>
      </c>
      <c r="B187" s="33" t="s">
        <v>29</v>
      </c>
      <c r="C187" s="34" t="s">
        <v>1427</v>
      </c>
      <c r="D187" s="35" t="s">
        <v>64</v>
      </c>
      <c r="E187" s="36">
        <v>45576</v>
      </c>
      <c r="F187" s="37">
        <v>45941</v>
      </c>
      <c r="G187" s="34" t="s">
        <v>129</v>
      </c>
      <c r="H187" s="38">
        <v>2021</v>
      </c>
      <c r="I187" s="39" t="s">
        <v>1428</v>
      </c>
      <c r="J187" s="38" t="s">
        <v>1429</v>
      </c>
      <c r="K187" s="38" t="s">
        <v>1430</v>
      </c>
      <c r="L187" s="40" t="s">
        <v>1431</v>
      </c>
      <c r="M187" s="38" t="s">
        <v>1432</v>
      </c>
      <c r="N187" s="31" t="s">
        <v>1433</v>
      </c>
      <c r="O187" s="39">
        <v>2101</v>
      </c>
      <c r="P187" s="39">
        <v>450</v>
      </c>
      <c r="Q187" s="41">
        <v>44498</v>
      </c>
      <c r="R187" s="41">
        <v>47041</v>
      </c>
      <c r="S187" s="42">
        <v>1081350</v>
      </c>
      <c r="T187" s="43">
        <v>1.9900000000000001E-2</v>
      </c>
      <c r="U187" s="42">
        <v>973215</v>
      </c>
      <c r="V187" s="42">
        <v>19366.978500000001</v>
      </c>
      <c r="W187" s="44">
        <v>0</v>
      </c>
      <c r="X187" s="45">
        <v>19367</v>
      </c>
      <c r="Y187" s="46" t="s">
        <v>71</v>
      </c>
      <c r="Z187" s="39" t="s">
        <v>40</v>
      </c>
      <c r="AA187" s="31" t="s">
        <v>41</v>
      </c>
      <c r="AB187" s="31" t="s">
        <v>198</v>
      </c>
      <c r="AC187" s="37">
        <v>45596</v>
      </c>
      <c r="AD187" s="65"/>
      <c r="AE187" s="65" t="s">
        <v>2290</v>
      </c>
      <c r="AF187" s="66">
        <v>19367</v>
      </c>
      <c r="AG187" s="67">
        <f t="shared" si="2"/>
        <v>0</v>
      </c>
      <c r="AH187" s="65" t="s">
        <v>2376</v>
      </c>
    </row>
    <row r="188" spans="1:34">
      <c r="A188" s="32">
        <v>45566</v>
      </c>
      <c r="B188" s="33" t="s">
        <v>29</v>
      </c>
      <c r="C188" s="34" t="s">
        <v>1434</v>
      </c>
      <c r="D188" s="35" t="s">
        <v>64</v>
      </c>
      <c r="E188" s="36">
        <v>45576</v>
      </c>
      <c r="F188" s="37">
        <v>45941</v>
      </c>
      <c r="G188" s="34" t="s">
        <v>293</v>
      </c>
      <c r="H188" s="38">
        <v>2021</v>
      </c>
      <c r="I188" s="39" t="s">
        <v>1435</v>
      </c>
      <c r="J188" s="38" t="s">
        <v>1436</v>
      </c>
      <c r="K188" s="38" t="s">
        <v>1437</v>
      </c>
      <c r="L188" s="40" t="s">
        <v>1438</v>
      </c>
      <c r="M188" s="38" t="s">
        <v>1439</v>
      </c>
      <c r="N188" s="31" t="s">
        <v>1440</v>
      </c>
      <c r="O188" s="39">
        <v>2002</v>
      </c>
      <c r="P188" s="39">
        <v>477</v>
      </c>
      <c r="Q188" s="41">
        <v>44483</v>
      </c>
      <c r="R188" s="41">
        <v>46310</v>
      </c>
      <c r="S188" s="42">
        <v>2189430</v>
      </c>
      <c r="T188" s="43">
        <v>1.9900000000000001E-2</v>
      </c>
      <c r="U188" s="42">
        <v>1970487</v>
      </c>
      <c r="V188" s="42">
        <v>39212.691299999999</v>
      </c>
      <c r="W188" s="44">
        <v>0</v>
      </c>
      <c r="X188" s="45">
        <v>39213</v>
      </c>
      <c r="Y188" s="46" t="s">
        <v>71</v>
      </c>
      <c r="Z188" s="39" t="s">
        <v>40</v>
      </c>
      <c r="AA188" s="31" t="s">
        <v>41</v>
      </c>
      <c r="AB188" s="31" t="s">
        <v>198</v>
      </c>
      <c r="AC188" s="37">
        <v>45596</v>
      </c>
      <c r="AD188" s="65"/>
      <c r="AE188" s="65" t="s">
        <v>2291</v>
      </c>
      <c r="AF188" s="66">
        <v>39213</v>
      </c>
      <c r="AG188" s="67">
        <f t="shared" si="2"/>
        <v>0</v>
      </c>
      <c r="AH188" s="65" t="s">
        <v>2376</v>
      </c>
    </row>
    <row r="189" spans="1:34">
      <c r="A189" s="32">
        <v>45566</v>
      </c>
      <c r="B189" s="33" t="s">
        <v>29</v>
      </c>
      <c r="C189" s="34" t="s">
        <v>1441</v>
      </c>
      <c r="D189" s="35" t="s">
        <v>64</v>
      </c>
      <c r="E189" s="36">
        <v>45576</v>
      </c>
      <c r="F189" s="37">
        <v>45941</v>
      </c>
      <c r="G189" s="34" t="s">
        <v>293</v>
      </c>
      <c r="H189" s="38">
        <v>2021</v>
      </c>
      <c r="I189" s="39" t="s">
        <v>1442</v>
      </c>
      <c r="J189" s="38" t="s">
        <v>1443</v>
      </c>
      <c r="K189" s="38" t="s">
        <v>1444</v>
      </c>
      <c r="L189" s="40" t="s">
        <v>1445</v>
      </c>
      <c r="M189" s="38" t="s">
        <v>1446</v>
      </c>
      <c r="N189" s="31" t="s">
        <v>1447</v>
      </c>
      <c r="O189" s="39">
        <v>2002</v>
      </c>
      <c r="P189" s="39">
        <v>477</v>
      </c>
      <c r="Q189" s="41">
        <v>44497</v>
      </c>
      <c r="R189" s="41">
        <v>47041</v>
      </c>
      <c r="S189" s="42">
        <v>2124630</v>
      </c>
      <c r="T189" s="43">
        <v>2.2499999999999999E-2</v>
      </c>
      <c r="U189" s="42">
        <v>1912167</v>
      </c>
      <c r="V189" s="42">
        <v>43023.7575</v>
      </c>
      <c r="W189" s="44">
        <v>0</v>
      </c>
      <c r="X189" s="45">
        <v>43024</v>
      </c>
      <c r="Y189" s="46" t="s">
        <v>71</v>
      </c>
      <c r="Z189" s="39" t="s">
        <v>40</v>
      </c>
      <c r="AA189" s="31" t="s">
        <v>41</v>
      </c>
      <c r="AB189" s="31" t="s">
        <v>198</v>
      </c>
      <c r="AC189" s="37">
        <v>45596</v>
      </c>
      <c r="AD189" s="65"/>
      <c r="AE189" s="65" t="s">
        <v>2292</v>
      </c>
      <c r="AF189" s="66">
        <v>43024</v>
      </c>
      <c r="AG189" s="67">
        <f t="shared" si="2"/>
        <v>0</v>
      </c>
      <c r="AH189" s="65" t="s">
        <v>2376</v>
      </c>
    </row>
    <row r="190" spans="1:34">
      <c r="A190" s="32">
        <v>45566</v>
      </c>
      <c r="B190" s="33" t="s">
        <v>29</v>
      </c>
      <c r="C190" s="34" t="s">
        <v>1448</v>
      </c>
      <c r="D190" s="35" t="s">
        <v>64</v>
      </c>
      <c r="E190" s="36">
        <v>45576</v>
      </c>
      <c r="F190" s="37">
        <v>45941</v>
      </c>
      <c r="G190" s="34" t="s">
        <v>129</v>
      </c>
      <c r="H190" s="38">
        <v>2021</v>
      </c>
      <c r="I190" s="39" t="s">
        <v>1449</v>
      </c>
      <c r="J190" s="38" t="s">
        <v>1450</v>
      </c>
      <c r="K190" s="38" t="s">
        <v>1451</v>
      </c>
      <c r="L190" s="40" t="s">
        <v>1452</v>
      </c>
      <c r="M190" s="38" t="s">
        <v>1453</v>
      </c>
      <c r="N190" s="31" t="s">
        <v>1454</v>
      </c>
      <c r="O190" s="39">
        <v>3021</v>
      </c>
      <c r="P190" s="39">
        <v>450</v>
      </c>
      <c r="Q190" s="41">
        <v>44483</v>
      </c>
      <c r="R190" s="41">
        <v>47041</v>
      </c>
      <c r="S190" s="42">
        <v>1081350</v>
      </c>
      <c r="T190" s="43">
        <v>1.9900000000000001E-2</v>
      </c>
      <c r="U190" s="42">
        <v>973215</v>
      </c>
      <c r="V190" s="42">
        <v>19366.978500000001</v>
      </c>
      <c r="W190" s="44">
        <v>0</v>
      </c>
      <c r="X190" s="45">
        <v>19367</v>
      </c>
      <c r="Y190" s="46" t="s">
        <v>71</v>
      </c>
      <c r="Z190" s="39" t="s">
        <v>40</v>
      </c>
      <c r="AA190" s="31" t="s">
        <v>41</v>
      </c>
      <c r="AB190" s="31" t="s">
        <v>198</v>
      </c>
      <c r="AC190" s="37">
        <v>45596</v>
      </c>
      <c r="AD190" s="65"/>
      <c r="AE190" s="65" t="s">
        <v>2293</v>
      </c>
      <c r="AF190" s="66">
        <v>19367</v>
      </c>
      <c r="AG190" s="67">
        <f t="shared" si="2"/>
        <v>0</v>
      </c>
      <c r="AH190" s="65" t="s">
        <v>2376</v>
      </c>
    </row>
    <row r="191" spans="1:34">
      <c r="A191" s="32">
        <v>45566</v>
      </c>
      <c r="B191" s="33" t="s">
        <v>29</v>
      </c>
      <c r="C191" s="34" t="s">
        <v>1455</v>
      </c>
      <c r="D191" s="35" t="s">
        <v>64</v>
      </c>
      <c r="E191" s="36">
        <v>45576</v>
      </c>
      <c r="F191" s="37">
        <v>45941</v>
      </c>
      <c r="G191" s="34" t="s">
        <v>98</v>
      </c>
      <c r="H191" s="38">
        <v>2021</v>
      </c>
      <c r="I191" s="39" t="s">
        <v>1456</v>
      </c>
      <c r="J191" s="38" t="s">
        <v>1457</v>
      </c>
      <c r="K191" s="38" t="s">
        <v>1458</v>
      </c>
      <c r="L191" s="40" t="s">
        <v>1459</v>
      </c>
      <c r="M191" s="38" t="s">
        <v>1460</v>
      </c>
      <c r="N191" s="31" t="s">
        <v>1461</v>
      </c>
      <c r="O191" s="39">
        <v>1029</v>
      </c>
      <c r="P191" s="39">
        <v>450</v>
      </c>
      <c r="Q191" s="41">
        <v>44484</v>
      </c>
      <c r="R191" s="41">
        <v>47041</v>
      </c>
      <c r="S191" s="42">
        <v>1442610</v>
      </c>
      <c r="T191" s="43">
        <v>2.2499999999999999E-2</v>
      </c>
      <c r="U191" s="42">
        <v>1298349</v>
      </c>
      <c r="V191" s="42">
        <v>29212.852499999997</v>
      </c>
      <c r="W191" s="44">
        <v>0</v>
      </c>
      <c r="X191" s="45">
        <v>29213</v>
      </c>
      <c r="Y191" s="46" t="s">
        <v>71</v>
      </c>
      <c r="Z191" s="39" t="s">
        <v>40</v>
      </c>
      <c r="AA191" s="31" t="s">
        <v>41</v>
      </c>
      <c r="AB191" s="31" t="s">
        <v>198</v>
      </c>
      <c r="AC191" s="37">
        <v>45596</v>
      </c>
      <c r="AD191" s="65"/>
      <c r="AE191" s="65" t="s">
        <v>2294</v>
      </c>
      <c r="AF191" s="66">
        <v>29213</v>
      </c>
      <c r="AG191" s="67">
        <f t="shared" si="2"/>
        <v>0</v>
      </c>
      <c r="AH191" s="65" t="s">
        <v>2376</v>
      </c>
    </row>
    <row r="192" spans="1:34">
      <c r="A192" s="32">
        <v>45566</v>
      </c>
      <c r="B192" s="33" t="s">
        <v>29</v>
      </c>
      <c r="C192" s="34" t="s">
        <v>1462</v>
      </c>
      <c r="D192" s="35" t="s">
        <v>64</v>
      </c>
      <c r="E192" s="36">
        <v>45566</v>
      </c>
      <c r="F192" s="37">
        <v>45931</v>
      </c>
      <c r="G192" s="34" t="s">
        <v>262</v>
      </c>
      <c r="H192" s="38">
        <v>2021</v>
      </c>
      <c r="I192" s="39" t="s">
        <v>1463</v>
      </c>
      <c r="J192" s="38" t="s">
        <v>1464</v>
      </c>
      <c r="K192" s="38" t="s">
        <v>1465</v>
      </c>
      <c r="L192" s="40" t="s">
        <v>1466</v>
      </c>
      <c r="M192" s="38" t="s">
        <v>1467</v>
      </c>
      <c r="N192" s="31" t="s">
        <v>1468</v>
      </c>
      <c r="O192" s="39">
        <v>2008</v>
      </c>
      <c r="P192" s="39">
        <v>450</v>
      </c>
      <c r="Q192" s="41">
        <v>44474</v>
      </c>
      <c r="R192" s="41">
        <v>46300</v>
      </c>
      <c r="S192" s="42">
        <v>1482300</v>
      </c>
      <c r="T192" s="43">
        <v>1.9900000000000001E-2</v>
      </c>
      <c r="U192" s="42">
        <v>1334070</v>
      </c>
      <c r="V192" s="42">
        <v>26547.993000000002</v>
      </c>
      <c r="W192" s="44">
        <v>0</v>
      </c>
      <c r="X192" s="45">
        <v>26548</v>
      </c>
      <c r="Y192" s="46" t="s">
        <v>71</v>
      </c>
      <c r="Z192" s="39" t="s">
        <v>40</v>
      </c>
      <c r="AA192" s="31" t="s">
        <v>41</v>
      </c>
      <c r="AB192" s="31" t="s">
        <v>198</v>
      </c>
      <c r="AC192" s="37">
        <v>45596</v>
      </c>
      <c r="AD192" s="65"/>
      <c r="AE192" s="65" t="s">
        <v>2295</v>
      </c>
      <c r="AF192" s="66">
        <v>26548</v>
      </c>
      <c r="AG192" s="67">
        <f t="shared" si="2"/>
        <v>0</v>
      </c>
      <c r="AH192" s="65" t="s">
        <v>2376</v>
      </c>
    </row>
    <row r="193" spans="1:34">
      <c r="A193" s="32">
        <v>45566</v>
      </c>
      <c r="B193" s="33" t="s">
        <v>29</v>
      </c>
      <c r="C193" s="34" t="s">
        <v>1469</v>
      </c>
      <c r="D193" s="35" t="s">
        <v>64</v>
      </c>
      <c r="E193" s="36">
        <v>45576</v>
      </c>
      <c r="F193" s="37">
        <v>45941</v>
      </c>
      <c r="G193" s="34" t="s">
        <v>1470</v>
      </c>
      <c r="H193" s="38">
        <v>2021</v>
      </c>
      <c r="I193" s="39" t="s">
        <v>1471</v>
      </c>
      <c r="J193" s="38" t="s">
        <v>1472</v>
      </c>
      <c r="K193" s="38" t="s">
        <v>1473</v>
      </c>
      <c r="L193" s="40" t="s">
        <v>1474</v>
      </c>
      <c r="M193" s="38" t="s">
        <v>1475</v>
      </c>
      <c r="N193" s="31" t="s">
        <v>1476</v>
      </c>
      <c r="O193" s="39">
        <v>3050</v>
      </c>
      <c r="P193" s="39">
        <v>450</v>
      </c>
      <c r="Q193" s="41">
        <v>44573</v>
      </c>
      <c r="R193" s="41">
        <v>46310</v>
      </c>
      <c r="S193" s="42">
        <v>2545830</v>
      </c>
      <c r="T193" s="43">
        <v>1.9900000000000001E-2</v>
      </c>
      <c r="U193" s="42">
        <v>2291247</v>
      </c>
      <c r="V193" s="42">
        <v>45595.815300000002</v>
      </c>
      <c r="W193" s="44">
        <v>0</v>
      </c>
      <c r="X193" s="45">
        <v>45596</v>
      </c>
      <c r="Y193" s="46" t="s">
        <v>71</v>
      </c>
      <c r="Z193" s="39" t="s">
        <v>40</v>
      </c>
      <c r="AA193" s="31" t="s">
        <v>41</v>
      </c>
      <c r="AB193" s="31" t="s">
        <v>72</v>
      </c>
      <c r="AC193" s="37">
        <v>45596</v>
      </c>
      <c r="AD193" s="65"/>
      <c r="AE193" s="65" t="s">
        <v>2296</v>
      </c>
      <c r="AF193" s="66">
        <v>45596</v>
      </c>
      <c r="AG193" s="67">
        <f t="shared" si="2"/>
        <v>0</v>
      </c>
      <c r="AH193" s="65" t="s">
        <v>2376</v>
      </c>
    </row>
    <row r="194" spans="1:34">
      <c r="A194" s="32">
        <v>45566</v>
      </c>
      <c r="B194" s="33" t="s">
        <v>29</v>
      </c>
      <c r="C194" s="34" t="s">
        <v>1477</v>
      </c>
      <c r="D194" s="35" t="s">
        <v>64</v>
      </c>
      <c r="E194" s="36">
        <v>45576</v>
      </c>
      <c r="F194" s="37">
        <v>45941</v>
      </c>
      <c r="G194" s="34" t="s">
        <v>215</v>
      </c>
      <c r="H194" s="38">
        <v>2021</v>
      </c>
      <c r="I194" s="39" t="s">
        <v>1478</v>
      </c>
      <c r="J194" s="38" t="s">
        <v>1479</v>
      </c>
      <c r="K194" s="38" t="s">
        <v>1480</v>
      </c>
      <c r="L194" s="40" t="s">
        <v>1481</v>
      </c>
      <c r="M194" s="38" t="s">
        <v>1482</v>
      </c>
      <c r="N194" s="31" t="s">
        <v>1483</v>
      </c>
      <c r="O194" s="39">
        <v>2111</v>
      </c>
      <c r="P194" s="39">
        <v>450</v>
      </c>
      <c r="Q194" s="41">
        <v>44481</v>
      </c>
      <c r="R194" s="41">
        <v>45945</v>
      </c>
      <c r="S194" s="42">
        <v>1304100</v>
      </c>
      <c r="T194" s="43">
        <v>2.2499999999999999E-2</v>
      </c>
      <c r="U194" s="42">
        <v>1173690</v>
      </c>
      <c r="V194" s="42">
        <v>26408.024999999998</v>
      </c>
      <c r="W194" s="44">
        <v>0</v>
      </c>
      <c r="X194" s="45">
        <v>26408</v>
      </c>
      <c r="Y194" s="46" t="s">
        <v>71</v>
      </c>
      <c r="Z194" s="39" t="s">
        <v>40</v>
      </c>
      <c r="AA194" s="31" t="s">
        <v>41</v>
      </c>
      <c r="AB194" s="31" t="s">
        <v>198</v>
      </c>
      <c r="AC194" s="37">
        <v>45596</v>
      </c>
      <c r="AD194" s="65"/>
      <c r="AE194" s="65" t="s">
        <v>2297</v>
      </c>
      <c r="AF194" s="66">
        <v>26408</v>
      </c>
      <c r="AG194" s="67">
        <f t="shared" si="2"/>
        <v>0</v>
      </c>
      <c r="AH194" s="65" t="s">
        <v>2376</v>
      </c>
    </row>
    <row r="195" spans="1:34">
      <c r="A195" s="32">
        <v>45566</v>
      </c>
      <c r="B195" s="33" t="s">
        <v>29</v>
      </c>
      <c r="C195" s="34" t="s">
        <v>1484</v>
      </c>
      <c r="D195" s="35" t="s">
        <v>64</v>
      </c>
      <c r="E195" s="36">
        <v>45576</v>
      </c>
      <c r="F195" s="37">
        <v>45941</v>
      </c>
      <c r="G195" s="34" t="s">
        <v>1485</v>
      </c>
      <c r="H195" s="38">
        <v>2021</v>
      </c>
      <c r="I195" s="39" t="s">
        <v>1486</v>
      </c>
      <c r="J195" s="38" t="s">
        <v>1487</v>
      </c>
      <c r="K195" s="38" t="s">
        <v>1488</v>
      </c>
      <c r="L195" s="40" t="s">
        <v>1489</v>
      </c>
      <c r="M195" s="38" t="s">
        <v>1490</v>
      </c>
      <c r="N195" s="31" t="s">
        <v>1491</v>
      </c>
      <c r="O195" s="39">
        <v>3051</v>
      </c>
      <c r="P195" s="39">
        <v>450</v>
      </c>
      <c r="Q195" s="41">
        <v>44516</v>
      </c>
      <c r="R195" s="41">
        <v>45945</v>
      </c>
      <c r="S195" s="42">
        <v>4443255</v>
      </c>
      <c r="T195" s="43">
        <v>2.8000000000000001E-2</v>
      </c>
      <c r="U195" s="42">
        <v>3998929.5</v>
      </c>
      <c r="V195" s="42">
        <v>111970.026</v>
      </c>
      <c r="W195" s="44">
        <v>0</v>
      </c>
      <c r="X195" s="45">
        <v>111970</v>
      </c>
      <c r="Y195" s="46" t="s">
        <v>71</v>
      </c>
      <c r="Z195" s="39" t="s">
        <v>40</v>
      </c>
      <c r="AA195" s="31" t="s">
        <v>41</v>
      </c>
      <c r="AB195" s="31" t="s">
        <v>198</v>
      </c>
      <c r="AC195" s="37">
        <v>45596</v>
      </c>
      <c r="AD195" s="65"/>
      <c r="AE195" s="65" t="s">
        <v>2298</v>
      </c>
      <c r="AF195" s="66">
        <v>111970</v>
      </c>
      <c r="AG195" s="67">
        <f t="shared" si="2"/>
        <v>0</v>
      </c>
      <c r="AH195" s="65" t="s">
        <v>2376</v>
      </c>
    </row>
    <row r="196" spans="1:34">
      <c r="A196" s="32">
        <v>45566</v>
      </c>
      <c r="B196" s="33" t="s">
        <v>29</v>
      </c>
      <c r="C196" s="34" t="s">
        <v>1492</v>
      </c>
      <c r="D196" s="35" t="s">
        <v>64</v>
      </c>
      <c r="E196" s="36">
        <v>45595</v>
      </c>
      <c r="F196" s="37">
        <v>45960</v>
      </c>
      <c r="G196" s="34" t="s">
        <v>106</v>
      </c>
      <c r="H196" s="38">
        <v>2022</v>
      </c>
      <c r="I196" s="39" t="s">
        <v>1493</v>
      </c>
      <c r="J196" s="38" t="s">
        <v>1494</v>
      </c>
      <c r="K196" s="38" t="s">
        <v>1495</v>
      </c>
      <c r="L196" s="40" t="s">
        <v>1496</v>
      </c>
      <c r="M196" s="38" t="s">
        <v>1497</v>
      </c>
      <c r="N196" s="31" t="s">
        <v>1498</v>
      </c>
      <c r="O196" s="39">
        <v>2091</v>
      </c>
      <c r="P196" s="39">
        <v>450</v>
      </c>
      <c r="Q196" s="41">
        <v>44867</v>
      </c>
      <c r="R196" s="41">
        <v>46685</v>
      </c>
      <c r="S196" s="42">
        <v>1507500</v>
      </c>
      <c r="T196" s="43">
        <v>1.9900000000000001E-2</v>
      </c>
      <c r="U196" s="42">
        <v>1356750</v>
      </c>
      <c r="V196" s="42">
        <v>26999.325000000001</v>
      </c>
      <c r="W196" s="44">
        <v>0</v>
      </c>
      <c r="X196" s="45">
        <v>26999</v>
      </c>
      <c r="Y196" s="46" t="s">
        <v>71</v>
      </c>
      <c r="Z196" s="39" t="s">
        <v>40</v>
      </c>
      <c r="AA196" s="31" t="s">
        <v>41</v>
      </c>
      <c r="AB196" s="31" t="s">
        <v>72</v>
      </c>
      <c r="AC196" s="37">
        <v>45596</v>
      </c>
      <c r="AD196" s="65"/>
      <c r="AE196" s="65" t="s">
        <v>2299</v>
      </c>
      <c r="AF196" s="66">
        <v>26999</v>
      </c>
      <c r="AG196" s="67">
        <f t="shared" ref="AG196:AG259" si="3">X196-AF196</f>
        <v>0</v>
      </c>
      <c r="AH196" s="65" t="s">
        <v>2376</v>
      </c>
    </row>
    <row r="197" spans="1:34">
      <c r="A197" s="32">
        <v>45566</v>
      </c>
      <c r="B197" s="33" t="s">
        <v>29</v>
      </c>
      <c r="C197" s="34" t="s">
        <v>1499</v>
      </c>
      <c r="D197" s="35" t="s">
        <v>64</v>
      </c>
      <c r="E197" s="36">
        <v>45576</v>
      </c>
      <c r="F197" s="37">
        <v>45941</v>
      </c>
      <c r="G197" s="34" t="s">
        <v>246</v>
      </c>
      <c r="H197" s="38">
        <v>2021</v>
      </c>
      <c r="I197" s="39" t="s">
        <v>1500</v>
      </c>
      <c r="J197" s="38" t="s">
        <v>1501</v>
      </c>
      <c r="K197" s="38" t="s">
        <v>1502</v>
      </c>
      <c r="L197" s="40" t="s">
        <v>1503</v>
      </c>
      <c r="M197" s="38" t="s">
        <v>1504</v>
      </c>
      <c r="N197" s="31" t="s">
        <v>1505</v>
      </c>
      <c r="O197" s="39">
        <v>3046</v>
      </c>
      <c r="P197" s="39">
        <v>450</v>
      </c>
      <c r="Q197" s="41">
        <v>44510</v>
      </c>
      <c r="R197" s="41">
        <v>46310</v>
      </c>
      <c r="S197" s="42">
        <v>3902580</v>
      </c>
      <c r="T197" s="43">
        <v>1.9900000000000001E-2</v>
      </c>
      <c r="U197" s="42">
        <v>3512322</v>
      </c>
      <c r="V197" s="42">
        <v>69895.207800000004</v>
      </c>
      <c r="W197" s="44">
        <v>0</v>
      </c>
      <c r="X197" s="45">
        <v>69895</v>
      </c>
      <c r="Y197" s="46" t="s">
        <v>71</v>
      </c>
      <c r="Z197" s="39" t="s">
        <v>40</v>
      </c>
      <c r="AA197" s="31" t="s">
        <v>41</v>
      </c>
      <c r="AB197" s="31" t="s">
        <v>198</v>
      </c>
      <c r="AC197" s="37">
        <v>45596</v>
      </c>
      <c r="AD197" s="65"/>
      <c r="AE197" s="65" t="s">
        <v>2300</v>
      </c>
      <c r="AF197" s="66">
        <v>69895</v>
      </c>
      <c r="AG197" s="67">
        <f t="shared" si="3"/>
        <v>0</v>
      </c>
      <c r="AH197" s="65" t="s">
        <v>2376</v>
      </c>
    </row>
    <row r="198" spans="1:34">
      <c r="A198" s="32">
        <v>45566</v>
      </c>
      <c r="B198" s="33" t="s">
        <v>29</v>
      </c>
      <c r="C198" s="34" t="s">
        <v>1506</v>
      </c>
      <c r="D198" s="35" t="s">
        <v>64</v>
      </c>
      <c r="E198" s="36">
        <v>45577</v>
      </c>
      <c r="F198" s="37">
        <v>45942</v>
      </c>
      <c r="G198" s="34" t="s">
        <v>293</v>
      </c>
      <c r="H198" s="38">
        <v>2021</v>
      </c>
      <c r="I198" s="39" t="s">
        <v>1507</v>
      </c>
      <c r="J198" s="38" t="s">
        <v>1508</v>
      </c>
      <c r="K198" s="38" t="s">
        <v>1509</v>
      </c>
      <c r="L198" s="40" t="s">
        <v>1510</v>
      </c>
      <c r="M198" s="38" t="s">
        <v>1511</v>
      </c>
      <c r="N198" s="31" t="s">
        <v>1512</v>
      </c>
      <c r="O198" s="39">
        <v>2009</v>
      </c>
      <c r="P198" s="39">
        <v>450</v>
      </c>
      <c r="Q198" s="41">
        <v>44487</v>
      </c>
      <c r="R198" s="41">
        <v>45945</v>
      </c>
      <c r="S198" s="42">
        <v>1973160</v>
      </c>
      <c r="T198" s="43">
        <v>2.2499999999999999E-2</v>
      </c>
      <c r="U198" s="42">
        <v>1775844</v>
      </c>
      <c r="V198" s="42">
        <v>39956.49</v>
      </c>
      <c r="W198" s="44">
        <v>0</v>
      </c>
      <c r="X198" s="45">
        <v>39956</v>
      </c>
      <c r="Y198" s="46" t="s">
        <v>71</v>
      </c>
      <c r="Z198" s="39" t="s">
        <v>40</v>
      </c>
      <c r="AA198" s="31" t="s">
        <v>41</v>
      </c>
      <c r="AB198" s="31" t="s">
        <v>198</v>
      </c>
      <c r="AC198" s="37">
        <v>45596</v>
      </c>
      <c r="AD198" s="65"/>
      <c r="AE198" s="65" t="s">
        <v>2301</v>
      </c>
      <c r="AF198" s="66">
        <v>39956</v>
      </c>
      <c r="AG198" s="67">
        <f t="shared" si="3"/>
        <v>0</v>
      </c>
      <c r="AH198" s="65" t="s">
        <v>2376</v>
      </c>
    </row>
    <row r="199" spans="1:34">
      <c r="A199" s="32">
        <v>45566</v>
      </c>
      <c r="B199" s="33" t="s">
        <v>29</v>
      </c>
      <c r="C199" s="34" t="s">
        <v>1513</v>
      </c>
      <c r="D199" s="35" t="s">
        <v>64</v>
      </c>
      <c r="E199" s="36">
        <v>45577</v>
      </c>
      <c r="F199" s="37">
        <v>45942</v>
      </c>
      <c r="G199" s="34" t="s">
        <v>625</v>
      </c>
      <c r="H199" s="38">
        <v>2021</v>
      </c>
      <c r="I199" s="39" t="s">
        <v>1514</v>
      </c>
      <c r="J199" s="38" t="s">
        <v>1515</v>
      </c>
      <c r="K199" s="38" t="s">
        <v>1516</v>
      </c>
      <c r="L199" s="40" t="s">
        <v>1517</v>
      </c>
      <c r="M199" s="38" t="s">
        <v>1518</v>
      </c>
      <c r="N199" s="31" t="s">
        <v>1519</v>
      </c>
      <c r="O199" s="39">
        <v>1148</v>
      </c>
      <c r="P199" s="39">
        <v>450</v>
      </c>
      <c r="Q199" s="41">
        <v>44483</v>
      </c>
      <c r="R199" s="41">
        <v>46310</v>
      </c>
      <c r="S199" s="42">
        <v>4273560</v>
      </c>
      <c r="T199" s="43">
        <v>0.02</v>
      </c>
      <c r="U199" s="42">
        <v>3846204</v>
      </c>
      <c r="V199" s="42">
        <v>76924.08</v>
      </c>
      <c r="W199" s="44">
        <v>0</v>
      </c>
      <c r="X199" s="45">
        <v>76924</v>
      </c>
      <c r="Y199" s="46" t="s">
        <v>71</v>
      </c>
      <c r="Z199" s="39" t="s">
        <v>40</v>
      </c>
      <c r="AA199" s="31" t="s">
        <v>41</v>
      </c>
      <c r="AB199" s="31" t="s">
        <v>198</v>
      </c>
      <c r="AC199" s="37">
        <v>45596</v>
      </c>
      <c r="AD199" s="65"/>
      <c r="AE199" s="65" t="s">
        <v>2302</v>
      </c>
      <c r="AF199" s="66">
        <v>76924</v>
      </c>
      <c r="AG199" s="67">
        <f t="shared" si="3"/>
        <v>0</v>
      </c>
      <c r="AH199" s="65" t="s">
        <v>2376</v>
      </c>
    </row>
    <row r="200" spans="1:34">
      <c r="A200" s="32">
        <v>45566</v>
      </c>
      <c r="B200" s="33" t="s">
        <v>29</v>
      </c>
      <c r="C200" s="34" t="s">
        <v>1520</v>
      </c>
      <c r="D200" s="35" t="s">
        <v>64</v>
      </c>
      <c r="E200" s="36">
        <v>45578</v>
      </c>
      <c r="F200" s="37">
        <v>45943</v>
      </c>
      <c r="G200" s="34" t="s">
        <v>315</v>
      </c>
      <c r="H200" s="38">
        <v>2021</v>
      </c>
      <c r="I200" s="39" t="s">
        <v>1521</v>
      </c>
      <c r="J200" s="38" t="s">
        <v>1522</v>
      </c>
      <c r="K200" s="38" t="s">
        <v>1523</v>
      </c>
      <c r="L200" s="40" t="s">
        <v>1524</v>
      </c>
      <c r="M200" s="38" t="s">
        <v>1525</v>
      </c>
      <c r="N200" s="31" t="s">
        <v>1526</v>
      </c>
      <c r="O200" s="39">
        <v>2090</v>
      </c>
      <c r="P200" s="39">
        <v>450</v>
      </c>
      <c r="Q200" s="41">
        <v>44484</v>
      </c>
      <c r="R200" s="41">
        <v>46310</v>
      </c>
      <c r="S200" s="42">
        <v>3177630</v>
      </c>
      <c r="T200" s="43">
        <v>2.2499999999999999E-2</v>
      </c>
      <c r="U200" s="42">
        <v>2859867</v>
      </c>
      <c r="V200" s="42">
        <v>64347.0075</v>
      </c>
      <c r="W200" s="44">
        <v>0</v>
      </c>
      <c r="X200" s="45">
        <v>64347</v>
      </c>
      <c r="Y200" s="46" t="s">
        <v>71</v>
      </c>
      <c r="Z200" s="39" t="s">
        <v>40</v>
      </c>
      <c r="AA200" s="31" t="s">
        <v>41</v>
      </c>
      <c r="AB200" s="31" t="s">
        <v>198</v>
      </c>
      <c r="AC200" s="37">
        <v>45596</v>
      </c>
      <c r="AD200" s="65"/>
      <c r="AE200" s="65" t="s">
        <v>2303</v>
      </c>
      <c r="AF200" s="66">
        <v>64347</v>
      </c>
      <c r="AG200" s="67">
        <f t="shared" si="3"/>
        <v>0</v>
      </c>
      <c r="AH200" s="65" t="s">
        <v>2376</v>
      </c>
    </row>
    <row r="201" spans="1:34">
      <c r="A201" s="32">
        <v>45566</v>
      </c>
      <c r="B201" s="33" t="s">
        <v>29</v>
      </c>
      <c r="C201" s="34" t="s">
        <v>1527</v>
      </c>
      <c r="D201" s="35" t="s">
        <v>64</v>
      </c>
      <c r="E201" s="36">
        <v>45578</v>
      </c>
      <c r="F201" s="37">
        <v>45943</v>
      </c>
      <c r="G201" s="34" t="s">
        <v>293</v>
      </c>
      <c r="H201" s="38">
        <v>2021</v>
      </c>
      <c r="I201" s="39" t="s">
        <v>1528</v>
      </c>
      <c r="J201" s="38" t="s">
        <v>1529</v>
      </c>
      <c r="K201" s="38" t="s">
        <v>1530</v>
      </c>
      <c r="L201" s="40" t="s">
        <v>1531</v>
      </c>
      <c r="M201" s="38" t="s">
        <v>1532</v>
      </c>
      <c r="N201" s="31" t="s">
        <v>1533</v>
      </c>
      <c r="O201" s="39">
        <v>2091</v>
      </c>
      <c r="P201" s="39">
        <v>450</v>
      </c>
      <c r="Q201" s="41">
        <v>44483</v>
      </c>
      <c r="R201" s="41">
        <v>46675</v>
      </c>
      <c r="S201" s="42">
        <v>2189430</v>
      </c>
      <c r="T201" s="43">
        <v>1.9900000000000001E-2</v>
      </c>
      <c r="U201" s="42">
        <v>1970487</v>
      </c>
      <c r="V201" s="42">
        <v>39212.691299999999</v>
      </c>
      <c r="W201" s="44">
        <v>0</v>
      </c>
      <c r="X201" s="45">
        <v>39213</v>
      </c>
      <c r="Y201" s="46" t="s">
        <v>71</v>
      </c>
      <c r="Z201" s="39" t="s">
        <v>40</v>
      </c>
      <c r="AA201" s="31" t="s">
        <v>41</v>
      </c>
      <c r="AB201" s="31" t="s">
        <v>198</v>
      </c>
      <c r="AC201" s="37">
        <v>45596</v>
      </c>
      <c r="AD201" s="65"/>
      <c r="AE201" s="65" t="s">
        <v>2304</v>
      </c>
      <c r="AF201" s="66">
        <v>39213</v>
      </c>
      <c r="AG201" s="67">
        <f t="shared" si="3"/>
        <v>0</v>
      </c>
      <c r="AH201" s="65" t="s">
        <v>2376</v>
      </c>
    </row>
    <row r="202" spans="1:34">
      <c r="A202" s="32">
        <v>45566</v>
      </c>
      <c r="B202" s="33" t="s">
        <v>29</v>
      </c>
      <c r="C202" s="34" t="s">
        <v>1534</v>
      </c>
      <c r="D202" s="35" t="s">
        <v>64</v>
      </c>
      <c r="E202" s="36">
        <v>45595</v>
      </c>
      <c r="F202" s="37">
        <v>45960</v>
      </c>
      <c r="G202" s="34" t="s">
        <v>1535</v>
      </c>
      <c r="H202" s="38">
        <v>2018</v>
      </c>
      <c r="I202" s="39" t="s">
        <v>1536</v>
      </c>
      <c r="J202" s="38" t="s">
        <v>1537</v>
      </c>
      <c r="K202" s="38" t="s">
        <v>1538</v>
      </c>
      <c r="L202" s="40" t="s">
        <v>1539</v>
      </c>
      <c r="M202" s="38" t="s">
        <v>1540</v>
      </c>
      <c r="N202" s="31" t="s">
        <v>1541</v>
      </c>
      <c r="O202" s="39">
        <v>2038</v>
      </c>
      <c r="P202" s="39">
        <v>477</v>
      </c>
      <c r="Q202" s="41">
        <v>44866</v>
      </c>
      <c r="R202" s="41">
        <v>45966</v>
      </c>
      <c r="S202" s="42">
        <v>3600000</v>
      </c>
      <c r="T202" s="43">
        <v>1.9900000000000001E-2</v>
      </c>
      <c r="U202" s="42">
        <v>3240000</v>
      </c>
      <c r="V202" s="42">
        <v>64476</v>
      </c>
      <c r="W202" s="44">
        <v>0</v>
      </c>
      <c r="X202" s="45">
        <v>64476</v>
      </c>
      <c r="Y202" s="46" t="s">
        <v>71</v>
      </c>
      <c r="Z202" s="39" t="s">
        <v>40</v>
      </c>
      <c r="AA202" s="31" t="s">
        <v>41</v>
      </c>
      <c r="AB202" s="31" t="s">
        <v>72</v>
      </c>
      <c r="AC202" s="37">
        <v>45596</v>
      </c>
      <c r="AD202" s="65"/>
      <c r="AE202" s="65" t="s">
        <v>2305</v>
      </c>
      <c r="AF202" s="66">
        <v>64476</v>
      </c>
      <c r="AG202" s="67">
        <f t="shared" si="3"/>
        <v>0</v>
      </c>
      <c r="AH202" s="65" t="s">
        <v>2376</v>
      </c>
    </row>
    <row r="203" spans="1:34">
      <c r="A203" s="32">
        <v>45566</v>
      </c>
      <c r="B203" s="33" t="s">
        <v>29</v>
      </c>
      <c r="C203" s="34" t="s">
        <v>1542</v>
      </c>
      <c r="D203" s="35" t="s">
        <v>64</v>
      </c>
      <c r="E203" s="36">
        <v>45578</v>
      </c>
      <c r="F203" s="37">
        <v>45943</v>
      </c>
      <c r="G203" s="34" t="s">
        <v>223</v>
      </c>
      <c r="H203" s="38">
        <v>2021</v>
      </c>
      <c r="I203" s="39" t="s">
        <v>1543</v>
      </c>
      <c r="J203" s="38" t="s">
        <v>1544</v>
      </c>
      <c r="K203" s="38" t="s">
        <v>1545</v>
      </c>
      <c r="L203" s="40" t="s">
        <v>1546</v>
      </c>
      <c r="M203" s="38" t="s">
        <v>1547</v>
      </c>
      <c r="N203" s="31" t="s">
        <v>1548</v>
      </c>
      <c r="O203" s="39">
        <v>3010</v>
      </c>
      <c r="P203" s="39">
        <v>450</v>
      </c>
      <c r="Q203" s="41">
        <v>44495</v>
      </c>
      <c r="R203" s="41">
        <v>46310</v>
      </c>
      <c r="S203" s="42">
        <v>3259440</v>
      </c>
      <c r="T203" s="43">
        <v>1.9900000000000001E-2</v>
      </c>
      <c r="U203" s="42">
        <v>2933496</v>
      </c>
      <c r="V203" s="42">
        <v>58376.570400000004</v>
      </c>
      <c r="W203" s="44">
        <v>0</v>
      </c>
      <c r="X203" s="45">
        <v>58377</v>
      </c>
      <c r="Y203" s="46" t="s">
        <v>71</v>
      </c>
      <c r="Z203" s="39" t="s">
        <v>40</v>
      </c>
      <c r="AA203" s="31" t="s">
        <v>41</v>
      </c>
      <c r="AB203" s="31" t="s">
        <v>198</v>
      </c>
      <c r="AC203" s="37">
        <v>45596</v>
      </c>
      <c r="AD203" s="65"/>
      <c r="AE203" s="65" t="s">
        <v>2306</v>
      </c>
      <c r="AF203" s="66">
        <v>58377</v>
      </c>
      <c r="AG203" s="67">
        <f t="shared" si="3"/>
        <v>0</v>
      </c>
      <c r="AH203" s="65" t="s">
        <v>2376</v>
      </c>
    </row>
    <row r="204" spans="1:34">
      <c r="A204" s="32">
        <v>45566</v>
      </c>
      <c r="B204" s="33" t="s">
        <v>29</v>
      </c>
      <c r="C204" s="34" t="s">
        <v>1549</v>
      </c>
      <c r="D204" s="35" t="s">
        <v>64</v>
      </c>
      <c r="E204" s="36">
        <v>45578</v>
      </c>
      <c r="F204" s="37">
        <v>45943</v>
      </c>
      <c r="G204" s="34" t="s">
        <v>207</v>
      </c>
      <c r="H204" s="38">
        <v>2021</v>
      </c>
      <c r="I204" s="39" t="s">
        <v>1550</v>
      </c>
      <c r="J204" s="38" t="s">
        <v>1551</v>
      </c>
      <c r="K204" s="38" t="s">
        <v>1552</v>
      </c>
      <c r="L204" s="40" t="s">
        <v>1553</v>
      </c>
      <c r="M204" s="38" t="s">
        <v>1554</v>
      </c>
      <c r="N204" s="31" t="s">
        <v>1555</v>
      </c>
      <c r="O204" s="39">
        <v>2125</v>
      </c>
      <c r="P204" s="39">
        <v>450</v>
      </c>
      <c r="Q204" s="41">
        <v>44484</v>
      </c>
      <c r="R204" s="41">
        <v>46300</v>
      </c>
      <c r="S204" s="42">
        <v>3286980</v>
      </c>
      <c r="T204" s="43">
        <v>2.2499999999999999E-2</v>
      </c>
      <c r="U204" s="42">
        <v>2958282</v>
      </c>
      <c r="V204" s="42">
        <v>66561.345000000001</v>
      </c>
      <c r="W204" s="44">
        <v>0</v>
      </c>
      <c r="X204" s="45">
        <v>66561</v>
      </c>
      <c r="Y204" s="46" t="s">
        <v>71</v>
      </c>
      <c r="Z204" s="39" t="s">
        <v>40</v>
      </c>
      <c r="AA204" s="31" t="s">
        <v>41</v>
      </c>
      <c r="AB204" s="31" t="s">
        <v>198</v>
      </c>
      <c r="AC204" s="37">
        <v>45596</v>
      </c>
      <c r="AD204" s="65"/>
      <c r="AE204" s="65" t="s">
        <v>2307</v>
      </c>
      <c r="AF204" s="66">
        <v>66561</v>
      </c>
      <c r="AG204" s="67">
        <f t="shared" si="3"/>
        <v>0</v>
      </c>
      <c r="AH204" s="65" t="s">
        <v>2376</v>
      </c>
    </row>
    <row r="205" spans="1:34">
      <c r="A205" s="32">
        <v>45566</v>
      </c>
      <c r="B205" s="33" t="s">
        <v>29</v>
      </c>
      <c r="C205" s="34" t="s">
        <v>1556</v>
      </c>
      <c r="D205" s="35" t="s">
        <v>64</v>
      </c>
      <c r="E205" s="36">
        <v>45578</v>
      </c>
      <c r="F205" s="37">
        <v>45943</v>
      </c>
      <c r="G205" s="34" t="s">
        <v>366</v>
      </c>
      <c r="H205" s="38">
        <v>2021</v>
      </c>
      <c r="I205" s="39" t="s">
        <v>1557</v>
      </c>
      <c r="J205" s="38" t="s">
        <v>1558</v>
      </c>
      <c r="K205" s="38" t="s">
        <v>1559</v>
      </c>
      <c r="L205" s="40" t="s">
        <v>1560</v>
      </c>
      <c r="M205" s="38" t="s">
        <v>1561</v>
      </c>
      <c r="N205" s="31" t="s">
        <v>1562</v>
      </c>
      <c r="O205" s="39">
        <v>1055</v>
      </c>
      <c r="P205" s="39">
        <v>450</v>
      </c>
      <c r="Q205" s="41">
        <v>44487</v>
      </c>
      <c r="R205" s="41">
        <v>46310</v>
      </c>
      <c r="S205" s="42">
        <v>2655180</v>
      </c>
      <c r="T205" s="43">
        <v>1.9900000000000001E-2</v>
      </c>
      <c r="U205" s="42">
        <v>2389662</v>
      </c>
      <c r="V205" s="42">
        <v>47554.273800000003</v>
      </c>
      <c r="W205" s="44">
        <v>0</v>
      </c>
      <c r="X205" s="45">
        <v>47554</v>
      </c>
      <c r="Y205" s="46" t="s">
        <v>71</v>
      </c>
      <c r="Z205" s="39" t="s">
        <v>40</v>
      </c>
      <c r="AA205" s="31" t="s">
        <v>41</v>
      </c>
      <c r="AB205" s="31" t="s">
        <v>198</v>
      </c>
      <c r="AC205" s="37">
        <v>45596</v>
      </c>
      <c r="AD205" s="65"/>
      <c r="AE205" s="65" t="s">
        <v>2308</v>
      </c>
      <c r="AF205" s="66">
        <v>47554</v>
      </c>
      <c r="AG205" s="67">
        <f t="shared" si="3"/>
        <v>0</v>
      </c>
      <c r="AH205" s="65" t="s">
        <v>2376</v>
      </c>
    </row>
    <row r="206" spans="1:34">
      <c r="A206" s="32">
        <v>45566</v>
      </c>
      <c r="B206" s="33" t="s">
        <v>29</v>
      </c>
      <c r="C206" s="34" t="s">
        <v>1563</v>
      </c>
      <c r="D206" s="35" t="s">
        <v>64</v>
      </c>
      <c r="E206" s="36">
        <v>45596</v>
      </c>
      <c r="F206" s="37">
        <v>45961</v>
      </c>
      <c r="G206" s="34" t="s">
        <v>153</v>
      </c>
      <c r="H206" s="38">
        <v>2022</v>
      </c>
      <c r="I206" s="39" t="s">
        <v>1564</v>
      </c>
      <c r="J206" s="38" t="s">
        <v>1565</v>
      </c>
      <c r="K206" s="38" t="s">
        <v>1566</v>
      </c>
      <c r="L206" s="40" t="s">
        <v>1567</v>
      </c>
      <c r="M206" s="38" t="s">
        <v>1568</v>
      </c>
      <c r="N206" s="31" t="s">
        <v>1569</v>
      </c>
      <c r="O206" s="39">
        <v>2057</v>
      </c>
      <c r="P206" s="39">
        <v>450</v>
      </c>
      <c r="Q206" s="41">
        <v>44872</v>
      </c>
      <c r="R206" s="41">
        <v>47427</v>
      </c>
      <c r="S206" s="42">
        <v>2307600</v>
      </c>
      <c r="T206" s="43">
        <v>1.9900000000000001E-2</v>
      </c>
      <c r="U206" s="42">
        <v>2076840</v>
      </c>
      <c r="V206" s="42">
        <v>41329.116000000002</v>
      </c>
      <c r="W206" s="44">
        <v>0</v>
      </c>
      <c r="X206" s="45">
        <v>41329</v>
      </c>
      <c r="Y206" s="46" t="s">
        <v>71</v>
      </c>
      <c r="Z206" s="39" t="s">
        <v>40</v>
      </c>
      <c r="AA206" s="31" t="s">
        <v>41</v>
      </c>
      <c r="AB206" s="31" t="s">
        <v>72</v>
      </c>
      <c r="AC206" s="37">
        <v>45596</v>
      </c>
      <c r="AD206" s="65"/>
      <c r="AE206" s="65" t="s">
        <v>2309</v>
      </c>
      <c r="AF206" s="66">
        <v>41329</v>
      </c>
      <c r="AG206" s="67">
        <f t="shared" si="3"/>
        <v>0</v>
      </c>
      <c r="AH206" s="65" t="s">
        <v>2376</v>
      </c>
    </row>
    <row r="207" spans="1:34">
      <c r="A207" s="32">
        <v>45566</v>
      </c>
      <c r="B207" s="33" t="s">
        <v>29</v>
      </c>
      <c r="C207" s="34" t="s">
        <v>1570</v>
      </c>
      <c r="D207" s="35" t="s">
        <v>64</v>
      </c>
      <c r="E207" s="36">
        <v>45596</v>
      </c>
      <c r="F207" s="37">
        <v>45961</v>
      </c>
      <c r="G207" s="34" t="s">
        <v>74</v>
      </c>
      <c r="H207" s="38">
        <v>2022</v>
      </c>
      <c r="I207" s="39" t="s">
        <v>1571</v>
      </c>
      <c r="J207" s="38" t="s">
        <v>1572</v>
      </c>
      <c r="K207" s="38" t="s">
        <v>1573</v>
      </c>
      <c r="L207" s="40" t="s">
        <v>1574</v>
      </c>
      <c r="M207" s="38" t="s">
        <v>1575</v>
      </c>
      <c r="N207" s="31" t="s">
        <v>1576</v>
      </c>
      <c r="O207" s="39">
        <v>1006</v>
      </c>
      <c r="P207" s="39">
        <v>550</v>
      </c>
      <c r="Q207" s="41">
        <v>44867</v>
      </c>
      <c r="R207" s="41">
        <v>46685</v>
      </c>
      <c r="S207" s="42">
        <v>1845000</v>
      </c>
      <c r="T207" s="43">
        <v>1.9900000000000001E-2</v>
      </c>
      <c r="U207" s="42">
        <v>1660500</v>
      </c>
      <c r="V207" s="42">
        <v>33043.950000000004</v>
      </c>
      <c r="W207" s="44">
        <v>0</v>
      </c>
      <c r="X207" s="45">
        <v>33044</v>
      </c>
      <c r="Y207" s="46" t="s">
        <v>71</v>
      </c>
      <c r="Z207" s="39" t="s">
        <v>40</v>
      </c>
      <c r="AA207" s="31" t="s">
        <v>41</v>
      </c>
      <c r="AB207" s="31" t="s">
        <v>72</v>
      </c>
      <c r="AC207" s="37">
        <v>45596</v>
      </c>
      <c r="AD207" s="65"/>
      <c r="AE207" s="65" t="s">
        <v>2310</v>
      </c>
      <c r="AF207" s="66">
        <v>33044</v>
      </c>
      <c r="AG207" s="67">
        <f t="shared" si="3"/>
        <v>0</v>
      </c>
      <c r="AH207" s="65" t="s">
        <v>2376</v>
      </c>
    </row>
    <row r="208" spans="1:34">
      <c r="A208" s="32">
        <v>45566</v>
      </c>
      <c r="B208" s="33" t="s">
        <v>29</v>
      </c>
      <c r="C208" s="34" t="s">
        <v>1577</v>
      </c>
      <c r="D208" s="35" t="s">
        <v>64</v>
      </c>
      <c r="E208" s="36">
        <v>45595</v>
      </c>
      <c r="F208" s="37">
        <v>45960</v>
      </c>
      <c r="G208" s="34" t="s">
        <v>74</v>
      </c>
      <c r="H208" s="38">
        <v>2022</v>
      </c>
      <c r="I208" s="39" t="s">
        <v>1578</v>
      </c>
      <c r="J208" s="38" t="s">
        <v>1579</v>
      </c>
      <c r="K208" s="38" t="s">
        <v>1580</v>
      </c>
      <c r="L208" s="40" t="s">
        <v>1581</v>
      </c>
      <c r="M208" s="38" t="s">
        <v>1582</v>
      </c>
      <c r="N208" s="31" t="s">
        <v>1583</v>
      </c>
      <c r="O208" s="39">
        <v>2043</v>
      </c>
      <c r="P208" s="39">
        <v>450</v>
      </c>
      <c r="Q208" s="41">
        <v>44866</v>
      </c>
      <c r="R208" s="41">
        <v>47427</v>
      </c>
      <c r="S208" s="42">
        <v>1755900</v>
      </c>
      <c r="T208" s="43">
        <v>1.9900000000000001E-2</v>
      </c>
      <c r="U208" s="42">
        <v>1580310</v>
      </c>
      <c r="V208" s="42">
        <v>31448.169000000002</v>
      </c>
      <c r="W208" s="44">
        <v>0</v>
      </c>
      <c r="X208" s="45">
        <v>31448</v>
      </c>
      <c r="Y208" s="46" t="s">
        <v>71</v>
      </c>
      <c r="Z208" s="39" t="s">
        <v>40</v>
      </c>
      <c r="AA208" s="31" t="s">
        <v>41</v>
      </c>
      <c r="AB208" s="31" t="s">
        <v>72</v>
      </c>
      <c r="AC208" s="37">
        <v>45596</v>
      </c>
      <c r="AD208" s="65"/>
      <c r="AE208" s="65" t="s">
        <v>2311</v>
      </c>
      <c r="AF208" s="66">
        <v>31448</v>
      </c>
      <c r="AG208" s="67">
        <f t="shared" si="3"/>
        <v>0</v>
      </c>
      <c r="AH208" s="65" t="s">
        <v>2376</v>
      </c>
    </row>
    <row r="209" spans="1:34">
      <c r="A209" s="32">
        <v>45566</v>
      </c>
      <c r="B209" s="33" t="s">
        <v>29</v>
      </c>
      <c r="C209" s="34" t="s">
        <v>1584</v>
      </c>
      <c r="D209" s="35" t="s">
        <v>64</v>
      </c>
      <c r="E209" s="36">
        <v>45596</v>
      </c>
      <c r="F209" s="37">
        <v>45961</v>
      </c>
      <c r="G209" s="34" t="s">
        <v>1535</v>
      </c>
      <c r="H209" s="38">
        <v>2016</v>
      </c>
      <c r="I209" s="39" t="s">
        <v>1585</v>
      </c>
      <c r="J209" s="38" t="s">
        <v>1586</v>
      </c>
      <c r="K209" s="38" t="s">
        <v>1587</v>
      </c>
      <c r="L209" s="40" t="s">
        <v>1588</v>
      </c>
      <c r="M209" s="38" t="s">
        <v>1589</v>
      </c>
      <c r="N209" s="31" t="s">
        <v>1590</v>
      </c>
      <c r="O209" s="39">
        <v>1066</v>
      </c>
      <c r="P209" s="39">
        <v>450</v>
      </c>
      <c r="Q209" s="41">
        <v>44866</v>
      </c>
      <c r="R209" s="41">
        <v>45966</v>
      </c>
      <c r="S209" s="42">
        <v>3150000</v>
      </c>
      <c r="T209" s="43">
        <v>1.9900000000000001E-2</v>
      </c>
      <c r="U209" s="42">
        <v>2835000</v>
      </c>
      <c r="V209" s="42">
        <v>56416.5</v>
      </c>
      <c r="W209" s="44">
        <v>0</v>
      </c>
      <c r="X209" s="45">
        <v>56417</v>
      </c>
      <c r="Y209" s="46" t="s">
        <v>71</v>
      </c>
      <c r="Z209" s="39" t="s">
        <v>40</v>
      </c>
      <c r="AA209" s="31" t="s">
        <v>41</v>
      </c>
      <c r="AB209" s="31" t="s">
        <v>72</v>
      </c>
      <c r="AC209" s="37">
        <v>45596</v>
      </c>
      <c r="AD209" s="65"/>
      <c r="AE209" s="65" t="s">
        <v>2312</v>
      </c>
      <c r="AF209" s="66">
        <v>56417</v>
      </c>
      <c r="AG209" s="67">
        <f t="shared" si="3"/>
        <v>0</v>
      </c>
      <c r="AH209" s="65" t="s">
        <v>2376</v>
      </c>
    </row>
    <row r="210" spans="1:34">
      <c r="A210" s="32">
        <v>45566</v>
      </c>
      <c r="B210" s="33" t="s">
        <v>29</v>
      </c>
      <c r="C210" s="34" t="s">
        <v>1591</v>
      </c>
      <c r="D210" s="35" t="s">
        <v>64</v>
      </c>
      <c r="E210" s="36">
        <v>45595</v>
      </c>
      <c r="F210" s="37">
        <v>45960</v>
      </c>
      <c r="G210" s="34" t="s">
        <v>462</v>
      </c>
      <c r="H210" s="38">
        <v>2016</v>
      </c>
      <c r="I210" s="39" t="s">
        <v>1592</v>
      </c>
      <c r="J210" s="38" t="s">
        <v>1593</v>
      </c>
      <c r="K210" s="38" t="s">
        <v>1594</v>
      </c>
      <c r="L210" s="40" t="s">
        <v>1595</v>
      </c>
      <c r="M210" s="38" t="s">
        <v>1596</v>
      </c>
      <c r="N210" s="31" t="s">
        <v>1597</v>
      </c>
      <c r="O210" s="39">
        <v>3051</v>
      </c>
      <c r="P210" s="39">
        <v>450</v>
      </c>
      <c r="Q210" s="41">
        <v>44866</v>
      </c>
      <c r="R210" s="41">
        <v>45966</v>
      </c>
      <c r="S210" s="42">
        <v>2250000</v>
      </c>
      <c r="T210" s="43">
        <v>1.9900000000000001E-2</v>
      </c>
      <c r="U210" s="42">
        <v>2025000</v>
      </c>
      <c r="V210" s="42">
        <v>40297.5</v>
      </c>
      <c r="W210" s="44">
        <v>0</v>
      </c>
      <c r="X210" s="45">
        <v>40298</v>
      </c>
      <c r="Y210" s="46" t="s">
        <v>71</v>
      </c>
      <c r="Z210" s="39" t="s">
        <v>40</v>
      </c>
      <c r="AA210" s="31" t="s">
        <v>41</v>
      </c>
      <c r="AB210" s="31" t="s">
        <v>72</v>
      </c>
      <c r="AC210" s="37">
        <v>45596</v>
      </c>
      <c r="AD210" s="65"/>
      <c r="AE210" s="65" t="s">
        <v>2313</v>
      </c>
      <c r="AF210" s="66">
        <v>40298</v>
      </c>
      <c r="AG210" s="67">
        <f t="shared" si="3"/>
        <v>0</v>
      </c>
      <c r="AH210" s="65" t="s">
        <v>2376</v>
      </c>
    </row>
    <row r="211" spans="1:34">
      <c r="A211" s="32">
        <v>45566</v>
      </c>
      <c r="B211" s="33" t="s">
        <v>29</v>
      </c>
      <c r="C211" s="34" t="s">
        <v>1598</v>
      </c>
      <c r="D211" s="35" t="s">
        <v>64</v>
      </c>
      <c r="E211" s="36">
        <v>45596</v>
      </c>
      <c r="F211" s="37">
        <v>45961</v>
      </c>
      <c r="G211" s="34" t="s">
        <v>153</v>
      </c>
      <c r="H211" s="38">
        <v>2019</v>
      </c>
      <c r="I211" s="39" t="s">
        <v>1599</v>
      </c>
      <c r="J211" s="38" t="s">
        <v>1600</v>
      </c>
      <c r="K211" s="38" t="s">
        <v>1601</v>
      </c>
      <c r="L211" s="40" t="s">
        <v>1602</v>
      </c>
      <c r="M211" s="38" t="s">
        <v>1603</v>
      </c>
      <c r="N211" s="31" t="s">
        <v>1604</v>
      </c>
      <c r="O211" s="39">
        <v>1035</v>
      </c>
      <c r="P211" s="39">
        <v>550</v>
      </c>
      <c r="Q211" s="41">
        <v>44866</v>
      </c>
      <c r="R211" s="41">
        <v>45966</v>
      </c>
      <c r="S211" s="42">
        <v>1890000</v>
      </c>
      <c r="T211" s="43">
        <v>1.9900000000000001E-2</v>
      </c>
      <c r="U211" s="42">
        <v>1701000</v>
      </c>
      <c r="V211" s="42">
        <v>33849.9</v>
      </c>
      <c r="W211" s="44">
        <v>0</v>
      </c>
      <c r="X211" s="45">
        <v>33850</v>
      </c>
      <c r="Y211" s="46" t="s">
        <v>71</v>
      </c>
      <c r="Z211" s="39" t="s">
        <v>40</v>
      </c>
      <c r="AA211" s="31" t="s">
        <v>41</v>
      </c>
      <c r="AB211" s="31" t="s">
        <v>72</v>
      </c>
      <c r="AC211" s="37">
        <v>45596</v>
      </c>
      <c r="AD211" s="65"/>
      <c r="AE211" s="65" t="s">
        <v>2314</v>
      </c>
      <c r="AF211" s="66">
        <v>33850</v>
      </c>
      <c r="AG211" s="67">
        <f t="shared" si="3"/>
        <v>0</v>
      </c>
      <c r="AH211" s="65" t="s">
        <v>2376</v>
      </c>
    </row>
    <row r="212" spans="1:34">
      <c r="A212" s="32">
        <v>45566</v>
      </c>
      <c r="B212" s="33" t="s">
        <v>29</v>
      </c>
      <c r="C212" s="34" t="s">
        <v>1605</v>
      </c>
      <c r="D212" s="35" t="s">
        <v>64</v>
      </c>
      <c r="E212" s="36">
        <v>45596</v>
      </c>
      <c r="F212" s="37">
        <v>45961</v>
      </c>
      <c r="G212" s="34" t="s">
        <v>767</v>
      </c>
      <c r="H212" s="38">
        <v>2018</v>
      </c>
      <c r="I212" s="39" t="s">
        <v>1606</v>
      </c>
      <c r="J212" s="38" t="s">
        <v>1607</v>
      </c>
      <c r="K212" s="38" t="s">
        <v>1608</v>
      </c>
      <c r="L212" s="40" t="s">
        <v>1609</v>
      </c>
      <c r="M212" s="38" t="s">
        <v>1610</v>
      </c>
      <c r="N212" s="31" t="s">
        <v>1611</v>
      </c>
      <c r="O212" s="39">
        <v>1100</v>
      </c>
      <c r="P212" s="39">
        <v>450</v>
      </c>
      <c r="Q212" s="41">
        <v>44866</v>
      </c>
      <c r="R212" s="41">
        <v>45955</v>
      </c>
      <c r="S212" s="42">
        <v>1530000</v>
      </c>
      <c r="T212" s="43">
        <v>1.9900000000000001E-2</v>
      </c>
      <c r="U212" s="42">
        <v>1377000</v>
      </c>
      <c r="V212" s="42">
        <v>27402.300000000003</v>
      </c>
      <c r="W212" s="44">
        <v>0</v>
      </c>
      <c r="X212" s="45">
        <v>27402</v>
      </c>
      <c r="Y212" s="46" t="s">
        <v>71</v>
      </c>
      <c r="Z212" s="39" t="s">
        <v>40</v>
      </c>
      <c r="AA212" s="31" t="s">
        <v>41</v>
      </c>
      <c r="AB212" s="31" t="s">
        <v>72</v>
      </c>
      <c r="AC212" s="37">
        <v>45596</v>
      </c>
      <c r="AD212" s="65"/>
      <c r="AE212" s="65" t="s">
        <v>2315</v>
      </c>
      <c r="AF212" s="66">
        <v>27402</v>
      </c>
      <c r="AG212" s="67">
        <f t="shared" si="3"/>
        <v>0</v>
      </c>
      <c r="AH212" s="65" t="s">
        <v>2376</v>
      </c>
    </row>
    <row r="213" spans="1:34">
      <c r="A213" s="32">
        <v>45566</v>
      </c>
      <c r="B213" s="33" t="s">
        <v>29</v>
      </c>
      <c r="C213" s="34" t="s">
        <v>1612</v>
      </c>
      <c r="D213" s="35" t="s">
        <v>64</v>
      </c>
      <c r="E213" s="36">
        <v>45596</v>
      </c>
      <c r="F213" s="37">
        <v>45961</v>
      </c>
      <c r="G213" s="34" t="s">
        <v>285</v>
      </c>
      <c r="H213" s="38">
        <v>2022</v>
      </c>
      <c r="I213" s="39" t="s">
        <v>1613</v>
      </c>
      <c r="J213" s="38" t="s">
        <v>1614</v>
      </c>
      <c r="K213" s="38" t="s">
        <v>1615</v>
      </c>
      <c r="L213" s="40" t="s">
        <v>1616</v>
      </c>
      <c r="M213" s="38" t="s">
        <v>1617</v>
      </c>
      <c r="N213" s="31" t="s">
        <v>1618</v>
      </c>
      <c r="O213" s="39">
        <v>2071</v>
      </c>
      <c r="P213" s="39">
        <v>450</v>
      </c>
      <c r="Q213" s="41">
        <v>44869</v>
      </c>
      <c r="R213" s="41">
        <v>46696</v>
      </c>
      <c r="S213" s="42">
        <v>2930400</v>
      </c>
      <c r="T213" s="43">
        <v>1.9900000000000001E-2</v>
      </c>
      <c r="U213" s="42">
        <v>2637360</v>
      </c>
      <c r="V213" s="42">
        <v>52483.464</v>
      </c>
      <c r="W213" s="44">
        <v>0</v>
      </c>
      <c r="X213" s="45">
        <v>52483</v>
      </c>
      <c r="Y213" s="46" t="s">
        <v>71</v>
      </c>
      <c r="Z213" s="39" t="s">
        <v>40</v>
      </c>
      <c r="AA213" s="31" t="s">
        <v>41</v>
      </c>
      <c r="AB213" s="31" t="s">
        <v>72</v>
      </c>
      <c r="AC213" s="37">
        <v>45596</v>
      </c>
      <c r="AD213" s="65"/>
      <c r="AE213" s="65" t="s">
        <v>2316</v>
      </c>
      <c r="AF213" s="66">
        <v>52483</v>
      </c>
      <c r="AG213" s="67">
        <f t="shared" si="3"/>
        <v>0</v>
      </c>
      <c r="AH213" s="65" t="s">
        <v>2376</v>
      </c>
    </row>
    <row r="214" spans="1:34">
      <c r="A214" s="32">
        <v>45566</v>
      </c>
      <c r="B214" s="33" t="s">
        <v>29</v>
      </c>
      <c r="C214" s="34" t="s">
        <v>1619</v>
      </c>
      <c r="D214" s="35" t="s">
        <v>64</v>
      </c>
      <c r="E214" s="36">
        <v>45596</v>
      </c>
      <c r="F214" s="37">
        <v>45961</v>
      </c>
      <c r="G214" s="34" t="s">
        <v>1620</v>
      </c>
      <c r="H214" s="38">
        <v>2017</v>
      </c>
      <c r="I214" s="39" t="s">
        <v>1621</v>
      </c>
      <c r="J214" s="38" t="s">
        <v>1622</v>
      </c>
      <c r="K214" s="38" t="s">
        <v>1623</v>
      </c>
      <c r="L214" s="40" t="s">
        <v>1624</v>
      </c>
      <c r="M214" s="38" t="s">
        <v>1625</v>
      </c>
      <c r="N214" s="31" t="s">
        <v>1626</v>
      </c>
      <c r="O214" s="39">
        <v>3030</v>
      </c>
      <c r="P214" s="39">
        <v>450</v>
      </c>
      <c r="Q214" s="41">
        <v>44866</v>
      </c>
      <c r="R214" s="41">
        <v>45966</v>
      </c>
      <c r="S214" s="42">
        <v>3420000</v>
      </c>
      <c r="T214" s="43">
        <v>1.9900000000000001E-2</v>
      </c>
      <c r="U214" s="42">
        <v>3078000</v>
      </c>
      <c r="V214" s="42">
        <v>61252.200000000004</v>
      </c>
      <c r="W214" s="44">
        <v>0</v>
      </c>
      <c r="X214" s="45">
        <v>61252</v>
      </c>
      <c r="Y214" s="46" t="s">
        <v>71</v>
      </c>
      <c r="Z214" s="39" t="s">
        <v>40</v>
      </c>
      <c r="AA214" s="31" t="s">
        <v>41</v>
      </c>
      <c r="AB214" s="31" t="s">
        <v>72</v>
      </c>
      <c r="AC214" s="37">
        <v>45596</v>
      </c>
      <c r="AD214" s="65"/>
      <c r="AE214" s="65" t="s">
        <v>2317</v>
      </c>
      <c r="AF214" s="66">
        <v>61252</v>
      </c>
      <c r="AG214" s="67">
        <f t="shared" si="3"/>
        <v>0</v>
      </c>
      <c r="AH214" s="65" t="s">
        <v>2376</v>
      </c>
    </row>
    <row r="215" spans="1:34">
      <c r="A215" s="32">
        <v>45566</v>
      </c>
      <c r="B215" s="33" t="s">
        <v>29</v>
      </c>
      <c r="C215" s="34" t="s">
        <v>1627</v>
      </c>
      <c r="D215" s="35" t="s">
        <v>64</v>
      </c>
      <c r="E215" s="36">
        <v>45572</v>
      </c>
      <c r="F215" s="37">
        <v>45937</v>
      </c>
      <c r="G215" s="34" t="s">
        <v>1620</v>
      </c>
      <c r="H215" s="38">
        <v>2017</v>
      </c>
      <c r="I215" s="39" t="s">
        <v>1628</v>
      </c>
      <c r="J215" s="38" t="s">
        <v>1629</v>
      </c>
      <c r="K215" s="38" t="s">
        <v>1630</v>
      </c>
      <c r="L215" s="40" t="s">
        <v>1631</v>
      </c>
      <c r="M215" s="38" t="s">
        <v>1632</v>
      </c>
      <c r="N215" s="31" t="s">
        <v>1633</v>
      </c>
      <c r="O215" s="39">
        <v>1003</v>
      </c>
      <c r="P215" s="39">
        <v>459</v>
      </c>
      <c r="Q215" s="41">
        <v>44120</v>
      </c>
      <c r="R215" s="41">
        <v>46656</v>
      </c>
      <c r="S215" s="42">
        <v>2332800</v>
      </c>
      <c r="T215" s="43">
        <v>1.7999999999999999E-2</v>
      </c>
      <c r="U215" s="42">
        <v>2099520</v>
      </c>
      <c r="V215" s="42">
        <v>37791.360000000001</v>
      </c>
      <c r="W215" s="44">
        <v>0</v>
      </c>
      <c r="X215" s="45">
        <v>37791</v>
      </c>
      <c r="Y215" s="46" t="s">
        <v>71</v>
      </c>
      <c r="Z215" s="39" t="s">
        <v>40</v>
      </c>
      <c r="AA215" s="31" t="s">
        <v>62</v>
      </c>
      <c r="AB215" s="31" t="s">
        <v>198</v>
      </c>
      <c r="AC215" s="37">
        <v>45596</v>
      </c>
      <c r="AD215" s="65"/>
      <c r="AE215" s="68" t="s">
        <v>2106</v>
      </c>
      <c r="AF215" s="66">
        <v>37791</v>
      </c>
      <c r="AG215" s="67">
        <f t="shared" si="3"/>
        <v>0</v>
      </c>
      <c r="AH215" s="65" t="s">
        <v>2376</v>
      </c>
    </row>
    <row r="216" spans="1:34">
      <c r="A216" s="32">
        <v>45566</v>
      </c>
      <c r="B216" s="33" t="s">
        <v>29</v>
      </c>
      <c r="C216" s="34" t="s">
        <v>1634</v>
      </c>
      <c r="D216" s="35" t="s">
        <v>64</v>
      </c>
      <c r="E216" s="36">
        <v>45595</v>
      </c>
      <c r="F216" s="37">
        <v>45960</v>
      </c>
      <c r="G216" s="34" t="s">
        <v>1635</v>
      </c>
      <c r="H216" s="38">
        <v>2015</v>
      </c>
      <c r="I216" s="39" t="s">
        <v>1636</v>
      </c>
      <c r="J216" s="38" t="s">
        <v>1637</v>
      </c>
      <c r="K216" s="38" t="s">
        <v>1638</v>
      </c>
      <c r="L216" s="40" t="s">
        <v>1639</v>
      </c>
      <c r="M216" s="38" t="s">
        <v>1640</v>
      </c>
      <c r="N216" s="31" t="s">
        <v>1641</v>
      </c>
      <c r="O216" s="39">
        <v>1093</v>
      </c>
      <c r="P216" s="39">
        <v>477</v>
      </c>
      <c r="Q216" s="41">
        <v>44862</v>
      </c>
      <c r="R216" s="41">
        <v>45955</v>
      </c>
      <c r="S216" s="42">
        <v>2160000</v>
      </c>
      <c r="T216" s="43">
        <v>1.9900000000000001E-2</v>
      </c>
      <c r="U216" s="42">
        <v>1944000</v>
      </c>
      <c r="V216" s="42">
        <v>38685.599999999999</v>
      </c>
      <c r="W216" s="44">
        <v>0</v>
      </c>
      <c r="X216" s="45">
        <v>38686</v>
      </c>
      <c r="Y216" s="46" t="s">
        <v>71</v>
      </c>
      <c r="Z216" s="39" t="s">
        <v>40</v>
      </c>
      <c r="AA216" s="31" t="s">
        <v>41</v>
      </c>
      <c r="AB216" s="31" t="s">
        <v>72</v>
      </c>
      <c r="AC216" s="37">
        <v>45596</v>
      </c>
      <c r="AD216" s="65"/>
      <c r="AE216" s="65" t="s">
        <v>2318</v>
      </c>
      <c r="AF216" s="66">
        <v>38686</v>
      </c>
      <c r="AG216" s="67">
        <f t="shared" si="3"/>
        <v>0</v>
      </c>
      <c r="AH216" s="65" t="s">
        <v>2376</v>
      </c>
    </row>
    <row r="217" spans="1:34">
      <c r="A217" s="32">
        <v>45566</v>
      </c>
      <c r="B217" s="33" t="s">
        <v>29</v>
      </c>
      <c r="C217" s="34" t="s">
        <v>1642</v>
      </c>
      <c r="D217" s="35" t="s">
        <v>64</v>
      </c>
      <c r="E217" s="36">
        <v>45595</v>
      </c>
      <c r="F217" s="37">
        <v>45960</v>
      </c>
      <c r="G217" s="34" t="s">
        <v>285</v>
      </c>
      <c r="H217" s="38">
        <v>2022</v>
      </c>
      <c r="I217" s="39" t="s">
        <v>1643</v>
      </c>
      <c r="J217" s="38" t="s">
        <v>1644</v>
      </c>
      <c r="K217" s="38" t="s">
        <v>1645</v>
      </c>
      <c r="L217" s="40" t="s">
        <v>1646</v>
      </c>
      <c r="M217" s="38" t="s">
        <v>1647</v>
      </c>
      <c r="N217" s="31" t="s">
        <v>1648</v>
      </c>
      <c r="O217" s="39">
        <v>2053</v>
      </c>
      <c r="P217" s="39">
        <v>477</v>
      </c>
      <c r="Q217" s="41">
        <v>44873</v>
      </c>
      <c r="R217" s="41">
        <v>45966</v>
      </c>
      <c r="S217" s="42">
        <v>3510000</v>
      </c>
      <c r="T217" s="43">
        <v>1.9900000000000001E-2</v>
      </c>
      <c r="U217" s="42">
        <v>3159000</v>
      </c>
      <c r="V217" s="42">
        <v>62864.100000000006</v>
      </c>
      <c r="W217" s="44">
        <v>0</v>
      </c>
      <c r="X217" s="45">
        <v>62864</v>
      </c>
      <c r="Y217" s="46" t="s">
        <v>71</v>
      </c>
      <c r="Z217" s="39" t="s">
        <v>40</v>
      </c>
      <c r="AA217" s="31" t="s">
        <v>41</v>
      </c>
      <c r="AB217" s="31" t="s">
        <v>72</v>
      </c>
      <c r="AC217" s="37">
        <v>45596</v>
      </c>
      <c r="AD217" s="65"/>
      <c r="AE217" s="65" t="s">
        <v>2319</v>
      </c>
      <c r="AF217" s="66">
        <v>62864</v>
      </c>
      <c r="AG217" s="67">
        <f t="shared" si="3"/>
        <v>0</v>
      </c>
      <c r="AH217" s="65" t="s">
        <v>2376</v>
      </c>
    </row>
    <row r="218" spans="1:34">
      <c r="A218" s="32">
        <v>45566</v>
      </c>
      <c r="B218" s="33" t="s">
        <v>29</v>
      </c>
      <c r="C218" s="34" t="s">
        <v>1649</v>
      </c>
      <c r="D218" s="35" t="s">
        <v>64</v>
      </c>
      <c r="E218" s="36">
        <v>45596</v>
      </c>
      <c r="F218" s="37">
        <v>45961</v>
      </c>
      <c r="G218" s="34" t="s">
        <v>153</v>
      </c>
      <c r="H218" s="38">
        <v>2022</v>
      </c>
      <c r="I218" s="39" t="s">
        <v>1650</v>
      </c>
      <c r="J218" s="38" t="s">
        <v>1651</v>
      </c>
      <c r="K218" s="38" t="s">
        <v>1652</v>
      </c>
      <c r="L218" s="40" t="s">
        <v>1653</v>
      </c>
      <c r="M218" s="38" t="s">
        <v>1654</v>
      </c>
      <c r="N218" s="31" t="s">
        <v>1655</v>
      </c>
      <c r="O218" s="39">
        <v>1148</v>
      </c>
      <c r="P218" s="39">
        <v>450</v>
      </c>
      <c r="Q218" s="41">
        <v>44866</v>
      </c>
      <c r="R218" s="41">
        <v>45966</v>
      </c>
      <c r="S218" s="42">
        <v>2745000</v>
      </c>
      <c r="T218" s="43">
        <v>1.9900000000000001E-2</v>
      </c>
      <c r="U218" s="42">
        <v>2470500</v>
      </c>
      <c r="V218" s="42">
        <v>49162.950000000004</v>
      </c>
      <c r="W218" s="44">
        <v>0</v>
      </c>
      <c r="X218" s="45">
        <v>49163</v>
      </c>
      <c r="Y218" s="46" t="s">
        <v>71</v>
      </c>
      <c r="Z218" s="39" t="s">
        <v>40</v>
      </c>
      <c r="AA218" s="31" t="s">
        <v>41</v>
      </c>
      <c r="AB218" s="31" t="s">
        <v>72</v>
      </c>
      <c r="AC218" s="37">
        <v>45596</v>
      </c>
      <c r="AD218" s="65"/>
      <c r="AE218" s="65" t="s">
        <v>2320</v>
      </c>
      <c r="AF218" s="66">
        <v>49163</v>
      </c>
      <c r="AG218" s="67">
        <f t="shared" si="3"/>
        <v>0</v>
      </c>
      <c r="AH218" s="65" t="s">
        <v>2376</v>
      </c>
    </row>
    <row r="219" spans="1:34">
      <c r="A219" s="32">
        <v>45566</v>
      </c>
      <c r="B219" s="33" t="s">
        <v>29</v>
      </c>
      <c r="C219" s="34" t="s">
        <v>1656</v>
      </c>
      <c r="D219" s="35" t="s">
        <v>64</v>
      </c>
      <c r="E219" s="36">
        <v>45569</v>
      </c>
      <c r="F219" s="37">
        <v>45934</v>
      </c>
      <c r="G219" s="34" t="s">
        <v>129</v>
      </c>
      <c r="H219" s="38">
        <v>2022</v>
      </c>
      <c r="I219" s="39" t="s">
        <v>1657</v>
      </c>
      <c r="J219" s="38" t="s">
        <v>1658</v>
      </c>
      <c r="K219" s="38" t="s">
        <v>1659</v>
      </c>
      <c r="L219" s="40" t="s">
        <v>1660</v>
      </c>
      <c r="M219" s="38" t="s">
        <v>1661</v>
      </c>
      <c r="N219" s="31" t="s">
        <v>1662</v>
      </c>
      <c r="O219" s="39">
        <v>1141</v>
      </c>
      <c r="P219" s="39">
        <v>450</v>
      </c>
      <c r="Q219" s="41">
        <v>44841</v>
      </c>
      <c r="R219" s="41">
        <v>46665</v>
      </c>
      <c r="S219" s="42">
        <v>1755900</v>
      </c>
      <c r="T219" s="43">
        <v>1.9900000000000001E-2</v>
      </c>
      <c r="U219" s="42">
        <v>1580310</v>
      </c>
      <c r="V219" s="42">
        <v>31448.169000000002</v>
      </c>
      <c r="W219" s="44">
        <v>0</v>
      </c>
      <c r="X219" s="45">
        <v>31448</v>
      </c>
      <c r="Y219" s="46" t="s">
        <v>71</v>
      </c>
      <c r="Z219" s="39" t="s">
        <v>40</v>
      </c>
      <c r="AA219" s="31" t="s">
        <v>41</v>
      </c>
      <c r="AB219" s="31" t="s">
        <v>72</v>
      </c>
      <c r="AC219" s="37">
        <v>45596</v>
      </c>
      <c r="AD219" s="65"/>
      <c r="AE219" s="65" t="s">
        <v>2321</v>
      </c>
      <c r="AF219" s="66">
        <v>31448</v>
      </c>
      <c r="AG219" s="67">
        <f t="shared" si="3"/>
        <v>0</v>
      </c>
      <c r="AH219" s="65" t="s">
        <v>2376</v>
      </c>
    </row>
    <row r="220" spans="1:34">
      <c r="A220" s="32">
        <v>45566</v>
      </c>
      <c r="B220" s="33" t="s">
        <v>29</v>
      </c>
      <c r="C220" s="34" t="s">
        <v>1663</v>
      </c>
      <c r="D220" s="35" t="s">
        <v>64</v>
      </c>
      <c r="E220" s="36">
        <v>45569</v>
      </c>
      <c r="F220" s="37">
        <v>45934</v>
      </c>
      <c r="G220" s="34" t="s">
        <v>890</v>
      </c>
      <c r="H220" s="38">
        <v>2015</v>
      </c>
      <c r="I220" s="39" t="s">
        <v>1664</v>
      </c>
      <c r="J220" s="38" t="s">
        <v>1665</v>
      </c>
      <c r="K220" s="38" t="s">
        <v>1666</v>
      </c>
      <c r="L220" s="40" t="s">
        <v>1667</v>
      </c>
      <c r="M220" s="38" t="s">
        <v>1668</v>
      </c>
      <c r="N220" s="31" t="s">
        <v>1669</v>
      </c>
      <c r="O220" s="39">
        <v>1093</v>
      </c>
      <c r="P220" s="39">
        <v>477</v>
      </c>
      <c r="Q220" s="41">
        <v>44841</v>
      </c>
      <c r="R220" s="41">
        <v>45935</v>
      </c>
      <c r="S220" s="42">
        <v>4860000</v>
      </c>
      <c r="T220" s="43">
        <v>1.9900000000000001E-2</v>
      </c>
      <c r="U220" s="42">
        <v>4374000</v>
      </c>
      <c r="V220" s="42">
        <v>87042.6</v>
      </c>
      <c r="W220" s="44">
        <v>0</v>
      </c>
      <c r="X220" s="45">
        <v>87043</v>
      </c>
      <c r="Y220" s="46" t="s">
        <v>71</v>
      </c>
      <c r="Z220" s="39" t="s">
        <v>40</v>
      </c>
      <c r="AA220" s="31" t="s">
        <v>41</v>
      </c>
      <c r="AB220" s="31" t="s">
        <v>72</v>
      </c>
      <c r="AC220" s="37">
        <v>45596</v>
      </c>
      <c r="AD220" s="65"/>
      <c r="AE220" s="65" t="s">
        <v>2322</v>
      </c>
      <c r="AF220" s="66">
        <v>87043</v>
      </c>
      <c r="AG220" s="67">
        <f t="shared" si="3"/>
        <v>0</v>
      </c>
      <c r="AH220" s="65" t="s">
        <v>2376</v>
      </c>
    </row>
    <row r="221" spans="1:34">
      <c r="A221" s="32">
        <v>45566</v>
      </c>
      <c r="B221" s="33" t="s">
        <v>29</v>
      </c>
      <c r="C221" s="34" t="s">
        <v>1670</v>
      </c>
      <c r="D221" s="35" t="s">
        <v>64</v>
      </c>
      <c r="E221" s="36">
        <v>45569</v>
      </c>
      <c r="F221" s="37">
        <v>45934</v>
      </c>
      <c r="G221" s="34" t="s">
        <v>1671</v>
      </c>
      <c r="H221" s="38">
        <v>2021</v>
      </c>
      <c r="I221" s="39" t="s">
        <v>1672</v>
      </c>
      <c r="J221" s="38" t="s">
        <v>1673</v>
      </c>
      <c r="K221" s="38" t="s">
        <v>1674</v>
      </c>
      <c r="L221" s="40" t="s">
        <v>1675</v>
      </c>
      <c r="M221" s="38" t="s">
        <v>1676</v>
      </c>
      <c r="N221" s="31" t="s">
        <v>1677</v>
      </c>
      <c r="O221" s="39">
        <v>1003</v>
      </c>
      <c r="P221" s="39">
        <v>450</v>
      </c>
      <c r="Q221" s="41">
        <v>44844</v>
      </c>
      <c r="R221" s="41">
        <v>45935</v>
      </c>
      <c r="S221" s="42">
        <v>3780000</v>
      </c>
      <c r="T221" s="43">
        <v>1.9900000000000001E-2</v>
      </c>
      <c r="U221" s="42">
        <v>3402000</v>
      </c>
      <c r="V221" s="42">
        <v>67699.8</v>
      </c>
      <c r="W221" s="44">
        <v>0</v>
      </c>
      <c r="X221" s="45">
        <v>67700</v>
      </c>
      <c r="Y221" s="46" t="s">
        <v>71</v>
      </c>
      <c r="Z221" s="39" t="s">
        <v>40</v>
      </c>
      <c r="AA221" s="31" t="s">
        <v>41</v>
      </c>
      <c r="AB221" s="31" t="s">
        <v>72</v>
      </c>
      <c r="AC221" s="37">
        <v>45596</v>
      </c>
      <c r="AD221" s="65"/>
      <c r="AE221" s="65" t="s">
        <v>2323</v>
      </c>
      <c r="AF221" s="66">
        <v>67700</v>
      </c>
      <c r="AG221" s="67">
        <f t="shared" si="3"/>
        <v>0</v>
      </c>
      <c r="AH221" s="65" t="s">
        <v>2376</v>
      </c>
    </row>
    <row r="222" spans="1:34">
      <c r="A222" s="32">
        <v>45566</v>
      </c>
      <c r="B222" s="33" t="s">
        <v>29</v>
      </c>
      <c r="C222" s="34" t="s">
        <v>1678</v>
      </c>
      <c r="D222" s="35" t="s">
        <v>64</v>
      </c>
      <c r="E222" s="36">
        <v>45567</v>
      </c>
      <c r="F222" s="37">
        <v>45932</v>
      </c>
      <c r="G222" s="34" t="s">
        <v>1679</v>
      </c>
      <c r="H222" s="38">
        <v>2022</v>
      </c>
      <c r="I222" s="39" t="s">
        <v>1680</v>
      </c>
      <c r="J222" s="38" t="s">
        <v>1681</v>
      </c>
      <c r="K222" s="38" t="s">
        <v>1682</v>
      </c>
      <c r="L222" s="40" t="s">
        <v>1683</v>
      </c>
      <c r="M222" s="38" t="s">
        <v>1684</v>
      </c>
      <c r="N222" s="31" t="s">
        <v>1685</v>
      </c>
      <c r="O222" s="39">
        <v>2030</v>
      </c>
      <c r="P222" s="39">
        <v>450</v>
      </c>
      <c r="Q222" s="41">
        <v>44838</v>
      </c>
      <c r="R222" s="41">
        <v>45935</v>
      </c>
      <c r="S222" s="42">
        <v>3284100</v>
      </c>
      <c r="T222" s="43">
        <v>1.9900000000000001E-2</v>
      </c>
      <c r="U222" s="42">
        <v>2955690</v>
      </c>
      <c r="V222" s="42">
        <v>58818.231</v>
      </c>
      <c r="W222" s="44">
        <v>0</v>
      </c>
      <c r="X222" s="45">
        <v>58818</v>
      </c>
      <c r="Y222" s="46" t="s">
        <v>71</v>
      </c>
      <c r="Z222" s="39" t="s">
        <v>40</v>
      </c>
      <c r="AA222" s="31" t="s">
        <v>41</v>
      </c>
      <c r="AB222" s="31" t="s">
        <v>72</v>
      </c>
      <c r="AC222" s="37">
        <v>45596</v>
      </c>
      <c r="AD222" s="65"/>
      <c r="AE222" s="65" t="s">
        <v>2324</v>
      </c>
      <c r="AF222" s="66">
        <v>58818</v>
      </c>
      <c r="AG222" s="67">
        <f t="shared" si="3"/>
        <v>0</v>
      </c>
      <c r="AH222" s="65" t="s">
        <v>2376</v>
      </c>
    </row>
    <row r="223" spans="1:34">
      <c r="A223" s="32">
        <v>45566</v>
      </c>
      <c r="B223" s="33" t="s">
        <v>29</v>
      </c>
      <c r="C223" s="34" t="s">
        <v>1686</v>
      </c>
      <c r="D223" s="35" t="s">
        <v>64</v>
      </c>
      <c r="E223" s="36">
        <v>45569</v>
      </c>
      <c r="F223" s="37">
        <v>45934</v>
      </c>
      <c r="G223" s="34" t="s">
        <v>767</v>
      </c>
      <c r="H223" s="38">
        <v>2019</v>
      </c>
      <c r="I223" s="39" t="s">
        <v>1687</v>
      </c>
      <c r="J223" s="38" t="s">
        <v>1688</v>
      </c>
      <c r="K223" s="38" t="s">
        <v>1689</v>
      </c>
      <c r="L223" s="40" t="s">
        <v>1690</v>
      </c>
      <c r="M223" s="38" t="s">
        <v>1691</v>
      </c>
      <c r="N223" s="31" t="s">
        <v>1692</v>
      </c>
      <c r="O223" s="39">
        <v>1093</v>
      </c>
      <c r="P223" s="39">
        <v>477</v>
      </c>
      <c r="Q223" s="41">
        <v>44889</v>
      </c>
      <c r="R223" s="41">
        <v>46300</v>
      </c>
      <c r="S223" s="42">
        <v>1530000</v>
      </c>
      <c r="T223" s="43">
        <v>1.9900000000000001E-2</v>
      </c>
      <c r="U223" s="42">
        <v>1377000</v>
      </c>
      <c r="V223" s="42">
        <v>27402.300000000003</v>
      </c>
      <c r="W223" s="44">
        <v>0</v>
      </c>
      <c r="X223" s="45">
        <v>27402</v>
      </c>
      <c r="Y223" s="46" t="s">
        <v>71</v>
      </c>
      <c r="Z223" s="39" t="s">
        <v>40</v>
      </c>
      <c r="AA223" s="31" t="s">
        <v>41</v>
      </c>
      <c r="AB223" s="31" t="s">
        <v>72</v>
      </c>
      <c r="AC223" s="37">
        <v>45596</v>
      </c>
      <c r="AD223" s="65"/>
      <c r="AE223" s="65" t="s">
        <v>2325</v>
      </c>
      <c r="AF223" s="66">
        <v>27402</v>
      </c>
      <c r="AG223" s="67">
        <f t="shared" si="3"/>
        <v>0</v>
      </c>
      <c r="AH223" s="65" t="s">
        <v>2376</v>
      </c>
    </row>
    <row r="224" spans="1:34">
      <c r="A224" s="32">
        <v>45566</v>
      </c>
      <c r="B224" s="33" t="s">
        <v>29</v>
      </c>
      <c r="C224" s="34" t="s">
        <v>1693</v>
      </c>
      <c r="D224" s="35" t="s">
        <v>64</v>
      </c>
      <c r="E224" s="36">
        <v>45569</v>
      </c>
      <c r="F224" s="37">
        <v>45934</v>
      </c>
      <c r="G224" s="34" t="s">
        <v>1694</v>
      </c>
      <c r="H224" s="38">
        <v>2022</v>
      </c>
      <c r="I224" s="39" t="s">
        <v>1695</v>
      </c>
      <c r="J224" s="38" t="s">
        <v>1696</v>
      </c>
      <c r="K224" s="38" t="s">
        <v>1697</v>
      </c>
      <c r="L224" s="40" t="s">
        <v>1698</v>
      </c>
      <c r="M224" s="38" t="s">
        <v>1699</v>
      </c>
      <c r="N224" s="31" t="s">
        <v>1700</v>
      </c>
      <c r="O224" s="39">
        <v>2002</v>
      </c>
      <c r="P224" s="39">
        <v>477</v>
      </c>
      <c r="Q224" s="41">
        <v>44840</v>
      </c>
      <c r="R224" s="41">
        <v>45945</v>
      </c>
      <c r="S224" s="42">
        <v>6480891</v>
      </c>
      <c r="T224" s="43">
        <v>1.9900000000000001E-2</v>
      </c>
      <c r="U224" s="42">
        <v>5832801.9000000004</v>
      </c>
      <c r="V224" s="42">
        <v>116072.75781000001</v>
      </c>
      <c r="W224" s="44">
        <v>0</v>
      </c>
      <c r="X224" s="45">
        <v>116073</v>
      </c>
      <c r="Y224" s="46" t="s">
        <v>71</v>
      </c>
      <c r="Z224" s="39" t="s">
        <v>40</v>
      </c>
      <c r="AA224" s="31" t="s">
        <v>41</v>
      </c>
      <c r="AB224" s="31" t="s">
        <v>72</v>
      </c>
      <c r="AC224" s="37">
        <v>45596</v>
      </c>
      <c r="AD224" s="65"/>
      <c r="AE224" s="65" t="s">
        <v>2326</v>
      </c>
      <c r="AF224" s="66">
        <v>116073</v>
      </c>
      <c r="AG224" s="67">
        <f t="shared" si="3"/>
        <v>0</v>
      </c>
      <c r="AH224" s="65" t="s">
        <v>2376</v>
      </c>
    </row>
    <row r="225" spans="1:34">
      <c r="A225" s="32">
        <v>45566</v>
      </c>
      <c r="B225" s="33" t="s">
        <v>29</v>
      </c>
      <c r="C225" s="34" t="s">
        <v>1701</v>
      </c>
      <c r="D225" s="35" t="s">
        <v>64</v>
      </c>
      <c r="E225" s="36">
        <v>45570</v>
      </c>
      <c r="F225" s="37">
        <v>45935</v>
      </c>
      <c r="G225" s="34" t="s">
        <v>767</v>
      </c>
      <c r="H225" s="38">
        <v>2022</v>
      </c>
      <c r="I225" s="39" t="s">
        <v>1702</v>
      </c>
      <c r="J225" s="38" t="s">
        <v>1703</v>
      </c>
      <c r="K225" s="38" t="s">
        <v>1704</v>
      </c>
      <c r="L225" s="40" t="s">
        <v>1705</v>
      </c>
      <c r="M225" s="38" t="s">
        <v>1706</v>
      </c>
      <c r="N225" s="31" t="s">
        <v>1707</v>
      </c>
      <c r="O225" s="39">
        <v>2028</v>
      </c>
      <c r="P225" s="39">
        <v>450</v>
      </c>
      <c r="Q225" s="41">
        <v>44840</v>
      </c>
      <c r="R225" s="41">
        <v>46310</v>
      </c>
      <c r="S225" s="42">
        <v>2307600</v>
      </c>
      <c r="T225" s="43">
        <v>1.9900000000000001E-2</v>
      </c>
      <c r="U225" s="42">
        <v>2076840</v>
      </c>
      <c r="V225" s="42">
        <v>41329.116000000002</v>
      </c>
      <c r="W225" s="44">
        <v>0</v>
      </c>
      <c r="X225" s="45">
        <v>41329</v>
      </c>
      <c r="Y225" s="46" t="s">
        <v>71</v>
      </c>
      <c r="Z225" s="39" t="s">
        <v>40</v>
      </c>
      <c r="AA225" s="31" t="s">
        <v>41</v>
      </c>
      <c r="AB225" s="31" t="s">
        <v>72</v>
      </c>
      <c r="AC225" s="37">
        <v>45596</v>
      </c>
      <c r="AD225" s="65"/>
      <c r="AE225" s="65" t="s">
        <v>2327</v>
      </c>
      <c r="AF225" s="66">
        <v>41329</v>
      </c>
      <c r="AG225" s="67">
        <f t="shared" si="3"/>
        <v>0</v>
      </c>
      <c r="AH225" s="65" t="s">
        <v>2376</v>
      </c>
    </row>
    <row r="226" spans="1:34">
      <c r="A226" s="32">
        <v>45566</v>
      </c>
      <c r="B226" s="33" t="s">
        <v>29</v>
      </c>
      <c r="C226" s="34" t="s">
        <v>1708</v>
      </c>
      <c r="D226" s="35" t="s">
        <v>64</v>
      </c>
      <c r="E226" s="36">
        <v>45570</v>
      </c>
      <c r="F226" s="37">
        <v>45935</v>
      </c>
      <c r="G226" s="34" t="s">
        <v>74</v>
      </c>
      <c r="H226" s="38">
        <v>2022</v>
      </c>
      <c r="I226" s="39" t="s">
        <v>1709</v>
      </c>
      <c r="J226" s="38" t="s">
        <v>1710</v>
      </c>
      <c r="K226" s="38" t="s">
        <v>1711</v>
      </c>
      <c r="L226" s="40" t="s">
        <v>1712</v>
      </c>
      <c r="M226" s="38" t="s">
        <v>1713</v>
      </c>
      <c r="N226" s="31" t="s">
        <v>1714</v>
      </c>
      <c r="O226" s="39">
        <v>2119</v>
      </c>
      <c r="P226" s="39">
        <v>450</v>
      </c>
      <c r="Q226" s="41">
        <v>44844</v>
      </c>
      <c r="R226" s="41">
        <v>46665</v>
      </c>
      <c r="S226" s="42">
        <v>1755000</v>
      </c>
      <c r="T226" s="43">
        <v>1.9900000000000001E-2</v>
      </c>
      <c r="U226" s="42">
        <v>1579500</v>
      </c>
      <c r="V226" s="42">
        <v>31432.050000000003</v>
      </c>
      <c r="W226" s="44">
        <v>0</v>
      </c>
      <c r="X226" s="45">
        <v>31432</v>
      </c>
      <c r="Y226" s="46" t="s">
        <v>71</v>
      </c>
      <c r="Z226" s="39" t="s">
        <v>40</v>
      </c>
      <c r="AA226" s="31" t="s">
        <v>41</v>
      </c>
      <c r="AB226" s="31" t="s">
        <v>72</v>
      </c>
      <c r="AC226" s="37">
        <v>45596</v>
      </c>
      <c r="AD226" s="65"/>
      <c r="AE226" s="65" t="s">
        <v>2328</v>
      </c>
      <c r="AF226" s="66">
        <v>31432</v>
      </c>
      <c r="AG226" s="67">
        <f t="shared" si="3"/>
        <v>0</v>
      </c>
      <c r="AH226" s="65" t="s">
        <v>2376</v>
      </c>
    </row>
    <row r="227" spans="1:34">
      <c r="A227" s="32">
        <v>45566</v>
      </c>
      <c r="B227" s="33" t="s">
        <v>29</v>
      </c>
      <c r="C227" s="34" t="s">
        <v>1715</v>
      </c>
      <c r="D227" s="35" t="s">
        <v>64</v>
      </c>
      <c r="E227" s="36">
        <v>45591</v>
      </c>
      <c r="F227" s="37">
        <v>45956</v>
      </c>
      <c r="G227" s="34" t="s">
        <v>1311</v>
      </c>
      <c r="H227" s="38">
        <v>2021</v>
      </c>
      <c r="I227" s="39" t="s">
        <v>1716</v>
      </c>
      <c r="J227" s="38" t="s">
        <v>1717</v>
      </c>
      <c r="K227" s="38" t="s">
        <v>1718</v>
      </c>
      <c r="L227" s="40" t="s">
        <v>1315</v>
      </c>
      <c r="M227" s="38" t="s">
        <v>1316</v>
      </c>
      <c r="N227" s="31" t="s">
        <v>1719</v>
      </c>
      <c r="O227" s="39">
        <v>2111</v>
      </c>
      <c r="P227" s="39">
        <v>450</v>
      </c>
      <c r="Q227" s="41">
        <v>44495</v>
      </c>
      <c r="R227" s="41">
        <v>46331</v>
      </c>
      <c r="S227" s="42">
        <v>1753650</v>
      </c>
      <c r="T227" s="43">
        <v>2.2499999999999999E-2</v>
      </c>
      <c r="U227" s="42">
        <v>1578285</v>
      </c>
      <c r="V227" s="42">
        <v>35511.412499999999</v>
      </c>
      <c r="W227" s="44">
        <v>0</v>
      </c>
      <c r="X227" s="45">
        <v>35511</v>
      </c>
      <c r="Y227" s="46" t="s">
        <v>71</v>
      </c>
      <c r="Z227" s="39" t="s">
        <v>40</v>
      </c>
      <c r="AA227" s="31" t="s">
        <v>41</v>
      </c>
      <c r="AB227" s="31" t="s">
        <v>198</v>
      </c>
      <c r="AC227" s="37">
        <v>45596</v>
      </c>
      <c r="AD227" s="65"/>
      <c r="AE227" s="65" t="s">
        <v>2329</v>
      </c>
      <c r="AF227" s="66">
        <v>35511</v>
      </c>
      <c r="AG227" s="67">
        <f t="shared" si="3"/>
        <v>0</v>
      </c>
      <c r="AH227" s="65" t="s">
        <v>2376</v>
      </c>
    </row>
    <row r="228" spans="1:34">
      <c r="A228" s="32">
        <v>45566</v>
      </c>
      <c r="B228" s="33" t="s">
        <v>29</v>
      </c>
      <c r="C228" s="34" t="s">
        <v>1720</v>
      </c>
      <c r="D228" s="35" t="s">
        <v>64</v>
      </c>
      <c r="E228" s="36">
        <v>45570</v>
      </c>
      <c r="F228" s="37">
        <v>45935</v>
      </c>
      <c r="G228" s="34" t="s">
        <v>1721</v>
      </c>
      <c r="H228" s="38">
        <v>2022</v>
      </c>
      <c r="I228" s="39" t="s">
        <v>1722</v>
      </c>
      <c r="J228" s="38" t="s">
        <v>1723</v>
      </c>
      <c r="K228" s="38" t="s">
        <v>1724</v>
      </c>
      <c r="L228" s="40" t="s">
        <v>1725</v>
      </c>
      <c r="M228" s="38" t="s">
        <v>1726</v>
      </c>
      <c r="N228" s="31" t="s">
        <v>1727</v>
      </c>
      <c r="O228" s="39">
        <v>2022</v>
      </c>
      <c r="P228" s="39">
        <v>450</v>
      </c>
      <c r="Q228" s="41">
        <v>44855</v>
      </c>
      <c r="R228" s="41">
        <v>45945</v>
      </c>
      <c r="S228" s="42">
        <v>5444550</v>
      </c>
      <c r="T228" s="43">
        <v>1.9900000000000001E-2</v>
      </c>
      <c r="U228" s="42">
        <v>4900095</v>
      </c>
      <c r="V228" s="42">
        <v>97511.890500000009</v>
      </c>
      <c r="W228" s="44">
        <v>0</v>
      </c>
      <c r="X228" s="45">
        <v>97512</v>
      </c>
      <c r="Y228" s="46" t="s">
        <v>71</v>
      </c>
      <c r="Z228" s="39" t="s">
        <v>40</v>
      </c>
      <c r="AA228" s="31" t="s">
        <v>41</v>
      </c>
      <c r="AB228" s="31" t="s">
        <v>72</v>
      </c>
      <c r="AC228" s="37">
        <v>45596</v>
      </c>
      <c r="AD228" s="65"/>
      <c r="AE228" s="65" t="s">
        <v>2330</v>
      </c>
      <c r="AF228" s="66">
        <v>97512</v>
      </c>
      <c r="AG228" s="67">
        <f t="shared" si="3"/>
        <v>0</v>
      </c>
      <c r="AH228" s="65" t="s">
        <v>2376</v>
      </c>
    </row>
    <row r="229" spans="1:34">
      <c r="A229" s="32">
        <v>45566</v>
      </c>
      <c r="B229" s="33" t="s">
        <v>29</v>
      </c>
      <c r="C229" s="34" t="s">
        <v>1728</v>
      </c>
      <c r="D229" s="35" t="s">
        <v>64</v>
      </c>
      <c r="E229" s="36">
        <v>45570</v>
      </c>
      <c r="F229" s="37">
        <v>45935</v>
      </c>
      <c r="G229" s="34" t="s">
        <v>293</v>
      </c>
      <c r="H229" s="38">
        <v>2022</v>
      </c>
      <c r="I229" s="39" t="s">
        <v>1729</v>
      </c>
      <c r="J229" s="38" t="s">
        <v>1730</v>
      </c>
      <c r="K229" s="38" t="s">
        <v>1731</v>
      </c>
      <c r="L229" s="40" t="s">
        <v>1732</v>
      </c>
      <c r="M229" s="38" t="s">
        <v>1733</v>
      </c>
      <c r="N229" s="31" t="s">
        <v>1734</v>
      </c>
      <c r="O229" s="39">
        <v>2071</v>
      </c>
      <c r="P229" s="39">
        <v>450</v>
      </c>
      <c r="Q229" s="41">
        <v>44844</v>
      </c>
      <c r="R229" s="41">
        <v>46675</v>
      </c>
      <c r="S229" s="42">
        <v>2998161</v>
      </c>
      <c r="T229" s="43">
        <v>1.9900000000000001E-2</v>
      </c>
      <c r="U229" s="42">
        <v>2698344.9</v>
      </c>
      <c r="V229" s="42">
        <v>53697.06351</v>
      </c>
      <c r="W229" s="44">
        <v>0</v>
      </c>
      <c r="X229" s="45">
        <v>53697</v>
      </c>
      <c r="Y229" s="46" t="s">
        <v>71</v>
      </c>
      <c r="Z229" s="39" t="s">
        <v>40</v>
      </c>
      <c r="AA229" s="31" t="s">
        <v>41</v>
      </c>
      <c r="AB229" s="31" t="s">
        <v>72</v>
      </c>
      <c r="AC229" s="37">
        <v>45596</v>
      </c>
      <c r="AD229" s="65"/>
      <c r="AE229" s="65" t="s">
        <v>2331</v>
      </c>
      <c r="AF229" s="66">
        <v>53697</v>
      </c>
      <c r="AG229" s="67">
        <f t="shared" si="3"/>
        <v>0</v>
      </c>
      <c r="AH229" s="65" t="s">
        <v>2376</v>
      </c>
    </row>
    <row r="230" spans="1:34">
      <c r="A230" s="32">
        <v>45566</v>
      </c>
      <c r="B230" s="33" t="s">
        <v>29</v>
      </c>
      <c r="C230" s="34" t="s">
        <v>1735</v>
      </c>
      <c r="D230" s="35" t="s">
        <v>64</v>
      </c>
      <c r="E230" s="36">
        <v>45570</v>
      </c>
      <c r="F230" s="37">
        <v>45935</v>
      </c>
      <c r="G230" s="34" t="s">
        <v>293</v>
      </c>
      <c r="H230" s="38">
        <v>2022</v>
      </c>
      <c r="I230" s="39" t="s">
        <v>1736</v>
      </c>
      <c r="J230" s="38" t="s">
        <v>1737</v>
      </c>
      <c r="K230" s="38" t="s">
        <v>1738</v>
      </c>
      <c r="L230" s="40" t="s">
        <v>1739</v>
      </c>
      <c r="M230" s="38" t="s">
        <v>1740</v>
      </c>
      <c r="N230" s="31" t="s">
        <v>1741</v>
      </c>
      <c r="O230" s="39">
        <v>2066</v>
      </c>
      <c r="P230" s="39">
        <v>477</v>
      </c>
      <c r="Q230" s="41">
        <v>44845</v>
      </c>
      <c r="R230" s="41">
        <v>46675</v>
      </c>
      <c r="S230" s="42">
        <v>2889081</v>
      </c>
      <c r="T230" s="43">
        <v>1.9900000000000001E-2</v>
      </c>
      <c r="U230" s="42">
        <v>2600172.9</v>
      </c>
      <c r="V230" s="42">
        <v>51743.440710000003</v>
      </c>
      <c r="W230" s="44">
        <v>0</v>
      </c>
      <c r="X230" s="45">
        <v>51743</v>
      </c>
      <c r="Y230" s="46" t="s">
        <v>71</v>
      </c>
      <c r="Z230" s="39" t="s">
        <v>40</v>
      </c>
      <c r="AA230" s="31" t="s">
        <v>41</v>
      </c>
      <c r="AB230" s="31" t="s">
        <v>72</v>
      </c>
      <c r="AC230" s="37">
        <v>45596</v>
      </c>
      <c r="AD230" s="65"/>
      <c r="AE230" s="65" t="s">
        <v>2332</v>
      </c>
      <c r="AF230" s="66">
        <v>51743</v>
      </c>
      <c r="AG230" s="67">
        <f t="shared" si="3"/>
        <v>0</v>
      </c>
      <c r="AH230" s="65" t="s">
        <v>2376</v>
      </c>
    </row>
    <row r="231" spans="1:34">
      <c r="A231" s="32">
        <v>45566</v>
      </c>
      <c r="B231" s="33" t="s">
        <v>29</v>
      </c>
      <c r="C231" s="34" t="s">
        <v>1742</v>
      </c>
      <c r="D231" s="35" t="s">
        <v>64</v>
      </c>
      <c r="E231" s="36">
        <v>45571</v>
      </c>
      <c r="F231" s="37">
        <v>45936</v>
      </c>
      <c r="G231" s="34" t="s">
        <v>106</v>
      </c>
      <c r="H231" s="38">
        <v>2022</v>
      </c>
      <c r="I231" s="39" t="s">
        <v>1743</v>
      </c>
      <c r="J231" s="38" t="s">
        <v>1744</v>
      </c>
      <c r="K231" s="38" t="s">
        <v>1745</v>
      </c>
      <c r="L231" s="40" t="s">
        <v>1746</v>
      </c>
      <c r="M231" s="38" t="s">
        <v>1747</v>
      </c>
      <c r="N231" s="31" t="s">
        <v>1748</v>
      </c>
      <c r="O231" s="39">
        <v>3018</v>
      </c>
      <c r="P231" s="39">
        <v>450</v>
      </c>
      <c r="Q231" s="41">
        <v>44841</v>
      </c>
      <c r="R231" s="41">
        <v>47406</v>
      </c>
      <c r="S231" s="42">
        <v>1507500</v>
      </c>
      <c r="T231" s="43">
        <v>1.9900000000000001E-2</v>
      </c>
      <c r="U231" s="42">
        <v>1356750</v>
      </c>
      <c r="V231" s="42">
        <v>26999.325000000001</v>
      </c>
      <c r="W231" s="44">
        <v>0</v>
      </c>
      <c r="X231" s="45">
        <v>26999</v>
      </c>
      <c r="Y231" s="46" t="s">
        <v>71</v>
      </c>
      <c r="Z231" s="39" t="s">
        <v>40</v>
      </c>
      <c r="AA231" s="31" t="s">
        <v>41</v>
      </c>
      <c r="AB231" s="31" t="s">
        <v>72</v>
      </c>
      <c r="AC231" s="37">
        <v>45596</v>
      </c>
      <c r="AD231" s="65"/>
      <c r="AE231" s="65" t="s">
        <v>2333</v>
      </c>
      <c r="AF231" s="66">
        <v>26999</v>
      </c>
      <c r="AG231" s="67">
        <f t="shared" si="3"/>
        <v>0</v>
      </c>
      <c r="AH231" s="65" t="s">
        <v>2376</v>
      </c>
    </row>
    <row r="232" spans="1:34">
      <c r="A232" s="32">
        <v>45566</v>
      </c>
      <c r="B232" s="33" t="s">
        <v>29</v>
      </c>
      <c r="C232" s="34" t="s">
        <v>1749</v>
      </c>
      <c r="D232" s="35" t="s">
        <v>64</v>
      </c>
      <c r="E232" s="36">
        <v>45567</v>
      </c>
      <c r="F232" s="37">
        <v>45932</v>
      </c>
      <c r="G232" s="34" t="s">
        <v>1122</v>
      </c>
      <c r="H232" s="38">
        <v>2022</v>
      </c>
      <c r="I232" s="39" t="s">
        <v>1750</v>
      </c>
      <c r="J232" s="38" t="s">
        <v>1751</v>
      </c>
      <c r="K232" s="38" t="s">
        <v>1752</v>
      </c>
      <c r="L232" s="40" t="s">
        <v>1753</v>
      </c>
      <c r="M232" s="38" t="s">
        <v>1754</v>
      </c>
      <c r="N232" s="31" t="s">
        <v>1755</v>
      </c>
      <c r="O232" s="39">
        <v>3099</v>
      </c>
      <c r="P232" s="39">
        <v>450</v>
      </c>
      <c r="Q232" s="41">
        <v>44838</v>
      </c>
      <c r="R232" s="41">
        <v>46665</v>
      </c>
      <c r="S232" s="42">
        <v>3251691</v>
      </c>
      <c r="T232" s="43">
        <v>1.9900000000000001E-2</v>
      </c>
      <c r="U232" s="42">
        <v>2926521.9</v>
      </c>
      <c r="V232" s="42">
        <v>58237.785810000001</v>
      </c>
      <c r="W232" s="44">
        <v>0</v>
      </c>
      <c r="X232" s="45">
        <v>58238</v>
      </c>
      <c r="Y232" s="46" t="s">
        <v>71</v>
      </c>
      <c r="Z232" s="39" t="s">
        <v>40</v>
      </c>
      <c r="AA232" s="31" t="s">
        <v>41</v>
      </c>
      <c r="AB232" s="31" t="s">
        <v>72</v>
      </c>
      <c r="AC232" s="37">
        <v>45596</v>
      </c>
      <c r="AD232" s="65"/>
      <c r="AE232" s="65" t="s">
        <v>2334</v>
      </c>
      <c r="AF232" s="66">
        <v>58238</v>
      </c>
      <c r="AG232" s="67">
        <f t="shared" si="3"/>
        <v>0</v>
      </c>
      <c r="AH232" s="65" t="s">
        <v>2376</v>
      </c>
    </row>
    <row r="233" spans="1:34">
      <c r="A233" s="32">
        <v>45566</v>
      </c>
      <c r="B233" s="33" t="s">
        <v>29</v>
      </c>
      <c r="C233" s="34" t="s">
        <v>1756</v>
      </c>
      <c r="D233" s="35" t="s">
        <v>64</v>
      </c>
      <c r="E233" s="36">
        <v>45570</v>
      </c>
      <c r="F233" s="37">
        <v>45935</v>
      </c>
      <c r="G233" s="34" t="s">
        <v>106</v>
      </c>
      <c r="H233" s="38">
        <v>2022</v>
      </c>
      <c r="I233" s="39" t="s">
        <v>1757</v>
      </c>
      <c r="J233" s="38" t="s">
        <v>1758</v>
      </c>
      <c r="K233" s="38" t="s">
        <v>1759</v>
      </c>
      <c r="L233" s="40" t="s">
        <v>1760</v>
      </c>
      <c r="M233" s="38" t="s">
        <v>1761</v>
      </c>
      <c r="N233" s="31" t="s">
        <v>1762</v>
      </c>
      <c r="O233" s="39">
        <v>3074</v>
      </c>
      <c r="P233" s="39">
        <v>450</v>
      </c>
      <c r="Q233" s="41">
        <v>44841</v>
      </c>
      <c r="R233" s="41">
        <v>46675</v>
      </c>
      <c r="S233" s="42">
        <v>1391400</v>
      </c>
      <c r="T233" s="43">
        <v>1.9900000000000001E-2</v>
      </c>
      <c r="U233" s="42">
        <v>1252260</v>
      </c>
      <c r="V233" s="42">
        <v>24919.974000000002</v>
      </c>
      <c r="W233" s="44">
        <v>0</v>
      </c>
      <c r="X233" s="45">
        <v>24920</v>
      </c>
      <c r="Y233" s="46" t="s">
        <v>71</v>
      </c>
      <c r="Z233" s="39" t="s">
        <v>40</v>
      </c>
      <c r="AA233" s="31" t="s">
        <v>41</v>
      </c>
      <c r="AB233" s="31" t="s">
        <v>72</v>
      </c>
      <c r="AC233" s="37">
        <v>45596</v>
      </c>
      <c r="AD233" s="65"/>
      <c r="AE233" s="65" t="s">
        <v>2335</v>
      </c>
      <c r="AF233" s="66">
        <v>24920</v>
      </c>
      <c r="AG233" s="67">
        <f t="shared" si="3"/>
        <v>0</v>
      </c>
      <c r="AH233" s="65" t="s">
        <v>2376</v>
      </c>
    </row>
    <row r="234" spans="1:34">
      <c r="A234" s="32">
        <v>45566</v>
      </c>
      <c r="B234" s="33" t="s">
        <v>29</v>
      </c>
      <c r="C234" s="34" t="s">
        <v>1763</v>
      </c>
      <c r="D234" s="35" t="s">
        <v>64</v>
      </c>
      <c r="E234" s="36">
        <v>45574</v>
      </c>
      <c r="F234" s="37">
        <v>45939</v>
      </c>
      <c r="G234" s="34" t="s">
        <v>129</v>
      </c>
      <c r="H234" s="38">
        <v>2021</v>
      </c>
      <c r="I234" s="39" t="s">
        <v>1764</v>
      </c>
      <c r="J234" s="38" t="s">
        <v>1765</v>
      </c>
      <c r="K234" s="38" t="s">
        <v>1766</v>
      </c>
      <c r="L234" s="40" t="s">
        <v>1767</v>
      </c>
      <c r="M234" s="38" t="s">
        <v>1768</v>
      </c>
      <c r="N234" s="31" t="s">
        <v>1769</v>
      </c>
      <c r="O234" s="39">
        <v>1153</v>
      </c>
      <c r="P234" s="39">
        <v>477</v>
      </c>
      <c r="Q234" s="41">
        <v>44841</v>
      </c>
      <c r="R234" s="41">
        <v>46665</v>
      </c>
      <c r="S234" s="42">
        <v>1710000</v>
      </c>
      <c r="T234" s="43">
        <v>1.9900000000000001E-2</v>
      </c>
      <c r="U234" s="42">
        <v>1539000</v>
      </c>
      <c r="V234" s="42">
        <v>30626.100000000002</v>
      </c>
      <c r="W234" s="44">
        <v>0</v>
      </c>
      <c r="X234" s="45">
        <v>30626</v>
      </c>
      <c r="Y234" s="46" t="s">
        <v>71</v>
      </c>
      <c r="Z234" s="39" t="s">
        <v>40</v>
      </c>
      <c r="AA234" s="31" t="s">
        <v>41</v>
      </c>
      <c r="AB234" s="31" t="s">
        <v>72</v>
      </c>
      <c r="AC234" s="37">
        <v>45596</v>
      </c>
      <c r="AD234" s="65"/>
      <c r="AE234" s="65" t="s">
        <v>2336</v>
      </c>
      <c r="AF234" s="66">
        <v>30626</v>
      </c>
      <c r="AG234" s="67">
        <f t="shared" si="3"/>
        <v>0</v>
      </c>
      <c r="AH234" s="65" t="s">
        <v>2376</v>
      </c>
    </row>
    <row r="235" spans="1:34">
      <c r="A235" s="32">
        <v>45566</v>
      </c>
      <c r="B235" s="33" t="s">
        <v>29</v>
      </c>
      <c r="C235" s="34" t="s">
        <v>1770</v>
      </c>
      <c r="D235" s="35" t="s">
        <v>64</v>
      </c>
      <c r="E235" s="36">
        <v>45574</v>
      </c>
      <c r="F235" s="37">
        <v>45939</v>
      </c>
      <c r="G235" s="34" t="s">
        <v>215</v>
      </c>
      <c r="H235" s="38">
        <v>2022</v>
      </c>
      <c r="I235" s="39" t="s">
        <v>1771</v>
      </c>
      <c r="J235" s="38" t="s">
        <v>1772</v>
      </c>
      <c r="K235" s="38" t="s">
        <v>1773</v>
      </c>
      <c r="L235" s="40" t="s">
        <v>1774</v>
      </c>
      <c r="M235" s="38" t="s">
        <v>1775</v>
      </c>
      <c r="N235" s="31" t="s">
        <v>1776</v>
      </c>
      <c r="O235" s="39">
        <v>2002</v>
      </c>
      <c r="P235" s="39">
        <v>477</v>
      </c>
      <c r="Q235" s="41">
        <v>44845</v>
      </c>
      <c r="R235" s="41">
        <v>46675</v>
      </c>
      <c r="S235" s="42">
        <v>2307600</v>
      </c>
      <c r="T235" s="43">
        <v>1.9900000000000001E-2</v>
      </c>
      <c r="U235" s="42">
        <v>2076840</v>
      </c>
      <c r="V235" s="42">
        <v>41329.116000000002</v>
      </c>
      <c r="W235" s="44">
        <v>0</v>
      </c>
      <c r="X235" s="45">
        <v>41329</v>
      </c>
      <c r="Y235" s="46" t="s">
        <v>71</v>
      </c>
      <c r="Z235" s="39" t="s">
        <v>40</v>
      </c>
      <c r="AA235" s="31" t="s">
        <v>41</v>
      </c>
      <c r="AB235" s="31" t="s">
        <v>72</v>
      </c>
      <c r="AC235" s="37">
        <v>45596</v>
      </c>
      <c r="AD235" s="65"/>
      <c r="AE235" s="65" t="s">
        <v>2337</v>
      </c>
      <c r="AF235" s="66">
        <v>41329</v>
      </c>
      <c r="AG235" s="67">
        <f t="shared" si="3"/>
        <v>0</v>
      </c>
      <c r="AH235" s="65" t="s">
        <v>2376</v>
      </c>
    </row>
    <row r="236" spans="1:34">
      <c r="A236" s="32">
        <v>45566</v>
      </c>
      <c r="B236" s="33" t="s">
        <v>29</v>
      </c>
      <c r="C236" s="34" t="s">
        <v>1777</v>
      </c>
      <c r="D236" s="35" t="s">
        <v>64</v>
      </c>
      <c r="E236" s="36">
        <v>45574</v>
      </c>
      <c r="F236" s="37">
        <v>45939</v>
      </c>
      <c r="G236" s="34" t="s">
        <v>1778</v>
      </c>
      <c r="H236" s="38">
        <v>2022</v>
      </c>
      <c r="I236" s="39" t="s">
        <v>1779</v>
      </c>
      <c r="J236" s="38" t="s">
        <v>1780</v>
      </c>
      <c r="K236" s="38" t="s">
        <v>1781</v>
      </c>
      <c r="L236" s="40" t="s">
        <v>1782</v>
      </c>
      <c r="M236" s="38" t="s">
        <v>1783</v>
      </c>
      <c r="N236" s="31" t="s">
        <v>1784</v>
      </c>
      <c r="O236" s="39">
        <v>3101</v>
      </c>
      <c r="P236" s="39">
        <v>565</v>
      </c>
      <c r="Q236" s="41">
        <v>44859</v>
      </c>
      <c r="R236" s="41">
        <v>45945</v>
      </c>
      <c r="S236" s="42">
        <v>2906100</v>
      </c>
      <c r="T236" s="43">
        <v>1.9900000000000001E-2</v>
      </c>
      <c r="U236" s="42">
        <v>2615490</v>
      </c>
      <c r="V236" s="42">
        <v>52048.251000000004</v>
      </c>
      <c r="W236" s="44">
        <v>0</v>
      </c>
      <c r="X236" s="45">
        <v>52048</v>
      </c>
      <c r="Y236" s="46" t="s">
        <v>71</v>
      </c>
      <c r="Z236" s="39" t="s">
        <v>40</v>
      </c>
      <c r="AA236" s="31" t="s">
        <v>41</v>
      </c>
      <c r="AB236" s="31" t="s">
        <v>72</v>
      </c>
      <c r="AC236" s="37">
        <v>45596</v>
      </c>
      <c r="AD236" s="65"/>
      <c r="AE236" s="68" t="s">
        <v>2107</v>
      </c>
      <c r="AF236" s="66">
        <v>52048</v>
      </c>
      <c r="AG236" s="67">
        <f t="shared" si="3"/>
        <v>0</v>
      </c>
      <c r="AH236" s="65" t="s">
        <v>2376</v>
      </c>
    </row>
    <row r="237" spans="1:34">
      <c r="A237" s="32">
        <v>45566</v>
      </c>
      <c r="B237" s="33" t="s">
        <v>29</v>
      </c>
      <c r="C237" s="34" t="s">
        <v>1785</v>
      </c>
      <c r="D237" s="35" t="s">
        <v>64</v>
      </c>
      <c r="E237" s="36">
        <v>45575</v>
      </c>
      <c r="F237" s="37">
        <v>45940</v>
      </c>
      <c r="G237" s="34" t="s">
        <v>44</v>
      </c>
      <c r="H237" s="38">
        <v>2022</v>
      </c>
      <c r="I237" s="39" t="s">
        <v>1786</v>
      </c>
      <c r="J237" s="38" t="s">
        <v>1787</v>
      </c>
      <c r="K237" s="38" t="s">
        <v>1788</v>
      </c>
      <c r="L237" s="40" t="s">
        <v>1789</v>
      </c>
      <c r="M237" s="38" t="s">
        <v>1790</v>
      </c>
      <c r="N237" s="31" t="s">
        <v>1791</v>
      </c>
      <c r="O237" s="39">
        <v>1132</v>
      </c>
      <c r="P237" s="39">
        <v>450</v>
      </c>
      <c r="Q237" s="41">
        <v>44845</v>
      </c>
      <c r="R237" s="41">
        <v>45945</v>
      </c>
      <c r="S237" s="42">
        <v>3459600</v>
      </c>
      <c r="T237" s="43">
        <v>1.9900000000000001E-2</v>
      </c>
      <c r="U237" s="42">
        <v>3113640</v>
      </c>
      <c r="V237" s="42">
        <v>61961.436000000002</v>
      </c>
      <c r="W237" s="44">
        <v>0</v>
      </c>
      <c r="X237" s="45">
        <v>61961</v>
      </c>
      <c r="Y237" s="46" t="s">
        <v>71</v>
      </c>
      <c r="Z237" s="39" t="s">
        <v>40</v>
      </c>
      <c r="AA237" s="31" t="s">
        <v>41</v>
      </c>
      <c r="AB237" s="31" t="s">
        <v>72</v>
      </c>
      <c r="AC237" s="37">
        <v>45596</v>
      </c>
      <c r="AD237" s="65"/>
      <c r="AE237" s="65" t="s">
        <v>2338</v>
      </c>
      <c r="AF237" s="66">
        <v>61961</v>
      </c>
      <c r="AG237" s="67">
        <f t="shared" si="3"/>
        <v>0</v>
      </c>
      <c r="AH237" s="65" t="s">
        <v>2376</v>
      </c>
    </row>
    <row r="238" spans="1:34">
      <c r="A238" s="32">
        <v>45566</v>
      </c>
      <c r="B238" s="33" t="s">
        <v>29</v>
      </c>
      <c r="C238" s="34" t="s">
        <v>1792</v>
      </c>
      <c r="D238" s="35" t="s">
        <v>64</v>
      </c>
      <c r="E238" s="36">
        <v>45575</v>
      </c>
      <c r="F238" s="37">
        <v>45940</v>
      </c>
      <c r="G238" s="34" t="s">
        <v>507</v>
      </c>
      <c r="H238" s="38">
        <v>2022</v>
      </c>
      <c r="I238" s="39" t="s">
        <v>1793</v>
      </c>
      <c r="J238" s="38" t="s">
        <v>1794</v>
      </c>
      <c r="K238" s="38" t="s">
        <v>1795</v>
      </c>
      <c r="L238" s="40" t="s">
        <v>1796</v>
      </c>
      <c r="M238" s="38" t="s">
        <v>1797</v>
      </c>
      <c r="N238" s="31" t="s">
        <v>1798</v>
      </c>
      <c r="O238" s="39">
        <v>1042</v>
      </c>
      <c r="P238" s="39">
        <v>450</v>
      </c>
      <c r="Q238" s="41">
        <v>44845</v>
      </c>
      <c r="R238" s="41">
        <v>46675</v>
      </c>
      <c r="S238" s="42">
        <v>2945511</v>
      </c>
      <c r="T238" s="43">
        <v>1.9900000000000001E-2</v>
      </c>
      <c r="U238" s="42">
        <v>2650959.9</v>
      </c>
      <c r="V238" s="42">
        <v>52754.102010000002</v>
      </c>
      <c r="W238" s="44">
        <v>0</v>
      </c>
      <c r="X238" s="45">
        <v>52754</v>
      </c>
      <c r="Y238" s="46" t="s">
        <v>71</v>
      </c>
      <c r="Z238" s="39" t="s">
        <v>40</v>
      </c>
      <c r="AA238" s="31" t="s">
        <v>41</v>
      </c>
      <c r="AB238" s="31" t="s">
        <v>72</v>
      </c>
      <c r="AC238" s="37">
        <v>45596</v>
      </c>
      <c r="AD238" s="65"/>
      <c r="AE238" s="65" t="s">
        <v>2339</v>
      </c>
      <c r="AF238" s="66">
        <v>52754</v>
      </c>
      <c r="AG238" s="67">
        <f t="shared" si="3"/>
        <v>0</v>
      </c>
      <c r="AH238" s="65" t="s">
        <v>2376</v>
      </c>
    </row>
    <row r="239" spans="1:34">
      <c r="A239" s="32">
        <v>45566</v>
      </c>
      <c r="B239" s="33" t="s">
        <v>29</v>
      </c>
      <c r="C239" s="34" t="s">
        <v>1799</v>
      </c>
      <c r="D239" s="35" t="s">
        <v>64</v>
      </c>
      <c r="E239" s="36">
        <v>45575</v>
      </c>
      <c r="F239" s="37">
        <v>45940</v>
      </c>
      <c r="G239" s="34" t="s">
        <v>293</v>
      </c>
      <c r="H239" s="38">
        <v>2022</v>
      </c>
      <c r="I239" s="39" t="s">
        <v>1800</v>
      </c>
      <c r="J239" s="38" t="s">
        <v>1801</v>
      </c>
      <c r="K239" s="38" t="s">
        <v>1802</v>
      </c>
      <c r="L239" s="40" t="s">
        <v>1803</v>
      </c>
      <c r="M239" s="38" t="s">
        <v>1804</v>
      </c>
      <c r="N239" s="31" t="s">
        <v>1805</v>
      </c>
      <c r="O239" s="39">
        <v>2101</v>
      </c>
      <c r="P239" s="39">
        <v>450</v>
      </c>
      <c r="Q239" s="41">
        <v>44859</v>
      </c>
      <c r="R239" s="41">
        <v>45945</v>
      </c>
      <c r="S239" s="42">
        <v>3330000</v>
      </c>
      <c r="T239" s="43">
        <v>1.9900000000000001E-2</v>
      </c>
      <c r="U239" s="42">
        <v>2997000</v>
      </c>
      <c r="V239" s="42">
        <v>59640.3</v>
      </c>
      <c r="W239" s="44">
        <v>0</v>
      </c>
      <c r="X239" s="45">
        <v>59640</v>
      </c>
      <c r="Y239" s="46" t="s">
        <v>71</v>
      </c>
      <c r="Z239" s="39" t="s">
        <v>40</v>
      </c>
      <c r="AA239" s="31" t="s">
        <v>41</v>
      </c>
      <c r="AB239" s="31" t="s">
        <v>72</v>
      </c>
      <c r="AC239" s="37">
        <v>45596</v>
      </c>
      <c r="AD239" s="65"/>
      <c r="AE239" s="65" t="s">
        <v>2340</v>
      </c>
      <c r="AF239" s="66">
        <v>59640</v>
      </c>
      <c r="AG239" s="67">
        <f t="shared" si="3"/>
        <v>0</v>
      </c>
      <c r="AH239" s="65" t="s">
        <v>2376</v>
      </c>
    </row>
    <row r="240" spans="1:34">
      <c r="A240" s="32">
        <v>45566</v>
      </c>
      <c r="B240" s="33" t="s">
        <v>29</v>
      </c>
      <c r="C240" s="34" t="s">
        <v>1806</v>
      </c>
      <c r="D240" s="35" t="s">
        <v>64</v>
      </c>
      <c r="E240" s="36">
        <v>45575</v>
      </c>
      <c r="F240" s="37">
        <v>45940</v>
      </c>
      <c r="G240" s="34" t="s">
        <v>129</v>
      </c>
      <c r="H240" s="38">
        <v>2022</v>
      </c>
      <c r="I240" s="39" t="s">
        <v>1807</v>
      </c>
      <c r="J240" s="38" t="s">
        <v>1808</v>
      </c>
      <c r="K240" s="38" t="s">
        <v>1809</v>
      </c>
      <c r="L240" s="40" t="s">
        <v>1810</v>
      </c>
      <c r="M240" s="38" t="s">
        <v>1811</v>
      </c>
      <c r="N240" s="31" t="s">
        <v>1812</v>
      </c>
      <c r="O240" s="39">
        <v>3058</v>
      </c>
      <c r="P240" s="39">
        <v>450</v>
      </c>
      <c r="Q240" s="41">
        <v>44846</v>
      </c>
      <c r="R240" s="41">
        <v>46310</v>
      </c>
      <c r="S240" s="42">
        <v>1507500</v>
      </c>
      <c r="T240" s="43">
        <v>1.7999999999999999E-2</v>
      </c>
      <c r="U240" s="42">
        <v>1356750</v>
      </c>
      <c r="V240" s="42">
        <v>24421.499999999996</v>
      </c>
      <c r="W240" s="44">
        <v>0</v>
      </c>
      <c r="X240" s="45">
        <v>24422</v>
      </c>
      <c r="Y240" s="46" t="s">
        <v>71</v>
      </c>
      <c r="Z240" s="39" t="s">
        <v>40</v>
      </c>
      <c r="AA240" s="31" t="s">
        <v>41</v>
      </c>
      <c r="AB240" s="31" t="s">
        <v>72</v>
      </c>
      <c r="AC240" s="37">
        <v>45596</v>
      </c>
      <c r="AD240" s="65"/>
      <c r="AE240" s="65" t="s">
        <v>2341</v>
      </c>
      <c r="AF240" s="66">
        <v>24422</v>
      </c>
      <c r="AG240" s="67">
        <f t="shared" si="3"/>
        <v>0</v>
      </c>
      <c r="AH240" s="65" t="s">
        <v>2376</v>
      </c>
    </row>
    <row r="241" spans="1:34">
      <c r="A241" s="32">
        <v>45566</v>
      </c>
      <c r="B241" s="33" t="s">
        <v>29</v>
      </c>
      <c r="C241" s="34" t="s">
        <v>1813</v>
      </c>
      <c r="D241" s="35" t="s">
        <v>64</v>
      </c>
      <c r="E241" s="36">
        <v>45576</v>
      </c>
      <c r="F241" s="37">
        <v>45941</v>
      </c>
      <c r="G241" s="34" t="s">
        <v>1814</v>
      </c>
      <c r="H241" s="38">
        <v>2015</v>
      </c>
      <c r="I241" s="39" t="s">
        <v>1815</v>
      </c>
      <c r="J241" s="38" t="s">
        <v>1816</v>
      </c>
      <c r="K241" s="38" t="s">
        <v>1817</v>
      </c>
      <c r="L241" s="40" t="s">
        <v>1818</v>
      </c>
      <c r="M241" s="38" t="s">
        <v>1819</v>
      </c>
      <c r="N241" s="31" t="s">
        <v>1820</v>
      </c>
      <c r="O241" s="39">
        <v>2002</v>
      </c>
      <c r="P241" s="39">
        <v>477</v>
      </c>
      <c r="Q241" s="41">
        <v>44847</v>
      </c>
      <c r="R241" s="41">
        <v>45945</v>
      </c>
      <c r="S241" s="42">
        <v>2268000</v>
      </c>
      <c r="T241" s="43">
        <v>1.9900000000000001E-2</v>
      </c>
      <c r="U241" s="42">
        <v>2041200</v>
      </c>
      <c r="V241" s="42">
        <v>40619.880000000005</v>
      </c>
      <c r="W241" s="44">
        <v>0</v>
      </c>
      <c r="X241" s="45">
        <v>40620</v>
      </c>
      <c r="Y241" s="46" t="s">
        <v>71</v>
      </c>
      <c r="Z241" s="39" t="s">
        <v>40</v>
      </c>
      <c r="AA241" s="31" t="s">
        <v>41</v>
      </c>
      <c r="AB241" s="31" t="s">
        <v>72</v>
      </c>
      <c r="AC241" s="37">
        <v>45596</v>
      </c>
      <c r="AD241" s="65"/>
      <c r="AE241" s="65" t="s">
        <v>2342</v>
      </c>
      <c r="AF241" s="66">
        <v>40620</v>
      </c>
      <c r="AG241" s="67">
        <f t="shared" si="3"/>
        <v>0</v>
      </c>
      <c r="AH241" s="65" t="s">
        <v>2376</v>
      </c>
    </row>
    <row r="242" spans="1:34">
      <c r="A242" s="32">
        <v>45566</v>
      </c>
      <c r="B242" s="33" t="s">
        <v>29</v>
      </c>
      <c r="C242" s="34" t="s">
        <v>1821</v>
      </c>
      <c r="D242" s="35" t="s">
        <v>64</v>
      </c>
      <c r="E242" s="36">
        <v>45576</v>
      </c>
      <c r="F242" s="37">
        <v>45941</v>
      </c>
      <c r="G242" s="34" t="s">
        <v>262</v>
      </c>
      <c r="H242" s="38">
        <v>2018</v>
      </c>
      <c r="I242" s="39" t="s">
        <v>1822</v>
      </c>
      <c r="J242" s="38" t="s">
        <v>1823</v>
      </c>
      <c r="K242" s="38" t="s">
        <v>1824</v>
      </c>
      <c r="L242" s="40" t="s">
        <v>1825</v>
      </c>
      <c r="M242" s="38" t="s">
        <v>1826</v>
      </c>
      <c r="N242" s="31" t="s">
        <v>1827</v>
      </c>
      <c r="O242" s="39">
        <v>2048</v>
      </c>
      <c r="P242" s="39">
        <v>477</v>
      </c>
      <c r="Q242" s="41">
        <v>44858</v>
      </c>
      <c r="R242" s="41">
        <v>46675</v>
      </c>
      <c r="S242" s="42">
        <v>1800000</v>
      </c>
      <c r="T242" s="43">
        <v>1.9900000000000001E-2</v>
      </c>
      <c r="U242" s="42">
        <v>1620000</v>
      </c>
      <c r="V242" s="42">
        <v>32238</v>
      </c>
      <c r="W242" s="44">
        <v>0</v>
      </c>
      <c r="X242" s="45">
        <v>32238</v>
      </c>
      <c r="Y242" s="46" t="s">
        <v>71</v>
      </c>
      <c r="Z242" s="39" t="s">
        <v>40</v>
      </c>
      <c r="AA242" s="31" t="s">
        <v>41</v>
      </c>
      <c r="AB242" s="31" t="s">
        <v>72</v>
      </c>
      <c r="AC242" s="37">
        <v>45596</v>
      </c>
      <c r="AD242" s="65"/>
      <c r="AE242" s="65" t="s">
        <v>2343</v>
      </c>
      <c r="AF242" s="66">
        <v>32238</v>
      </c>
      <c r="AG242" s="67">
        <f t="shared" si="3"/>
        <v>0</v>
      </c>
      <c r="AH242" s="65" t="s">
        <v>2376</v>
      </c>
    </row>
    <row r="243" spans="1:34">
      <c r="A243" s="32">
        <v>45566</v>
      </c>
      <c r="B243" s="33" t="s">
        <v>29</v>
      </c>
      <c r="C243" s="34" t="s">
        <v>1828</v>
      </c>
      <c r="D243" s="35" t="s">
        <v>64</v>
      </c>
      <c r="E243" s="36">
        <v>45576</v>
      </c>
      <c r="F243" s="37">
        <v>45941</v>
      </c>
      <c r="G243" s="34" t="s">
        <v>1635</v>
      </c>
      <c r="H243" s="38">
        <v>2022</v>
      </c>
      <c r="I243" s="39" t="s">
        <v>1829</v>
      </c>
      <c r="J243" s="38" t="s">
        <v>1830</v>
      </c>
      <c r="K243" s="38" t="s">
        <v>1831</v>
      </c>
      <c r="L243" s="40" t="s">
        <v>1832</v>
      </c>
      <c r="M243" s="38" t="s">
        <v>1833</v>
      </c>
      <c r="N243" s="31" t="s">
        <v>1834</v>
      </c>
      <c r="O243" s="39">
        <v>1092</v>
      </c>
      <c r="P243" s="39">
        <v>477</v>
      </c>
      <c r="Q243" s="41">
        <v>44846</v>
      </c>
      <c r="R243" s="41">
        <v>46341</v>
      </c>
      <c r="S243" s="42">
        <v>3827241</v>
      </c>
      <c r="T243" s="43">
        <v>2.2499999999999999E-2</v>
      </c>
      <c r="U243" s="42">
        <v>3444516.9</v>
      </c>
      <c r="V243" s="42">
        <v>77501.630250000002</v>
      </c>
      <c r="W243" s="44">
        <v>0</v>
      </c>
      <c r="X243" s="45">
        <v>77502</v>
      </c>
      <c r="Y243" s="46" t="s">
        <v>71</v>
      </c>
      <c r="Z243" s="39" t="s">
        <v>40</v>
      </c>
      <c r="AA243" s="31" t="s">
        <v>41</v>
      </c>
      <c r="AB243" s="31" t="s">
        <v>72</v>
      </c>
      <c r="AC243" s="37">
        <v>45596</v>
      </c>
      <c r="AD243" s="65"/>
      <c r="AE243" s="65" t="s">
        <v>2344</v>
      </c>
      <c r="AF243" s="66">
        <v>77502</v>
      </c>
      <c r="AG243" s="67">
        <f t="shared" si="3"/>
        <v>0</v>
      </c>
      <c r="AH243" s="65" t="s">
        <v>2376</v>
      </c>
    </row>
    <row r="244" spans="1:34">
      <c r="A244" s="32">
        <v>45566</v>
      </c>
      <c r="B244" s="33" t="s">
        <v>29</v>
      </c>
      <c r="C244" s="34" t="s">
        <v>1835</v>
      </c>
      <c r="D244" s="35" t="s">
        <v>64</v>
      </c>
      <c r="E244" s="36">
        <v>45576</v>
      </c>
      <c r="F244" s="37">
        <v>45941</v>
      </c>
      <c r="G244" s="34" t="s">
        <v>106</v>
      </c>
      <c r="H244" s="38">
        <v>2021</v>
      </c>
      <c r="I244" s="39" t="s">
        <v>1836</v>
      </c>
      <c r="J244" s="38" t="s">
        <v>1837</v>
      </c>
      <c r="K244" s="38" t="s">
        <v>1838</v>
      </c>
      <c r="L244" s="40" t="s">
        <v>1839</v>
      </c>
      <c r="M244" s="38" t="s">
        <v>1840</v>
      </c>
      <c r="N244" s="31" t="s">
        <v>1841</v>
      </c>
      <c r="O244" s="39">
        <v>2128</v>
      </c>
      <c r="P244" s="39">
        <v>450</v>
      </c>
      <c r="Q244" s="41">
        <v>44859</v>
      </c>
      <c r="R244" s="41">
        <v>46675</v>
      </c>
      <c r="S244" s="42">
        <v>1800000</v>
      </c>
      <c r="T244" s="43">
        <v>1.9900000000000001E-2</v>
      </c>
      <c r="U244" s="42">
        <v>1620000</v>
      </c>
      <c r="V244" s="42">
        <v>32238</v>
      </c>
      <c r="W244" s="44">
        <v>0</v>
      </c>
      <c r="X244" s="45">
        <v>32238</v>
      </c>
      <c r="Y244" s="46" t="s">
        <v>71</v>
      </c>
      <c r="Z244" s="39" t="s">
        <v>40</v>
      </c>
      <c r="AA244" s="31" t="s">
        <v>41</v>
      </c>
      <c r="AB244" s="31" t="s">
        <v>72</v>
      </c>
      <c r="AC244" s="37">
        <v>45596</v>
      </c>
      <c r="AD244" s="65"/>
      <c r="AE244" s="65" t="s">
        <v>2345</v>
      </c>
      <c r="AF244" s="66">
        <v>32238</v>
      </c>
      <c r="AG244" s="67">
        <f t="shared" si="3"/>
        <v>0</v>
      </c>
      <c r="AH244" s="65" t="s">
        <v>2376</v>
      </c>
    </row>
    <row r="245" spans="1:34">
      <c r="A245" s="32">
        <v>45566</v>
      </c>
      <c r="B245" s="33" t="s">
        <v>29</v>
      </c>
      <c r="C245" s="34" t="s">
        <v>1842</v>
      </c>
      <c r="D245" s="35" t="s">
        <v>64</v>
      </c>
      <c r="E245" s="36">
        <v>45567</v>
      </c>
      <c r="F245" s="37">
        <v>45932</v>
      </c>
      <c r="G245" s="34" t="s">
        <v>153</v>
      </c>
      <c r="H245" s="38">
        <v>2019</v>
      </c>
      <c r="I245" s="39" t="s">
        <v>1843</v>
      </c>
      <c r="J245" s="38" t="s">
        <v>1844</v>
      </c>
      <c r="K245" s="38" t="s">
        <v>1845</v>
      </c>
      <c r="L245" s="40" t="s">
        <v>1846</v>
      </c>
      <c r="M245" s="38" t="s">
        <v>1847</v>
      </c>
      <c r="N245" s="31" t="s">
        <v>1848</v>
      </c>
      <c r="O245" s="39">
        <v>2118</v>
      </c>
      <c r="P245" s="39">
        <v>450</v>
      </c>
      <c r="Q245" s="41">
        <v>44838</v>
      </c>
      <c r="R245" s="41">
        <v>46655</v>
      </c>
      <c r="S245" s="42">
        <v>2025000</v>
      </c>
      <c r="T245" s="43">
        <v>1.9900000000000001E-2</v>
      </c>
      <c r="U245" s="42">
        <v>1822500</v>
      </c>
      <c r="V245" s="42">
        <v>36267.75</v>
      </c>
      <c r="W245" s="44">
        <v>0</v>
      </c>
      <c r="X245" s="45">
        <v>36268</v>
      </c>
      <c r="Y245" s="46" t="s">
        <v>71</v>
      </c>
      <c r="Z245" s="39" t="s">
        <v>40</v>
      </c>
      <c r="AA245" s="31" t="s">
        <v>41</v>
      </c>
      <c r="AB245" s="31" t="s">
        <v>72</v>
      </c>
      <c r="AC245" s="37">
        <v>45596</v>
      </c>
      <c r="AD245" s="65"/>
      <c r="AE245" s="65" t="s">
        <v>2346</v>
      </c>
      <c r="AF245" s="66">
        <v>36268</v>
      </c>
      <c r="AG245" s="67">
        <f t="shared" si="3"/>
        <v>0</v>
      </c>
      <c r="AH245" s="65" t="s">
        <v>2376</v>
      </c>
    </row>
    <row r="246" spans="1:34">
      <c r="A246" s="32">
        <v>45566</v>
      </c>
      <c r="B246" s="33" t="s">
        <v>29</v>
      </c>
      <c r="C246" s="34" t="s">
        <v>1849</v>
      </c>
      <c r="D246" s="35" t="s">
        <v>64</v>
      </c>
      <c r="E246" s="36">
        <v>45576</v>
      </c>
      <c r="F246" s="37">
        <v>45941</v>
      </c>
      <c r="G246" s="34" t="s">
        <v>633</v>
      </c>
      <c r="H246" s="38">
        <v>2015</v>
      </c>
      <c r="I246" s="39" t="s">
        <v>1850</v>
      </c>
      <c r="J246" s="38" t="s">
        <v>1851</v>
      </c>
      <c r="K246" s="38" t="s">
        <v>1852</v>
      </c>
      <c r="L246" s="40" t="s">
        <v>1853</v>
      </c>
      <c r="M246" s="38" t="s">
        <v>1854</v>
      </c>
      <c r="N246" s="31" t="s">
        <v>1855</v>
      </c>
      <c r="O246" s="39">
        <v>1026</v>
      </c>
      <c r="P246" s="39">
        <v>450</v>
      </c>
      <c r="Q246" s="41">
        <v>44846</v>
      </c>
      <c r="R246" s="41">
        <v>45945</v>
      </c>
      <c r="S246" s="42">
        <v>1710000</v>
      </c>
      <c r="T246" s="43">
        <v>1.9900000000000001E-2</v>
      </c>
      <c r="U246" s="42">
        <v>1539000</v>
      </c>
      <c r="V246" s="42">
        <v>30626.100000000002</v>
      </c>
      <c r="W246" s="44">
        <v>0</v>
      </c>
      <c r="X246" s="45">
        <v>30626</v>
      </c>
      <c r="Y246" s="46" t="s">
        <v>71</v>
      </c>
      <c r="Z246" s="39" t="s">
        <v>40</v>
      </c>
      <c r="AA246" s="31" t="s">
        <v>41</v>
      </c>
      <c r="AB246" s="31" t="s">
        <v>72</v>
      </c>
      <c r="AC246" s="37">
        <v>45596</v>
      </c>
      <c r="AD246" s="65"/>
      <c r="AE246" s="65" t="s">
        <v>2347</v>
      </c>
      <c r="AF246" s="66">
        <v>30626</v>
      </c>
      <c r="AG246" s="67">
        <f t="shared" si="3"/>
        <v>0</v>
      </c>
      <c r="AH246" s="65" t="s">
        <v>2376</v>
      </c>
    </row>
    <row r="247" spans="1:34">
      <c r="A247" s="32">
        <v>45566</v>
      </c>
      <c r="B247" s="33" t="s">
        <v>29</v>
      </c>
      <c r="C247" s="34" t="s">
        <v>1856</v>
      </c>
      <c r="D247" s="35" t="s">
        <v>64</v>
      </c>
      <c r="E247" s="36">
        <v>45576</v>
      </c>
      <c r="F247" s="37">
        <v>45941</v>
      </c>
      <c r="G247" s="34" t="s">
        <v>1857</v>
      </c>
      <c r="H247" s="38">
        <v>2022</v>
      </c>
      <c r="I247" s="39" t="s">
        <v>1858</v>
      </c>
      <c r="J247" s="38" t="s">
        <v>1859</v>
      </c>
      <c r="K247" s="38" t="s">
        <v>1860</v>
      </c>
      <c r="L247" s="40" t="s">
        <v>1861</v>
      </c>
      <c r="M247" s="38" t="s">
        <v>1862</v>
      </c>
      <c r="N247" s="31" t="s">
        <v>1863</v>
      </c>
      <c r="O247" s="39">
        <v>3099</v>
      </c>
      <c r="P247" s="39">
        <v>477</v>
      </c>
      <c r="Q247" s="41">
        <v>44847</v>
      </c>
      <c r="R247" s="41">
        <v>45945</v>
      </c>
      <c r="S247" s="42">
        <v>1350000</v>
      </c>
      <c r="T247" s="43">
        <v>1.9900000000000001E-2</v>
      </c>
      <c r="U247" s="42">
        <v>1215000</v>
      </c>
      <c r="V247" s="42">
        <v>24178.5</v>
      </c>
      <c r="W247" s="44">
        <v>0</v>
      </c>
      <c r="X247" s="45">
        <v>24179</v>
      </c>
      <c r="Y247" s="46" t="s">
        <v>71</v>
      </c>
      <c r="Z247" s="39" t="s">
        <v>40</v>
      </c>
      <c r="AA247" s="31" t="s">
        <v>41</v>
      </c>
      <c r="AB247" s="31" t="s">
        <v>72</v>
      </c>
      <c r="AC247" s="37">
        <v>45596</v>
      </c>
      <c r="AD247" s="65"/>
      <c r="AE247" s="65" t="s">
        <v>2348</v>
      </c>
      <c r="AF247" s="66">
        <v>24179</v>
      </c>
      <c r="AG247" s="67">
        <f t="shared" si="3"/>
        <v>0</v>
      </c>
      <c r="AH247" s="65" t="s">
        <v>2376</v>
      </c>
    </row>
    <row r="248" spans="1:34">
      <c r="A248" s="32">
        <v>45566</v>
      </c>
      <c r="B248" s="33" t="s">
        <v>29</v>
      </c>
      <c r="C248" s="34" t="s">
        <v>1864</v>
      </c>
      <c r="D248" s="35" t="s">
        <v>64</v>
      </c>
      <c r="E248" s="36">
        <v>45576</v>
      </c>
      <c r="F248" s="37">
        <v>45941</v>
      </c>
      <c r="G248" s="34" t="s">
        <v>1865</v>
      </c>
      <c r="H248" s="38">
        <v>2022</v>
      </c>
      <c r="I248" s="39" t="s">
        <v>1866</v>
      </c>
      <c r="J248" s="38" t="s">
        <v>1867</v>
      </c>
      <c r="K248" s="38" t="s">
        <v>1868</v>
      </c>
      <c r="L248" s="40" t="s">
        <v>1869</v>
      </c>
      <c r="M248" s="38" t="s">
        <v>1870</v>
      </c>
      <c r="N248" s="31" t="s">
        <v>1871</v>
      </c>
      <c r="O248" s="39">
        <v>3007</v>
      </c>
      <c r="P248" s="39">
        <v>450</v>
      </c>
      <c r="Q248" s="41">
        <v>44847</v>
      </c>
      <c r="R248" s="41">
        <v>47406</v>
      </c>
      <c r="S248" s="42">
        <v>1175400</v>
      </c>
      <c r="T248" s="43">
        <v>1.9900000000000001E-2</v>
      </c>
      <c r="U248" s="42">
        <v>1057860</v>
      </c>
      <c r="V248" s="42">
        <v>21051.414000000001</v>
      </c>
      <c r="W248" s="44">
        <v>0</v>
      </c>
      <c r="X248" s="45">
        <v>21051</v>
      </c>
      <c r="Y248" s="46" t="s">
        <v>71</v>
      </c>
      <c r="Z248" s="39" t="s">
        <v>40</v>
      </c>
      <c r="AA248" s="31" t="s">
        <v>41</v>
      </c>
      <c r="AB248" s="31" t="s">
        <v>72</v>
      </c>
      <c r="AC248" s="37">
        <v>45596</v>
      </c>
      <c r="AD248" s="65"/>
      <c r="AE248" s="65" t="s">
        <v>2349</v>
      </c>
      <c r="AF248" s="66">
        <v>21051</v>
      </c>
      <c r="AG248" s="67">
        <f t="shared" si="3"/>
        <v>0</v>
      </c>
      <c r="AH248" s="65" t="s">
        <v>2376</v>
      </c>
    </row>
    <row r="249" spans="1:34">
      <c r="A249" s="32">
        <v>45566</v>
      </c>
      <c r="B249" s="33" t="s">
        <v>29</v>
      </c>
      <c r="C249" s="34" t="s">
        <v>1872</v>
      </c>
      <c r="D249" s="35" t="s">
        <v>64</v>
      </c>
      <c r="E249" s="36">
        <v>45577</v>
      </c>
      <c r="F249" s="37">
        <v>45942</v>
      </c>
      <c r="G249" s="34" t="s">
        <v>1857</v>
      </c>
      <c r="H249" s="38">
        <v>2018</v>
      </c>
      <c r="I249" s="39" t="s">
        <v>1873</v>
      </c>
      <c r="J249" s="38" t="s">
        <v>1874</v>
      </c>
      <c r="K249" s="38" t="s">
        <v>1875</v>
      </c>
      <c r="L249" s="40" t="s">
        <v>1876</v>
      </c>
      <c r="M249" s="38" t="s">
        <v>1877</v>
      </c>
      <c r="N249" s="31" t="s">
        <v>1878</v>
      </c>
      <c r="O249" s="39">
        <v>1081</v>
      </c>
      <c r="P249" s="39">
        <v>450</v>
      </c>
      <c r="Q249" s="41">
        <v>44846</v>
      </c>
      <c r="R249" s="41">
        <v>46665</v>
      </c>
      <c r="S249" s="42">
        <v>1035000</v>
      </c>
      <c r="T249" s="43">
        <v>1.9900000000000001E-2</v>
      </c>
      <c r="U249" s="42">
        <v>931500</v>
      </c>
      <c r="V249" s="42">
        <v>18536.850000000002</v>
      </c>
      <c r="W249" s="44">
        <v>0</v>
      </c>
      <c r="X249" s="45">
        <v>18537</v>
      </c>
      <c r="Y249" s="46" t="s">
        <v>71</v>
      </c>
      <c r="Z249" s="39" t="s">
        <v>40</v>
      </c>
      <c r="AA249" s="31" t="s">
        <v>41</v>
      </c>
      <c r="AB249" s="31" t="s">
        <v>72</v>
      </c>
      <c r="AC249" s="37">
        <v>45596</v>
      </c>
      <c r="AD249" s="65"/>
      <c r="AE249" s="65" t="s">
        <v>2350</v>
      </c>
      <c r="AF249" s="66">
        <v>18537</v>
      </c>
      <c r="AG249" s="67">
        <f t="shared" si="3"/>
        <v>0</v>
      </c>
      <c r="AH249" s="65" t="s">
        <v>2376</v>
      </c>
    </row>
    <row r="250" spans="1:34">
      <c r="A250" s="32">
        <v>45566</v>
      </c>
      <c r="B250" s="33" t="s">
        <v>29</v>
      </c>
      <c r="C250" s="34" t="s">
        <v>1879</v>
      </c>
      <c r="D250" s="35" t="s">
        <v>64</v>
      </c>
      <c r="E250" s="36">
        <v>45577</v>
      </c>
      <c r="F250" s="37">
        <v>45942</v>
      </c>
      <c r="G250" s="34" t="s">
        <v>767</v>
      </c>
      <c r="H250" s="38">
        <v>2021</v>
      </c>
      <c r="I250" s="39" t="s">
        <v>1880</v>
      </c>
      <c r="J250" s="38" t="s">
        <v>1881</v>
      </c>
      <c r="K250" s="38" t="s">
        <v>1882</v>
      </c>
      <c r="L250" s="40" t="s">
        <v>1883</v>
      </c>
      <c r="M250" s="38" t="s">
        <v>1884</v>
      </c>
      <c r="N250" s="31" t="s">
        <v>1885</v>
      </c>
      <c r="O250" s="39">
        <v>1178</v>
      </c>
      <c r="P250" s="39">
        <v>450</v>
      </c>
      <c r="Q250" s="41">
        <v>44847</v>
      </c>
      <c r="R250" s="41">
        <v>46675</v>
      </c>
      <c r="S250" s="42">
        <v>1980000</v>
      </c>
      <c r="T250" s="43">
        <v>1.9900000000000001E-2</v>
      </c>
      <c r="U250" s="42">
        <v>1782000</v>
      </c>
      <c r="V250" s="42">
        <v>35461.800000000003</v>
      </c>
      <c r="W250" s="44">
        <v>0</v>
      </c>
      <c r="X250" s="45">
        <v>35462</v>
      </c>
      <c r="Y250" s="46" t="s">
        <v>71</v>
      </c>
      <c r="Z250" s="39" t="s">
        <v>40</v>
      </c>
      <c r="AA250" s="31" t="s">
        <v>41</v>
      </c>
      <c r="AB250" s="31" t="s">
        <v>72</v>
      </c>
      <c r="AC250" s="37">
        <v>45596</v>
      </c>
      <c r="AD250" s="65"/>
      <c r="AE250" s="65" t="s">
        <v>2351</v>
      </c>
      <c r="AF250" s="66">
        <v>35462</v>
      </c>
      <c r="AG250" s="67">
        <f t="shared" si="3"/>
        <v>0</v>
      </c>
      <c r="AH250" s="65" t="s">
        <v>2376</v>
      </c>
    </row>
    <row r="251" spans="1:34">
      <c r="A251" s="32">
        <v>45566</v>
      </c>
      <c r="B251" s="33" t="s">
        <v>29</v>
      </c>
      <c r="C251" s="34" t="s">
        <v>1886</v>
      </c>
      <c r="D251" s="35" t="s">
        <v>64</v>
      </c>
      <c r="E251" s="36">
        <v>45577</v>
      </c>
      <c r="F251" s="37">
        <v>45942</v>
      </c>
      <c r="G251" s="34" t="s">
        <v>1887</v>
      </c>
      <c r="H251" s="38">
        <v>2020</v>
      </c>
      <c r="I251" s="39" t="s">
        <v>1888</v>
      </c>
      <c r="J251" s="38" t="s">
        <v>1889</v>
      </c>
      <c r="K251" s="38" t="s">
        <v>1890</v>
      </c>
      <c r="L251" s="40" t="s">
        <v>1891</v>
      </c>
      <c r="M251" s="38" t="s">
        <v>1892</v>
      </c>
      <c r="N251" s="31" t="s">
        <v>1893</v>
      </c>
      <c r="O251" s="39">
        <v>1140</v>
      </c>
      <c r="P251" s="39">
        <v>450</v>
      </c>
      <c r="Q251" s="41">
        <v>44858</v>
      </c>
      <c r="R251" s="41">
        <v>45935</v>
      </c>
      <c r="S251" s="42">
        <v>5220000</v>
      </c>
      <c r="T251" s="43">
        <v>1.9900000000000001E-2</v>
      </c>
      <c r="U251" s="42">
        <v>4698000</v>
      </c>
      <c r="V251" s="42">
        <v>93490.200000000012</v>
      </c>
      <c r="W251" s="44">
        <v>0</v>
      </c>
      <c r="X251" s="45">
        <v>93490</v>
      </c>
      <c r="Y251" s="46" t="s">
        <v>71</v>
      </c>
      <c r="Z251" s="39" t="s">
        <v>40</v>
      </c>
      <c r="AA251" s="31" t="s">
        <v>41</v>
      </c>
      <c r="AB251" s="31" t="s">
        <v>72</v>
      </c>
      <c r="AC251" s="37">
        <v>45596</v>
      </c>
      <c r="AD251" s="65"/>
      <c r="AE251" s="65" t="s">
        <v>2352</v>
      </c>
      <c r="AF251" s="66">
        <v>93490</v>
      </c>
      <c r="AG251" s="67">
        <f t="shared" si="3"/>
        <v>0</v>
      </c>
      <c r="AH251" s="65" t="s">
        <v>2376</v>
      </c>
    </row>
    <row r="252" spans="1:34">
      <c r="A252" s="32">
        <v>45566</v>
      </c>
      <c r="B252" s="33" t="s">
        <v>29</v>
      </c>
      <c r="C252" s="34" t="s">
        <v>1894</v>
      </c>
      <c r="D252" s="35" t="s">
        <v>64</v>
      </c>
      <c r="E252" s="36">
        <v>45577</v>
      </c>
      <c r="F252" s="37">
        <v>45942</v>
      </c>
      <c r="G252" s="34" t="s">
        <v>74</v>
      </c>
      <c r="H252" s="38">
        <v>2022</v>
      </c>
      <c r="I252" s="39" t="s">
        <v>1895</v>
      </c>
      <c r="J252" s="38" t="s">
        <v>1896</v>
      </c>
      <c r="K252" s="38" t="s">
        <v>1897</v>
      </c>
      <c r="L252" s="40" t="s">
        <v>1898</v>
      </c>
      <c r="M252" s="38" t="s">
        <v>1899</v>
      </c>
      <c r="N252" s="31" t="s">
        <v>1900</v>
      </c>
      <c r="O252" s="39">
        <v>1091</v>
      </c>
      <c r="P252" s="39">
        <v>550</v>
      </c>
      <c r="Q252" s="41">
        <v>44848</v>
      </c>
      <c r="R252" s="41">
        <v>46675</v>
      </c>
      <c r="S252" s="42">
        <v>2250000</v>
      </c>
      <c r="T252" s="43">
        <v>1.9900000000000001E-2</v>
      </c>
      <c r="U252" s="42">
        <v>2025000</v>
      </c>
      <c r="V252" s="42">
        <v>40297.5</v>
      </c>
      <c r="W252" s="44">
        <v>0</v>
      </c>
      <c r="X252" s="45">
        <v>40298</v>
      </c>
      <c r="Y252" s="46" t="s">
        <v>71</v>
      </c>
      <c r="Z252" s="39" t="s">
        <v>40</v>
      </c>
      <c r="AA252" s="31" t="s">
        <v>41</v>
      </c>
      <c r="AB252" s="31" t="s">
        <v>72</v>
      </c>
      <c r="AC252" s="37">
        <v>45596</v>
      </c>
      <c r="AD252" s="65"/>
      <c r="AE252" s="65" t="s">
        <v>2353</v>
      </c>
      <c r="AF252" s="66">
        <v>40298</v>
      </c>
      <c r="AG252" s="67">
        <f t="shared" si="3"/>
        <v>0</v>
      </c>
      <c r="AH252" s="65" t="s">
        <v>2376</v>
      </c>
    </row>
    <row r="253" spans="1:34">
      <c r="A253" s="32">
        <v>45566</v>
      </c>
      <c r="B253" s="33" t="s">
        <v>29</v>
      </c>
      <c r="C253" s="34" t="s">
        <v>1901</v>
      </c>
      <c r="D253" s="35" t="s">
        <v>64</v>
      </c>
      <c r="E253" s="36">
        <v>45578</v>
      </c>
      <c r="F253" s="37">
        <v>45943</v>
      </c>
      <c r="G253" s="34" t="s">
        <v>1042</v>
      </c>
      <c r="H253" s="38">
        <v>2018</v>
      </c>
      <c r="I253" s="39" t="s">
        <v>1902</v>
      </c>
      <c r="J253" s="38" t="s">
        <v>1903</v>
      </c>
      <c r="K253" s="38" t="s">
        <v>1904</v>
      </c>
      <c r="L253" s="40" t="s">
        <v>1905</v>
      </c>
      <c r="M253" s="38" t="s">
        <v>1906</v>
      </c>
      <c r="N253" s="31" t="s">
        <v>1907</v>
      </c>
      <c r="O253" s="39">
        <v>3010</v>
      </c>
      <c r="P253" s="39">
        <v>450</v>
      </c>
      <c r="Q253" s="41">
        <v>44855</v>
      </c>
      <c r="R253" s="41">
        <v>45945</v>
      </c>
      <c r="S253" s="42">
        <v>2610000</v>
      </c>
      <c r="T253" s="43">
        <v>1.9900000000000001E-2</v>
      </c>
      <c r="U253" s="42">
        <v>2349000</v>
      </c>
      <c r="V253" s="42">
        <v>46745.100000000006</v>
      </c>
      <c r="W253" s="44">
        <v>0</v>
      </c>
      <c r="X253" s="45">
        <v>46745</v>
      </c>
      <c r="Y253" s="46" t="s">
        <v>71</v>
      </c>
      <c r="Z253" s="39" t="s">
        <v>40</v>
      </c>
      <c r="AA253" s="31" t="s">
        <v>41</v>
      </c>
      <c r="AB253" s="31" t="s">
        <v>72</v>
      </c>
      <c r="AC253" s="37">
        <v>45596</v>
      </c>
      <c r="AD253" s="65"/>
      <c r="AE253" s="65" t="s">
        <v>2354</v>
      </c>
      <c r="AF253" s="66">
        <v>46745</v>
      </c>
      <c r="AG253" s="67">
        <f t="shared" si="3"/>
        <v>0</v>
      </c>
      <c r="AH253" s="65" t="s">
        <v>2376</v>
      </c>
    </row>
    <row r="254" spans="1:34">
      <c r="A254" s="32">
        <v>45566</v>
      </c>
      <c r="B254" s="33" t="s">
        <v>29</v>
      </c>
      <c r="C254" s="34" t="s">
        <v>1908</v>
      </c>
      <c r="D254" s="35" t="s">
        <v>64</v>
      </c>
      <c r="E254" s="36">
        <v>45569</v>
      </c>
      <c r="F254" s="37">
        <v>45934</v>
      </c>
      <c r="G254" s="34" t="s">
        <v>285</v>
      </c>
      <c r="H254" s="38">
        <v>2022</v>
      </c>
      <c r="I254" s="39" t="s">
        <v>1909</v>
      </c>
      <c r="J254" s="38" t="s">
        <v>1910</v>
      </c>
      <c r="K254" s="38" t="s">
        <v>1911</v>
      </c>
      <c r="L254" s="40" t="s">
        <v>1912</v>
      </c>
      <c r="M254" s="38" t="s">
        <v>1913</v>
      </c>
      <c r="N254" s="31" t="s">
        <v>1914</v>
      </c>
      <c r="O254" s="39">
        <v>3011</v>
      </c>
      <c r="P254" s="39">
        <v>450</v>
      </c>
      <c r="Q254" s="41">
        <v>44838</v>
      </c>
      <c r="R254" s="41">
        <v>46665</v>
      </c>
      <c r="S254" s="42">
        <v>2943000</v>
      </c>
      <c r="T254" s="43">
        <v>1.7999999999999999E-2</v>
      </c>
      <c r="U254" s="42">
        <v>2648700</v>
      </c>
      <c r="V254" s="42">
        <v>47676.6</v>
      </c>
      <c r="W254" s="44">
        <v>0</v>
      </c>
      <c r="X254" s="45">
        <v>47677</v>
      </c>
      <c r="Y254" s="46" t="s">
        <v>71</v>
      </c>
      <c r="Z254" s="39" t="s">
        <v>40</v>
      </c>
      <c r="AA254" s="31" t="s">
        <v>41</v>
      </c>
      <c r="AB254" s="31" t="s">
        <v>72</v>
      </c>
      <c r="AC254" s="37">
        <v>45596</v>
      </c>
      <c r="AD254" s="65"/>
      <c r="AE254" s="65" t="s">
        <v>2355</v>
      </c>
      <c r="AF254" s="66">
        <v>47677</v>
      </c>
      <c r="AG254" s="67">
        <f t="shared" si="3"/>
        <v>0</v>
      </c>
      <c r="AH254" s="65" t="s">
        <v>2376</v>
      </c>
    </row>
    <row r="255" spans="1:34">
      <c r="A255" s="32">
        <v>45566</v>
      </c>
      <c r="B255" s="33" t="s">
        <v>29</v>
      </c>
      <c r="C255" s="34" t="s">
        <v>1915</v>
      </c>
      <c r="D255" s="35" t="s">
        <v>64</v>
      </c>
      <c r="E255" s="36">
        <v>45578</v>
      </c>
      <c r="F255" s="37">
        <v>45943</v>
      </c>
      <c r="G255" s="34" t="s">
        <v>1916</v>
      </c>
      <c r="H255" s="38">
        <v>2022</v>
      </c>
      <c r="I255" s="39" t="s">
        <v>1917</v>
      </c>
      <c r="J255" s="38" t="s">
        <v>1918</v>
      </c>
      <c r="K255" s="38" t="s">
        <v>1919</v>
      </c>
      <c r="L255" s="40" t="s">
        <v>1920</v>
      </c>
      <c r="M255" s="38" t="s">
        <v>1921</v>
      </c>
      <c r="N255" s="31" t="s">
        <v>1922</v>
      </c>
      <c r="O255" s="39">
        <v>2053</v>
      </c>
      <c r="P255" s="39">
        <v>477</v>
      </c>
      <c r="Q255" s="41">
        <v>44859</v>
      </c>
      <c r="R255" s="41">
        <v>45945</v>
      </c>
      <c r="S255" s="42">
        <v>3960000</v>
      </c>
      <c r="T255" s="43">
        <v>1.9900000000000001E-2</v>
      </c>
      <c r="U255" s="42">
        <v>3564000</v>
      </c>
      <c r="V255" s="42">
        <v>70923.600000000006</v>
      </c>
      <c r="W255" s="44">
        <v>0</v>
      </c>
      <c r="X255" s="45">
        <v>70924</v>
      </c>
      <c r="Y255" s="46" t="s">
        <v>71</v>
      </c>
      <c r="Z255" s="39" t="s">
        <v>40</v>
      </c>
      <c r="AA255" s="31" t="s">
        <v>41</v>
      </c>
      <c r="AB255" s="31" t="s">
        <v>72</v>
      </c>
      <c r="AC255" s="37">
        <v>45596</v>
      </c>
      <c r="AD255" s="65"/>
      <c r="AE255" s="65" t="s">
        <v>2356</v>
      </c>
      <c r="AF255" s="66">
        <v>70924</v>
      </c>
      <c r="AG255" s="67">
        <f t="shared" si="3"/>
        <v>0</v>
      </c>
      <c r="AH255" s="65" t="s">
        <v>2376</v>
      </c>
    </row>
    <row r="256" spans="1:34">
      <c r="A256" s="32">
        <v>45566</v>
      </c>
      <c r="B256" s="33" t="s">
        <v>29</v>
      </c>
      <c r="C256" s="34" t="s">
        <v>1923</v>
      </c>
      <c r="D256" s="35" t="s">
        <v>64</v>
      </c>
      <c r="E256" s="36">
        <v>45578</v>
      </c>
      <c r="F256" s="37">
        <v>45943</v>
      </c>
      <c r="G256" s="34" t="s">
        <v>1924</v>
      </c>
      <c r="H256" s="38">
        <v>2022</v>
      </c>
      <c r="I256" s="39" t="s">
        <v>1925</v>
      </c>
      <c r="J256" s="38" t="s">
        <v>1926</v>
      </c>
      <c r="K256" s="38" t="s">
        <v>1927</v>
      </c>
      <c r="L256" s="40" t="s">
        <v>1928</v>
      </c>
      <c r="M256" s="38" t="s">
        <v>1929</v>
      </c>
      <c r="N256" s="31" t="s">
        <v>1930</v>
      </c>
      <c r="O256" s="39">
        <v>3018</v>
      </c>
      <c r="P256" s="39">
        <v>565</v>
      </c>
      <c r="Q256" s="41">
        <v>44859</v>
      </c>
      <c r="R256" s="41">
        <v>45945</v>
      </c>
      <c r="S256" s="42">
        <v>3078000</v>
      </c>
      <c r="T256" s="43">
        <v>1.9900000000000001E-2</v>
      </c>
      <c r="U256" s="42">
        <v>2770200</v>
      </c>
      <c r="V256" s="42">
        <v>55126.98</v>
      </c>
      <c r="W256" s="44">
        <v>0</v>
      </c>
      <c r="X256" s="45">
        <v>55127</v>
      </c>
      <c r="Y256" s="46" t="s">
        <v>71</v>
      </c>
      <c r="Z256" s="39" t="s">
        <v>40</v>
      </c>
      <c r="AA256" s="31" t="s">
        <v>41</v>
      </c>
      <c r="AB256" s="31" t="s">
        <v>72</v>
      </c>
      <c r="AC256" s="37">
        <v>45596</v>
      </c>
      <c r="AD256" s="65"/>
      <c r="AE256" s="65" t="s">
        <v>2357</v>
      </c>
      <c r="AF256" s="66">
        <v>55127</v>
      </c>
      <c r="AG256" s="67">
        <f t="shared" si="3"/>
        <v>0</v>
      </c>
      <c r="AH256" s="65" t="s">
        <v>2376</v>
      </c>
    </row>
    <row r="257" spans="1:34">
      <c r="A257" s="32">
        <v>45566</v>
      </c>
      <c r="B257" s="33" t="s">
        <v>29</v>
      </c>
      <c r="C257" s="34" t="s">
        <v>1931</v>
      </c>
      <c r="D257" s="35" t="s">
        <v>64</v>
      </c>
      <c r="E257" s="36">
        <v>45578</v>
      </c>
      <c r="F257" s="37">
        <v>45943</v>
      </c>
      <c r="G257" s="34" t="s">
        <v>1042</v>
      </c>
      <c r="H257" s="38">
        <v>2015</v>
      </c>
      <c r="I257" s="39" t="s">
        <v>1932</v>
      </c>
      <c r="J257" s="38" t="s">
        <v>1933</v>
      </c>
      <c r="K257" s="38" t="s">
        <v>1934</v>
      </c>
      <c r="L257" s="40" t="s">
        <v>1935</v>
      </c>
      <c r="M257" s="38" t="s">
        <v>1936</v>
      </c>
      <c r="N257" s="31" t="s">
        <v>1937</v>
      </c>
      <c r="O257" s="39">
        <v>3005</v>
      </c>
      <c r="P257" s="39">
        <v>477</v>
      </c>
      <c r="Q257" s="41">
        <v>44858</v>
      </c>
      <c r="R257" s="41">
        <v>45945</v>
      </c>
      <c r="S257" s="42">
        <v>2160000</v>
      </c>
      <c r="T257" s="43">
        <v>1.9900000000000001E-2</v>
      </c>
      <c r="U257" s="42">
        <v>1944000</v>
      </c>
      <c r="V257" s="42">
        <v>38685.599999999999</v>
      </c>
      <c r="W257" s="44">
        <v>0</v>
      </c>
      <c r="X257" s="45">
        <v>38686</v>
      </c>
      <c r="Y257" s="46" t="s">
        <v>71</v>
      </c>
      <c r="Z257" s="39" t="s">
        <v>40</v>
      </c>
      <c r="AA257" s="31" t="s">
        <v>41</v>
      </c>
      <c r="AB257" s="31" t="s">
        <v>72</v>
      </c>
      <c r="AC257" s="37">
        <v>45596</v>
      </c>
      <c r="AD257" s="65"/>
      <c r="AE257" s="65" t="s">
        <v>2358</v>
      </c>
      <c r="AF257" s="66">
        <v>38686</v>
      </c>
      <c r="AG257" s="67">
        <f t="shared" si="3"/>
        <v>0</v>
      </c>
      <c r="AH257" s="65" t="s">
        <v>2376</v>
      </c>
    </row>
    <row r="258" spans="1:34">
      <c r="A258" s="32">
        <v>45566</v>
      </c>
      <c r="B258" s="33" t="s">
        <v>29</v>
      </c>
      <c r="C258" s="34" t="s">
        <v>1938</v>
      </c>
      <c r="D258" s="35" t="s">
        <v>64</v>
      </c>
      <c r="E258" s="36">
        <v>45581</v>
      </c>
      <c r="F258" s="37">
        <v>45946</v>
      </c>
      <c r="G258" s="34" t="s">
        <v>65</v>
      </c>
      <c r="H258" s="38">
        <v>2022</v>
      </c>
      <c r="I258" s="39" t="s">
        <v>1939</v>
      </c>
      <c r="J258" s="38" t="s">
        <v>1940</v>
      </c>
      <c r="K258" s="38" t="s">
        <v>1941</v>
      </c>
      <c r="L258" s="40" t="s">
        <v>1942</v>
      </c>
      <c r="M258" s="38" t="s">
        <v>1943</v>
      </c>
      <c r="N258" s="31" t="s">
        <v>1944</v>
      </c>
      <c r="O258" s="39">
        <v>2132</v>
      </c>
      <c r="P258" s="39">
        <v>450</v>
      </c>
      <c r="Q258" s="41">
        <v>44855</v>
      </c>
      <c r="R258" s="41">
        <v>46310</v>
      </c>
      <c r="S258" s="42">
        <v>2307600</v>
      </c>
      <c r="T258" s="43">
        <v>1.9900000000000001E-2</v>
      </c>
      <c r="U258" s="42">
        <v>2076840</v>
      </c>
      <c r="V258" s="42">
        <v>41329.116000000002</v>
      </c>
      <c r="W258" s="44">
        <v>0</v>
      </c>
      <c r="X258" s="45">
        <v>41329</v>
      </c>
      <c r="Y258" s="46" t="s">
        <v>71</v>
      </c>
      <c r="Z258" s="39" t="s">
        <v>40</v>
      </c>
      <c r="AA258" s="31" t="s">
        <v>41</v>
      </c>
      <c r="AB258" s="31" t="s">
        <v>72</v>
      </c>
      <c r="AC258" s="37">
        <v>45596</v>
      </c>
      <c r="AD258" s="65"/>
      <c r="AE258" s="65" t="s">
        <v>2359</v>
      </c>
      <c r="AF258" s="66">
        <v>41329</v>
      </c>
      <c r="AG258" s="67">
        <f t="shared" si="3"/>
        <v>0</v>
      </c>
      <c r="AH258" s="65" t="s">
        <v>2376</v>
      </c>
    </row>
    <row r="259" spans="1:34">
      <c r="A259" s="32">
        <v>45566</v>
      </c>
      <c r="B259" s="33" t="s">
        <v>29</v>
      </c>
      <c r="C259" s="34" t="s">
        <v>1945</v>
      </c>
      <c r="D259" s="35" t="s">
        <v>64</v>
      </c>
      <c r="E259" s="36">
        <v>45581</v>
      </c>
      <c r="F259" s="37">
        <v>45946</v>
      </c>
      <c r="G259" s="34" t="s">
        <v>223</v>
      </c>
      <c r="H259" s="38">
        <v>2019</v>
      </c>
      <c r="I259" s="39" t="s">
        <v>1946</v>
      </c>
      <c r="J259" s="38" t="s">
        <v>1947</v>
      </c>
      <c r="K259" s="38" t="s">
        <v>1948</v>
      </c>
      <c r="L259" s="40" t="s">
        <v>1949</v>
      </c>
      <c r="M259" s="38" t="s">
        <v>1950</v>
      </c>
      <c r="N259" s="31" t="s">
        <v>1951</v>
      </c>
      <c r="O259" s="39">
        <v>3106</v>
      </c>
      <c r="P259" s="39">
        <v>477</v>
      </c>
      <c r="Q259" s="41">
        <v>44859</v>
      </c>
      <c r="R259" s="41">
        <v>45945</v>
      </c>
      <c r="S259" s="42">
        <v>3870000</v>
      </c>
      <c r="T259" s="43">
        <v>1.9900000000000001E-2</v>
      </c>
      <c r="U259" s="42">
        <v>3483000</v>
      </c>
      <c r="V259" s="42">
        <v>69311.7</v>
      </c>
      <c r="W259" s="44">
        <v>0</v>
      </c>
      <c r="X259" s="45">
        <v>69312</v>
      </c>
      <c r="Y259" s="46" t="s">
        <v>71</v>
      </c>
      <c r="Z259" s="39" t="s">
        <v>40</v>
      </c>
      <c r="AA259" s="31" t="s">
        <v>41</v>
      </c>
      <c r="AB259" s="31" t="s">
        <v>72</v>
      </c>
      <c r="AC259" s="37">
        <v>45596</v>
      </c>
      <c r="AD259" s="65"/>
      <c r="AE259" s="65" t="s">
        <v>2360</v>
      </c>
      <c r="AF259" s="66">
        <v>69312</v>
      </c>
      <c r="AG259" s="67">
        <f t="shared" si="3"/>
        <v>0</v>
      </c>
      <c r="AH259" s="65" t="s">
        <v>2376</v>
      </c>
    </row>
    <row r="260" spans="1:34">
      <c r="A260" s="32">
        <v>45566</v>
      </c>
      <c r="B260" s="33" t="s">
        <v>29</v>
      </c>
      <c r="C260" s="34" t="s">
        <v>1952</v>
      </c>
      <c r="D260" s="35" t="s">
        <v>64</v>
      </c>
      <c r="E260" s="36">
        <v>45582</v>
      </c>
      <c r="F260" s="37">
        <v>45947</v>
      </c>
      <c r="G260" s="34" t="s">
        <v>129</v>
      </c>
      <c r="H260" s="38">
        <v>2022</v>
      </c>
      <c r="I260" s="39" t="s">
        <v>1953</v>
      </c>
      <c r="J260" s="38" t="s">
        <v>1954</v>
      </c>
      <c r="K260" s="38" t="s">
        <v>1955</v>
      </c>
      <c r="L260" s="40" t="s">
        <v>1956</v>
      </c>
      <c r="M260" s="38" t="s">
        <v>1957</v>
      </c>
      <c r="N260" s="31" t="s">
        <v>1958</v>
      </c>
      <c r="O260" s="39">
        <v>2126</v>
      </c>
      <c r="P260" s="39">
        <v>450</v>
      </c>
      <c r="Q260" s="41">
        <v>44855</v>
      </c>
      <c r="R260" s="41">
        <v>46675</v>
      </c>
      <c r="S260" s="42">
        <v>1507500</v>
      </c>
      <c r="T260" s="43">
        <v>1.9900000000000001E-2</v>
      </c>
      <c r="U260" s="42">
        <v>1356750</v>
      </c>
      <c r="V260" s="42">
        <v>26999.325000000001</v>
      </c>
      <c r="W260" s="44">
        <v>0</v>
      </c>
      <c r="X260" s="45">
        <v>26999</v>
      </c>
      <c r="Y260" s="46" t="s">
        <v>71</v>
      </c>
      <c r="Z260" s="39" t="s">
        <v>40</v>
      </c>
      <c r="AA260" s="31" t="s">
        <v>41</v>
      </c>
      <c r="AB260" s="31" t="s">
        <v>72</v>
      </c>
      <c r="AC260" s="37">
        <v>45596</v>
      </c>
      <c r="AD260" s="65"/>
      <c r="AE260" s="65" t="s">
        <v>2361</v>
      </c>
      <c r="AF260" s="66">
        <v>26999</v>
      </c>
      <c r="AG260" s="67">
        <f t="shared" ref="AG260:AG276" si="4">X260-AF260</f>
        <v>0</v>
      </c>
      <c r="AH260" s="65" t="s">
        <v>2376</v>
      </c>
    </row>
    <row r="261" spans="1:34">
      <c r="A261" s="32">
        <v>45566</v>
      </c>
      <c r="B261" s="33" t="s">
        <v>29</v>
      </c>
      <c r="C261" s="34" t="s">
        <v>1959</v>
      </c>
      <c r="D261" s="35" t="s">
        <v>64</v>
      </c>
      <c r="E261" s="36">
        <v>45582</v>
      </c>
      <c r="F261" s="37">
        <v>45947</v>
      </c>
      <c r="G261" s="34" t="s">
        <v>1960</v>
      </c>
      <c r="H261" s="38">
        <v>2022</v>
      </c>
      <c r="I261" s="39" t="s">
        <v>1961</v>
      </c>
      <c r="J261" s="38" t="s">
        <v>1962</v>
      </c>
      <c r="K261" s="38" t="s">
        <v>1963</v>
      </c>
      <c r="L261" s="40" t="s">
        <v>1964</v>
      </c>
      <c r="M261" s="38" t="s">
        <v>1965</v>
      </c>
      <c r="N261" s="31" t="s">
        <v>1966</v>
      </c>
      <c r="O261" s="39">
        <v>1003</v>
      </c>
      <c r="P261" s="39">
        <v>450</v>
      </c>
      <c r="Q261" s="41">
        <v>44859</v>
      </c>
      <c r="R261" s="41">
        <v>46310</v>
      </c>
      <c r="S261" s="42">
        <v>4180490.1</v>
      </c>
      <c r="T261" s="43">
        <v>1.9900000000000001E-2</v>
      </c>
      <c r="U261" s="42">
        <v>3762441.09</v>
      </c>
      <c r="V261" s="42">
        <v>74872.577690999999</v>
      </c>
      <c r="W261" s="44">
        <v>0</v>
      </c>
      <c r="X261" s="45">
        <v>74873</v>
      </c>
      <c r="Y261" s="46" t="s">
        <v>71</v>
      </c>
      <c r="Z261" s="39" t="s">
        <v>40</v>
      </c>
      <c r="AA261" s="31" t="s">
        <v>41</v>
      </c>
      <c r="AB261" s="31" t="s">
        <v>72</v>
      </c>
      <c r="AC261" s="37">
        <v>45596</v>
      </c>
      <c r="AD261" s="65"/>
      <c r="AE261" s="65" t="s">
        <v>2362</v>
      </c>
      <c r="AF261" s="66">
        <v>74873</v>
      </c>
      <c r="AG261" s="67">
        <f t="shared" si="4"/>
        <v>0</v>
      </c>
      <c r="AH261" s="65" t="s">
        <v>2376</v>
      </c>
    </row>
    <row r="262" spans="1:34">
      <c r="A262" s="32">
        <v>45566</v>
      </c>
      <c r="B262" s="33" t="s">
        <v>29</v>
      </c>
      <c r="C262" s="34" t="s">
        <v>1967</v>
      </c>
      <c r="D262" s="35" t="s">
        <v>64</v>
      </c>
      <c r="E262" s="36">
        <v>45582</v>
      </c>
      <c r="F262" s="37">
        <v>45947</v>
      </c>
      <c r="G262" s="34" t="s">
        <v>145</v>
      </c>
      <c r="H262" s="38">
        <v>2022</v>
      </c>
      <c r="I262" s="39" t="s">
        <v>1968</v>
      </c>
      <c r="J262" s="38" t="s">
        <v>1969</v>
      </c>
      <c r="K262" s="38" t="s">
        <v>1970</v>
      </c>
      <c r="L262" s="40" t="s">
        <v>1971</v>
      </c>
      <c r="M262" s="38" t="s">
        <v>1972</v>
      </c>
      <c r="N262" s="31" t="s">
        <v>1973</v>
      </c>
      <c r="O262" s="39">
        <v>1086</v>
      </c>
      <c r="P262" s="39">
        <v>450</v>
      </c>
      <c r="Q262" s="41">
        <v>44848</v>
      </c>
      <c r="R262" s="41">
        <v>46665</v>
      </c>
      <c r="S262" s="42">
        <v>1530000</v>
      </c>
      <c r="T262" s="43">
        <v>1.9900000000000001E-2</v>
      </c>
      <c r="U262" s="42">
        <v>1377000</v>
      </c>
      <c r="V262" s="42">
        <v>27402.300000000003</v>
      </c>
      <c r="W262" s="44">
        <v>0</v>
      </c>
      <c r="X262" s="45">
        <v>27402</v>
      </c>
      <c r="Y262" s="46" t="s">
        <v>71</v>
      </c>
      <c r="Z262" s="39" t="s">
        <v>40</v>
      </c>
      <c r="AA262" s="31" t="s">
        <v>41</v>
      </c>
      <c r="AB262" s="31" t="s">
        <v>72</v>
      </c>
      <c r="AC262" s="37">
        <v>45596</v>
      </c>
      <c r="AD262" s="65"/>
      <c r="AE262" s="65" t="s">
        <v>2363</v>
      </c>
      <c r="AF262" s="66">
        <v>27402</v>
      </c>
      <c r="AG262" s="67">
        <f t="shared" si="4"/>
        <v>0</v>
      </c>
      <c r="AH262" s="65" t="s">
        <v>2376</v>
      </c>
    </row>
    <row r="263" spans="1:34">
      <c r="A263" s="32">
        <v>45566</v>
      </c>
      <c r="B263" s="33" t="s">
        <v>29</v>
      </c>
      <c r="C263" s="34" t="s">
        <v>1974</v>
      </c>
      <c r="D263" s="35" t="s">
        <v>64</v>
      </c>
      <c r="E263" s="36">
        <v>45590</v>
      </c>
      <c r="F263" s="37">
        <v>45955</v>
      </c>
      <c r="G263" s="34" t="s">
        <v>395</v>
      </c>
      <c r="H263" s="38">
        <v>2022</v>
      </c>
      <c r="I263" s="39" t="s">
        <v>1975</v>
      </c>
      <c r="J263" s="38" t="s">
        <v>1976</v>
      </c>
      <c r="K263" s="38" t="s">
        <v>1977</v>
      </c>
      <c r="L263" s="40" t="s">
        <v>1978</v>
      </c>
      <c r="M263" s="38" t="s">
        <v>1979</v>
      </c>
      <c r="N263" s="31" t="s">
        <v>1980</v>
      </c>
      <c r="O263" s="39">
        <v>1068</v>
      </c>
      <c r="P263" s="39">
        <v>477</v>
      </c>
      <c r="Q263" s="41">
        <v>44860</v>
      </c>
      <c r="R263" s="41">
        <v>46685</v>
      </c>
      <c r="S263" s="42">
        <v>1697400</v>
      </c>
      <c r="T263" s="43">
        <v>1.9900000000000001E-2</v>
      </c>
      <c r="U263" s="42">
        <v>1527660</v>
      </c>
      <c r="V263" s="42">
        <v>30400.434000000001</v>
      </c>
      <c r="W263" s="44">
        <v>0</v>
      </c>
      <c r="X263" s="45">
        <v>30400</v>
      </c>
      <c r="Y263" s="46" t="s">
        <v>71</v>
      </c>
      <c r="Z263" s="39" t="s">
        <v>40</v>
      </c>
      <c r="AA263" s="31" t="s">
        <v>41</v>
      </c>
      <c r="AB263" s="31" t="s">
        <v>72</v>
      </c>
      <c r="AC263" s="37">
        <v>45596</v>
      </c>
      <c r="AD263" s="65"/>
      <c r="AE263" s="65" t="s">
        <v>2364</v>
      </c>
      <c r="AF263" s="66">
        <v>30400</v>
      </c>
      <c r="AG263" s="67">
        <f t="shared" si="4"/>
        <v>0</v>
      </c>
      <c r="AH263" s="65" t="s">
        <v>2376</v>
      </c>
    </row>
    <row r="264" spans="1:34">
      <c r="A264" s="32">
        <v>45566</v>
      </c>
      <c r="B264" s="33" t="s">
        <v>29</v>
      </c>
      <c r="C264" s="34" t="s">
        <v>1981</v>
      </c>
      <c r="D264" s="35" t="s">
        <v>64</v>
      </c>
      <c r="E264" s="36">
        <v>45582</v>
      </c>
      <c r="F264" s="37">
        <v>45947</v>
      </c>
      <c r="G264" s="34" t="s">
        <v>129</v>
      </c>
      <c r="H264" s="38">
        <v>2021</v>
      </c>
      <c r="I264" s="39" t="s">
        <v>1982</v>
      </c>
      <c r="J264" s="38" t="s">
        <v>1983</v>
      </c>
      <c r="K264" s="38" t="s">
        <v>1984</v>
      </c>
      <c r="L264" s="40" t="s">
        <v>1985</v>
      </c>
      <c r="M264" s="38" t="s">
        <v>1986</v>
      </c>
      <c r="N264" s="31" t="s">
        <v>1987</v>
      </c>
      <c r="O264" s="39">
        <v>3031</v>
      </c>
      <c r="P264" s="39">
        <v>450</v>
      </c>
      <c r="Q264" s="41">
        <v>44862</v>
      </c>
      <c r="R264" s="41">
        <v>46685</v>
      </c>
      <c r="S264" s="42">
        <v>1755000</v>
      </c>
      <c r="T264" s="43">
        <v>1.9900000000000001E-2</v>
      </c>
      <c r="U264" s="42">
        <v>1579500</v>
      </c>
      <c r="V264" s="42">
        <v>31432.050000000003</v>
      </c>
      <c r="W264" s="44">
        <v>0</v>
      </c>
      <c r="X264" s="45">
        <v>31432</v>
      </c>
      <c r="Y264" s="46" t="s">
        <v>71</v>
      </c>
      <c r="Z264" s="39" t="s">
        <v>40</v>
      </c>
      <c r="AA264" s="31" t="s">
        <v>41</v>
      </c>
      <c r="AB264" s="31" t="s">
        <v>72</v>
      </c>
      <c r="AC264" s="37">
        <v>45596</v>
      </c>
      <c r="AD264" s="65"/>
      <c r="AE264" s="65" t="s">
        <v>2365</v>
      </c>
      <c r="AF264" s="66">
        <v>31432</v>
      </c>
      <c r="AG264" s="67">
        <f t="shared" si="4"/>
        <v>0</v>
      </c>
      <c r="AH264" s="65" t="s">
        <v>2376</v>
      </c>
    </row>
    <row r="265" spans="1:34">
      <c r="A265" s="32">
        <v>45566</v>
      </c>
      <c r="B265" s="33" t="s">
        <v>29</v>
      </c>
      <c r="C265" s="34" t="s">
        <v>1988</v>
      </c>
      <c r="D265" s="35" t="s">
        <v>64</v>
      </c>
      <c r="E265" s="36">
        <v>45582</v>
      </c>
      <c r="F265" s="37">
        <v>45947</v>
      </c>
      <c r="G265" s="34" t="s">
        <v>129</v>
      </c>
      <c r="H265" s="38">
        <v>2022</v>
      </c>
      <c r="I265" s="39" t="s">
        <v>1989</v>
      </c>
      <c r="J265" s="38" t="s">
        <v>1990</v>
      </c>
      <c r="K265" s="38" t="s">
        <v>1991</v>
      </c>
      <c r="L265" s="40" t="s">
        <v>1992</v>
      </c>
      <c r="M265" s="38" t="s">
        <v>1993</v>
      </c>
      <c r="N265" s="31" t="s">
        <v>1994</v>
      </c>
      <c r="O265" s="39">
        <v>2002</v>
      </c>
      <c r="P265" s="39">
        <v>477</v>
      </c>
      <c r="Q265" s="41">
        <v>44873</v>
      </c>
      <c r="R265" s="41">
        <v>46685</v>
      </c>
      <c r="S265" s="42">
        <v>1755000</v>
      </c>
      <c r="T265" s="43">
        <v>1.9900000000000001E-2</v>
      </c>
      <c r="U265" s="42">
        <v>1579500</v>
      </c>
      <c r="V265" s="42">
        <v>31432.050000000003</v>
      </c>
      <c r="W265" s="44">
        <v>0</v>
      </c>
      <c r="X265" s="45">
        <v>31432</v>
      </c>
      <c r="Y265" s="46" t="s">
        <v>71</v>
      </c>
      <c r="Z265" s="39" t="s">
        <v>40</v>
      </c>
      <c r="AA265" s="31" t="s">
        <v>41</v>
      </c>
      <c r="AB265" s="31" t="s">
        <v>72</v>
      </c>
      <c r="AC265" s="37">
        <v>45596</v>
      </c>
      <c r="AD265" s="65"/>
      <c r="AE265" s="65" t="s">
        <v>2366</v>
      </c>
      <c r="AF265" s="66">
        <v>31432</v>
      </c>
      <c r="AG265" s="67">
        <f t="shared" si="4"/>
        <v>0</v>
      </c>
      <c r="AH265" s="65" t="s">
        <v>2376</v>
      </c>
    </row>
    <row r="266" spans="1:34">
      <c r="A266" s="32">
        <v>45566</v>
      </c>
      <c r="B266" s="33" t="s">
        <v>29</v>
      </c>
      <c r="C266" s="34" t="s">
        <v>1995</v>
      </c>
      <c r="D266" s="35" t="s">
        <v>64</v>
      </c>
      <c r="E266" s="36">
        <v>45568</v>
      </c>
      <c r="F266" s="37">
        <v>45933</v>
      </c>
      <c r="G266" s="34" t="s">
        <v>1996</v>
      </c>
      <c r="H266" s="38">
        <v>2022</v>
      </c>
      <c r="I266" s="39" t="s">
        <v>1997</v>
      </c>
      <c r="J266" s="38" t="s">
        <v>1998</v>
      </c>
      <c r="K266" s="38" t="s">
        <v>1999</v>
      </c>
      <c r="L266" s="40" t="s">
        <v>2000</v>
      </c>
      <c r="M266" s="38" t="s">
        <v>2001</v>
      </c>
      <c r="N266" s="31" t="s">
        <v>2002</v>
      </c>
      <c r="O266" s="39">
        <v>2052</v>
      </c>
      <c r="P266" s="39">
        <v>450</v>
      </c>
      <c r="Q266" s="41">
        <v>44840</v>
      </c>
      <c r="R266" s="41">
        <v>46675</v>
      </c>
      <c r="S266" s="42">
        <v>4225590</v>
      </c>
      <c r="T266" s="43">
        <v>1.9900000000000001E-2</v>
      </c>
      <c r="U266" s="42">
        <v>3803031</v>
      </c>
      <c r="V266" s="42">
        <v>75680.316900000005</v>
      </c>
      <c r="W266" s="44">
        <v>0</v>
      </c>
      <c r="X266" s="45">
        <v>75680</v>
      </c>
      <c r="Y266" s="46" t="s">
        <v>71</v>
      </c>
      <c r="Z266" s="39" t="s">
        <v>40</v>
      </c>
      <c r="AA266" s="31" t="s">
        <v>41</v>
      </c>
      <c r="AB266" s="31" t="s">
        <v>72</v>
      </c>
      <c r="AC266" s="37">
        <v>45596</v>
      </c>
      <c r="AD266" s="65"/>
      <c r="AE266" s="65" t="s">
        <v>2367</v>
      </c>
      <c r="AF266" s="66">
        <v>75680</v>
      </c>
      <c r="AG266" s="67">
        <f t="shared" si="4"/>
        <v>0</v>
      </c>
      <c r="AH266" s="65" t="s">
        <v>2376</v>
      </c>
    </row>
    <row r="267" spans="1:34">
      <c r="A267" s="32">
        <v>45566</v>
      </c>
      <c r="B267" s="33" t="s">
        <v>29</v>
      </c>
      <c r="C267" s="34" t="s">
        <v>2003</v>
      </c>
      <c r="D267" s="35" t="s">
        <v>64</v>
      </c>
      <c r="E267" s="36">
        <v>45584</v>
      </c>
      <c r="F267" s="37">
        <v>45949</v>
      </c>
      <c r="G267" s="34" t="s">
        <v>223</v>
      </c>
      <c r="H267" s="38">
        <v>2022</v>
      </c>
      <c r="I267" s="39" t="s">
        <v>2004</v>
      </c>
      <c r="J267" s="38" t="s">
        <v>2005</v>
      </c>
      <c r="K267" s="38" t="s">
        <v>2006</v>
      </c>
      <c r="L267" s="40" t="s">
        <v>2007</v>
      </c>
      <c r="M267" s="38" t="s">
        <v>2008</v>
      </c>
      <c r="N267" s="31" t="s">
        <v>2009</v>
      </c>
      <c r="O267" s="39">
        <v>3002</v>
      </c>
      <c r="P267" s="39">
        <v>450</v>
      </c>
      <c r="Q267" s="41">
        <v>44860</v>
      </c>
      <c r="R267" s="41">
        <v>45955</v>
      </c>
      <c r="S267" s="42">
        <v>4770000</v>
      </c>
      <c r="T267" s="43">
        <v>1.9900000000000001E-2</v>
      </c>
      <c r="U267" s="42">
        <v>4293000</v>
      </c>
      <c r="V267" s="42">
        <v>85430.700000000012</v>
      </c>
      <c r="W267" s="44">
        <v>0</v>
      </c>
      <c r="X267" s="45">
        <v>85431</v>
      </c>
      <c r="Y267" s="46" t="s">
        <v>71</v>
      </c>
      <c r="Z267" s="39" t="s">
        <v>40</v>
      </c>
      <c r="AA267" s="31" t="s">
        <v>41</v>
      </c>
      <c r="AB267" s="31" t="s">
        <v>72</v>
      </c>
      <c r="AC267" s="37">
        <v>45596</v>
      </c>
      <c r="AD267" s="65"/>
      <c r="AE267" s="65" t="s">
        <v>2368</v>
      </c>
      <c r="AF267" s="66">
        <v>85431</v>
      </c>
      <c r="AG267" s="67">
        <f t="shared" si="4"/>
        <v>0</v>
      </c>
      <c r="AH267" s="65" t="s">
        <v>2376</v>
      </c>
    </row>
    <row r="268" spans="1:34">
      <c r="A268" s="32">
        <v>45566</v>
      </c>
      <c r="B268" s="33" t="s">
        <v>29</v>
      </c>
      <c r="C268" s="34" t="s">
        <v>2010</v>
      </c>
      <c r="D268" s="35" t="s">
        <v>64</v>
      </c>
      <c r="E268" s="36">
        <v>45585</v>
      </c>
      <c r="F268" s="37">
        <v>45950</v>
      </c>
      <c r="G268" s="34" t="s">
        <v>129</v>
      </c>
      <c r="H268" s="38">
        <v>2019</v>
      </c>
      <c r="I268" s="39" t="s">
        <v>2011</v>
      </c>
      <c r="J268" s="38" t="s">
        <v>2012</v>
      </c>
      <c r="K268" s="38" t="s">
        <v>2013</v>
      </c>
      <c r="L268" s="40" t="s">
        <v>2014</v>
      </c>
      <c r="M268" s="38" t="s">
        <v>2015</v>
      </c>
      <c r="N268" s="31" t="s">
        <v>2016</v>
      </c>
      <c r="O268" s="39">
        <v>1092</v>
      </c>
      <c r="P268" s="39">
        <v>450</v>
      </c>
      <c r="Q268" s="41">
        <v>44858</v>
      </c>
      <c r="R268" s="41">
        <v>46675</v>
      </c>
      <c r="S268" s="42">
        <v>1755000</v>
      </c>
      <c r="T268" s="43">
        <v>1.9900000000000001E-2</v>
      </c>
      <c r="U268" s="42">
        <v>1579500</v>
      </c>
      <c r="V268" s="42">
        <v>31432.050000000003</v>
      </c>
      <c r="W268" s="44">
        <v>0</v>
      </c>
      <c r="X268" s="45">
        <v>31432</v>
      </c>
      <c r="Y268" s="46" t="s">
        <v>71</v>
      </c>
      <c r="Z268" s="39" t="s">
        <v>40</v>
      </c>
      <c r="AA268" s="31" t="s">
        <v>41</v>
      </c>
      <c r="AB268" s="31" t="s">
        <v>72</v>
      </c>
      <c r="AC268" s="37">
        <v>45596</v>
      </c>
      <c r="AD268" s="65"/>
      <c r="AE268" s="65" t="s">
        <v>2369</v>
      </c>
      <c r="AF268" s="66">
        <v>31432</v>
      </c>
      <c r="AG268" s="67">
        <f t="shared" si="4"/>
        <v>0</v>
      </c>
      <c r="AH268" s="65" t="s">
        <v>2376</v>
      </c>
    </row>
    <row r="269" spans="1:34">
      <c r="A269" s="32">
        <v>45566</v>
      </c>
      <c r="B269" s="33" t="s">
        <v>29</v>
      </c>
      <c r="C269" s="34" t="s">
        <v>2017</v>
      </c>
      <c r="D269" s="35" t="s">
        <v>64</v>
      </c>
      <c r="E269" s="36">
        <v>45585</v>
      </c>
      <c r="F269" s="37">
        <v>45950</v>
      </c>
      <c r="G269" s="34" t="s">
        <v>129</v>
      </c>
      <c r="H269" s="38">
        <v>2019</v>
      </c>
      <c r="I269" s="39" t="s">
        <v>2018</v>
      </c>
      <c r="J269" s="38" t="s">
        <v>2019</v>
      </c>
      <c r="K269" s="38" t="s">
        <v>2020</v>
      </c>
      <c r="L269" s="40" t="s">
        <v>2021</v>
      </c>
      <c r="M269" s="38" t="s">
        <v>2022</v>
      </c>
      <c r="N269" s="31" t="s">
        <v>2023</v>
      </c>
      <c r="O269" s="39">
        <v>1153</v>
      </c>
      <c r="P269" s="39">
        <v>450</v>
      </c>
      <c r="Q269" s="41">
        <v>44858</v>
      </c>
      <c r="R269" s="41">
        <v>46675</v>
      </c>
      <c r="S269" s="42">
        <v>1890000</v>
      </c>
      <c r="T269" s="43">
        <v>1.9900000000000001E-2</v>
      </c>
      <c r="U269" s="42">
        <v>1701000</v>
      </c>
      <c r="V269" s="42">
        <v>33849.9</v>
      </c>
      <c r="W269" s="44">
        <v>0</v>
      </c>
      <c r="X269" s="45">
        <v>33850</v>
      </c>
      <c r="Y269" s="46" t="s">
        <v>71</v>
      </c>
      <c r="Z269" s="39" t="s">
        <v>40</v>
      </c>
      <c r="AA269" s="31" t="s">
        <v>41</v>
      </c>
      <c r="AB269" s="31" t="s">
        <v>72</v>
      </c>
      <c r="AC269" s="37">
        <v>45596</v>
      </c>
      <c r="AD269" s="65"/>
      <c r="AE269" s="65" t="s">
        <v>2370</v>
      </c>
      <c r="AF269" s="66">
        <v>33850</v>
      </c>
      <c r="AG269" s="67">
        <f t="shared" si="4"/>
        <v>0</v>
      </c>
      <c r="AH269" s="65" t="s">
        <v>2376</v>
      </c>
    </row>
    <row r="270" spans="1:34">
      <c r="A270" s="32">
        <v>45566</v>
      </c>
      <c r="B270" s="33" t="s">
        <v>29</v>
      </c>
      <c r="C270" s="34" t="s">
        <v>2024</v>
      </c>
      <c r="D270" s="35" t="s">
        <v>64</v>
      </c>
      <c r="E270" s="36">
        <v>45585</v>
      </c>
      <c r="F270" s="37">
        <v>45950</v>
      </c>
      <c r="G270" s="34" t="s">
        <v>129</v>
      </c>
      <c r="H270" s="38">
        <v>2022</v>
      </c>
      <c r="I270" s="39" t="s">
        <v>2025</v>
      </c>
      <c r="J270" s="38" t="s">
        <v>2026</v>
      </c>
      <c r="K270" s="38" t="s">
        <v>2027</v>
      </c>
      <c r="L270" s="40" t="s">
        <v>2028</v>
      </c>
      <c r="M270" s="38" t="s">
        <v>2029</v>
      </c>
      <c r="N270" s="31" t="s">
        <v>2030</v>
      </c>
      <c r="O270" s="39">
        <v>2050</v>
      </c>
      <c r="P270" s="39">
        <v>477</v>
      </c>
      <c r="Q270" s="41">
        <v>44858</v>
      </c>
      <c r="R270" s="41">
        <v>46685</v>
      </c>
      <c r="S270" s="42">
        <v>1507500</v>
      </c>
      <c r="T270" s="43">
        <v>1.9900000000000001E-2</v>
      </c>
      <c r="U270" s="42">
        <v>1356750</v>
      </c>
      <c r="V270" s="42">
        <v>26999.325000000001</v>
      </c>
      <c r="W270" s="44">
        <v>0</v>
      </c>
      <c r="X270" s="45">
        <v>26999</v>
      </c>
      <c r="Y270" s="46" t="s">
        <v>71</v>
      </c>
      <c r="Z270" s="39" t="s">
        <v>40</v>
      </c>
      <c r="AA270" s="31" t="s">
        <v>41</v>
      </c>
      <c r="AB270" s="31" t="s">
        <v>72</v>
      </c>
      <c r="AC270" s="37">
        <v>45596</v>
      </c>
      <c r="AD270" s="65"/>
      <c r="AE270" s="65" t="s">
        <v>2371</v>
      </c>
      <c r="AF270" s="66">
        <v>26999</v>
      </c>
      <c r="AG270" s="67">
        <f t="shared" si="4"/>
        <v>0</v>
      </c>
      <c r="AH270" s="65" t="s">
        <v>2376</v>
      </c>
    </row>
    <row r="271" spans="1:34">
      <c r="A271" s="32">
        <v>45566</v>
      </c>
      <c r="B271" s="33" t="s">
        <v>29</v>
      </c>
      <c r="C271" s="34" t="s">
        <v>2031</v>
      </c>
      <c r="D271" s="35" t="s">
        <v>64</v>
      </c>
      <c r="E271" s="36">
        <v>45585</v>
      </c>
      <c r="F271" s="37">
        <v>45950</v>
      </c>
      <c r="G271" s="34" t="s">
        <v>106</v>
      </c>
      <c r="H271" s="38">
        <v>2020</v>
      </c>
      <c r="I271" s="39" t="s">
        <v>2032</v>
      </c>
      <c r="J271" s="38" t="s">
        <v>2033</v>
      </c>
      <c r="K271" s="38" t="s">
        <v>2034</v>
      </c>
      <c r="L271" s="40" t="s">
        <v>2035</v>
      </c>
      <c r="M271" s="38" t="s">
        <v>2036</v>
      </c>
      <c r="N271" s="31" t="s">
        <v>2037</v>
      </c>
      <c r="O271" s="39">
        <v>1067</v>
      </c>
      <c r="P271" s="39">
        <v>450</v>
      </c>
      <c r="Q271" s="41">
        <v>44858</v>
      </c>
      <c r="R271" s="41">
        <v>46675</v>
      </c>
      <c r="S271" s="42">
        <v>1710000</v>
      </c>
      <c r="T271" s="43">
        <v>1.9900000000000001E-2</v>
      </c>
      <c r="U271" s="42">
        <v>1539000</v>
      </c>
      <c r="V271" s="42">
        <v>30626.100000000002</v>
      </c>
      <c r="W271" s="44">
        <v>0</v>
      </c>
      <c r="X271" s="45">
        <v>30626</v>
      </c>
      <c r="Y271" s="46" t="s">
        <v>71</v>
      </c>
      <c r="Z271" s="39" t="s">
        <v>40</v>
      </c>
      <c r="AA271" s="31" t="s">
        <v>41</v>
      </c>
      <c r="AB271" s="31" t="s">
        <v>72</v>
      </c>
      <c r="AC271" s="37">
        <v>45596</v>
      </c>
      <c r="AD271" s="65"/>
      <c r="AE271" s="65" t="s">
        <v>2372</v>
      </c>
      <c r="AF271" s="66">
        <v>30626</v>
      </c>
      <c r="AG271" s="67">
        <f t="shared" si="4"/>
        <v>0</v>
      </c>
      <c r="AH271" s="65" t="s">
        <v>2376</v>
      </c>
    </row>
    <row r="272" spans="1:34">
      <c r="A272" s="32">
        <v>45566</v>
      </c>
      <c r="B272" s="33" t="s">
        <v>29</v>
      </c>
      <c r="C272" s="34" t="s">
        <v>2038</v>
      </c>
      <c r="D272" s="35" t="s">
        <v>64</v>
      </c>
      <c r="E272" s="36">
        <v>45585</v>
      </c>
      <c r="F272" s="37">
        <v>45950</v>
      </c>
      <c r="G272" s="34" t="s">
        <v>693</v>
      </c>
      <c r="H272" s="38">
        <v>2018</v>
      </c>
      <c r="I272" s="39" t="s">
        <v>2039</v>
      </c>
      <c r="J272" s="38" t="s">
        <v>2040</v>
      </c>
      <c r="K272" s="38" t="s">
        <v>2041</v>
      </c>
      <c r="L272" s="40" t="s">
        <v>1683</v>
      </c>
      <c r="M272" s="38" t="s">
        <v>2042</v>
      </c>
      <c r="N272" s="31" t="s">
        <v>2043</v>
      </c>
      <c r="O272" s="39">
        <v>1121</v>
      </c>
      <c r="P272" s="39">
        <v>450</v>
      </c>
      <c r="Q272" s="41">
        <v>44855</v>
      </c>
      <c r="R272" s="41">
        <v>46665</v>
      </c>
      <c r="S272" s="42">
        <v>990000</v>
      </c>
      <c r="T272" s="43">
        <v>1.9900000000000001E-2</v>
      </c>
      <c r="U272" s="42">
        <v>891000</v>
      </c>
      <c r="V272" s="42">
        <v>17730.900000000001</v>
      </c>
      <c r="W272" s="44">
        <v>0</v>
      </c>
      <c r="X272" s="45">
        <v>17731</v>
      </c>
      <c r="Y272" s="46" t="s">
        <v>71</v>
      </c>
      <c r="Z272" s="39" t="s">
        <v>40</v>
      </c>
      <c r="AA272" s="31" t="s">
        <v>41</v>
      </c>
      <c r="AB272" s="31" t="s">
        <v>72</v>
      </c>
      <c r="AC272" s="37">
        <v>45596</v>
      </c>
      <c r="AD272" s="65"/>
      <c r="AE272" s="65" t="s">
        <v>2373</v>
      </c>
      <c r="AF272" s="66">
        <v>17731</v>
      </c>
      <c r="AG272" s="67">
        <f t="shared" si="4"/>
        <v>0</v>
      </c>
      <c r="AH272" s="65" t="s">
        <v>2376</v>
      </c>
    </row>
    <row r="273" spans="1:34">
      <c r="A273" s="32">
        <v>45566</v>
      </c>
      <c r="B273" s="33" t="s">
        <v>29</v>
      </c>
      <c r="C273" s="34" t="s">
        <v>2044</v>
      </c>
      <c r="D273" s="35" t="s">
        <v>64</v>
      </c>
      <c r="E273" s="36">
        <v>45585</v>
      </c>
      <c r="F273" s="37">
        <v>45950</v>
      </c>
      <c r="G273" s="34" t="s">
        <v>2045</v>
      </c>
      <c r="H273" s="38">
        <v>2022</v>
      </c>
      <c r="I273" s="39" t="s">
        <v>2046</v>
      </c>
      <c r="J273" s="38" t="s">
        <v>2047</v>
      </c>
      <c r="K273" s="38" t="s">
        <v>2048</v>
      </c>
      <c r="L273" s="40" t="s">
        <v>2049</v>
      </c>
      <c r="M273" s="38" t="s">
        <v>2050</v>
      </c>
      <c r="N273" s="31" t="s">
        <v>2051</v>
      </c>
      <c r="O273" s="39">
        <v>1015</v>
      </c>
      <c r="P273" s="39">
        <v>450</v>
      </c>
      <c r="Q273" s="41">
        <v>44858</v>
      </c>
      <c r="R273" s="41">
        <v>45925</v>
      </c>
      <c r="S273" s="42">
        <v>7990200</v>
      </c>
      <c r="T273" s="43">
        <v>1.7500000000000002E-2</v>
      </c>
      <c r="U273" s="42">
        <v>7191180</v>
      </c>
      <c r="V273" s="42">
        <v>125845.65000000001</v>
      </c>
      <c r="W273" s="44">
        <v>0</v>
      </c>
      <c r="X273" s="45">
        <v>125846</v>
      </c>
      <c r="Y273" s="46" t="s">
        <v>71</v>
      </c>
      <c r="Z273" s="39" t="s">
        <v>40</v>
      </c>
      <c r="AA273" s="31" t="s">
        <v>41</v>
      </c>
      <c r="AB273" s="31" t="s">
        <v>72</v>
      </c>
      <c r="AC273" s="37">
        <v>45596</v>
      </c>
      <c r="AD273" s="65"/>
      <c r="AE273" s="65" t="s">
        <v>2374</v>
      </c>
      <c r="AF273" s="66">
        <v>125846</v>
      </c>
      <c r="AG273" s="67">
        <f t="shared" si="4"/>
        <v>0</v>
      </c>
      <c r="AH273" s="65" t="s">
        <v>2376</v>
      </c>
    </row>
    <row r="274" spans="1:34">
      <c r="A274" s="32">
        <v>45566</v>
      </c>
      <c r="B274" s="33" t="s">
        <v>29</v>
      </c>
      <c r="C274" s="34" t="s">
        <v>2052</v>
      </c>
      <c r="D274" s="35" t="s">
        <v>64</v>
      </c>
      <c r="E274" s="36">
        <v>45572</v>
      </c>
      <c r="F274" s="37">
        <v>45937</v>
      </c>
      <c r="G274" s="34" t="s">
        <v>2053</v>
      </c>
      <c r="H274" s="38">
        <v>2020</v>
      </c>
      <c r="I274" s="39" t="s">
        <v>2054</v>
      </c>
      <c r="J274" s="38">
        <v>123859</v>
      </c>
      <c r="K274" s="38" t="s">
        <v>2055</v>
      </c>
      <c r="L274" s="40" t="s">
        <v>2056</v>
      </c>
      <c r="M274" s="38">
        <v>1310116418025</v>
      </c>
      <c r="N274" s="31" t="s">
        <v>2057</v>
      </c>
      <c r="O274" s="39">
        <v>3010</v>
      </c>
      <c r="P274" s="39">
        <v>450</v>
      </c>
      <c r="Q274" s="41">
        <v>44111</v>
      </c>
      <c r="R274" s="41">
        <v>45935</v>
      </c>
      <c r="S274" s="42">
        <v>12028500</v>
      </c>
      <c r="T274" s="43">
        <v>2.2499999999999999E-2</v>
      </c>
      <c r="U274" s="42">
        <v>10825650</v>
      </c>
      <c r="V274" s="42">
        <v>243577.125</v>
      </c>
      <c r="W274" s="44">
        <v>0</v>
      </c>
      <c r="X274" s="45">
        <v>243577</v>
      </c>
      <c r="Y274" s="46" t="s">
        <v>71</v>
      </c>
      <c r="Z274" s="39" t="s">
        <v>40</v>
      </c>
      <c r="AA274" s="31" t="s">
        <v>41</v>
      </c>
      <c r="AB274" s="31" t="s">
        <v>198</v>
      </c>
      <c r="AC274" s="37">
        <v>45596</v>
      </c>
      <c r="AD274" s="65"/>
      <c r="AE274" s="68" t="s">
        <v>2108</v>
      </c>
      <c r="AF274" s="66">
        <v>243577</v>
      </c>
      <c r="AG274" s="67">
        <f t="shared" si="4"/>
        <v>0</v>
      </c>
      <c r="AH274" s="65" t="s">
        <v>2376</v>
      </c>
    </row>
    <row r="275" spans="1:34">
      <c r="A275" s="32">
        <v>45566</v>
      </c>
      <c r="B275" s="33" t="s">
        <v>29</v>
      </c>
      <c r="C275" s="34" t="s">
        <v>2058</v>
      </c>
      <c r="D275" s="35" t="s">
        <v>64</v>
      </c>
      <c r="E275" s="36">
        <v>45593</v>
      </c>
      <c r="F275" s="37">
        <v>45958</v>
      </c>
      <c r="G275" s="34" t="s">
        <v>2053</v>
      </c>
      <c r="H275" s="38">
        <v>2020</v>
      </c>
      <c r="I275" s="39" t="s">
        <v>2059</v>
      </c>
      <c r="J275" s="38" t="s">
        <v>2060</v>
      </c>
      <c r="K275" s="38" t="s">
        <v>2061</v>
      </c>
      <c r="L275" s="40" t="s">
        <v>2062</v>
      </c>
      <c r="M275" s="38">
        <v>6110127395357</v>
      </c>
      <c r="N275" s="31" t="s">
        <v>2063</v>
      </c>
      <c r="O275" s="39">
        <v>3083</v>
      </c>
      <c r="P275" s="39">
        <v>450</v>
      </c>
      <c r="Q275" s="41">
        <v>44140</v>
      </c>
      <c r="R275" s="41">
        <v>45966</v>
      </c>
      <c r="S275" s="42">
        <v>11591100</v>
      </c>
      <c r="T275" s="43">
        <v>2.2499999999999999E-2</v>
      </c>
      <c r="U275" s="42">
        <v>10431990</v>
      </c>
      <c r="V275" s="42">
        <v>234719.77499999999</v>
      </c>
      <c r="W275" s="44">
        <v>0</v>
      </c>
      <c r="X275" s="45">
        <v>234720</v>
      </c>
      <c r="Y275" s="46" t="s">
        <v>71</v>
      </c>
      <c r="Z275" s="39" t="s">
        <v>40</v>
      </c>
      <c r="AA275" s="31" t="s">
        <v>41</v>
      </c>
      <c r="AB275" s="31" t="s">
        <v>198</v>
      </c>
      <c r="AC275" s="37">
        <v>45596</v>
      </c>
      <c r="AD275" s="65"/>
      <c r="AE275" s="65" t="s">
        <v>2375</v>
      </c>
      <c r="AF275" s="66">
        <v>234720</v>
      </c>
      <c r="AG275" s="67">
        <f t="shared" si="4"/>
        <v>0</v>
      </c>
      <c r="AH275" s="65" t="s">
        <v>2376</v>
      </c>
    </row>
    <row r="276" spans="1:34">
      <c r="A276" s="32">
        <v>45566</v>
      </c>
      <c r="B276" s="33" t="s">
        <v>29</v>
      </c>
      <c r="C276" s="34" t="s">
        <v>2064</v>
      </c>
      <c r="D276" s="35" t="s">
        <v>64</v>
      </c>
      <c r="E276" s="36">
        <v>45588</v>
      </c>
      <c r="F276" s="37">
        <v>45953</v>
      </c>
      <c r="G276" s="34" t="s">
        <v>2065</v>
      </c>
      <c r="H276" s="38">
        <v>2020</v>
      </c>
      <c r="I276" s="39" t="s">
        <v>2066</v>
      </c>
      <c r="J276" s="38" t="s">
        <v>56</v>
      </c>
      <c r="K276" s="38" t="s">
        <v>2067</v>
      </c>
      <c r="L276" s="40" t="s">
        <v>2068</v>
      </c>
      <c r="M276" s="38">
        <v>3520225986709</v>
      </c>
      <c r="N276" s="31" t="s">
        <v>59</v>
      </c>
      <c r="O276" s="39">
        <v>1003</v>
      </c>
      <c r="P276" s="39">
        <v>528</v>
      </c>
      <c r="Q276" s="41">
        <v>45230</v>
      </c>
      <c r="R276" s="41">
        <v>47782</v>
      </c>
      <c r="S276" s="42">
        <v>33000000</v>
      </c>
      <c r="T276" s="43">
        <v>0.01</v>
      </c>
      <c r="U276" s="42">
        <v>29700000</v>
      </c>
      <c r="V276" s="42">
        <v>297000</v>
      </c>
      <c r="W276" s="44">
        <v>0</v>
      </c>
      <c r="X276" s="45">
        <v>297000</v>
      </c>
      <c r="Y276" s="46" t="s">
        <v>71</v>
      </c>
      <c r="Z276" s="39" t="s">
        <v>40</v>
      </c>
      <c r="AA276" s="31" t="s">
        <v>62</v>
      </c>
      <c r="AB276" s="31" t="s">
        <v>72</v>
      </c>
      <c r="AC276" s="37">
        <v>45596</v>
      </c>
      <c r="AD276" s="65"/>
      <c r="AE276" s="68" t="s">
        <v>51</v>
      </c>
      <c r="AF276" s="66">
        <v>297000</v>
      </c>
      <c r="AG276" s="67">
        <f t="shared" si="4"/>
        <v>0</v>
      </c>
      <c r="AH276" s="65" t="s">
        <v>2376</v>
      </c>
    </row>
    <row r="278" spans="1:34">
      <c r="X278" s="70">
        <f>SUBTOTAL(9,X3:X276)</f>
        <v>12594664</v>
      </c>
      <c r="AF278" s="71">
        <f>SUBTOTAL(9,AF3:AF276)</f>
        <v>12565504</v>
      </c>
    </row>
  </sheetData>
  <autoFilter ref="A2:AH276" xr:uid="{970FC9E0-AC4D-4AD7-8ECD-69651954334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872A-8EA5-4B57-9EA2-B2C9A469653E}">
  <dimension ref="A2:I24"/>
  <sheetViews>
    <sheetView topLeftCell="A3" workbookViewId="0">
      <selection activeCell="I23" sqref="I23"/>
    </sheetView>
  </sheetViews>
  <sheetFormatPr defaultRowHeight="15"/>
  <cols>
    <col min="1" max="1" width="14.42578125" bestFit="1" customWidth="1"/>
    <col min="2" max="2" width="17.28515625" bestFit="1" customWidth="1"/>
    <col min="3" max="3" width="11.42578125" bestFit="1" customWidth="1"/>
    <col min="4" max="4" width="10.42578125" bestFit="1" customWidth="1"/>
    <col min="5" max="5" width="12.7109375" bestFit="1" customWidth="1"/>
    <col min="6" max="6" width="14.42578125" bestFit="1" customWidth="1"/>
    <col min="7" max="7" width="12.42578125" bestFit="1" customWidth="1"/>
    <col min="9" max="9" width="13.7109375" bestFit="1" customWidth="1"/>
  </cols>
  <sheetData>
    <row r="2" spans="1:7" ht="15.75" thickBot="1"/>
    <row r="3" spans="1:7" ht="15.75" thickBot="1">
      <c r="A3" s="81" t="s">
        <v>2</v>
      </c>
      <c r="B3" s="83" t="s">
        <v>2083</v>
      </c>
      <c r="C3" s="85" t="s">
        <v>2084</v>
      </c>
      <c r="D3" s="86"/>
      <c r="E3" s="86"/>
      <c r="F3" s="86"/>
      <c r="G3" s="90"/>
    </row>
    <row r="4" spans="1:7" ht="15.75" thickBot="1">
      <c r="A4" s="88"/>
      <c r="B4" s="89"/>
      <c r="C4" s="57" t="s">
        <v>41</v>
      </c>
      <c r="D4" s="57" t="s">
        <v>62</v>
      </c>
      <c r="E4" s="57" t="s">
        <v>2085</v>
      </c>
      <c r="F4" s="57" t="s">
        <v>2086</v>
      </c>
      <c r="G4" s="57" t="s">
        <v>2087</v>
      </c>
    </row>
    <row r="5" spans="1:7" ht="15.75" thickBot="1">
      <c r="A5" s="58"/>
    </row>
    <row r="6" spans="1:7" ht="15.75" thickBot="1">
      <c r="A6" s="59" t="s">
        <v>29</v>
      </c>
      <c r="B6" s="60" t="s">
        <v>2088</v>
      </c>
      <c r="C6" s="61" t="s">
        <v>2089</v>
      </c>
      <c r="D6" s="62" t="s">
        <v>2090</v>
      </c>
      <c r="E6" s="61" t="s">
        <v>2091</v>
      </c>
      <c r="F6" s="62" t="s">
        <v>2092</v>
      </c>
      <c r="G6" s="62" t="s">
        <v>2091</v>
      </c>
    </row>
    <row r="7" spans="1:7">
      <c r="A7" s="58"/>
    </row>
    <row r="8" spans="1:7" ht="15.75" thickBot="1">
      <c r="A8" s="58"/>
    </row>
    <row r="9" spans="1:7" ht="15.75" thickBot="1">
      <c r="A9" s="81" t="s">
        <v>2</v>
      </c>
      <c r="B9" s="91" t="s">
        <v>2083</v>
      </c>
      <c r="C9" s="93" t="s">
        <v>2093</v>
      </c>
      <c r="D9" s="86"/>
      <c r="E9" s="86"/>
      <c r="F9" s="86"/>
      <c r="G9" s="87"/>
    </row>
    <row r="10" spans="1:7" ht="15.75" thickBot="1">
      <c r="A10" s="88"/>
      <c r="B10" s="92"/>
      <c r="C10" s="57" t="s">
        <v>41</v>
      </c>
      <c r="D10" s="57" t="s">
        <v>62</v>
      </c>
      <c r="E10" s="57" t="s">
        <v>2085</v>
      </c>
      <c r="F10" s="57" t="s">
        <v>2086</v>
      </c>
      <c r="G10" s="57" t="s">
        <v>2087</v>
      </c>
    </row>
    <row r="11" spans="1:7" ht="15.75" thickBot="1">
      <c r="A11" s="58"/>
    </row>
    <row r="12" spans="1:7" ht="15.75" thickBot="1">
      <c r="A12" s="59" t="s">
        <v>29</v>
      </c>
      <c r="B12" s="60" t="s">
        <v>2088</v>
      </c>
      <c r="C12" s="63" t="s">
        <v>2094</v>
      </c>
      <c r="D12" s="63" t="s">
        <v>2095</v>
      </c>
      <c r="E12" s="63" t="s">
        <v>2096</v>
      </c>
      <c r="F12" s="63" t="s">
        <v>2092</v>
      </c>
      <c r="G12" s="64">
        <v>5383912</v>
      </c>
    </row>
    <row r="13" spans="1:7">
      <c r="A13" s="58"/>
    </row>
    <row r="14" spans="1:7" ht="15.75" thickBot="1">
      <c r="A14" s="58"/>
    </row>
    <row r="15" spans="1:7" ht="15.75" thickBot="1">
      <c r="A15" s="81" t="s">
        <v>2</v>
      </c>
      <c r="B15" s="83" t="s">
        <v>2083</v>
      </c>
      <c r="C15" s="85" t="s">
        <v>2097</v>
      </c>
      <c r="D15" s="86"/>
      <c r="E15" s="86"/>
      <c r="F15" s="86"/>
      <c r="G15" s="87"/>
    </row>
    <row r="16" spans="1:7" ht="15.75" thickBot="1">
      <c r="A16" s="82"/>
      <c r="B16" s="84"/>
      <c r="C16" s="57" t="s">
        <v>41</v>
      </c>
      <c r="D16" s="57" t="s">
        <v>62</v>
      </c>
      <c r="E16" s="57" t="s">
        <v>2085</v>
      </c>
      <c r="F16" s="57" t="s">
        <v>2086</v>
      </c>
      <c r="G16" s="57" t="s">
        <v>2087</v>
      </c>
    </row>
    <row r="17" spans="1:9" ht="15.75" thickBot="1">
      <c r="A17" s="58"/>
    </row>
    <row r="18" spans="1:9" ht="15.75" thickBot="1">
      <c r="A18" s="59" t="s">
        <v>29</v>
      </c>
      <c r="B18" s="60" t="s">
        <v>2088</v>
      </c>
      <c r="C18" s="63" t="s">
        <v>2098</v>
      </c>
      <c r="D18" s="63" t="s">
        <v>2099</v>
      </c>
      <c r="E18" s="63" t="s">
        <v>2100</v>
      </c>
      <c r="F18" s="63" t="s">
        <v>2092</v>
      </c>
      <c r="G18" s="64">
        <v>7210752</v>
      </c>
    </row>
    <row r="19" spans="1:9">
      <c r="A19" s="58"/>
    </row>
    <row r="20" spans="1:9">
      <c r="F20" s="76" t="s">
        <v>2378</v>
      </c>
      <c r="G20" s="75">
        <f>SUM(G12,G18)</f>
        <v>12594664</v>
      </c>
      <c r="I20" s="73"/>
    </row>
    <row r="21" spans="1:9">
      <c r="G21" s="72"/>
    </row>
    <row r="22" spans="1:9">
      <c r="F22" s="78" t="s">
        <v>2379</v>
      </c>
      <c r="G22" s="79">
        <v>29160</v>
      </c>
      <c r="I22" s="74"/>
    </row>
    <row r="24" spans="1:9">
      <c r="F24" s="76" t="s">
        <v>2381</v>
      </c>
      <c r="G24" s="80">
        <f>G20-G22</f>
        <v>12565504</v>
      </c>
    </row>
  </sheetData>
  <mergeCells count="9">
    <mergeCell ref="A15:A16"/>
    <mergeCell ref="B15:B16"/>
    <mergeCell ref="C15:G15"/>
    <mergeCell ref="A3:A4"/>
    <mergeCell ref="B3:B4"/>
    <mergeCell ref="C3:G3"/>
    <mergeCell ref="A9:A10"/>
    <mergeCell ref="B9:B10"/>
    <mergeCell ref="C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12E9-CCDF-4CC0-AD86-B59867F620B2}">
  <dimension ref="A1:H276"/>
  <sheetViews>
    <sheetView tabSelected="1" topLeftCell="F272" workbookViewId="0">
      <selection activeCell="H274" sqref="H3:H274"/>
    </sheetView>
  </sheetViews>
  <sheetFormatPr defaultRowHeight="15"/>
  <cols>
    <col min="1" max="1" width="39.85546875" bestFit="1" customWidth="1"/>
    <col min="2" max="2" width="14.28515625" bestFit="1" customWidth="1"/>
    <col min="3" max="3" width="14" bestFit="1" customWidth="1"/>
    <col min="4" max="4" width="11.5703125" bestFit="1" customWidth="1"/>
    <col min="5" max="5" width="13.7109375" bestFit="1" customWidth="1"/>
    <col min="6" max="6" width="90.85546875" customWidth="1"/>
    <col min="7" max="7" width="80.28515625" customWidth="1"/>
    <col min="8" max="8" width="73.85546875" customWidth="1"/>
  </cols>
  <sheetData>
    <row r="1" spans="1:8">
      <c r="A1" s="95" t="s">
        <v>2929</v>
      </c>
      <c r="B1" t="s">
        <v>2930</v>
      </c>
      <c r="D1" s="78" t="s">
        <v>2931</v>
      </c>
      <c r="E1" s="102" t="s">
        <v>2933</v>
      </c>
    </row>
    <row r="2" spans="1:8" ht="128.25" customHeight="1">
      <c r="A2" s="65" t="s">
        <v>2109</v>
      </c>
      <c r="B2" s="96" t="str">
        <f>VLOOKUP(A2,policy!B:C,2,0)</f>
        <v>070000168730</v>
      </c>
      <c r="C2" s="66">
        <v>44392</v>
      </c>
      <c r="D2" s="97">
        <f>ROUND(C2,0)</f>
        <v>44392</v>
      </c>
      <c r="E2" s="102" t="s">
        <v>2933</v>
      </c>
      <c r="F2" s="98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99" t="str">
        <f>"('"&amp;E2&amp;"','"&amp;B2&amp;"','"&amp;D2&amp;"',(select max(to_number(i.premium_rcv_detail_code))+1
from ins_premium_det i),'"&amp;D2&amp;"','"&amp;D2&amp;"','02', '11000003','00','Request by Mr. Saqib Saleem 01-Nov-2024');"</f>
        <v>('01Nov240029','070000168730','44392',(select max(to_number(i.premium_rcv_detail_code))+1
from ins_premium_det i),'44392','44392','02', '11000003','00','Request by Mr. Saqib Saleem 01-Nov-2024');</v>
      </c>
      <c r="H2" s="100" t="str">
        <f>F2&amp;G2</f>
        <v>insert into ins_premium_det (premium_rcv_code,assorted_code, rec_amount,premium_rcv_detail_code,remaining_amt, payrec, mode_code,coinsurance_code,class_cd,it_remarks) values('01Nov240029','070000168730','44392',(select max(to_number(i.premium_rcv_detail_code))+1
from ins_premium_det i),'44392','44392','02', '11000003','00','Request by Mr. Saqib Saleem 01-Nov-2024');</v>
      </c>
    </row>
    <row r="3" spans="1:8" ht="105">
      <c r="A3" s="65" t="s">
        <v>2110</v>
      </c>
      <c r="B3" s="96" t="str">
        <f>VLOOKUP(A3,policy!B:C,2,0)</f>
        <v>070000168731</v>
      </c>
      <c r="C3" s="66">
        <v>30400</v>
      </c>
      <c r="D3" s="97">
        <f t="shared" ref="D3:D66" si="1">ROUND(C3,0)</f>
        <v>30400</v>
      </c>
      <c r="E3" s="102" t="s">
        <v>2933</v>
      </c>
      <c r="F3" s="98" t="str">
        <f t="shared" si="0"/>
        <v>insert into ins_premium_det (premium_rcv_code,assorted_code, rec_amount,premium_rcv_detail_code,remaining_amt, payrec, mode_code,coinsurance_code,class_cd,it_remarks) values</v>
      </c>
      <c r="G3" s="99" t="str">
        <f t="shared" ref="G3:G66" si="2">"('"&amp;E3&amp;"','"&amp;B3&amp;"','"&amp;D3&amp;"',(select max(to_number(i.premium_rcv_detail_code))+1
from ins_premium_det i),'"&amp;D3&amp;"','"&amp;D3&amp;"','02', '11000003','00','Request by Mr. Saqib Saleem 01-Nov-2024');"</f>
        <v>('01Nov240029','070000168731','30400',(select max(to_number(i.premium_rcv_detail_code))+1
from ins_premium_det i),'30400','30400','02', '11000003','00','Request by Mr. Saqib Saleem 01-Nov-2024');</v>
      </c>
      <c r="H3" s="100" t="str">
        <f t="shared" ref="H3:H66" si="3">F3&amp;G3</f>
        <v>insert into ins_premium_det (premium_rcv_code,assorted_code, rec_amount,premium_rcv_detail_code,remaining_amt, payrec, mode_code,coinsurance_code,class_cd,it_remarks) values('01Nov240029','070000168731','30400',(select max(to_number(i.premium_rcv_detail_code))+1
from ins_premium_det i),'30400','30400','02', '11000003','00','Request by Mr. Saqib Saleem 01-Nov-2024');</v>
      </c>
    </row>
    <row r="4" spans="1:8" ht="105">
      <c r="A4" s="65" t="s">
        <v>2111</v>
      </c>
      <c r="B4" s="96" t="str">
        <f>VLOOKUP(A4,policy!B:C,2,0)</f>
        <v>070000168732</v>
      </c>
      <c r="C4" s="66">
        <v>35462</v>
      </c>
      <c r="D4" s="97">
        <f t="shared" si="1"/>
        <v>35462</v>
      </c>
      <c r="E4" s="102" t="s">
        <v>2933</v>
      </c>
      <c r="F4" s="98" t="str">
        <f t="shared" si="0"/>
        <v>insert into ins_premium_det (premium_rcv_code,assorted_code, rec_amount,premium_rcv_detail_code,remaining_amt, payrec, mode_code,coinsurance_code,class_cd,it_remarks) values</v>
      </c>
      <c r="G4" s="99" t="str">
        <f t="shared" si="2"/>
        <v>('01Nov240029','070000168732','35462',(select max(to_number(i.premium_rcv_detail_code))+1
from ins_premium_det i),'35462','35462','02', '11000003','00','Request by Mr. Saqib Saleem 01-Nov-2024');</v>
      </c>
      <c r="H4" s="100" t="str">
        <f t="shared" si="3"/>
        <v>insert into ins_premium_det (premium_rcv_code,assorted_code, rec_amount,premium_rcv_detail_code,remaining_amt, payrec, mode_code,coinsurance_code,class_cd,it_remarks) values('01Nov240029','070000168732','35462',(select max(to_number(i.premium_rcv_detail_code))+1
from ins_premium_det i),'35462','35462','02', '11000003','00','Request by Mr. Saqib Saleem 01-Nov-2024');</v>
      </c>
    </row>
    <row r="5" spans="1:8" ht="105">
      <c r="A5" s="65" t="s">
        <v>2112</v>
      </c>
      <c r="B5" s="96" t="str">
        <f>VLOOKUP(A5,policy!B:C,2,0)</f>
        <v>070000168733</v>
      </c>
      <c r="C5" s="66">
        <v>137576</v>
      </c>
      <c r="D5" s="97">
        <f t="shared" si="1"/>
        <v>137576</v>
      </c>
      <c r="E5" s="102" t="s">
        <v>2933</v>
      </c>
      <c r="F5" s="98" t="str">
        <f t="shared" si="0"/>
        <v>insert into ins_premium_det (premium_rcv_code,assorted_code, rec_amount,premium_rcv_detail_code,remaining_amt, payrec, mode_code,coinsurance_code,class_cd,it_remarks) values</v>
      </c>
      <c r="G5" s="99" t="str">
        <f t="shared" si="2"/>
        <v>('01Nov240029','070000168733','137576',(select max(to_number(i.premium_rcv_detail_code))+1
from ins_premium_det i),'137576','137576','02', '11000003','00','Request by Mr. Saqib Saleem 01-Nov-2024');</v>
      </c>
      <c r="H5" s="100" t="str">
        <f t="shared" si="3"/>
        <v>insert into ins_premium_det (premium_rcv_code,assorted_code, rec_amount,premium_rcv_detail_code,remaining_amt, payrec, mode_code,coinsurance_code,class_cd,it_remarks) values('01Nov240029','070000168733','137576',(select max(to_number(i.premium_rcv_detail_code))+1
from ins_premium_det i),'137576','137576','02', '11000003','00','Request by Mr. Saqib Saleem 01-Nov-2024');</v>
      </c>
    </row>
    <row r="6" spans="1:8" ht="105">
      <c r="A6" s="65" t="s">
        <v>2113</v>
      </c>
      <c r="B6" s="96" t="str">
        <f>VLOOKUP(A6,policy!B:C,2,0)</f>
        <v>070000168734</v>
      </c>
      <c r="C6" s="66">
        <v>42715</v>
      </c>
      <c r="D6" s="97">
        <f t="shared" si="1"/>
        <v>42715</v>
      </c>
      <c r="E6" s="102" t="s">
        <v>2933</v>
      </c>
      <c r="F6" s="98" t="str">
        <f t="shared" si="0"/>
        <v>insert into ins_premium_det (premium_rcv_code,assorted_code, rec_amount,premium_rcv_detail_code,remaining_amt, payrec, mode_code,coinsurance_code,class_cd,it_remarks) values</v>
      </c>
      <c r="G6" s="99" t="str">
        <f t="shared" si="2"/>
        <v>('01Nov240029','070000168734','42715',(select max(to_number(i.premium_rcv_detail_code))+1
from ins_premium_det i),'42715','42715','02', '11000003','00','Request by Mr. Saqib Saleem 01-Nov-2024');</v>
      </c>
      <c r="H6" s="100" t="str">
        <f t="shared" si="3"/>
        <v>insert into ins_premium_det (premium_rcv_code,assorted_code, rec_amount,premium_rcv_detail_code,remaining_amt, payrec, mode_code,coinsurance_code,class_cd,it_remarks) values('01Nov240029','070000168734','42715',(select max(to_number(i.premium_rcv_detail_code))+1
from ins_premium_det i),'42715','42715','02', '11000003','00','Request by Mr. Saqib Saleem 01-Nov-2024');</v>
      </c>
    </row>
    <row r="7" spans="1:8" ht="105">
      <c r="A7" s="65" t="s">
        <v>2114</v>
      </c>
      <c r="B7" s="96" t="str">
        <f>VLOOKUP(A7,policy!B:C,2,0)</f>
        <v>070000168735</v>
      </c>
      <c r="C7" s="66">
        <v>26999</v>
      </c>
      <c r="D7" s="97">
        <f t="shared" si="1"/>
        <v>26999</v>
      </c>
      <c r="E7" s="102" t="s">
        <v>2933</v>
      </c>
      <c r="F7" s="98" t="str">
        <f t="shared" si="0"/>
        <v>insert into ins_premium_det (premium_rcv_code,assorted_code, rec_amount,premium_rcv_detail_code,remaining_amt, payrec, mode_code,coinsurance_code,class_cd,it_remarks) values</v>
      </c>
      <c r="G7" s="99" t="str">
        <f t="shared" si="2"/>
        <v>('01Nov240029','070000168735','26999',(select max(to_number(i.premium_rcv_detail_code))+1
from ins_premium_det i),'26999','26999','02', '11000003','00','Request by Mr. Saqib Saleem 01-Nov-2024');</v>
      </c>
      <c r="H7" s="100" t="str">
        <f t="shared" si="3"/>
        <v>insert into ins_premium_det (premium_rcv_code,assorted_code, rec_amount,premium_rcv_detail_code,remaining_amt, payrec, mode_code,coinsurance_code,class_cd,it_remarks) values('01Nov240029','070000168735','26999',(select max(to_number(i.premium_rcv_detail_code))+1
from ins_premium_det i),'26999','26999','02', '11000003','00','Request by Mr. Saqib Saleem 01-Nov-2024');</v>
      </c>
    </row>
    <row r="8" spans="1:8" ht="105">
      <c r="A8" s="65" t="s">
        <v>2115</v>
      </c>
      <c r="B8" s="96" t="str">
        <f>VLOOKUP(A8,policy!B:C,2,0)</f>
        <v>070000168736</v>
      </c>
      <c r="C8" s="66">
        <v>42715</v>
      </c>
      <c r="D8" s="97">
        <f t="shared" si="1"/>
        <v>42715</v>
      </c>
      <c r="E8" s="102" t="s">
        <v>2933</v>
      </c>
      <c r="F8" s="98" t="str">
        <f t="shared" si="0"/>
        <v>insert into ins_premium_det (premium_rcv_code,assorted_code, rec_amount,premium_rcv_detail_code,remaining_amt, payrec, mode_code,coinsurance_code,class_cd,it_remarks) values</v>
      </c>
      <c r="G8" s="99" t="str">
        <f t="shared" si="2"/>
        <v>('01Nov240029','070000168736','42715',(select max(to_number(i.premium_rcv_detail_code))+1
from ins_premium_det i),'42715','42715','02', '11000003','00','Request by Mr. Saqib Saleem 01-Nov-2024');</v>
      </c>
      <c r="H8" s="100" t="str">
        <f t="shared" si="3"/>
        <v>insert into ins_premium_det (premium_rcv_code,assorted_code, rec_amount,premium_rcv_detail_code,remaining_amt, payrec, mode_code,coinsurance_code,class_cd,it_remarks) values('01Nov240029','070000168736','42715',(select max(to_number(i.premium_rcv_detail_code))+1
from ins_premium_det i),'42715','42715','02', '11000003','00','Request by Mr. Saqib Saleem 01-Nov-2024');</v>
      </c>
    </row>
    <row r="9" spans="1:8" ht="105">
      <c r="A9" s="65" t="s">
        <v>2116</v>
      </c>
      <c r="B9" s="96" t="str">
        <f>VLOOKUP(A9,policy!B:C,2,0)</f>
        <v>070000168737</v>
      </c>
      <c r="C9" s="66">
        <v>32238</v>
      </c>
      <c r="D9" s="97">
        <f t="shared" si="1"/>
        <v>32238</v>
      </c>
      <c r="E9" s="102" t="s">
        <v>2933</v>
      </c>
      <c r="F9" s="98" t="str">
        <f t="shared" si="0"/>
        <v>insert into ins_premium_det (premium_rcv_code,assorted_code, rec_amount,premium_rcv_detail_code,remaining_amt, payrec, mode_code,coinsurance_code,class_cd,it_remarks) values</v>
      </c>
      <c r="G9" s="99" t="str">
        <f t="shared" si="2"/>
        <v>('01Nov240029','070000168737','32238',(select max(to_number(i.premium_rcv_detail_code))+1
from ins_premium_det i),'32238','32238','02', '11000003','00','Request by Mr. Saqib Saleem 01-Nov-2024');</v>
      </c>
      <c r="H9" s="100" t="str">
        <f t="shared" si="3"/>
        <v>insert into ins_premium_det (premium_rcv_code,assorted_code, rec_amount,premium_rcv_detail_code,remaining_amt, payrec, mode_code,coinsurance_code,class_cd,it_remarks) values('01Nov240029','070000168737','32238',(select max(to_number(i.premium_rcv_detail_code))+1
from ins_premium_det i),'32238','32238','02', '11000003','00','Request by Mr. Saqib Saleem 01-Nov-2024');</v>
      </c>
    </row>
    <row r="10" spans="1:8" ht="105">
      <c r="A10" s="65" t="s">
        <v>2117</v>
      </c>
      <c r="B10" s="96" t="str">
        <f>VLOOKUP(A10,policy!B:C,2,0)</f>
        <v>070000168738</v>
      </c>
      <c r="C10" s="66">
        <v>32238</v>
      </c>
      <c r="D10" s="97">
        <f t="shared" si="1"/>
        <v>32238</v>
      </c>
      <c r="E10" s="102" t="s">
        <v>2933</v>
      </c>
      <c r="F10" s="98" t="str">
        <f t="shared" si="0"/>
        <v>insert into ins_premium_det (premium_rcv_code,assorted_code, rec_amount,premium_rcv_detail_code,remaining_amt, payrec, mode_code,coinsurance_code,class_cd,it_remarks) values</v>
      </c>
      <c r="G10" s="99" t="str">
        <f t="shared" si="2"/>
        <v>('01Nov240029','070000168738','32238',(select max(to_number(i.premium_rcv_detail_code))+1
from ins_premium_det i),'32238','32238','02', '11000003','00','Request by Mr. Saqib Saleem 01-Nov-2024');</v>
      </c>
      <c r="H10" s="100" t="str">
        <f t="shared" si="3"/>
        <v>insert into ins_premium_det (premium_rcv_code,assorted_code, rec_amount,premium_rcv_detail_code,remaining_amt, payrec, mode_code,coinsurance_code,class_cd,it_remarks) values('01Nov240029','070000168738','32238',(select max(to_number(i.premium_rcv_detail_code))+1
from ins_premium_det i),'32238','32238','02', '11000003','00','Request by Mr. Saqib Saleem 01-Nov-2024');</v>
      </c>
    </row>
    <row r="11" spans="1:8" ht="105">
      <c r="A11" s="65" t="s">
        <v>2118</v>
      </c>
      <c r="B11" s="96" t="str">
        <f>VLOOKUP(A11,policy!B:C,2,0)</f>
        <v>070000168739</v>
      </c>
      <c r="C11" s="66">
        <v>30400</v>
      </c>
      <c r="D11" s="97">
        <f t="shared" si="1"/>
        <v>30400</v>
      </c>
      <c r="E11" s="102" t="s">
        <v>2933</v>
      </c>
      <c r="F11" s="98" t="str">
        <f t="shared" si="0"/>
        <v>insert into ins_premium_det (premium_rcv_code,assorted_code, rec_amount,premium_rcv_detail_code,remaining_amt, payrec, mode_code,coinsurance_code,class_cd,it_remarks) values</v>
      </c>
      <c r="G11" s="99" t="str">
        <f t="shared" si="2"/>
        <v>('01Nov240029','070000168739','30400',(select max(to_number(i.premium_rcv_detail_code))+1
from ins_premium_det i),'30400','30400','02', '11000003','00','Request by Mr. Saqib Saleem 01-Nov-2024');</v>
      </c>
      <c r="H11" s="100" t="str">
        <f t="shared" si="3"/>
        <v>insert into ins_premium_det (premium_rcv_code,assorted_code, rec_amount,premium_rcv_detail_code,remaining_amt, payrec, mode_code,coinsurance_code,class_cd,it_remarks) values('01Nov240029','070000168739','30400',(select max(to_number(i.premium_rcv_detail_code))+1
from ins_premium_det i),'30400','30400','02', '11000003','00','Request by Mr. Saqib Saleem 01-Nov-2024');</v>
      </c>
    </row>
    <row r="12" spans="1:8" ht="105">
      <c r="A12" s="65" t="s">
        <v>2119</v>
      </c>
      <c r="B12" s="96" t="str">
        <f>VLOOKUP(A12,policy!B:C,2,0)</f>
        <v>070000168740</v>
      </c>
      <c r="C12" s="66">
        <v>27402</v>
      </c>
      <c r="D12" s="97">
        <f t="shared" si="1"/>
        <v>27402</v>
      </c>
      <c r="E12" s="102" t="s">
        <v>2933</v>
      </c>
      <c r="F12" s="98" t="str">
        <f t="shared" si="0"/>
        <v>insert into ins_premium_det (premium_rcv_code,assorted_code, rec_amount,premium_rcv_detail_code,remaining_amt, payrec, mode_code,coinsurance_code,class_cd,it_remarks) values</v>
      </c>
      <c r="G12" s="99" t="str">
        <f t="shared" si="2"/>
        <v>('01Nov240029','070000168740','27402',(select max(to_number(i.premium_rcv_detail_code))+1
from ins_premium_det i),'27402','27402','02', '11000003','00','Request by Mr. Saqib Saleem 01-Nov-2024');</v>
      </c>
      <c r="H12" s="100" t="str">
        <f t="shared" si="3"/>
        <v>insert into ins_premium_det (premium_rcv_code,assorted_code, rec_amount,premium_rcv_detail_code,remaining_amt, payrec, mode_code,coinsurance_code,class_cd,it_remarks) values('01Nov240029','070000168740','27402',(select max(to_number(i.premium_rcv_detail_code))+1
from ins_premium_det i),'27402','27402','02', '11000003','00','Request by Mr. Saqib Saleem 01-Nov-2024');</v>
      </c>
    </row>
    <row r="13" spans="1:8" ht="105">
      <c r="A13" s="65" t="s">
        <v>2120</v>
      </c>
      <c r="B13" s="96" t="str">
        <f>VLOOKUP(A13,policy!B:C,2,0)</f>
        <v>070000168741</v>
      </c>
      <c r="C13" s="66">
        <v>21761</v>
      </c>
      <c r="D13" s="97">
        <f t="shared" si="1"/>
        <v>21761</v>
      </c>
      <c r="E13" s="102" t="s">
        <v>2933</v>
      </c>
      <c r="F13" s="98" t="str">
        <f t="shared" si="0"/>
        <v>insert into ins_premium_det (premium_rcv_code,assorted_code, rec_amount,premium_rcv_detail_code,remaining_amt, payrec, mode_code,coinsurance_code,class_cd,it_remarks) values</v>
      </c>
      <c r="G13" s="99" t="str">
        <f t="shared" si="2"/>
        <v>('01Nov240029','070000168741','21761',(select max(to_number(i.premium_rcv_detail_code))+1
from ins_premium_det i),'21761','21761','02', '11000003','00','Request by Mr. Saqib Saleem 01-Nov-2024');</v>
      </c>
      <c r="H13" s="100" t="str">
        <f t="shared" si="3"/>
        <v>insert into ins_premium_det (premium_rcv_code,assorted_code, rec_amount,premium_rcv_detail_code,remaining_amt, payrec, mode_code,coinsurance_code,class_cd,it_remarks) values('01Nov240029','070000168741','21761',(select max(to_number(i.premium_rcv_detail_code))+1
from ins_premium_det i),'21761','21761','02', '11000003','00','Request by Mr. Saqib Saleem 01-Nov-2024');</v>
      </c>
    </row>
    <row r="14" spans="1:8" ht="105">
      <c r="A14" s="65" t="s">
        <v>2121</v>
      </c>
      <c r="B14" s="96" t="str">
        <f>VLOOKUP(A14,policy!B:C,2,0)</f>
        <v>070000168742</v>
      </c>
      <c r="C14" s="66">
        <v>40298</v>
      </c>
      <c r="D14" s="97">
        <f t="shared" si="1"/>
        <v>40298</v>
      </c>
      <c r="E14" s="102" t="s">
        <v>2933</v>
      </c>
      <c r="F14" s="98" t="str">
        <f t="shared" si="0"/>
        <v>insert into ins_premium_det (premium_rcv_code,assorted_code, rec_amount,premium_rcv_detail_code,remaining_amt, payrec, mode_code,coinsurance_code,class_cd,it_remarks) values</v>
      </c>
      <c r="G14" s="99" t="str">
        <f t="shared" si="2"/>
        <v>('01Nov240029','070000168742','40298',(select max(to_number(i.premium_rcv_detail_code))+1
from ins_premium_det i),'40298','40298','02', '11000003','00','Request by Mr. Saqib Saleem 01-Nov-2024');</v>
      </c>
      <c r="H14" s="100" t="str">
        <f t="shared" si="3"/>
        <v>insert into ins_premium_det (premium_rcv_code,assorted_code, rec_amount,premium_rcv_detail_code,remaining_amt, payrec, mode_code,coinsurance_code,class_cd,it_remarks) values('01Nov240029','070000168742','40298',(select max(to_number(i.premium_rcv_detail_code))+1
from ins_premium_det i),'40298','40298','02', '11000003','00','Request by Mr. Saqib Saleem 01-Nov-2024');</v>
      </c>
    </row>
    <row r="15" spans="1:8" ht="105">
      <c r="A15" s="65" t="s">
        <v>2122</v>
      </c>
      <c r="B15" s="96" t="str">
        <f>VLOOKUP(A15,policy!B:C,2,0)</f>
        <v>070000168743</v>
      </c>
      <c r="C15" s="66">
        <v>38686</v>
      </c>
      <c r="D15" s="97">
        <f t="shared" si="1"/>
        <v>38686</v>
      </c>
      <c r="E15" s="102" t="s">
        <v>2933</v>
      </c>
      <c r="F15" s="98" t="str">
        <f t="shared" si="0"/>
        <v>insert into ins_premium_det (premium_rcv_code,assorted_code, rec_amount,premium_rcv_detail_code,remaining_amt, payrec, mode_code,coinsurance_code,class_cd,it_remarks) values</v>
      </c>
      <c r="G15" s="99" t="str">
        <f t="shared" si="2"/>
        <v>('01Nov240029','070000168743','38686',(select max(to_number(i.premium_rcv_detail_code))+1
from ins_premium_det i),'38686','38686','02', '11000003','00','Request by Mr. Saqib Saleem 01-Nov-2024');</v>
      </c>
      <c r="H15" s="100" t="str">
        <f t="shared" si="3"/>
        <v>insert into ins_premium_det (premium_rcv_code,assorted_code, rec_amount,premium_rcv_detail_code,remaining_amt, payrec, mode_code,coinsurance_code,class_cd,it_remarks) values('01Nov240029','070000168743','38686',(select max(to_number(i.premium_rcv_detail_code))+1
from ins_premium_det i),'38686','38686','02', '11000003','00','Request by Mr. Saqib Saleem 01-Nov-2024');</v>
      </c>
    </row>
    <row r="16" spans="1:8" ht="105">
      <c r="A16" s="65" t="s">
        <v>2123</v>
      </c>
      <c r="B16" s="96" t="str">
        <f>VLOOKUP(A16,policy!B:C,2,0)</f>
        <v>070000168744</v>
      </c>
      <c r="C16" s="66">
        <v>60809</v>
      </c>
      <c r="D16" s="97">
        <f t="shared" si="1"/>
        <v>60809</v>
      </c>
      <c r="E16" s="102" t="s">
        <v>2933</v>
      </c>
      <c r="F16" s="98" t="str">
        <f t="shared" si="0"/>
        <v>insert into ins_premium_det (premium_rcv_code,assorted_code, rec_amount,premium_rcv_detail_code,remaining_amt, payrec, mode_code,coinsurance_code,class_cd,it_remarks) values</v>
      </c>
      <c r="G16" s="99" t="str">
        <f t="shared" si="2"/>
        <v>('01Nov240029','070000168744','60809',(select max(to_number(i.premium_rcv_detail_code))+1
from ins_premium_det i),'60809','60809','02', '11000003','00','Request by Mr. Saqib Saleem 01-Nov-2024');</v>
      </c>
      <c r="H16" s="100" t="str">
        <f t="shared" si="3"/>
        <v>insert into ins_premium_det (premium_rcv_code,assorted_code, rec_amount,premium_rcv_detail_code,remaining_amt, payrec, mode_code,coinsurance_code,class_cd,it_remarks) values('01Nov240029','070000168744','60809',(select max(to_number(i.premium_rcv_detail_code))+1
from ins_premium_det i),'60809','60809','02', '11000003','00','Request by Mr. Saqib Saleem 01-Nov-2024');</v>
      </c>
    </row>
    <row r="17" spans="1:8" ht="105">
      <c r="A17" s="65" t="s">
        <v>2124</v>
      </c>
      <c r="B17" s="96" t="str">
        <f>VLOOKUP(A17,policy!B:C,2,0)</f>
        <v>070000168745</v>
      </c>
      <c r="C17" s="66">
        <v>141847</v>
      </c>
      <c r="D17" s="97">
        <f t="shared" si="1"/>
        <v>141847</v>
      </c>
      <c r="E17" s="102" t="s">
        <v>2933</v>
      </c>
      <c r="F17" s="98" t="str">
        <f t="shared" si="0"/>
        <v>insert into ins_premium_det (premium_rcv_code,assorted_code, rec_amount,premium_rcv_detail_code,remaining_amt, payrec, mode_code,coinsurance_code,class_cd,it_remarks) values</v>
      </c>
      <c r="G17" s="99" t="str">
        <f t="shared" si="2"/>
        <v>('01Nov240029','070000168745','141847',(select max(to_number(i.premium_rcv_detail_code))+1
from ins_premium_det i),'141847','141847','02', '11000003','00','Request by Mr. Saqib Saleem 01-Nov-2024');</v>
      </c>
      <c r="H17" s="100" t="str">
        <f t="shared" si="3"/>
        <v>insert into ins_premium_det (premium_rcv_code,assorted_code, rec_amount,premium_rcv_detail_code,remaining_amt, payrec, mode_code,coinsurance_code,class_cd,it_remarks) values('01Nov240029','070000168745','141847',(select max(to_number(i.premium_rcv_detail_code))+1
from ins_premium_det i),'141847','141847','02', '11000003','00','Request by Mr. Saqib Saleem 01-Nov-2024');</v>
      </c>
    </row>
    <row r="18" spans="1:8" ht="105">
      <c r="A18" s="65" t="s">
        <v>2125</v>
      </c>
      <c r="B18" s="96" t="str">
        <f>VLOOKUP(A18,policy!B:C,2,0)</f>
        <v>070000168746</v>
      </c>
      <c r="C18" s="66">
        <v>35180</v>
      </c>
      <c r="D18" s="97">
        <f t="shared" si="1"/>
        <v>35180</v>
      </c>
      <c r="E18" s="102" t="s">
        <v>2933</v>
      </c>
      <c r="F18" s="98" t="str">
        <f t="shared" si="0"/>
        <v>insert into ins_premium_det (premium_rcv_code,assorted_code, rec_amount,premium_rcv_detail_code,remaining_amt, payrec, mode_code,coinsurance_code,class_cd,it_remarks) values</v>
      </c>
      <c r="G18" s="99" t="str">
        <f t="shared" si="2"/>
        <v>('01Nov240029','070000168746','35180',(select max(to_number(i.premium_rcv_detail_code))+1
from ins_premium_det i),'35180','35180','02', '11000003','00','Request by Mr. Saqib Saleem 01-Nov-2024');</v>
      </c>
      <c r="H18" s="100" t="str">
        <f t="shared" si="3"/>
        <v>insert into ins_premium_det (premium_rcv_code,assorted_code, rec_amount,premium_rcv_detail_code,remaining_amt, payrec, mode_code,coinsurance_code,class_cd,it_remarks) values('01Nov240029','070000168746','35180',(select max(to_number(i.premium_rcv_detail_code))+1
from ins_premium_det i),'35180','35180','02', '11000003','00','Request by Mr. Saqib Saleem 01-Nov-2024');</v>
      </c>
    </row>
    <row r="19" spans="1:8" ht="105">
      <c r="A19" s="65" t="s">
        <v>2126</v>
      </c>
      <c r="B19" s="96" t="str">
        <f>VLOOKUP(A19,policy!B:C,2,0)</f>
        <v>070000168747</v>
      </c>
      <c r="C19" s="66">
        <v>26999</v>
      </c>
      <c r="D19" s="97">
        <f t="shared" si="1"/>
        <v>26999</v>
      </c>
      <c r="E19" s="102" t="s">
        <v>2933</v>
      </c>
      <c r="F19" s="98" t="str">
        <f t="shared" si="0"/>
        <v>insert into ins_premium_det (premium_rcv_code,assorted_code, rec_amount,premium_rcv_detail_code,remaining_amt, payrec, mode_code,coinsurance_code,class_cd,it_remarks) values</v>
      </c>
      <c r="G19" s="99" t="str">
        <f t="shared" si="2"/>
        <v>('01Nov240029','070000168747','26999',(select max(to_number(i.premium_rcv_detail_code))+1
from ins_premium_det i),'26999','26999','02', '11000003','00','Request by Mr. Saqib Saleem 01-Nov-2024');</v>
      </c>
      <c r="H19" s="100" t="str">
        <f t="shared" si="3"/>
        <v>insert into ins_premium_det (premium_rcv_code,assorted_code, rec_amount,premium_rcv_detail_code,remaining_amt, payrec, mode_code,coinsurance_code,class_cd,it_remarks) values('01Nov240029','070000168747','26999',(select max(to_number(i.premium_rcv_detail_code))+1
from ins_premium_det i),'26999','26999','02', '11000003','00','Request by Mr. Saqib Saleem 01-Nov-2024');</v>
      </c>
    </row>
    <row r="20" spans="1:8" ht="105">
      <c r="A20" s="65" t="s">
        <v>2127</v>
      </c>
      <c r="B20" s="96" t="str">
        <f>VLOOKUP(A20,policy!B:C,2,0)</f>
        <v>070000168748</v>
      </c>
      <c r="C20" s="66">
        <v>66574</v>
      </c>
      <c r="D20" s="97">
        <f t="shared" si="1"/>
        <v>66574</v>
      </c>
      <c r="E20" s="102" t="s">
        <v>2933</v>
      </c>
      <c r="F20" s="98" t="str">
        <f t="shared" si="0"/>
        <v>insert into ins_premium_det (premium_rcv_code,assorted_code, rec_amount,premium_rcv_detail_code,remaining_amt, payrec, mode_code,coinsurance_code,class_cd,it_remarks) values</v>
      </c>
      <c r="G20" s="99" t="str">
        <f t="shared" si="2"/>
        <v>('01Nov240029','070000168748','66574',(select max(to_number(i.premium_rcv_detail_code))+1
from ins_premium_det i),'66574','66574','02', '11000003','00','Request by Mr. Saqib Saleem 01-Nov-2024');</v>
      </c>
      <c r="H20" s="100" t="str">
        <f t="shared" si="3"/>
        <v>insert into ins_premium_det (premium_rcv_code,assorted_code, rec_amount,premium_rcv_detail_code,remaining_amt, payrec, mode_code,coinsurance_code,class_cd,it_remarks) values('01Nov240029','070000168748','66574',(select max(to_number(i.premium_rcv_detail_code))+1
from ins_premium_det i),'66574','66574','02', '11000003','00','Request by Mr. Saqib Saleem 01-Nov-2024');</v>
      </c>
    </row>
    <row r="21" spans="1:8" ht="105">
      <c r="A21" s="65" t="s">
        <v>2128</v>
      </c>
      <c r="B21" s="96" t="str">
        <f>VLOOKUP(A21,policy!B:C,2,0)</f>
        <v>070000168749</v>
      </c>
      <c r="C21" s="66">
        <v>26408</v>
      </c>
      <c r="D21" s="97">
        <f t="shared" si="1"/>
        <v>26408</v>
      </c>
      <c r="E21" s="102" t="s">
        <v>2933</v>
      </c>
      <c r="F21" s="98" t="str">
        <f t="shared" si="0"/>
        <v>insert into ins_premium_det (premium_rcv_code,assorted_code, rec_amount,premium_rcv_detail_code,remaining_amt, payrec, mode_code,coinsurance_code,class_cd,it_remarks) values</v>
      </c>
      <c r="G21" s="99" t="str">
        <f t="shared" si="2"/>
        <v>('01Nov240029','070000168749','26408',(select max(to_number(i.premium_rcv_detail_code))+1
from ins_premium_det i),'26408','26408','02', '11000003','00','Request by Mr. Saqib Saleem 01-Nov-2024');</v>
      </c>
      <c r="H21" s="100" t="str">
        <f t="shared" si="3"/>
        <v>insert into ins_premium_det (premium_rcv_code,assorted_code, rec_amount,premium_rcv_detail_code,remaining_amt, payrec, mode_code,coinsurance_code,class_cd,it_remarks) values('01Nov240029','070000168749','26408',(select max(to_number(i.premium_rcv_detail_code))+1
from ins_premium_det i),'26408','26408','02', '11000003','00','Request by Mr. Saqib Saleem 01-Nov-2024');</v>
      </c>
    </row>
    <row r="22" spans="1:8" ht="105">
      <c r="A22" s="65" t="s">
        <v>2129</v>
      </c>
      <c r="B22" s="96" t="str">
        <f>VLOOKUP(A22,policy!B:C,2,0)</f>
        <v>070000168750</v>
      </c>
      <c r="C22" s="66">
        <v>40145</v>
      </c>
      <c r="D22" s="97">
        <f t="shared" si="1"/>
        <v>40145</v>
      </c>
      <c r="E22" s="102" t="s">
        <v>2933</v>
      </c>
      <c r="F22" s="98" t="str">
        <f t="shared" si="0"/>
        <v>insert into ins_premium_det (premium_rcv_code,assorted_code, rec_amount,premium_rcv_detail_code,remaining_amt, payrec, mode_code,coinsurance_code,class_cd,it_remarks) values</v>
      </c>
      <c r="G22" s="99" t="str">
        <f t="shared" si="2"/>
        <v>('01Nov240029','070000168750','40145',(select max(to_number(i.premium_rcv_detail_code))+1
from ins_premium_det i),'40145','40145','02', '11000003','00','Request by Mr. Saqib Saleem 01-Nov-2024');</v>
      </c>
      <c r="H22" s="100" t="str">
        <f t="shared" si="3"/>
        <v>insert into ins_premium_det (premium_rcv_code,assorted_code, rec_amount,premium_rcv_detail_code,remaining_amt, payrec, mode_code,coinsurance_code,class_cd,it_remarks) values('01Nov240029','070000168750','40145',(select max(to_number(i.premium_rcv_detail_code))+1
from ins_premium_det i),'40145','40145','02', '11000003','00','Request by Mr. Saqib Saleem 01-Nov-2024');</v>
      </c>
    </row>
    <row r="23" spans="1:8" ht="105">
      <c r="A23" s="65" t="s">
        <v>2130</v>
      </c>
      <c r="B23" s="96" t="str">
        <f>VLOOKUP(A23,policy!B:C,2,0)</f>
        <v>070000168751</v>
      </c>
      <c r="C23" s="66">
        <v>28868</v>
      </c>
      <c r="D23" s="97">
        <f t="shared" si="1"/>
        <v>28868</v>
      </c>
      <c r="E23" s="102" t="s">
        <v>2933</v>
      </c>
      <c r="F23" s="98" t="str">
        <f t="shared" si="0"/>
        <v>insert into ins_premium_det (premium_rcv_code,assorted_code, rec_amount,premium_rcv_detail_code,remaining_amt, payrec, mode_code,coinsurance_code,class_cd,it_remarks) values</v>
      </c>
      <c r="G23" s="99" t="str">
        <f t="shared" si="2"/>
        <v>('01Nov240029','070000168751','28868',(select max(to_number(i.premium_rcv_detail_code))+1
from ins_premium_det i),'28868','28868','02', '11000003','00','Request by Mr. Saqib Saleem 01-Nov-2024');</v>
      </c>
      <c r="H23" s="100" t="str">
        <f t="shared" si="3"/>
        <v>insert into ins_premium_det (premium_rcv_code,assorted_code, rec_amount,premium_rcv_detail_code,remaining_amt, payrec, mode_code,coinsurance_code,class_cd,it_remarks) values('01Nov240029','070000168751','28868',(select max(to_number(i.premium_rcv_detail_code))+1
from ins_premium_det i),'28868','28868','02', '11000003','00','Request by Mr. Saqib Saleem 01-Nov-2024');</v>
      </c>
    </row>
    <row r="24" spans="1:8" ht="105">
      <c r="A24" s="65" t="s">
        <v>2131</v>
      </c>
      <c r="B24" s="96" t="str">
        <f>VLOOKUP(A24,policy!B:C,2,0)</f>
        <v>070000168752</v>
      </c>
      <c r="C24" s="66">
        <v>63478</v>
      </c>
      <c r="D24" s="97">
        <f t="shared" si="1"/>
        <v>63478</v>
      </c>
      <c r="E24" s="102" t="s">
        <v>2933</v>
      </c>
      <c r="F24" s="98" t="str">
        <f t="shared" si="0"/>
        <v>insert into ins_premium_det (premium_rcv_code,assorted_code, rec_amount,premium_rcv_detail_code,remaining_amt, payrec, mode_code,coinsurance_code,class_cd,it_remarks) values</v>
      </c>
      <c r="G24" s="99" t="str">
        <f t="shared" si="2"/>
        <v>('01Nov240029','070000168752','63478',(select max(to_number(i.premium_rcv_detail_code))+1
from ins_premium_det i),'63478','63478','02', '11000003','00','Request by Mr. Saqib Saleem 01-Nov-2024');</v>
      </c>
      <c r="H24" s="100" t="str">
        <f t="shared" si="3"/>
        <v>insert into ins_premium_det (premium_rcv_code,assorted_code, rec_amount,premium_rcv_detail_code,remaining_amt, payrec, mode_code,coinsurance_code,class_cd,it_remarks) values('01Nov240029','070000168752','63478',(select max(to_number(i.premium_rcv_detail_code))+1
from ins_premium_det i),'63478','63478','02', '11000003','00','Request by Mr. Saqib Saleem 01-Nov-2024');</v>
      </c>
    </row>
    <row r="25" spans="1:8" ht="105">
      <c r="A25" s="65" t="s">
        <v>2132</v>
      </c>
      <c r="B25" s="96" t="str">
        <f>VLOOKUP(A25,policy!B:C,2,0)</f>
        <v>070000168753</v>
      </c>
      <c r="C25" s="66">
        <v>79027</v>
      </c>
      <c r="D25" s="97">
        <f t="shared" si="1"/>
        <v>79027</v>
      </c>
      <c r="E25" s="102" t="s">
        <v>2933</v>
      </c>
      <c r="F25" s="98" t="str">
        <f t="shared" si="0"/>
        <v>insert into ins_premium_det (premium_rcv_code,assorted_code, rec_amount,premium_rcv_detail_code,remaining_amt, payrec, mode_code,coinsurance_code,class_cd,it_remarks) values</v>
      </c>
      <c r="G25" s="99" t="str">
        <f t="shared" si="2"/>
        <v>('01Nov240029','070000168753','79027',(select max(to_number(i.premium_rcv_detail_code))+1
from ins_premium_det i),'79027','79027','02', '11000003','00','Request by Mr. Saqib Saleem 01-Nov-2024');</v>
      </c>
      <c r="H25" s="100" t="str">
        <f t="shared" si="3"/>
        <v>insert into ins_premium_det (premium_rcv_code,assorted_code, rec_amount,premium_rcv_detail_code,remaining_amt, payrec, mode_code,coinsurance_code,class_cd,it_remarks) values('01Nov240029','070000168753','79027',(select max(to_number(i.premium_rcv_detail_code))+1
from ins_premium_det i),'79027','79027','02', '11000003','00','Request by Mr. Saqib Saleem 01-Nov-2024');</v>
      </c>
    </row>
    <row r="26" spans="1:8" ht="105">
      <c r="A26" s="65" t="s">
        <v>2133</v>
      </c>
      <c r="B26" s="96" t="str">
        <f>VLOOKUP(A26,policy!B:C,2,0)</f>
        <v>070000168754</v>
      </c>
      <c r="C26" s="66">
        <v>42477</v>
      </c>
      <c r="D26" s="97">
        <f t="shared" si="1"/>
        <v>42477</v>
      </c>
      <c r="E26" s="102" t="s">
        <v>2933</v>
      </c>
      <c r="F26" s="98" t="str">
        <f t="shared" si="0"/>
        <v>insert into ins_premium_det (premium_rcv_code,assorted_code, rec_amount,premium_rcv_detail_code,remaining_amt, payrec, mode_code,coinsurance_code,class_cd,it_remarks) values</v>
      </c>
      <c r="G26" s="99" t="str">
        <f t="shared" si="2"/>
        <v>('01Nov240029','070000168754','42477',(select max(to_number(i.premium_rcv_detail_code))+1
from ins_premium_det i),'42477','42477','02', '11000003','00','Request by Mr. Saqib Saleem 01-Nov-2024');</v>
      </c>
      <c r="H26" s="100" t="str">
        <f t="shared" si="3"/>
        <v>insert into ins_premium_det (premium_rcv_code,assorted_code, rec_amount,premium_rcv_detail_code,remaining_amt, payrec, mode_code,coinsurance_code,class_cd,it_remarks) values('01Nov240029','070000168754','42477',(select max(to_number(i.premium_rcv_detail_code))+1
from ins_premium_det i),'42477','42477','02', '11000003','00','Request by Mr. Saqib Saleem 01-Nov-2024');</v>
      </c>
    </row>
    <row r="27" spans="1:8" ht="105">
      <c r="A27" s="65" t="s">
        <v>2134</v>
      </c>
      <c r="B27" s="96" t="str">
        <f>VLOOKUP(A27,policy!B:C,2,0)</f>
        <v>070000168755</v>
      </c>
      <c r="C27" s="66">
        <v>27064</v>
      </c>
      <c r="D27" s="97">
        <f t="shared" si="1"/>
        <v>27064</v>
      </c>
      <c r="E27" s="102" t="s">
        <v>2933</v>
      </c>
      <c r="F27" s="98" t="str">
        <f t="shared" si="0"/>
        <v>insert into ins_premium_det (premium_rcv_code,assorted_code, rec_amount,premium_rcv_detail_code,remaining_amt, payrec, mode_code,coinsurance_code,class_cd,it_remarks) values</v>
      </c>
      <c r="G27" s="99" t="str">
        <f t="shared" si="2"/>
        <v>('01Nov240029','070000168755','27064',(select max(to_number(i.premium_rcv_detail_code))+1
from ins_premium_det i),'27064','27064','02', '11000003','00','Request by Mr. Saqib Saleem 01-Nov-2024');</v>
      </c>
      <c r="H27" s="100" t="str">
        <f t="shared" si="3"/>
        <v>insert into ins_premium_det (premium_rcv_code,assorted_code, rec_amount,premium_rcv_detail_code,remaining_amt, payrec, mode_code,coinsurance_code,class_cd,it_remarks) values('01Nov240029','070000168755','27064',(select max(to_number(i.premium_rcv_detail_code))+1
from ins_premium_det i),'27064','27064','02', '11000003','00','Request by Mr. Saqib Saleem 01-Nov-2024');</v>
      </c>
    </row>
    <row r="28" spans="1:8" ht="105">
      <c r="A28" s="65" t="s">
        <v>2135</v>
      </c>
      <c r="B28" s="96" t="str">
        <f>VLOOKUP(A28,policy!B:C,2,0)</f>
        <v>070000168756</v>
      </c>
      <c r="C28" s="66">
        <v>119716</v>
      </c>
      <c r="D28" s="97">
        <f t="shared" si="1"/>
        <v>119716</v>
      </c>
      <c r="E28" s="102" t="s">
        <v>2933</v>
      </c>
      <c r="F28" s="98" t="str">
        <f t="shared" si="0"/>
        <v>insert into ins_premium_det (premium_rcv_code,assorted_code, rec_amount,premium_rcv_detail_code,remaining_amt, payrec, mode_code,coinsurance_code,class_cd,it_remarks) values</v>
      </c>
      <c r="G28" s="99" t="str">
        <f t="shared" si="2"/>
        <v>('01Nov240029','070000168756','119716',(select max(to_number(i.premium_rcv_detail_code))+1
from ins_premium_det i),'119716','119716','02', '11000003','00','Request by Mr. Saqib Saleem 01-Nov-2024');</v>
      </c>
      <c r="H28" s="100" t="str">
        <f t="shared" si="3"/>
        <v>insert into ins_premium_det (premium_rcv_code,assorted_code, rec_amount,premium_rcv_detail_code,remaining_amt, payrec, mode_code,coinsurance_code,class_cd,it_remarks) values('01Nov240029','070000168756','119716',(select max(to_number(i.premium_rcv_detail_code))+1
from ins_premium_det i),'119716','119716','02', '11000003','00','Request by Mr. Saqib Saleem 01-Nov-2024');</v>
      </c>
    </row>
    <row r="29" spans="1:8" ht="105">
      <c r="A29" s="65" t="s">
        <v>2136</v>
      </c>
      <c r="B29" s="96" t="str">
        <f>VLOOKUP(A29,policy!B:C,2,0)</f>
        <v>070000168757</v>
      </c>
      <c r="C29" s="66">
        <v>26548</v>
      </c>
      <c r="D29" s="97">
        <f t="shared" si="1"/>
        <v>26548</v>
      </c>
      <c r="E29" s="102" t="s">
        <v>2933</v>
      </c>
      <c r="F29" s="98" t="str">
        <f t="shared" si="0"/>
        <v>insert into ins_premium_det (premium_rcv_code,assorted_code, rec_amount,premium_rcv_detail_code,remaining_amt, payrec, mode_code,coinsurance_code,class_cd,it_remarks) values</v>
      </c>
      <c r="G29" s="99" t="str">
        <f t="shared" si="2"/>
        <v>('01Nov240029','070000168757','26548',(select max(to_number(i.premium_rcv_detail_code))+1
from ins_premium_det i),'26548','26548','02', '11000003','00','Request by Mr. Saqib Saleem 01-Nov-2024');</v>
      </c>
      <c r="H29" s="100" t="str">
        <f t="shared" si="3"/>
        <v>insert into ins_premium_det (premium_rcv_code,assorted_code, rec_amount,premium_rcv_detail_code,remaining_amt, payrec, mode_code,coinsurance_code,class_cd,it_remarks) values('01Nov240029','070000168757','26548',(select max(to_number(i.premium_rcv_detail_code))+1
from ins_premium_det i),'26548','26548','02', '11000003','00','Request by Mr. Saqib Saleem 01-Nov-2024');</v>
      </c>
    </row>
    <row r="30" spans="1:8" ht="105">
      <c r="A30" s="65" t="s">
        <v>2137</v>
      </c>
      <c r="B30" s="96" t="str">
        <f>VLOOKUP(A30,policy!B:C,2,0)</f>
        <v>070000168758</v>
      </c>
      <c r="C30" s="66">
        <v>46009</v>
      </c>
      <c r="D30" s="97">
        <f t="shared" si="1"/>
        <v>46009</v>
      </c>
      <c r="E30" s="102" t="s">
        <v>2933</v>
      </c>
      <c r="F30" s="98" t="str">
        <f t="shared" si="0"/>
        <v>insert into ins_premium_det (premium_rcv_code,assorted_code, rec_amount,premium_rcv_detail_code,remaining_amt, payrec, mode_code,coinsurance_code,class_cd,it_remarks) values</v>
      </c>
      <c r="G30" s="99" t="str">
        <f t="shared" si="2"/>
        <v>('01Nov240029','070000168758','46009',(select max(to_number(i.premium_rcv_detail_code))+1
from ins_premium_det i),'46009','46009','02', '11000003','00','Request by Mr. Saqib Saleem 01-Nov-2024');</v>
      </c>
      <c r="H30" s="100" t="str">
        <f t="shared" si="3"/>
        <v>insert into ins_premium_det (premium_rcv_code,assorted_code, rec_amount,premium_rcv_detail_code,remaining_amt, payrec, mode_code,coinsurance_code,class_cd,it_remarks) values('01Nov240029','070000168758','46009',(select max(to_number(i.premium_rcv_detail_code))+1
from ins_premium_det i),'46009','46009','02', '11000003','00','Request by Mr. Saqib Saleem 01-Nov-2024');</v>
      </c>
    </row>
    <row r="31" spans="1:8" ht="105">
      <c r="A31" s="65" t="s">
        <v>2138</v>
      </c>
      <c r="B31" s="96" t="str">
        <f>VLOOKUP(A31,policy!B:C,2,0)</f>
        <v>070000168759</v>
      </c>
      <c r="C31" s="66">
        <v>38806</v>
      </c>
      <c r="D31" s="97">
        <f t="shared" si="1"/>
        <v>38806</v>
      </c>
      <c r="E31" s="102" t="s">
        <v>2933</v>
      </c>
      <c r="F31" s="98" t="str">
        <f t="shared" si="0"/>
        <v>insert into ins_premium_det (premium_rcv_code,assorted_code, rec_amount,premium_rcv_detail_code,remaining_amt, payrec, mode_code,coinsurance_code,class_cd,it_remarks) values</v>
      </c>
      <c r="G31" s="99" t="str">
        <f t="shared" si="2"/>
        <v>('01Nov240029','070000168759','38806',(select max(to_number(i.premium_rcv_detail_code))+1
from ins_premium_det i),'38806','38806','02', '11000003','00','Request by Mr. Saqib Saleem 01-Nov-2024');</v>
      </c>
      <c r="H31" s="100" t="str">
        <f t="shared" si="3"/>
        <v>insert into ins_premium_det (premium_rcv_code,assorted_code, rec_amount,premium_rcv_detail_code,remaining_amt, payrec, mode_code,coinsurance_code,class_cd,it_remarks) values('01Nov240029','070000168759','38806',(select max(to_number(i.premium_rcv_detail_code))+1
from ins_premium_det i),'38806','38806','02', '11000003','00','Request by Mr. Saqib Saleem 01-Nov-2024');</v>
      </c>
    </row>
    <row r="32" spans="1:8" ht="105">
      <c r="A32" s="65" t="s">
        <v>2139</v>
      </c>
      <c r="B32" s="96" t="str">
        <f>VLOOKUP(A32,policy!B:C,2,0)</f>
        <v>070000168760</v>
      </c>
      <c r="C32" s="66">
        <v>39213</v>
      </c>
      <c r="D32" s="97">
        <f t="shared" si="1"/>
        <v>39213</v>
      </c>
      <c r="E32" s="102" t="s">
        <v>2933</v>
      </c>
      <c r="F32" s="98" t="str">
        <f t="shared" si="0"/>
        <v>insert into ins_premium_det (premium_rcv_code,assorted_code, rec_amount,premium_rcv_detail_code,remaining_amt, payrec, mode_code,coinsurance_code,class_cd,it_remarks) values</v>
      </c>
      <c r="G32" s="99" t="str">
        <f t="shared" si="2"/>
        <v>('01Nov240029','070000168760','39213',(select max(to_number(i.premium_rcv_detail_code))+1
from ins_premium_det i),'39213','39213','02', '11000003','00','Request by Mr. Saqib Saleem 01-Nov-2024');</v>
      </c>
      <c r="H32" s="100" t="str">
        <f t="shared" si="3"/>
        <v>insert into ins_premium_det (premium_rcv_code,assorted_code, rec_amount,premium_rcv_detail_code,remaining_amt, payrec, mode_code,coinsurance_code,class_cd,it_remarks) values('01Nov240029','070000168760','39213',(select max(to_number(i.premium_rcv_detail_code))+1
from ins_premium_det i),'39213','39213','02', '11000003','00','Request by Mr. Saqib Saleem 01-Nov-2024');</v>
      </c>
    </row>
    <row r="33" spans="1:8" ht="105">
      <c r="A33" s="65" t="s">
        <v>2140</v>
      </c>
      <c r="B33" s="96" t="str">
        <f>VLOOKUP(A33,policy!B:C,2,0)</f>
        <v>070000168761</v>
      </c>
      <c r="C33" s="66">
        <v>63478</v>
      </c>
      <c r="D33" s="97">
        <f t="shared" si="1"/>
        <v>63478</v>
      </c>
      <c r="E33" s="102" t="s">
        <v>2933</v>
      </c>
      <c r="F33" s="98" t="str">
        <f t="shared" si="0"/>
        <v>insert into ins_premium_det (premium_rcv_code,assorted_code, rec_amount,premium_rcv_detail_code,remaining_amt, payrec, mode_code,coinsurance_code,class_cd,it_remarks) values</v>
      </c>
      <c r="G33" s="99" t="str">
        <f t="shared" si="2"/>
        <v>('01Nov240029','070000168761','63478',(select max(to_number(i.premium_rcv_detail_code))+1
from ins_premium_det i),'63478','63478','02', '11000003','00','Request by Mr. Saqib Saleem 01-Nov-2024');</v>
      </c>
      <c r="H33" s="100" t="str">
        <f t="shared" si="3"/>
        <v>insert into ins_premium_det (premium_rcv_code,assorted_code, rec_amount,premium_rcv_detail_code,remaining_amt, payrec, mode_code,coinsurance_code,class_cd,it_remarks) values('01Nov240029','070000168761','63478',(select max(to_number(i.premium_rcv_detail_code))+1
from ins_premium_det i),'63478','63478','02', '11000003','00','Request by Mr. Saqib Saleem 01-Nov-2024');</v>
      </c>
    </row>
    <row r="34" spans="1:8" ht="105">
      <c r="A34" s="65" t="s">
        <v>2141</v>
      </c>
      <c r="B34" s="96" t="str">
        <f>VLOOKUP(A34,policy!B:C,2,0)</f>
        <v>070000168762</v>
      </c>
      <c r="C34" s="66">
        <v>52008</v>
      </c>
      <c r="D34" s="97">
        <f t="shared" si="1"/>
        <v>52008</v>
      </c>
      <c r="E34" s="102" t="s">
        <v>2933</v>
      </c>
      <c r="F34" s="98" t="str">
        <f t="shared" si="0"/>
        <v>insert into ins_premium_det (premium_rcv_code,assorted_code, rec_amount,premium_rcv_detail_code,remaining_amt, payrec, mode_code,coinsurance_code,class_cd,it_remarks) values</v>
      </c>
      <c r="G34" s="99" t="str">
        <f t="shared" si="2"/>
        <v>('01Nov240029','070000168762','52008',(select max(to_number(i.premium_rcv_detail_code))+1
from ins_premium_det i),'52008','52008','02', '11000003','00','Request by Mr. Saqib Saleem 01-Nov-2024');</v>
      </c>
      <c r="H34" s="100" t="str">
        <f t="shared" si="3"/>
        <v>insert into ins_premium_det (premium_rcv_code,assorted_code, rec_amount,premium_rcv_detail_code,remaining_amt, payrec, mode_code,coinsurance_code,class_cd,it_remarks) values('01Nov240029','070000168762','52008',(select max(to_number(i.premium_rcv_detail_code))+1
from ins_premium_det i),'52008','52008','02', '11000003','00','Request by Mr. Saqib Saleem 01-Nov-2024');</v>
      </c>
    </row>
    <row r="35" spans="1:8" ht="105">
      <c r="A35" s="65" t="s">
        <v>2142</v>
      </c>
      <c r="B35" s="96" t="str">
        <f>VLOOKUP(A35,policy!B:C,2,0)</f>
        <v>070000168763</v>
      </c>
      <c r="C35" s="66">
        <v>88027</v>
      </c>
      <c r="D35" s="97">
        <f t="shared" si="1"/>
        <v>88027</v>
      </c>
      <c r="E35" s="102" t="s">
        <v>2933</v>
      </c>
      <c r="F35" s="98" t="str">
        <f t="shared" si="0"/>
        <v>insert into ins_premium_det (premium_rcv_code,assorted_code, rec_amount,premium_rcv_detail_code,remaining_amt, payrec, mode_code,coinsurance_code,class_cd,it_remarks) values</v>
      </c>
      <c r="G35" s="99" t="str">
        <f t="shared" si="2"/>
        <v>('01Nov240029','070000168763','88027',(select max(to_number(i.premium_rcv_detail_code))+1
from ins_premium_det i),'88027','88027','02', '11000003','00','Request by Mr. Saqib Saleem 01-Nov-2024');</v>
      </c>
      <c r="H35" s="100" t="str">
        <f t="shared" si="3"/>
        <v>insert into ins_premium_det (premium_rcv_code,assorted_code, rec_amount,premium_rcv_detail_code,remaining_amt, payrec, mode_code,coinsurance_code,class_cd,it_remarks) values('01Nov240029','070000168763','88027',(select max(to_number(i.premium_rcv_detail_code))+1
from ins_premium_det i),'88027','88027','02', '11000003','00','Request by Mr. Saqib Saleem 01-Nov-2024');</v>
      </c>
    </row>
    <row r="36" spans="1:8" ht="105">
      <c r="A36" s="65" t="s">
        <v>2143</v>
      </c>
      <c r="B36" s="96" t="str">
        <f>VLOOKUP(A36,policy!B:C,2,0)</f>
        <v>070000168764</v>
      </c>
      <c r="C36" s="66">
        <v>21897</v>
      </c>
      <c r="D36" s="97">
        <f t="shared" si="1"/>
        <v>21897</v>
      </c>
      <c r="E36" s="102" t="s">
        <v>2933</v>
      </c>
      <c r="F36" s="98" t="str">
        <f t="shared" si="0"/>
        <v>insert into ins_premium_det (premium_rcv_code,assorted_code, rec_amount,premium_rcv_detail_code,remaining_amt, payrec, mode_code,coinsurance_code,class_cd,it_remarks) values</v>
      </c>
      <c r="G36" s="99" t="str">
        <f t="shared" si="2"/>
        <v>('01Nov240029','070000168764','21897',(select max(to_number(i.premium_rcv_detail_code))+1
from ins_premium_det i),'21897','21897','02', '11000003','00','Request by Mr. Saqib Saleem 01-Nov-2024');</v>
      </c>
      <c r="H36" s="100" t="str">
        <f t="shared" si="3"/>
        <v>insert into ins_premium_det (premium_rcv_code,assorted_code, rec_amount,premium_rcv_detail_code,remaining_amt, payrec, mode_code,coinsurance_code,class_cd,it_remarks) values('01Nov240029','070000168764','21897',(select max(to_number(i.premium_rcv_detail_code))+1
from ins_premium_det i),'21897','21897','02', '11000003','00','Request by Mr. Saqib Saleem 01-Nov-2024');</v>
      </c>
    </row>
    <row r="37" spans="1:8" ht="105">
      <c r="A37" s="65" t="s">
        <v>2144</v>
      </c>
      <c r="B37" s="96" t="str">
        <f>VLOOKUP(A37,policy!B:C,2,0)</f>
        <v>070000168765</v>
      </c>
      <c r="C37" s="66">
        <v>37559</v>
      </c>
      <c r="D37" s="97">
        <f t="shared" si="1"/>
        <v>37559</v>
      </c>
      <c r="E37" s="102" t="s">
        <v>2933</v>
      </c>
      <c r="F37" s="98" t="str">
        <f t="shared" si="0"/>
        <v>insert into ins_premium_det (premium_rcv_code,assorted_code, rec_amount,premium_rcv_detail_code,remaining_amt, payrec, mode_code,coinsurance_code,class_cd,it_remarks) values</v>
      </c>
      <c r="G37" s="99" t="str">
        <f t="shared" si="2"/>
        <v>('01Nov240029','070000168765','37559',(select max(to_number(i.premium_rcv_detail_code))+1
from ins_premium_det i),'37559','37559','02', '11000003','00','Request by Mr. Saqib Saleem 01-Nov-2024');</v>
      </c>
      <c r="H37" s="100" t="str">
        <f t="shared" si="3"/>
        <v>insert into ins_premium_det (premium_rcv_code,assorted_code, rec_amount,premium_rcv_detail_code,remaining_amt, payrec, mode_code,coinsurance_code,class_cd,it_remarks) values('01Nov240029','070000168765','37559',(select max(to_number(i.premium_rcv_detail_code))+1
from ins_premium_det i),'37559','37559','02', '11000003','00','Request by Mr. Saqib Saleem 01-Nov-2024');</v>
      </c>
    </row>
    <row r="38" spans="1:8" ht="105">
      <c r="A38" s="65" t="s">
        <v>2145</v>
      </c>
      <c r="B38" s="96" t="str">
        <f>VLOOKUP(A38,policy!B:C,2,0)</f>
        <v>070000168767</v>
      </c>
      <c r="C38" s="66">
        <v>43877</v>
      </c>
      <c r="D38" s="97">
        <f t="shared" si="1"/>
        <v>43877</v>
      </c>
      <c r="E38" s="102" t="s">
        <v>2933</v>
      </c>
      <c r="F38" s="98" t="str">
        <f t="shared" si="0"/>
        <v>insert into ins_premium_det (premium_rcv_code,assorted_code, rec_amount,premium_rcv_detail_code,remaining_amt, payrec, mode_code,coinsurance_code,class_cd,it_remarks) values</v>
      </c>
      <c r="G38" s="99" t="str">
        <f t="shared" si="2"/>
        <v>('01Nov240029','070000168767','43877',(select max(to_number(i.premium_rcv_detail_code))+1
from ins_premium_det i),'43877','43877','02', '11000003','00','Request by Mr. Saqib Saleem 01-Nov-2024');</v>
      </c>
      <c r="H38" s="100" t="str">
        <f t="shared" si="3"/>
        <v>insert into ins_premium_det (premium_rcv_code,assorted_code, rec_amount,premium_rcv_detail_code,remaining_amt, payrec, mode_code,coinsurance_code,class_cd,it_remarks) values('01Nov240029','070000168767','43877',(select max(to_number(i.premium_rcv_detail_code))+1
from ins_premium_det i),'43877','43877','02', '11000003','00','Request by Mr. Saqib Saleem 01-Nov-2024');</v>
      </c>
    </row>
    <row r="39" spans="1:8" ht="105">
      <c r="A39" s="65" t="s">
        <v>2146</v>
      </c>
      <c r="B39" s="96" t="str">
        <f>VLOOKUP(A39,policy!B:C,2,0)</f>
        <v>070000168768</v>
      </c>
      <c r="C39" s="66">
        <v>23784</v>
      </c>
      <c r="D39" s="97">
        <f t="shared" si="1"/>
        <v>23784</v>
      </c>
      <c r="E39" s="102" t="s">
        <v>2933</v>
      </c>
      <c r="F39" s="98" t="str">
        <f t="shared" si="0"/>
        <v>insert into ins_premium_det (premium_rcv_code,assorted_code, rec_amount,premium_rcv_detail_code,remaining_amt, payrec, mode_code,coinsurance_code,class_cd,it_remarks) values</v>
      </c>
      <c r="G39" s="99" t="str">
        <f t="shared" si="2"/>
        <v>('01Nov240029','070000168768','23784',(select max(to_number(i.premium_rcv_detail_code))+1
from ins_premium_det i),'23784','23784','02', '11000003','00','Request by Mr. Saqib Saleem 01-Nov-2024');</v>
      </c>
      <c r="H39" s="100" t="str">
        <f t="shared" si="3"/>
        <v>insert into ins_premium_det (premium_rcv_code,assorted_code, rec_amount,premium_rcv_detail_code,remaining_amt, payrec, mode_code,coinsurance_code,class_cd,it_remarks) values('01Nov240029','070000168768','23784',(select max(to_number(i.premium_rcv_detail_code))+1
from ins_premium_det i),'23784','23784','02', '11000003','00','Request by Mr. Saqib Saleem 01-Nov-2024');</v>
      </c>
    </row>
    <row r="40" spans="1:8" ht="105">
      <c r="A40" s="65" t="s">
        <v>2147</v>
      </c>
      <c r="B40" s="96" t="str">
        <f>VLOOKUP(A40,policy!B:C,2,0)</f>
        <v>070000168769</v>
      </c>
      <c r="C40" s="66">
        <v>46009</v>
      </c>
      <c r="D40" s="97">
        <f t="shared" si="1"/>
        <v>46009</v>
      </c>
      <c r="E40" s="102" t="s">
        <v>2933</v>
      </c>
      <c r="F40" s="98" t="str">
        <f t="shared" si="0"/>
        <v>insert into ins_premium_det (premium_rcv_code,assorted_code, rec_amount,premium_rcv_detail_code,remaining_amt, payrec, mode_code,coinsurance_code,class_cd,it_remarks) values</v>
      </c>
      <c r="G40" s="99" t="str">
        <f t="shared" si="2"/>
        <v>('01Nov240029','070000168769','46009',(select max(to_number(i.premium_rcv_detail_code))+1
from ins_premium_det i),'46009','46009','02', '11000003','00','Request by Mr. Saqib Saleem 01-Nov-2024');</v>
      </c>
      <c r="H40" s="100" t="str">
        <f t="shared" si="3"/>
        <v>insert into ins_premium_det (premium_rcv_code,assorted_code, rec_amount,premium_rcv_detail_code,remaining_amt, payrec, mode_code,coinsurance_code,class_cd,it_remarks) values('01Nov240029','070000168769','46009',(select max(to_number(i.premium_rcv_detail_code))+1
from ins_premium_det i),'46009','46009','02', '11000003','00','Request by Mr. Saqib Saleem 01-Nov-2024');</v>
      </c>
    </row>
    <row r="41" spans="1:8" ht="105">
      <c r="A41" s="65" t="s">
        <v>2148</v>
      </c>
      <c r="B41" s="96" t="str">
        <f>VLOOKUP(A41,policy!B:C,2,0)</f>
        <v>070000168770</v>
      </c>
      <c r="C41" s="66">
        <v>65823</v>
      </c>
      <c r="D41" s="97">
        <f t="shared" si="1"/>
        <v>65823</v>
      </c>
      <c r="E41" s="102" t="s">
        <v>2933</v>
      </c>
      <c r="F41" s="98" t="str">
        <f t="shared" si="0"/>
        <v>insert into ins_premium_det (premium_rcv_code,assorted_code, rec_amount,premium_rcv_detail_code,remaining_amt, payrec, mode_code,coinsurance_code,class_cd,it_remarks) values</v>
      </c>
      <c r="G41" s="99" t="str">
        <f t="shared" si="2"/>
        <v>('01Nov240029','070000168770','65823',(select max(to_number(i.premium_rcv_detail_code))+1
from ins_premium_det i),'65823','65823','02', '11000003','00','Request by Mr. Saqib Saleem 01-Nov-2024');</v>
      </c>
      <c r="H41" s="100" t="str">
        <f t="shared" si="3"/>
        <v>insert into ins_premium_det (premium_rcv_code,assorted_code, rec_amount,premium_rcv_detail_code,remaining_amt, payrec, mode_code,coinsurance_code,class_cd,it_remarks) values('01Nov240029','070000168770','65823',(select max(to_number(i.premium_rcv_detail_code))+1
from ins_premium_det i),'65823','65823','02', '11000003','00','Request by Mr. Saqib Saleem 01-Nov-2024');</v>
      </c>
    </row>
    <row r="42" spans="1:8" ht="105">
      <c r="A42" s="65" t="s">
        <v>2149</v>
      </c>
      <c r="B42" s="96" t="str">
        <f>VLOOKUP(A42,policy!B:C,2,0)</f>
        <v>070000168771</v>
      </c>
      <c r="C42" s="66">
        <v>21897</v>
      </c>
      <c r="D42" s="97">
        <f t="shared" si="1"/>
        <v>21897</v>
      </c>
      <c r="E42" s="102" t="s">
        <v>2933</v>
      </c>
      <c r="F42" s="98" t="str">
        <f t="shared" si="0"/>
        <v>insert into ins_premium_det (premium_rcv_code,assorted_code, rec_amount,premium_rcv_detail_code,remaining_amt, payrec, mode_code,coinsurance_code,class_cd,it_remarks) values</v>
      </c>
      <c r="G42" s="99" t="str">
        <f t="shared" si="2"/>
        <v>('01Nov240029','070000168771','21897',(select max(to_number(i.premium_rcv_detail_code))+1
from ins_premium_det i),'21897','21897','02', '11000003','00','Request by Mr. Saqib Saleem 01-Nov-2024');</v>
      </c>
      <c r="H42" s="100" t="str">
        <f t="shared" si="3"/>
        <v>insert into ins_premium_det (premium_rcv_code,assorted_code, rec_amount,premium_rcv_detail_code,remaining_amt, payrec, mode_code,coinsurance_code,class_cd,it_remarks) values('01Nov240029','070000168771','21897',(select max(to_number(i.premium_rcv_detail_code))+1
from ins_premium_det i),'21897','21897','02', '11000003','00','Request by Mr. Saqib Saleem 01-Nov-2024');</v>
      </c>
    </row>
    <row r="43" spans="1:8" ht="105">
      <c r="A43" s="65" t="s">
        <v>2150</v>
      </c>
      <c r="B43" s="96" t="str">
        <f>VLOOKUP(A43,policy!B:C,2,0)</f>
        <v>070000168772</v>
      </c>
      <c r="C43" s="66">
        <v>21897</v>
      </c>
      <c r="D43" s="97">
        <f t="shared" si="1"/>
        <v>21897</v>
      </c>
      <c r="E43" s="102" t="s">
        <v>2933</v>
      </c>
      <c r="F43" s="98" t="str">
        <f t="shared" si="0"/>
        <v>insert into ins_premium_det (premium_rcv_code,assorted_code, rec_amount,premium_rcv_detail_code,remaining_amt, payrec, mode_code,coinsurance_code,class_cd,it_remarks) values</v>
      </c>
      <c r="G43" s="99" t="str">
        <f t="shared" si="2"/>
        <v>('01Nov240029','070000168772','21897',(select max(to_number(i.premium_rcv_detail_code))+1
from ins_premium_det i),'21897','21897','02', '11000003','00','Request by Mr. Saqib Saleem 01-Nov-2024');</v>
      </c>
      <c r="H43" s="100" t="str">
        <f t="shared" si="3"/>
        <v>insert into ins_premium_det (premium_rcv_code,assorted_code, rec_amount,premium_rcv_detail_code,remaining_amt, payrec, mode_code,coinsurance_code,class_cd,it_remarks) values('01Nov240029','070000168772','21897',(select max(to_number(i.premium_rcv_detail_code))+1
from ins_premium_det i),'21897','21897','02', '11000003','00','Request by Mr. Saqib Saleem 01-Nov-2024');</v>
      </c>
    </row>
    <row r="44" spans="1:8" ht="105">
      <c r="A44" s="65" t="s">
        <v>2151</v>
      </c>
      <c r="B44" s="96" t="str">
        <f>VLOOKUP(A44,policy!B:C,2,0)</f>
        <v>070000168773</v>
      </c>
      <c r="C44" s="66">
        <v>30400</v>
      </c>
      <c r="D44" s="97">
        <f t="shared" si="1"/>
        <v>30400</v>
      </c>
      <c r="E44" s="102" t="s">
        <v>2933</v>
      </c>
      <c r="F44" s="98" t="str">
        <f t="shared" si="0"/>
        <v>insert into ins_premium_det (premium_rcv_code,assorted_code, rec_amount,premium_rcv_detail_code,remaining_amt, payrec, mode_code,coinsurance_code,class_cd,it_remarks) values</v>
      </c>
      <c r="G44" s="99" t="str">
        <f t="shared" si="2"/>
        <v>('01Nov240029','070000168773','30400',(select max(to_number(i.premium_rcv_detail_code))+1
from ins_premium_det i),'30400','30400','02', '11000003','00','Request by Mr. Saqib Saleem 01-Nov-2024');</v>
      </c>
      <c r="H44" s="100" t="str">
        <f t="shared" si="3"/>
        <v>insert into ins_premium_det (premium_rcv_code,assorted_code, rec_amount,premium_rcv_detail_code,remaining_amt, payrec, mode_code,coinsurance_code,class_cd,it_remarks) values('01Nov240029','070000168773','30400',(select max(to_number(i.premium_rcv_detail_code))+1
from ins_premium_det i),'30400','30400','02', '11000003','00','Request by Mr. Saqib Saleem 01-Nov-2024');</v>
      </c>
    </row>
    <row r="45" spans="1:8" ht="105">
      <c r="A45" s="65" t="s">
        <v>2152</v>
      </c>
      <c r="B45" s="96" t="str">
        <f>VLOOKUP(A45,policy!B:C,2,0)</f>
        <v>070000168774</v>
      </c>
      <c r="C45" s="66">
        <v>22065</v>
      </c>
      <c r="D45" s="97">
        <f t="shared" si="1"/>
        <v>22065</v>
      </c>
      <c r="E45" s="102" t="s">
        <v>2933</v>
      </c>
      <c r="F45" s="98" t="str">
        <f t="shared" si="0"/>
        <v>insert into ins_premium_det (premium_rcv_code,assorted_code, rec_amount,premium_rcv_detail_code,remaining_amt, payrec, mode_code,coinsurance_code,class_cd,it_remarks) values</v>
      </c>
      <c r="G45" s="99" t="str">
        <f t="shared" si="2"/>
        <v>('01Nov240029','070000168774','22065',(select max(to_number(i.premium_rcv_detail_code))+1
from ins_premium_det i),'22065','22065','02', '11000003','00','Request by Mr. Saqib Saleem 01-Nov-2024');</v>
      </c>
      <c r="H45" s="100" t="str">
        <f t="shared" si="3"/>
        <v>insert into ins_premium_det (premium_rcv_code,assorted_code, rec_amount,premium_rcv_detail_code,remaining_amt, payrec, mode_code,coinsurance_code,class_cd,it_remarks) values('01Nov240029','070000168774','22065',(select max(to_number(i.premium_rcv_detail_code))+1
from ins_premium_det i),'22065','22065','02', '11000003','00','Request by Mr. Saqib Saleem 01-Nov-2024');</v>
      </c>
    </row>
    <row r="46" spans="1:8" ht="105">
      <c r="A46" s="65" t="s">
        <v>2153</v>
      </c>
      <c r="B46" s="96" t="str">
        <f>VLOOKUP(A46,policy!B:C,2,0)</f>
        <v>070000168775</v>
      </c>
      <c r="C46" s="66">
        <v>37559</v>
      </c>
      <c r="D46" s="97">
        <f t="shared" si="1"/>
        <v>37559</v>
      </c>
      <c r="E46" s="102" t="s">
        <v>2933</v>
      </c>
      <c r="F46" s="98" t="str">
        <f t="shared" si="0"/>
        <v>insert into ins_premium_det (premium_rcv_code,assorted_code, rec_amount,premium_rcv_detail_code,remaining_amt, payrec, mode_code,coinsurance_code,class_cd,it_remarks) values</v>
      </c>
      <c r="G46" s="99" t="str">
        <f t="shared" si="2"/>
        <v>('01Nov240029','070000168775','37559',(select max(to_number(i.premium_rcv_detail_code))+1
from ins_premium_det i),'37559','37559','02', '11000003','00','Request by Mr. Saqib Saleem 01-Nov-2024');</v>
      </c>
      <c r="H46" s="100" t="str">
        <f t="shared" si="3"/>
        <v>insert into ins_premium_det (premium_rcv_code,assorted_code, rec_amount,premium_rcv_detail_code,remaining_amt, payrec, mode_code,coinsurance_code,class_cd,it_remarks) values('01Nov240029','070000168775','37559',(select max(to_number(i.premium_rcv_detail_code))+1
from ins_premium_det i),'37559','37559','02', '11000003','00','Request by Mr. Saqib Saleem 01-Nov-2024');</v>
      </c>
    </row>
    <row r="47" spans="1:8" ht="105">
      <c r="A47" s="65" t="s">
        <v>2154</v>
      </c>
      <c r="B47" s="96" t="str">
        <f>VLOOKUP(A47,policy!B:C,2,0)</f>
        <v>070000168776</v>
      </c>
      <c r="C47" s="66">
        <v>111868</v>
      </c>
      <c r="D47" s="97">
        <f t="shared" si="1"/>
        <v>111868</v>
      </c>
      <c r="E47" s="102" t="s">
        <v>2933</v>
      </c>
      <c r="F47" s="98" t="str">
        <f t="shared" si="0"/>
        <v>insert into ins_premium_det (premium_rcv_code,assorted_code, rec_amount,premium_rcv_detail_code,remaining_amt, payrec, mode_code,coinsurance_code,class_cd,it_remarks) values</v>
      </c>
      <c r="G47" s="99" t="str">
        <f t="shared" si="2"/>
        <v>('01Nov240029','070000168776','111868',(select max(to_number(i.premium_rcv_detail_code))+1
from ins_premium_det i),'111868','111868','02', '11000003','00','Request by Mr. Saqib Saleem 01-Nov-2024');</v>
      </c>
      <c r="H47" s="100" t="str">
        <f t="shared" si="3"/>
        <v>insert into ins_premium_det (premium_rcv_code,assorted_code, rec_amount,premium_rcv_detail_code,remaining_amt, payrec, mode_code,coinsurance_code,class_cd,it_remarks) values('01Nov240029','070000168776','111868',(select max(to_number(i.premium_rcv_detail_code))+1
from ins_premium_det i),'111868','111868','02', '11000003','00','Request by Mr. Saqib Saleem 01-Nov-2024');</v>
      </c>
    </row>
    <row r="48" spans="1:8" ht="105">
      <c r="A48" s="65" t="s">
        <v>2155</v>
      </c>
      <c r="B48" s="96" t="str">
        <f>VLOOKUP(A48,policy!B:C,2,0)</f>
        <v>070000168777</v>
      </c>
      <c r="C48" s="66">
        <v>14605</v>
      </c>
      <c r="D48" s="97">
        <f t="shared" si="1"/>
        <v>14605</v>
      </c>
      <c r="E48" s="102" t="s">
        <v>2933</v>
      </c>
      <c r="F48" s="98" t="str">
        <f t="shared" si="0"/>
        <v>insert into ins_premium_det (premium_rcv_code,assorted_code, rec_amount,premium_rcv_detail_code,remaining_amt, payrec, mode_code,coinsurance_code,class_cd,it_remarks) values</v>
      </c>
      <c r="G48" s="99" t="str">
        <f t="shared" si="2"/>
        <v>('01Nov240029','070000168777','14605',(select max(to_number(i.premium_rcv_detail_code))+1
from ins_premium_det i),'14605','14605','02', '11000003','00','Request by Mr. Saqib Saleem 01-Nov-2024');</v>
      </c>
      <c r="H48" s="100" t="str">
        <f t="shared" si="3"/>
        <v>insert into ins_premium_det (premium_rcv_code,assorted_code, rec_amount,premium_rcv_detail_code,remaining_amt, payrec, mode_code,coinsurance_code,class_cd,it_remarks) values('01Nov240029','070000168777','14605',(select max(to_number(i.premium_rcv_detail_code))+1
from ins_premium_det i),'14605','14605','02', '11000003','00','Request by Mr. Saqib Saleem 01-Nov-2024');</v>
      </c>
    </row>
    <row r="49" spans="1:8" ht="105">
      <c r="A49" s="65" t="s">
        <v>2156</v>
      </c>
      <c r="B49" s="96" t="str">
        <f>VLOOKUP(A49,policy!B:C,2,0)</f>
        <v>070000168778</v>
      </c>
      <c r="C49" s="66">
        <v>31176</v>
      </c>
      <c r="D49" s="97">
        <f t="shared" si="1"/>
        <v>31176</v>
      </c>
      <c r="E49" s="102" t="s">
        <v>2933</v>
      </c>
      <c r="F49" s="98" t="str">
        <f t="shared" si="0"/>
        <v>insert into ins_premium_det (premium_rcv_code,assorted_code, rec_amount,premium_rcv_detail_code,remaining_amt, payrec, mode_code,coinsurance_code,class_cd,it_remarks) values</v>
      </c>
      <c r="G49" s="99" t="str">
        <f t="shared" si="2"/>
        <v>('01Nov240029','070000168778','31176',(select max(to_number(i.premium_rcv_detail_code))+1
from ins_premium_det i),'31176','31176','02', '11000003','00','Request by Mr. Saqib Saleem 01-Nov-2024');</v>
      </c>
      <c r="H49" s="100" t="str">
        <f t="shared" si="3"/>
        <v>insert into ins_premium_det (premium_rcv_code,assorted_code, rec_amount,premium_rcv_detail_code,remaining_amt, payrec, mode_code,coinsurance_code,class_cd,it_remarks) values('01Nov240029','070000168778','31176',(select max(to_number(i.premium_rcv_detail_code))+1
from ins_premium_det i),'31176','31176','02', '11000003','00','Request by Mr. Saqib Saleem 01-Nov-2024');</v>
      </c>
    </row>
    <row r="50" spans="1:8" ht="105">
      <c r="A50" s="65" t="s">
        <v>2157</v>
      </c>
      <c r="B50" s="96" t="str">
        <f>VLOOKUP(A50,policy!B:C,2,0)</f>
        <v>070000168779</v>
      </c>
      <c r="C50" s="66">
        <v>20646</v>
      </c>
      <c r="D50" s="97">
        <f t="shared" si="1"/>
        <v>20646</v>
      </c>
      <c r="E50" s="102" t="s">
        <v>2933</v>
      </c>
      <c r="F50" s="98" t="str">
        <f t="shared" si="0"/>
        <v>insert into ins_premium_det (premium_rcv_code,assorted_code, rec_amount,premium_rcv_detail_code,remaining_amt, payrec, mode_code,coinsurance_code,class_cd,it_remarks) values</v>
      </c>
      <c r="G50" s="99" t="str">
        <f t="shared" si="2"/>
        <v>('01Nov240029','070000168779','20646',(select max(to_number(i.premium_rcv_detail_code))+1
from ins_premium_det i),'20646','20646','02', '11000003','00','Request by Mr. Saqib Saleem 01-Nov-2024');</v>
      </c>
      <c r="H50" s="100" t="str">
        <f t="shared" si="3"/>
        <v>insert into ins_premium_det (premium_rcv_code,assorted_code, rec_amount,premium_rcv_detail_code,remaining_amt, payrec, mode_code,coinsurance_code,class_cd,it_remarks) values('01Nov240029','070000168779','20646',(select max(to_number(i.premium_rcv_detail_code))+1
from ins_premium_det i),'20646','20646','02', '11000003','00','Request by Mr. Saqib Saleem 01-Nov-2024');</v>
      </c>
    </row>
    <row r="51" spans="1:8" ht="105">
      <c r="A51" s="65" t="s">
        <v>2158</v>
      </c>
      <c r="B51" s="96" t="str">
        <f>VLOOKUP(A51,policy!B:C,2,0)</f>
        <v>070000168780</v>
      </c>
      <c r="C51" s="66">
        <v>29623</v>
      </c>
      <c r="D51" s="97">
        <f t="shared" si="1"/>
        <v>29623</v>
      </c>
      <c r="E51" s="102" t="s">
        <v>2933</v>
      </c>
      <c r="F51" s="98" t="str">
        <f t="shared" si="0"/>
        <v>insert into ins_premium_det (premium_rcv_code,assorted_code, rec_amount,premium_rcv_detail_code,remaining_amt, payrec, mode_code,coinsurance_code,class_cd,it_remarks) values</v>
      </c>
      <c r="G51" s="99" t="str">
        <f t="shared" si="2"/>
        <v>('01Nov240029','070000168780','29623',(select max(to_number(i.premium_rcv_detail_code))+1
from ins_premium_det i),'29623','29623','02', '11000003','00','Request by Mr. Saqib Saleem 01-Nov-2024');</v>
      </c>
      <c r="H51" s="100" t="str">
        <f t="shared" si="3"/>
        <v>insert into ins_premium_det (premium_rcv_code,assorted_code, rec_amount,premium_rcv_detail_code,remaining_amt, payrec, mode_code,coinsurance_code,class_cd,it_remarks) values('01Nov240029','070000168780','29623',(select max(to_number(i.premium_rcv_detail_code))+1
from ins_premium_det i),'29623','29623','02', '11000003','00','Request by Mr. Saqib Saleem 01-Nov-2024');</v>
      </c>
    </row>
    <row r="52" spans="1:8" ht="105">
      <c r="A52" s="65" t="s">
        <v>2159</v>
      </c>
      <c r="B52" s="96" t="str">
        <f>VLOOKUP(A52,policy!B:C,2,0)</f>
        <v>070000168781</v>
      </c>
      <c r="C52" s="66">
        <v>22065</v>
      </c>
      <c r="D52" s="97">
        <f t="shared" si="1"/>
        <v>22065</v>
      </c>
      <c r="E52" s="102" t="s">
        <v>2933</v>
      </c>
      <c r="F52" s="98" t="str">
        <f t="shared" si="0"/>
        <v>insert into ins_premium_det (premium_rcv_code,assorted_code, rec_amount,premium_rcv_detail_code,remaining_amt, payrec, mode_code,coinsurance_code,class_cd,it_remarks) values</v>
      </c>
      <c r="G52" s="99" t="str">
        <f t="shared" si="2"/>
        <v>('01Nov240029','070000168781','22065',(select max(to_number(i.premium_rcv_detail_code))+1
from ins_premium_det i),'22065','22065','02', '11000003','00','Request by Mr. Saqib Saleem 01-Nov-2024');</v>
      </c>
      <c r="H52" s="100" t="str">
        <f t="shared" si="3"/>
        <v>insert into ins_premium_det (premium_rcv_code,assorted_code, rec_amount,premium_rcv_detail_code,remaining_amt, payrec, mode_code,coinsurance_code,class_cd,it_remarks) values('01Nov240029','070000168781','22065',(select max(to_number(i.premium_rcv_detail_code))+1
from ins_premium_det i),'22065','22065','02', '11000003','00','Request by Mr. Saqib Saleem 01-Nov-2024');</v>
      </c>
    </row>
    <row r="53" spans="1:8" ht="105">
      <c r="A53" s="65" t="s">
        <v>2160</v>
      </c>
      <c r="B53" s="96" t="str">
        <f>VLOOKUP(A53,policy!B:C,2,0)</f>
        <v>070000168782</v>
      </c>
      <c r="C53" s="66">
        <v>16267</v>
      </c>
      <c r="D53" s="97">
        <f t="shared" si="1"/>
        <v>16267</v>
      </c>
      <c r="E53" s="102" t="s">
        <v>2933</v>
      </c>
      <c r="F53" s="98" t="str">
        <f t="shared" si="0"/>
        <v>insert into ins_premium_det (premium_rcv_code,assorted_code, rec_amount,premium_rcv_detail_code,remaining_amt, payrec, mode_code,coinsurance_code,class_cd,it_remarks) values</v>
      </c>
      <c r="G53" s="99" t="str">
        <f t="shared" si="2"/>
        <v>('01Nov240029','070000168782','16267',(select max(to_number(i.premium_rcv_detail_code))+1
from ins_premium_det i),'16267','16267','02', '11000003','00','Request by Mr. Saqib Saleem 01-Nov-2024');</v>
      </c>
      <c r="H53" s="100" t="str">
        <f t="shared" si="3"/>
        <v>insert into ins_premium_det (premium_rcv_code,assorted_code, rec_amount,premium_rcv_detail_code,remaining_amt, payrec, mode_code,coinsurance_code,class_cd,it_remarks) values('01Nov240029','070000168782','16267',(select max(to_number(i.premium_rcv_detail_code))+1
from ins_premium_det i),'16267','16267','02', '11000003','00','Request by Mr. Saqib Saleem 01-Nov-2024');</v>
      </c>
    </row>
    <row r="54" spans="1:8" ht="105">
      <c r="A54" s="65" t="s">
        <v>2161</v>
      </c>
      <c r="B54" s="96" t="str">
        <f>VLOOKUP(A54,policy!B:C,2,0)</f>
        <v>070000168783</v>
      </c>
      <c r="C54" s="66">
        <v>62864</v>
      </c>
      <c r="D54" s="97">
        <f t="shared" si="1"/>
        <v>62864</v>
      </c>
      <c r="E54" s="102" t="s">
        <v>2933</v>
      </c>
      <c r="F54" s="98" t="str">
        <f t="shared" si="0"/>
        <v>insert into ins_premium_det (premium_rcv_code,assorted_code, rec_amount,premium_rcv_detail_code,remaining_amt, payrec, mode_code,coinsurance_code,class_cd,it_remarks) values</v>
      </c>
      <c r="G54" s="99" t="str">
        <f t="shared" si="2"/>
        <v>('01Nov240029','070000168783','62864',(select max(to_number(i.premium_rcv_detail_code))+1
from ins_premium_det i),'62864','62864','02', '11000003','00','Request by Mr. Saqib Saleem 01-Nov-2024');</v>
      </c>
      <c r="H54" s="100" t="str">
        <f t="shared" si="3"/>
        <v>insert into ins_premium_det (premium_rcv_code,assorted_code, rec_amount,premium_rcv_detail_code,remaining_amt, payrec, mode_code,coinsurance_code,class_cd,it_remarks) values('01Nov240029','070000168783','62864',(select max(to_number(i.premium_rcv_detail_code))+1
from ins_premium_det i),'62864','62864','02', '11000003','00','Request by Mr. Saqib Saleem 01-Nov-2024');</v>
      </c>
    </row>
    <row r="55" spans="1:8" ht="105">
      <c r="A55" s="68" t="s">
        <v>2104</v>
      </c>
      <c r="B55" s="96" t="str">
        <f>VLOOKUP(A55,policy!B:C,2,0)</f>
        <v>070000167616</v>
      </c>
      <c r="C55" s="66">
        <v>27635</v>
      </c>
      <c r="D55" s="97">
        <f t="shared" si="1"/>
        <v>27635</v>
      </c>
      <c r="E55" s="102" t="s">
        <v>2933</v>
      </c>
      <c r="F55" s="98" t="str">
        <f t="shared" si="0"/>
        <v>insert into ins_premium_det (premium_rcv_code,assorted_code, rec_amount,premium_rcv_detail_code,remaining_amt, payrec, mode_code,coinsurance_code,class_cd,it_remarks) values</v>
      </c>
      <c r="G55" s="99" t="str">
        <f t="shared" si="2"/>
        <v>('01Nov240029','070000167616','27635',(select max(to_number(i.premium_rcv_detail_code))+1
from ins_premium_det i),'27635','27635','02', '11000003','00','Request by Mr. Saqib Saleem 01-Nov-2024');</v>
      </c>
      <c r="H55" s="100" t="str">
        <f t="shared" si="3"/>
        <v>insert into ins_premium_det (premium_rcv_code,assorted_code, rec_amount,premium_rcv_detail_code,remaining_amt, payrec, mode_code,coinsurance_code,class_cd,it_remarks) values('01Nov240029','070000167616','27635',(select max(to_number(i.premium_rcv_detail_code))+1
from ins_premium_det i),'27635','27635','02', '11000003','00','Request by Mr. Saqib Saleem 01-Nov-2024');</v>
      </c>
    </row>
    <row r="56" spans="1:8" ht="105">
      <c r="A56" s="65" t="s">
        <v>2162</v>
      </c>
      <c r="B56" s="96" t="str">
        <f>VLOOKUP(A56,policy!B:C,2,0)</f>
        <v>070000168784</v>
      </c>
      <c r="C56" s="66">
        <v>22847</v>
      </c>
      <c r="D56" s="97">
        <f t="shared" si="1"/>
        <v>22847</v>
      </c>
      <c r="E56" s="102" t="s">
        <v>2933</v>
      </c>
      <c r="F56" s="98" t="str">
        <f t="shared" si="0"/>
        <v>insert into ins_premium_det (premium_rcv_code,assorted_code, rec_amount,premium_rcv_detail_code,remaining_amt, payrec, mode_code,coinsurance_code,class_cd,it_remarks) values</v>
      </c>
      <c r="G56" s="99" t="str">
        <f t="shared" si="2"/>
        <v>('01Nov240029','070000168784','22847',(select max(to_number(i.premium_rcv_detail_code))+1
from ins_premium_det i),'22847','22847','02', '11000003','00','Request by Mr. Saqib Saleem 01-Nov-2024');</v>
      </c>
      <c r="H56" s="100" t="str">
        <f t="shared" si="3"/>
        <v>insert into ins_premium_det (premium_rcv_code,assorted_code, rec_amount,premium_rcv_detail_code,remaining_amt, payrec, mode_code,coinsurance_code,class_cd,it_remarks) values('01Nov240029','070000168784','22847',(select max(to_number(i.premium_rcv_detail_code))+1
from ins_premium_det i),'22847','22847','02', '11000003','00','Request by Mr. Saqib Saleem 01-Nov-2024');</v>
      </c>
    </row>
    <row r="57" spans="1:8" ht="105">
      <c r="A57" s="65" t="s">
        <v>2163</v>
      </c>
      <c r="B57" s="96" t="str">
        <f>VLOOKUP(A57,policy!B:C,2,0)</f>
        <v>070000168785</v>
      </c>
      <c r="C57" s="66">
        <v>42466</v>
      </c>
      <c r="D57" s="97">
        <f t="shared" si="1"/>
        <v>42466</v>
      </c>
      <c r="E57" s="102" t="s">
        <v>2933</v>
      </c>
      <c r="F57" s="98" t="str">
        <f t="shared" si="0"/>
        <v>insert into ins_premium_det (premium_rcv_code,assorted_code, rec_amount,premium_rcv_detail_code,remaining_amt, payrec, mode_code,coinsurance_code,class_cd,it_remarks) values</v>
      </c>
      <c r="G57" s="99" t="str">
        <f t="shared" si="2"/>
        <v>('01Nov240029','070000168785','42466',(select max(to_number(i.premium_rcv_detail_code))+1
from ins_premium_det i),'42466','42466','02', '11000003','00','Request by Mr. Saqib Saleem 01-Nov-2024');</v>
      </c>
      <c r="H57" s="100" t="str">
        <f t="shared" si="3"/>
        <v>insert into ins_premium_det (premium_rcv_code,assorted_code, rec_amount,premium_rcv_detail_code,remaining_amt, payrec, mode_code,coinsurance_code,class_cd,it_remarks) values('01Nov240029','070000168785','42466',(select max(to_number(i.premium_rcv_detail_code))+1
from ins_premium_det i),'42466','42466','02', '11000003','00','Request by Mr. Saqib Saleem 01-Nov-2024');</v>
      </c>
    </row>
    <row r="58" spans="1:8" ht="105">
      <c r="A58" s="65" t="s">
        <v>2164</v>
      </c>
      <c r="B58" s="96" t="str">
        <f>VLOOKUP(A58,policy!B:C,2,0)</f>
        <v>070000168786</v>
      </c>
      <c r="C58" s="66">
        <v>45964</v>
      </c>
      <c r="D58" s="97">
        <f t="shared" si="1"/>
        <v>45964</v>
      </c>
      <c r="E58" s="102" t="s">
        <v>2933</v>
      </c>
      <c r="F58" s="98" t="str">
        <f t="shared" si="0"/>
        <v>insert into ins_premium_det (premium_rcv_code,assorted_code, rec_amount,premium_rcv_detail_code,remaining_amt, payrec, mode_code,coinsurance_code,class_cd,it_remarks) values</v>
      </c>
      <c r="G58" s="99" t="str">
        <f t="shared" si="2"/>
        <v>('01Nov240029','070000168786','45964',(select max(to_number(i.premium_rcv_detail_code))+1
from ins_premium_det i),'45964','45964','02', '11000003','00','Request by Mr. Saqib Saleem 01-Nov-2024');</v>
      </c>
      <c r="H58" s="100" t="str">
        <f t="shared" si="3"/>
        <v>insert into ins_premium_det (premium_rcv_code,assorted_code, rec_amount,premium_rcv_detail_code,remaining_amt, payrec, mode_code,coinsurance_code,class_cd,it_remarks) values('01Nov240029','070000168786','45964',(select max(to_number(i.premium_rcv_detail_code))+1
from ins_premium_det i),'45964','45964','02', '11000003','00','Request by Mr. Saqib Saleem 01-Nov-2024');</v>
      </c>
    </row>
    <row r="59" spans="1:8" ht="105">
      <c r="A59" s="65" t="s">
        <v>2165</v>
      </c>
      <c r="B59" s="96" t="str">
        <f>VLOOKUP(A59,policy!B:C,2,0)</f>
        <v>070000168787</v>
      </c>
      <c r="C59" s="66">
        <v>27405</v>
      </c>
      <c r="D59" s="97">
        <f t="shared" si="1"/>
        <v>27405</v>
      </c>
      <c r="E59" s="102" t="s">
        <v>2933</v>
      </c>
      <c r="F59" s="98" t="str">
        <f t="shared" si="0"/>
        <v>insert into ins_premium_det (premium_rcv_code,assorted_code, rec_amount,premium_rcv_detail_code,remaining_amt, payrec, mode_code,coinsurance_code,class_cd,it_remarks) values</v>
      </c>
      <c r="G59" s="99" t="str">
        <f t="shared" si="2"/>
        <v>('01Nov240029','070000168787','27405',(select max(to_number(i.premium_rcv_detail_code))+1
from ins_premium_det i),'27405','27405','02', '11000003','00','Request by Mr. Saqib Saleem 01-Nov-2024');</v>
      </c>
      <c r="H59" s="100" t="str">
        <f t="shared" si="3"/>
        <v>insert into ins_premium_det (premium_rcv_code,assorted_code, rec_amount,premium_rcv_detail_code,remaining_amt, payrec, mode_code,coinsurance_code,class_cd,it_remarks) values('01Nov240029','070000168787','27405',(select max(to_number(i.premium_rcv_detail_code))+1
from ins_premium_det i),'27405','27405','02', '11000003','00','Request by Mr. Saqib Saleem 01-Nov-2024');</v>
      </c>
    </row>
    <row r="60" spans="1:8" ht="105">
      <c r="A60" s="65" t="s">
        <v>2166</v>
      </c>
      <c r="B60" s="96" t="str">
        <f>VLOOKUP(A60,policy!B:C,2,0)</f>
        <v>070000168788</v>
      </c>
      <c r="C60" s="66">
        <v>53697</v>
      </c>
      <c r="D60" s="97">
        <f t="shared" si="1"/>
        <v>53697</v>
      </c>
      <c r="E60" s="102" t="s">
        <v>2933</v>
      </c>
      <c r="F60" s="98" t="str">
        <f t="shared" si="0"/>
        <v>insert into ins_premium_det (premium_rcv_code,assorted_code, rec_amount,premium_rcv_detail_code,remaining_amt, payrec, mode_code,coinsurance_code,class_cd,it_remarks) values</v>
      </c>
      <c r="G60" s="99" t="str">
        <f t="shared" si="2"/>
        <v>('01Nov240029','070000168788','53697',(select max(to_number(i.premium_rcv_detail_code))+1
from ins_premium_det i),'53697','53697','02', '11000003','00','Request by Mr. Saqib Saleem 01-Nov-2024');</v>
      </c>
      <c r="H60" s="100" t="str">
        <f t="shared" si="3"/>
        <v>insert into ins_premium_det (premium_rcv_code,assorted_code, rec_amount,premium_rcv_detail_code,remaining_amt, payrec, mode_code,coinsurance_code,class_cd,it_remarks) values('01Nov240029','070000168788','53697',(select max(to_number(i.premium_rcv_detail_code))+1
from ins_premium_det i),'53697','53697','02', '11000003','00','Request by Mr. Saqib Saleem 01-Nov-2024');</v>
      </c>
    </row>
    <row r="61" spans="1:8" ht="105">
      <c r="A61" s="65" t="s">
        <v>2167</v>
      </c>
      <c r="B61" s="96" t="str">
        <f>VLOOKUP(A61,policy!B:C,2,0)</f>
        <v>070000168789</v>
      </c>
      <c r="C61" s="66">
        <v>15784</v>
      </c>
      <c r="D61" s="97">
        <f t="shared" si="1"/>
        <v>15784</v>
      </c>
      <c r="E61" s="102" t="s">
        <v>2933</v>
      </c>
      <c r="F61" s="98" t="str">
        <f t="shared" si="0"/>
        <v>insert into ins_premium_det (premium_rcv_code,assorted_code, rec_amount,premium_rcv_detail_code,remaining_amt, payrec, mode_code,coinsurance_code,class_cd,it_remarks) values</v>
      </c>
      <c r="G61" s="99" t="str">
        <f t="shared" si="2"/>
        <v>('01Nov240029','070000168789','15784',(select max(to_number(i.premium_rcv_detail_code))+1
from ins_premium_det i),'15784','15784','02', '11000003','00','Request by Mr. Saqib Saleem 01-Nov-2024');</v>
      </c>
      <c r="H61" s="100" t="str">
        <f t="shared" si="3"/>
        <v>insert into ins_premium_det (premium_rcv_code,assorted_code, rec_amount,premium_rcv_detail_code,remaining_amt, payrec, mode_code,coinsurance_code,class_cd,it_remarks) values('01Nov240029','070000168789','15784',(select max(to_number(i.premium_rcv_detail_code))+1
from ins_premium_det i),'15784','15784','02', '11000003','00','Request by Mr. Saqib Saleem 01-Nov-2024');</v>
      </c>
    </row>
    <row r="62" spans="1:8" ht="105">
      <c r="A62" s="65" t="s">
        <v>2168</v>
      </c>
      <c r="B62" s="96" t="str">
        <f>VLOOKUP(A62,policy!B:C,2,0)</f>
        <v>070000168790</v>
      </c>
      <c r="C62" s="66">
        <v>44641</v>
      </c>
      <c r="D62" s="97">
        <f t="shared" si="1"/>
        <v>44641</v>
      </c>
      <c r="E62" s="102" t="s">
        <v>2933</v>
      </c>
      <c r="F62" s="98" t="str">
        <f t="shared" si="0"/>
        <v>insert into ins_premium_det (premium_rcv_code,assorted_code, rec_amount,premium_rcv_detail_code,remaining_amt, payrec, mode_code,coinsurance_code,class_cd,it_remarks) values</v>
      </c>
      <c r="G62" s="99" t="str">
        <f t="shared" si="2"/>
        <v>('01Nov240029','070000168790','44641',(select max(to_number(i.premium_rcv_detail_code))+1
from ins_premium_det i),'44641','44641','02', '11000003','00','Request by Mr. Saqib Saleem 01-Nov-2024');</v>
      </c>
      <c r="H62" s="100" t="str">
        <f t="shared" si="3"/>
        <v>insert into ins_premium_det (premium_rcv_code,assorted_code, rec_amount,premium_rcv_detail_code,remaining_amt, payrec, mode_code,coinsurance_code,class_cd,it_remarks) values('01Nov240029','070000168790','44641',(select max(to_number(i.premium_rcv_detail_code))+1
from ins_premium_det i),'44641','44641','02', '11000003','00','Request by Mr. Saqib Saleem 01-Nov-2024');</v>
      </c>
    </row>
    <row r="63" spans="1:8" ht="105">
      <c r="A63" s="65" t="s">
        <v>2169</v>
      </c>
      <c r="B63" s="96" t="str">
        <f>VLOOKUP(A63,policy!B:C,2,0)</f>
        <v>070000168791</v>
      </c>
      <c r="C63" s="66">
        <v>24202</v>
      </c>
      <c r="D63" s="97">
        <f t="shared" si="1"/>
        <v>24202</v>
      </c>
      <c r="E63" s="102" t="s">
        <v>2933</v>
      </c>
      <c r="F63" s="98" t="str">
        <f t="shared" si="0"/>
        <v>insert into ins_premium_det (premium_rcv_code,assorted_code, rec_amount,premium_rcv_detail_code,remaining_amt, payrec, mode_code,coinsurance_code,class_cd,it_remarks) values</v>
      </c>
      <c r="G63" s="99" t="str">
        <f t="shared" si="2"/>
        <v>('01Nov240029','070000168791','24202',(select max(to_number(i.premium_rcv_detail_code))+1
from ins_premium_det i),'24202','24202','02', '11000003','00','Request by Mr. Saqib Saleem 01-Nov-2024');</v>
      </c>
      <c r="H63" s="100" t="str">
        <f t="shared" si="3"/>
        <v>insert into ins_premium_det (premium_rcv_code,assorted_code, rec_amount,premium_rcv_detail_code,remaining_amt, payrec, mode_code,coinsurance_code,class_cd,it_remarks) values('01Nov240029','070000168791','24202',(select max(to_number(i.premium_rcv_detail_code))+1
from ins_premium_det i),'24202','24202','02', '11000003','00','Request by Mr. Saqib Saleem 01-Nov-2024');</v>
      </c>
    </row>
    <row r="64" spans="1:8" ht="105">
      <c r="A64" s="65" t="s">
        <v>2170</v>
      </c>
      <c r="B64" s="96" t="str">
        <f>VLOOKUP(A64,policy!B:C,2,0)</f>
        <v>070000168792</v>
      </c>
      <c r="C64" s="66">
        <v>29575</v>
      </c>
      <c r="D64" s="97">
        <f t="shared" si="1"/>
        <v>29575</v>
      </c>
      <c r="E64" s="102" t="s">
        <v>2933</v>
      </c>
      <c r="F64" s="98" t="str">
        <f t="shared" si="0"/>
        <v>insert into ins_premium_det (premium_rcv_code,assorted_code, rec_amount,premium_rcv_detail_code,remaining_amt, payrec, mode_code,coinsurance_code,class_cd,it_remarks) values</v>
      </c>
      <c r="G64" s="99" t="str">
        <f t="shared" si="2"/>
        <v>('01Nov240029','070000168792','29575',(select max(to_number(i.premium_rcv_detail_code))+1
from ins_premium_det i),'29575','29575','02', '11000003','00','Request by Mr. Saqib Saleem 01-Nov-2024');</v>
      </c>
      <c r="H64" s="100" t="str">
        <f t="shared" si="3"/>
        <v>insert into ins_premium_det (premium_rcv_code,assorted_code, rec_amount,premium_rcv_detail_code,remaining_amt, payrec, mode_code,coinsurance_code,class_cd,it_remarks) values('01Nov240029','070000168792','29575',(select max(to_number(i.premium_rcv_detail_code))+1
from ins_premium_det i),'29575','29575','02', '11000003','00','Request by Mr. Saqib Saleem 01-Nov-2024');</v>
      </c>
    </row>
    <row r="65" spans="1:8" ht="105">
      <c r="A65" s="65" t="s">
        <v>2171</v>
      </c>
      <c r="B65" s="96" t="str">
        <f>VLOOKUP(A65,policy!B:C,2,0)</f>
        <v>070000168793</v>
      </c>
      <c r="C65" s="66">
        <v>42549</v>
      </c>
      <c r="D65" s="97">
        <f t="shared" si="1"/>
        <v>42549</v>
      </c>
      <c r="E65" s="102" t="s">
        <v>2933</v>
      </c>
      <c r="F65" s="98" t="str">
        <f t="shared" si="0"/>
        <v>insert into ins_premium_det (premium_rcv_code,assorted_code, rec_amount,premium_rcv_detail_code,remaining_amt, payrec, mode_code,coinsurance_code,class_cd,it_remarks) values</v>
      </c>
      <c r="G65" s="99" t="str">
        <f t="shared" si="2"/>
        <v>('01Nov240029','070000168793','42549',(select max(to_number(i.premium_rcv_detail_code))+1
from ins_premium_det i),'42549','42549','02', '11000003','00','Request by Mr. Saqib Saleem 01-Nov-2024');</v>
      </c>
      <c r="H65" s="100" t="str">
        <f t="shared" si="3"/>
        <v>insert into ins_premium_det (premium_rcv_code,assorted_code, rec_amount,premium_rcv_detail_code,remaining_amt, payrec, mode_code,coinsurance_code,class_cd,it_remarks) values('01Nov240029','070000168793','42549',(select max(to_number(i.premium_rcv_detail_code))+1
from ins_premium_det i),'42549','42549','02', '11000003','00','Request by Mr. Saqib Saleem 01-Nov-2024');</v>
      </c>
    </row>
    <row r="66" spans="1:8" ht="105">
      <c r="A66" s="65" t="s">
        <v>2172</v>
      </c>
      <c r="B66" s="96" t="str">
        <f>VLOOKUP(A66,policy!B:C,2,0)</f>
        <v>070000168794</v>
      </c>
      <c r="C66" s="66">
        <v>30400</v>
      </c>
      <c r="D66" s="97">
        <f t="shared" si="1"/>
        <v>30400</v>
      </c>
      <c r="E66" s="102" t="s">
        <v>2933</v>
      </c>
      <c r="F66" s="98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99" t="str">
        <f t="shared" si="2"/>
        <v>('01Nov240029','070000168794','30400',(select max(to_number(i.premium_rcv_detail_code))+1
from ins_premium_det i),'30400','30400','02', '11000003','00','Request by Mr. Saqib Saleem 01-Nov-2024');</v>
      </c>
      <c r="H66" s="100" t="str">
        <f t="shared" si="3"/>
        <v>insert into ins_premium_det (premium_rcv_code,assorted_code, rec_amount,premium_rcv_detail_code,remaining_amt, payrec, mode_code,coinsurance_code,class_cd,it_remarks) values('01Nov240029','070000168794','30400',(select max(to_number(i.premium_rcv_detail_code))+1
from ins_premium_det i),'30400','30400','02', '11000003','00','Request by Mr. Saqib Saleem 01-Nov-2024');</v>
      </c>
    </row>
    <row r="67" spans="1:8" ht="105">
      <c r="A67" s="65" t="s">
        <v>2173</v>
      </c>
      <c r="B67" s="96" t="str">
        <f>VLOOKUP(A67,policy!B:C,2,0)</f>
        <v>070000168795</v>
      </c>
      <c r="C67" s="66">
        <v>22847</v>
      </c>
      <c r="D67" s="97">
        <f t="shared" ref="D67:D130" si="5">ROUND(C67,0)</f>
        <v>22847</v>
      </c>
      <c r="E67" s="102" t="s">
        <v>2933</v>
      </c>
      <c r="F67" s="98" t="str">
        <f t="shared" si="4"/>
        <v>insert into ins_premium_det (premium_rcv_code,assorted_code, rec_amount,premium_rcv_detail_code,remaining_amt, payrec, mode_code,coinsurance_code,class_cd,it_remarks) values</v>
      </c>
      <c r="G67" s="99" t="str">
        <f t="shared" ref="G67:G130" si="6">"('"&amp;E67&amp;"','"&amp;B67&amp;"','"&amp;D67&amp;"',(select max(to_number(i.premium_rcv_detail_code))+1
from ins_premium_det i),'"&amp;D67&amp;"','"&amp;D67&amp;"','02', '11000003','00','Request by Mr. Saqib Saleem 01-Nov-2024');"</f>
        <v>('01Nov240029','070000168795','22847',(select max(to_number(i.premium_rcv_detail_code))+1
from ins_premium_det i),'22847','22847','02', '11000003','00','Request by Mr. Saqib Saleem 01-Nov-2024');</v>
      </c>
      <c r="H67" s="100" t="str">
        <f t="shared" ref="H67:H130" si="7">F67&amp;G67</f>
        <v>insert into ins_premium_det (premium_rcv_code,assorted_code, rec_amount,premium_rcv_detail_code,remaining_amt, payrec, mode_code,coinsurance_code,class_cd,it_remarks) values('01Nov240029','070000168795','22847',(select max(to_number(i.premium_rcv_detail_code))+1
from ins_premium_det i),'22847','22847','02', '11000003','00','Request by Mr. Saqib Saleem 01-Nov-2024');</v>
      </c>
    </row>
    <row r="68" spans="1:8" ht="105">
      <c r="A68" s="65" t="s">
        <v>2174</v>
      </c>
      <c r="B68" s="96" t="str">
        <f>VLOOKUP(A68,policy!B:C,2,0)</f>
        <v>070000168796</v>
      </c>
      <c r="C68" s="66">
        <v>26231</v>
      </c>
      <c r="D68" s="97">
        <f t="shared" si="5"/>
        <v>26231</v>
      </c>
      <c r="E68" s="102" t="s">
        <v>2933</v>
      </c>
      <c r="F68" s="98" t="str">
        <f t="shared" si="4"/>
        <v>insert into ins_premium_det (premium_rcv_code,assorted_code, rec_amount,premium_rcv_detail_code,remaining_amt, payrec, mode_code,coinsurance_code,class_cd,it_remarks) values</v>
      </c>
      <c r="G68" s="99" t="str">
        <f t="shared" si="6"/>
        <v>('01Nov240029','070000168796','26231',(select max(to_number(i.premium_rcv_detail_code))+1
from ins_premium_det i),'26231','26231','02', '11000003','00','Request by Mr. Saqib Saleem 01-Nov-2024');</v>
      </c>
      <c r="H68" s="100" t="str">
        <f t="shared" si="7"/>
        <v>insert into ins_premium_det (premium_rcv_code,assorted_code, rec_amount,premium_rcv_detail_code,remaining_amt, payrec, mode_code,coinsurance_code,class_cd,it_remarks) values('01Nov240029','070000168796','26231',(select max(to_number(i.premium_rcv_detail_code))+1
from ins_premium_det i),'26231','26231','02', '11000003','00','Request by Mr. Saqib Saleem 01-Nov-2024');</v>
      </c>
    </row>
    <row r="69" spans="1:8" ht="105">
      <c r="A69" s="65" t="s">
        <v>2175</v>
      </c>
      <c r="B69" s="96" t="str">
        <f>VLOOKUP(A69,policy!B:C,2,0)</f>
        <v>070000168797</v>
      </c>
      <c r="C69" s="66">
        <v>67690</v>
      </c>
      <c r="D69" s="97">
        <f t="shared" si="5"/>
        <v>67690</v>
      </c>
      <c r="E69" s="102" t="s">
        <v>2933</v>
      </c>
      <c r="F69" s="98" t="str">
        <f t="shared" si="4"/>
        <v>insert into ins_premium_det (premium_rcv_code,assorted_code, rec_amount,premium_rcv_detail_code,remaining_amt, payrec, mode_code,coinsurance_code,class_cd,it_remarks) values</v>
      </c>
      <c r="G69" s="99" t="str">
        <f t="shared" si="6"/>
        <v>('01Nov240029','070000168797','67690',(select max(to_number(i.premium_rcv_detail_code))+1
from ins_premium_det i),'67690','67690','02', '11000003','00','Request by Mr. Saqib Saleem 01-Nov-2024');</v>
      </c>
      <c r="H69" s="100" t="str">
        <f t="shared" si="7"/>
        <v>insert into ins_premium_det (premium_rcv_code,assorted_code, rec_amount,premium_rcv_detail_code,remaining_amt, payrec, mode_code,coinsurance_code,class_cd,it_remarks) values('01Nov240029','070000168797','67690',(select max(to_number(i.premium_rcv_detail_code))+1
from ins_premium_det i),'67690','67690','02', '11000003','00','Request by Mr. Saqib Saleem 01-Nov-2024');</v>
      </c>
    </row>
    <row r="70" spans="1:8" ht="105">
      <c r="A70" s="65" t="s">
        <v>2176</v>
      </c>
      <c r="B70" s="96" t="str">
        <f>VLOOKUP(A70,policy!B:C,2,0)</f>
        <v>070000168798</v>
      </c>
      <c r="C70" s="66">
        <v>70846</v>
      </c>
      <c r="D70" s="97">
        <f t="shared" si="5"/>
        <v>70846</v>
      </c>
      <c r="E70" s="102" t="s">
        <v>2933</v>
      </c>
      <c r="F70" s="98" t="str">
        <f t="shared" si="4"/>
        <v>insert into ins_premium_det (premium_rcv_code,assorted_code, rec_amount,premium_rcv_detail_code,remaining_amt, payrec, mode_code,coinsurance_code,class_cd,it_remarks) values</v>
      </c>
      <c r="G70" s="99" t="str">
        <f t="shared" si="6"/>
        <v>('01Nov240029','070000168798','70846',(select max(to_number(i.premium_rcv_detail_code))+1
from ins_premium_det i),'70846','70846','02', '11000003','00','Request by Mr. Saqib Saleem 01-Nov-2024');</v>
      </c>
      <c r="H70" s="100" t="str">
        <f t="shared" si="7"/>
        <v>insert into ins_premium_det (premium_rcv_code,assorted_code, rec_amount,premium_rcv_detail_code,remaining_amt, payrec, mode_code,coinsurance_code,class_cd,it_remarks) values('01Nov240029','070000168798','70846',(select max(to_number(i.premium_rcv_detail_code))+1
from ins_premium_det i),'70846','70846','02', '11000003','00','Request by Mr. Saqib Saleem 01-Nov-2024');</v>
      </c>
    </row>
    <row r="71" spans="1:8" ht="105">
      <c r="A71" s="65" t="s">
        <v>2177</v>
      </c>
      <c r="B71" s="96" t="str">
        <f>VLOOKUP(A71,policy!B:C,2,0)</f>
        <v>070000168799</v>
      </c>
      <c r="C71" s="66">
        <v>61070</v>
      </c>
      <c r="D71" s="97">
        <f t="shared" si="5"/>
        <v>61070</v>
      </c>
      <c r="E71" s="102" t="s">
        <v>2933</v>
      </c>
      <c r="F71" s="98" t="str">
        <f t="shared" si="4"/>
        <v>insert into ins_premium_det (premium_rcv_code,assorted_code, rec_amount,premium_rcv_detail_code,remaining_amt, payrec, mode_code,coinsurance_code,class_cd,it_remarks) values</v>
      </c>
      <c r="G71" s="99" t="str">
        <f t="shared" si="6"/>
        <v>('01Nov240029','070000168799','61070',(select max(to_number(i.premium_rcv_detail_code))+1
from ins_premium_det i),'61070','61070','02', '11000003','00','Request by Mr. Saqib Saleem 01-Nov-2024');</v>
      </c>
      <c r="H71" s="100" t="str">
        <f t="shared" si="7"/>
        <v>insert into ins_premium_det (premium_rcv_code,assorted_code, rec_amount,premium_rcv_detail_code,remaining_amt, payrec, mode_code,coinsurance_code,class_cd,it_remarks) values('01Nov240029','070000168799','61070',(select max(to_number(i.premium_rcv_detail_code))+1
from ins_premium_det i),'61070','61070','02', '11000003','00','Request by Mr. Saqib Saleem 01-Nov-2024');</v>
      </c>
    </row>
    <row r="72" spans="1:8" ht="105">
      <c r="A72" s="65" t="s">
        <v>2178</v>
      </c>
      <c r="B72" s="96" t="str">
        <f>VLOOKUP(A72,policy!B:C,2,0)</f>
        <v>070000168800</v>
      </c>
      <c r="C72" s="66">
        <v>64691</v>
      </c>
      <c r="D72" s="97">
        <f t="shared" si="5"/>
        <v>64691</v>
      </c>
      <c r="E72" s="102" t="s">
        <v>2933</v>
      </c>
      <c r="F72" s="98" t="str">
        <f t="shared" si="4"/>
        <v>insert into ins_premium_det (premium_rcv_code,assorted_code, rec_amount,premium_rcv_detail_code,remaining_amt, payrec, mode_code,coinsurance_code,class_cd,it_remarks) values</v>
      </c>
      <c r="G72" s="99" t="str">
        <f t="shared" si="6"/>
        <v>('01Nov240029','070000168800','64691',(select max(to_number(i.premium_rcv_detail_code))+1
from ins_premium_det i),'64691','64691','02', '11000003','00','Request by Mr. Saqib Saleem 01-Nov-2024');</v>
      </c>
      <c r="H72" s="100" t="str">
        <f t="shared" si="7"/>
        <v>insert into ins_premium_det (premium_rcv_code,assorted_code, rec_amount,premium_rcv_detail_code,remaining_amt, payrec, mode_code,coinsurance_code,class_cd,it_remarks) values('01Nov240029','070000168800','64691',(select max(to_number(i.premium_rcv_detail_code))+1
from ins_premium_det i),'64691','64691','02', '11000003','00','Request by Mr. Saqib Saleem 01-Nov-2024');</v>
      </c>
    </row>
    <row r="73" spans="1:8" ht="105">
      <c r="A73" s="65" t="s">
        <v>2179</v>
      </c>
      <c r="B73" s="96" t="str">
        <f>VLOOKUP(A73,policy!B:C,2,0)</f>
        <v>070000168801</v>
      </c>
      <c r="C73" s="66">
        <v>67652</v>
      </c>
      <c r="D73" s="97">
        <f t="shared" si="5"/>
        <v>67652</v>
      </c>
      <c r="E73" s="102" t="s">
        <v>2933</v>
      </c>
      <c r="F73" s="98" t="str">
        <f t="shared" si="4"/>
        <v>insert into ins_premium_det (premium_rcv_code,assorted_code, rec_amount,premium_rcv_detail_code,remaining_amt, payrec, mode_code,coinsurance_code,class_cd,it_remarks) values</v>
      </c>
      <c r="G73" s="99" t="str">
        <f t="shared" si="6"/>
        <v>('01Nov240029','070000168801','67652',(select max(to_number(i.premium_rcv_detail_code))+1
from ins_premium_det i),'67652','67652','02', '11000003','00','Request by Mr. Saqib Saleem 01-Nov-2024');</v>
      </c>
      <c r="H73" s="100" t="str">
        <f t="shared" si="7"/>
        <v>insert into ins_premium_det (premium_rcv_code,assorted_code, rec_amount,premium_rcv_detail_code,remaining_amt, payrec, mode_code,coinsurance_code,class_cd,it_remarks) values('01Nov240029','070000168801','67652',(select max(to_number(i.premium_rcv_detail_code))+1
from ins_premium_det i),'67652','67652','02', '11000003','00','Request by Mr. Saqib Saleem 01-Nov-2024');</v>
      </c>
    </row>
    <row r="74" spans="1:8" ht="105">
      <c r="A74" s="65" t="s">
        <v>2180</v>
      </c>
      <c r="B74" s="96" t="str">
        <f>VLOOKUP(A74,policy!B:C,2,0)</f>
        <v>070000168802</v>
      </c>
      <c r="C74" s="66">
        <v>67727</v>
      </c>
      <c r="D74" s="97">
        <f t="shared" si="5"/>
        <v>67727</v>
      </c>
      <c r="E74" s="102" t="s">
        <v>2933</v>
      </c>
      <c r="F74" s="98" t="str">
        <f t="shared" si="4"/>
        <v>insert into ins_premium_det (premium_rcv_code,assorted_code, rec_amount,premium_rcv_detail_code,remaining_amt, payrec, mode_code,coinsurance_code,class_cd,it_remarks) values</v>
      </c>
      <c r="G74" s="99" t="str">
        <f t="shared" si="6"/>
        <v>('01Nov240029','070000168802','67727',(select max(to_number(i.premium_rcv_detail_code))+1
from ins_premium_det i),'67727','67727','02', '11000003','00','Request by Mr. Saqib Saleem 01-Nov-2024');</v>
      </c>
      <c r="H74" s="100" t="str">
        <f t="shared" si="7"/>
        <v>insert into ins_premium_det (premium_rcv_code,assorted_code, rec_amount,premium_rcv_detail_code,remaining_amt, payrec, mode_code,coinsurance_code,class_cd,it_remarks) values('01Nov240029','070000168802','67727',(select max(to_number(i.premium_rcv_detail_code))+1
from ins_premium_det i),'67727','67727','02', '11000003','00','Request by Mr. Saqib Saleem 01-Nov-2024');</v>
      </c>
    </row>
    <row r="75" spans="1:8" ht="105">
      <c r="A75" s="65" t="s">
        <v>2181</v>
      </c>
      <c r="B75" s="96" t="str">
        <f>VLOOKUP(A75,policy!B:C,2,0)</f>
        <v>070000168803</v>
      </c>
      <c r="C75" s="66">
        <v>64363</v>
      </c>
      <c r="D75" s="97">
        <f t="shared" si="5"/>
        <v>64363</v>
      </c>
      <c r="E75" s="102" t="s">
        <v>2933</v>
      </c>
      <c r="F75" s="98" t="str">
        <f t="shared" si="4"/>
        <v>insert into ins_premium_det (premium_rcv_code,assorted_code, rec_amount,premium_rcv_detail_code,remaining_amt, payrec, mode_code,coinsurance_code,class_cd,it_remarks) values</v>
      </c>
      <c r="G75" s="99" t="str">
        <f t="shared" si="6"/>
        <v>('01Nov240029','070000168803','64363',(select max(to_number(i.premium_rcv_detail_code))+1
from ins_premium_det i),'64363','64363','02', '11000003','00','Request by Mr. Saqib Saleem 01-Nov-2024');</v>
      </c>
      <c r="H75" s="100" t="str">
        <f t="shared" si="7"/>
        <v>insert into ins_premium_det (premium_rcv_code,assorted_code, rec_amount,premium_rcv_detail_code,remaining_amt, payrec, mode_code,coinsurance_code,class_cd,it_remarks) values('01Nov240029','070000168803','64363',(select max(to_number(i.premium_rcv_detail_code))+1
from ins_premium_det i),'64363','64363','02', '11000003','00','Request by Mr. Saqib Saleem 01-Nov-2024');</v>
      </c>
    </row>
    <row r="76" spans="1:8" ht="105">
      <c r="A76" s="65" t="s">
        <v>2182</v>
      </c>
      <c r="B76" s="96" t="str">
        <f>VLOOKUP(A76,policy!B:C,2,0)</f>
        <v>070000168804</v>
      </c>
      <c r="C76" s="66">
        <v>71252</v>
      </c>
      <c r="D76" s="97">
        <f t="shared" si="5"/>
        <v>71252</v>
      </c>
      <c r="E76" s="102" t="s">
        <v>2933</v>
      </c>
      <c r="F76" s="98" t="str">
        <f t="shared" si="4"/>
        <v>insert into ins_premium_det (premium_rcv_code,assorted_code, rec_amount,premium_rcv_detail_code,remaining_amt, payrec, mode_code,coinsurance_code,class_cd,it_remarks) values</v>
      </c>
      <c r="G76" s="99" t="str">
        <f t="shared" si="6"/>
        <v>('01Nov240029','070000168804','71252',(select max(to_number(i.premium_rcv_detail_code))+1
from ins_premium_det i),'71252','71252','02', '11000003','00','Request by Mr. Saqib Saleem 01-Nov-2024');</v>
      </c>
      <c r="H76" s="100" t="str">
        <f t="shared" si="7"/>
        <v>insert into ins_premium_det (premium_rcv_code,assorted_code, rec_amount,premium_rcv_detail_code,remaining_amt, payrec, mode_code,coinsurance_code,class_cd,it_remarks) values('01Nov240029','070000168804','71252',(select max(to_number(i.premium_rcv_detail_code))+1
from ins_premium_det i),'71252','71252','02', '11000003','00','Request by Mr. Saqib Saleem 01-Nov-2024');</v>
      </c>
    </row>
    <row r="77" spans="1:8" ht="105">
      <c r="A77" s="65" t="s">
        <v>2183</v>
      </c>
      <c r="B77" s="96" t="str">
        <f>VLOOKUP(A77,policy!B:C,2,0)</f>
        <v>070000168806</v>
      </c>
      <c r="C77" s="66">
        <v>42729</v>
      </c>
      <c r="D77" s="97">
        <f t="shared" si="5"/>
        <v>42729</v>
      </c>
      <c r="E77" s="102" t="s">
        <v>2933</v>
      </c>
      <c r="F77" s="98" t="str">
        <f t="shared" si="4"/>
        <v>insert into ins_premium_det (premium_rcv_code,assorted_code, rec_amount,premium_rcv_detail_code,remaining_amt, payrec, mode_code,coinsurance_code,class_cd,it_remarks) values</v>
      </c>
      <c r="G77" s="99" t="str">
        <f t="shared" si="6"/>
        <v>('01Nov240029','070000168806','42729',(select max(to_number(i.premium_rcv_detail_code))+1
from ins_premium_det i),'42729','42729','02', '11000003','00','Request by Mr. Saqib Saleem 01-Nov-2024');</v>
      </c>
      <c r="H77" s="100" t="str">
        <f t="shared" si="7"/>
        <v>insert into ins_premium_det (premium_rcv_code,assorted_code, rec_amount,premium_rcv_detail_code,remaining_amt, payrec, mode_code,coinsurance_code,class_cd,it_remarks) values('01Nov240029','070000168806','42729',(select max(to_number(i.premium_rcv_detail_code))+1
from ins_premium_det i),'42729','42729','02', '11000003','00','Request by Mr. Saqib Saleem 01-Nov-2024');</v>
      </c>
    </row>
    <row r="78" spans="1:8" ht="105">
      <c r="A78" s="65" t="s">
        <v>2184</v>
      </c>
      <c r="B78" s="96" t="str">
        <f>VLOOKUP(A78,policy!B:C,2,0)</f>
        <v>070000168807</v>
      </c>
      <c r="C78" s="66">
        <v>23692</v>
      </c>
      <c r="D78" s="97">
        <f t="shared" si="5"/>
        <v>23692</v>
      </c>
      <c r="E78" s="102" t="s">
        <v>2933</v>
      </c>
      <c r="F78" s="98" t="str">
        <f t="shared" si="4"/>
        <v>insert into ins_premium_det (premium_rcv_code,assorted_code, rec_amount,premium_rcv_detail_code,remaining_amt, payrec, mode_code,coinsurance_code,class_cd,it_remarks) values</v>
      </c>
      <c r="G78" s="99" t="str">
        <f t="shared" si="6"/>
        <v>('01Nov240029','070000168807','23692',(select max(to_number(i.premium_rcv_detail_code))+1
from ins_premium_det i),'23692','23692','02', '11000003','00','Request by Mr. Saqib Saleem 01-Nov-2024');</v>
      </c>
      <c r="H78" s="100" t="str">
        <f t="shared" si="7"/>
        <v>insert into ins_premium_det (premium_rcv_code,assorted_code, rec_amount,premium_rcv_detail_code,remaining_amt, payrec, mode_code,coinsurance_code,class_cd,it_remarks) values('01Nov240029','070000168807','23692',(select max(to_number(i.premium_rcv_detail_code))+1
from ins_premium_det i),'23692','23692','02', '11000003','00','Request by Mr. Saqib Saleem 01-Nov-2024');</v>
      </c>
    </row>
    <row r="79" spans="1:8" ht="105">
      <c r="A79" s="65" t="s">
        <v>2185</v>
      </c>
      <c r="B79" s="96" t="str">
        <f>VLOOKUP(A79,policy!B:C,2,0)</f>
        <v>070000168808</v>
      </c>
      <c r="C79" s="66">
        <v>70846</v>
      </c>
      <c r="D79" s="97">
        <f t="shared" si="5"/>
        <v>70846</v>
      </c>
      <c r="E79" s="102" t="s">
        <v>2933</v>
      </c>
      <c r="F79" s="98" t="str">
        <f t="shared" si="4"/>
        <v>insert into ins_premium_det (premium_rcv_code,assorted_code, rec_amount,premium_rcv_detail_code,remaining_amt, payrec, mode_code,coinsurance_code,class_cd,it_remarks) values</v>
      </c>
      <c r="G79" s="99" t="str">
        <f t="shared" si="6"/>
        <v>('01Nov240029','070000168808','70846',(select max(to_number(i.premium_rcv_detail_code))+1
from ins_premium_det i),'70846','70846','02', '11000003','00','Request by Mr. Saqib Saleem 01-Nov-2024');</v>
      </c>
      <c r="H79" s="100" t="str">
        <f t="shared" si="7"/>
        <v>insert into ins_premium_det (premium_rcv_code,assorted_code, rec_amount,premium_rcv_detail_code,remaining_amt, payrec, mode_code,coinsurance_code,class_cd,it_remarks) values('01Nov240029','070000168808','70846',(select max(to_number(i.premium_rcv_detail_code))+1
from ins_premium_det i),'70846','70846','02', '11000003','00','Request by Mr. Saqib Saleem 01-Nov-2024');</v>
      </c>
    </row>
    <row r="80" spans="1:8" ht="105">
      <c r="A80" s="65" t="s">
        <v>2186</v>
      </c>
      <c r="B80" s="96" t="str">
        <f>VLOOKUP(A80,policy!B:C,2,0)</f>
        <v>070000168809</v>
      </c>
      <c r="C80" s="66">
        <v>44392</v>
      </c>
      <c r="D80" s="97">
        <f t="shared" si="5"/>
        <v>44392</v>
      </c>
      <c r="E80" s="102" t="s">
        <v>2933</v>
      </c>
      <c r="F80" s="98" t="str">
        <f t="shared" si="4"/>
        <v>insert into ins_premium_det (premium_rcv_code,assorted_code, rec_amount,premium_rcv_detail_code,remaining_amt, payrec, mode_code,coinsurance_code,class_cd,it_remarks) values</v>
      </c>
      <c r="G80" s="99" t="str">
        <f t="shared" si="6"/>
        <v>('01Nov240029','070000168809','44392',(select max(to_number(i.premium_rcv_detail_code))+1
from ins_premium_det i),'44392','44392','02', '11000003','00','Request by Mr. Saqib Saleem 01-Nov-2024');</v>
      </c>
      <c r="H80" s="100" t="str">
        <f t="shared" si="7"/>
        <v>insert into ins_premium_det (premium_rcv_code,assorted_code, rec_amount,premium_rcv_detail_code,remaining_amt, payrec, mode_code,coinsurance_code,class_cd,it_remarks) values('01Nov240029','070000168809','44392',(select max(to_number(i.premium_rcv_detail_code))+1
from ins_premium_det i),'44392','44392','02', '11000003','00','Request by Mr. Saqib Saleem 01-Nov-2024');</v>
      </c>
    </row>
    <row r="81" spans="1:8" ht="105">
      <c r="A81" s="65" t="s">
        <v>2187</v>
      </c>
      <c r="B81" s="96" t="str">
        <f>VLOOKUP(A81,policy!B:C,2,0)</f>
        <v>070000168810</v>
      </c>
      <c r="C81" s="66">
        <v>72536</v>
      </c>
      <c r="D81" s="97">
        <f t="shared" si="5"/>
        <v>72536</v>
      </c>
      <c r="E81" s="102" t="s">
        <v>2933</v>
      </c>
      <c r="F81" s="98" t="str">
        <f t="shared" si="4"/>
        <v>insert into ins_premium_det (premium_rcv_code,assorted_code, rec_amount,premium_rcv_detail_code,remaining_amt, payrec, mode_code,coinsurance_code,class_cd,it_remarks) values</v>
      </c>
      <c r="G81" s="99" t="str">
        <f t="shared" si="6"/>
        <v>('01Nov240029','070000168810','72536',(select max(to_number(i.premium_rcv_detail_code))+1
from ins_premium_det i),'72536','72536','02', '11000003','00','Request by Mr. Saqib Saleem 01-Nov-2024');</v>
      </c>
      <c r="H81" s="100" t="str">
        <f t="shared" si="7"/>
        <v>insert into ins_premium_det (premium_rcv_code,assorted_code, rec_amount,premium_rcv_detail_code,remaining_amt, payrec, mode_code,coinsurance_code,class_cd,it_remarks) values('01Nov240029','070000168810','72536',(select max(to_number(i.premium_rcv_detail_code))+1
from ins_premium_det i),'72536','72536','02', '11000003','00','Request by Mr. Saqib Saleem 01-Nov-2024');</v>
      </c>
    </row>
    <row r="82" spans="1:8" ht="105">
      <c r="A82" s="65" t="s">
        <v>2188</v>
      </c>
      <c r="B82" s="96" t="str">
        <f>VLOOKUP(A82,policy!B:C,2,0)</f>
        <v>070000168811</v>
      </c>
      <c r="C82" s="66">
        <v>67727</v>
      </c>
      <c r="D82" s="97">
        <f t="shared" si="5"/>
        <v>67727</v>
      </c>
      <c r="E82" s="102" t="s">
        <v>2933</v>
      </c>
      <c r="F82" s="98" t="str">
        <f t="shared" si="4"/>
        <v>insert into ins_premium_det (premium_rcv_code,assorted_code, rec_amount,premium_rcv_detail_code,remaining_amt, payrec, mode_code,coinsurance_code,class_cd,it_remarks) values</v>
      </c>
      <c r="G82" s="99" t="str">
        <f t="shared" si="6"/>
        <v>('01Nov240029','070000168811','67727',(select max(to_number(i.premium_rcv_detail_code))+1
from ins_premium_det i),'67727','67727','02', '11000003','00','Request by Mr. Saqib Saleem 01-Nov-2024');</v>
      </c>
      <c r="H82" s="100" t="str">
        <f t="shared" si="7"/>
        <v>insert into ins_premium_det (premium_rcv_code,assorted_code, rec_amount,premium_rcv_detail_code,remaining_amt, payrec, mode_code,coinsurance_code,class_cd,it_remarks) values('01Nov240029','070000168811','67727',(select max(to_number(i.premium_rcv_detail_code))+1
from ins_premium_det i),'67727','67727','02', '11000003','00','Request by Mr. Saqib Saleem 01-Nov-2024');</v>
      </c>
    </row>
    <row r="83" spans="1:8" ht="105">
      <c r="A83" s="65" t="s">
        <v>2189</v>
      </c>
      <c r="B83" s="96" t="str">
        <f>VLOOKUP(A83,policy!B:C,2,0)</f>
        <v>070000168812</v>
      </c>
      <c r="C83" s="66">
        <v>21428</v>
      </c>
      <c r="D83" s="97">
        <f t="shared" si="5"/>
        <v>21428</v>
      </c>
      <c r="E83" s="102" t="s">
        <v>2933</v>
      </c>
      <c r="F83" s="98" t="str">
        <f t="shared" si="4"/>
        <v>insert into ins_premium_det (premium_rcv_code,assorted_code, rec_amount,premium_rcv_detail_code,remaining_amt, payrec, mode_code,coinsurance_code,class_cd,it_remarks) values</v>
      </c>
      <c r="G83" s="99" t="str">
        <f t="shared" si="6"/>
        <v>('01Nov240029','070000168812','21428',(select max(to_number(i.premium_rcv_detail_code))+1
from ins_premium_det i),'21428','21428','02', '11000003','00','Request by Mr. Saqib Saleem 01-Nov-2024');</v>
      </c>
      <c r="H83" s="100" t="str">
        <f t="shared" si="7"/>
        <v>insert into ins_premium_det (premium_rcv_code,assorted_code, rec_amount,premium_rcv_detail_code,remaining_amt, payrec, mode_code,coinsurance_code,class_cd,it_remarks) values('01Nov240029','070000168812','21428',(select max(to_number(i.premium_rcv_detail_code))+1
from ins_premium_det i),'21428','21428','02', '11000003','00','Request by Mr. Saqib Saleem 01-Nov-2024');</v>
      </c>
    </row>
    <row r="84" spans="1:8" ht="105">
      <c r="A84" s="65" t="s">
        <v>2190</v>
      </c>
      <c r="B84" s="96" t="str">
        <f>VLOOKUP(A84,policy!B:C,2,0)</f>
        <v>070000168813</v>
      </c>
      <c r="C84" s="66">
        <v>27917</v>
      </c>
      <c r="D84" s="97">
        <f t="shared" si="5"/>
        <v>27917</v>
      </c>
      <c r="E84" s="102" t="s">
        <v>2933</v>
      </c>
      <c r="F84" s="98" t="str">
        <f t="shared" si="4"/>
        <v>insert into ins_premium_det (premium_rcv_code,assorted_code, rec_amount,premium_rcv_detail_code,remaining_amt, payrec, mode_code,coinsurance_code,class_cd,it_remarks) values</v>
      </c>
      <c r="G84" s="99" t="str">
        <f t="shared" si="6"/>
        <v>('01Nov240029','070000168813','27917',(select max(to_number(i.premium_rcv_detail_code))+1
from ins_premium_det i),'27917','27917','02', '11000003','00','Request by Mr. Saqib Saleem 01-Nov-2024');</v>
      </c>
      <c r="H84" s="100" t="str">
        <f t="shared" si="7"/>
        <v>insert into ins_premium_det (premium_rcv_code,assorted_code, rec_amount,premium_rcv_detail_code,remaining_amt, payrec, mode_code,coinsurance_code,class_cd,it_remarks) values('01Nov240029','070000168813','27917',(select max(to_number(i.premium_rcv_detail_code))+1
from ins_premium_det i),'27917','27917','02', '11000003','00','Request by Mr. Saqib Saleem 01-Nov-2024');</v>
      </c>
    </row>
    <row r="85" spans="1:8" ht="105">
      <c r="A85" s="65" t="s">
        <v>2191</v>
      </c>
      <c r="B85" s="96" t="str">
        <f>VLOOKUP(A85,policy!B:C,2,0)</f>
        <v>070000168814</v>
      </c>
      <c r="C85" s="66">
        <v>9054</v>
      </c>
      <c r="D85" s="97">
        <f t="shared" si="5"/>
        <v>9054</v>
      </c>
      <c r="E85" s="102" t="s">
        <v>2933</v>
      </c>
      <c r="F85" s="98" t="str">
        <f t="shared" si="4"/>
        <v>insert into ins_premium_det (premium_rcv_code,assorted_code, rec_amount,premium_rcv_detail_code,remaining_amt, payrec, mode_code,coinsurance_code,class_cd,it_remarks) values</v>
      </c>
      <c r="G85" s="99" t="str">
        <f t="shared" si="6"/>
        <v>('01Nov240029','070000168814','9054',(select max(to_number(i.premium_rcv_detail_code))+1
from ins_premium_det i),'9054','9054','02', '11000003','00','Request by Mr. Saqib Saleem 01-Nov-2024');</v>
      </c>
      <c r="H85" s="100" t="str">
        <f t="shared" si="7"/>
        <v>insert into ins_premium_det (premium_rcv_code,assorted_code, rec_amount,premium_rcv_detail_code,remaining_amt, payrec, mode_code,coinsurance_code,class_cd,it_remarks) values('01Nov240029','070000168814','9054',(select max(to_number(i.premium_rcv_detail_code))+1
from ins_premium_det i),'9054','9054','02', '11000003','00','Request by Mr. Saqib Saleem 01-Nov-2024');</v>
      </c>
    </row>
    <row r="86" spans="1:8" ht="105">
      <c r="A86" s="65" t="s">
        <v>2192</v>
      </c>
      <c r="B86" s="96" t="str">
        <f>VLOOKUP(A86,policy!B:C,2,0)</f>
        <v>070000168815</v>
      </c>
      <c r="C86" s="66">
        <v>26953</v>
      </c>
      <c r="D86" s="97">
        <f t="shared" si="5"/>
        <v>26953</v>
      </c>
      <c r="E86" s="102" t="s">
        <v>2933</v>
      </c>
      <c r="F86" s="98" t="str">
        <f t="shared" si="4"/>
        <v>insert into ins_premium_det (premium_rcv_code,assorted_code, rec_amount,premium_rcv_detail_code,remaining_amt, payrec, mode_code,coinsurance_code,class_cd,it_remarks) values</v>
      </c>
      <c r="G86" s="99" t="str">
        <f t="shared" si="6"/>
        <v>('01Nov240029','070000168815','26953',(select max(to_number(i.premium_rcv_detail_code))+1
from ins_premium_det i),'26953','26953','02', '11000003','00','Request by Mr. Saqib Saleem 01-Nov-2024');</v>
      </c>
      <c r="H86" s="100" t="str">
        <f t="shared" si="7"/>
        <v>insert into ins_premium_det (premium_rcv_code,assorted_code, rec_amount,premium_rcv_detail_code,remaining_amt, payrec, mode_code,coinsurance_code,class_cd,it_remarks) values('01Nov240029','070000168815','26953',(select max(to_number(i.premium_rcv_detail_code))+1
from ins_premium_det i),'26953','26953','02', '11000003','00','Request by Mr. Saqib Saleem 01-Nov-2024');</v>
      </c>
    </row>
    <row r="87" spans="1:8" ht="105">
      <c r="A87" s="65" t="s">
        <v>2193</v>
      </c>
      <c r="B87" s="96" t="str">
        <f>VLOOKUP(A87,policy!B:C,2,0)</f>
        <v>070000168816</v>
      </c>
      <c r="C87" s="66">
        <v>38879</v>
      </c>
      <c r="D87" s="97">
        <f t="shared" si="5"/>
        <v>38879</v>
      </c>
      <c r="E87" s="102" t="s">
        <v>2933</v>
      </c>
      <c r="F87" s="98" t="str">
        <f t="shared" si="4"/>
        <v>insert into ins_premium_det (premium_rcv_code,assorted_code, rec_amount,premium_rcv_detail_code,remaining_amt, payrec, mode_code,coinsurance_code,class_cd,it_remarks) values</v>
      </c>
      <c r="G87" s="99" t="str">
        <f t="shared" si="6"/>
        <v>('01Nov240029','070000168816','38879',(select max(to_number(i.premium_rcv_detail_code))+1
from ins_premium_det i),'38879','38879','02', '11000003','00','Request by Mr. Saqib Saleem 01-Nov-2024');</v>
      </c>
      <c r="H87" s="100" t="str">
        <f t="shared" si="7"/>
        <v>insert into ins_premium_det (premium_rcv_code,assorted_code, rec_amount,premium_rcv_detail_code,remaining_amt, payrec, mode_code,coinsurance_code,class_cd,it_remarks) values('01Nov240029','070000168816','38879',(select max(to_number(i.premium_rcv_detail_code))+1
from ins_premium_det i),'38879','38879','02', '11000003','00','Request by Mr. Saqib Saleem 01-Nov-2024');</v>
      </c>
    </row>
    <row r="88" spans="1:8" ht="105">
      <c r="A88" s="65" t="s">
        <v>2194</v>
      </c>
      <c r="B88" s="96" t="str">
        <f>VLOOKUP(A88,policy!B:C,2,0)</f>
        <v>070000168817</v>
      </c>
      <c r="C88" s="66">
        <v>71252</v>
      </c>
      <c r="D88" s="97">
        <f t="shared" si="5"/>
        <v>71252</v>
      </c>
      <c r="E88" s="102" t="s">
        <v>2933</v>
      </c>
      <c r="F88" s="98" t="str">
        <f t="shared" si="4"/>
        <v>insert into ins_premium_det (premium_rcv_code,assorted_code, rec_amount,premium_rcv_detail_code,remaining_amt, payrec, mode_code,coinsurance_code,class_cd,it_remarks) values</v>
      </c>
      <c r="G88" s="99" t="str">
        <f t="shared" si="6"/>
        <v>('01Nov240029','070000168817','71252',(select max(to_number(i.premium_rcv_detail_code))+1
from ins_premium_det i),'71252','71252','02', '11000003','00','Request by Mr. Saqib Saleem 01-Nov-2024');</v>
      </c>
      <c r="H88" s="100" t="str">
        <f t="shared" si="7"/>
        <v>insert into ins_premium_det (premium_rcv_code,assorted_code, rec_amount,premium_rcv_detail_code,remaining_amt, payrec, mode_code,coinsurance_code,class_cd,it_remarks) values('01Nov240029','070000168817','71252',(select max(to_number(i.premium_rcv_detail_code))+1
from ins_premium_det i),'71252','71252','02', '11000003','00','Request by Mr. Saqib Saleem 01-Nov-2024');</v>
      </c>
    </row>
    <row r="89" spans="1:8" ht="105">
      <c r="A89" s="65" t="s">
        <v>2195</v>
      </c>
      <c r="B89" s="96" t="str">
        <f>VLOOKUP(A89,policy!B:C,2,0)</f>
        <v>070000168818</v>
      </c>
      <c r="C89" s="66">
        <v>26231</v>
      </c>
      <c r="D89" s="97">
        <f t="shared" si="5"/>
        <v>26231</v>
      </c>
      <c r="E89" s="102" t="s">
        <v>2933</v>
      </c>
      <c r="F89" s="98" t="str">
        <f t="shared" si="4"/>
        <v>insert into ins_premium_det (premium_rcv_code,assorted_code, rec_amount,premium_rcv_detail_code,remaining_amt, payrec, mode_code,coinsurance_code,class_cd,it_remarks) values</v>
      </c>
      <c r="G89" s="99" t="str">
        <f t="shared" si="6"/>
        <v>('01Nov240029','070000168818','26231',(select max(to_number(i.premium_rcv_detail_code))+1
from ins_premium_det i),'26231','26231','02', '11000003','00','Request by Mr. Saqib Saleem 01-Nov-2024');</v>
      </c>
      <c r="H89" s="100" t="str">
        <f t="shared" si="7"/>
        <v>insert into ins_premium_det (premium_rcv_code,assorted_code, rec_amount,premium_rcv_detail_code,remaining_amt, payrec, mode_code,coinsurance_code,class_cd,it_remarks) values('01Nov240029','070000168818','26231',(select max(to_number(i.premium_rcv_detail_code))+1
from ins_premium_det i),'26231','26231','02', '11000003','00','Request by Mr. Saqib Saleem 01-Nov-2024');</v>
      </c>
    </row>
    <row r="90" spans="1:8" ht="105">
      <c r="A90" s="65" t="s">
        <v>2196</v>
      </c>
      <c r="B90" s="96" t="str">
        <f>VLOOKUP(A90,policy!B:C,2,0)</f>
        <v>070000168819</v>
      </c>
      <c r="C90" s="66">
        <v>52816</v>
      </c>
      <c r="D90" s="97">
        <f t="shared" si="5"/>
        <v>52816</v>
      </c>
      <c r="E90" s="102" t="s">
        <v>2933</v>
      </c>
      <c r="F90" s="98" t="str">
        <f t="shared" si="4"/>
        <v>insert into ins_premium_det (premium_rcv_code,assorted_code, rec_amount,premium_rcv_detail_code,remaining_amt, payrec, mode_code,coinsurance_code,class_cd,it_remarks) values</v>
      </c>
      <c r="G90" s="99" t="str">
        <f t="shared" si="6"/>
        <v>('01Nov240029','070000168819','52816',(select max(to_number(i.premium_rcv_detail_code))+1
from ins_premium_det i),'52816','52816','02', '11000003','00','Request by Mr. Saqib Saleem 01-Nov-2024');</v>
      </c>
      <c r="H90" s="100" t="str">
        <f t="shared" si="7"/>
        <v>insert into ins_premium_det (premium_rcv_code,assorted_code, rec_amount,premium_rcv_detail_code,remaining_amt, payrec, mode_code,coinsurance_code,class_cd,it_remarks) values('01Nov240029','070000168819','52816',(select max(to_number(i.premium_rcv_detail_code))+1
from ins_premium_det i),'52816','52816','02', '11000003','00','Request by Mr. Saqib Saleem 01-Nov-2024');</v>
      </c>
    </row>
    <row r="91" spans="1:8" ht="105">
      <c r="A91" s="65" t="s">
        <v>2197</v>
      </c>
      <c r="B91" s="96" t="str">
        <f>VLOOKUP(A91,policy!B:C,2,0)</f>
        <v>070000168820</v>
      </c>
      <c r="C91" s="66">
        <v>64691</v>
      </c>
      <c r="D91" s="97">
        <f t="shared" si="5"/>
        <v>64691</v>
      </c>
      <c r="E91" s="102" t="s">
        <v>2933</v>
      </c>
      <c r="F91" s="98" t="str">
        <f t="shared" si="4"/>
        <v>insert into ins_premium_det (premium_rcv_code,assorted_code, rec_amount,premium_rcv_detail_code,remaining_amt, payrec, mode_code,coinsurance_code,class_cd,it_remarks) values</v>
      </c>
      <c r="G91" s="99" t="str">
        <f t="shared" si="6"/>
        <v>('01Nov240029','070000168820','64691',(select max(to_number(i.premium_rcv_detail_code))+1
from ins_premium_det i),'64691','64691','02', '11000003','00','Request by Mr. Saqib Saleem 01-Nov-2024');</v>
      </c>
      <c r="H91" s="100" t="str">
        <f t="shared" si="7"/>
        <v>insert into ins_premium_det (premium_rcv_code,assorted_code, rec_amount,premium_rcv_detail_code,remaining_amt, payrec, mode_code,coinsurance_code,class_cd,it_remarks) values('01Nov240029','070000168820','64691',(select max(to_number(i.premium_rcv_detail_code))+1
from ins_premium_det i),'64691','64691','02', '11000003','00','Request by Mr. Saqib Saleem 01-Nov-2024');</v>
      </c>
    </row>
    <row r="92" spans="1:8" ht="105">
      <c r="A92" s="65" t="s">
        <v>2198</v>
      </c>
      <c r="B92" s="96" t="str">
        <f>VLOOKUP(A92,policy!B:C,2,0)</f>
        <v>070000168821</v>
      </c>
      <c r="C92" s="66">
        <v>15845</v>
      </c>
      <c r="D92" s="97">
        <f t="shared" si="5"/>
        <v>15845</v>
      </c>
      <c r="E92" s="102" t="s">
        <v>2933</v>
      </c>
      <c r="F92" s="98" t="str">
        <f t="shared" si="4"/>
        <v>insert into ins_premium_det (premium_rcv_code,assorted_code, rec_amount,premium_rcv_detail_code,remaining_amt, payrec, mode_code,coinsurance_code,class_cd,it_remarks) values</v>
      </c>
      <c r="G92" s="99" t="str">
        <f t="shared" si="6"/>
        <v>('01Nov240029','070000168821','15845',(select max(to_number(i.premium_rcv_detail_code))+1
from ins_premium_det i),'15845','15845','02', '11000003','00','Request by Mr. Saqib Saleem 01-Nov-2024');</v>
      </c>
      <c r="H92" s="100" t="str">
        <f t="shared" si="7"/>
        <v>insert into ins_premium_det (premium_rcv_code,assorted_code, rec_amount,premium_rcv_detail_code,remaining_amt, payrec, mode_code,coinsurance_code,class_cd,it_remarks) values('01Nov240029','070000168821','15845',(select max(to_number(i.premium_rcv_detail_code))+1
from ins_premium_det i),'15845','15845','02', '11000003','00','Request by Mr. Saqib Saleem 01-Nov-2024');</v>
      </c>
    </row>
    <row r="93" spans="1:8" ht="105">
      <c r="A93" s="65" t="s">
        <v>2199</v>
      </c>
      <c r="B93" s="96" t="str">
        <f>VLOOKUP(A93,policy!B:C,2,0)</f>
        <v>070000168822</v>
      </c>
      <c r="C93" s="66">
        <v>37726</v>
      </c>
      <c r="D93" s="97">
        <f t="shared" si="5"/>
        <v>37726</v>
      </c>
      <c r="E93" s="102" t="s">
        <v>2933</v>
      </c>
      <c r="F93" s="98" t="str">
        <f t="shared" si="4"/>
        <v>insert into ins_premium_det (premium_rcv_code,assorted_code, rec_amount,premium_rcv_detail_code,remaining_amt, payrec, mode_code,coinsurance_code,class_cd,it_remarks) values</v>
      </c>
      <c r="G93" s="99" t="str">
        <f t="shared" si="6"/>
        <v>('01Nov240029','070000168822','37726',(select max(to_number(i.premium_rcv_detail_code))+1
from ins_premium_det i),'37726','37726','02', '11000003','00','Request by Mr. Saqib Saleem 01-Nov-2024');</v>
      </c>
      <c r="H93" s="100" t="str">
        <f t="shared" si="7"/>
        <v>insert into ins_premium_det (premium_rcv_code,assorted_code, rec_amount,premium_rcv_detail_code,remaining_amt, payrec, mode_code,coinsurance_code,class_cd,it_remarks) values('01Nov240029','070000168822','37726',(select max(to_number(i.premium_rcv_detail_code))+1
from ins_premium_det i),'37726','37726','02', '11000003','00','Request by Mr. Saqib Saleem 01-Nov-2024');</v>
      </c>
    </row>
    <row r="94" spans="1:8" ht="105">
      <c r="A94" s="65" t="s">
        <v>2200</v>
      </c>
      <c r="B94" s="96" t="str">
        <f>VLOOKUP(A94,policy!B:C,2,0)</f>
        <v>070000168823</v>
      </c>
      <c r="C94" s="66">
        <v>47075</v>
      </c>
      <c r="D94" s="97">
        <f t="shared" si="5"/>
        <v>47075</v>
      </c>
      <c r="E94" s="102" t="s">
        <v>2933</v>
      </c>
      <c r="F94" s="98" t="str">
        <f t="shared" si="4"/>
        <v>insert into ins_premium_det (premium_rcv_code,assorted_code, rec_amount,premium_rcv_detail_code,remaining_amt, payrec, mode_code,coinsurance_code,class_cd,it_remarks) values</v>
      </c>
      <c r="G94" s="99" t="str">
        <f t="shared" si="6"/>
        <v>('01Nov240029','070000168823','47075',(select max(to_number(i.premium_rcv_detail_code))+1
from ins_premium_det i),'47075','47075','02', '11000003','00','Request by Mr. Saqib Saleem 01-Nov-2024');</v>
      </c>
      <c r="H94" s="100" t="str">
        <f t="shared" si="7"/>
        <v>insert into ins_premium_det (premium_rcv_code,assorted_code, rec_amount,premium_rcv_detail_code,remaining_amt, payrec, mode_code,coinsurance_code,class_cd,it_remarks) values('01Nov240029','070000168823','47075',(select max(to_number(i.premium_rcv_detail_code))+1
from ins_premium_det i),'47075','47075','02', '11000003','00','Request by Mr. Saqib Saleem 01-Nov-2024');</v>
      </c>
    </row>
    <row r="95" spans="1:8" ht="105">
      <c r="A95" s="65" t="s">
        <v>2201</v>
      </c>
      <c r="B95" s="96" t="str">
        <f>VLOOKUP(A95,policy!B:C,2,0)</f>
        <v>070000168824</v>
      </c>
      <c r="C95" s="66">
        <v>37074</v>
      </c>
      <c r="D95" s="97">
        <f t="shared" si="5"/>
        <v>37074</v>
      </c>
      <c r="E95" s="102" t="s">
        <v>2933</v>
      </c>
      <c r="F95" s="98" t="str">
        <f t="shared" si="4"/>
        <v>insert into ins_premium_det (premium_rcv_code,assorted_code, rec_amount,premium_rcv_detail_code,remaining_amt, payrec, mode_code,coinsurance_code,class_cd,it_remarks) values</v>
      </c>
      <c r="G95" s="99" t="str">
        <f t="shared" si="6"/>
        <v>('01Nov240029','070000168824','37074',(select max(to_number(i.premium_rcv_detail_code))+1
from ins_premium_det i),'37074','37074','02', '11000003','00','Request by Mr. Saqib Saleem 01-Nov-2024');</v>
      </c>
      <c r="H95" s="100" t="str">
        <f t="shared" si="7"/>
        <v>insert into ins_premium_det (premium_rcv_code,assorted_code, rec_amount,premium_rcv_detail_code,remaining_amt, payrec, mode_code,coinsurance_code,class_cd,it_remarks) values('01Nov240029','070000168824','37074',(select max(to_number(i.premium_rcv_detail_code))+1
from ins_premium_det i),'37074','37074','02', '11000003','00','Request by Mr. Saqib Saleem 01-Nov-2024');</v>
      </c>
    </row>
    <row r="96" spans="1:8" ht="105">
      <c r="A96" s="65" t="s">
        <v>2202</v>
      </c>
      <c r="B96" s="96" t="str">
        <f>VLOOKUP(A96,policy!B:C,2,0)</f>
        <v>070000168825</v>
      </c>
      <c r="C96" s="66">
        <v>31373</v>
      </c>
      <c r="D96" s="97">
        <f t="shared" si="5"/>
        <v>31373</v>
      </c>
      <c r="E96" s="102" t="s">
        <v>2933</v>
      </c>
      <c r="F96" s="98" t="str">
        <f t="shared" si="4"/>
        <v>insert into ins_premium_det (premium_rcv_code,assorted_code, rec_amount,premium_rcv_detail_code,remaining_amt, payrec, mode_code,coinsurance_code,class_cd,it_remarks) values</v>
      </c>
      <c r="G96" s="99" t="str">
        <f t="shared" si="6"/>
        <v>('01Nov240029','070000168825','31373',(select max(to_number(i.premium_rcv_detail_code))+1
from ins_premium_det i),'31373','31373','02', '11000003','00','Request by Mr. Saqib Saleem 01-Nov-2024');</v>
      </c>
      <c r="H96" s="100" t="str">
        <f t="shared" si="7"/>
        <v>insert into ins_premium_det (premium_rcv_code,assorted_code, rec_amount,premium_rcv_detail_code,remaining_amt, payrec, mode_code,coinsurance_code,class_cd,it_remarks) values('01Nov240029','070000168825','31373',(select max(to_number(i.premium_rcv_detail_code))+1
from ins_premium_det i),'31373','31373','02', '11000003','00','Request by Mr. Saqib Saleem 01-Nov-2024');</v>
      </c>
    </row>
    <row r="97" spans="1:8" ht="105">
      <c r="A97" s="65" t="s">
        <v>2203</v>
      </c>
      <c r="B97" s="96" t="str">
        <f>VLOOKUP(A97,policy!B:C,2,0)</f>
        <v>070000168826</v>
      </c>
      <c r="C97" s="66">
        <v>9809</v>
      </c>
      <c r="D97" s="97">
        <f t="shared" si="5"/>
        <v>9809</v>
      </c>
      <c r="E97" s="102" t="s">
        <v>2933</v>
      </c>
      <c r="F97" s="98" t="str">
        <f t="shared" si="4"/>
        <v>insert into ins_premium_det (premium_rcv_code,assorted_code, rec_amount,premium_rcv_detail_code,remaining_amt, payrec, mode_code,coinsurance_code,class_cd,it_remarks) values</v>
      </c>
      <c r="G97" s="99" t="str">
        <f t="shared" si="6"/>
        <v>('01Nov240029','070000168826','9809',(select max(to_number(i.premium_rcv_detail_code))+1
from ins_premium_det i),'9809','9809','02', '11000003','00','Request by Mr. Saqib Saleem 01-Nov-2024');</v>
      </c>
      <c r="H97" s="100" t="str">
        <f t="shared" si="7"/>
        <v>insert into ins_premium_det (premium_rcv_code,assorted_code, rec_amount,premium_rcv_detail_code,remaining_amt, payrec, mode_code,coinsurance_code,class_cd,it_remarks) values('01Nov240029','070000168826','9809',(select max(to_number(i.premium_rcv_detail_code))+1
from ins_premium_det i),'9809','9809','02', '11000003','00','Request by Mr. Saqib Saleem 01-Nov-2024');</v>
      </c>
    </row>
    <row r="98" spans="1:8" ht="105">
      <c r="A98" s="65" t="s">
        <v>2204</v>
      </c>
      <c r="B98" s="96" t="str">
        <f>VLOOKUP(A98,policy!B:C,2,0)</f>
        <v>070000168827</v>
      </c>
      <c r="C98" s="66">
        <v>16147</v>
      </c>
      <c r="D98" s="97">
        <f t="shared" si="5"/>
        <v>16147</v>
      </c>
      <c r="E98" s="102" t="s">
        <v>2933</v>
      </c>
      <c r="F98" s="98" t="str">
        <f t="shared" si="4"/>
        <v>insert into ins_premium_det (premium_rcv_code,assorted_code, rec_amount,premium_rcv_detail_code,remaining_amt, payrec, mode_code,coinsurance_code,class_cd,it_remarks) values</v>
      </c>
      <c r="G98" s="99" t="str">
        <f t="shared" si="6"/>
        <v>('01Nov240029','070000168827','16147',(select max(to_number(i.premium_rcv_detail_code))+1
from ins_premium_det i),'16147','16147','02', '11000003','00','Request by Mr. Saqib Saleem 01-Nov-2024');</v>
      </c>
      <c r="H98" s="100" t="str">
        <f t="shared" si="7"/>
        <v>insert into ins_premium_det (premium_rcv_code,assorted_code, rec_amount,premium_rcv_detail_code,remaining_amt, payrec, mode_code,coinsurance_code,class_cd,it_remarks) values('01Nov240029','070000168827','16147',(select max(to_number(i.premium_rcv_detail_code))+1
from ins_premium_det i),'16147','16147','02', '11000003','00','Request by Mr. Saqib Saleem 01-Nov-2024');</v>
      </c>
    </row>
    <row r="99" spans="1:8" ht="105">
      <c r="A99" s="65" t="s">
        <v>2205</v>
      </c>
      <c r="B99" s="96" t="str">
        <f>VLOOKUP(A99,policy!B:C,2,0)</f>
        <v>070000168828</v>
      </c>
      <c r="C99" s="66">
        <v>41996</v>
      </c>
      <c r="D99" s="97">
        <f t="shared" si="5"/>
        <v>41996</v>
      </c>
      <c r="E99" s="102" t="s">
        <v>2933</v>
      </c>
      <c r="F99" s="98" t="str">
        <f t="shared" si="4"/>
        <v>insert into ins_premium_det (premium_rcv_code,assorted_code, rec_amount,premium_rcv_detail_code,remaining_amt, payrec, mode_code,coinsurance_code,class_cd,it_remarks) values</v>
      </c>
      <c r="G99" s="99" t="str">
        <f t="shared" si="6"/>
        <v>('01Nov240029','070000168828','41996',(select max(to_number(i.premium_rcv_detail_code))+1
from ins_premium_det i),'41996','41996','02', '11000003','00','Request by Mr. Saqib Saleem 01-Nov-2024');</v>
      </c>
      <c r="H99" s="100" t="str">
        <f t="shared" si="7"/>
        <v>insert into ins_premium_det (premium_rcv_code,assorted_code, rec_amount,premium_rcv_detail_code,remaining_amt, payrec, mode_code,coinsurance_code,class_cd,it_remarks) values('01Nov240029','070000168828','41996',(select max(to_number(i.premium_rcv_detail_code))+1
from ins_premium_det i),'41996','41996','02', '11000003','00','Request by Mr. Saqib Saleem 01-Nov-2024');</v>
      </c>
    </row>
    <row r="100" spans="1:8" ht="105">
      <c r="A100" s="65" t="s">
        <v>2206</v>
      </c>
      <c r="B100" s="96" t="str">
        <f>VLOOKUP(A100,policy!B:C,2,0)</f>
        <v>070000168829</v>
      </c>
      <c r="C100" s="66">
        <v>18863</v>
      </c>
      <c r="D100" s="97">
        <f t="shared" si="5"/>
        <v>18863</v>
      </c>
      <c r="E100" s="102" t="s">
        <v>2933</v>
      </c>
      <c r="F100" s="98" t="str">
        <f t="shared" si="4"/>
        <v>insert into ins_premium_det (premium_rcv_code,assorted_code, rec_amount,premium_rcv_detail_code,remaining_amt, payrec, mode_code,coinsurance_code,class_cd,it_remarks) values</v>
      </c>
      <c r="G100" s="99" t="str">
        <f t="shared" si="6"/>
        <v>('01Nov240029','070000168829','18863',(select max(to_number(i.premium_rcv_detail_code))+1
from ins_premium_det i),'18863','18863','02', '11000003','00','Request by Mr. Saqib Saleem 01-Nov-2024');</v>
      </c>
      <c r="H100" s="100" t="str">
        <f t="shared" si="7"/>
        <v>insert into ins_premium_det (premium_rcv_code,assorted_code, rec_amount,premium_rcv_detail_code,remaining_amt, payrec, mode_code,coinsurance_code,class_cd,it_remarks) values('01Nov240029','070000168829','18863',(select max(to_number(i.premium_rcv_detail_code))+1
from ins_premium_det i),'18863','18863','02', '11000003','00','Request by Mr. Saqib Saleem 01-Nov-2024');</v>
      </c>
    </row>
    <row r="101" spans="1:8" ht="105">
      <c r="A101" s="65" t="s">
        <v>2207</v>
      </c>
      <c r="B101" s="96" t="str">
        <f>VLOOKUP(A101,policy!B:C,2,0)</f>
        <v>070000168830</v>
      </c>
      <c r="C101" s="66">
        <v>42549</v>
      </c>
      <c r="D101" s="97">
        <f t="shared" si="5"/>
        <v>42549</v>
      </c>
      <c r="E101" s="102" t="s">
        <v>2933</v>
      </c>
      <c r="F101" s="98" t="str">
        <f t="shared" si="4"/>
        <v>insert into ins_premium_det (premium_rcv_code,assorted_code, rec_amount,premium_rcv_detail_code,remaining_amt, payrec, mode_code,coinsurance_code,class_cd,it_remarks) values</v>
      </c>
      <c r="G101" s="99" t="str">
        <f t="shared" si="6"/>
        <v>('01Nov240029','070000168830','42549',(select max(to_number(i.premium_rcv_detail_code))+1
from ins_premium_det i),'42549','42549','02', '11000003','00','Request by Mr. Saqib Saleem 01-Nov-2024');</v>
      </c>
      <c r="H101" s="100" t="str">
        <f t="shared" si="7"/>
        <v>insert into ins_premium_det (premium_rcv_code,assorted_code, rec_amount,premium_rcv_detail_code,remaining_amt, payrec, mode_code,coinsurance_code,class_cd,it_remarks) values('01Nov240029','070000168830','42549',(select max(to_number(i.premium_rcv_detail_code))+1
from ins_premium_det i),'42549','42549','02', '11000003','00','Request by Mr. Saqib Saleem 01-Nov-2024');</v>
      </c>
    </row>
    <row r="102" spans="1:8" ht="105">
      <c r="A102" s="65" t="s">
        <v>2208</v>
      </c>
      <c r="B102" s="96" t="str">
        <f>VLOOKUP(A102,policy!B:C,2,0)</f>
        <v>070000168831</v>
      </c>
      <c r="C102" s="66">
        <v>34656</v>
      </c>
      <c r="D102" s="97">
        <f t="shared" si="5"/>
        <v>34656</v>
      </c>
      <c r="E102" s="102" t="s">
        <v>2933</v>
      </c>
      <c r="F102" s="98" t="str">
        <f t="shared" si="4"/>
        <v>insert into ins_premium_det (premium_rcv_code,assorted_code, rec_amount,premium_rcv_detail_code,remaining_amt, payrec, mode_code,coinsurance_code,class_cd,it_remarks) values</v>
      </c>
      <c r="G102" s="99" t="str">
        <f t="shared" si="6"/>
        <v>('01Nov240029','070000168831','34656',(select max(to_number(i.premium_rcv_detail_code))+1
from ins_premium_det i),'34656','34656','02', '11000003','00','Request by Mr. Saqib Saleem 01-Nov-2024');</v>
      </c>
      <c r="H102" s="100" t="str">
        <f t="shared" si="7"/>
        <v>insert into ins_premium_det (premium_rcv_code,assorted_code, rec_amount,premium_rcv_detail_code,remaining_amt, payrec, mode_code,coinsurance_code,class_cd,it_remarks) values('01Nov240029','070000168831','34656',(select max(to_number(i.premium_rcv_detail_code))+1
from ins_premium_det i),'34656','34656','02', '11000003','00','Request by Mr. Saqib Saleem 01-Nov-2024');</v>
      </c>
    </row>
    <row r="103" spans="1:8" ht="105">
      <c r="A103" s="65" t="s">
        <v>2209</v>
      </c>
      <c r="B103" s="96" t="str">
        <f>VLOOKUP(A103,policy!B:C,2,0)</f>
        <v>070000168832</v>
      </c>
      <c r="C103" s="66">
        <v>16146</v>
      </c>
      <c r="D103" s="97">
        <f t="shared" si="5"/>
        <v>16146</v>
      </c>
      <c r="E103" s="102" t="s">
        <v>2933</v>
      </c>
      <c r="F103" s="98" t="str">
        <f t="shared" si="4"/>
        <v>insert into ins_premium_det (premium_rcv_code,assorted_code, rec_amount,premium_rcv_detail_code,remaining_amt, payrec, mode_code,coinsurance_code,class_cd,it_remarks) values</v>
      </c>
      <c r="G103" s="99" t="str">
        <f t="shared" si="6"/>
        <v>('01Nov240029','070000168832','16146',(select max(to_number(i.premium_rcv_detail_code))+1
from ins_premium_det i),'16146','16146','02', '11000003','00','Request by Mr. Saqib Saleem 01-Nov-2024');</v>
      </c>
      <c r="H103" s="100" t="str">
        <f t="shared" si="7"/>
        <v>insert into ins_premium_det (premium_rcv_code,assorted_code, rec_amount,premium_rcv_detail_code,remaining_amt, payrec, mode_code,coinsurance_code,class_cd,it_remarks) values('01Nov240029','070000168832','16146',(select max(to_number(i.premium_rcv_detail_code))+1
from ins_premium_det i),'16146','16146','02', '11000003','00','Request by Mr. Saqib Saleem 01-Nov-2024');</v>
      </c>
    </row>
    <row r="104" spans="1:8" ht="105">
      <c r="A104" s="65" t="s">
        <v>2210</v>
      </c>
      <c r="B104" s="96" t="str">
        <f>VLOOKUP(A104,policy!B:C,2,0)</f>
        <v>070000168833</v>
      </c>
      <c r="C104" s="66">
        <v>44336</v>
      </c>
      <c r="D104" s="97">
        <f t="shared" si="5"/>
        <v>44336</v>
      </c>
      <c r="E104" s="102" t="s">
        <v>2933</v>
      </c>
      <c r="F104" s="98" t="str">
        <f t="shared" si="4"/>
        <v>insert into ins_premium_det (premium_rcv_code,assorted_code, rec_amount,premium_rcv_detail_code,remaining_amt, payrec, mode_code,coinsurance_code,class_cd,it_remarks) values</v>
      </c>
      <c r="G104" s="99" t="str">
        <f t="shared" si="6"/>
        <v>('01Nov240029','070000168833','44336',(select max(to_number(i.premium_rcv_detail_code))+1
from ins_premium_det i),'44336','44336','02', '11000003','00','Request by Mr. Saqib Saleem 01-Nov-2024');</v>
      </c>
      <c r="H104" s="100" t="str">
        <f t="shared" si="7"/>
        <v>insert into ins_premium_det (premium_rcv_code,assorted_code, rec_amount,premium_rcv_detail_code,remaining_amt, payrec, mode_code,coinsurance_code,class_cd,it_remarks) values('01Nov240029','070000168833','44336',(select max(to_number(i.premium_rcv_detail_code))+1
from ins_premium_det i),'44336','44336','02', '11000003','00','Request by Mr. Saqib Saleem 01-Nov-2024');</v>
      </c>
    </row>
    <row r="105" spans="1:8" ht="105">
      <c r="A105" s="65" t="s">
        <v>2211</v>
      </c>
      <c r="B105" s="96" t="str">
        <f>VLOOKUP(A105,policy!B:C,2,0)</f>
        <v>070000168834</v>
      </c>
      <c r="C105" s="66">
        <v>26408</v>
      </c>
      <c r="D105" s="97">
        <f t="shared" si="5"/>
        <v>26408</v>
      </c>
      <c r="E105" s="102" t="s">
        <v>2933</v>
      </c>
      <c r="F105" s="98" t="str">
        <f t="shared" si="4"/>
        <v>insert into ins_premium_det (premium_rcv_code,assorted_code, rec_amount,premium_rcv_detail_code,remaining_amt, payrec, mode_code,coinsurance_code,class_cd,it_remarks) values</v>
      </c>
      <c r="G105" s="99" t="str">
        <f t="shared" si="6"/>
        <v>('01Nov240029','070000168834','26408',(select max(to_number(i.premium_rcv_detail_code))+1
from ins_premium_det i),'26408','26408','02', '11000003','00','Request by Mr. Saqib Saleem 01-Nov-2024');</v>
      </c>
      <c r="H105" s="100" t="str">
        <f t="shared" si="7"/>
        <v>insert into ins_premium_det (premium_rcv_code,assorted_code, rec_amount,premium_rcv_detail_code,remaining_amt, payrec, mode_code,coinsurance_code,class_cd,it_remarks) values('01Nov240029','070000168834','26408',(select max(to_number(i.premium_rcv_detail_code))+1
from ins_premium_det i),'26408','26408','02', '11000003','00','Request by Mr. Saqib Saleem 01-Nov-2024');</v>
      </c>
    </row>
    <row r="106" spans="1:8" ht="105">
      <c r="A106" s="65" t="s">
        <v>2212</v>
      </c>
      <c r="B106" s="96" t="str">
        <f>VLOOKUP(A106,policy!B:C,2,0)</f>
        <v>070000168835</v>
      </c>
      <c r="C106" s="66">
        <v>47221</v>
      </c>
      <c r="D106" s="97">
        <f t="shared" si="5"/>
        <v>47221</v>
      </c>
      <c r="E106" s="102" t="s">
        <v>2933</v>
      </c>
      <c r="F106" s="98" t="str">
        <f t="shared" si="4"/>
        <v>insert into ins_premium_det (premium_rcv_code,assorted_code, rec_amount,premium_rcv_detail_code,remaining_amt, payrec, mode_code,coinsurance_code,class_cd,it_remarks) values</v>
      </c>
      <c r="G106" s="99" t="str">
        <f t="shared" si="6"/>
        <v>('01Nov240029','070000168835','47221',(select max(to_number(i.premium_rcv_detail_code))+1
from ins_premium_det i),'47221','47221','02', '11000003','00','Request by Mr. Saqib Saleem 01-Nov-2024');</v>
      </c>
      <c r="H106" s="100" t="str">
        <f t="shared" si="7"/>
        <v>insert into ins_premium_det (premium_rcv_code,assorted_code, rec_amount,premium_rcv_detail_code,remaining_amt, payrec, mode_code,coinsurance_code,class_cd,it_remarks) values('01Nov240029','070000168835','47221',(select max(to_number(i.premium_rcv_detail_code))+1
from ins_premium_det i),'47221','47221','02', '11000003','00','Request by Mr. Saqib Saleem 01-Nov-2024');</v>
      </c>
    </row>
    <row r="107" spans="1:8" ht="105">
      <c r="A107" s="65" t="s">
        <v>2213</v>
      </c>
      <c r="B107" s="96" t="str">
        <f>VLOOKUP(A107,policy!B:C,2,0)</f>
        <v>070000168836</v>
      </c>
      <c r="C107" s="66">
        <v>31493</v>
      </c>
      <c r="D107" s="97">
        <f t="shared" si="5"/>
        <v>31493</v>
      </c>
      <c r="E107" s="102" t="s">
        <v>2933</v>
      </c>
      <c r="F107" s="98" t="str">
        <f t="shared" si="4"/>
        <v>insert into ins_premium_det (premium_rcv_code,assorted_code, rec_amount,premium_rcv_detail_code,remaining_amt, payrec, mode_code,coinsurance_code,class_cd,it_remarks) values</v>
      </c>
      <c r="G107" s="99" t="str">
        <f t="shared" si="6"/>
        <v>('01Nov240029','070000168836','31493',(select max(to_number(i.premium_rcv_detail_code))+1
from ins_premium_det i),'31493','31493','02', '11000003','00','Request by Mr. Saqib Saleem 01-Nov-2024');</v>
      </c>
      <c r="H107" s="100" t="str">
        <f t="shared" si="7"/>
        <v>insert into ins_premium_det (premium_rcv_code,assorted_code, rec_amount,premium_rcv_detail_code,remaining_amt, payrec, mode_code,coinsurance_code,class_cd,it_remarks) values('01Nov240029','070000168836','31493',(select max(to_number(i.premium_rcv_detail_code))+1
from ins_premium_det i),'31493','31493','02', '11000003','00','Request by Mr. Saqib Saleem 01-Nov-2024');</v>
      </c>
    </row>
    <row r="108" spans="1:8" ht="105">
      <c r="A108" s="65" t="s">
        <v>2214</v>
      </c>
      <c r="B108" s="96" t="str">
        <f>VLOOKUP(A108,policy!B:C,2,0)</f>
        <v>070000168837</v>
      </c>
      <c r="C108" s="66">
        <v>44336</v>
      </c>
      <c r="D108" s="97">
        <f t="shared" si="5"/>
        <v>44336</v>
      </c>
      <c r="E108" s="102" t="s">
        <v>2933</v>
      </c>
      <c r="F108" s="98" t="str">
        <f t="shared" si="4"/>
        <v>insert into ins_premium_det (premium_rcv_code,assorted_code, rec_amount,premium_rcv_detail_code,remaining_amt, payrec, mode_code,coinsurance_code,class_cd,it_remarks) values</v>
      </c>
      <c r="G108" s="99" t="str">
        <f t="shared" si="6"/>
        <v>('01Nov240029','070000168837','44336',(select max(to_number(i.premium_rcv_detail_code))+1
from ins_premium_det i),'44336','44336','02', '11000003','00','Request by Mr. Saqib Saleem 01-Nov-2024');</v>
      </c>
      <c r="H108" s="100" t="str">
        <f t="shared" si="7"/>
        <v>insert into ins_premium_det (premium_rcv_code,assorted_code, rec_amount,premium_rcv_detail_code,remaining_amt, payrec, mode_code,coinsurance_code,class_cd,it_remarks) values('01Nov240029','070000168837','44336',(select max(to_number(i.premium_rcv_detail_code))+1
from ins_premium_det i),'44336','44336','02', '11000003','00','Request by Mr. Saqib Saleem 01-Nov-2024');</v>
      </c>
    </row>
    <row r="109" spans="1:8" ht="105">
      <c r="A109" s="65" t="s">
        <v>2215</v>
      </c>
      <c r="B109" s="96" t="str">
        <f>VLOOKUP(A109,policy!B:C,2,0)</f>
        <v>070000168838</v>
      </c>
      <c r="C109" s="66">
        <v>22065</v>
      </c>
      <c r="D109" s="97">
        <f t="shared" si="5"/>
        <v>22065</v>
      </c>
      <c r="E109" s="102" t="s">
        <v>2933</v>
      </c>
      <c r="F109" s="98" t="str">
        <f t="shared" si="4"/>
        <v>insert into ins_premium_det (premium_rcv_code,assorted_code, rec_amount,premium_rcv_detail_code,remaining_amt, payrec, mode_code,coinsurance_code,class_cd,it_remarks) values</v>
      </c>
      <c r="G109" s="99" t="str">
        <f t="shared" si="6"/>
        <v>('01Nov240029','070000168838','22065',(select max(to_number(i.premium_rcv_detail_code))+1
from ins_premium_det i),'22065','22065','02', '11000003','00','Request by Mr. Saqib Saleem 01-Nov-2024');</v>
      </c>
      <c r="H109" s="100" t="str">
        <f t="shared" si="7"/>
        <v>insert into ins_premium_det (premium_rcv_code,assorted_code, rec_amount,premium_rcv_detail_code,remaining_amt, payrec, mode_code,coinsurance_code,class_cd,it_remarks) values('01Nov240029','070000168838','22065',(select max(to_number(i.premium_rcv_detail_code))+1
from ins_premium_det i),'22065','22065','02', '11000003','00','Request by Mr. Saqib Saleem 01-Nov-2024');</v>
      </c>
    </row>
    <row r="110" spans="1:8" ht="105">
      <c r="A110" s="65" t="s">
        <v>2216</v>
      </c>
      <c r="B110" s="96" t="str">
        <f>VLOOKUP(A110,policy!B:C,2,0)</f>
        <v>070000168839</v>
      </c>
      <c r="C110" s="66">
        <v>56288</v>
      </c>
      <c r="D110" s="97">
        <f t="shared" si="5"/>
        <v>56288</v>
      </c>
      <c r="E110" s="102" t="s">
        <v>2933</v>
      </c>
      <c r="F110" s="98" t="str">
        <f t="shared" si="4"/>
        <v>insert into ins_premium_det (premium_rcv_code,assorted_code, rec_amount,premium_rcv_detail_code,remaining_amt, payrec, mode_code,coinsurance_code,class_cd,it_remarks) values</v>
      </c>
      <c r="G110" s="99" t="str">
        <f t="shared" si="6"/>
        <v>('01Nov240029','070000168839','56288',(select max(to_number(i.premium_rcv_detail_code))+1
from ins_premium_det i),'56288','56288','02', '11000003','00','Request by Mr. Saqib Saleem 01-Nov-2024');</v>
      </c>
      <c r="H110" s="100" t="str">
        <f t="shared" si="7"/>
        <v>insert into ins_premium_det (premium_rcv_code,assorted_code, rec_amount,premium_rcv_detail_code,remaining_amt, payrec, mode_code,coinsurance_code,class_cd,it_remarks) values('01Nov240029','070000168839','56288',(select max(to_number(i.premium_rcv_detail_code))+1
from ins_premium_det i),'56288','56288','02', '11000003','00','Request by Mr. Saqib Saleem 01-Nov-2024');</v>
      </c>
    </row>
    <row r="111" spans="1:8" ht="105">
      <c r="A111" s="65" t="s">
        <v>2217</v>
      </c>
      <c r="B111" s="96" t="str">
        <f>VLOOKUP(A111,policy!B:C,2,0)</f>
        <v>070000168840</v>
      </c>
      <c r="C111" s="66">
        <v>22143</v>
      </c>
      <c r="D111" s="97">
        <f t="shared" si="5"/>
        <v>22143</v>
      </c>
      <c r="E111" s="102" t="s">
        <v>2933</v>
      </c>
      <c r="F111" s="98" t="str">
        <f t="shared" si="4"/>
        <v>insert into ins_premium_det (premium_rcv_code,assorted_code, rec_amount,premium_rcv_detail_code,remaining_amt, payrec, mode_code,coinsurance_code,class_cd,it_remarks) values</v>
      </c>
      <c r="G111" s="99" t="str">
        <f t="shared" si="6"/>
        <v>('01Nov240029','070000168840','22143',(select max(to_number(i.premium_rcv_detail_code))+1
from ins_premium_det i),'22143','22143','02', '11000003','00','Request by Mr. Saqib Saleem 01-Nov-2024');</v>
      </c>
      <c r="H111" s="100" t="str">
        <f t="shared" si="7"/>
        <v>insert into ins_premium_det (premium_rcv_code,assorted_code, rec_amount,premium_rcv_detail_code,remaining_amt, payrec, mode_code,coinsurance_code,class_cd,it_remarks) values('01Nov240029','070000168840','22143',(select max(to_number(i.premium_rcv_detail_code))+1
from ins_premium_det i),'22143','22143','02', '11000003','00','Request by Mr. Saqib Saleem 01-Nov-2024');</v>
      </c>
    </row>
    <row r="112" spans="1:8" ht="105">
      <c r="A112" s="65" t="s">
        <v>2218</v>
      </c>
      <c r="B112" s="96" t="str">
        <f>VLOOKUP(A112,policy!B:C,2,0)</f>
        <v>070000168841</v>
      </c>
      <c r="C112" s="66">
        <v>97697</v>
      </c>
      <c r="D112" s="97">
        <f t="shared" si="5"/>
        <v>97697</v>
      </c>
      <c r="E112" s="102" t="s">
        <v>2933</v>
      </c>
      <c r="F112" s="98" t="str">
        <f t="shared" si="4"/>
        <v>insert into ins_premium_det (premium_rcv_code,assorted_code, rec_amount,premium_rcv_detail_code,remaining_amt, payrec, mode_code,coinsurance_code,class_cd,it_remarks) values</v>
      </c>
      <c r="G112" s="99" t="str">
        <f t="shared" si="6"/>
        <v>('01Nov240029','070000168841','97697',(select max(to_number(i.premium_rcv_detail_code))+1
from ins_premium_det i),'97697','97697','02', '11000003','00','Request by Mr. Saqib Saleem 01-Nov-2024');</v>
      </c>
      <c r="H112" s="100" t="str">
        <f t="shared" si="7"/>
        <v>insert into ins_premium_det (premium_rcv_code,assorted_code, rec_amount,premium_rcv_detail_code,remaining_amt, payrec, mode_code,coinsurance_code,class_cd,it_remarks) values('01Nov240029','070000168841','97697',(select max(to_number(i.premium_rcv_detail_code))+1
from ins_premium_det i),'97697','97697','02', '11000003','00','Request by Mr. Saqib Saleem 01-Nov-2024');</v>
      </c>
    </row>
    <row r="113" spans="1:8" ht="105">
      <c r="A113" s="65" t="s">
        <v>2219</v>
      </c>
      <c r="B113" s="96" t="str">
        <f>VLOOKUP(A113,policy!B:C,2,0)</f>
        <v>070000168842</v>
      </c>
      <c r="C113" s="66">
        <v>17936</v>
      </c>
      <c r="D113" s="97">
        <f t="shared" si="5"/>
        <v>17936</v>
      </c>
      <c r="E113" s="102" t="s">
        <v>2933</v>
      </c>
      <c r="F113" s="98" t="str">
        <f t="shared" si="4"/>
        <v>insert into ins_premium_det (premium_rcv_code,assorted_code, rec_amount,premium_rcv_detail_code,remaining_amt, payrec, mode_code,coinsurance_code,class_cd,it_remarks) values</v>
      </c>
      <c r="G113" s="99" t="str">
        <f t="shared" si="6"/>
        <v>('01Nov240029','070000168842','17936',(select max(to_number(i.premium_rcv_detail_code))+1
from ins_premium_det i),'17936','17936','02', '11000003','00','Request by Mr. Saqib Saleem 01-Nov-2024');</v>
      </c>
      <c r="H113" s="100" t="str">
        <f t="shared" si="7"/>
        <v>insert into ins_premium_det (premium_rcv_code,assorted_code, rec_amount,premium_rcv_detail_code,remaining_amt, payrec, mode_code,coinsurance_code,class_cd,it_remarks) values('01Nov240029','070000168842','17936',(select max(to_number(i.premium_rcv_detail_code))+1
from ins_premium_det i),'17936','17936','02', '11000003','00','Request by Mr. Saqib Saleem 01-Nov-2024');</v>
      </c>
    </row>
    <row r="114" spans="1:8" ht="105">
      <c r="A114" s="65" t="s">
        <v>2220</v>
      </c>
      <c r="B114" s="96" t="str">
        <f>VLOOKUP(A114,policy!B:C,2,0)</f>
        <v>070000168843</v>
      </c>
      <c r="C114" s="66">
        <v>17219</v>
      </c>
      <c r="D114" s="97">
        <f t="shared" si="5"/>
        <v>17219</v>
      </c>
      <c r="E114" s="102" t="s">
        <v>2933</v>
      </c>
      <c r="F114" s="98" t="str">
        <f t="shared" si="4"/>
        <v>insert into ins_premium_det (premium_rcv_code,assorted_code, rec_amount,premium_rcv_detail_code,remaining_amt, payrec, mode_code,coinsurance_code,class_cd,it_remarks) values</v>
      </c>
      <c r="G114" s="99" t="str">
        <f t="shared" si="6"/>
        <v>('01Nov240029','070000168843','17219',(select max(to_number(i.premium_rcv_detail_code))+1
from ins_premium_det i),'17219','17219','02', '11000003','00','Request by Mr. Saqib Saleem 01-Nov-2024');</v>
      </c>
      <c r="H114" s="100" t="str">
        <f t="shared" si="7"/>
        <v>insert into ins_premium_det (premium_rcv_code,assorted_code, rec_amount,premium_rcv_detail_code,remaining_amt, payrec, mode_code,coinsurance_code,class_cd,it_remarks) values('01Nov240029','070000168843','17219',(select max(to_number(i.premium_rcv_detail_code))+1
from ins_premium_det i),'17219','17219','02', '11000003','00','Request by Mr. Saqib Saleem 01-Nov-2024');</v>
      </c>
    </row>
    <row r="115" spans="1:8" ht="105">
      <c r="A115" s="65" t="s">
        <v>2221</v>
      </c>
      <c r="B115" s="96" t="str">
        <f>VLOOKUP(A115,policy!B:C,2,0)</f>
        <v>070000168844</v>
      </c>
      <c r="C115" s="66">
        <v>30400</v>
      </c>
      <c r="D115" s="97">
        <f t="shared" si="5"/>
        <v>30400</v>
      </c>
      <c r="E115" s="102" t="s">
        <v>2933</v>
      </c>
      <c r="F115" s="98" t="str">
        <f t="shared" si="4"/>
        <v>insert into ins_premium_det (premium_rcv_code,assorted_code, rec_amount,premium_rcv_detail_code,remaining_amt, payrec, mode_code,coinsurance_code,class_cd,it_remarks) values</v>
      </c>
      <c r="G115" s="99" t="str">
        <f t="shared" si="6"/>
        <v>('01Nov240029','070000168844','30400',(select max(to_number(i.premium_rcv_detail_code))+1
from ins_premium_det i),'30400','30400','02', '11000003','00','Request by Mr. Saqib Saleem 01-Nov-2024');</v>
      </c>
      <c r="H115" s="100" t="str">
        <f t="shared" si="7"/>
        <v>insert into ins_premium_det (premium_rcv_code,assorted_code, rec_amount,premium_rcv_detail_code,remaining_amt, payrec, mode_code,coinsurance_code,class_cd,it_remarks) values('01Nov240029','070000168844','30400',(select max(to_number(i.premium_rcv_detail_code))+1
from ins_premium_det i),'30400','30400','02', '11000003','00','Request by Mr. Saqib Saleem 01-Nov-2024');</v>
      </c>
    </row>
    <row r="116" spans="1:8" ht="105">
      <c r="A116" s="65" t="s">
        <v>2222</v>
      </c>
      <c r="B116" s="96" t="str">
        <f>VLOOKUP(A116,policy!B:C,2,0)</f>
        <v>070000168845</v>
      </c>
      <c r="C116" s="66">
        <v>18654</v>
      </c>
      <c r="D116" s="97">
        <f t="shared" si="5"/>
        <v>18654</v>
      </c>
      <c r="E116" s="102" t="s">
        <v>2933</v>
      </c>
      <c r="F116" s="98" t="str">
        <f t="shared" si="4"/>
        <v>insert into ins_premium_det (premium_rcv_code,assorted_code, rec_amount,premium_rcv_detail_code,remaining_amt, payrec, mode_code,coinsurance_code,class_cd,it_remarks) values</v>
      </c>
      <c r="G116" s="99" t="str">
        <f t="shared" si="6"/>
        <v>('01Nov240029','070000168845','18654',(select max(to_number(i.premium_rcv_detail_code))+1
from ins_premium_det i),'18654','18654','02', '11000003','00','Request by Mr. Saqib Saleem 01-Nov-2024');</v>
      </c>
      <c r="H116" s="100" t="str">
        <f t="shared" si="7"/>
        <v>insert into ins_premium_det (premium_rcv_code,assorted_code, rec_amount,premium_rcv_detail_code,remaining_amt, payrec, mode_code,coinsurance_code,class_cd,it_remarks) values('01Nov240029','070000168845','18654',(select max(to_number(i.premium_rcv_detail_code))+1
from ins_premium_det i),'18654','18654','02', '11000003','00','Request by Mr. Saqib Saleem 01-Nov-2024');</v>
      </c>
    </row>
    <row r="117" spans="1:8" ht="105">
      <c r="A117" s="65" t="s">
        <v>2223</v>
      </c>
      <c r="B117" s="96" t="str">
        <f>VLOOKUP(A117,policy!B:C,2,0)</f>
        <v>070000168846</v>
      </c>
      <c r="C117" s="66">
        <v>47994</v>
      </c>
      <c r="D117" s="97">
        <f t="shared" si="5"/>
        <v>47994</v>
      </c>
      <c r="E117" s="102" t="s">
        <v>2933</v>
      </c>
      <c r="F117" s="98" t="str">
        <f t="shared" si="4"/>
        <v>insert into ins_premium_det (premium_rcv_code,assorted_code, rec_amount,premium_rcv_detail_code,remaining_amt, payrec, mode_code,coinsurance_code,class_cd,it_remarks) values</v>
      </c>
      <c r="G117" s="99" t="str">
        <f t="shared" si="6"/>
        <v>('01Nov240029','070000168846','47994',(select max(to_number(i.premium_rcv_detail_code))+1
from ins_premium_det i),'47994','47994','02', '11000003','00','Request by Mr. Saqib Saleem 01-Nov-2024');</v>
      </c>
      <c r="H117" s="100" t="str">
        <f t="shared" si="7"/>
        <v>insert into ins_premium_det (premium_rcv_code,assorted_code, rec_amount,premium_rcv_detail_code,remaining_amt, payrec, mode_code,coinsurance_code,class_cd,it_remarks) values('01Nov240029','070000168846','47994',(select max(to_number(i.premium_rcv_detail_code))+1
from ins_premium_det i),'47994','47994','02', '11000003','00','Request by Mr. Saqib Saleem 01-Nov-2024');</v>
      </c>
    </row>
    <row r="118" spans="1:8" ht="105">
      <c r="A118" s="65" t="s">
        <v>2224</v>
      </c>
      <c r="B118" s="96" t="str">
        <f>VLOOKUP(A118,policy!B:C,2,0)</f>
        <v>070000168847</v>
      </c>
      <c r="C118" s="66">
        <v>28868</v>
      </c>
      <c r="D118" s="97">
        <f t="shared" si="5"/>
        <v>28868</v>
      </c>
      <c r="E118" s="102" t="s">
        <v>2933</v>
      </c>
      <c r="F118" s="98" t="str">
        <f t="shared" si="4"/>
        <v>insert into ins_premium_det (premium_rcv_code,assorted_code, rec_amount,premium_rcv_detail_code,remaining_amt, payrec, mode_code,coinsurance_code,class_cd,it_remarks) values</v>
      </c>
      <c r="G118" s="99" t="str">
        <f t="shared" si="6"/>
        <v>('01Nov240029','070000168847','28868',(select max(to_number(i.premium_rcv_detail_code))+1
from ins_premium_det i),'28868','28868','02', '11000003','00','Request by Mr. Saqib Saleem 01-Nov-2024');</v>
      </c>
      <c r="H118" s="100" t="str">
        <f t="shared" si="7"/>
        <v>insert into ins_premium_det (premium_rcv_code,assorted_code, rec_amount,premium_rcv_detail_code,remaining_amt, payrec, mode_code,coinsurance_code,class_cd,it_remarks) values('01Nov240029','070000168847','28868',(select max(to_number(i.premium_rcv_detail_code))+1
from ins_premium_det i),'28868','28868','02', '11000003','00','Request by Mr. Saqib Saleem 01-Nov-2024');</v>
      </c>
    </row>
    <row r="119" spans="1:8" ht="105">
      <c r="A119" s="65" t="s">
        <v>2225</v>
      </c>
      <c r="B119" s="96" t="str">
        <f>VLOOKUP(A119,policy!B:C,2,0)</f>
        <v>070000168848</v>
      </c>
      <c r="C119" s="66">
        <v>46009</v>
      </c>
      <c r="D119" s="97">
        <f t="shared" si="5"/>
        <v>46009</v>
      </c>
      <c r="E119" s="102" t="s">
        <v>2933</v>
      </c>
      <c r="F119" s="98" t="str">
        <f t="shared" si="4"/>
        <v>insert into ins_premium_det (premium_rcv_code,assorted_code, rec_amount,premium_rcv_detail_code,remaining_amt, payrec, mode_code,coinsurance_code,class_cd,it_remarks) values</v>
      </c>
      <c r="G119" s="99" t="str">
        <f t="shared" si="6"/>
        <v>('01Nov240029','070000168848','46009',(select max(to_number(i.premium_rcv_detail_code))+1
from ins_premium_det i),'46009','46009','02', '11000003','00','Request by Mr. Saqib Saleem 01-Nov-2024');</v>
      </c>
      <c r="H119" s="100" t="str">
        <f t="shared" si="7"/>
        <v>insert into ins_premium_det (premium_rcv_code,assorted_code, rec_amount,premium_rcv_detail_code,remaining_amt, payrec, mode_code,coinsurance_code,class_cd,it_remarks) values('01Nov240029','070000168848','46009',(select max(to_number(i.premium_rcv_detail_code))+1
from ins_premium_det i),'46009','46009','02', '11000003','00','Request by Mr. Saqib Saleem 01-Nov-2024');</v>
      </c>
    </row>
    <row r="120" spans="1:8" ht="105">
      <c r="A120" s="65" t="s">
        <v>2226</v>
      </c>
      <c r="B120" s="96" t="str">
        <f>VLOOKUP(A120,policy!B:C,2,0)</f>
        <v>070000168849</v>
      </c>
      <c r="C120" s="66">
        <v>42549</v>
      </c>
      <c r="D120" s="97">
        <f t="shared" si="5"/>
        <v>42549</v>
      </c>
      <c r="E120" s="102" t="s">
        <v>2933</v>
      </c>
      <c r="F120" s="98" t="str">
        <f t="shared" si="4"/>
        <v>insert into ins_premium_det (premium_rcv_code,assorted_code, rec_amount,premium_rcv_detail_code,remaining_amt, payrec, mode_code,coinsurance_code,class_cd,it_remarks) values</v>
      </c>
      <c r="G120" s="99" t="str">
        <f t="shared" si="6"/>
        <v>('01Nov240029','070000168849','42549',(select max(to_number(i.premium_rcv_detail_code))+1
from ins_premium_det i),'42549','42549','02', '11000003','00','Request by Mr. Saqib Saleem 01-Nov-2024');</v>
      </c>
      <c r="H120" s="100" t="str">
        <f t="shared" si="7"/>
        <v>insert into ins_premium_det (premium_rcv_code,assorted_code, rec_amount,premium_rcv_detail_code,remaining_amt, payrec, mode_code,coinsurance_code,class_cd,it_remarks) values('01Nov240029','070000168849','42549',(select max(to_number(i.premium_rcv_detail_code))+1
from ins_premium_det i),'42549','42549','02', '11000003','00','Request by Mr. Saqib Saleem 01-Nov-2024');</v>
      </c>
    </row>
    <row r="121" spans="1:8" ht="105">
      <c r="A121" s="65" t="s">
        <v>2227</v>
      </c>
      <c r="B121" s="96" t="str">
        <f>VLOOKUP(A121,policy!B:C,2,0)</f>
        <v>070000168850</v>
      </c>
      <c r="C121" s="66">
        <v>21051</v>
      </c>
      <c r="D121" s="97">
        <f t="shared" si="5"/>
        <v>21051</v>
      </c>
      <c r="E121" s="102" t="s">
        <v>2933</v>
      </c>
      <c r="F121" s="98" t="str">
        <f t="shared" si="4"/>
        <v>insert into ins_premium_det (premium_rcv_code,assorted_code, rec_amount,premium_rcv_detail_code,remaining_amt, payrec, mode_code,coinsurance_code,class_cd,it_remarks) values</v>
      </c>
      <c r="G121" s="99" t="str">
        <f t="shared" si="6"/>
        <v>('01Nov240029','070000168850','21051',(select max(to_number(i.premium_rcv_detail_code))+1
from ins_premium_det i),'21051','21051','02', '11000003','00','Request by Mr. Saqib Saleem 01-Nov-2024');</v>
      </c>
      <c r="H121" s="100" t="str">
        <f t="shared" si="7"/>
        <v>insert into ins_premium_det (premium_rcv_code,assorted_code, rec_amount,premium_rcv_detail_code,remaining_amt, payrec, mode_code,coinsurance_code,class_cd,it_remarks) values('01Nov240029','070000168850','21051',(select max(to_number(i.premium_rcv_detail_code))+1
from ins_premium_det i),'21051','21051','02', '11000003','00','Request by Mr. Saqib Saleem 01-Nov-2024');</v>
      </c>
    </row>
    <row r="122" spans="1:8" ht="105">
      <c r="A122" s="65" t="s">
        <v>2228</v>
      </c>
      <c r="B122" s="96" t="str">
        <f>VLOOKUP(A122,policy!B:C,2,0)</f>
        <v>070000168851</v>
      </c>
      <c r="C122" s="66">
        <v>86445</v>
      </c>
      <c r="D122" s="97">
        <f t="shared" si="5"/>
        <v>86445</v>
      </c>
      <c r="E122" s="102" t="s">
        <v>2933</v>
      </c>
      <c r="F122" s="98" t="str">
        <f t="shared" si="4"/>
        <v>insert into ins_premium_det (premium_rcv_code,assorted_code, rec_amount,premium_rcv_detail_code,remaining_amt, payrec, mode_code,coinsurance_code,class_cd,it_remarks) values</v>
      </c>
      <c r="G122" s="99" t="str">
        <f t="shared" si="6"/>
        <v>('01Nov240029','070000168851','86445',(select max(to_number(i.premium_rcv_detail_code))+1
from ins_premium_det i),'86445','86445','02', '11000003','00','Request by Mr. Saqib Saleem 01-Nov-2024');</v>
      </c>
      <c r="H122" s="100" t="str">
        <f t="shared" si="7"/>
        <v>insert into ins_premium_det (premium_rcv_code,assorted_code, rec_amount,premium_rcv_detail_code,remaining_amt, payrec, mode_code,coinsurance_code,class_cd,it_remarks) values('01Nov240029','070000168851','86445',(select max(to_number(i.premium_rcv_detail_code))+1
from ins_premium_det i),'86445','86445','02', '11000003','00','Request by Mr. Saqib Saleem 01-Nov-2024');</v>
      </c>
    </row>
    <row r="123" spans="1:8" ht="105">
      <c r="A123" s="65" t="s">
        <v>2229</v>
      </c>
      <c r="B123" s="96" t="str">
        <f>VLOOKUP(A123,policy!B:C,2,0)</f>
        <v>070000168852</v>
      </c>
      <c r="C123" s="66">
        <v>45911</v>
      </c>
      <c r="D123" s="97">
        <f t="shared" si="5"/>
        <v>45911</v>
      </c>
      <c r="E123" s="102" t="s">
        <v>2933</v>
      </c>
      <c r="F123" s="98" t="str">
        <f t="shared" si="4"/>
        <v>insert into ins_premium_det (premium_rcv_code,assorted_code, rec_amount,premium_rcv_detail_code,remaining_amt, payrec, mode_code,coinsurance_code,class_cd,it_remarks) values</v>
      </c>
      <c r="G123" s="99" t="str">
        <f t="shared" si="6"/>
        <v>('01Nov240029','070000168852','45911',(select max(to_number(i.premium_rcv_detail_code))+1
from ins_premium_det i),'45911','45911','02', '11000003','00','Request by Mr. Saqib Saleem 01-Nov-2024');</v>
      </c>
      <c r="H123" s="100" t="str">
        <f t="shared" si="7"/>
        <v>insert into ins_premium_det (premium_rcv_code,assorted_code, rec_amount,premium_rcv_detail_code,remaining_amt, payrec, mode_code,coinsurance_code,class_cd,it_remarks) values('01Nov240029','070000168852','45911',(select max(to_number(i.premium_rcv_detail_code))+1
from ins_premium_det i),'45911','45911','02', '11000003','00','Request by Mr. Saqib Saleem 01-Nov-2024');</v>
      </c>
    </row>
    <row r="124" spans="1:8" ht="105">
      <c r="A124" s="65" t="s">
        <v>2230</v>
      </c>
      <c r="B124" s="96" t="str">
        <f>VLOOKUP(A124,policy!B:C,2,0)</f>
        <v>070000168853</v>
      </c>
      <c r="C124" s="66">
        <v>28652</v>
      </c>
      <c r="D124" s="97">
        <f t="shared" si="5"/>
        <v>28652</v>
      </c>
      <c r="E124" s="102" t="s">
        <v>2933</v>
      </c>
      <c r="F124" s="98" t="str">
        <f t="shared" si="4"/>
        <v>insert into ins_premium_det (premium_rcv_code,assorted_code, rec_amount,premium_rcv_detail_code,remaining_amt, payrec, mode_code,coinsurance_code,class_cd,it_remarks) values</v>
      </c>
      <c r="G124" s="99" t="str">
        <f t="shared" si="6"/>
        <v>('01Nov240029','070000168853','28652',(select max(to_number(i.premium_rcv_detail_code))+1
from ins_premium_det i),'28652','28652','02', '11000003','00','Request by Mr. Saqib Saleem 01-Nov-2024');</v>
      </c>
      <c r="H124" s="100" t="str">
        <f t="shared" si="7"/>
        <v>insert into ins_premium_det (premium_rcv_code,assorted_code, rec_amount,premium_rcv_detail_code,remaining_amt, payrec, mode_code,coinsurance_code,class_cd,it_remarks) values('01Nov240029','070000168853','28652',(select max(to_number(i.premium_rcv_detail_code))+1
from ins_premium_det i),'28652','28652','02', '11000003','00','Request by Mr. Saqib Saleem 01-Nov-2024');</v>
      </c>
    </row>
    <row r="125" spans="1:8" ht="105">
      <c r="A125" s="65" t="s">
        <v>2231</v>
      </c>
      <c r="B125" s="96" t="str">
        <f>VLOOKUP(A125,policy!B:C,2,0)</f>
        <v>070000168854</v>
      </c>
      <c r="C125" s="66">
        <v>58522</v>
      </c>
      <c r="D125" s="97">
        <f t="shared" si="5"/>
        <v>58522</v>
      </c>
      <c r="E125" s="102" t="s">
        <v>2933</v>
      </c>
      <c r="F125" s="98" t="str">
        <f t="shared" si="4"/>
        <v>insert into ins_premium_det (premium_rcv_code,assorted_code, rec_amount,premium_rcv_detail_code,remaining_amt, payrec, mode_code,coinsurance_code,class_cd,it_remarks) values</v>
      </c>
      <c r="G125" s="99" t="str">
        <f t="shared" si="6"/>
        <v>('01Nov240029','070000168854','58522',(select max(to_number(i.premium_rcv_detail_code))+1
from ins_premium_det i),'58522','58522','02', '11000003','00','Request by Mr. Saqib Saleem 01-Nov-2024');</v>
      </c>
      <c r="H125" s="100" t="str">
        <f t="shared" si="7"/>
        <v>insert into ins_premium_det (premium_rcv_code,assorted_code, rec_amount,premium_rcv_detail_code,remaining_amt, payrec, mode_code,coinsurance_code,class_cd,it_remarks) values('01Nov240029','070000168854','58522',(select max(to_number(i.premium_rcv_detail_code))+1
from ins_premium_det i),'58522','58522','02', '11000003','00','Request by Mr. Saqib Saleem 01-Nov-2024');</v>
      </c>
    </row>
    <row r="126" spans="1:8" ht="105">
      <c r="A126" s="65" t="s">
        <v>2232</v>
      </c>
      <c r="B126" s="96" t="str">
        <f>VLOOKUP(A126,policy!B:C,2,0)</f>
        <v>070000168855</v>
      </c>
      <c r="C126" s="66">
        <v>56215</v>
      </c>
      <c r="D126" s="97">
        <f t="shared" si="5"/>
        <v>56215</v>
      </c>
      <c r="E126" s="102" t="s">
        <v>2933</v>
      </c>
      <c r="F126" s="98" t="str">
        <f t="shared" si="4"/>
        <v>insert into ins_premium_det (premium_rcv_code,assorted_code, rec_amount,premium_rcv_detail_code,remaining_amt, payrec, mode_code,coinsurance_code,class_cd,it_remarks) values</v>
      </c>
      <c r="G126" s="99" t="str">
        <f t="shared" si="6"/>
        <v>('01Nov240029','070000168855','56215',(select max(to_number(i.premium_rcv_detail_code))+1
from ins_premium_det i),'56215','56215','02', '11000003','00','Request by Mr. Saqib Saleem 01-Nov-2024');</v>
      </c>
      <c r="H126" s="100" t="str">
        <f t="shared" si="7"/>
        <v>insert into ins_premium_det (premium_rcv_code,assorted_code, rec_amount,premium_rcv_detail_code,remaining_amt, payrec, mode_code,coinsurance_code,class_cd,it_remarks) values('01Nov240029','070000168855','56215',(select max(to_number(i.premium_rcv_detail_code))+1
from ins_premium_det i),'56215','56215','02', '11000003','00','Request by Mr. Saqib Saleem 01-Nov-2024');</v>
      </c>
    </row>
    <row r="127" spans="1:8" ht="105">
      <c r="A127" s="65" t="s">
        <v>2233</v>
      </c>
      <c r="B127" s="96" t="str">
        <f>VLOOKUP(A127,policy!B:C,2,0)</f>
        <v>070000168856</v>
      </c>
      <c r="C127" s="66">
        <v>39874</v>
      </c>
      <c r="D127" s="97">
        <f t="shared" si="5"/>
        <v>39874</v>
      </c>
      <c r="E127" s="102" t="s">
        <v>2933</v>
      </c>
      <c r="F127" s="98" t="str">
        <f t="shared" si="4"/>
        <v>insert into ins_premium_det (premium_rcv_code,assorted_code, rec_amount,premium_rcv_detail_code,remaining_amt, payrec, mode_code,coinsurance_code,class_cd,it_remarks) values</v>
      </c>
      <c r="G127" s="99" t="str">
        <f t="shared" si="6"/>
        <v>('01Nov240029','070000168856','39874',(select max(to_number(i.premium_rcv_detail_code))+1
from ins_premium_det i),'39874','39874','02', '11000003','00','Request by Mr. Saqib Saleem 01-Nov-2024');</v>
      </c>
      <c r="H127" s="100" t="str">
        <f t="shared" si="7"/>
        <v>insert into ins_premium_det (premium_rcv_code,assorted_code, rec_amount,premium_rcv_detail_code,remaining_amt, payrec, mode_code,coinsurance_code,class_cd,it_remarks) values('01Nov240029','070000168856','39874',(select max(to_number(i.premium_rcv_detail_code))+1
from ins_premium_det i),'39874','39874','02', '11000003','00','Request by Mr. Saqib Saleem 01-Nov-2024');</v>
      </c>
    </row>
    <row r="128" spans="1:8" ht="105">
      <c r="A128" s="65" t="s">
        <v>2234</v>
      </c>
      <c r="B128" s="96" t="str">
        <f>VLOOKUP(A128,policy!B:C,2,0)</f>
        <v>070000168857</v>
      </c>
      <c r="C128" s="66">
        <v>25243</v>
      </c>
      <c r="D128" s="97">
        <f t="shared" si="5"/>
        <v>25243</v>
      </c>
      <c r="E128" s="102" t="s">
        <v>2933</v>
      </c>
      <c r="F128" s="98" t="str">
        <f t="shared" si="4"/>
        <v>insert into ins_premium_det (premium_rcv_code,assorted_code, rec_amount,premium_rcv_detail_code,remaining_amt, payrec, mode_code,coinsurance_code,class_cd,it_remarks) values</v>
      </c>
      <c r="G128" s="99" t="str">
        <f t="shared" si="6"/>
        <v>('01Nov240029','070000168857','25243',(select max(to_number(i.premium_rcv_detail_code))+1
from ins_premium_det i),'25243','25243','02', '11000003','00','Request by Mr. Saqib Saleem 01-Nov-2024');</v>
      </c>
      <c r="H128" s="100" t="str">
        <f t="shared" si="7"/>
        <v>insert into ins_premium_det (premium_rcv_code,assorted_code, rec_amount,premium_rcv_detail_code,remaining_amt, payrec, mode_code,coinsurance_code,class_cd,it_remarks) values('01Nov240029','070000168857','25243',(select max(to_number(i.premium_rcv_detail_code))+1
from ins_premium_det i),'25243','25243','02', '11000003','00','Request by Mr. Saqib Saleem 01-Nov-2024');</v>
      </c>
    </row>
    <row r="129" spans="1:8" ht="105">
      <c r="A129" s="65" t="s">
        <v>2235</v>
      </c>
      <c r="B129" s="96" t="str">
        <f>VLOOKUP(A129,policy!B:C,2,0)</f>
        <v>070000168858</v>
      </c>
      <c r="C129" s="66">
        <v>26999</v>
      </c>
      <c r="D129" s="97">
        <f t="shared" si="5"/>
        <v>26999</v>
      </c>
      <c r="E129" s="102" t="s">
        <v>2933</v>
      </c>
      <c r="F129" s="98" t="str">
        <f t="shared" si="4"/>
        <v>insert into ins_premium_det (premium_rcv_code,assorted_code, rec_amount,premium_rcv_detail_code,remaining_amt, payrec, mode_code,coinsurance_code,class_cd,it_remarks) values</v>
      </c>
      <c r="G129" s="99" t="str">
        <f t="shared" si="6"/>
        <v>('01Nov240029','070000168858','26999',(select max(to_number(i.premium_rcv_detail_code))+1
from ins_premium_det i),'26999','26999','02', '11000003','00','Request by Mr. Saqib Saleem 01-Nov-2024');</v>
      </c>
      <c r="H129" s="100" t="str">
        <f t="shared" si="7"/>
        <v>insert into ins_premium_det (premium_rcv_code,assorted_code, rec_amount,premium_rcv_detail_code,remaining_amt, payrec, mode_code,coinsurance_code,class_cd,it_remarks) values('01Nov240029','070000168858','26999',(select max(to_number(i.premium_rcv_detail_code))+1
from ins_premium_det i),'26999','26999','02', '11000003','00','Request by Mr. Saqib Saleem 01-Nov-2024');</v>
      </c>
    </row>
    <row r="130" spans="1:8" ht="105">
      <c r="A130" s="65" t="s">
        <v>2236</v>
      </c>
      <c r="B130" s="96" t="str">
        <f>VLOOKUP(A130,policy!B:C,2,0)</f>
        <v>070000168859</v>
      </c>
      <c r="C130" s="66">
        <v>78978</v>
      </c>
      <c r="D130" s="97">
        <f t="shared" si="5"/>
        <v>78978</v>
      </c>
      <c r="E130" s="102" t="s">
        <v>2933</v>
      </c>
      <c r="F130" s="98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99" t="str">
        <f t="shared" si="6"/>
        <v>('01Nov240029','070000168859','78978',(select max(to_number(i.premium_rcv_detail_code))+1
from ins_premium_det i),'78978','78978','02', '11000003','00','Request by Mr. Saqib Saleem 01-Nov-2024');</v>
      </c>
      <c r="H130" s="100" t="str">
        <f t="shared" si="7"/>
        <v>insert into ins_premium_det (premium_rcv_code,assorted_code, rec_amount,premium_rcv_detail_code,remaining_amt, payrec, mode_code,coinsurance_code,class_cd,it_remarks) values('01Nov240029','070000168859','78978',(select max(to_number(i.premium_rcv_detail_code))+1
from ins_premium_det i),'78978','78978','02', '11000003','00','Request by Mr. Saqib Saleem 01-Nov-2024');</v>
      </c>
    </row>
    <row r="131" spans="1:8" ht="105">
      <c r="A131" s="65" t="s">
        <v>2237</v>
      </c>
      <c r="B131" s="96" t="str">
        <f>VLOOKUP(A131,policy!B:C,2,0)</f>
        <v>070000168860</v>
      </c>
      <c r="C131" s="66">
        <v>16403</v>
      </c>
      <c r="D131" s="97">
        <f t="shared" ref="D131:D193" si="9">ROUND(C131,0)</f>
        <v>16403</v>
      </c>
      <c r="E131" s="102" t="s">
        <v>2933</v>
      </c>
      <c r="F131" s="98" t="str">
        <f t="shared" si="8"/>
        <v>insert into ins_premium_det (premium_rcv_code,assorted_code, rec_amount,premium_rcv_detail_code,remaining_amt, payrec, mode_code,coinsurance_code,class_cd,it_remarks) values</v>
      </c>
      <c r="G131" s="99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01-Nov-2024');"</f>
        <v>('01Nov240029','070000168860','16403',(select max(to_number(i.premium_rcv_detail_code))+1
from ins_premium_det i),'16403','16403','02', '11000003','00','Request by Mr. Saqib Saleem 01-Nov-2024');</v>
      </c>
      <c r="H131" s="100" t="str">
        <f t="shared" ref="H131:H194" si="11">F131&amp;G131</f>
        <v>insert into ins_premium_det (premium_rcv_code,assorted_code, rec_amount,premium_rcv_detail_code,remaining_amt, payrec, mode_code,coinsurance_code,class_cd,it_remarks) values('01Nov240029','070000168860','16403',(select max(to_number(i.premium_rcv_detail_code))+1
from ins_premium_det i),'16403','16403','02', '11000003','00','Request by Mr. Saqib Saleem 01-Nov-2024');</v>
      </c>
    </row>
    <row r="132" spans="1:8" ht="105">
      <c r="A132" s="65" t="s">
        <v>2238</v>
      </c>
      <c r="B132" s="96" t="str">
        <f>VLOOKUP(A132,policy!B:C,2,0)</f>
        <v>070000168861</v>
      </c>
      <c r="C132" s="66">
        <v>41351</v>
      </c>
      <c r="D132" s="97">
        <f t="shared" si="9"/>
        <v>41351</v>
      </c>
      <c r="E132" s="102" t="s">
        <v>2933</v>
      </c>
      <c r="F132" s="98" t="str">
        <f t="shared" si="8"/>
        <v>insert into ins_premium_det (premium_rcv_code,assorted_code, rec_amount,premium_rcv_detail_code,remaining_amt, payrec, mode_code,coinsurance_code,class_cd,it_remarks) values</v>
      </c>
      <c r="G132" s="99" t="str">
        <f t="shared" si="10"/>
        <v>('01Nov240029','070000168861','41351',(select max(to_number(i.premium_rcv_detail_code))+1
from ins_premium_det i),'41351','41351','02', '11000003','00','Request by Mr. Saqib Saleem 01-Nov-2024');</v>
      </c>
      <c r="H132" s="100" t="str">
        <f t="shared" si="11"/>
        <v>insert into ins_premium_det (premium_rcv_code,assorted_code, rec_amount,premium_rcv_detail_code,remaining_amt, payrec, mode_code,coinsurance_code,class_cd,it_remarks) values('01Nov240029','070000168861','41351',(select max(to_number(i.premium_rcv_detail_code))+1
from ins_premium_det i),'41351','41351','02', '11000003','00','Request by Mr. Saqib Saleem 01-Nov-2024');</v>
      </c>
    </row>
    <row r="133" spans="1:8" ht="105">
      <c r="A133" s="65" t="s">
        <v>2239</v>
      </c>
      <c r="B133" s="96" t="str">
        <f>VLOOKUP(A133,policy!B:C,2,0)</f>
        <v>070000168862</v>
      </c>
      <c r="C133" s="66">
        <v>65807</v>
      </c>
      <c r="D133" s="97">
        <f t="shared" si="9"/>
        <v>65807</v>
      </c>
      <c r="E133" s="102" t="s">
        <v>2933</v>
      </c>
      <c r="F133" s="98" t="str">
        <f t="shared" si="8"/>
        <v>insert into ins_premium_det (premium_rcv_code,assorted_code, rec_amount,premium_rcv_detail_code,remaining_amt, payrec, mode_code,coinsurance_code,class_cd,it_remarks) values</v>
      </c>
      <c r="G133" s="99" t="str">
        <f t="shared" si="10"/>
        <v>('01Nov240029','070000168862','65807',(select max(to_number(i.premium_rcv_detail_code))+1
from ins_premium_det i),'65807','65807','02', '11000003','00','Request by Mr. Saqib Saleem 01-Nov-2024');</v>
      </c>
      <c r="H133" s="100" t="str">
        <f t="shared" si="11"/>
        <v>insert into ins_premium_det (premium_rcv_code,assorted_code, rec_amount,premium_rcv_detail_code,remaining_amt, payrec, mode_code,coinsurance_code,class_cd,it_remarks) values('01Nov240029','070000168862','65807',(select max(to_number(i.premium_rcv_detail_code))+1
from ins_premium_det i),'65807','65807','02', '11000003','00','Request by Mr. Saqib Saleem 01-Nov-2024');</v>
      </c>
    </row>
    <row r="134" spans="1:8" ht="105">
      <c r="A134" s="65" t="s">
        <v>2240</v>
      </c>
      <c r="B134" s="96" t="str">
        <f>VLOOKUP(A134,policy!B:C,2,0)</f>
        <v>070000168863</v>
      </c>
      <c r="C134" s="66">
        <v>24948</v>
      </c>
      <c r="D134" s="97">
        <f t="shared" si="9"/>
        <v>24948</v>
      </c>
      <c r="E134" s="102" t="s">
        <v>2933</v>
      </c>
      <c r="F134" s="98" t="str">
        <f t="shared" si="8"/>
        <v>insert into ins_premium_det (premium_rcv_code,assorted_code, rec_amount,premium_rcv_detail_code,remaining_amt, payrec, mode_code,coinsurance_code,class_cd,it_remarks) values</v>
      </c>
      <c r="G134" s="99" t="str">
        <f t="shared" si="10"/>
        <v>('01Nov240029','070000168863','24948',(select max(to_number(i.premium_rcv_detail_code))+1
from ins_premium_det i),'24948','24948','02', '11000003','00','Request by Mr. Saqib Saleem 01-Nov-2024');</v>
      </c>
      <c r="H134" s="100" t="str">
        <f t="shared" si="11"/>
        <v>insert into ins_premium_det (premium_rcv_code,assorted_code, rec_amount,premium_rcv_detail_code,remaining_amt, payrec, mode_code,coinsurance_code,class_cd,it_remarks) values('01Nov240029','070000168863','24948',(select max(to_number(i.premium_rcv_detail_code))+1
from ins_premium_det i),'24948','24948','02', '11000003','00','Request by Mr. Saqib Saleem 01-Nov-2024');</v>
      </c>
    </row>
    <row r="135" spans="1:8" ht="105">
      <c r="A135" s="65" t="s">
        <v>2241</v>
      </c>
      <c r="B135" s="96" t="str">
        <f>VLOOKUP(A135,policy!B:C,2,0)</f>
        <v>070000168864</v>
      </c>
      <c r="C135" s="66">
        <v>30400</v>
      </c>
      <c r="D135" s="97">
        <f t="shared" si="9"/>
        <v>30400</v>
      </c>
      <c r="E135" s="102" t="s">
        <v>2933</v>
      </c>
      <c r="F135" s="98" t="str">
        <f t="shared" si="8"/>
        <v>insert into ins_premium_det (premium_rcv_code,assorted_code, rec_amount,premium_rcv_detail_code,remaining_amt, payrec, mode_code,coinsurance_code,class_cd,it_remarks) values</v>
      </c>
      <c r="G135" s="99" t="str">
        <f t="shared" si="10"/>
        <v>('01Nov240029','070000168864','30400',(select max(to_number(i.premium_rcv_detail_code))+1
from ins_premium_det i),'30400','30400','02', '11000003','00','Request by Mr. Saqib Saleem 01-Nov-2024');</v>
      </c>
      <c r="H135" s="100" t="str">
        <f t="shared" si="11"/>
        <v>insert into ins_premium_det (premium_rcv_code,assorted_code, rec_amount,premium_rcv_detail_code,remaining_amt, payrec, mode_code,coinsurance_code,class_cd,it_remarks) values('01Nov240029','070000168864','30400',(select max(to_number(i.premium_rcv_detail_code))+1
from ins_premium_det i),'30400','30400','02', '11000003','00','Request by Mr. Saqib Saleem 01-Nov-2024');</v>
      </c>
    </row>
    <row r="136" spans="1:8" ht="105">
      <c r="A136" s="65" t="s">
        <v>2242</v>
      </c>
      <c r="B136" s="96" t="str">
        <f>VLOOKUP(A136,policy!B:C,2,0)</f>
        <v>070000168865</v>
      </c>
      <c r="C136" s="66">
        <v>46009</v>
      </c>
      <c r="D136" s="97">
        <f t="shared" si="9"/>
        <v>46009</v>
      </c>
      <c r="E136" s="102" t="s">
        <v>2933</v>
      </c>
      <c r="F136" s="98" t="str">
        <f t="shared" si="8"/>
        <v>insert into ins_premium_det (premium_rcv_code,assorted_code, rec_amount,premium_rcv_detail_code,remaining_amt, payrec, mode_code,coinsurance_code,class_cd,it_remarks) values</v>
      </c>
      <c r="G136" s="99" t="str">
        <f t="shared" si="10"/>
        <v>('01Nov240029','070000168865','46009',(select max(to_number(i.premium_rcv_detail_code))+1
from ins_premium_det i),'46009','46009','02', '11000003','00','Request by Mr. Saqib Saleem 01-Nov-2024');</v>
      </c>
      <c r="H136" s="100" t="str">
        <f t="shared" si="11"/>
        <v>insert into ins_premium_det (premium_rcv_code,assorted_code, rec_amount,premium_rcv_detail_code,remaining_amt, payrec, mode_code,coinsurance_code,class_cd,it_remarks) values('01Nov240029','070000168865','46009',(select max(to_number(i.premium_rcv_detail_code))+1
from ins_premium_det i),'46009','46009','02', '11000003','00','Request by Mr. Saqib Saleem 01-Nov-2024');</v>
      </c>
    </row>
    <row r="137" spans="1:8" ht="105">
      <c r="A137" s="65" t="s">
        <v>2243</v>
      </c>
      <c r="B137" s="96" t="str">
        <f>VLOOKUP(A137,policy!B:C,2,0)</f>
        <v>070000168866</v>
      </c>
      <c r="C137" s="66">
        <v>26408</v>
      </c>
      <c r="D137" s="97">
        <f t="shared" si="9"/>
        <v>26408</v>
      </c>
      <c r="E137" s="102" t="s">
        <v>2933</v>
      </c>
      <c r="F137" s="98" t="str">
        <f t="shared" si="8"/>
        <v>insert into ins_premium_det (premium_rcv_code,assorted_code, rec_amount,premium_rcv_detail_code,remaining_amt, payrec, mode_code,coinsurance_code,class_cd,it_remarks) values</v>
      </c>
      <c r="G137" s="99" t="str">
        <f t="shared" si="10"/>
        <v>('01Nov240029','070000168866','26408',(select max(to_number(i.premium_rcv_detail_code))+1
from ins_premium_det i),'26408','26408','02', '11000003','00','Request by Mr. Saqib Saleem 01-Nov-2024');</v>
      </c>
      <c r="H137" s="100" t="str">
        <f t="shared" si="11"/>
        <v>insert into ins_premium_det (premium_rcv_code,assorted_code, rec_amount,premium_rcv_detail_code,remaining_amt, payrec, mode_code,coinsurance_code,class_cd,it_remarks) values('01Nov240029','070000168866','26408',(select max(to_number(i.premium_rcv_detail_code))+1
from ins_premium_det i),'26408','26408','02', '11000003','00','Request by Mr. Saqib Saleem 01-Nov-2024');</v>
      </c>
    </row>
    <row r="138" spans="1:8" ht="105">
      <c r="A138" s="65" t="s">
        <v>2244</v>
      </c>
      <c r="B138" s="96" t="str">
        <f>VLOOKUP(A138,policy!B:C,2,0)</f>
        <v>070000168867</v>
      </c>
      <c r="C138" s="66">
        <v>87721</v>
      </c>
      <c r="D138" s="97">
        <f t="shared" si="9"/>
        <v>87721</v>
      </c>
      <c r="E138" s="102" t="s">
        <v>2933</v>
      </c>
      <c r="F138" s="98" t="str">
        <f t="shared" si="8"/>
        <v>insert into ins_premium_det (premium_rcv_code,assorted_code, rec_amount,premium_rcv_detail_code,remaining_amt, payrec, mode_code,coinsurance_code,class_cd,it_remarks) values</v>
      </c>
      <c r="G138" s="99" t="str">
        <f t="shared" si="10"/>
        <v>('01Nov240029','070000168867','87721',(select max(to_number(i.premium_rcv_detail_code))+1
from ins_premium_det i),'87721','87721','02', '11000003','00','Request by Mr. Saqib Saleem 01-Nov-2024');</v>
      </c>
      <c r="H138" s="100" t="str">
        <f t="shared" si="11"/>
        <v>insert into ins_premium_det (premium_rcv_code,assorted_code, rec_amount,premium_rcv_detail_code,remaining_amt, payrec, mode_code,coinsurance_code,class_cd,it_remarks) values('01Nov240029','070000168867','87721',(select max(to_number(i.premium_rcv_detail_code))+1
from ins_premium_det i),'87721','87721','02', '11000003','00','Request by Mr. Saqib Saleem 01-Nov-2024');</v>
      </c>
    </row>
    <row r="139" spans="1:8" ht="105">
      <c r="A139" s="65" t="s">
        <v>2245</v>
      </c>
      <c r="B139" s="96" t="str">
        <f>VLOOKUP(A139,policy!B:C,2,0)</f>
        <v>070000168868</v>
      </c>
      <c r="C139" s="66">
        <v>46009</v>
      </c>
      <c r="D139" s="97">
        <f t="shared" si="9"/>
        <v>46009</v>
      </c>
      <c r="E139" s="102" t="s">
        <v>2933</v>
      </c>
      <c r="F139" s="98" t="str">
        <f t="shared" si="8"/>
        <v>insert into ins_premium_det (premium_rcv_code,assorted_code, rec_amount,premium_rcv_detail_code,remaining_amt, payrec, mode_code,coinsurance_code,class_cd,it_remarks) values</v>
      </c>
      <c r="G139" s="99" t="str">
        <f t="shared" si="10"/>
        <v>('01Nov240029','070000168868','46009',(select max(to_number(i.premium_rcv_detail_code))+1
from ins_premium_det i),'46009','46009','02', '11000003','00','Request by Mr. Saqib Saleem 01-Nov-2024');</v>
      </c>
      <c r="H139" s="100" t="str">
        <f t="shared" si="11"/>
        <v>insert into ins_premium_det (premium_rcv_code,assorted_code, rec_amount,premium_rcv_detail_code,remaining_amt, payrec, mode_code,coinsurance_code,class_cd,it_remarks) values('01Nov240029','070000168868','46009',(select max(to_number(i.premium_rcv_detail_code))+1
from ins_premium_det i),'46009','46009','02', '11000003','00','Request by Mr. Saqib Saleem 01-Nov-2024');</v>
      </c>
    </row>
    <row r="140" spans="1:8" ht="105">
      <c r="A140" s="65" t="s">
        <v>2246</v>
      </c>
      <c r="B140" s="96" t="str">
        <f>VLOOKUP(A140,policy!B:C,2,0)</f>
        <v>070000168869</v>
      </c>
      <c r="C140" s="66">
        <v>23356</v>
      </c>
      <c r="D140" s="97">
        <f t="shared" si="9"/>
        <v>23356</v>
      </c>
      <c r="E140" s="102" t="s">
        <v>2933</v>
      </c>
      <c r="F140" s="98" t="str">
        <f t="shared" si="8"/>
        <v>insert into ins_premium_det (premium_rcv_code,assorted_code, rec_amount,premium_rcv_detail_code,remaining_amt, payrec, mode_code,coinsurance_code,class_cd,it_remarks) values</v>
      </c>
      <c r="G140" s="99" t="str">
        <f t="shared" si="10"/>
        <v>('01Nov240029','070000168869','23356',(select max(to_number(i.premium_rcv_detail_code))+1
from ins_premium_det i),'23356','23356','02', '11000003','00','Request by Mr. Saqib Saleem 01-Nov-2024');</v>
      </c>
      <c r="H140" s="100" t="str">
        <f t="shared" si="11"/>
        <v>insert into ins_premium_det (premium_rcv_code,assorted_code, rec_amount,premium_rcv_detail_code,remaining_amt, payrec, mode_code,coinsurance_code,class_cd,it_remarks) values('01Nov240029','070000168869','23356',(select max(to_number(i.premium_rcv_detail_code))+1
from ins_premium_det i),'23356','23356','02', '11000003','00','Request by Mr. Saqib Saleem 01-Nov-2024');</v>
      </c>
    </row>
    <row r="141" spans="1:8" ht="105">
      <c r="A141" s="65" t="s">
        <v>2247</v>
      </c>
      <c r="B141" s="96" t="str">
        <f>VLOOKUP(A141,policy!B:C,2,0)</f>
        <v>070000168870</v>
      </c>
      <c r="C141" s="66">
        <v>42729</v>
      </c>
      <c r="D141" s="97">
        <f t="shared" si="9"/>
        <v>42729</v>
      </c>
      <c r="E141" s="102" t="s">
        <v>2933</v>
      </c>
      <c r="F141" s="98" t="str">
        <f t="shared" si="8"/>
        <v>insert into ins_premium_det (premium_rcv_code,assorted_code, rec_amount,premium_rcv_detail_code,remaining_amt, payrec, mode_code,coinsurance_code,class_cd,it_remarks) values</v>
      </c>
      <c r="G141" s="99" t="str">
        <f t="shared" si="10"/>
        <v>('01Nov240029','070000168870','42729',(select max(to_number(i.premium_rcv_detail_code))+1
from ins_premium_det i),'42729','42729','02', '11000003','00','Request by Mr. Saqib Saleem 01-Nov-2024');</v>
      </c>
      <c r="H141" s="100" t="str">
        <f t="shared" si="11"/>
        <v>insert into ins_premium_det (premium_rcv_code,assorted_code, rec_amount,premium_rcv_detail_code,remaining_amt, payrec, mode_code,coinsurance_code,class_cd,it_remarks) values('01Nov240029','070000168870','42729',(select max(to_number(i.premium_rcv_detail_code))+1
from ins_premium_det i),'42729','42729','02', '11000003','00','Request by Mr. Saqib Saleem 01-Nov-2024');</v>
      </c>
    </row>
    <row r="142" spans="1:8" ht="105">
      <c r="A142" s="65" t="s">
        <v>2248</v>
      </c>
      <c r="B142" s="96" t="str">
        <f>VLOOKUP(A142,policy!B:C,2,0)</f>
        <v>070000168871</v>
      </c>
      <c r="C142" s="66">
        <v>42466</v>
      </c>
      <c r="D142" s="97">
        <f t="shared" si="9"/>
        <v>42466</v>
      </c>
      <c r="E142" s="102" t="s">
        <v>2933</v>
      </c>
      <c r="F142" s="98" t="str">
        <f t="shared" si="8"/>
        <v>insert into ins_premium_det (premium_rcv_code,assorted_code, rec_amount,premium_rcv_detail_code,remaining_amt, payrec, mode_code,coinsurance_code,class_cd,it_remarks) values</v>
      </c>
      <c r="G142" s="99" t="str">
        <f t="shared" si="10"/>
        <v>('01Nov240029','070000168871','42466',(select max(to_number(i.premium_rcv_detail_code))+1
from ins_premium_det i),'42466','42466','02', '11000003','00','Request by Mr. Saqib Saleem 01-Nov-2024');</v>
      </c>
      <c r="H142" s="100" t="str">
        <f t="shared" si="11"/>
        <v>insert into ins_premium_det (premium_rcv_code,assorted_code, rec_amount,premium_rcv_detail_code,remaining_amt, payrec, mode_code,coinsurance_code,class_cd,it_remarks) values('01Nov240029','070000168871','42466',(select max(to_number(i.premium_rcv_detail_code))+1
from ins_premium_det i),'42466','42466','02', '11000003','00','Request by Mr. Saqib Saleem 01-Nov-2024');</v>
      </c>
    </row>
    <row r="143" spans="1:8" ht="105">
      <c r="A143" s="65" t="s">
        <v>2249</v>
      </c>
      <c r="B143" s="96" t="str">
        <f>VLOOKUP(A143,policy!B:C,2,0)</f>
        <v>070000168872</v>
      </c>
      <c r="C143" s="66">
        <v>54805</v>
      </c>
      <c r="D143" s="97">
        <f t="shared" si="9"/>
        <v>54805</v>
      </c>
      <c r="E143" s="102" t="s">
        <v>2933</v>
      </c>
      <c r="F143" s="98" t="str">
        <f t="shared" si="8"/>
        <v>insert into ins_premium_det (premium_rcv_code,assorted_code, rec_amount,premium_rcv_detail_code,remaining_amt, payrec, mode_code,coinsurance_code,class_cd,it_remarks) values</v>
      </c>
      <c r="G143" s="99" t="str">
        <f t="shared" si="10"/>
        <v>('01Nov240029','070000168872','54805',(select max(to_number(i.premium_rcv_detail_code))+1
from ins_premium_det i),'54805','54805','02', '11000003','00','Request by Mr. Saqib Saleem 01-Nov-2024');</v>
      </c>
      <c r="H143" s="100" t="str">
        <f t="shared" si="11"/>
        <v>insert into ins_premium_det (premium_rcv_code,assorted_code, rec_amount,premium_rcv_detail_code,remaining_amt, payrec, mode_code,coinsurance_code,class_cd,it_remarks) values('01Nov240029','070000168872','54805',(select max(to_number(i.premium_rcv_detail_code))+1
from ins_premium_det i),'54805','54805','02', '11000003','00','Request by Mr. Saqib Saleem 01-Nov-2024');</v>
      </c>
    </row>
    <row r="144" spans="1:8" ht="105">
      <c r="A144" s="65" t="s">
        <v>2250</v>
      </c>
      <c r="B144" s="96" t="str">
        <f>VLOOKUP(A144,policy!B:C,2,0)</f>
        <v>070000168873</v>
      </c>
      <c r="C144" s="66">
        <v>28704</v>
      </c>
      <c r="D144" s="97">
        <f t="shared" si="9"/>
        <v>28704</v>
      </c>
      <c r="E144" s="102" t="s">
        <v>2933</v>
      </c>
      <c r="F144" s="98" t="str">
        <f t="shared" si="8"/>
        <v>insert into ins_premium_det (premium_rcv_code,assorted_code, rec_amount,premium_rcv_detail_code,remaining_amt, payrec, mode_code,coinsurance_code,class_cd,it_remarks) values</v>
      </c>
      <c r="G144" s="99" t="str">
        <f t="shared" si="10"/>
        <v>('01Nov240029','070000168873','28704',(select max(to_number(i.premium_rcv_detail_code))+1
from ins_premium_det i),'28704','28704','02', '11000003','00','Request by Mr. Saqib Saleem 01-Nov-2024');</v>
      </c>
      <c r="H144" s="100" t="str">
        <f t="shared" si="11"/>
        <v>insert into ins_premium_det (premium_rcv_code,assorted_code, rec_amount,premium_rcv_detail_code,remaining_amt, payrec, mode_code,coinsurance_code,class_cd,it_remarks) values('01Nov240029','070000168873','28704',(select max(to_number(i.premium_rcv_detail_code))+1
from ins_premium_det i),'28704','28704','02', '11000003','00','Request by Mr. Saqib Saleem 01-Nov-2024');</v>
      </c>
    </row>
    <row r="145" spans="1:8" ht="105">
      <c r="A145" s="65" t="s">
        <v>2251</v>
      </c>
      <c r="B145" s="96" t="str">
        <f>VLOOKUP(A145,policy!B:C,2,0)</f>
        <v>070000168874</v>
      </c>
      <c r="C145" s="66">
        <v>44287</v>
      </c>
      <c r="D145" s="97">
        <f t="shared" si="9"/>
        <v>44287</v>
      </c>
      <c r="E145" s="102" t="s">
        <v>2933</v>
      </c>
      <c r="F145" s="98" t="str">
        <f t="shared" si="8"/>
        <v>insert into ins_premium_det (premium_rcv_code,assorted_code, rec_amount,premium_rcv_detail_code,remaining_amt, payrec, mode_code,coinsurance_code,class_cd,it_remarks) values</v>
      </c>
      <c r="G145" s="99" t="str">
        <f t="shared" si="10"/>
        <v>('01Nov240029','070000168874','44287',(select max(to_number(i.premium_rcv_detail_code))+1
from ins_premium_det i),'44287','44287','02', '11000003','00','Request by Mr. Saqib Saleem 01-Nov-2024');</v>
      </c>
      <c r="H145" s="100" t="str">
        <f t="shared" si="11"/>
        <v>insert into ins_premium_det (premium_rcv_code,assorted_code, rec_amount,premium_rcv_detail_code,remaining_amt, payrec, mode_code,coinsurance_code,class_cd,it_remarks) values('01Nov240029','070000168874','44287',(select max(to_number(i.premium_rcv_detail_code))+1
from ins_premium_det i),'44287','44287','02', '11000003','00','Request by Mr. Saqib Saleem 01-Nov-2024');</v>
      </c>
    </row>
    <row r="146" spans="1:8" ht="105">
      <c r="A146" s="65" t="s">
        <v>2252</v>
      </c>
      <c r="B146" s="96" t="str">
        <f>VLOOKUP(A146,policy!B:C,2,0)</f>
        <v>070000168875</v>
      </c>
      <c r="C146" s="66">
        <v>40867</v>
      </c>
      <c r="D146" s="97">
        <f t="shared" si="9"/>
        <v>40867</v>
      </c>
      <c r="E146" s="102" t="s">
        <v>2933</v>
      </c>
      <c r="F146" s="98" t="str">
        <f t="shared" si="8"/>
        <v>insert into ins_premium_det (premium_rcv_code,assorted_code, rec_amount,premium_rcv_detail_code,remaining_amt, payrec, mode_code,coinsurance_code,class_cd,it_remarks) values</v>
      </c>
      <c r="G146" s="99" t="str">
        <f t="shared" si="10"/>
        <v>('01Nov240029','070000168875','40867',(select max(to_number(i.premium_rcv_detail_code))+1
from ins_premium_det i),'40867','40867','02', '11000003','00','Request by Mr. Saqib Saleem 01-Nov-2024');</v>
      </c>
      <c r="H146" s="100" t="str">
        <f t="shared" si="11"/>
        <v>insert into ins_premium_det (premium_rcv_code,assorted_code, rec_amount,premium_rcv_detail_code,remaining_amt, payrec, mode_code,coinsurance_code,class_cd,it_remarks) values('01Nov240029','070000168875','40867',(select max(to_number(i.premium_rcv_detail_code))+1
from ins_premium_det i),'40867','40867','02', '11000003','00','Request by Mr. Saqib Saleem 01-Nov-2024');</v>
      </c>
    </row>
    <row r="147" spans="1:8" ht="105">
      <c r="A147" s="65" t="s">
        <v>2253</v>
      </c>
      <c r="B147" s="96" t="str">
        <f>VLOOKUP(A147,policy!B:C,2,0)</f>
        <v>070000168876</v>
      </c>
      <c r="C147" s="66">
        <v>34445</v>
      </c>
      <c r="D147" s="97">
        <f t="shared" si="9"/>
        <v>34445</v>
      </c>
      <c r="E147" s="102" t="s">
        <v>2933</v>
      </c>
      <c r="F147" s="98" t="str">
        <f t="shared" si="8"/>
        <v>insert into ins_premium_det (premium_rcv_code,assorted_code, rec_amount,premium_rcv_detail_code,remaining_amt, payrec, mode_code,coinsurance_code,class_cd,it_remarks) values</v>
      </c>
      <c r="G147" s="99" t="str">
        <f t="shared" si="10"/>
        <v>('01Nov240029','070000168876','34445',(select max(to_number(i.premium_rcv_detail_code))+1
from ins_premium_det i),'34445','34445','02', '11000003','00','Request by Mr. Saqib Saleem 01-Nov-2024');</v>
      </c>
      <c r="H147" s="100" t="str">
        <f t="shared" si="11"/>
        <v>insert into ins_premium_det (premium_rcv_code,assorted_code, rec_amount,premium_rcv_detail_code,remaining_amt, payrec, mode_code,coinsurance_code,class_cd,it_remarks) values('01Nov240029','070000168876','34445',(select max(to_number(i.premium_rcv_detail_code))+1
from ins_premium_det i),'34445','34445','02', '11000003','00','Request by Mr. Saqib Saleem 01-Nov-2024');</v>
      </c>
    </row>
    <row r="148" spans="1:8" ht="105">
      <c r="A148" s="65" t="s">
        <v>2254</v>
      </c>
      <c r="B148" s="96" t="str">
        <f>VLOOKUP(A148,policy!B:C,2,0)</f>
        <v>070000168877</v>
      </c>
      <c r="C148" s="66">
        <v>21897</v>
      </c>
      <c r="D148" s="97">
        <f t="shared" si="9"/>
        <v>21897</v>
      </c>
      <c r="E148" s="102" t="s">
        <v>2933</v>
      </c>
      <c r="F148" s="98" t="str">
        <f t="shared" si="8"/>
        <v>insert into ins_premium_det (premium_rcv_code,assorted_code, rec_amount,premium_rcv_detail_code,remaining_amt, payrec, mode_code,coinsurance_code,class_cd,it_remarks) values</v>
      </c>
      <c r="G148" s="99" t="str">
        <f t="shared" si="10"/>
        <v>('01Nov240029','070000168877','21897',(select max(to_number(i.premium_rcv_detail_code))+1
from ins_premium_det i),'21897','21897','02', '11000003','00','Request by Mr. Saqib Saleem 01-Nov-2024');</v>
      </c>
      <c r="H148" s="100" t="str">
        <f t="shared" si="11"/>
        <v>insert into ins_premium_det (premium_rcv_code,assorted_code, rec_amount,premium_rcv_detail_code,remaining_amt, payrec, mode_code,coinsurance_code,class_cd,it_remarks) values('01Nov240029','070000168877','21897',(select max(to_number(i.premium_rcv_detail_code))+1
from ins_premium_det i),'21897','21897','02', '11000003','00','Request by Mr. Saqib Saleem 01-Nov-2024');</v>
      </c>
    </row>
    <row r="149" spans="1:8" ht="105">
      <c r="A149" s="65" t="s">
        <v>2255</v>
      </c>
      <c r="B149" s="96" t="str">
        <f>VLOOKUP(A149,policy!B:C,2,0)</f>
        <v>070000168878</v>
      </c>
      <c r="C149" s="66">
        <v>65971</v>
      </c>
      <c r="D149" s="97">
        <f t="shared" si="9"/>
        <v>65971</v>
      </c>
      <c r="E149" s="102" t="s">
        <v>2933</v>
      </c>
      <c r="F149" s="98" t="str">
        <f t="shared" si="8"/>
        <v>insert into ins_premium_det (premium_rcv_code,assorted_code, rec_amount,premium_rcv_detail_code,remaining_amt, payrec, mode_code,coinsurance_code,class_cd,it_remarks) values</v>
      </c>
      <c r="G149" s="99" t="str">
        <f t="shared" si="10"/>
        <v>('01Nov240029','070000168878','65971',(select max(to_number(i.premium_rcv_detail_code))+1
from ins_premium_det i),'65971','65971','02', '11000003','00','Request by Mr. Saqib Saleem 01-Nov-2024');</v>
      </c>
      <c r="H149" s="100" t="str">
        <f t="shared" si="11"/>
        <v>insert into ins_premium_det (premium_rcv_code,assorted_code, rec_amount,premium_rcv_detail_code,remaining_amt, payrec, mode_code,coinsurance_code,class_cd,it_remarks) values('01Nov240029','070000168878','65971',(select max(to_number(i.premium_rcv_detail_code))+1
from ins_premium_det i),'65971','65971','02', '11000003','00','Request by Mr. Saqib Saleem 01-Nov-2024');</v>
      </c>
    </row>
    <row r="150" spans="1:8" ht="105">
      <c r="A150" s="65" t="s">
        <v>2256</v>
      </c>
      <c r="B150" s="96" t="str">
        <f>VLOOKUP(A150,policy!B:C,2,0)</f>
        <v>070000168879</v>
      </c>
      <c r="C150" s="66">
        <v>75452</v>
      </c>
      <c r="D150" s="97">
        <f t="shared" si="9"/>
        <v>75452</v>
      </c>
      <c r="E150" s="102" t="s">
        <v>2933</v>
      </c>
      <c r="F150" s="98" t="str">
        <f t="shared" si="8"/>
        <v>insert into ins_premium_det (premium_rcv_code,assorted_code, rec_amount,premium_rcv_detail_code,remaining_amt, payrec, mode_code,coinsurance_code,class_cd,it_remarks) values</v>
      </c>
      <c r="G150" s="99" t="str">
        <f t="shared" si="10"/>
        <v>('01Nov240029','070000168879','75452',(select max(to_number(i.premium_rcv_detail_code))+1
from ins_premium_det i),'75452','75452','02', '11000003','00','Request by Mr. Saqib Saleem 01-Nov-2024');</v>
      </c>
      <c r="H150" s="100" t="str">
        <f t="shared" si="11"/>
        <v>insert into ins_premium_det (premium_rcv_code,assorted_code, rec_amount,premium_rcv_detail_code,remaining_amt, payrec, mode_code,coinsurance_code,class_cd,it_remarks) values('01Nov240029','070000168879','75452',(select max(to_number(i.premium_rcv_detail_code))+1
from ins_premium_det i),'75452','75452','02', '11000003','00','Request by Mr. Saqib Saleem 01-Nov-2024');</v>
      </c>
    </row>
    <row r="151" spans="1:8" ht="105">
      <c r="A151" s="65" t="s">
        <v>2257</v>
      </c>
      <c r="B151" s="96" t="str">
        <f>VLOOKUP(A151,policy!B:C,2,0)</f>
        <v>070000168880</v>
      </c>
      <c r="C151" s="66">
        <v>33850</v>
      </c>
      <c r="D151" s="97">
        <f t="shared" si="9"/>
        <v>33850</v>
      </c>
      <c r="E151" s="102" t="s">
        <v>2933</v>
      </c>
      <c r="F151" s="98" t="str">
        <f t="shared" si="8"/>
        <v>insert into ins_premium_det (premium_rcv_code,assorted_code, rec_amount,premium_rcv_detail_code,remaining_amt, payrec, mode_code,coinsurance_code,class_cd,it_remarks) values</v>
      </c>
      <c r="G151" s="99" t="str">
        <f t="shared" si="10"/>
        <v>('01Nov240029','070000168880','33850',(select max(to_number(i.premium_rcv_detail_code))+1
from ins_premium_det i),'33850','33850','02', '11000003','00','Request by Mr. Saqib Saleem 01-Nov-2024');</v>
      </c>
      <c r="H151" s="100" t="str">
        <f t="shared" si="11"/>
        <v>insert into ins_premium_det (premium_rcv_code,assorted_code, rec_amount,premium_rcv_detail_code,remaining_amt, payrec, mode_code,coinsurance_code,class_cd,it_remarks) values('01Nov240029','070000168880','33850',(select max(to_number(i.premium_rcv_detail_code))+1
from ins_premium_det i),'33850','33850','02', '11000003','00','Request by Mr. Saqib Saleem 01-Nov-2024');</v>
      </c>
    </row>
    <row r="152" spans="1:8" ht="105">
      <c r="A152" s="65" t="s">
        <v>2258</v>
      </c>
      <c r="B152" s="96" t="str">
        <f>VLOOKUP(A152,policy!B:C,2,0)</f>
        <v>070000168881</v>
      </c>
      <c r="C152" s="66">
        <v>36906</v>
      </c>
      <c r="D152" s="97">
        <f t="shared" si="9"/>
        <v>36906</v>
      </c>
      <c r="E152" s="102" t="s">
        <v>2933</v>
      </c>
      <c r="F152" s="98" t="str">
        <f t="shared" si="8"/>
        <v>insert into ins_premium_det (premium_rcv_code,assorted_code, rec_amount,premium_rcv_detail_code,remaining_amt, payrec, mode_code,coinsurance_code,class_cd,it_remarks) values</v>
      </c>
      <c r="G152" s="99" t="str">
        <f t="shared" si="10"/>
        <v>('01Nov240029','070000168881','36906',(select max(to_number(i.premium_rcv_detail_code))+1
from ins_premium_det i),'36906','36906','02', '11000003','00','Request by Mr. Saqib Saleem 01-Nov-2024');</v>
      </c>
      <c r="H152" s="100" t="str">
        <f t="shared" si="11"/>
        <v>insert into ins_premium_det (premium_rcv_code,assorted_code, rec_amount,premium_rcv_detail_code,remaining_amt, payrec, mode_code,coinsurance_code,class_cd,it_remarks) values('01Nov240029','070000168881','36906',(select max(to_number(i.premium_rcv_detail_code))+1
from ins_premium_det i),'36906','36906','02', '11000003','00','Request by Mr. Saqib Saleem 01-Nov-2024');</v>
      </c>
    </row>
    <row r="153" spans="1:8" ht="105">
      <c r="A153" s="65" t="s">
        <v>2259</v>
      </c>
      <c r="B153" s="96" t="str">
        <f>VLOOKUP(A153,policy!B:C,2,0)</f>
        <v>070000168882</v>
      </c>
      <c r="C153" s="66">
        <v>22065</v>
      </c>
      <c r="D153" s="97">
        <f t="shared" si="9"/>
        <v>22065</v>
      </c>
      <c r="E153" s="102" t="s">
        <v>2933</v>
      </c>
      <c r="F153" s="98" t="str">
        <f t="shared" si="8"/>
        <v>insert into ins_premium_det (premium_rcv_code,assorted_code, rec_amount,premium_rcv_detail_code,remaining_amt, payrec, mode_code,coinsurance_code,class_cd,it_remarks) values</v>
      </c>
      <c r="G153" s="99" t="str">
        <f t="shared" si="10"/>
        <v>('01Nov240029','070000168882','22065',(select max(to_number(i.premium_rcv_detail_code))+1
from ins_premium_det i),'22065','22065','02', '11000003','00','Request by Mr. Saqib Saleem 01-Nov-2024');</v>
      </c>
      <c r="H153" s="100" t="str">
        <f t="shared" si="11"/>
        <v>insert into ins_premium_det (premium_rcv_code,assorted_code, rec_amount,premium_rcv_detail_code,remaining_amt, payrec, mode_code,coinsurance_code,class_cd,it_remarks) values('01Nov240029','070000168882','22065',(select max(to_number(i.premium_rcv_detail_code))+1
from ins_premium_det i),'22065','22065','02', '11000003','00','Request by Mr. Saqib Saleem 01-Nov-2024');</v>
      </c>
    </row>
    <row r="154" spans="1:8" ht="105">
      <c r="A154" s="65" t="s">
        <v>2260</v>
      </c>
      <c r="B154" s="96" t="str">
        <f>VLOOKUP(A154,policy!B:C,2,0)</f>
        <v>070000168883</v>
      </c>
      <c r="C154" s="66">
        <v>42549</v>
      </c>
      <c r="D154" s="97">
        <f t="shared" si="9"/>
        <v>42549</v>
      </c>
      <c r="E154" s="102" t="s">
        <v>2933</v>
      </c>
      <c r="F154" s="98" t="str">
        <f t="shared" si="8"/>
        <v>insert into ins_premium_det (premium_rcv_code,assorted_code, rec_amount,premium_rcv_detail_code,remaining_amt, payrec, mode_code,coinsurance_code,class_cd,it_remarks) values</v>
      </c>
      <c r="G154" s="99" t="str">
        <f t="shared" si="10"/>
        <v>('01Nov240029','070000168883','42549',(select max(to_number(i.premium_rcv_detail_code))+1
from ins_premium_det i),'42549','42549','02', '11000003','00','Request by Mr. Saqib Saleem 01-Nov-2024');</v>
      </c>
      <c r="H154" s="100" t="str">
        <f t="shared" si="11"/>
        <v>insert into ins_premium_det (premium_rcv_code,assorted_code, rec_amount,premium_rcv_detail_code,remaining_amt, payrec, mode_code,coinsurance_code,class_cd,it_remarks) values('01Nov240029','070000168883','42549',(select max(to_number(i.premium_rcv_detail_code))+1
from ins_premium_det i),'42549','42549','02', '11000003','00','Request by Mr. Saqib Saleem 01-Nov-2024');</v>
      </c>
    </row>
    <row r="155" spans="1:8" ht="105">
      <c r="A155" s="65" t="s">
        <v>2261</v>
      </c>
      <c r="B155" s="96" t="str">
        <f>VLOOKUP(A155,policy!B:C,2,0)</f>
        <v>070000168884</v>
      </c>
      <c r="C155" s="66">
        <v>18043</v>
      </c>
      <c r="D155" s="97">
        <f t="shared" si="9"/>
        <v>18043</v>
      </c>
      <c r="E155" s="102" t="s">
        <v>2933</v>
      </c>
      <c r="F155" s="98" t="str">
        <f t="shared" si="8"/>
        <v>insert into ins_premium_det (premium_rcv_code,assorted_code, rec_amount,premium_rcv_detail_code,remaining_amt, payrec, mode_code,coinsurance_code,class_cd,it_remarks) values</v>
      </c>
      <c r="G155" s="99" t="str">
        <f t="shared" si="10"/>
        <v>('01Nov240029','070000168884','18043',(select max(to_number(i.premium_rcv_detail_code))+1
from ins_premium_det i),'18043','18043','02', '11000003','00','Request by Mr. Saqib Saleem 01-Nov-2024');</v>
      </c>
      <c r="H155" s="100" t="str">
        <f t="shared" si="11"/>
        <v>insert into ins_premium_det (premium_rcv_code,assorted_code, rec_amount,premium_rcv_detail_code,remaining_amt, payrec, mode_code,coinsurance_code,class_cd,it_remarks) values('01Nov240029','070000168884','18043',(select max(to_number(i.premium_rcv_detail_code))+1
from ins_premium_det i),'18043','18043','02', '11000003','00','Request by Mr. Saqib Saleem 01-Nov-2024');</v>
      </c>
    </row>
    <row r="156" spans="1:8" ht="105">
      <c r="A156" s="65" t="s">
        <v>2262</v>
      </c>
      <c r="B156" s="96" t="str">
        <f>VLOOKUP(A156,policy!B:C,2,0)</f>
        <v>070000168885</v>
      </c>
      <c r="C156" s="66">
        <v>24948</v>
      </c>
      <c r="D156" s="97">
        <f t="shared" si="9"/>
        <v>24948</v>
      </c>
      <c r="E156" s="102" t="s">
        <v>2933</v>
      </c>
      <c r="F156" s="98" t="str">
        <f t="shared" si="8"/>
        <v>insert into ins_premium_det (premium_rcv_code,assorted_code, rec_amount,premium_rcv_detail_code,remaining_amt, payrec, mode_code,coinsurance_code,class_cd,it_remarks) values</v>
      </c>
      <c r="G156" s="99" t="str">
        <f t="shared" si="10"/>
        <v>('01Nov240029','070000168885','24948',(select max(to_number(i.premium_rcv_detail_code))+1
from ins_premium_det i),'24948','24948','02', '11000003','00','Request by Mr. Saqib Saleem 01-Nov-2024');</v>
      </c>
      <c r="H156" s="100" t="str">
        <f t="shared" si="11"/>
        <v>insert into ins_premium_det (premium_rcv_code,assorted_code, rec_amount,premium_rcv_detail_code,remaining_amt, payrec, mode_code,coinsurance_code,class_cd,it_remarks) values('01Nov240029','070000168885','24948',(select max(to_number(i.premium_rcv_detail_code))+1
from ins_premium_det i),'24948','24948','02', '11000003','00','Request by Mr. Saqib Saleem 01-Nov-2024');</v>
      </c>
    </row>
    <row r="157" spans="1:8" ht="105">
      <c r="A157" s="65" t="s">
        <v>2263</v>
      </c>
      <c r="B157" s="96" t="str">
        <f>VLOOKUP(A157,policy!B:C,2,0)</f>
        <v>070000168886</v>
      </c>
      <c r="C157" s="66">
        <v>20093</v>
      </c>
      <c r="D157" s="97">
        <f t="shared" si="9"/>
        <v>20093</v>
      </c>
      <c r="E157" s="102" t="s">
        <v>2933</v>
      </c>
      <c r="F157" s="98" t="str">
        <f t="shared" si="8"/>
        <v>insert into ins_premium_det (premium_rcv_code,assorted_code, rec_amount,premium_rcv_detail_code,remaining_amt, payrec, mode_code,coinsurance_code,class_cd,it_remarks) values</v>
      </c>
      <c r="G157" s="99" t="str">
        <f t="shared" si="10"/>
        <v>('01Nov240029','070000168886','20093',(select max(to_number(i.premium_rcv_detail_code))+1
from ins_premium_det i),'20093','20093','02', '11000003','00','Request by Mr. Saqib Saleem 01-Nov-2024');</v>
      </c>
      <c r="H157" s="100" t="str">
        <f t="shared" si="11"/>
        <v>insert into ins_premium_det (premium_rcv_code,assorted_code, rec_amount,premium_rcv_detail_code,remaining_amt, payrec, mode_code,coinsurance_code,class_cd,it_remarks) values('01Nov240029','070000168886','20093',(select max(to_number(i.premium_rcv_detail_code))+1
from ins_premium_det i),'20093','20093','02', '11000003','00','Request by Mr. Saqib Saleem 01-Nov-2024');</v>
      </c>
    </row>
    <row r="158" spans="1:8" ht="105">
      <c r="A158" s="65" t="s">
        <v>2264</v>
      </c>
      <c r="B158" s="96" t="str">
        <f>VLOOKUP(A158,policy!B:C,2,0)</f>
        <v>070000168887</v>
      </c>
      <c r="C158" s="66">
        <v>22065</v>
      </c>
      <c r="D158" s="97">
        <f t="shared" si="9"/>
        <v>22065</v>
      </c>
      <c r="E158" s="102" t="s">
        <v>2933</v>
      </c>
      <c r="F158" s="98" t="str">
        <f t="shared" si="8"/>
        <v>insert into ins_premium_det (premium_rcv_code,assorted_code, rec_amount,premium_rcv_detail_code,remaining_amt, payrec, mode_code,coinsurance_code,class_cd,it_remarks) values</v>
      </c>
      <c r="G158" s="99" t="str">
        <f t="shared" si="10"/>
        <v>('01Nov240029','070000168887','22065',(select max(to_number(i.premium_rcv_detail_code))+1
from ins_premium_det i),'22065','22065','02', '11000003','00','Request by Mr. Saqib Saleem 01-Nov-2024');</v>
      </c>
      <c r="H158" s="100" t="str">
        <f t="shared" si="11"/>
        <v>insert into ins_premium_det (premium_rcv_code,assorted_code, rec_amount,premium_rcv_detail_code,remaining_amt, payrec, mode_code,coinsurance_code,class_cd,it_remarks) values('01Nov240029','070000168887','22065',(select max(to_number(i.premium_rcv_detail_code))+1
from ins_premium_det i),'22065','22065','02', '11000003','00','Request by Mr. Saqib Saleem 01-Nov-2024');</v>
      </c>
    </row>
    <row r="159" spans="1:8" ht="105">
      <c r="A159" s="65" t="s">
        <v>2265</v>
      </c>
      <c r="B159" s="96" t="str">
        <f>VLOOKUP(A159,policy!B:C,2,0)</f>
        <v>070000168888</v>
      </c>
      <c r="C159" s="66">
        <v>28652</v>
      </c>
      <c r="D159" s="97">
        <f t="shared" si="9"/>
        <v>28652</v>
      </c>
      <c r="E159" s="102" t="s">
        <v>2933</v>
      </c>
      <c r="F159" s="98" t="str">
        <f t="shared" si="8"/>
        <v>insert into ins_premium_det (premium_rcv_code,assorted_code, rec_amount,premium_rcv_detail_code,remaining_amt, payrec, mode_code,coinsurance_code,class_cd,it_remarks) values</v>
      </c>
      <c r="G159" s="99" t="str">
        <f t="shared" si="10"/>
        <v>('01Nov240029','070000168888','28652',(select max(to_number(i.premium_rcv_detail_code))+1
from ins_premium_det i),'28652','28652','02', '11000003','00','Request by Mr. Saqib Saleem 01-Nov-2024');</v>
      </c>
      <c r="H159" s="100" t="str">
        <f t="shared" si="11"/>
        <v>insert into ins_premium_det (premium_rcv_code,assorted_code, rec_amount,premium_rcv_detail_code,remaining_amt, payrec, mode_code,coinsurance_code,class_cd,it_remarks) values('01Nov240029','070000168888','28652',(select max(to_number(i.premium_rcv_detail_code))+1
from ins_premium_det i),'28652','28652','02', '11000003','00','Request by Mr. Saqib Saleem 01-Nov-2024');</v>
      </c>
    </row>
    <row r="160" spans="1:8" ht="105">
      <c r="A160" s="65" t="s">
        <v>2266</v>
      </c>
      <c r="B160" s="96" t="str">
        <f>VLOOKUP(A160,policy!B:C,2,0)</f>
        <v>070000168889</v>
      </c>
      <c r="C160" s="66">
        <v>19367</v>
      </c>
      <c r="D160" s="97">
        <f t="shared" si="9"/>
        <v>19367</v>
      </c>
      <c r="E160" s="102" t="s">
        <v>2933</v>
      </c>
      <c r="F160" s="98" t="str">
        <f t="shared" si="8"/>
        <v>insert into ins_premium_det (premium_rcv_code,assorted_code, rec_amount,premium_rcv_detail_code,remaining_amt, payrec, mode_code,coinsurance_code,class_cd,it_remarks) values</v>
      </c>
      <c r="G160" s="99" t="str">
        <f t="shared" si="10"/>
        <v>('01Nov240029','070000168889','19367',(select max(to_number(i.premium_rcv_detail_code))+1
from ins_premium_det i),'19367','19367','02', '11000003','00','Request by Mr. Saqib Saleem 01-Nov-2024');</v>
      </c>
      <c r="H160" s="100" t="str">
        <f t="shared" si="11"/>
        <v>insert into ins_premium_det (premium_rcv_code,assorted_code, rec_amount,premium_rcv_detail_code,remaining_amt, payrec, mode_code,coinsurance_code,class_cd,it_remarks) values('01Nov240029','070000168889','19367',(select max(to_number(i.premium_rcv_detail_code))+1
from ins_premium_det i),'19367','19367','02', '11000003','00','Request by Mr. Saqib Saleem 01-Nov-2024');</v>
      </c>
    </row>
    <row r="161" spans="1:8" ht="105">
      <c r="A161" s="65" t="s">
        <v>2267</v>
      </c>
      <c r="B161" s="96" t="str">
        <f>VLOOKUP(A161,policy!B:C,2,0)</f>
        <v>070000168890</v>
      </c>
      <c r="C161" s="66">
        <v>153131</v>
      </c>
      <c r="D161" s="97">
        <f t="shared" si="9"/>
        <v>153131</v>
      </c>
      <c r="E161" s="102" t="s">
        <v>2933</v>
      </c>
      <c r="F161" s="98" t="str">
        <f t="shared" si="8"/>
        <v>insert into ins_premium_det (premium_rcv_code,assorted_code, rec_amount,premium_rcv_detail_code,remaining_amt, payrec, mode_code,coinsurance_code,class_cd,it_remarks) values</v>
      </c>
      <c r="G161" s="99" t="str">
        <f t="shared" si="10"/>
        <v>('01Nov240029','070000168890','153131',(select max(to_number(i.premium_rcv_detail_code))+1
from ins_premium_det i),'153131','153131','02', '11000003','00','Request by Mr. Saqib Saleem 01-Nov-2024');</v>
      </c>
      <c r="H161" s="100" t="str">
        <f t="shared" si="11"/>
        <v>insert into ins_premium_det (premium_rcv_code,assorted_code, rec_amount,premium_rcv_detail_code,remaining_amt, payrec, mode_code,coinsurance_code,class_cd,it_remarks) values('01Nov240029','070000168890','153131',(select max(to_number(i.premium_rcv_detail_code))+1
from ins_premium_det i),'153131','153131','02', '11000003','00','Request by Mr. Saqib Saleem 01-Nov-2024');</v>
      </c>
    </row>
    <row r="162" spans="1:8" ht="105">
      <c r="A162" s="65" t="s">
        <v>2268</v>
      </c>
      <c r="B162" s="96" t="str">
        <f>VLOOKUP(A162,policy!B:C,2,0)</f>
        <v>070000168891</v>
      </c>
      <c r="C162" s="66">
        <v>40625</v>
      </c>
      <c r="D162" s="97">
        <f t="shared" si="9"/>
        <v>40625</v>
      </c>
      <c r="E162" s="102" t="s">
        <v>2933</v>
      </c>
      <c r="F162" s="98" t="str">
        <f t="shared" si="8"/>
        <v>insert into ins_premium_det (premium_rcv_code,assorted_code, rec_amount,premium_rcv_detail_code,remaining_amt, payrec, mode_code,coinsurance_code,class_cd,it_remarks) values</v>
      </c>
      <c r="G162" s="99" t="str">
        <f t="shared" si="10"/>
        <v>('01Nov240029','070000168891','40625',(select max(to_number(i.premium_rcv_detail_code))+1
from ins_premium_det i),'40625','40625','02', '11000003','00','Request by Mr. Saqib Saleem 01-Nov-2024');</v>
      </c>
      <c r="H162" s="100" t="str">
        <f t="shared" si="11"/>
        <v>insert into ins_premium_det (premium_rcv_code,assorted_code, rec_amount,premium_rcv_detail_code,remaining_amt, payrec, mode_code,coinsurance_code,class_cd,it_remarks) values('01Nov240029','070000168891','40625',(select max(to_number(i.premium_rcv_detail_code))+1
from ins_premium_det i),'40625','40625','02', '11000003','00','Request by Mr. Saqib Saleem 01-Nov-2024');</v>
      </c>
    </row>
    <row r="163" spans="1:8" ht="105">
      <c r="A163" s="65" t="s">
        <v>2269</v>
      </c>
      <c r="B163" s="96" t="str">
        <f>VLOOKUP(A163,policy!B:C,2,0)</f>
        <v>070000168892</v>
      </c>
      <c r="C163" s="66">
        <v>21897</v>
      </c>
      <c r="D163" s="97">
        <f t="shared" si="9"/>
        <v>21897</v>
      </c>
      <c r="E163" s="102" t="s">
        <v>2933</v>
      </c>
      <c r="F163" s="98" t="str">
        <f t="shared" si="8"/>
        <v>insert into ins_premium_det (premium_rcv_code,assorted_code, rec_amount,premium_rcv_detail_code,remaining_amt, payrec, mode_code,coinsurance_code,class_cd,it_remarks) values</v>
      </c>
      <c r="G163" s="99" t="str">
        <f t="shared" si="10"/>
        <v>('01Nov240029','070000168892','21897',(select max(to_number(i.premium_rcv_detail_code))+1
from ins_premium_det i),'21897','21897','02', '11000003','00','Request by Mr. Saqib Saleem 01-Nov-2024');</v>
      </c>
      <c r="H163" s="100" t="str">
        <f t="shared" si="11"/>
        <v>insert into ins_premium_det (premium_rcv_code,assorted_code, rec_amount,premium_rcv_detail_code,remaining_amt, payrec, mode_code,coinsurance_code,class_cd,it_remarks) values('01Nov240029','070000168892','21897',(select max(to_number(i.premium_rcv_detail_code))+1
from ins_premium_det i),'21897','21897','02', '11000003','00','Request by Mr. Saqib Saleem 01-Nov-2024');</v>
      </c>
    </row>
    <row r="164" spans="1:8" ht="105">
      <c r="A164" s="65" t="s">
        <v>2270</v>
      </c>
      <c r="B164" s="96" t="str">
        <f>VLOOKUP(A164,policy!B:C,2,0)</f>
        <v>070000168893</v>
      </c>
      <c r="C164" s="66">
        <v>22065</v>
      </c>
      <c r="D164" s="97">
        <f t="shared" si="9"/>
        <v>22065</v>
      </c>
      <c r="E164" s="102" t="s">
        <v>2933</v>
      </c>
      <c r="F164" s="98" t="str">
        <f t="shared" si="8"/>
        <v>insert into ins_premium_det (premium_rcv_code,assorted_code, rec_amount,premium_rcv_detail_code,remaining_amt, payrec, mode_code,coinsurance_code,class_cd,it_remarks) values</v>
      </c>
      <c r="G164" s="99" t="str">
        <f t="shared" si="10"/>
        <v>('01Nov240029','070000168893','22065',(select max(to_number(i.premium_rcv_detail_code))+1
from ins_premium_det i),'22065','22065','02', '11000003','00','Request by Mr. Saqib Saleem 01-Nov-2024');</v>
      </c>
      <c r="H164" s="100" t="str">
        <f t="shared" si="11"/>
        <v>insert into ins_premium_det (premium_rcv_code,assorted_code, rec_amount,premium_rcv_detail_code,remaining_amt, payrec, mode_code,coinsurance_code,class_cd,it_remarks) values('01Nov240029','070000168893','22065',(select max(to_number(i.premium_rcv_detail_code))+1
from ins_premium_det i),'22065','22065','02', '11000003','00','Request by Mr. Saqib Saleem 01-Nov-2024');</v>
      </c>
    </row>
    <row r="165" spans="1:8" ht="105">
      <c r="A165" s="65" t="s">
        <v>2271</v>
      </c>
      <c r="B165" s="96" t="str">
        <f>VLOOKUP(A165,policy!B:C,2,0)</f>
        <v>070000168894</v>
      </c>
      <c r="C165" s="66">
        <v>16146</v>
      </c>
      <c r="D165" s="97">
        <f t="shared" si="9"/>
        <v>16146</v>
      </c>
      <c r="E165" s="102" t="s">
        <v>2933</v>
      </c>
      <c r="F165" s="98" t="str">
        <f t="shared" si="8"/>
        <v>insert into ins_premium_det (premium_rcv_code,assorted_code, rec_amount,premium_rcv_detail_code,remaining_amt, payrec, mode_code,coinsurance_code,class_cd,it_remarks) values</v>
      </c>
      <c r="G165" s="99" t="str">
        <f t="shared" si="10"/>
        <v>('01Nov240029','070000168894','16146',(select max(to_number(i.premium_rcv_detail_code))+1
from ins_premium_det i),'16146','16146','02', '11000003','00','Request by Mr. Saqib Saleem 01-Nov-2024');</v>
      </c>
      <c r="H165" s="100" t="str">
        <f t="shared" si="11"/>
        <v>insert into ins_premium_det (premium_rcv_code,assorted_code, rec_amount,premium_rcv_detail_code,remaining_amt, payrec, mode_code,coinsurance_code,class_cd,it_remarks) values('01Nov240029','070000168894','16146',(select max(to_number(i.premium_rcv_detail_code))+1
from ins_premium_det i),'16146','16146','02', '11000003','00','Request by Mr. Saqib Saleem 01-Nov-2024');</v>
      </c>
    </row>
    <row r="166" spans="1:8" ht="105">
      <c r="A166" s="65" t="s">
        <v>2272</v>
      </c>
      <c r="B166" s="96" t="str">
        <f>VLOOKUP(A166,policy!B:C,2,0)</f>
        <v>070000168895</v>
      </c>
      <c r="C166" s="66">
        <v>22326</v>
      </c>
      <c r="D166" s="97">
        <f t="shared" si="9"/>
        <v>22326</v>
      </c>
      <c r="E166" s="102" t="s">
        <v>2933</v>
      </c>
      <c r="F166" s="98" t="str">
        <f t="shared" si="8"/>
        <v>insert into ins_premium_det (premium_rcv_code,assorted_code, rec_amount,premium_rcv_detail_code,remaining_amt, payrec, mode_code,coinsurance_code,class_cd,it_remarks) values</v>
      </c>
      <c r="G166" s="99" t="str">
        <f t="shared" si="10"/>
        <v>('01Nov240029','070000168895','22326',(select max(to_number(i.premium_rcv_detail_code))+1
from ins_premium_det i),'22326','22326','02', '11000003','00','Request by Mr. Saqib Saleem 01-Nov-2024');</v>
      </c>
      <c r="H166" s="100" t="str">
        <f t="shared" si="11"/>
        <v>insert into ins_premium_det (premium_rcv_code,assorted_code, rec_amount,premium_rcv_detail_code,remaining_amt, payrec, mode_code,coinsurance_code,class_cd,it_remarks) values('01Nov240029','070000168895','22326',(select max(to_number(i.premium_rcv_detail_code))+1
from ins_premium_det i),'22326','22326','02', '11000003','00','Request by Mr. Saqib Saleem 01-Nov-2024');</v>
      </c>
    </row>
    <row r="167" spans="1:8" ht="105">
      <c r="A167" s="65" t="s">
        <v>2273</v>
      </c>
      <c r="B167" s="96" t="str">
        <f>VLOOKUP(A167,policy!B:C,2,0)</f>
        <v>070000168896</v>
      </c>
      <c r="C167" s="66">
        <v>58522</v>
      </c>
      <c r="D167" s="97">
        <f t="shared" si="9"/>
        <v>58522</v>
      </c>
      <c r="E167" s="102" t="s">
        <v>2933</v>
      </c>
      <c r="F167" s="98" t="str">
        <f t="shared" si="8"/>
        <v>insert into ins_premium_det (premium_rcv_code,assorted_code, rec_amount,premium_rcv_detail_code,remaining_amt, payrec, mode_code,coinsurance_code,class_cd,it_remarks) values</v>
      </c>
      <c r="G167" s="99" t="str">
        <f t="shared" si="10"/>
        <v>('01Nov240029','070000168896','58522',(select max(to_number(i.premium_rcv_detail_code))+1
from ins_premium_det i),'58522','58522','02', '11000003','00','Request by Mr. Saqib Saleem 01-Nov-2024');</v>
      </c>
      <c r="H167" s="100" t="str">
        <f t="shared" si="11"/>
        <v>insert into ins_premium_det (premium_rcv_code,assorted_code, rec_amount,premium_rcv_detail_code,remaining_amt, payrec, mode_code,coinsurance_code,class_cd,it_remarks) values('01Nov240029','070000168896','58522',(select max(to_number(i.premium_rcv_detail_code))+1
from ins_premium_det i),'58522','58522','02', '11000003','00','Request by Mr. Saqib Saleem 01-Nov-2024');</v>
      </c>
    </row>
    <row r="168" spans="1:8" ht="105">
      <c r="A168" s="65" t="s">
        <v>2274</v>
      </c>
      <c r="B168" s="96" t="str">
        <f>VLOOKUP(A168,policy!B:C,2,0)</f>
        <v>070000168897</v>
      </c>
      <c r="C168" s="66">
        <v>37965</v>
      </c>
      <c r="D168" s="97">
        <f t="shared" si="9"/>
        <v>37965</v>
      </c>
      <c r="E168" s="102" t="s">
        <v>2933</v>
      </c>
      <c r="F168" s="98" t="str">
        <f t="shared" si="8"/>
        <v>insert into ins_premium_det (premium_rcv_code,assorted_code, rec_amount,premium_rcv_detail_code,remaining_amt, payrec, mode_code,coinsurance_code,class_cd,it_remarks) values</v>
      </c>
      <c r="G168" s="99" t="str">
        <f t="shared" si="10"/>
        <v>('01Nov240029','070000168897','37965',(select max(to_number(i.premium_rcv_detail_code))+1
from ins_premium_det i),'37965','37965','02', '11000003','00','Request by Mr. Saqib Saleem 01-Nov-2024');</v>
      </c>
      <c r="H168" s="100" t="str">
        <f t="shared" si="11"/>
        <v>insert into ins_premium_det (premium_rcv_code,assorted_code, rec_amount,premium_rcv_detail_code,remaining_amt, payrec, mode_code,coinsurance_code,class_cd,it_remarks) values('01Nov240029','070000168897','37965',(select max(to_number(i.premium_rcv_detail_code))+1
from ins_premium_det i),'37965','37965','02', '11000003','00','Request by Mr. Saqib Saleem 01-Nov-2024');</v>
      </c>
    </row>
    <row r="169" spans="1:8" ht="105">
      <c r="A169" s="65" t="s">
        <v>2275</v>
      </c>
      <c r="B169" s="96" t="str">
        <f>VLOOKUP(A169,policy!B:C,2,0)</f>
        <v>070000168898</v>
      </c>
      <c r="C169" s="66">
        <v>20749</v>
      </c>
      <c r="D169" s="97">
        <f t="shared" si="9"/>
        <v>20749</v>
      </c>
      <c r="E169" s="102" t="s">
        <v>2933</v>
      </c>
      <c r="F169" s="98" t="str">
        <f t="shared" si="8"/>
        <v>insert into ins_premium_det (premium_rcv_code,assorted_code, rec_amount,premium_rcv_detail_code,remaining_amt, payrec, mode_code,coinsurance_code,class_cd,it_remarks) values</v>
      </c>
      <c r="G169" s="99" t="str">
        <f t="shared" si="10"/>
        <v>('01Nov240029','070000168898','20749',(select max(to_number(i.premium_rcv_detail_code))+1
from ins_premium_det i),'20749','20749','02', '11000003','00','Request by Mr. Saqib Saleem 01-Nov-2024');</v>
      </c>
      <c r="H169" s="100" t="str">
        <f t="shared" si="11"/>
        <v>insert into ins_premium_det (premium_rcv_code,assorted_code, rec_amount,premium_rcv_detail_code,remaining_amt, payrec, mode_code,coinsurance_code,class_cd,it_remarks) values('01Nov240029','070000168898','20749',(select max(to_number(i.premium_rcv_detail_code))+1
from ins_premium_det i),'20749','20749','02', '11000003','00','Request by Mr. Saqib Saleem 01-Nov-2024');</v>
      </c>
    </row>
    <row r="170" spans="1:8" ht="105">
      <c r="A170" s="65" t="s">
        <v>2276</v>
      </c>
      <c r="B170" s="96" t="str">
        <f>VLOOKUP(A170,policy!B:C,2,0)</f>
        <v>070000168899</v>
      </c>
      <c r="C170" s="66">
        <v>53849</v>
      </c>
      <c r="D170" s="97">
        <f t="shared" si="9"/>
        <v>53849</v>
      </c>
      <c r="E170" s="102" t="s">
        <v>2933</v>
      </c>
      <c r="F170" s="98" t="str">
        <f t="shared" si="8"/>
        <v>insert into ins_premium_det (premium_rcv_code,assorted_code, rec_amount,premium_rcv_detail_code,remaining_amt, payrec, mode_code,coinsurance_code,class_cd,it_remarks) values</v>
      </c>
      <c r="G170" s="99" t="str">
        <f t="shared" si="10"/>
        <v>('01Nov240029','070000168899','53849',(select max(to_number(i.premium_rcv_detail_code))+1
from ins_premium_det i),'53849','53849','02', '11000003','00','Request by Mr. Saqib Saleem 01-Nov-2024');</v>
      </c>
      <c r="H170" s="100" t="str">
        <f t="shared" si="11"/>
        <v>insert into ins_premium_det (premium_rcv_code,assorted_code, rec_amount,premium_rcv_detail_code,remaining_amt, payrec, mode_code,coinsurance_code,class_cd,it_remarks) values('01Nov240029','070000168899','53849',(select max(to_number(i.premium_rcv_detail_code))+1
from ins_premium_det i),'53849','53849','02', '11000003','00','Request by Mr. Saqib Saleem 01-Nov-2024');</v>
      </c>
    </row>
    <row r="171" spans="1:8" ht="105">
      <c r="A171" s="65" t="s">
        <v>2277</v>
      </c>
      <c r="B171" s="96" t="str">
        <f>VLOOKUP(A171,policy!B:C,2,0)</f>
        <v>070000168900</v>
      </c>
      <c r="C171" s="66">
        <v>38806</v>
      </c>
      <c r="D171" s="97">
        <f t="shared" si="9"/>
        <v>38806</v>
      </c>
      <c r="E171" s="102" t="s">
        <v>2933</v>
      </c>
      <c r="F171" s="98" t="str">
        <f t="shared" si="8"/>
        <v>insert into ins_premium_det (premium_rcv_code,assorted_code, rec_amount,premium_rcv_detail_code,remaining_amt, payrec, mode_code,coinsurance_code,class_cd,it_remarks) values</v>
      </c>
      <c r="G171" s="99" t="str">
        <f t="shared" si="10"/>
        <v>('01Nov240029','070000168900','38806',(select max(to_number(i.premium_rcv_detail_code))+1
from ins_premium_det i),'38806','38806','02', '11000003','00','Request by Mr. Saqib Saleem 01-Nov-2024');</v>
      </c>
      <c r="H171" s="100" t="str">
        <f t="shared" si="11"/>
        <v>insert into ins_premium_det (premium_rcv_code,assorted_code, rec_amount,premium_rcv_detail_code,remaining_amt, payrec, mode_code,coinsurance_code,class_cd,it_remarks) values('01Nov240029','070000168900','38806',(select max(to_number(i.premium_rcv_detail_code))+1
from ins_premium_det i),'38806','38806','02', '11000003','00','Request by Mr. Saqib Saleem 01-Nov-2024');</v>
      </c>
    </row>
    <row r="172" spans="1:8" ht="105">
      <c r="A172" s="65" t="s">
        <v>2278</v>
      </c>
      <c r="B172" s="96" t="str">
        <f>VLOOKUP(A172,policy!B:C,2,0)</f>
        <v>070000168901</v>
      </c>
      <c r="C172" s="66">
        <v>26272</v>
      </c>
      <c r="D172" s="97">
        <f t="shared" si="9"/>
        <v>26272</v>
      </c>
      <c r="E172" s="102" t="s">
        <v>2933</v>
      </c>
      <c r="F172" s="98" t="str">
        <f t="shared" si="8"/>
        <v>insert into ins_premium_det (premium_rcv_code,assorted_code, rec_amount,premium_rcv_detail_code,remaining_amt, payrec, mode_code,coinsurance_code,class_cd,it_remarks) values</v>
      </c>
      <c r="G172" s="99" t="str">
        <f t="shared" si="10"/>
        <v>('01Nov240029','070000168901','26272',(select max(to_number(i.premium_rcv_detail_code))+1
from ins_premium_det i),'26272','26272','02', '11000003','00','Request by Mr. Saqib Saleem 01-Nov-2024');</v>
      </c>
      <c r="H172" s="100" t="str">
        <f t="shared" si="11"/>
        <v>insert into ins_premium_det (premium_rcv_code,assorted_code, rec_amount,premium_rcv_detail_code,remaining_amt, payrec, mode_code,coinsurance_code,class_cd,it_remarks) values('01Nov240029','070000168901','26272',(select max(to_number(i.premium_rcv_detail_code))+1
from ins_premium_det i),'26272','26272','02', '11000003','00','Request by Mr. Saqib Saleem 01-Nov-2024');</v>
      </c>
    </row>
    <row r="173" spans="1:8" ht="105">
      <c r="A173" s="65" t="s">
        <v>2279</v>
      </c>
      <c r="B173" s="96" t="str">
        <f>VLOOKUP(A173,policy!B:C,2,0)</f>
        <v>070000168902</v>
      </c>
      <c r="C173" s="66">
        <v>48027</v>
      </c>
      <c r="D173" s="97">
        <f t="shared" si="9"/>
        <v>48027</v>
      </c>
      <c r="E173" s="102" t="s">
        <v>2933</v>
      </c>
      <c r="F173" s="98" t="str">
        <f t="shared" si="8"/>
        <v>insert into ins_premium_det (premium_rcv_code,assorted_code, rec_amount,premium_rcv_detail_code,remaining_amt, payrec, mode_code,coinsurance_code,class_cd,it_remarks) values</v>
      </c>
      <c r="G173" s="99" t="str">
        <f t="shared" si="10"/>
        <v>('01Nov240029','070000168902','48027',(select max(to_number(i.premium_rcv_detail_code))+1
from ins_premium_det i),'48027','48027','02', '11000003','00','Request by Mr. Saqib Saleem 01-Nov-2024');</v>
      </c>
      <c r="H173" s="100" t="str">
        <f t="shared" si="11"/>
        <v>insert into ins_premium_det (premium_rcv_code,assorted_code, rec_amount,premium_rcv_detail_code,remaining_amt, payrec, mode_code,coinsurance_code,class_cd,it_remarks) values('01Nov240029','070000168902','48027',(select max(to_number(i.premium_rcv_detail_code))+1
from ins_premium_det i),'48027','48027','02', '11000003','00','Request by Mr. Saqib Saleem 01-Nov-2024');</v>
      </c>
    </row>
    <row r="174" spans="1:8" ht="105">
      <c r="A174" s="65" t="s">
        <v>2280</v>
      </c>
      <c r="B174" s="96" t="str">
        <f>VLOOKUP(A174,policy!B:C,2,0)</f>
        <v>070000168903</v>
      </c>
      <c r="C174" s="66">
        <v>87616</v>
      </c>
      <c r="D174" s="97">
        <f t="shared" si="9"/>
        <v>87616</v>
      </c>
      <c r="E174" s="102" t="s">
        <v>2933</v>
      </c>
      <c r="F174" s="98" t="str">
        <f t="shared" si="8"/>
        <v>insert into ins_premium_det (premium_rcv_code,assorted_code, rec_amount,premium_rcv_detail_code,remaining_amt, payrec, mode_code,coinsurance_code,class_cd,it_remarks) values</v>
      </c>
      <c r="G174" s="99" t="str">
        <f t="shared" si="10"/>
        <v>('01Nov240029','070000168903','87616',(select max(to_number(i.premium_rcv_detail_code))+1
from ins_premium_det i),'87616','87616','02', '11000003','00','Request by Mr. Saqib Saleem 01-Nov-2024');</v>
      </c>
      <c r="H174" s="100" t="str">
        <f t="shared" si="11"/>
        <v>insert into ins_premium_det (premium_rcv_code,assorted_code, rec_amount,premium_rcv_detail_code,remaining_amt, payrec, mode_code,coinsurance_code,class_cd,it_remarks) values('01Nov240029','070000168903','87616',(select max(to_number(i.premium_rcv_detail_code))+1
from ins_premium_det i),'87616','87616','02', '11000003','00','Request by Mr. Saqib Saleem 01-Nov-2024');</v>
      </c>
    </row>
    <row r="175" spans="1:8" ht="105">
      <c r="A175" s="65" t="s">
        <v>2281</v>
      </c>
      <c r="B175" s="96" t="str">
        <f>VLOOKUP(A175,policy!B:C,2,0)</f>
        <v>070000168904</v>
      </c>
      <c r="C175" s="66">
        <v>31448</v>
      </c>
      <c r="D175" s="97">
        <f t="shared" si="9"/>
        <v>31448</v>
      </c>
      <c r="E175" s="102" t="s">
        <v>2933</v>
      </c>
      <c r="F175" s="98" t="str">
        <f t="shared" si="8"/>
        <v>insert into ins_premium_det (premium_rcv_code,assorted_code, rec_amount,premium_rcv_detail_code,remaining_amt, payrec, mode_code,coinsurance_code,class_cd,it_remarks) values</v>
      </c>
      <c r="G175" s="99" t="str">
        <f t="shared" si="10"/>
        <v>('01Nov240029','070000168904','31448',(select max(to_number(i.premium_rcv_detail_code))+1
from ins_premium_det i),'31448','31448','02', '11000003','00','Request by Mr. Saqib Saleem 01-Nov-2024');</v>
      </c>
      <c r="H175" s="100" t="str">
        <f t="shared" si="11"/>
        <v>insert into ins_premium_det (premium_rcv_code,assorted_code, rec_amount,premium_rcv_detail_code,remaining_amt, payrec, mode_code,coinsurance_code,class_cd,it_remarks) values('01Nov240029','070000168904','31448',(select max(to_number(i.premium_rcv_detail_code))+1
from ins_premium_det i),'31448','31448','02', '11000003','00','Request by Mr. Saqib Saleem 01-Nov-2024');</v>
      </c>
    </row>
    <row r="176" spans="1:8" ht="105">
      <c r="A176" s="65" t="s">
        <v>2282</v>
      </c>
      <c r="B176" s="96" t="str">
        <f>VLOOKUP(A176,policy!B:C,2,0)</f>
        <v>070000168905</v>
      </c>
      <c r="C176" s="66">
        <v>53849</v>
      </c>
      <c r="D176" s="97">
        <f t="shared" si="9"/>
        <v>53849</v>
      </c>
      <c r="E176" s="102" t="s">
        <v>2933</v>
      </c>
      <c r="F176" s="98" t="str">
        <f t="shared" si="8"/>
        <v>insert into ins_premium_det (premium_rcv_code,assorted_code, rec_amount,premium_rcv_detail_code,remaining_amt, payrec, mode_code,coinsurance_code,class_cd,it_remarks) values</v>
      </c>
      <c r="G176" s="99" t="str">
        <f t="shared" si="10"/>
        <v>('01Nov240029','070000168905','53849',(select max(to_number(i.premium_rcv_detail_code))+1
from ins_premium_det i),'53849','53849','02', '11000003','00','Request by Mr. Saqib Saleem 01-Nov-2024');</v>
      </c>
      <c r="H176" s="100" t="str">
        <f t="shared" si="11"/>
        <v>insert into ins_premium_det (premium_rcv_code,assorted_code, rec_amount,premium_rcv_detail_code,remaining_amt, payrec, mode_code,coinsurance_code,class_cd,it_remarks) values('01Nov240029','070000168905','53849',(select max(to_number(i.premium_rcv_detail_code))+1
from ins_premium_det i),'53849','53849','02', '11000003','00','Request by Mr. Saqib Saleem 01-Nov-2024');</v>
      </c>
    </row>
    <row r="177" spans="1:8" ht="105">
      <c r="A177" s="65" t="s">
        <v>2283</v>
      </c>
      <c r="B177" s="96" t="str">
        <f>VLOOKUP(A177,policy!B:C,2,0)</f>
        <v>070000168906</v>
      </c>
      <c r="C177" s="66">
        <v>41876</v>
      </c>
      <c r="D177" s="97">
        <f t="shared" si="9"/>
        <v>41876</v>
      </c>
      <c r="E177" s="102" t="s">
        <v>2933</v>
      </c>
      <c r="F177" s="98" t="str">
        <f t="shared" si="8"/>
        <v>insert into ins_premium_det (premium_rcv_code,assorted_code, rec_amount,premium_rcv_detail_code,remaining_amt, payrec, mode_code,coinsurance_code,class_cd,it_remarks) values</v>
      </c>
      <c r="G177" s="99" t="str">
        <f t="shared" si="10"/>
        <v>('01Nov240029','070000168906','41876',(select max(to_number(i.premium_rcv_detail_code))+1
from ins_premium_det i),'41876','41876','02', '11000003','00','Request by Mr. Saqib Saleem 01-Nov-2024');</v>
      </c>
      <c r="H177" s="100" t="str">
        <f t="shared" si="11"/>
        <v>insert into ins_premium_det (premium_rcv_code,assorted_code, rec_amount,premium_rcv_detail_code,remaining_amt, payrec, mode_code,coinsurance_code,class_cd,it_remarks) values('01Nov240029','070000168906','41876',(select max(to_number(i.premium_rcv_detail_code))+1
from ins_premium_det i),'41876','41876','02', '11000003','00','Request by Mr. Saqib Saleem 01-Nov-2024');</v>
      </c>
    </row>
    <row r="178" spans="1:8" ht="105">
      <c r="A178" s="65" t="s">
        <v>2284</v>
      </c>
      <c r="B178" s="96" t="str">
        <f>VLOOKUP(A178,policy!B:C,2,0)</f>
        <v>070000168907</v>
      </c>
      <c r="C178" s="66">
        <v>21897</v>
      </c>
      <c r="D178" s="97">
        <f t="shared" si="9"/>
        <v>21897</v>
      </c>
      <c r="E178" s="102" t="s">
        <v>2933</v>
      </c>
      <c r="F178" s="98" t="str">
        <f t="shared" si="8"/>
        <v>insert into ins_premium_det (premium_rcv_code,assorted_code, rec_amount,premium_rcv_detail_code,remaining_amt, payrec, mode_code,coinsurance_code,class_cd,it_remarks) values</v>
      </c>
      <c r="G178" s="99" t="str">
        <f t="shared" si="10"/>
        <v>('01Nov240029','070000168907','21897',(select max(to_number(i.premium_rcv_detail_code))+1
from ins_premium_det i),'21897','21897','02', '11000003','00','Request by Mr. Saqib Saleem 01-Nov-2024');</v>
      </c>
      <c r="H178" s="100" t="str">
        <f t="shared" si="11"/>
        <v>insert into ins_premium_det (premium_rcv_code,assorted_code, rec_amount,premium_rcv_detail_code,remaining_amt, payrec, mode_code,coinsurance_code,class_cd,it_remarks) values('01Nov240029','070000168907','21897',(select max(to_number(i.premium_rcv_detail_code))+1
from ins_premium_det i),'21897','21897','02', '11000003','00','Request by Mr. Saqib Saleem 01-Nov-2024');</v>
      </c>
    </row>
    <row r="179" spans="1:8" ht="105">
      <c r="A179" s="65" t="s">
        <v>2285</v>
      </c>
      <c r="B179" s="96" t="str">
        <f>VLOOKUP(A179,policy!B:C,2,0)</f>
        <v>070000168908</v>
      </c>
      <c r="C179" s="66">
        <v>35249</v>
      </c>
      <c r="D179" s="97">
        <f t="shared" si="9"/>
        <v>35249</v>
      </c>
      <c r="E179" s="102" t="s">
        <v>2933</v>
      </c>
      <c r="F179" s="98" t="str">
        <f t="shared" si="8"/>
        <v>insert into ins_premium_det (premium_rcv_code,assorted_code, rec_amount,premium_rcv_detail_code,remaining_amt, payrec, mode_code,coinsurance_code,class_cd,it_remarks) values</v>
      </c>
      <c r="G179" s="99" t="str">
        <f t="shared" si="10"/>
        <v>('01Nov240029','070000168908','35249',(select max(to_number(i.premium_rcv_detail_code))+1
from ins_premium_det i),'35249','35249','02', '11000003','00','Request by Mr. Saqib Saleem 01-Nov-2024');</v>
      </c>
      <c r="H179" s="100" t="str">
        <f t="shared" si="11"/>
        <v>insert into ins_premium_det (premium_rcv_code,assorted_code, rec_amount,premium_rcv_detail_code,remaining_amt, payrec, mode_code,coinsurance_code,class_cd,it_remarks) values('01Nov240029','070000168908','35249',(select max(to_number(i.premium_rcv_detail_code))+1
from ins_premium_det i),'35249','35249','02', '11000003','00','Request by Mr. Saqib Saleem 01-Nov-2024');</v>
      </c>
    </row>
    <row r="180" spans="1:8" ht="105">
      <c r="A180" s="65" t="s">
        <v>2286</v>
      </c>
      <c r="B180" s="96" t="str">
        <f>VLOOKUP(A180,policy!B:C,2,0)</f>
        <v>070000168909</v>
      </c>
      <c r="C180" s="66">
        <v>29295</v>
      </c>
      <c r="D180" s="97">
        <f t="shared" si="9"/>
        <v>29295</v>
      </c>
      <c r="E180" s="102" t="s">
        <v>2933</v>
      </c>
      <c r="F180" s="98" t="str">
        <f t="shared" si="8"/>
        <v>insert into ins_premium_det (premium_rcv_code,assorted_code, rec_amount,premium_rcv_detail_code,remaining_amt, payrec, mode_code,coinsurance_code,class_cd,it_remarks) values</v>
      </c>
      <c r="G180" s="99" t="str">
        <f t="shared" si="10"/>
        <v>('01Nov240029','070000168909','29295',(select max(to_number(i.premium_rcv_detail_code))+1
from ins_premium_det i),'29295','29295','02', '11000003','00','Request by Mr. Saqib Saleem 01-Nov-2024');</v>
      </c>
      <c r="H180" s="100" t="str">
        <f t="shared" si="11"/>
        <v>insert into ins_premium_det (premium_rcv_code,assorted_code, rec_amount,premium_rcv_detail_code,remaining_amt, payrec, mode_code,coinsurance_code,class_cd,it_remarks) values('01Nov240029','070000168909','29295',(select max(to_number(i.premium_rcv_detail_code))+1
from ins_premium_det i),'29295','29295','02', '11000003','00','Request by Mr. Saqib Saleem 01-Nov-2024');</v>
      </c>
    </row>
    <row r="181" spans="1:8" ht="105">
      <c r="A181" s="68" t="s">
        <v>2105</v>
      </c>
      <c r="B181" s="96" t="str">
        <f>VLOOKUP(A181,policy!B:C,2,0)</f>
        <v>070000169000</v>
      </c>
      <c r="C181" s="66">
        <v>14797</v>
      </c>
      <c r="D181" s="97">
        <f t="shared" si="9"/>
        <v>14797</v>
      </c>
      <c r="E181" s="102" t="s">
        <v>2933</v>
      </c>
      <c r="F181" s="98" t="str">
        <f t="shared" si="8"/>
        <v>insert into ins_premium_det (premium_rcv_code,assorted_code, rec_amount,premium_rcv_detail_code,remaining_amt, payrec, mode_code,coinsurance_code,class_cd,it_remarks) values</v>
      </c>
      <c r="G181" s="99" t="str">
        <f t="shared" si="10"/>
        <v>('01Nov240029','070000169000','14797',(select max(to_number(i.premium_rcv_detail_code))+1
from ins_premium_det i),'14797','14797','02', '11000003','00','Request by Mr. Saqib Saleem 01-Nov-2024');</v>
      </c>
      <c r="H181" s="100" t="str">
        <f t="shared" si="11"/>
        <v>insert into ins_premium_det (premium_rcv_code,assorted_code, rec_amount,premium_rcv_detail_code,remaining_amt, payrec, mode_code,coinsurance_code,class_cd,it_remarks) values('01Nov240029','070000169000','14797',(select max(to_number(i.premium_rcv_detail_code))+1
from ins_premium_det i),'14797','14797','02', '11000003','00','Request by Mr. Saqib Saleem 01-Nov-2024');</v>
      </c>
    </row>
    <row r="182" spans="1:8" ht="105">
      <c r="A182" s="65" t="s">
        <v>2287</v>
      </c>
      <c r="B182" s="96" t="str">
        <f>VLOOKUP(A182,policy!B:C,2,0)</f>
        <v>070000168910</v>
      </c>
      <c r="C182" s="66">
        <v>38546</v>
      </c>
      <c r="D182" s="97">
        <f t="shared" si="9"/>
        <v>38546</v>
      </c>
      <c r="E182" s="102" t="s">
        <v>2933</v>
      </c>
      <c r="F182" s="98" t="str">
        <f t="shared" si="8"/>
        <v>insert into ins_premium_det (premium_rcv_code,assorted_code, rec_amount,premium_rcv_detail_code,remaining_amt, payrec, mode_code,coinsurance_code,class_cd,it_remarks) values</v>
      </c>
      <c r="G182" s="99" t="str">
        <f t="shared" si="10"/>
        <v>('01Nov240029','070000168910','38546',(select max(to_number(i.premium_rcv_detail_code))+1
from ins_premium_det i),'38546','38546','02', '11000003','00','Request by Mr. Saqib Saleem 01-Nov-2024');</v>
      </c>
      <c r="H182" s="100" t="str">
        <f t="shared" si="11"/>
        <v>insert into ins_premium_det (premium_rcv_code,assorted_code, rec_amount,premium_rcv_detail_code,remaining_amt, payrec, mode_code,coinsurance_code,class_cd,it_remarks) values('01Nov240029','070000168910','38546',(select max(to_number(i.premium_rcv_detail_code))+1
from ins_premium_det i),'38546','38546','02', '11000003','00','Request by Mr. Saqib Saleem 01-Nov-2024');</v>
      </c>
    </row>
    <row r="183" spans="1:8" ht="105">
      <c r="A183" s="65" t="s">
        <v>2288</v>
      </c>
      <c r="B183" s="96" t="str">
        <f>VLOOKUP(A183,policy!B:C,2,0)</f>
        <v>070000168911</v>
      </c>
      <c r="C183" s="66">
        <v>47554</v>
      </c>
      <c r="D183" s="97">
        <f t="shared" si="9"/>
        <v>47554</v>
      </c>
      <c r="E183" s="102" t="s">
        <v>2933</v>
      </c>
      <c r="F183" s="98" t="str">
        <f t="shared" si="8"/>
        <v>insert into ins_premium_det (premium_rcv_code,assorted_code, rec_amount,premium_rcv_detail_code,remaining_amt, payrec, mode_code,coinsurance_code,class_cd,it_remarks) values</v>
      </c>
      <c r="G183" s="99" t="str">
        <f t="shared" si="10"/>
        <v>('01Nov240029','070000168911','47554',(select max(to_number(i.premium_rcv_detail_code))+1
from ins_premium_det i),'47554','47554','02', '11000003','00','Request by Mr. Saqib Saleem 01-Nov-2024');</v>
      </c>
      <c r="H183" s="100" t="str">
        <f t="shared" si="11"/>
        <v>insert into ins_premium_det (premium_rcv_code,assorted_code, rec_amount,premium_rcv_detail_code,remaining_amt, payrec, mode_code,coinsurance_code,class_cd,it_remarks) values('01Nov240029','070000168911','47554',(select max(to_number(i.premium_rcv_detail_code))+1
from ins_premium_det i),'47554','47554','02', '11000003','00','Request by Mr. Saqib Saleem 01-Nov-2024');</v>
      </c>
    </row>
    <row r="184" spans="1:8" ht="105">
      <c r="A184" s="65" t="s">
        <v>2289</v>
      </c>
      <c r="B184" s="96" t="str">
        <f>VLOOKUP(A184,policy!B:C,2,0)</f>
        <v>070000168912</v>
      </c>
      <c r="C184" s="66">
        <v>93719</v>
      </c>
      <c r="D184" s="97">
        <f t="shared" si="9"/>
        <v>93719</v>
      </c>
      <c r="E184" s="102" t="s">
        <v>2933</v>
      </c>
      <c r="F184" s="98" t="str">
        <f t="shared" si="8"/>
        <v>insert into ins_premium_det (premium_rcv_code,assorted_code, rec_amount,premium_rcv_detail_code,remaining_amt, payrec, mode_code,coinsurance_code,class_cd,it_remarks) values</v>
      </c>
      <c r="G184" s="99" t="str">
        <f t="shared" si="10"/>
        <v>('01Nov240029','070000168912','93719',(select max(to_number(i.premium_rcv_detail_code))+1
from ins_premium_det i),'93719','93719','02', '11000003','00','Request by Mr. Saqib Saleem 01-Nov-2024');</v>
      </c>
      <c r="H184" s="100" t="str">
        <f t="shared" si="11"/>
        <v>insert into ins_premium_det (premium_rcv_code,assorted_code, rec_amount,premium_rcv_detail_code,remaining_amt, payrec, mode_code,coinsurance_code,class_cd,it_remarks) values('01Nov240029','070000168912','93719',(select max(to_number(i.premium_rcv_detail_code))+1
from ins_premium_det i),'93719','93719','02', '11000003','00','Request by Mr. Saqib Saleem 01-Nov-2024');</v>
      </c>
    </row>
    <row r="185" spans="1:8" ht="105">
      <c r="A185" s="65" t="s">
        <v>2290</v>
      </c>
      <c r="B185" s="96" t="str">
        <f>VLOOKUP(A185,policy!B:C,2,0)</f>
        <v>070000168913</v>
      </c>
      <c r="C185" s="66">
        <v>19367</v>
      </c>
      <c r="D185" s="97">
        <f t="shared" si="9"/>
        <v>19367</v>
      </c>
      <c r="E185" s="102" t="s">
        <v>2933</v>
      </c>
      <c r="F185" s="98" t="str">
        <f t="shared" si="8"/>
        <v>insert into ins_premium_det (premium_rcv_code,assorted_code, rec_amount,premium_rcv_detail_code,remaining_amt, payrec, mode_code,coinsurance_code,class_cd,it_remarks) values</v>
      </c>
      <c r="G185" s="99" t="str">
        <f t="shared" si="10"/>
        <v>('01Nov240029','070000168913','19367',(select max(to_number(i.premium_rcv_detail_code))+1
from ins_premium_det i),'19367','19367','02', '11000003','00','Request by Mr. Saqib Saleem 01-Nov-2024');</v>
      </c>
      <c r="H185" s="100" t="str">
        <f t="shared" si="11"/>
        <v>insert into ins_premium_det (premium_rcv_code,assorted_code, rec_amount,premium_rcv_detail_code,remaining_amt, payrec, mode_code,coinsurance_code,class_cd,it_remarks) values('01Nov240029','070000168913','19367',(select max(to_number(i.premium_rcv_detail_code))+1
from ins_premium_det i),'19367','19367','02', '11000003','00','Request by Mr. Saqib Saleem 01-Nov-2024');</v>
      </c>
    </row>
    <row r="186" spans="1:8" ht="105">
      <c r="A186" s="65" t="s">
        <v>2291</v>
      </c>
      <c r="B186" s="96" t="str">
        <f>VLOOKUP(A186,policy!B:C,2,0)</f>
        <v>070000168914</v>
      </c>
      <c r="C186" s="66">
        <v>39213</v>
      </c>
      <c r="D186" s="97">
        <f t="shared" si="9"/>
        <v>39213</v>
      </c>
      <c r="E186" s="102" t="s">
        <v>2933</v>
      </c>
      <c r="F186" s="98" t="str">
        <f t="shared" si="8"/>
        <v>insert into ins_premium_det (premium_rcv_code,assorted_code, rec_amount,premium_rcv_detail_code,remaining_amt, payrec, mode_code,coinsurance_code,class_cd,it_remarks) values</v>
      </c>
      <c r="G186" s="99" t="str">
        <f t="shared" si="10"/>
        <v>('01Nov240029','070000168914','39213',(select max(to_number(i.premium_rcv_detail_code))+1
from ins_premium_det i),'39213','39213','02', '11000003','00','Request by Mr. Saqib Saleem 01-Nov-2024');</v>
      </c>
      <c r="H186" s="100" t="str">
        <f t="shared" si="11"/>
        <v>insert into ins_premium_det (premium_rcv_code,assorted_code, rec_amount,premium_rcv_detail_code,remaining_amt, payrec, mode_code,coinsurance_code,class_cd,it_remarks) values('01Nov240029','070000168914','39213',(select max(to_number(i.premium_rcv_detail_code))+1
from ins_premium_det i),'39213','39213','02', '11000003','00','Request by Mr. Saqib Saleem 01-Nov-2024');</v>
      </c>
    </row>
    <row r="187" spans="1:8" ht="105">
      <c r="A187" s="65" t="s">
        <v>2292</v>
      </c>
      <c r="B187" s="96" t="str">
        <f>VLOOKUP(A187,policy!B:C,2,0)</f>
        <v>070000168915</v>
      </c>
      <c r="C187" s="66">
        <v>43024</v>
      </c>
      <c r="D187" s="97">
        <f t="shared" si="9"/>
        <v>43024</v>
      </c>
      <c r="E187" s="102" t="s">
        <v>2933</v>
      </c>
      <c r="F187" s="98" t="str">
        <f t="shared" si="8"/>
        <v>insert into ins_premium_det (premium_rcv_code,assorted_code, rec_amount,premium_rcv_detail_code,remaining_amt, payrec, mode_code,coinsurance_code,class_cd,it_remarks) values</v>
      </c>
      <c r="G187" s="99" t="str">
        <f t="shared" si="10"/>
        <v>('01Nov240029','070000168915','43024',(select max(to_number(i.premium_rcv_detail_code))+1
from ins_premium_det i),'43024','43024','02', '11000003','00','Request by Mr. Saqib Saleem 01-Nov-2024');</v>
      </c>
      <c r="H187" s="100" t="str">
        <f t="shared" si="11"/>
        <v>insert into ins_premium_det (premium_rcv_code,assorted_code, rec_amount,premium_rcv_detail_code,remaining_amt, payrec, mode_code,coinsurance_code,class_cd,it_remarks) values('01Nov240029','070000168915','43024',(select max(to_number(i.premium_rcv_detail_code))+1
from ins_premium_det i),'43024','43024','02', '11000003','00','Request by Mr. Saqib Saleem 01-Nov-2024');</v>
      </c>
    </row>
    <row r="188" spans="1:8" ht="105">
      <c r="A188" s="65" t="s">
        <v>2293</v>
      </c>
      <c r="B188" s="96" t="str">
        <f>VLOOKUP(A188,policy!B:C,2,0)</f>
        <v>070000168916</v>
      </c>
      <c r="C188" s="66">
        <v>19367</v>
      </c>
      <c r="D188" s="97">
        <f t="shared" si="9"/>
        <v>19367</v>
      </c>
      <c r="E188" s="102" t="s">
        <v>2933</v>
      </c>
      <c r="F188" s="98" t="str">
        <f t="shared" si="8"/>
        <v>insert into ins_premium_det (premium_rcv_code,assorted_code, rec_amount,premium_rcv_detail_code,remaining_amt, payrec, mode_code,coinsurance_code,class_cd,it_remarks) values</v>
      </c>
      <c r="G188" s="99" t="str">
        <f t="shared" si="10"/>
        <v>('01Nov240029','070000168916','19367',(select max(to_number(i.premium_rcv_detail_code))+1
from ins_premium_det i),'19367','19367','02', '11000003','00','Request by Mr. Saqib Saleem 01-Nov-2024');</v>
      </c>
      <c r="H188" s="100" t="str">
        <f t="shared" si="11"/>
        <v>insert into ins_premium_det (premium_rcv_code,assorted_code, rec_amount,premium_rcv_detail_code,remaining_amt, payrec, mode_code,coinsurance_code,class_cd,it_remarks) values('01Nov240029','070000168916','19367',(select max(to_number(i.premium_rcv_detail_code))+1
from ins_premium_det i),'19367','19367','02', '11000003','00','Request by Mr. Saqib Saleem 01-Nov-2024');</v>
      </c>
    </row>
    <row r="189" spans="1:8" ht="105">
      <c r="A189" s="65" t="s">
        <v>2294</v>
      </c>
      <c r="B189" s="96" t="str">
        <f>VLOOKUP(A189,policy!B:C,2,0)</f>
        <v>070000168917</v>
      </c>
      <c r="C189" s="66">
        <v>29213</v>
      </c>
      <c r="D189" s="97">
        <f t="shared" si="9"/>
        <v>29213</v>
      </c>
      <c r="E189" s="102" t="s">
        <v>2933</v>
      </c>
      <c r="F189" s="98" t="str">
        <f t="shared" si="8"/>
        <v>insert into ins_premium_det (premium_rcv_code,assorted_code, rec_amount,premium_rcv_detail_code,remaining_amt, payrec, mode_code,coinsurance_code,class_cd,it_remarks) values</v>
      </c>
      <c r="G189" s="99" t="str">
        <f t="shared" si="10"/>
        <v>('01Nov240029','070000168917','29213',(select max(to_number(i.premium_rcv_detail_code))+1
from ins_premium_det i),'29213','29213','02', '11000003','00','Request by Mr. Saqib Saleem 01-Nov-2024');</v>
      </c>
      <c r="H189" s="100" t="str">
        <f t="shared" si="11"/>
        <v>insert into ins_premium_det (premium_rcv_code,assorted_code, rec_amount,premium_rcv_detail_code,remaining_amt, payrec, mode_code,coinsurance_code,class_cd,it_remarks) values('01Nov240029','070000168917','29213',(select max(to_number(i.premium_rcv_detail_code))+1
from ins_premium_det i),'29213','29213','02', '11000003','00','Request by Mr. Saqib Saleem 01-Nov-2024');</v>
      </c>
    </row>
    <row r="190" spans="1:8" ht="105">
      <c r="A190" s="65" t="s">
        <v>2295</v>
      </c>
      <c r="B190" s="96" t="str">
        <f>VLOOKUP(A190,policy!B:C,2,0)</f>
        <v>070000168918</v>
      </c>
      <c r="C190" s="66">
        <v>26548</v>
      </c>
      <c r="D190" s="97">
        <f t="shared" si="9"/>
        <v>26548</v>
      </c>
      <c r="E190" s="102" t="s">
        <v>2933</v>
      </c>
      <c r="F190" s="98" t="str">
        <f t="shared" si="8"/>
        <v>insert into ins_premium_det (premium_rcv_code,assorted_code, rec_amount,premium_rcv_detail_code,remaining_amt, payrec, mode_code,coinsurance_code,class_cd,it_remarks) values</v>
      </c>
      <c r="G190" s="99" t="str">
        <f t="shared" si="10"/>
        <v>('01Nov240029','070000168918','26548',(select max(to_number(i.premium_rcv_detail_code))+1
from ins_premium_det i),'26548','26548','02', '11000003','00','Request by Mr. Saqib Saleem 01-Nov-2024');</v>
      </c>
      <c r="H190" s="100" t="str">
        <f t="shared" si="11"/>
        <v>insert into ins_premium_det (premium_rcv_code,assorted_code, rec_amount,premium_rcv_detail_code,remaining_amt, payrec, mode_code,coinsurance_code,class_cd,it_remarks) values('01Nov240029','070000168918','26548',(select max(to_number(i.premium_rcv_detail_code))+1
from ins_premium_det i),'26548','26548','02', '11000003','00','Request by Mr. Saqib Saleem 01-Nov-2024');</v>
      </c>
    </row>
    <row r="191" spans="1:8" ht="105">
      <c r="A191" s="65" t="s">
        <v>2296</v>
      </c>
      <c r="B191" s="96" t="str">
        <f>VLOOKUP(A191,policy!B:C,2,0)</f>
        <v>070000168919</v>
      </c>
      <c r="C191" s="66">
        <v>45596</v>
      </c>
      <c r="D191" s="97">
        <f t="shared" si="9"/>
        <v>45596</v>
      </c>
      <c r="E191" s="102" t="s">
        <v>2933</v>
      </c>
      <c r="F191" s="98" t="str">
        <f t="shared" si="8"/>
        <v>insert into ins_premium_det (premium_rcv_code,assorted_code, rec_amount,premium_rcv_detail_code,remaining_amt, payrec, mode_code,coinsurance_code,class_cd,it_remarks) values</v>
      </c>
      <c r="G191" s="99" t="str">
        <f t="shared" si="10"/>
        <v>('01Nov240029','070000168919','45596',(select max(to_number(i.premium_rcv_detail_code))+1
from ins_premium_det i),'45596','45596','02', '11000003','00','Request by Mr. Saqib Saleem 01-Nov-2024');</v>
      </c>
      <c r="H191" s="100" t="str">
        <f t="shared" si="11"/>
        <v>insert into ins_premium_det (premium_rcv_code,assorted_code, rec_amount,premium_rcv_detail_code,remaining_amt, payrec, mode_code,coinsurance_code,class_cd,it_remarks) values('01Nov240029','070000168919','45596',(select max(to_number(i.premium_rcv_detail_code))+1
from ins_premium_det i),'45596','45596','02', '11000003','00','Request by Mr. Saqib Saleem 01-Nov-2024');</v>
      </c>
    </row>
    <row r="192" spans="1:8" ht="105">
      <c r="A192" s="65" t="s">
        <v>2297</v>
      </c>
      <c r="B192" s="96" t="str">
        <f>VLOOKUP(A192,policy!B:C,2,0)</f>
        <v>070000168920</v>
      </c>
      <c r="C192" s="66">
        <v>26408</v>
      </c>
      <c r="D192" s="97">
        <f t="shared" si="9"/>
        <v>26408</v>
      </c>
      <c r="E192" s="102" t="s">
        <v>2933</v>
      </c>
      <c r="F192" s="98" t="str">
        <f t="shared" si="8"/>
        <v>insert into ins_premium_det (premium_rcv_code,assorted_code, rec_amount,premium_rcv_detail_code,remaining_amt, payrec, mode_code,coinsurance_code,class_cd,it_remarks) values</v>
      </c>
      <c r="G192" s="99" t="str">
        <f t="shared" si="10"/>
        <v>('01Nov240029','070000168920','26408',(select max(to_number(i.premium_rcv_detail_code))+1
from ins_premium_det i),'26408','26408','02', '11000003','00','Request by Mr. Saqib Saleem 01-Nov-2024');</v>
      </c>
      <c r="H192" s="100" t="str">
        <f t="shared" si="11"/>
        <v>insert into ins_premium_det (premium_rcv_code,assorted_code, rec_amount,premium_rcv_detail_code,remaining_amt, payrec, mode_code,coinsurance_code,class_cd,it_remarks) values('01Nov240029','070000168920','26408',(select max(to_number(i.premium_rcv_detail_code))+1
from ins_premium_det i),'26408','26408','02', '11000003','00','Request by Mr. Saqib Saleem 01-Nov-2024');</v>
      </c>
    </row>
    <row r="193" spans="1:8" ht="105">
      <c r="A193" s="65" t="s">
        <v>2298</v>
      </c>
      <c r="B193" s="96" t="str">
        <f>VLOOKUP(A193,policy!B:C,2,0)</f>
        <v>070000168921</v>
      </c>
      <c r="C193" s="66">
        <v>111970</v>
      </c>
      <c r="D193" s="97">
        <f t="shared" si="9"/>
        <v>111970</v>
      </c>
      <c r="E193" s="102" t="s">
        <v>2933</v>
      </c>
      <c r="F193" s="98" t="str">
        <f t="shared" si="8"/>
        <v>insert into ins_premium_det (premium_rcv_code,assorted_code, rec_amount,premium_rcv_detail_code,remaining_amt, payrec, mode_code,coinsurance_code,class_cd,it_remarks) values</v>
      </c>
      <c r="G193" s="99" t="str">
        <f t="shared" si="10"/>
        <v>('01Nov240029','070000168921','111970',(select max(to_number(i.premium_rcv_detail_code))+1
from ins_premium_det i),'111970','111970','02', '11000003','00','Request by Mr. Saqib Saleem 01-Nov-2024');</v>
      </c>
      <c r="H193" s="100" t="str">
        <f t="shared" si="11"/>
        <v>insert into ins_premium_det (premium_rcv_code,assorted_code, rec_amount,premium_rcv_detail_code,remaining_amt, payrec, mode_code,coinsurance_code,class_cd,it_remarks) values('01Nov240029','070000168921','111970',(select max(to_number(i.premium_rcv_detail_code))+1
from ins_premium_det i),'111970','111970','02', '11000003','00','Request by Mr. Saqib Saleem 01-Nov-2024');</v>
      </c>
    </row>
    <row r="194" spans="1:8" ht="105">
      <c r="A194" s="65" t="s">
        <v>2299</v>
      </c>
      <c r="B194" s="96" t="str">
        <f>VLOOKUP(A194,policy!B:C,2,0)</f>
        <v>070000168922</v>
      </c>
      <c r="C194" s="66">
        <v>26999</v>
      </c>
      <c r="D194" s="97">
        <f t="shared" ref="D194:D257" si="12">ROUND(C194,0)</f>
        <v>26999</v>
      </c>
      <c r="E194" s="102" t="s">
        <v>2933</v>
      </c>
      <c r="F194" s="98" t="str">
        <f t="shared" ref="F194:F257" si="13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99" t="str">
        <f t="shared" si="10"/>
        <v>('01Nov240029','070000168922','26999',(select max(to_number(i.premium_rcv_detail_code))+1
from ins_premium_det i),'26999','26999','02', '11000003','00','Request by Mr. Saqib Saleem 01-Nov-2024');</v>
      </c>
      <c r="H194" s="100" t="str">
        <f t="shared" si="11"/>
        <v>insert into ins_premium_det (premium_rcv_code,assorted_code, rec_amount,premium_rcv_detail_code,remaining_amt, payrec, mode_code,coinsurance_code,class_cd,it_remarks) values('01Nov240029','070000168922','26999',(select max(to_number(i.premium_rcv_detail_code))+1
from ins_premium_det i),'26999','26999','02', '11000003','00','Request by Mr. Saqib Saleem 01-Nov-2024');</v>
      </c>
    </row>
    <row r="195" spans="1:8" ht="105">
      <c r="A195" s="65" t="s">
        <v>2300</v>
      </c>
      <c r="B195" s="96" t="str">
        <f>VLOOKUP(A195,policy!B:C,2,0)</f>
        <v>070000168923</v>
      </c>
      <c r="C195" s="66">
        <v>69895</v>
      </c>
      <c r="D195" s="97">
        <f t="shared" si="12"/>
        <v>69895</v>
      </c>
      <c r="E195" s="102" t="s">
        <v>2933</v>
      </c>
      <c r="F195" s="98" t="str">
        <f t="shared" si="13"/>
        <v>insert into ins_premium_det (premium_rcv_code,assorted_code, rec_amount,premium_rcv_detail_code,remaining_amt, payrec, mode_code,coinsurance_code,class_cd,it_remarks) values</v>
      </c>
      <c r="G195" s="99" t="str">
        <f t="shared" ref="G195:G258" si="14">"('"&amp;E195&amp;"','"&amp;B195&amp;"','"&amp;D195&amp;"',(select max(to_number(i.premium_rcv_detail_code))+1
from ins_premium_det i),'"&amp;D195&amp;"','"&amp;D195&amp;"','02', '11000003','00','Request by Mr. Saqib Saleem 01-Nov-2024');"</f>
        <v>('01Nov240029','070000168923','69895',(select max(to_number(i.premium_rcv_detail_code))+1
from ins_premium_det i),'69895','69895','02', '11000003','00','Request by Mr. Saqib Saleem 01-Nov-2024');</v>
      </c>
      <c r="H195" s="100" t="str">
        <f t="shared" ref="H195:H258" si="15">F195&amp;G195</f>
        <v>insert into ins_premium_det (premium_rcv_code,assorted_code, rec_amount,premium_rcv_detail_code,remaining_amt, payrec, mode_code,coinsurance_code,class_cd,it_remarks) values('01Nov240029','070000168923','69895',(select max(to_number(i.premium_rcv_detail_code))+1
from ins_premium_det i),'69895','69895','02', '11000003','00','Request by Mr. Saqib Saleem 01-Nov-2024');</v>
      </c>
    </row>
    <row r="196" spans="1:8" ht="105">
      <c r="A196" s="65" t="s">
        <v>2301</v>
      </c>
      <c r="B196" s="96" t="str">
        <f>VLOOKUP(A196,policy!B:C,2,0)</f>
        <v>070000168924</v>
      </c>
      <c r="C196" s="66">
        <v>39956</v>
      </c>
      <c r="D196" s="97">
        <f t="shared" si="12"/>
        <v>39956</v>
      </c>
      <c r="E196" s="102" t="s">
        <v>2933</v>
      </c>
      <c r="F196" s="98" t="str">
        <f t="shared" si="13"/>
        <v>insert into ins_premium_det (premium_rcv_code,assorted_code, rec_amount,premium_rcv_detail_code,remaining_amt, payrec, mode_code,coinsurance_code,class_cd,it_remarks) values</v>
      </c>
      <c r="G196" s="99" t="str">
        <f t="shared" si="14"/>
        <v>('01Nov240029','070000168924','39956',(select max(to_number(i.premium_rcv_detail_code))+1
from ins_premium_det i),'39956','39956','02', '11000003','00','Request by Mr. Saqib Saleem 01-Nov-2024');</v>
      </c>
      <c r="H196" s="100" t="str">
        <f t="shared" si="15"/>
        <v>insert into ins_premium_det (premium_rcv_code,assorted_code, rec_amount,premium_rcv_detail_code,remaining_amt, payrec, mode_code,coinsurance_code,class_cd,it_remarks) values('01Nov240029','070000168924','39956',(select max(to_number(i.premium_rcv_detail_code))+1
from ins_premium_det i),'39956','39956','02', '11000003','00','Request by Mr. Saqib Saleem 01-Nov-2024');</v>
      </c>
    </row>
    <row r="197" spans="1:8" ht="105">
      <c r="A197" s="65" t="s">
        <v>2302</v>
      </c>
      <c r="B197" s="96" t="str">
        <f>VLOOKUP(A197,policy!B:C,2,0)</f>
        <v>070000168925</v>
      </c>
      <c r="C197" s="66">
        <v>76924</v>
      </c>
      <c r="D197" s="97">
        <f t="shared" si="12"/>
        <v>76924</v>
      </c>
      <c r="E197" s="102" t="s">
        <v>2933</v>
      </c>
      <c r="F197" s="98" t="str">
        <f t="shared" si="13"/>
        <v>insert into ins_premium_det (premium_rcv_code,assorted_code, rec_amount,premium_rcv_detail_code,remaining_amt, payrec, mode_code,coinsurance_code,class_cd,it_remarks) values</v>
      </c>
      <c r="G197" s="99" t="str">
        <f t="shared" si="14"/>
        <v>('01Nov240029','070000168925','76924',(select max(to_number(i.premium_rcv_detail_code))+1
from ins_premium_det i),'76924','76924','02', '11000003','00','Request by Mr. Saqib Saleem 01-Nov-2024');</v>
      </c>
      <c r="H197" s="100" t="str">
        <f t="shared" si="15"/>
        <v>insert into ins_premium_det (premium_rcv_code,assorted_code, rec_amount,premium_rcv_detail_code,remaining_amt, payrec, mode_code,coinsurance_code,class_cd,it_remarks) values('01Nov240029','070000168925','76924',(select max(to_number(i.premium_rcv_detail_code))+1
from ins_premium_det i),'76924','76924','02', '11000003','00','Request by Mr. Saqib Saleem 01-Nov-2024');</v>
      </c>
    </row>
    <row r="198" spans="1:8" ht="105">
      <c r="A198" s="65" t="s">
        <v>2303</v>
      </c>
      <c r="B198" s="96" t="str">
        <f>VLOOKUP(A198,policy!B:C,2,0)</f>
        <v>070000168926</v>
      </c>
      <c r="C198" s="66">
        <v>64347</v>
      </c>
      <c r="D198" s="97">
        <f t="shared" si="12"/>
        <v>64347</v>
      </c>
      <c r="E198" s="102" t="s">
        <v>2933</v>
      </c>
      <c r="F198" s="98" t="str">
        <f t="shared" si="13"/>
        <v>insert into ins_premium_det (premium_rcv_code,assorted_code, rec_amount,premium_rcv_detail_code,remaining_amt, payrec, mode_code,coinsurance_code,class_cd,it_remarks) values</v>
      </c>
      <c r="G198" s="99" t="str">
        <f t="shared" si="14"/>
        <v>('01Nov240029','070000168926','64347',(select max(to_number(i.premium_rcv_detail_code))+1
from ins_premium_det i),'64347','64347','02', '11000003','00','Request by Mr. Saqib Saleem 01-Nov-2024');</v>
      </c>
      <c r="H198" s="100" t="str">
        <f t="shared" si="15"/>
        <v>insert into ins_premium_det (premium_rcv_code,assorted_code, rec_amount,premium_rcv_detail_code,remaining_amt, payrec, mode_code,coinsurance_code,class_cd,it_remarks) values('01Nov240029','070000168926','64347',(select max(to_number(i.premium_rcv_detail_code))+1
from ins_premium_det i),'64347','64347','02', '11000003','00','Request by Mr. Saqib Saleem 01-Nov-2024');</v>
      </c>
    </row>
    <row r="199" spans="1:8" ht="105">
      <c r="A199" s="65" t="s">
        <v>2304</v>
      </c>
      <c r="B199" s="96" t="str">
        <f>VLOOKUP(A199,policy!B:C,2,0)</f>
        <v>070000168927</v>
      </c>
      <c r="C199" s="66">
        <v>39213</v>
      </c>
      <c r="D199" s="97">
        <f t="shared" si="12"/>
        <v>39213</v>
      </c>
      <c r="E199" s="102" t="s">
        <v>2933</v>
      </c>
      <c r="F199" s="98" t="str">
        <f t="shared" si="13"/>
        <v>insert into ins_premium_det (premium_rcv_code,assorted_code, rec_amount,premium_rcv_detail_code,remaining_amt, payrec, mode_code,coinsurance_code,class_cd,it_remarks) values</v>
      </c>
      <c r="G199" s="99" t="str">
        <f t="shared" si="14"/>
        <v>('01Nov240029','070000168927','39213',(select max(to_number(i.premium_rcv_detail_code))+1
from ins_premium_det i),'39213','39213','02', '11000003','00','Request by Mr. Saqib Saleem 01-Nov-2024');</v>
      </c>
      <c r="H199" s="100" t="str">
        <f t="shared" si="15"/>
        <v>insert into ins_premium_det (premium_rcv_code,assorted_code, rec_amount,premium_rcv_detail_code,remaining_amt, payrec, mode_code,coinsurance_code,class_cd,it_remarks) values('01Nov240029','070000168927','39213',(select max(to_number(i.premium_rcv_detail_code))+1
from ins_premium_det i),'39213','39213','02', '11000003','00','Request by Mr. Saqib Saleem 01-Nov-2024');</v>
      </c>
    </row>
    <row r="200" spans="1:8" ht="105">
      <c r="A200" s="65" t="s">
        <v>2305</v>
      </c>
      <c r="B200" s="96" t="str">
        <f>VLOOKUP(A200,policy!B:C,2,0)</f>
        <v>070000168928</v>
      </c>
      <c r="C200" s="66">
        <v>64476</v>
      </c>
      <c r="D200" s="97">
        <f t="shared" si="12"/>
        <v>64476</v>
      </c>
      <c r="E200" s="102" t="s">
        <v>2933</v>
      </c>
      <c r="F200" s="98" t="str">
        <f t="shared" si="13"/>
        <v>insert into ins_premium_det (premium_rcv_code,assorted_code, rec_amount,premium_rcv_detail_code,remaining_amt, payrec, mode_code,coinsurance_code,class_cd,it_remarks) values</v>
      </c>
      <c r="G200" s="99" t="str">
        <f t="shared" si="14"/>
        <v>('01Nov240029','070000168928','64476',(select max(to_number(i.premium_rcv_detail_code))+1
from ins_premium_det i),'64476','64476','02', '11000003','00','Request by Mr. Saqib Saleem 01-Nov-2024');</v>
      </c>
      <c r="H200" s="100" t="str">
        <f t="shared" si="15"/>
        <v>insert into ins_premium_det (premium_rcv_code,assorted_code, rec_amount,premium_rcv_detail_code,remaining_amt, payrec, mode_code,coinsurance_code,class_cd,it_remarks) values('01Nov240029','070000168928','64476',(select max(to_number(i.premium_rcv_detail_code))+1
from ins_premium_det i),'64476','64476','02', '11000003','00','Request by Mr. Saqib Saleem 01-Nov-2024');</v>
      </c>
    </row>
    <row r="201" spans="1:8" ht="105">
      <c r="A201" s="65" t="s">
        <v>2306</v>
      </c>
      <c r="B201" s="96" t="str">
        <f>VLOOKUP(A201,policy!B:C,2,0)</f>
        <v>070000168929</v>
      </c>
      <c r="C201" s="66">
        <v>58377</v>
      </c>
      <c r="D201" s="97">
        <f t="shared" si="12"/>
        <v>58377</v>
      </c>
      <c r="E201" s="102" t="s">
        <v>2933</v>
      </c>
      <c r="F201" s="98" t="str">
        <f t="shared" si="13"/>
        <v>insert into ins_premium_det (premium_rcv_code,assorted_code, rec_amount,premium_rcv_detail_code,remaining_amt, payrec, mode_code,coinsurance_code,class_cd,it_remarks) values</v>
      </c>
      <c r="G201" s="99" t="str">
        <f t="shared" si="14"/>
        <v>('01Nov240029','070000168929','58377',(select max(to_number(i.premium_rcv_detail_code))+1
from ins_premium_det i),'58377','58377','02', '11000003','00','Request by Mr. Saqib Saleem 01-Nov-2024');</v>
      </c>
      <c r="H201" s="100" t="str">
        <f t="shared" si="15"/>
        <v>insert into ins_premium_det (premium_rcv_code,assorted_code, rec_amount,premium_rcv_detail_code,remaining_amt, payrec, mode_code,coinsurance_code,class_cd,it_remarks) values('01Nov240029','070000168929','58377',(select max(to_number(i.premium_rcv_detail_code))+1
from ins_premium_det i),'58377','58377','02', '11000003','00','Request by Mr. Saqib Saleem 01-Nov-2024');</v>
      </c>
    </row>
    <row r="202" spans="1:8" ht="105">
      <c r="A202" s="65" t="s">
        <v>2307</v>
      </c>
      <c r="B202" s="96" t="str">
        <f>VLOOKUP(A202,policy!B:C,2,0)</f>
        <v>070000168930</v>
      </c>
      <c r="C202" s="66">
        <v>66561</v>
      </c>
      <c r="D202" s="97">
        <f t="shared" si="12"/>
        <v>66561</v>
      </c>
      <c r="E202" s="102" t="s">
        <v>2933</v>
      </c>
      <c r="F202" s="98" t="str">
        <f t="shared" si="13"/>
        <v>insert into ins_premium_det (premium_rcv_code,assorted_code, rec_amount,premium_rcv_detail_code,remaining_amt, payrec, mode_code,coinsurance_code,class_cd,it_remarks) values</v>
      </c>
      <c r="G202" s="99" t="str">
        <f t="shared" si="14"/>
        <v>('01Nov240029','070000168930','66561',(select max(to_number(i.premium_rcv_detail_code))+1
from ins_premium_det i),'66561','66561','02', '11000003','00','Request by Mr. Saqib Saleem 01-Nov-2024');</v>
      </c>
      <c r="H202" s="100" t="str">
        <f t="shared" si="15"/>
        <v>insert into ins_premium_det (premium_rcv_code,assorted_code, rec_amount,premium_rcv_detail_code,remaining_amt, payrec, mode_code,coinsurance_code,class_cd,it_remarks) values('01Nov240029','070000168930','66561',(select max(to_number(i.premium_rcv_detail_code))+1
from ins_premium_det i),'66561','66561','02', '11000003','00','Request by Mr. Saqib Saleem 01-Nov-2024');</v>
      </c>
    </row>
    <row r="203" spans="1:8" ht="105">
      <c r="A203" s="65" t="s">
        <v>2308</v>
      </c>
      <c r="B203" s="96" t="str">
        <f>VLOOKUP(A203,policy!B:C,2,0)</f>
        <v>070000168931</v>
      </c>
      <c r="C203" s="66">
        <v>47554</v>
      </c>
      <c r="D203" s="97">
        <f t="shared" si="12"/>
        <v>47554</v>
      </c>
      <c r="E203" s="102" t="s">
        <v>2933</v>
      </c>
      <c r="F203" s="98" t="str">
        <f t="shared" si="13"/>
        <v>insert into ins_premium_det (premium_rcv_code,assorted_code, rec_amount,premium_rcv_detail_code,remaining_amt, payrec, mode_code,coinsurance_code,class_cd,it_remarks) values</v>
      </c>
      <c r="G203" s="99" t="str">
        <f t="shared" si="14"/>
        <v>('01Nov240029','070000168931','47554',(select max(to_number(i.premium_rcv_detail_code))+1
from ins_premium_det i),'47554','47554','02', '11000003','00','Request by Mr. Saqib Saleem 01-Nov-2024');</v>
      </c>
      <c r="H203" s="100" t="str">
        <f t="shared" si="15"/>
        <v>insert into ins_premium_det (premium_rcv_code,assorted_code, rec_amount,premium_rcv_detail_code,remaining_amt, payrec, mode_code,coinsurance_code,class_cd,it_remarks) values('01Nov240029','070000168931','47554',(select max(to_number(i.premium_rcv_detail_code))+1
from ins_premium_det i),'47554','47554','02', '11000003','00','Request by Mr. Saqib Saleem 01-Nov-2024');</v>
      </c>
    </row>
    <row r="204" spans="1:8" ht="105">
      <c r="A204" s="65" t="s">
        <v>2309</v>
      </c>
      <c r="B204" s="96" t="str">
        <f>VLOOKUP(A204,policy!B:C,2,0)</f>
        <v>070000168932</v>
      </c>
      <c r="C204" s="66">
        <v>41329</v>
      </c>
      <c r="D204" s="97">
        <f t="shared" si="12"/>
        <v>41329</v>
      </c>
      <c r="E204" s="102" t="s">
        <v>2933</v>
      </c>
      <c r="F204" s="98" t="str">
        <f t="shared" si="13"/>
        <v>insert into ins_premium_det (premium_rcv_code,assorted_code, rec_amount,premium_rcv_detail_code,remaining_amt, payrec, mode_code,coinsurance_code,class_cd,it_remarks) values</v>
      </c>
      <c r="G204" s="99" t="str">
        <f t="shared" si="14"/>
        <v>('01Nov240029','070000168932','41329',(select max(to_number(i.premium_rcv_detail_code))+1
from ins_premium_det i),'41329','41329','02', '11000003','00','Request by Mr. Saqib Saleem 01-Nov-2024');</v>
      </c>
      <c r="H204" s="100" t="str">
        <f t="shared" si="15"/>
        <v>insert into ins_premium_det (premium_rcv_code,assorted_code, rec_amount,premium_rcv_detail_code,remaining_amt, payrec, mode_code,coinsurance_code,class_cd,it_remarks) values('01Nov240029','070000168932','41329',(select max(to_number(i.premium_rcv_detail_code))+1
from ins_premium_det i),'41329','41329','02', '11000003','00','Request by Mr. Saqib Saleem 01-Nov-2024');</v>
      </c>
    </row>
    <row r="205" spans="1:8" ht="105">
      <c r="A205" s="65" t="s">
        <v>2310</v>
      </c>
      <c r="B205" s="96" t="str">
        <f>VLOOKUP(A205,policy!B:C,2,0)</f>
        <v>070000168933</v>
      </c>
      <c r="C205" s="66">
        <v>33044</v>
      </c>
      <c r="D205" s="97">
        <f t="shared" si="12"/>
        <v>33044</v>
      </c>
      <c r="E205" s="102" t="s">
        <v>2933</v>
      </c>
      <c r="F205" s="98" t="str">
        <f t="shared" si="13"/>
        <v>insert into ins_premium_det (premium_rcv_code,assorted_code, rec_amount,premium_rcv_detail_code,remaining_amt, payrec, mode_code,coinsurance_code,class_cd,it_remarks) values</v>
      </c>
      <c r="G205" s="99" t="str">
        <f t="shared" si="14"/>
        <v>('01Nov240029','070000168933','33044',(select max(to_number(i.premium_rcv_detail_code))+1
from ins_premium_det i),'33044','33044','02', '11000003','00','Request by Mr. Saqib Saleem 01-Nov-2024');</v>
      </c>
      <c r="H205" s="100" t="str">
        <f t="shared" si="15"/>
        <v>insert into ins_premium_det (premium_rcv_code,assorted_code, rec_amount,premium_rcv_detail_code,remaining_amt, payrec, mode_code,coinsurance_code,class_cd,it_remarks) values('01Nov240029','070000168933','33044',(select max(to_number(i.premium_rcv_detail_code))+1
from ins_premium_det i),'33044','33044','02', '11000003','00','Request by Mr. Saqib Saleem 01-Nov-2024');</v>
      </c>
    </row>
    <row r="206" spans="1:8" ht="105">
      <c r="A206" s="65" t="s">
        <v>2311</v>
      </c>
      <c r="B206" s="96" t="str">
        <f>VLOOKUP(A206,policy!B:C,2,0)</f>
        <v>070000168934</v>
      </c>
      <c r="C206" s="66">
        <v>31448</v>
      </c>
      <c r="D206" s="97">
        <f t="shared" si="12"/>
        <v>31448</v>
      </c>
      <c r="E206" s="102" t="s">
        <v>2933</v>
      </c>
      <c r="F206" s="98" t="str">
        <f t="shared" si="13"/>
        <v>insert into ins_premium_det (premium_rcv_code,assorted_code, rec_amount,premium_rcv_detail_code,remaining_amt, payrec, mode_code,coinsurance_code,class_cd,it_remarks) values</v>
      </c>
      <c r="G206" s="99" t="str">
        <f t="shared" si="14"/>
        <v>('01Nov240029','070000168934','31448',(select max(to_number(i.premium_rcv_detail_code))+1
from ins_premium_det i),'31448','31448','02', '11000003','00','Request by Mr. Saqib Saleem 01-Nov-2024');</v>
      </c>
      <c r="H206" s="100" t="str">
        <f t="shared" si="15"/>
        <v>insert into ins_premium_det (premium_rcv_code,assorted_code, rec_amount,premium_rcv_detail_code,remaining_amt, payrec, mode_code,coinsurance_code,class_cd,it_remarks) values('01Nov240029','070000168934','31448',(select max(to_number(i.premium_rcv_detail_code))+1
from ins_premium_det i),'31448','31448','02', '11000003','00','Request by Mr. Saqib Saleem 01-Nov-2024');</v>
      </c>
    </row>
    <row r="207" spans="1:8" ht="105">
      <c r="A207" s="65" t="s">
        <v>2312</v>
      </c>
      <c r="B207" s="96" t="str">
        <f>VLOOKUP(A207,policy!B:C,2,0)</f>
        <v>070000168935</v>
      </c>
      <c r="C207" s="66">
        <v>56417</v>
      </c>
      <c r="D207" s="97">
        <f t="shared" si="12"/>
        <v>56417</v>
      </c>
      <c r="E207" s="102" t="s">
        <v>2933</v>
      </c>
      <c r="F207" s="98" t="str">
        <f t="shared" si="13"/>
        <v>insert into ins_premium_det (premium_rcv_code,assorted_code, rec_amount,premium_rcv_detail_code,remaining_amt, payrec, mode_code,coinsurance_code,class_cd,it_remarks) values</v>
      </c>
      <c r="G207" s="99" t="str">
        <f t="shared" si="14"/>
        <v>('01Nov240029','070000168935','56417',(select max(to_number(i.premium_rcv_detail_code))+1
from ins_premium_det i),'56417','56417','02', '11000003','00','Request by Mr. Saqib Saleem 01-Nov-2024');</v>
      </c>
      <c r="H207" s="100" t="str">
        <f t="shared" si="15"/>
        <v>insert into ins_premium_det (premium_rcv_code,assorted_code, rec_amount,premium_rcv_detail_code,remaining_amt, payrec, mode_code,coinsurance_code,class_cd,it_remarks) values('01Nov240029','070000168935','56417',(select max(to_number(i.premium_rcv_detail_code))+1
from ins_premium_det i),'56417','56417','02', '11000003','00','Request by Mr. Saqib Saleem 01-Nov-2024');</v>
      </c>
    </row>
    <row r="208" spans="1:8" ht="105">
      <c r="A208" s="65" t="s">
        <v>2313</v>
      </c>
      <c r="B208" s="96" t="str">
        <f>VLOOKUP(A208,policy!B:C,2,0)</f>
        <v>070000168936</v>
      </c>
      <c r="C208" s="66">
        <v>40298</v>
      </c>
      <c r="D208" s="97">
        <f t="shared" si="12"/>
        <v>40298</v>
      </c>
      <c r="E208" s="102" t="s">
        <v>2933</v>
      </c>
      <c r="F208" s="98" t="str">
        <f t="shared" si="13"/>
        <v>insert into ins_premium_det (premium_rcv_code,assorted_code, rec_amount,premium_rcv_detail_code,remaining_amt, payrec, mode_code,coinsurance_code,class_cd,it_remarks) values</v>
      </c>
      <c r="G208" s="99" t="str">
        <f t="shared" si="14"/>
        <v>('01Nov240029','070000168936','40298',(select max(to_number(i.premium_rcv_detail_code))+1
from ins_premium_det i),'40298','40298','02', '11000003','00','Request by Mr. Saqib Saleem 01-Nov-2024');</v>
      </c>
      <c r="H208" s="100" t="str">
        <f t="shared" si="15"/>
        <v>insert into ins_premium_det (premium_rcv_code,assorted_code, rec_amount,premium_rcv_detail_code,remaining_amt, payrec, mode_code,coinsurance_code,class_cd,it_remarks) values('01Nov240029','070000168936','40298',(select max(to_number(i.premium_rcv_detail_code))+1
from ins_premium_det i),'40298','40298','02', '11000003','00','Request by Mr. Saqib Saleem 01-Nov-2024');</v>
      </c>
    </row>
    <row r="209" spans="1:8" ht="105">
      <c r="A209" s="65" t="s">
        <v>2314</v>
      </c>
      <c r="B209" s="96" t="str">
        <f>VLOOKUP(A209,policy!B:C,2,0)</f>
        <v>070000168937</v>
      </c>
      <c r="C209" s="66">
        <v>33850</v>
      </c>
      <c r="D209" s="97">
        <f t="shared" si="12"/>
        <v>33850</v>
      </c>
      <c r="E209" s="102" t="s">
        <v>2933</v>
      </c>
      <c r="F209" s="98" t="str">
        <f t="shared" si="13"/>
        <v>insert into ins_premium_det (premium_rcv_code,assorted_code, rec_amount,premium_rcv_detail_code,remaining_amt, payrec, mode_code,coinsurance_code,class_cd,it_remarks) values</v>
      </c>
      <c r="G209" s="99" t="str">
        <f t="shared" si="14"/>
        <v>('01Nov240029','070000168937','33850',(select max(to_number(i.premium_rcv_detail_code))+1
from ins_premium_det i),'33850','33850','02', '11000003','00','Request by Mr. Saqib Saleem 01-Nov-2024');</v>
      </c>
      <c r="H209" s="100" t="str">
        <f t="shared" si="15"/>
        <v>insert into ins_premium_det (premium_rcv_code,assorted_code, rec_amount,premium_rcv_detail_code,remaining_amt, payrec, mode_code,coinsurance_code,class_cd,it_remarks) values('01Nov240029','070000168937','33850',(select max(to_number(i.premium_rcv_detail_code))+1
from ins_premium_det i),'33850','33850','02', '11000003','00','Request by Mr. Saqib Saleem 01-Nov-2024');</v>
      </c>
    </row>
    <row r="210" spans="1:8" ht="105">
      <c r="A210" s="65" t="s">
        <v>2315</v>
      </c>
      <c r="B210" s="96" t="str">
        <f>VLOOKUP(A210,policy!B:C,2,0)</f>
        <v>070000168938</v>
      </c>
      <c r="C210" s="66">
        <v>27402</v>
      </c>
      <c r="D210" s="97">
        <f t="shared" si="12"/>
        <v>27402</v>
      </c>
      <c r="E210" s="102" t="s">
        <v>2933</v>
      </c>
      <c r="F210" s="98" t="str">
        <f t="shared" si="13"/>
        <v>insert into ins_premium_det (premium_rcv_code,assorted_code, rec_amount,premium_rcv_detail_code,remaining_amt, payrec, mode_code,coinsurance_code,class_cd,it_remarks) values</v>
      </c>
      <c r="G210" s="99" t="str">
        <f t="shared" si="14"/>
        <v>('01Nov240029','070000168938','27402',(select max(to_number(i.premium_rcv_detail_code))+1
from ins_premium_det i),'27402','27402','02', '11000003','00','Request by Mr. Saqib Saleem 01-Nov-2024');</v>
      </c>
      <c r="H210" s="100" t="str">
        <f t="shared" si="15"/>
        <v>insert into ins_premium_det (premium_rcv_code,assorted_code, rec_amount,premium_rcv_detail_code,remaining_amt, payrec, mode_code,coinsurance_code,class_cd,it_remarks) values('01Nov240029','070000168938','27402',(select max(to_number(i.premium_rcv_detail_code))+1
from ins_premium_det i),'27402','27402','02', '11000003','00','Request by Mr. Saqib Saleem 01-Nov-2024');</v>
      </c>
    </row>
    <row r="211" spans="1:8" ht="105">
      <c r="A211" s="65" t="s">
        <v>2316</v>
      </c>
      <c r="B211" s="96" t="str">
        <f>VLOOKUP(A211,policy!B:C,2,0)</f>
        <v>070000168939</v>
      </c>
      <c r="C211" s="66">
        <v>52483</v>
      </c>
      <c r="D211" s="97">
        <f t="shared" si="12"/>
        <v>52483</v>
      </c>
      <c r="E211" s="102" t="s">
        <v>2933</v>
      </c>
      <c r="F211" s="98" t="str">
        <f t="shared" si="13"/>
        <v>insert into ins_premium_det (premium_rcv_code,assorted_code, rec_amount,premium_rcv_detail_code,remaining_amt, payrec, mode_code,coinsurance_code,class_cd,it_remarks) values</v>
      </c>
      <c r="G211" s="99" t="str">
        <f t="shared" si="14"/>
        <v>('01Nov240029','070000168939','52483',(select max(to_number(i.premium_rcv_detail_code))+1
from ins_premium_det i),'52483','52483','02', '11000003','00','Request by Mr. Saqib Saleem 01-Nov-2024');</v>
      </c>
      <c r="H211" s="100" t="str">
        <f t="shared" si="15"/>
        <v>insert into ins_premium_det (premium_rcv_code,assorted_code, rec_amount,premium_rcv_detail_code,remaining_amt, payrec, mode_code,coinsurance_code,class_cd,it_remarks) values('01Nov240029','070000168939','52483',(select max(to_number(i.premium_rcv_detail_code))+1
from ins_premium_det i),'52483','52483','02', '11000003','00','Request by Mr. Saqib Saleem 01-Nov-2024');</v>
      </c>
    </row>
    <row r="212" spans="1:8" ht="105">
      <c r="A212" s="65" t="s">
        <v>2317</v>
      </c>
      <c r="B212" s="96" t="str">
        <f>VLOOKUP(A212,policy!B:C,2,0)</f>
        <v>070000168940</v>
      </c>
      <c r="C212" s="66">
        <v>61252</v>
      </c>
      <c r="D212" s="97">
        <f t="shared" si="12"/>
        <v>61252</v>
      </c>
      <c r="E212" s="102" t="s">
        <v>2933</v>
      </c>
      <c r="F212" s="98" t="str">
        <f t="shared" si="13"/>
        <v>insert into ins_premium_det (premium_rcv_code,assorted_code, rec_amount,premium_rcv_detail_code,remaining_amt, payrec, mode_code,coinsurance_code,class_cd,it_remarks) values</v>
      </c>
      <c r="G212" s="99" t="str">
        <f t="shared" si="14"/>
        <v>('01Nov240029','070000168940','61252',(select max(to_number(i.premium_rcv_detail_code))+1
from ins_premium_det i),'61252','61252','02', '11000003','00','Request by Mr. Saqib Saleem 01-Nov-2024');</v>
      </c>
      <c r="H212" s="100" t="str">
        <f t="shared" si="15"/>
        <v>insert into ins_premium_det (premium_rcv_code,assorted_code, rec_amount,premium_rcv_detail_code,remaining_amt, payrec, mode_code,coinsurance_code,class_cd,it_remarks) values('01Nov240029','070000168940','61252',(select max(to_number(i.premium_rcv_detail_code))+1
from ins_premium_det i),'61252','61252','02', '11000003','00','Request by Mr. Saqib Saleem 01-Nov-2024');</v>
      </c>
    </row>
    <row r="213" spans="1:8" ht="105">
      <c r="A213" s="68" t="s">
        <v>2106</v>
      </c>
      <c r="B213" s="96" t="str">
        <f>VLOOKUP(A213,policy!B:C,2,0)</f>
        <v>070000167869</v>
      </c>
      <c r="C213" s="66">
        <v>37791</v>
      </c>
      <c r="D213" s="97">
        <f t="shared" si="12"/>
        <v>37791</v>
      </c>
      <c r="E213" s="102" t="s">
        <v>2933</v>
      </c>
      <c r="F213" s="98" t="str">
        <f t="shared" si="13"/>
        <v>insert into ins_premium_det (premium_rcv_code,assorted_code, rec_amount,premium_rcv_detail_code,remaining_amt, payrec, mode_code,coinsurance_code,class_cd,it_remarks) values</v>
      </c>
      <c r="G213" s="99" t="str">
        <f t="shared" si="14"/>
        <v>('01Nov240029','070000167869','37791',(select max(to_number(i.premium_rcv_detail_code))+1
from ins_premium_det i),'37791','37791','02', '11000003','00','Request by Mr. Saqib Saleem 01-Nov-2024');</v>
      </c>
      <c r="H213" s="100" t="str">
        <f t="shared" si="15"/>
        <v>insert into ins_premium_det (premium_rcv_code,assorted_code, rec_amount,premium_rcv_detail_code,remaining_amt, payrec, mode_code,coinsurance_code,class_cd,it_remarks) values('01Nov240029','070000167869','37791',(select max(to_number(i.premium_rcv_detail_code))+1
from ins_premium_det i),'37791','37791','02', '11000003','00','Request by Mr. Saqib Saleem 01-Nov-2024');</v>
      </c>
    </row>
    <row r="214" spans="1:8" ht="105">
      <c r="A214" s="65" t="s">
        <v>2318</v>
      </c>
      <c r="B214" s="96" t="str">
        <f>VLOOKUP(A214,policy!B:C,2,0)</f>
        <v>070000168941</v>
      </c>
      <c r="C214" s="66">
        <v>38686</v>
      </c>
      <c r="D214" s="97">
        <f t="shared" si="12"/>
        <v>38686</v>
      </c>
      <c r="E214" s="102" t="s">
        <v>2933</v>
      </c>
      <c r="F214" s="98" t="str">
        <f t="shared" si="13"/>
        <v>insert into ins_premium_det (premium_rcv_code,assorted_code, rec_amount,premium_rcv_detail_code,remaining_amt, payrec, mode_code,coinsurance_code,class_cd,it_remarks) values</v>
      </c>
      <c r="G214" s="99" t="str">
        <f t="shared" si="14"/>
        <v>('01Nov240029','070000168941','38686',(select max(to_number(i.premium_rcv_detail_code))+1
from ins_premium_det i),'38686','38686','02', '11000003','00','Request by Mr. Saqib Saleem 01-Nov-2024');</v>
      </c>
      <c r="H214" s="100" t="str">
        <f t="shared" si="15"/>
        <v>insert into ins_premium_det (premium_rcv_code,assorted_code, rec_amount,premium_rcv_detail_code,remaining_amt, payrec, mode_code,coinsurance_code,class_cd,it_remarks) values('01Nov240029','070000168941','38686',(select max(to_number(i.premium_rcv_detail_code))+1
from ins_premium_det i),'38686','38686','02', '11000003','00','Request by Mr. Saqib Saleem 01-Nov-2024');</v>
      </c>
    </row>
    <row r="215" spans="1:8" ht="105">
      <c r="A215" s="65" t="s">
        <v>2319</v>
      </c>
      <c r="B215" s="96" t="str">
        <f>VLOOKUP(A215,policy!B:C,2,0)</f>
        <v>070000168942</v>
      </c>
      <c r="C215" s="66">
        <v>62864</v>
      </c>
      <c r="D215" s="97">
        <f t="shared" si="12"/>
        <v>62864</v>
      </c>
      <c r="E215" s="102" t="s">
        <v>2933</v>
      </c>
      <c r="F215" s="98" t="str">
        <f t="shared" si="13"/>
        <v>insert into ins_premium_det (premium_rcv_code,assorted_code, rec_amount,premium_rcv_detail_code,remaining_amt, payrec, mode_code,coinsurance_code,class_cd,it_remarks) values</v>
      </c>
      <c r="G215" s="99" t="str">
        <f t="shared" si="14"/>
        <v>('01Nov240029','070000168942','62864',(select max(to_number(i.premium_rcv_detail_code))+1
from ins_premium_det i),'62864','62864','02', '11000003','00','Request by Mr. Saqib Saleem 01-Nov-2024');</v>
      </c>
      <c r="H215" s="100" t="str">
        <f t="shared" si="15"/>
        <v>insert into ins_premium_det (premium_rcv_code,assorted_code, rec_amount,premium_rcv_detail_code,remaining_amt, payrec, mode_code,coinsurance_code,class_cd,it_remarks) values('01Nov240029','070000168942','62864',(select max(to_number(i.premium_rcv_detail_code))+1
from ins_premium_det i),'62864','62864','02', '11000003','00','Request by Mr. Saqib Saleem 01-Nov-2024');</v>
      </c>
    </row>
    <row r="216" spans="1:8" ht="105">
      <c r="A216" s="65" t="s">
        <v>2320</v>
      </c>
      <c r="B216" s="96" t="str">
        <f>VLOOKUP(A216,policy!B:C,2,0)</f>
        <v>070000168943</v>
      </c>
      <c r="C216" s="66">
        <v>49163</v>
      </c>
      <c r="D216" s="97">
        <f t="shared" si="12"/>
        <v>49163</v>
      </c>
      <c r="E216" s="102" t="s">
        <v>2933</v>
      </c>
      <c r="F216" s="98" t="str">
        <f t="shared" si="13"/>
        <v>insert into ins_premium_det (premium_rcv_code,assorted_code, rec_amount,premium_rcv_detail_code,remaining_amt, payrec, mode_code,coinsurance_code,class_cd,it_remarks) values</v>
      </c>
      <c r="G216" s="99" t="str">
        <f t="shared" si="14"/>
        <v>('01Nov240029','070000168943','49163',(select max(to_number(i.premium_rcv_detail_code))+1
from ins_premium_det i),'49163','49163','02', '11000003','00','Request by Mr. Saqib Saleem 01-Nov-2024');</v>
      </c>
      <c r="H216" s="100" t="str">
        <f t="shared" si="15"/>
        <v>insert into ins_premium_det (premium_rcv_code,assorted_code, rec_amount,premium_rcv_detail_code,remaining_amt, payrec, mode_code,coinsurance_code,class_cd,it_remarks) values('01Nov240029','070000168943','49163',(select max(to_number(i.premium_rcv_detail_code))+1
from ins_premium_det i),'49163','49163','02', '11000003','00','Request by Mr. Saqib Saleem 01-Nov-2024');</v>
      </c>
    </row>
    <row r="217" spans="1:8" ht="105">
      <c r="A217" s="65" t="s">
        <v>2321</v>
      </c>
      <c r="B217" s="96" t="str">
        <f>VLOOKUP(A217,policy!B:C,2,0)</f>
        <v>070000168944</v>
      </c>
      <c r="C217" s="66">
        <v>31448</v>
      </c>
      <c r="D217" s="97">
        <f t="shared" si="12"/>
        <v>31448</v>
      </c>
      <c r="E217" s="102" t="s">
        <v>2933</v>
      </c>
      <c r="F217" s="98" t="str">
        <f t="shared" si="13"/>
        <v>insert into ins_premium_det (premium_rcv_code,assorted_code, rec_amount,premium_rcv_detail_code,remaining_amt, payrec, mode_code,coinsurance_code,class_cd,it_remarks) values</v>
      </c>
      <c r="G217" s="99" t="str">
        <f t="shared" si="14"/>
        <v>('01Nov240029','070000168944','31448',(select max(to_number(i.premium_rcv_detail_code))+1
from ins_premium_det i),'31448','31448','02', '11000003','00','Request by Mr. Saqib Saleem 01-Nov-2024');</v>
      </c>
      <c r="H217" s="100" t="str">
        <f t="shared" si="15"/>
        <v>insert into ins_premium_det (premium_rcv_code,assorted_code, rec_amount,premium_rcv_detail_code,remaining_amt, payrec, mode_code,coinsurance_code,class_cd,it_remarks) values('01Nov240029','070000168944','31448',(select max(to_number(i.premium_rcv_detail_code))+1
from ins_premium_det i),'31448','31448','02', '11000003','00','Request by Mr. Saqib Saleem 01-Nov-2024');</v>
      </c>
    </row>
    <row r="218" spans="1:8" ht="105">
      <c r="A218" s="65" t="s">
        <v>2322</v>
      </c>
      <c r="B218" s="96" t="str">
        <f>VLOOKUP(A218,policy!B:C,2,0)</f>
        <v>070000168945</v>
      </c>
      <c r="C218" s="66">
        <v>87043</v>
      </c>
      <c r="D218" s="97">
        <f t="shared" si="12"/>
        <v>87043</v>
      </c>
      <c r="E218" s="102" t="s">
        <v>2933</v>
      </c>
      <c r="F218" s="98" t="str">
        <f t="shared" si="13"/>
        <v>insert into ins_premium_det (premium_rcv_code,assorted_code, rec_amount,premium_rcv_detail_code,remaining_amt, payrec, mode_code,coinsurance_code,class_cd,it_remarks) values</v>
      </c>
      <c r="G218" s="99" t="str">
        <f t="shared" si="14"/>
        <v>('01Nov240029','070000168945','87043',(select max(to_number(i.premium_rcv_detail_code))+1
from ins_premium_det i),'87043','87043','02', '11000003','00','Request by Mr. Saqib Saleem 01-Nov-2024');</v>
      </c>
      <c r="H218" s="100" t="str">
        <f t="shared" si="15"/>
        <v>insert into ins_premium_det (premium_rcv_code,assorted_code, rec_amount,premium_rcv_detail_code,remaining_amt, payrec, mode_code,coinsurance_code,class_cd,it_remarks) values('01Nov240029','070000168945','87043',(select max(to_number(i.premium_rcv_detail_code))+1
from ins_premium_det i),'87043','87043','02', '11000003','00','Request by Mr. Saqib Saleem 01-Nov-2024');</v>
      </c>
    </row>
    <row r="219" spans="1:8" ht="105">
      <c r="A219" s="65" t="s">
        <v>2323</v>
      </c>
      <c r="B219" s="96" t="str">
        <f>VLOOKUP(A219,policy!B:C,2,0)</f>
        <v>070000168946</v>
      </c>
      <c r="C219" s="66">
        <v>67700</v>
      </c>
      <c r="D219" s="97">
        <f t="shared" si="12"/>
        <v>67700</v>
      </c>
      <c r="E219" s="102" t="s">
        <v>2933</v>
      </c>
      <c r="F219" s="98" t="str">
        <f t="shared" si="13"/>
        <v>insert into ins_premium_det (premium_rcv_code,assorted_code, rec_amount,premium_rcv_detail_code,remaining_amt, payrec, mode_code,coinsurance_code,class_cd,it_remarks) values</v>
      </c>
      <c r="G219" s="99" t="str">
        <f t="shared" si="14"/>
        <v>('01Nov240029','070000168946','67700',(select max(to_number(i.premium_rcv_detail_code))+1
from ins_premium_det i),'67700','67700','02', '11000003','00','Request by Mr. Saqib Saleem 01-Nov-2024');</v>
      </c>
      <c r="H219" s="100" t="str">
        <f t="shared" si="15"/>
        <v>insert into ins_premium_det (premium_rcv_code,assorted_code, rec_amount,premium_rcv_detail_code,remaining_amt, payrec, mode_code,coinsurance_code,class_cd,it_remarks) values('01Nov240029','070000168946','67700',(select max(to_number(i.premium_rcv_detail_code))+1
from ins_premium_det i),'67700','67700','02', '11000003','00','Request by Mr. Saqib Saleem 01-Nov-2024');</v>
      </c>
    </row>
    <row r="220" spans="1:8" ht="105">
      <c r="A220" s="65" t="s">
        <v>2324</v>
      </c>
      <c r="B220" s="96" t="str">
        <f>VLOOKUP(A220,policy!B:C,2,0)</f>
        <v>070000168947</v>
      </c>
      <c r="C220" s="66">
        <v>58818</v>
      </c>
      <c r="D220" s="97">
        <f t="shared" si="12"/>
        <v>58818</v>
      </c>
      <c r="E220" s="102" t="s">
        <v>2933</v>
      </c>
      <c r="F220" s="98" t="str">
        <f t="shared" si="13"/>
        <v>insert into ins_premium_det (premium_rcv_code,assorted_code, rec_amount,premium_rcv_detail_code,remaining_amt, payrec, mode_code,coinsurance_code,class_cd,it_remarks) values</v>
      </c>
      <c r="G220" s="99" t="str">
        <f t="shared" si="14"/>
        <v>('01Nov240029','070000168947','58818',(select max(to_number(i.premium_rcv_detail_code))+1
from ins_premium_det i),'58818','58818','02', '11000003','00','Request by Mr. Saqib Saleem 01-Nov-2024');</v>
      </c>
      <c r="H220" s="100" t="str">
        <f t="shared" si="15"/>
        <v>insert into ins_premium_det (premium_rcv_code,assorted_code, rec_amount,premium_rcv_detail_code,remaining_amt, payrec, mode_code,coinsurance_code,class_cd,it_remarks) values('01Nov240029','070000168947','58818',(select max(to_number(i.premium_rcv_detail_code))+1
from ins_premium_det i),'58818','58818','02', '11000003','00','Request by Mr. Saqib Saleem 01-Nov-2024');</v>
      </c>
    </row>
    <row r="221" spans="1:8" ht="105">
      <c r="A221" s="65" t="s">
        <v>2325</v>
      </c>
      <c r="B221" s="96" t="str">
        <f>VLOOKUP(A221,policy!B:C,2,0)</f>
        <v>070000168948</v>
      </c>
      <c r="C221" s="66">
        <v>27402</v>
      </c>
      <c r="D221" s="97">
        <f t="shared" si="12"/>
        <v>27402</v>
      </c>
      <c r="E221" s="102" t="s">
        <v>2933</v>
      </c>
      <c r="F221" s="98" t="str">
        <f t="shared" si="13"/>
        <v>insert into ins_premium_det (premium_rcv_code,assorted_code, rec_amount,premium_rcv_detail_code,remaining_amt, payrec, mode_code,coinsurance_code,class_cd,it_remarks) values</v>
      </c>
      <c r="G221" s="99" t="str">
        <f t="shared" si="14"/>
        <v>('01Nov240029','070000168948','27402',(select max(to_number(i.premium_rcv_detail_code))+1
from ins_premium_det i),'27402','27402','02', '11000003','00','Request by Mr. Saqib Saleem 01-Nov-2024');</v>
      </c>
      <c r="H221" s="100" t="str">
        <f t="shared" si="15"/>
        <v>insert into ins_premium_det (premium_rcv_code,assorted_code, rec_amount,premium_rcv_detail_code,remaining_amt, payrec, mode_code,coinsurance_code,class_cd,it_remarks) values('01Nov240029','070000168948','27402',(select max(to_number(i.premium_rcv_detail_code))+1
from ins_premium_det i),'27402','27402','02', '11000003','00','Request by Mr. Saqib Saleem 01-Nov-2024');</v>
      </c>
    </row>
    <row r="222" spans="1:8" ht="105">
      <c r="A222" s="65" t="s">
        <v>2326</v>
      </c>
      <c r="B222" s="96" t="str">
        <f>VLOOKUP(A222,policy!B:C,2,0)</f>
        <v>070000168949</v>
      </c>
      <c r="C222" s="66">
        <v>116073</v>
      </c>
      <c r="D222" s="97">
        <f t="shared" si="12"/>
        <v>116073</v>
      </c>
      <c r="E222" s="102" t="s">
        <v>2933</v>
      </c>
      <c r="F222" s="98" t="str">
        <f t="shared" si="13"/>
        <v>insert into ins_premium_det (premium_rcv_code,assorted_code, rec_amount,premium_rcv_detail_code,remaining_amt, payrec, mode_code,coinsurance_code,class_cd,it_remarks) values</v>
      </c>
      <c r="G222" s="99" t="str">
        <f t="shared" si="14"/>
        <v>('01Nov240029','070000168949','116073',(select max(to_number(i.premium_rcv_detail_code))+1
from ins_premium_det i),'116073','116073','02', '11000003','00','Request by Mr. Saqib Saleem 01-Nov-2024');</v>
      </c>
      <c r="H222" s="100" t="str">
        <f t="shared" si="15"/>
        <v>insert into ins_premium_det (premium_rcv_code,assorted_code, rec_amount,premium_rcv_detail_code,remaining_amt, payrec, mode_code,coinsurance_code,class_cd,it_remarks) values('01Nov240029','070000168949','116073',(select max(to_number(i.premium_rcv_detail_code))+1
from ins_premium_det i),'116073','116073','02', '11000003','00','Request by Mr. Saqib Saleem 01-Nov-2024');</v>
      </c>
    </row>
    <row r="223" spans="1:8" ht="105">
      <c r="A223" s="65" t="s">
        <v>2327</v>
      </c>
      <c r="B223" s="96" t="str">
        <f>VLOOKUP(A223,policy!B:C,2,0)</f>
        <v>070000168950</v>
      </c>
      <c r="C223" s="66">
        <v>41329</v>
      </c>
      <c r="D223" s="97">
        <f t="shared" si="12"/>
        <v>41329</v>
      </c>
      <c r="E223" s="102" t="s">
        <v>2933</v>
      </c>
      <c r="F223" s="98" t="str">
        <f t="shared" si="13"/>
        <v>insert into ins_premium_det (premium_rcv_code,assorted_code, rec_amount,premium_rcv_detail_code,remaining_amt, payrec, mode_code,coinsurance_code,class_cd,it_remarks) values</v>
      </c>
      <c r="G223" s="99" t="str">
        <f t="shared" si="14"/>
        <v>('01Nov240029','070000168950','41329',(select max(to_number(i.premium_rcv_detail_code))+1
from ins_premium_det i),'41329','41329','02', '11000003','00','Request by Mr. Saqib Saleem 01-Nov-2024');</v>
      </c>
      <c r="H223" s="100" t="str">
        <f t="shared" si="15"/>
        <v>insert into ins_premium_det (premium_rcv_code,assorted_code, rec_amount,premium_rcv_detail_code,remaining_amt, payrec, mode_code,coinsurance_code,class_cd,it_remarks) values('01Nov240029','070000168950','41329',(select max(to_number(i.premium_rcv_detail_code))+1
from ins_premium_det i),'41329','41329','02', '11000003','00','Request by Mr. Saqib Saleem 01-Nov-2024');</v>
      </c>
    </row>
    <row r="224" spans="1:8" ht="105">
      <c r="A224" s="65" t="s">
        <v>2328</v>
      </c>
      <c r="B224" s="96" t="str">
        <f>VLOOKUP(A224,policy!B:C,2,0)</f>
        <v>070000168951</v>
      </c>
      <c r="C224" s="66">
        <v>31432</v>
      </c>
      <c r="D224" s="97">
        <f t="shared" si="12"/>
        <v>31432</v>
      </c>
      <c r="E224" s="102" t="s">
        <v>2933</v>
      </c>
      <c r="F224" s="98" t="str">
        <f t="shared" si="13"/>
        <v>insert into ins_premium_det (premium_rcv_code,assorted_code, rec_amount,premium_rcv_detail_code,remaining_amt, payrec, mode_code,coinsurance_code,class_cd,it_remarks) values</v>
      </c>
      <c r="G224" s="99" t="str">
        <f t="shared" si="14"/>
        <v>('01Nov240029','070000168951','31432',(select max(to_number(i.premium_rcv_detail_code))+1
from ins_premium_det i),'31432','31432','02', '11000003','00','Request by Mr. Saqib Saleem 01-Nov-2024');</v>
      </c>
      <c r="H224" s="100" t="str">
        <f t="shared" si="15"/>
        <v>insert into ins_premium_det (premium_rcv_code,assorted_code, rec_amount,premium_rcv_detail_code,remaining_amt, payrec, mode_code,coinsurance_code,class_cd,it_remarks) values('01Nov240029','070000168951','31432',(select max(to_number(i.premium_rcv_detail_code))+1
from ins_premium_det i),'31432','31432','02', '11000003','00','Request by Mr. Saqib Saleem 01-Nov-2024');</v>
      </c>
    </row>
    <row r="225" spans="1:8" ht="105">
      <c r="A225" s="65" t="s">
        <v>2329</v>
      </c>
      <c r="B225" s="96" t="str">
        <f>VLOOKUP(A225,policy!B:C,2,0)</f>
        <v>070000168952</v>
      </c>
      <c r="C225" s="66">
        <v>35511</v>
      </c>
      <c r="D225" s="97">
        <f t="shared" si="12"/>
        <v>35511</v>
      </c>
      <c r="E225" s="102" t="s">
        <v>2933</v>
      </c>
      <c r="F225" s="98" t="str">
        <f t="shared" si="13"/>
        <v>insert into ins_premium_det (premium_rcv_code,assorted_code, rec_amount,premium_rcv_detail_code,remaining_amt, payrec, mode_code,coinsurance_code,class_cd,it_remarks) values</v>
      </c>
      <c r="G225" s="99" t="str">
        <f t="shared" si="14"/>
        <v>('01Nov240029','070000168952','35511',(select max(to_number(i.premium_rcv_detail_code))+1
from ins_premium_det i),'35511','35511','02', '11000003','00','Request by Mr. Saqib Saleem 01-Nov-2024');</v>
      </c>
      <c r="H225" s="100" t="str">
        <f t="shared" si="15"/>
        <v>insert into ins_premium_det (premium_rcv_code,assorted_code, rec_amount,premium_rcv_detail_code,remaining_amt, payrec, mode_code,coinsurance_code,class_cd,it_remarks) values('01Nov240029','070000168952','35511',(select max(to_number(i.premium_rcv_detail_code))+1
from ins_premium_det i),'35511','35511','02', '11000003','00','Request by Mr. Saqib Saleem 01-Nov-2024');</v>
      </c>
    </row>
    <row r="226" spans="1:8" ht="105">
      <c r="A226" s="65" t="s">
        <v>2330</v>
      </c>
      <c r="B226" s="96" t="str">
        <f>VLOOKUP(A226,policy!B:C,2,0)</f>
        <v>070000168953</v>
      </c>
      <c r="C226" s="66">
        <v>97512</v>
      </c>
      <c r="D226" s="97">
        <f t="shared" si="12"/>
        <v>97512</v>
      </c>
      <c r="E226" s="102" t="s">
        <v>2933</v>
      </c>
      <c r="F226" s="98" t="str">
        <f t="shared" si="13"/>
        <v>insert into ins_premium_det (premium_rcv_code,assorted_code, rec_amount,premium_rcv_detail_code,remaining_amt, payrec, mode_code,coinsurance_code,class_cd,it_remarks) values</v>
      </c>
      <c r="G226" s="99" t="str">
        <f t="shared" si="14"/>
        <v>('01Nov240029','070000168953','97512',(select max(to_number(i.premium_rcv_detail_code))+1
from ins_premium_det i),'97512','97512','02', '11000003','00','Request by Mr. Saqib Saleem 01-Nov-2024');</v>
      </c>
      <c r="H226" s="100" t="str">
        <f t="shared" si="15"/>
        <v>insert into ins_premium_det (premium_rcv_code,assorted_code, rec_amount,premium_rcv_detail_code,remaining_amt, payrec, mode_code,coinsurance_code,class_cd,it_remarks) values('01Nov240029','070000168953','97512',(select max(to_number(i.premium_rcv_detail_code))+1
from ins_premium_det i),'97512','97512','02', '11000003','00','Request by Mr. Saqib Saleem 01-Nov-2024');</v>
      </c>
    </row>
    <row r="227" spans="1:8" ht="105">
      <c r="A227" s="65" t="s">
        <v>2331</v>
      </c>
      <c r="B227" s="96" t="str">
        <f>VLOOKUP(A227,policy!B:C,2,0)</f>
        <v>070000168954</v>
      </c>
      <c r="C227" s="66">
        <v>53697</v>
      </c>
      <c r="D227" s="97">
        <f t="shared" si="12"/>
        <v>53697</v>
      </c>
      <c r="E227" s="102" t="s">
        <v>2933</v>
      </c>
      <c r="F227" s="98" t="str">
        <f t="shared" si="13"/>
        <v>insert into ins_premium_det (premium_rcv_code,assorted_code, rec_amount,premium_rcv_detail_code,remaining_amt, payrec, mode_code,coinsurance_code,class_cd,it_remarks) values</v>
      </c>
      <c r="G227" s="99" t="str">
        <f t="shared" si="14"/>
        <v>('01Nov240029','070000168954','53697',(select max(to_number(i.premium_rcv_detail_code))+1
from ins_premium_det i),'53697','53697','02', '11000003','00','Request by Mr. Saqib Saleem 01-Nov-2024');</v>
      </c>
      <c r="H227" s="100" t="str">
        <f t="shared" si="15"/>
        <v>insert into ins_premium_det (premium_rcv_code,assorted_code, rec_amount,premium_rcv_detail_code,remaining_amt, payrec, mode_code,coinsurance_code,class_cd,it_remarks) values('01Nov240029','070000168954','53697',(select max(to_number(i.premium_rcv_detail_code))+1
from ins_premium_det i),'53697','53697','02', '11000003','00','Request by Mr. Saqib Saleem 01-Nov-2024');</v>
      </c>
    </row>
    <row r="228" spans="1:8" ht="105">
      <c r="A228" s="65" t="s">
        <v>2332</v>
      </c>
      <c r="B228" s="96" t="str">
        <f>VLOOKUP(A228,policy!B:C,2,0)</f>
        <v>070000168955</v>
      </c>
      <c r="C228" s="66">
        <v>51743</v>
      </c>
      <c r="D228" s="97">
        <f t="shared" si="12"/>
        <v>51743</v>
      </c>
      <c r="E228" s="102" t="s">
        <v>2933</v>
      </c>
      <c r="F228" s="98" t="str">
        <f t="shared" si="13"/>
        <v>insert into ins_premium_det (premium_rcv_code,assorted_code, rec_amount,premium_rcv_detail_code,remaining_amt, payrec, mode_code,coinsurance_code,class_cd,it_remarks) values</v>
      </c>
      <c r="G228" s="99" t="str">
        <f t="shared" si="14"/>
        <v>('01Nov240029','070000168955','51743',(select max(to_number(i.premium_rcv_detail_code))+1
from ins_premium_det i),'51743','51743','02', '11000003','00','Request by Mr. Saqib Saleem 01-Nov-2024');</v>
      </c>
      <c r="H228" s="100" t="str">
        <f t="shared" si="15"/>
        <v>insert into ins_premium_det (premium_rcv_code,assorted_code, rec_amount,premium_rcv_detail_code,remaining_amt, payrec, mode_code,coinsurance_code,class_cd,it_remarks) values('01Nov240029','070000168955','51743',(select max(to_number(i.premium_rcv_detail_code))+1
from ins_premium_det i),'51743','51743','02', '11000003','00','Request by Mr. Saqib Saleem 01-Nov-2024');</v>
      </c>
    </row>
    <row r="229" spans="1:8" ht="105">
      <c r="A229" s="65" t="s">
        <v>2333</v>
      </c>
      <c r="B229" s="96" t="str">
        <f>VLOOKUP(A229,policy!B:C,2,0)</f>
        <v>070000168956</v>
      </c>
      <c r="C229" s="66">
        <v>26999</v>
      </c>
      <c r="D229" s="97">
        <f t="shared" si="12"/>
        <v>26999</v>
      </c>
      <c r="E229" s="102" t="s">
        <v>2933</v>
      </c>
      <c r="F229" s="98" t="str">
        <f t="shared" si="13"/>
        <v>insert into ins_premium_det (premium_rcv_code,assorted_code, rec_amount,premium_rcv_detail_code,remaining_amt, payrec, mode_code,coinsurance_code,class_cd,it_remarks) values</v>
      </c>
      <c r="G229" s="99" t="str">
        <f t="shared" si="14"/>
        <v>('01Nov240029','070000168956','26999',(select max(to_number(i.premium_rcv_detail_code))+1
from ins_premium_det i),'26999','26999','02', '11000003','00','Request by Mr. Saqib Saleem 01-Nov-2024');</v>
      </c>
      <c r="H229" s="100" t="str">
        <f t="shared" si="15"/>
        <v>insert into ins_premium_det (premium_rcv_code,assorted_code, rec_amount,premium_rcv_detail_code,remaining_amt, payrec, mode_code,coinsurance_code,class_cd,it_remarks) values('01Nov240029','070000168956','26999',(select max(to_number(i.premium_rcv_detail_code))+1
from ins_premium_det i),'26999','26999','02', '11000003','00','Request by Mr. Saqib Saleem 01-Nov-2024');</v>
      </c>
    </row>
    <row r="230" spans="1:8" ht="105">
      <c r="A230" s="65" t="s">
        <v>2334</v>
      </c>
      <c r="B230" s="96" t="str">
        <f>VLOOKUP(A230,policy!B:C,2,0)</f>
        <v>070000168957</v>
      </c>
      <c r="C230" s="66">
        <v>58238</v>
      </c>
      <c r="D230" s="97">
        <f t="shared" si="12"/>
        <v>58238</v>
      </c>
      <c r="E230" s="102" t="s">
        <v>2933</v>
      </c>
      <c r="F230" s="98" t="str">
        <f t="shared" si="13"/>
        <v>insert into ins_premium_det (premium_rcv_code,assorted_code, rec_amount,premium_rcv_detail_code,remaining_amt, payrec, mode_code,coinsurance_code,class_cd,it_remarks) values</v>
      </c>
      <c r="G230" s="99" t="str">
        <f t="shared" si="14"/>
        <v>('01Nov240029','070000168957','58238',(select max(to_number(i.premium_rcv_detail_code))+1
from ins_premium_det i),'58238','58238','02', '11000003','00','Request by Mr. Saqib Saleem 01-Nov-2024');</v>
      </c>
      <c r="H230" s="100" t="str">
        <f t="shared" si="15"/>
        <v>insert into ins_premium_det (premium_rcv_code,assorted_code, rec_amount,premium_rcv_detail_code,remaining_amt, payrec, mode_code,coinsurance_code,class_cd,it_remarks) values('01Nov240029','070000168957','58238',(select max(to_number(i.premium_rcv_detail_code))+1
from ins_premium_det i),'58238','58238','02', '11000003','00','Request by Mr. Saqib Saleem 01-Nov-2024');</v>
      </c>
    </row>
    <row r="231" spans="1:8" ht="105">
      <c r="A231" s="65" t="s">
        <v>2335</v>
      </c>
      <c r="B231" s="96" t="str">
        <f>VLOOKUP(A231,policy!B:C,2,0)</f>
        <v>070000168958</v>
      </c>
      <c r="C231" s="66">
        <v>24920</v>
      </c>
      <c r="D231" s="97">
        <f t="shared" si="12"/>
        <v>24920</v>
      </c>
      <c r="E231" s="102" t="s">
        <v>2933</v>
      </c>
      <c r="F231" s="98" t="str">
        <f t="shared" si="13"/>
        <v>insert into ins_premium_det (premium_rcv_code,assorted_code, rec_amount,premium_rcv_detail_code,remaining_amt, payrec, mode_code,coinsurance_code,class_cd,it_remarks) values</v>
      </c>
      <c r="G231" s="99" t="str">
        <f t="shared" si="14"/>
        <v>('01Nov240029','070000168958','24920',(select max(to_number(i.premium_rcv_detail_code))+1
from ins_premium_det i),'24920','24920','02', '11000003','00','Request by Mr. Saqib Saleem 01-Nov-2024');</v>
      </c>
      <c r="H231" s="100" t="str">
        <f t="shared" si="15"/>
        <v>insert into ins_premium_det (premium_rcv_code,assorted_code, rec_amount,premium_rcv_detail_code,remaining_amt, payrec, mode_code,coinsurance_code,class_cd,it_remarks) values('01Nov240029','070000168958','24920',(select max(to_number(i.premium_rcv_detail_code))+1
from ins_premium_det i),'24920','24920','02', '11000003','00','Request by Mr. Saqib Saleem 01-Nov-2024');</v>
      </c>
    </row>
    <row r="232" spans="1:8" ht="105">
      <c r="A232" s="65" t="s">
        <v>2336</v>
      </c>
      <c r="B232" s="96" t="str">
        <f>VLOOKUP(A232,policy!B:C,2,0)</f>
        <v>070000168959</v>
      </c>
      <c r="C232" s="66">
        <v>30626</v>
      </c>
      <c r="D232" s="97">
        <f t="shared" si="12"/>
        <v>30626</v>
      </c>
      <c r="E232" s="102" t="s">
        <v>2933</v>
      </c>
      <c r="F232" s="98" t="str">
        <f t="shared" si="13"/>
        <v>insert into ins_premium_det (premium_rcv_code,assorted_code, rec_amount,premium_rcv_detail_code,remaining_amt, payrec, mode_code,coinsurance_code,class_cd,it_remarks) values</v>
      </c>
      <c r="G232" s="99" t="str">
        <f t="shared" si="14"/>
        <v>('01Nov240029','070000168959','30626',(select max(to_number(i.premium_rcv_detail_code))+1
from ins_premium_det i),'30626','30626','02', '11000003','00','Request by Mr. Saqib Saleem 01-Nov-2024');</v>
      </c>
      <c r="H232" s="100" t="str">
        <f t="shared" si="15"/>
        <v>insert into ins_premium_det (premium_rcv_code,assorted_code, rec_amount,premium_rcv_detail_code,remaining_amt, payrec, mode_code,coinsurance_code,class_cd,it_remarks) values('01Nov240029','070000168959','30626',(select max(to_number(i.premium_rcv_detail_code))+1
from ins_premium_det i),'30626','30626','02', '11000003','00','Request by Mr. Saqib Saleem 01-Nov-2024');</v>
      </c>
    </row>
    <row r="233" spans="1:8" ht="105">
      <c r="A233" s="65" t="s">
        <v>2337</v>
      </c>
      <c r="B233" s="96" t="str">
        <f>VLOOKUP(A233,policy!B:C,2,0)</f>
        <v>070000168960</v>
      </c>
      <c r="C233" s="66">
        <v>41329</v>
      </c>
      <c r="D233" s="97">
        <f t="shared" si="12"/>
        <v>41329</v>
      </c>
      <c r="E233" s="102" t="s">
        <v>2933</v>
      </c>
      <c r="F233" s="98" t="str">
        <f t="shared" si="13"/>
        <v>insert into ins_premium_det (premium_rcv_code,assorted_code, rec_amount,premium_rcv_detail_code,remaining_amt, payrec, mode_code,coinsurance_code,class_cd,it_remarks) values</v>
      </c>
      <c r="G233" s="99" t="str">
        <f t="shared" si="14"/>
        <v>('01Nov240029','070000168960','41329',(select max(to_number(i.premium_rcv_detail_code))+1
from ins_premium_det i),'41329','41329','02', '11000003','00','Request by Mr. Saqib Saleem 01-Nov-2024');</v>
      </c>
      <c r="H233" s="100" t="str">
        <f t="shared" si="15"/>
        <v>insert into ins_premium_det (premium_rcv_code,assorted_code, rec_amount,premium_rcv_detail_code,remaining_amt, payrec, mode_code,coinsurance_code,class_cd,it_remarks) values('01Nov240029','070000168960','41329',(select max(to_number(i.premium_rcv_detail_code))+1
from ins_premium_det i),'41329','41329','02', '11000003','00','Request by Mr. Saqib Saleem 01-Nov-2024');</v>
      </c>
    </row>
    <row r="234" spans="1:8" ht="105">
      <c r="A234" s="68" t="s">
        <v>2107</v>
      </c>
      <c r="B234" s="96" t="str">
        <f>VLOOKUP(A234,policy!B:C,2,0)</f>
        <v>070000169001</v>
      </c>
      <c r="C234" s="66">
        <v>52048</v>
      </c>
      <c r="D234" s="97">
        <f t="shared" si="12"/>
        <v>52048</v>
      </c>
      <c r="E234" s="102" t="s">
        <v>2933</v>
      </c>
      <c r="F234" s="98" t="str">
        <f t="shared" si="13"/>
        <v>insert into ins_premium_det (premium_rcv_code,assorted_code, rec_amount,premium_rcv_detail_code,remaining_amt, payrec, mode_code,coinsurance_code,class_cd,it_remarks) values</v>
      </c>
      <c r="G234" s="99" t="str">
        <f t="shared" si="14"/>
        <v>('01Nov240029','070000169001','52048',(select max(to_number(i.premium_rcv_detail_code))+1
from ins_premium_det i),'52048','52048','02', '11000003','00','Request by Mr. Saqib Saleem 01-Nov-2024');</v>
      </c>
      <c r="H234" s="100" t="str">
        <f t="shared" si="15"/>
        <v>insert into ins_premium_det (premium_rcv_code,assorted_code, rec_amount,premium_rcv_detail_code,remaining_amt, payrec, mode_code,coinsurance_code,class_cd,it_remarks) values('01Nov240029','070000169001','52048',(select max(to_number(i.premium_rcv_detail_code))+1
from ins_premium_det i),'52048','52048','02', '11000003','00','Request by Mr. Saqib Saleem 01-Nov-2024');</v>
      </c>
    </row>
    <row r="235" spans="1:8" ht="105">
      <c r="A235" s="65" t="s">
        <v>2338</v>
      </c>
      <c r="B235" s="96" t="str">
        <f>VLOOKUP(A235,policy!B:C,2,0)</f>
        <v>070000168961</v>
      </c>
      <c r="C235" s="66">
        <v>61961</v>
      </c>
      <c r="D235" s="97">
        <f t="shared" si="12"/>
        <v>61961</v>
      </c>
      <c r="E235" s="102" t="s">
        <v>2933</v>
      </c>
      <c r="F235" s="98" t="str">
        <f t="shared" si="13"/>
        <v>insert into ins_premium_det (premium_rcv_code,assorted_code, rec_amount,premium_rcv_detail_code,remaining_amt, payrec, mode_code,coinsurance_code,class_cd,it_remarks) values</v>
      </c>
      <c r="G235" s="99" t="str">
        <f t="shared" si="14"/>
        <v>('01Nov240029','070000168961','61961',(select max(to_number(i.premium_rcv_detail_code))+1
from ins_premium_det i),'61961','61961','02', '11000003','00','Request by Mr. Saqib Saleem 01-Nov-2024');</v>
      </c>
      <c r="H235" s="100" t="str">
        <f t="shared" si="15"/>
        <v>insert into ins_premium_det (premium_rcv_code,assorted_code, rec_amount,premium_rcv_detail_code,remaining_amt, payrec, mode_code,coinsurance_code,class_cd,it_remarks) values('01Nov240029','070000168961','61961',(select max(to_number(i.premium_rcv_detail_code))+1
from ins_premium_det i),'61961','61961','02', '11000003','00','Request by Mr. Saqib Saleem 01-Nov-2024');</v>
      </c>
    </row>
    <row r="236" spans="1:8" ht="105">
      <c r="A236" s="65" t="s">
        <v>2339</v>
      </c>
      <c r="B236" s="96" t="str">
        <f>VLOOKUP(A236,policy!B:C,2,0)</f>
        <v>070000168962</v>
      </c>
      <c r="C236" s="66">
        <v>52754</v>
      </c>
      <c r="D236" s="97">
        <f t="shared" si="12"/>
        <v>52754</v>
      </c>
      <c r="E236" s="102" t="s">
        <v>2933</v>
      </c>
      <c r="F236" s="98" t="str">
        <f t="shared" si="13"/>
        <v>insert into ins_premium_det (premium_rcv_code,assorted_code, rec_amount,premium_rcv_detail_code,remaining_amt, payrec, mode_code,coinsurance_code,class_cd,it_remarks) values</v>
      </c>
      <c r="G236" s="99" t="str">
        <f t="shared" si="14"/>
        <v>('01Nov240029','070000168962','52754',(select max(to_number(i.premium_rcv_detail_code))+1
from ins_premium_det i),'52754','52754','02', '11000003','00','Request by Mr. Saqib Saleem 01-Nov-2024');</v>
      </c>
      <c r="H236" s="100" t="str">
        <f t="shared" si="15"/>
        <v>insert into ins_premium_det (premium_rcv_code,assorted_code, rec_amount,premium_rcv_detail_code,remaining_amt, payrec, mode_code,coinsurance_code,class_cd,it_remarks) values('01Nov240029','070000168962','52754',(select max(to_number(i.premium_rcv_detail_code))+1
from ins_premium_det i),'52754','52754','02', '11000003','00','Request by Mr. Saqib Saleem 01-Nov-2024');</v>
      </c>
    </row>
    <row r="237" spans="1:8" ht="105">
      <c r="A237" s="65" t="s">
        <v>2340</v>
      </c>
      <c r="B237" s="96" t="str">
        <f>VLOOKUP(A237,policy!B:C,2,0)</f>
        <v>070000168963</v>
      </c>
      <c r="C237" s="66">
        <v>59640</v>
      </c>
      <c r="D237" s="97">
        <f t="shared" si="12"/>
        <v>59640</v>
      </c>
      <c r="E237" s="102" t="s">
        <v>2933</v>
      </c>
      <c r="F237" s="98" t="str">
        <f t="shared" si="13"/>
        <v>insert into ins_premium_det (premium_rcv_code,assorted_code, rec_amount,premium_rcv_detail_code,remaining_amt, payrec, mode_code,coinsurance_code,class_cd,it_remarks) values</v>
      </c>
      <c r="G237" s="99" t="str">
        <f t="shared" si="14"/>
        <v>('01Nov240029','070000168963','59640',(select max(to_number(i.premium_rcv_detail_code))+1
from ins_premium_det i),'59640','59640','02', '11000003','00','Request by Mr. Saqib Saleem 01-Nov-2024');</v>
      </c>
      <c r="H237" s="100" t="str">
        <f t="shared" si="15"/>
        <v>insert into ins_premium_det (premium_rcv_code,assorted_code, rec_amount,premium_rcv_detail_code,remaining_amt, payrec, mode_code,coinsurance_code,class_cd,it_remarks) values('01Nov240029','070000168963','59640',(select max(to_number(i.premium_rcv_detail_code))+1
from ins_premium_det i),'59640','59640','02', '11000003','00','Request by Mr. Saqib Saleem 01-Nov-2024');</v>
      </c>
    </row>
    <row r="238" spans="1:8" ht="105">
      <c r="A238" s="65" t="s">
        <v>2341</v>
      </c>
      <c r="B238" s="96" t="str">
        <f>VLOOKUP(A238,policy!B:C,2,0)</f>
        <v>070000168964</v>
      </c>
      <c r="C238" s="66">
        <v>24422</v>
      </c>
      <c r="D238" s="97">
        <f t="shared" si="12"/>
        <v>24422</v>
      </c>
      <c r="E238" s="102" t="s">
        <v>2933</v>
      </c>
      <c r="F238" s="98" t="str">
        <f t="shared" si="13"/>
        <v>insert into ins_premium_det (premium_rcv_code,assorted_code, rec_amount,premium_rcv_detail_code,remaining_amt, payrec, mode_code,coinsurance_code,class_cd,it_remarks) values</v>
      </c>
      <c r="G238" s="99" t="str">
        <f t="shared" si="14"/>
        <v>('01Nov240029','070000168964','24422',(select max(to_number(i.premium_rcv_detail_code))+1
from ins_premium_det i),'24422','24422','02', '11000003','00','Request by Mr. Saqib Saleem 01-Nov-2024');</v>
      </c>
      <c r="H238" s="100" t="str">
        <f t="shared" si="15"/>
        <v>insert into ins_premium_det (premium_rcv_code,assorted_code, rec_amount,premium_rcv_detail_code,remaining_amt, payrec, mode_code,coinsurance_code,class_cd,it_remarks) values('01Nov240029','070000168964','24422',(select max(to_number(i.premium_rcv_detail_code))+1
from ins_premium_det i),'24422','24422','02', '11000003','00','Request by Mr. Saqib Saleem 01-Nov-2024');</v>
      </c>
    </row>
    <row r="239" spans="1:8" ht="105">
      <c r="A239" s="65" t="s">
        <v>2342</v>
      </c>
      <c r="B239" s="96" t="str">
        <f>VLOOKUP(A239,policy!B:C,2,0)</f>
        <v>070000168965</v>
      </c>
      <c r="C239" s="66">
        <v>40620</v>
      </c>
      <c r="D239" s="97">
        <f t="shared" si="12"/>
        <v>40620</v>
      </c>
      <c r="E239" s="102" t="s">
        <v>2933</v>
      </c>
      <c r="F239" s="98" t="str">
        <f t="shared" si="13"/>
        <v>insert into ins_premium_det (premium_rcv_code,assorted_code, rec_amount,premium_rcv_detail_code,remaining_amt, payrec, mode_code,coinsurance_code,class_cd,it_remarks) values</v>
      </c>
      <c r="G239" s="99" t="str">
        <f t="shared" si="14"/>
        <v>('01Nov240029','070000168965','40620',(select max(to_number(i.premium_rcv_detail_code))+1
from ins_premium_det i),'40620','40620','02', '11000003','00','Request by Mr. Saqib Saleem 01-Nov-2024');</v>
      </c>
      <c r="H239" s="100" t="str">
        <f t="shared" si="15"/>
        <v>insert into ins_premium_det (premium_rcv_code,assorted_code, rec_amount,premium_rcv_detail_code,remaining_amt, payrec, mode_code,coinsurance_code,class_cd,it_remarks) values('01Nov240029','070000168965','40620',(select max(to_number(i.premium_rcv_detail_code))+1
from ins_premium_det i),'40620','40620','02', '11000003','00','Request by Mr. Saqib Saleem 01-Nov-2024');</v>
      </c>
    </row>
    <row r="240" spans="1:8" ht="105">
      <c r="A240" s="65" t="s">
        <v>2343</v>
      </c>
      <c r="B240" s="96" t="str">
        <f>VLOOKUP(A240,policy!B:C,2,0)</f>
        <v>070000168966</v>
      </c>
      <c r="C240" s="66">
        <v>32238</v>
      </c>
      <c r="D240" s="97">
        <f t="shared" si="12"/>
        <v>32238</v>
      </c>
      <c r="E240" s="102" t="s">
        <v>2933</v>
      </c>
      <c r="F240" s="98" t="str">
        <f t="shared" si="13"/>
        <v>insert into ins_premium_det (premium_rcv_code,assorted_code, rec_amount,premium_rcv_detail_code,remaining_amt, payrec, mode_code,coinsurance_code,class_cd,it_remarks) values</v>
      </c>
      <c r="G240" s="99" t="str">
        <f t="shared" si="14"/>
        <v>('01Nov240029','070000168966','32238',(select max(to_number(i.premium_rcv_detail_code))+1
from ins_premium_det i),'32238','32238','02', '11000003','00','Request by Mr. Saqib Saleem 01-Nov-2024');</v>
      </c>
      <c r="H240" s="100" t="str">
        <f t="shared" si="15"/>
        <v>insert into ins_premium_det (premium_rcv_code,assorted_code, rec_amount,premium_rcv_detail_code,remaining_amt, payrec, mode_code,coinsurance_code,class_cd,it_remarks) values('01Nov240029','070000168966','32238',(select max(to_number(i.premium_rcv_detail_code))+1
from ins_premium_det i),'32238','32238','02', '11000003','00','Request by Mr. Saqib Saleem 01-Nov-2024');</v>
      </c>
    </row>
    <row r="241" spans="1:8" ht="105">
      <c r="A241" s="65" t="s">
        <v>2344</v>
      </c>
      <c r="B241" s="96" t="str">
        <f>VLOOKUP(A241,policy!B:C,2,0)</f>
        <v>070000168967</v>
      </c>
      <c r="C241" s="66">
        <v>77502</v>
      </c>
      <c r="D241" s="97">
        <f t="shared" si="12"/>
        <v>77502</v>
      </c>
      <c r="E241" s="102" t="s">
        <v>2933</v>
      </c>
      <c r="F241" s="98" t="str">
        <f t="shared" si="13"/>
        <v>insert into ins_premium_det (premium_rcv_code,assorted_code, rec_amount,premium_rcv_detail_code,remaining_amt, payrec, mode_code,coinsurance_code,class_cd,it_remarks) values</v>
      </c>
      <c r="G241" s="99" t="str">
        <f t="shared" si="14"/>
        <v>('01Nov240029','070000168967','77502',(select max(to_number(i.premium_rcv_detail_code))+1
from ins_premium_det i),'77502','77502','02', '11000003','00','Request by Mr. Saqib Saleem 01-Nov-2024');</v>
      </c>
      <c r="H241" s="100" t="str">
        <f t="shared" si="15"/>
        <v>insert into ins_premium_det (premium_rcv_code,assorted_code, rec_amount,premium_rcv_detail_code,remaining_amt, payrec, mode_code,coinsurance_code,class_cd,it_remarks) values('01Nov240029','070000168967','77502',(select max(to_number(i.premium_rcv_detail_code))+1
from ins_premium_det i),'77502','77502','02', '11000003','00','Request by Mr. Saqib Saleem 01-Nov-2024');</v>
      </c>
    </row>
    <row r="242" spans="1:8" ht="105">
      <c r="A242" s="65" t="s">
        <v>2345</v>
      </c>
      <c r="B242" s="96" t="str">
        <f>VLOOKUP(A242,policy!B:C,2,0)</f>
        <v>070000168968</v>
      </c>
      <c r="C242" s="66">
        <v>32238</v>
      </c>
      <c r="D242" s="97">
        <f t="shared" si="12"/>
        <v>32238</v>
      </c>
      <c r="E242" s="102" t="s">
        <v>2933</v>
      </c>
      <c r="F242" s="98" t="str">
        <f t="shared" si="13"/>
        <v>insert into ins_premium_det (premium_rcv_code,assorted_code, rec_amount,premium_rcv_detail_code,remaining_amt, payrec, mode_code,coinsurance_code,class_cd,it_remarks) values</v>
      </c>
      <c r="G242" s="99" t="str">
        <f t="shared" si="14"/>
        <v>('01Nov240029','070000168968','32238',(select max(to_number(i.premium_rcv_detail_code))+1
from ins_premium_det i),'32238','32238','02', '11000003','00','Request by Mr. Saqib Saleem 01-Nov-2024');</v>
      </c>
      <c r="H242" s="100" t="str">
        <f t="shared" si="15"/>
        <v>insert into ins_premium_det (premium_rcv_code,assorted_code, rec_amount,premium_rcv_detail_code,remaining_amt, payrec, mode_code,coinsurance_code,class_cd,it_remarks) values('01Nov240029','070000168968','32238',(select max(to_number(i.premium_rcv_detail_code))+1
from ins_premium_det i),'32238','32238','02', '11000003','00','Request by Mr. Saqib Saleem 01-Nov-2024');</v>
      </c>
    </row>
    <row r="243" spans="1:8" ht="105">
      <c r="A243" s="65" t="s">
        <v>2346</v>
      </c>
      <c r="B243" s="96" t="str">
        <f>VLOOKUP(A243,policy!B:C,2,0)</f>
        <v>070000168969</v>
      </c>
      <c r="C243" s="66">
        <v>36268</v>
      </c>
      <c r="D243" s="97">
        <f t="shared" si="12"/>
        <v>36268</v>
      </c>
      <c r="E243" s="102" t="s">
        <v>2933</v>
      </c>
      <c r="F243" s="98" t="str">
        <f t="shared" si="13"/>
        <v>insert into ins_premium_det (premium_rcv_code,assorted_code, rec_amount,premium_rcv_detail_code,remaining_amt, payrec, mode_code,coinsurance_code,class_cd,it_remarks) values</v>
      </c>
      <c r="G243" s="99" t="str">
        <f t="shared" si="14"/>
        <v>('01Nov240029','070000168969','36268',(select max(to_number(i.premium_rcv_detail_code))+1
from ins_premium_det i),'36268','36268','02', '11000003','00','Request by Mr. Saqib Saleem 01-Nov-2024');</v>
      </c>
      <c r="H243" s="100" t="str">
        <f t="shared" si="15"/>
        <v>insert into ins_premium_det (premium_rcv_code,assorted_code, rec_amount,premium_rcv_detail_code,remaining_amt, payrec, mode_code,coinsurance_code,class_cd,it_remarks) values('01Nov240029','070000168969','36268',(select max(to_number(i.premium_rcv_detail_code))+1
from ins_premium_det i),'36268','36268','02', '11000003','00','Request by Mr. Saqib Saleem 01-Nov-2024');</v>
      </c>
    </row>
    <row r="244" spans="1:8" ht="105">
      <c r="A244" s="65" t="s">
        <v>2347</v>
      </c>
      <c r="B244" s="96" t="str">
        <f>VLOOKUP(A244,policy!B:C,2,0)</f>
        <v>070000168970</v>
      </c>
      <c r="C244" s="66">
        <v>30626</v>
      </c>
      <c r="D244" s="97">
        <f t="shared" si="12"/>
        <v>30626</v>
      </c>
      <c r="E244" s="102" t="s">
        <v>2933</v>
      </c>
      <c r="F244" s="98" t="str">
        <f t="shared" si="13"/>
        <v>insert into ins_premium_det (premium_rcv_code,assorted_code, rec_amount,premium_rcv_detail_code,remaining_amt, payrec, mode_code,coinsurance_code,class_cd,it_remarks) values</v>
      </c>
      <c r="G244" s="99" t="str">
        <f t="shared" si="14"/>
        <v>('01Nov240029','070000168970','30626',(select max(to_number(i.premium_rcv_detail_code))+1
from ins_premium_det i),'30626','30626','02', '11000003','00','Request by Mr. Saqib Saleem 01-Nov-2024');</v>
      </c>
      <c r="H244" s="100" t="str">
        <f t="shared" si="15"/>
        <v>insert into ins_premium_det (premium_rcv_code,assorted_code, rec_amount,premium_rcv_detail_code,remaining_amt, payrec, mode_code,coinsurance_code,class_cd,it_remarks) values('01Nov240029','070000168970','30626',(select max(to_number(i.premium_rcv_detail_code))+1
from ins_premium_det i),'30626','30626','02', '11000003','00','Request by Mr. Saqib Saleem 01-Nov-2024');</v>
      </c>
    </row>
    <row r="245" spans="1:8" ht="105">
      <c r="A245" s="65" t="s">
        <v>2348</v>
      </c>
      <c r="B245" s="96" t="str">
        <f>VLOOKUP(A245,policy!B:C,2,0)</f>
        <v>070000168971</v>
      </c>
      <c r="C245" s="66">
        <v>24179</v>
      </c>
      <c r="D245" s="97">
        <f t="shared" si="12"/>
        <v>24179</v>
      </c>
      <c r="E245" s="102" t="s">
        <v>2933</v>
      </c>
      <c r="F245" s="98" t="str">
        <f t="shared" si="13"/>
        <v>insert into ins_premium_det (premium_rcv_code,assorted_code, rec_amount,premium_rcv_detail_code,remaining_amt, payrec, mode_code,coinsurance_code,class_cd,it_remarks) values</v>
      </c>
      <c r="G245" s="99" t="str">
        <f t="shared" si="14"/>
        <v>('01Nov240029','070000168971','24179',(select max(to_number(i.premium_rcv_detail_code))+1
from ins_premium_det i),'24179','24179','02', '11000003','00','Request by Mr. Saqib Saleem 01-Nov-2024');</v>
      </c>
      <c r="H245" s="100" t="str">
        <f t="shared" si="15"/>
        <v>insert into ins_premium_det (premium_rcv_code,assorted_code, rec_amount,premium_rcv_detail_code,remaining_amt, payrec, mode_code,coinsurance_code,class_cd,it_remarks) values('01Nov240029','070000168971','24179',(select max(to_number(i.premium_rcv_detail_code))+1
from ins_premium_det i),'24179','24179','02', '11000003','00','Request by Mr. Saqib Saleem 01-Nov-2024');</v>
      </c>
    </row>
    <row r="246" spans="1:8" ht="105">
      <c r="A246" s="65" t="s">
        <v>2349</v>
      </c>
      <c r="B246" s="96" t="str">
        <f>VLOOKUP(A246,policy!B:C,2,0)</f>
        <v>070000168972</v>
      </c>
      <c r="C246" s="66">
        <v>21051</v>
      </c>
      <c r="D246" s="97">
        <f t="shared" si="12"/>
        <v>21051</v>
      </c>
      <c r="E246" s="102" t="s">
        <v>2933</v>
      </c>
      <c r="F246" s="98" t="str">
        <f t="shared" si="13"/>
        <v>insert into ins_premium_det (premium_rcv_code,assorted_code, rec_amount,premium_rcv_detail_code,remaining_amt, payrec, mode_code,coinsurance_code,class_cd,it_remarks) values</v>
      </c>
      <c r="G246" s="99" t="str">
        <f t="shared" si="14"/>
        <v>('01Nov240029','070000168972','21051',(select max(to_number(i.premium_rcv_detail_code))+1
from ins_premium_det i),'21051','21051','02', '11000003','00','Request by Mr. Saqib Saleem 01-Nov-2024');</v>
      </c>
      <c r="H246" s="100" t="str">
        <f t="shared" si="15"/>
        <v>insert into ins_premium_det (premium_rcv_code,assorted_code, rec_amount,premium_rcv_detail_code,remaining_amt, payrec, mode_code,coinsurance_code,class_cd,it_remarks) values('01Nov240029','070000168972','21051',(select max(to_number(i.premium_rcv_detail_code))+1
from ins_premium_det i),'21051','21051','02', '11000003','00','Request by Mr. Saqib Saleem 01-Nov-2024');</v>
      </c>
    </row>
    <row r="247" spans="1:8" ht="105">
      <c r="A247" s="65" t="s">
        <v>2350</v>
      </c>
      <c r="B247" s="96" t="str">
        <f>VLOOKUP(A247,policy!B:C,2,0)</f>
        <v>070000168973</v>
      </c>
      <c r="C247" s="66">
        <v>18537</v>
      </c>
      <c r="D247" s="97">
        <f t="shared" si="12"/>
        <v>18537</v>
      </c>
      <c r="E247" s="102" t="s">
        <v>2933</v>
      </c>
      <c r="F247" s="98" t="str">
        <f t="shared" si="13"/>
        <v>insert into ins_premium_det (premium_rcv_code,assorted_code, rec_amount,premium_rcv_detail_code,remaining_amt, payrec, mode_code,coinsurance_code,class_cd,it_remarks) values</v>
      </c>
      <c r="G247" s="99" t="str">
        <f t="shared" si="14"/>
        <v>('01Nov240029','070000168973','18537',(select max(to_number(i.premium_rcv_detail_code))+1
from ins_premium_det i),'18537','18537','02', '11000003','00','Request by Mr. Saqib Saleem 01-Nov-2024');</v>
      </c>
      <c r="H247" s="100" t="str">
        <f t="shared" si="15"/>
        <v>insert into ins_premium_det (premium_rcv_code,assorted_code, rec_amount,premium_rcv_detail_code,remaining_amt, payrec, mode_code,coinsurance_code,class_cd,it_remarks) values('01Nov240029','070000168973','18537',(select max(to_number(i.premium_rcv_detail_code))+1
from ins_premium_det i),'18537','18537','02', '11000003','00','Request by Mr. Saqib Saleem 01-Nov-2024');</v>
      </c>
    </row>
    <row r="248" spans="1:8" ht="105">
      <c r="A248" s="65" t="s">
        <v>2351</v>
      </c>
      <c r="B248" s="96" t="str">
        <f>VLOOKUP(A248,policy!B:C,2,0)</f>
        <v>070000168974</v>
      </c>
      <c r="C248" s="66">
        <v>35462</v>
      </c>
      <c r="D248" s="97">
        <f t="shared" si="12"/>
        <v>35462</v>
      </c>
      <c r="E248" s="102" t="s">
        <v>2933</v>
      </c>
      <c r="F248" s="98" t="str">
        <f t="shared" si="13"/>
        <v>insert into ins_premium_det (premium_rcv_code,assorted_code, rec_amount,premium_rcv_detail_code,remaining_amt, payrec, mode_code,coinsurance_code,class_cd,it_remarks) values</v>
      </c>
      <c r="G248" s="99" t="str">
        <f t="shared" si="14"/>
        <v>('01Nov240029','070000168974','35462',(select max(to_number(i.premium_rcv_detail_code))+1
from ins_premium_det i),'35462','35462','02', '11000003','00','Request by Mr. Saqib Saleem 01-Nov-2024');</v>
      </c>
      <c r="H248" s="100" t="str">
        <f t="shared" si="15"/>
        <v>insert into ins_premium_det (premium_rcv_code,assorted_code, rec_amount,premium_rcv_detail_code,remaining_amt, payrec, mode_code,coinsurance_code,class_cd,it_remarks) values('01Nov240029','070000168974','35462',(select max(to_number(i.premium_rcv_detail_code))+1
from ins_premium_det i),'35462','35462','02', '11000003','00','Request by Mr. Saqib Saleem 01-Nov-2024');</v>
      </c>
    </row>
    <row r="249" spans="1:8" ht="105">
      <c r="A249" s="65" t="s">
        <v>2352</v>
      </c>
      <c r="B249" s="96" t="str">
        <f>VLOOKUP(A249,policy!B:C,2,0)</f>
        <v>070000168975</v>
      </c>
      <c r="C249" s="66">
        <v>93490</v>
      </c>
      <c r="D249" s="97">
        <f t="shared" si="12"/>
        <v>93490</v>
      </c>
      <c r="E249" s="102" t="s">
        <v>2933</v>
      </c>
      <c r="F249" s="98" t="str">
        <f t="shared" si="13"/>
        <v>insert into ins_premium_det (premium_rcv_code,assorted_code, rec_amount,premium_rcv_detail_code,remaining_amt, payrec, mode_code,coinsurance_code,class_cd,it_remarks) values</v>
      </c>
      <c r="G249" s="99" t="str">
        <f t="shared" si="14"/>
        <v>('01Nov240029','070000168975','93490',(select max(to_number(i.premium_rcv_detail_code))+1
from ins_premium_det i),'93490','93490','02', '11000003','00','Request by Mr. Saqib Saleem 01-Nov-2024');</v>
      </c>
      <c r="H249" s="100" t="str">
        <f t="shared" si="15"/>
        <v>insert into ins_premium_det (premium_rcv_code,assorted_code, rec_amount,premium_rcv_detail_code,remaining_amt, payrec, mode_code,coinsurance_code,class_cd,it_remarks) values('01Nov240029','070000168975','93490',(select max(to_number(i.premium_rcv_detail_code))+1
from ins_premium_det i),'93490','93490','02', '11000003','00','Request by Mr. Saqib Saleem 01-Nov-2024');</v>
      </c>
    </row>
    <row r="250" spans="1:8" ht="105">
      <c r="A250" s="65" t="s">
        <v>2353</v>
      </c>
      <c r="B250" s="96" t="str">
        <f>VLOOKUP(A250,policy!B:C,2,0)</f>
        <v>070000168976</v>
      </c>
      <c r="C250" s="66">
        <v>40298</v>
      </c>
      <c r="D250" s="97">
        <f t="shared" si="12"/>
        <v>40298</v>
      </c>
      <c r="E250" s="102" t="s">
        <v>2933</v>
      </c>
      <c r="F250" s="98" t="str">
        <f t="shared" si="13"/>
        <v>insert into ins_premium_det (premium_rcv_code,assorted_code, rec_amount,premium_rcv_detail_code,remaining_amt, payrec, mode_code,coinsurance_code,class_cd,it_remarks) values</v>
      </c>
      <c r="G250" s="99" t="str">
        <f t="shared" si="14"/>
        <v>('01Nov240029','070000168976','40298',(select max(to_number(i.premium_rcv_detail_code))+1
from ins_premium_det i),'40298','40298','02', '11000003','00','Request by Mr. Saqib Saleem 01-Nov-2024');</v>
      </c>
      <c r="H250" s="100" t="str">
        <f t="shared" si="15"/>
        <v>insert into ins_premium_det (premium_rcv_code,assorted_code, rec_amount,premium_rcv_detail_code,remaining_amt, payrec, mode_code,coinsurance_code,class_cd,it_remarks) values('01Nov240029','070000168976','40298',(select max(to_number(i.premium_rcv_detail_code))+1
from ins_premium_det i),'40298','40298','02', '11000003','00','Request by Mr. Saqib Saleem 01-Nov-2024');</v>
      </c>
    </row>
    <row r="251" spans="1:8" ht="105">
      <c r="A251" s="65" t="s">
        <v>2354</v>
      </c>
      <c r="B251" s="96" t="str">
        <f>VLOOKUP(A251,policy!B:C,2,0)</f>
        <v>070000168977</v>
      </c>
      <c r="C251" s="66">
        <v>46745</v>
      </c>
      <c r="D251" s="97">
        <f t="shared" si="12"/>
        <v>46745</v>
      </c>
      <c r="E251" s="102" t="s">
        <v>2933</v>
      </c>
      <c r="F251" s="98" t="str">
        <f t="shared" si="13"/>
        <v>insert into ins_premium_det (premium_rcv_code,assorted_code, rec_amount,premium_rcv_detail_code,remaining_amt, payrec, mode_code,coinsurance_code,class_cd,it_remarks) values</v>
      </c>
      <c r="G251" s="99" t="str">
        <f t="shared" si="14"/>
        <v>('01Nov240029','070000168977','46745',(select max(to_number(i.premium_rcv_detail_code))+1
from ins_premium_det i),'46745','46745','02', '11000003','00','Request by Mr. Saqib Saleem 01-Nov-2024');</v>
      </c>
      <c r="H251" s="100" t="str">
        <f t="shared" si="15"/>
        <v>insert into ins_premium_det (premium_rcv_code,assorted_code, rec_amount,premium_rcv_detail_code,remaining_amt, payrec, mode_code,coinsurance_code,class_cd,it_remarks) values('01Nov240029','070000168977','46745',(select max(to_number(i.premium_rcv_detail_code))+1
from ins_premium_det i),'46745','46745','02', '11000003','00','Request by Mr. Saqib Saleem 01-Nov-2024');</v>
      </c>
    </row>
    <row r="252" spans="1:8" ht="105">
      <c r="A252" s="65" t="s">
        <v>2355</v>
      </c>
      <c r="B252" s="96" t="str">
        <f>VLOOKUP(A252,policy!B:C,2,0)</f>
        <v>070000168978</v>
      </c>
      <c r="C252" s="66">
        <v>47677</v>
      </c>
      <c r="D252" s="97">
        <f t="shared" si="12"/>
        <v>47677</v>
      </c>
      <c r="E252" s="102" t="s">
        <v>2933</v>
      </c>
      <c r="F252" s="98" t="str">
        <f t="shared" si="13"/>
        <v>insert into ins_premium_det (premium_rcv_code,assorted_code, rec_amount,premium_rcv_detail_code,remaining_amt, payrec, mode_code,coinsurance_code,class_cd,it_remarks) values</v>
      </c>
      <c r="G252" s="99" t="str">
        <f t="shared" si="14"/>
        <v>('01Nov240029','070000168978','47677',(select max(to_number(i.premium_rcv_detail_code))+1
from ins_premium_det i),'47677','47677','02', '11000003','00','Request by Mr. Saqib Saleem 01-Nov-2024');</v>
      </c>
      <c r="H252" s="100" t="str">
        <f t="shared" si="15"/>
        <v>insert into ins_premium_det (premium_rcv_code,assorted_code, rec_amount,premium_rcv_detail_code,remaining_amt, payrec, mode_code,coinsurance_code,class_cd,it_remarks) values('01Nov240029','070000168978','47677',(select max(to_number(i.premium_rcv_detail_code))+1
from ins_premium_det i),'47677','47677','02', '11000003','00','Request by Mr. Saqib Saleem 01-Nov-2024');</v>
      </c>
    </row>
    <row r="253" spans="1:8" ht="105">
      <c r="A253" s="65" t="s">
        <v>2356</v>
      </c>
      <c r="B253" s="96" t="str">
        <f>VLOOKUP(A253,policy!B:C,2,0)</f>
        <v>070000168979</v>
      </c>
      <c r="C253" s="66">
        <v>70924</v>
      </c>
      <c r="D253" s="97">
        <f t="shared" si="12"/>
        <v>70924</v>
      </c>
      <c r="E253" s="102" t="s">
        <v>2933</v>
      </c>
      <c r="F253" s="98" t="str">
        <f t="shared" si="13"/>
        <v>insert into ins_premium_det (premium_rcv_code,assorted_code, rec_amount,premium_rcv_detail_code,remaining_amt, payrec, mode_code,coinsurance_code,class_cd,it_remarks) values</v>
      </c>
      <c r="G253" s="99" t="str">
        <f t="shared" si="14"/>
        <v>('01Nov240029','070000168979','70924',(select max(to_number(i.premium_rcv_detail_code))+1
from ins_premium_det i),'70924','70924','02', '11000003','00','Request by Mr. Saqib Saleem 01-Nov-2024');</v>
      </c>
      <c r="H253" s="100" t="str">
        <f t="shared" si="15"/>
        <v>insert into ins_premium_det (premium_rcv_code,assorted_code, rec_amount,premium_rcv_detail_code,remaining_amt, payrec, mode_code,coinsurance_code,class_cd,it_remarks) values('01Nov240029','070000168979','70924',(select max(to_number(i.premium_rcv_detail_code))+1
from ins_premium_det i),'70924','70924','02', '11000003','00','Request by Mr. Saqib Saleem 01-Nov-2024');</v>
      </c>
    </row>
    <row r="254" spans="1:8" ht="105">
      <c r="A254" s="65" t="s">
        <v>2357</v>
      </c>
      <c r="B254" s="96" t="str">
        <f>VLOOKUP(A254,policy!B:C,2,0)</f>
        <v>070000168980</v>
      </c>
      <c r="C254" s="66">
        <v>55127</v>
      </c>
      <c r="D254" s="97">
        <f t="shared" si="12"/>
        <v>55127</v>
      </c>
      <c r="E254" s="102" t="s">
        <v>2933</v>
      </c>
      <c r="F254" s="98" t="str">
        <f t="shared" si="13"/>
        <v>insert into ins_premium_det (premium_rcv_code,assorted_code, rec_amount,premium_rcv_detail_code,remaining_amt, payrec, mode_code,coinsurance_code,class_cd,it_remarks) values</v>
      </c>
      <c r="G254" s="99" t="str">
        <f t="shared" si="14"/>
        <v>('01Nov240029','070000168980','55127',(select max(to_number(i.premium_rcv_detail_code))+1
from ins_premium_det i),'55127','55127','02', '11000003','00','Request by Mr. Saqib Saleem 01-Nov-2024');</v>
      </c>
      <c r="H254" s="100" t="str">
        <f t="shared" si="15"/>
        <v>insert into ins_premium_det (premium_rcv_code,assorted_code, rec_amount,premium_rcv_detail_code,remaining_amt, payrec, mode_code,coinsurance_code,class_cd,it_remarks) values('01Nov240029','070000168980','55127',(select max(to_number(i.premium_rcv_detail_code))+1
from ins_premium_det i),'55127','55127','02', '11000003','00','Request by Mr. Saqib Saleem 01-Nov-2024');</v>
      </c>
    </row>
    <row r="255" spans="1:8" ht="105">
      <c r="A255" s="65" t="s">
        <v>2358</v>
      </c>
      <c r="B255" s="96" t="str">
        <f>VLOOKUP(A255,policy!B:C,2,0)</f>
        <v>070000168981</v>
      </c>
      <c r="C255" s="66">
        <v>38686</v>
      </c>
      <c r="D255" s="97">
        <f t="shared" si="12"/>
        <v>38686</v>
      </c>
      <c r="E255" s="102" t="s">
        <v>2933</v>
      </c>
      <c r="F255" s="98" t="str">
        <f t="shared" si="13"/>
        <v>insert into ins_premium_det (premium_rcv_code,assorted_code, rec_amount,premium_rcv_detail_code,remaining_amt, payrec, mode_code,coinsurance_code,class_cd,it_remarks) values</v>
      </c>
      <c r="G255" s="99" t="str">
        <f t="shared" si="14"/>
        <v>('01Nov240029','070000168981','38686',(select max(to_number(i.premium_rcv_detail_code))+1
from ins_premium_det i),'38686','38686','02', '11000003','00','Request by Mr. Saqib Saleem 01-Nov-2024');</v>
      </c>
      <c r="H255" s="100" t="str">
        <f t="shared" si="15"/>
        <v>insert into ins_premium_det (premium_rcv_code,assorted_code, rec_amount,premium_rcv_detail_code,remaining_amt, payrec, mode_code,coinsurance_code,class_cd,it_remarks) values('01Nov240029','070000168981','38686',(select max(to_number(i.premium_rcv_detail_code))+1
from ins_premium_det i),'38686','38686','02', '11000003','00','Request by Mr. Saqib Saleem 01-Nov-2024');</v>
      </c>
    </row>
    <row r="256" spans="1:8" ht="105">
      <c r="A256" s="65" t="s">
        <v>2359</v>
      </c>
      <c r="B256" s="96" t="str">
        <f>VLOOKUP(A256,policy!B:C,2,0)</f>
        <v>070000168982</v>
      </c>
      <c r="C256" s="66">
        <v>41329</v>
      </c>
      <c r="D256" s="97">
        <f t="shared" si="12"/>
        <v>41329</v>
      </c>
      <c r="E256" s="102" t="s">
        <v>2933</v>
      </c>
      <c r="F256" s="98" t="str">
        <f t="shared" si="13"/>
        <v>insert into ins_premium_det (premium_rcv_code,assorted_code, rec_amount,premium_rcv_detail_code,remaining_amt, payrec, mode_code,coinsurance_code,class_cd,it_remarks) values</v>
      </c>
      <c r="G256" s="99" t="str">
        <f t="shared" si="14"/>
        <v>('01Nov240029','070000168982','41329',(select max(to_number(i.premium_rcv_detail_code))+1
from ins_premium_det i),'41329','41329','02', '11000003','00','Request by Mr. Saqib Saleem 01-Nov-2024');</v>
      </c>
      <c r="H256" s="100" t="str">
        <f t="shared" si="15"/>
        <v>insert into ins_premium_det (premium_rcv_code,assorted_code, rec_amount,premium_rcv_detail_code,remaining_amt, payrec, mode_code,coinsurance_code,class_cd,it_remarks) values('01Nov240029','070000168982','41329',(select max(to_number(i.premium_rcv_detail_code))+1
from ins_premium_det i),'41329','41329','02', '11000003','00','Request by Mr. Saqib Saleem 01-Nov-2024');</v>
      </c>
    </row>
    <row r="257" spans="1:8" ht="105">
      <c r="A257" s="65" t="s">
        <v>2360</v>
      </c>
      <c r="B257" s="96" t="str">
        <f>VLOOKUP(A257,policy!B:C,2,0)</f>
        <v>070000168983</v>
      </c>
      <c r="C257" s="66">
        <v>69312</v>
      </c>
      <c r="D257" s="97">
        <f t="shared" si="12"/>
        <v>69312</v>
      </c>
      <c r="E257" s="102" t="s">
        <v>2933</v>
      </c>
      <c r="F257" s="98" t="str">
        <f t="shared" si="13"/>
        <v>insert into ins_premium_det (premium_rcv_code,assorted_code, rec_amount,premium_rcv_detail_code,remaining_amt, payrec, mode_code,coinsurance_code,class_cd,it_remarks) values</v>
      </c>
      <c r="G257" s="99" t="str">
        <f t="shared" si="14"/>
        <v>('01Nov240029','070000168983','69312',(select max(to_number(i.premium_rcv_detail_code))+1
from ins_premium_det i),'69312','69312','02', '11000003','00','Request by Mr. Saqib Saleem 01-Nov-2024');</v>
      </c>
      <c r="H257" s="100" t="str">
        <f t="shared" si="15"/>
        <v>insert into ins_premium_det (premium_rcv_code,assorted_code, rec_amount,premium_rcv_detail_code,remaining_amt, payrec, mode_code,coinsurance_code,class_cd,it_remarks) values('01Nov240029','070000168983','69312',(select max(to_number(i.premium_rcv_detail_code))+1
from ins_premium_det i),'69312','69312','02', '11000003','00','Request by Mr. Saqib Saleem 01-Nov-2024');</v>
      </c>
    </row>
    <row r="258" spans="1:8" ht="105">
      <c r="A258" s="65" t="s">
        <v>2361</v>
      </c>
      <c r="B258" s="96" t="str">
        <f>VLOOKUP(A258,policy!B:C,2,0)</f>
        <v>070000168984</v>
      </c>
      <c r="C258" s="66">
        <v>26999</v>
      </c>
      <c r="D258" s="97">
        <f t="shared" ref="D258:D274" si="16">ROUND(C258,0)</f>
        <v>26999</v>
      </c>
      <c r="E258" s="102" t="s">
        <v>2933</v>
      </c>
      <c r="F258" s="98" t="str">
        <f t="shared" ref="F258:F274" si="17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99" t="str">
        <f t="shared" si="14"/>
        <v>('01Nov240029','070000168984','26999',(select max(to_number(i.premium_rcv_detail_code))+1
from ins_premium_det i),'26999','26999','02', '11000003','00','Request by Mr. Saqib Saleem 01-Nov-2024');</v>
      </c>
      <c r="H258" s="100" t="str">
        <f t="shared" si="15"/>
        <v>insert into ins_premium_det (premium_rcv_code,assorted_code, rec_amount,premium_rcv_detail_code,remaining_amt, payrec, mode_code,coinsurance_code,class_cd,it_remarks) values('01Nov240029','070000168984','26999',(select max(to_number(i.premium_rcv_detail_code))+1
from ins_premium_det i),'26999','26999','02', '11000003','00','Request by Mr. Saqib Saleem 01-Nov-2024');</v>
      </c>
    </row>
    <row r="259" spans="1:8" ht="105">
      <c r="A259" s="65" t="s">
        <v>2362</v>
      </c>
      <c r="B259" s="96" t="str">
        <f>VLOOKUP(A259,policy!B:C,2,0)</f>
        <v>070000168985</v>
      </c>
      <c r="C259" s="66">
        <v>74873</v>
      </c>
      <c r="D259" s="97">
        <f t="shared" si="16"/>
        <v>74873</v>
      </c>
      <c r="E259" s="102" t="s">
        <v>2933</v>
      </c>
      <c r="F259" s="98" t="str">
        <f t="shared" si="17"/>
        <v>insert into ins_premium_det (premium_rcv_code,assorted_code, rec_amount,premium_rcv_detail_code,remaining_amt, payrec, mode_code,coinsurance_code,class_cd,it_remarks) values</v>
      </c>
      <c r="G259" s="99" t="str">
        <f t="shared" ref="G259:G274" si="18">"('"&amp;E259&amp;"','"&amp;B259&amp;"','"&amp;D259&amp;"',(select max(to_number(i.premium_rcv_detail_code))+1
from ins_premium_det i),'"&amp;D259&amp;"','"&amp;D259&amp;"','02', '11000003','00','Request by Mr. Saqib Saleem 01-Nov-2024');"</f>
        <v>('01Nov240029','070000168985','74873',(select max(to_number(i.premium_rcv_detail_code))+1
from ins_premium_det i),'74873','74873','02', '11000003','00','Request by Mr. Saqib Saleem 01-Nov-2024');</v>
      </c>
      <c r="H259" s="100" t="str">
        <f t="shared" ref="H259:H274" si="19">F259&amp;G259</f>
        <v>insert into ins_premium_det (premium_rcv_code,assorted_code, rec_amount,premium_rcv_detail_code,remaining_amt, payrec, mode_code,coinsurance_code,class_cd,it_remarks) values('01Nov240029','070000168985','74873',(select max(to_number(i.premium_rcv_detail_code))+1
from ins_premium_det i),'74873','74873','02', '11000003','00','Request by Mr. Saqib Saleem 01-Nov-2024');</v>
      </c>
    </row>
    <row r="260" spans="1:8" ht="105">
      <c r="A260" s="65" t="s">
        <v>2363</v>
      </c>
      <c r="B260" s="96" t="str">
        <f>VLOOKUP(A260,policy!B:C,2,0)</f>
        <v>070000168986</v>
      </c>
      <c r="C260" s="66">
        <v>27402</v>
      </c>
      <c r="D260" s="97">
        <f t="shared" si="16"/>
        <v>27402</v>
      </c>
      <c r="E260" s="102" t="s">
        <v>2933</v>
      </c>
      <c r="F260" s="98" t="str">
        <f t="shared" si="17"/>
        <v>insert into ins_premium_det (premium_rcv_code,assorted_code, rec_amount,premium_rcv_detail_code,remaining_amt, payrec, mode_code,coinsurance_code,class_cd,it_remarks) values</v>
      </c>
      <c r="G260" s="99" t="str">
        <f t="shared" si="18"/>
        <v>('01Nov240029','070000168986','27402',(select max(to_number(i.premium_rcv_detail_code))+1
from ins_premium_det i),'27402','27402','02', '11000003','00','Request by Mr. Saqib Saleem 01-Nov-2024');</v>
      </c>
      <c r="H260" s="100" t="str">
        <f t="shared" si="19"/>
        <v>insert into ins_premium_det (premium_rcv_code,assorted_code, rec_amount,premium_rcv_detail_code,remaining_amt, payrec, mode_code,coinsurance_code,class_cd,it_remarks) values('01Nov240029','070000168986','27402',(select max(to_number(i.premium_rcv_detail_code))+1
from ins_premium_det i),'27402','27402','02', '11000003','00','Request by Mr. Saqib Saleem 01-Nov-2024');</v>
      </c>
    </row>
    <row r="261" spans="1:8" ht="105">
      <c r="A261" s="65" t="s">
        <v>2364</v>
      </c>
      <c r="B261" s="96" t="str">
        <f>VLOOKUP(A261,policy!B:C,2,0)</f>
        <v>070000168987</v>
      </c>
      <c r="C261" s="66">
        <v>30400</v>
      </c>
      <c r="D261" s="97">
        <f t="shared" si="16"/>
        <v>30400</v>
      </c>
      <c r="E261" s="102" t="s">
        <v>2933</v>
      </c>
      <c r="F261" s="98" t="str">
        <f t="shared" si="17"/>
        <v>insert into ins_premium_det (premium_rcv_code,assorted_code, rec_amount,premium_rcv_detail_code,remaining_amt, payrec, mode_code,coinsurance_code,class_cd,it_remarks) values</v>
      </c>
      <c r="G261" s="99" t="str">
        <f t="shared" si="18"/>
        <v>('01Nov240029','070000168987','30400',(select max(to_number(i.premium_rcv_detail_code))+1
from ins_premium_det i),'30400','30400','02', '11000003','00','Request by Mr. Saqib Saleem 01-Nov-2024');</v>
      </c>
      <c r="H261" s="100" t="str">
        <f t="shared" si="19"/>
        <v>insert into ins_premium_det (premium_rcv_code,assorted_code, rec_amount,premium_rcv_detail_code,remaining_amt, payrec, mode_code,coinsurance_code,class_cd,it_remarks) values('01Nov240029','070000168987','30400',(select max(to_number(i.premium_rcv_detail_code))+1
from ins_premium_det i),'30400','30400','02', '11000003','00','Request by Mr. Saqib Saleem 01-Nov-2024');</v>
      </c>
    </row>
    <row r="262" spans="1:8" ht="105">
      <c r="A262" s="65" t="s">
        <v>2365</v>
      </c>
      <c r="B262" s="96" t="str">
        <f>VLOOKUP(A262,policy!B:C,2,0)</f>
        <v>070000168988</v>
      </c>
      <c r="C262" s="66">
        <v>31432</v>
      </c>
      <c r="D262" s="97">
        <f t="shared" si="16"/>
        <v>31432</v>
      </c>
      <c r="E262" s="102" t="s">
        <v>2933</v>
      </c>
      <c r="F262" s="98" t="str">
        <f t="shared" si="17"/>
        <v>insert into ins_premium_det (premium_rcv_code,assorted_code, rec_amount,premium_rcv_detail_code,remaining_amt, payrec, mode_code,coinsurance_code,class_cd,it_remarks) values</v>
      </c>
      <c r="G262" s="99" t="str">
        <f t="shared" si="18"/>
        <v>('01Nov240029','070000168988','31432',(select max(to_number(i.premium_rcv_detail_code))+1
from ins_premium_det i),'31432','31432','02', '11000003','00','Request by Mr. Saqib Saleem 01-Nov-2024');</v>
      </c>
      <c r="H262" s="100" t="str">
        <f t="shared" si="19"/>
        <v>insert into ins_premium_det (premium_rcv_code,assorted_code, rec_amount,premium_rcv_detail_code,remaining_amt, payrec, mode_code,coinsurance_code,class_cd,it_remarks) values('01Nov240029','070000168988','31432',(select max(to_number(i.premium_rcv_detail_code))+1
from ins_premium_det i),'31432','31432','02', '11000003','00','Request by Mr. Saqib Saleem 01-Nov-2024');</v>
      </c>
    </row>
    <row r="263" spans="1:8" ht="105">
      <c r="A263" s="65" t="s">
        <v>2366</v>
      </c>
      <c r="B263" s="96" t="str">
        <f>VLOOKUP(A263,policy!B:C,2,0)</f>
        <v>070000168989</v>
      </c>
      <c r="C263" s="66">
        <v>31432</v>
      </c>
      <c r="D263" s="97">
        <f t="shared" si="16"/>
        <v>31432</v>
      </c>
      <c r="E263" s="102" t="s">
        <v>2933</v>
      </c>
      <c r="F263" s="98" t="str">
        <f t="shared" si="17"/>
        <v>insert into ins_premium_det (premium_rcv_code,assorted_code, rec_amount,premium_rcv_detail_code,remaining_amt, payrec, mode_code,coinsurance_code,class_cd,it_remarks) values</v>
      </c>
      <c r="G263" s="99" t="str">
        <f t="shared" si="18"/>
        <v>('01Nov240029','070000168989','31432',(select max(to_number(i.premium_rcv_detail_code))+1
from ins_premium_det i),'31432','31432','02', '11000003','00','Request by Mr. Saqib Saleem 01-Nov-2024');</v>
      </c>
      <c r="H263" s="100" t="str">
        <f t="shared" si="19"/>
        <v>insert into ins_premium_det (premium_rcv_code,assorted_code, rec_amount,premium_rcv_detail_code,remaining_amt, payrec, mode_code,coinsurance_code,class_cd,it_remarks) values('01Nov240029','070000168989','31432',(select max(to_number(i.premium_rcv_detail_code))+1
from ins_premium_det i),'31432','31432','02', '11000003','00','Request by Mr. Saqib Saleem 01-Nov-2024');</v>
      </c>
    </row>
    <row r="264" spans="1:8" ht="105">
      <c r="A264" s="65" t="s">
        <v>2367</v>
      </c>
      <c r="B264" s="96" t="str">
        <f>VLOOKUP(A264,policy!B:C,2,0)</f>
        <v>070000168990</v>
      </c>
      <c r="C264" s="66">
        <v>75680</v>
      </c>
      <c r="D264" s="97">
        <f t="shared" si="16"/>
        <v>75680</v>
      </c>
      <c r="E264" s="102" t="s">
        <v>2933</v>
      </c>
      <c r="F264" s="98" t="str">
        <f t="shared" si="17"/>
        <v>insert into ins_premium_det (premium_rcv_code,assorted_code, rec_amount,premium_rcv_detail_code,remaining_amt, payrec, mode_code,coinsurance_code,class_cd,it_remarks) values</v>
      </c>
      <c r="G264" s="99" t="str">
        <f t="shared" si="18"/>
        <v>('01Nov240029','070000168990','75680',(select max(to_number(i.premium_rcv_detail_code))+1
from ins_premium_det i),'75680','75680','02', '11000003','00','Request by Mr. Saqib Saleem 01-Nov-2024');</v>
      </c>
      <c r="H264" s="100" t="str">
        <f t="shared" si="19"/>
        <v>insert into ins_premium_det (premium_rcv_code,assorted_code, rec_amount,premium_rcv_detail_code,remaining_amt, payrec, mode_code,coinsurance_code,class_cd,it_remarks) values('01Nov240029','070000168990','75680',(select max(to_number(i.premium_rcv_detail_code))+1
from ins_premium_det i),'75680','75680','02', '11000003','00','Request by Mr. Saqib Saleem 01-Nov-2024');</v>
      </c>
    </row>
    <row r="265" spans="1:8" ht="105">
      <c r="A265" s="65" t="s">
        <v>2368</v>
      </c>
      <c r="B265" s="96" t="str">
        <f>VLOOKUP(A265,policy!B:C,2,0)</f>
        <v>070000168991</v>
      </c>
      <c r="C265" s="66">
        <v>85431</v>
      </c>
      <c r="D265" s="97">
        <f t="shared" si="16"/>
        <v>85431</v>
      </c>
      <c r="E265" s="102" t="s">
        <v>2933</v>
      </c>
      <c r="F265" s="98" t="str">
        <f t="shared" si="17"/>
        <v>insert into ins_premium_det (premium_rcv_code,assorted_code, rec_amount,premium_rcv_detail_code,remaining_amt, payrec, mode_code,coinsurance_code,class_cd,it_remarks) values</v>
      </c>
      <c r="G265" s="99" t="str">
        <f t="shared" si="18"/>
        <v>('01Nov240029','070000168991','85431',(select max(to_number(i.premium_rcv_detail_code))+1
from ins_premium_det i),'85431','85431','02', '11000003','00','Request by Mr. Saqib Saleem 01-Nov-2024');</v>
      </c>
      <c r="H265" s="100" t="str">
        <f t="shared" si="19"/>
        <v>insert into ins_premium_det (premium_rcv_code,assorted_code, rec_amount,premium_rcv_detail_code,remaining_amt, payrec, mode_code,coinsurance_code,class_cd,it_remarks) values('01Nov240029','070000168991','85431',(select max(to_number(i.premium_rcv_detail_code))+1
from ins_premium_det i),'85431','85431','02', '11000003','00','Request by Mr. Saqib Saleem 01-Nov-2024');</v>
      </c>
    </row>
    <row r="266" spans="1:8" ht="105">
      <c r="A266" s="65" t="s">
        <v>2369</v>
      </c>
      <c r="B266" s="96" t="str">
        <f>VLOOKUP(A266,policy!B:C,2,0)</f>
        <v>070000168992</v>
      </c>
      <c r="C266" s="66">
        <v>31432</v>
      </c>
      <c r="D266" s="97">
        <f t="shared" si="16"/>
        <v>31432</v>
      </c>
      <c r="E266" s="102" t="s">
        <v>2933</v>
      </c>
      <c r="F266" s="98" t="str">
        <f t="shared" si="17"/>
        <v>insert into ins_premium_det (premium_rcv_code,assorted_code, rec_amount,premium_rcv_detail_code,remaining_amt, payrec, mode_code,coinsurance_code,class_cd,it_remarks) values</v>
      </c>
      <c r="G266" s="99" t="str">
        <f t="shared" si="18"/>
        <v>('01Nov240029','070000168992','31432',(select max(to_number(i.premium_rcv_detail_code))+1
from ins_premium_det i),'31432','31432','02', '11000003','00','Request by Mr. Saqib Saleem 01-Nov-2024');</v>
      </c>
      <c r="H266" s="100" t="str">
        <f t="shared" si="19"/>
        <v>insert into ins_premium_det (premium_rcv_code,assorted_code, rec_amount,premium_rcv_detail_code,remaining_amt, payrec, mode_code,coinsurance_code,class_cd,it_remarks) values('01Nov240029','070000168992','31432',(select max(to_number(i.premium_rcv_detail_code))+1
from ins_premium_det i),'31432','31432','02', '11000003','00','Request by Mr. Saqib Saleem 01-Nov-2024');</v>
      </c>
    </row>
    <row r="267" spans="1:8" ht="105">
      <c r="A267" s="65" t="s">
        <v>2370</v>
      </c>
      <c r="B267" s="96" t="str">
        <f>VLOOKUP(A267,policy!B:C,2,0)</f>
        <v>070000168993</v>
      </c>
      <c r="C267" s="66">
        <v>33850</v>
      </c>
      <c r="D267" s="97">
        <f t="shared" si="16"/>
        <v>33850</v>
      </c>
      <c r="E267" s="102" t="s">
        <v>2933</v>
      </c>
      <c r="F267" s="98" t="str">
        <f t="shared" si="17"/>
        <v>insert into ins_premium_det (premium_rcv_code,assorted_code, rec_amount,premium_rcv_detail_code,remaining_amt, payrec, mode_code,coinsurance_code,class_cd,it_remarks) values</v>
      </c>
      <c r="G267" s="99" t="str">
        <f t="shared" si="18"/>
        <v>('01Nov240029','070000168993','33850',(select max(to_number(i.premium_rcv_detail_code))+1
from ins_premium_det i),'33850','33850','02', '11000003','00','Request by Mr. Saqib Saleem 01-Nov-2024');</v>
      </c>
      <c r="H267" s="100" t="str">
        <f t="shared" si="19"/>
        <v>insert into ins_premium_det (premium_rcv_code,assorted_code, rec_amount,premium_rcv_detail_code,remaining_amt, payrec, mode_code,coinsurance_code,class_cd,it_remarks) values('01Nov240029','070000168993','33850',(select max(to_number(i.premium_rcv_detail_code))+1
from ins_premium_det i),'33850','33850','02', '11000003','00','Request by Mr. Saqib Saleem 01-Nov-2024');</v>
      </c>
    </row>
    <row r="268" spans="1:8" ht="105">
      <c r="A268" s="65" t="s">
        <v>2371</v>
      </c>
      <c r="B268" s="96" t="str">
        <f>VLOOKUP(A268,policy!B:C,2,0)</f>
        <v>070000168994</v>
      </c>
      <c r="C268" s="66">
        <v>26999</v>
      </c>
      <c r="D268" s="97">
        <f t="shared" si="16"/>
        <v>26999</v>
      </c>
      <c r="E268" s="102" t="s">
        <v>2933</v>
      </c>
      <c r="F268" s="98" t="str">
        <f t="shared" si="17"/>
        <v>insert into ins_premium_det (premium_rcv_code,assorted_code, rec_amount,premium_rcv_detail_code,remaining_amt, payrec, mode_code,coinsurance_code,class_cd,it_remarks) values</v>
      </c>
      <c r="G268" s="99" t="str">
        <f t="shared" si="18"/>
        <v>('01Nov240029','070000168994','26999',(select max(to_number(i.premium_rcv_detail_code))+1
from ins_premium_det i),'26999','26999','02', '11000003','00','Request by Mr. Saqib Saleem 01-Nov-2024');</v>
      </c>
      <c r="H268" s="100" t="str">
        <f t="shared" si="19"/>
        <v>insert into ins_premium_det (premium_rcv_code,assorted_code, rec_amount,premium_rcv_detail_code,remaining_amt, payrec, mode_code,coinsurance_code,class_cd,it_remarks) values('01Nov240029','070000168994','26999',(select max(to_number(i.premium_rcv_detail_code))+1
from ins_premium_det i),'26999','26999','02', '11000003','00','Request by Mr. Saqib Saleem 01-Nov-2024');</v>
      </c>
    </row>
    <row r="269" spans="1:8" ht="105">
      <c r="A269" s="65" t="s">
        <v>2372</v>
      </c>
      <c r="B269" s="96" t="str">
        <f>VLOOKUP(A269,policy!B:C,2,0)</f>
        <v>070000168995</v>
      </c>
      <c r="C269" s="66">
        <v>30626</v>
      </c>
      <c r="D269" s="97">
        <f t="shared" si="16"/>
        <v>30626</v>
      </c>
      <c r="E269" s="102" t="s">
        <v>2933</v>
      </c>
      <c r="F269" s="98" t="str">
        <f t="shared" si="17"/>
        <v>insert into ins_premium_det (premium_rcv_code,assorted_code, rec_amount,premium_rcv_detail_code,remaining_amt, payrec, mode_code,coinsurance_code,class_cd,it_remarks) values</v>
      </c>
      <c r="G269" s="99" t="str">
        <f t="shared" si="18"/>
        <v>('01Nov240029','070000168995','30626',(select max(to_number(i.premium_rcv_detail_code))+1
from ins_premium_det i),'30626','30626','02', '11000003','00','Request by Mr. Saqib Saleem 01-Nov-2024');</v>
      </c>
      <c r="H269" s="100" t="str">
        <f t="shared" si="19"/>
        <v>insert into ins_premium_det (premium_rcv_code,assorted_code, rec_amount,premium_rcv_detail_code,remaining_amt, payrec, mode_code,coinsurance_code,class_cd,it_remarks) values('01Nov240029','070000168995','30626',(select max(to_number(i.premium_rcv_detail_code))+1
from ins_premium_det i),'30626','30626','02', '11000003','00','Request by Mr. Saqib Saleem 01-Nov-2024');</v>
      </c>
    </row>
    <row r="270" spans="1:8" ht="105">
      <c r="A270" s="65" t="s">
        <v>2373</v>
      </c>
      <c r="B270" s="96" t="str">
        <f>VLOOKUP(A270,policy!B:C,2,0)</f>
        <v>070000168996</v>
      </c>
      <c r="C270" s="66">
        <v>17731</v>
      </c>
      <c r="D270" s="97">
        <f t="shared" si="16"/>
        <v>17731</v>
      </c>
      <c r="E270" s="102" t="s">
        <v>2933</v>
      </c>
      <c r="F270" s="98" t="str">
        <f t="shared" si="17"/>
        <v>insert into ins_premium_det (premium_rcv_code,assorted_code, rec_amount,premium_rcv_detail_code,remaining_amt, payrec, mode_code,coinsurance_code,class_cd,it_remarks) values</v>
      </c>
      <c r="G270" s="99" t="str">
        <f t="shared" si="18"/>
        <v>('01Nov240029','070000168996','17731',(select max(to_number(i.premium_rcv_detail_code))+1
from ins_premium_det i),'17731','17731','02', '11000003','00','Request by Mr. Saqib Saleem 01-Nov-2024');</v>
      </c>
      <c r="H270" s="100" t="str">
        <f t="shared" si="19"/>
        <v>insert into ins_premium_det (premium_rcv_code,assorted_code, rec_amount,premium_rcv_detail_code,remaining_amt, payrec, mode_code,coinsurance_code,class_cd,it_remarks) values('01Nov240029','070000168996','17731',(select max(to_number(i.premium_rcv_detail_code))+1
from ins_premium_det i),'17731','17731','02', '11000003','00','Request by Mr. Saqib Saleem 01-Nov-2024');</v>
      </c>
    </row>
    <row r="271" spans="1:8" ht="105">
      <c r="A271" s="65" t="s">
        <v>2374</v>
      </c>
      <c r="B271" s="96" t="str">
        <f>VLOOKUP(A271,policy!B:C,2,0)</f>
        <v>070000168997</v>
      </c>
      <c r="C271" s="66">
        <v>125846</v>
      </c>
      <c r="D271" s="97">
        <f t="shared" si="16"/>
        <v>125846</v>
      </c>
      <c r="E271" s="102" t="s">
        <v>2933</v>
      </c>
      <c r="F271" s="98" t="str">
        <f t="shared" si="17"/>
        <v>insert into ins_premium_det (premium_rcv_code,assorted_code, rec_amount,premium_rcv_detail_code,remaining_amt, payrec, mode_code,coinsurance_code,class_cd,it_remarks) values</v>
      </c>
      <c r="G271" s="99" t="str">
        <f t="shared" si="18"/>
        <v>('01Nov240029','070000168997','125846',(select max(to_number(i.premium_rcv_detail_code))+1
from ins_premium_det i),'125846','125846','02', '11000003','00','Request by Mr. Saqib Saleem 01-Nov-2024');</v>
      </c>
      <c r="H271" s="100" t="str">
        <f t="shared" si="19"/>
        <v>insert into ins_premium_det (premium_rcv_code,assorted_code, rec_amount,premium_rcv_detail_code,remaining_amt, payrec, mode_code,coinsurance_code,class_cd,it_remarks) values('01Nov240029','070000168997','125846',(select max(to_number(i.premium_rcv_detail_code))+1
from ins_premium_det i),'125846','125846','02', '11000003','00','Request by Mr. Saqib Saleem 01-Nov-2024');</v>
      </c>
    </row>
    <row r="272" spans="1:8" ht="105">
      <c r="A272" s="68" t="s">
        <v>2108</v>
      </c>
      <c r="B272" s="96" t="str">
        <f>VLOOKUP(A272,policy!B:C,2,0)</f>
        <v>070000168998</v>
      </c>
      <c r="C272" s="66">
        <v>243577</v>
      </c>
      <c r="D272" s="97">
        <f t="shared" si="16"/>
        <v>243577</v>
      </c>
      <c r="E272" s="102" t="s">
        <v>2933</v>
      </c>
      <c r="F272" s="98" t="str">
        <f t="shared" si="17"/>
        <v>insert into ins_premium_det (premium_rcv_code,assorted_code, rec_amount,premium_rcv_detail_code,remaining_amt, payrec, mode_code,coinsurance_code,class_cd,it_remarks) values</v>
      </c>
      <c r="G272" s="99" t="str">
        <f t="shared" si="18"/>
        <v>('01Nov240029','070000168998','243577',(select max(to_number(i.premium_rcv_detail_code))+1
from ins_premium_det i),'243577','243577','02', '11000003','00','Request by Mr. Saqib Saleem 01-Nov-2024');</v>
      </c>
      <c r="H272" s="100" t="str">
        <f t="shared" si="19"/>
        <v>insert into ins_premium_det (premium_rcv_code,assorted_code, rec_amount,premium_rcv_detail_code,remaining_amt, payrec, mode_code,coinsurance_code,class_cd,it_remarks) values('01Nov240029','070000168998','243577',(select max(to_number(i.premium_rcv_detail_code))+1
from ins_premium_det i),'243577','243577','02', '11000003','00','Request by Mr. Saqib Saleem 01-Nov-2024');</v>
      </c>
    </row>
    <row r="273" spans="1:8" ht="105">
      <c r="A273" s="65" t="s">
        <v>2375</v>
      </c>
      <c r="B273" s="96" t="str">
        <f>VLOOKUP(A273,policy!B:C,2,0)</f>
        <v>070000168999</v>
      </c>
      <c r="C273" s="66">
        <v>234720</v>
      </c>
      <c r="D273" s="97">
        <f t="shared" si="16"/>
        <v>234720</v>
      </c>
      <c r="E273" s="102" t="s">
        <v>2933</v>
      </c>
      <c r="F273" s="98" t="str">
        <f t="shared" si="17"/>
        <v>insert into ins_premium_det (premium_rcv_code,assorted_code, rec_amount,premium_rcv_detail_code,remaining_amt, payrec, mode_code,coinsurance_code,class_cd,it_remarks) values</v>
      </c>
      <c r="G273" s="99" t="str">
        <f t="shared" si="18"/>
        <v>('01Nov240029','070000168999','234720',(select max(to_number(i.premium_rcv_detail_code))+1
from ins_premium_det i),'234720','234720','02', '11000003','00','Request by Mr. Saqib Saleem 01-Nov-2024');</v>
      </c>
      <c r="H273" s="100" t="str">
        <f t="shared" si="19"/>
        <v>insert into ins_premium_det (premium_rcv_code,assorted_code, rec_amount,premium_rcv_detail_code,remaining_amt, payrec, mode_code,coinsurance_code,class_cd,it_remarks) values('01Nov240029','070000168999','234720',(select max(to_number(i.premium_rcv_detail_code))+1
from ins_premium_det i),'234720','234720','02', '11000003','00','Request by Mr. Saqib Saleem 01-Nov-2024');</v>
      </c>
    </row>
    <row r="274" spans="1:8" ht="105">
      <c r="A274" s="68" t="s">
        <v>51</v>
      </c>
      <c r="B274" s="101" t="s">
        <v>2932</v>
      </c>
      <c r="C274" s="66">
        <v>297000</v>
      </c>
      <c r="D274" s="97">
        <f t="shared" si="16"/>
        <v>297000</v>
      </c>
      <c r="E274" s="102" t="s">
        <v>2933</v>
      </c>
      <c r="F274" s="98" t="str">
        <f t="shared" si="17"/>
        <v>insert into ins_premium_det (premium_rcv_code,assorted_code, rec_amount,premium_rcv_detail_code,remaining_amt, payrec, mode_code,coinsurance_code,class_cd,it_remarks) values</v>
      </c>
      <c r="G274" s="99" t="str">
        <f t="shared" si="18"/>
        <v>('01Nov240029','040000187295','297000',(select max(to_number(i.premium_rcv_detail_code))+1
from ins_premium_det i),'297000','297000','02', '11000003','00','Request by Mr. Saqib Saleem 01-Nov-2024');</v>
      </c>
      <c r="H274" s="100" t="str">
        <f t="shared" si="19"/>
        <v>insert into ins_premium_det (premium_rcv_code,assorted_code, rec_amount,premium_rcv_detail_code,remaining_amt, payrec, mode_code,coinsurance_code,class_cd,it_remarks) values('01Nov240029','040000187295','297000',(select max(to_number(i.premium_rcv_detail_code))+1
from ins_premium_det i),'297000','297000','02', '11000003','00','Request by Mr. Saqib Saleem 01-Nov-2024');</v>
      </c>
    </row>
    <row r="276" spans="1:8">
      <c r="C276" s="74">
        <f>SUM(C2:C274)</f>
        <v>12565504</v>
      </c>
      <c r="D276" s="74">
        <f>SUM(D2:D274)</f>
        <v>12565504</v>
      </c>
    </row>
  </sheetData>
  <conditionalFormatting sqref="A1">
    <cfRule type="duplicateValues" dxfId="3" priority="1"/>
  </conditionalFormatting>
  <conditionalFormatting sqref="A2:B2 B3:B274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5E3A-C124-47DC-8CB5-04C49C60B506}">
  <dimension ref="A2:J275"/>
  <sheetViews>
    <sheetView topLeftCell="A258" workbookViewId="0">
      <selection activeCell="M267" sqref="M267"/>
    </sheetView>
  </sheetViews>
  <sheetFormatPr defaultRowHeight="15"/>
  <cols>
    <col min="1" max="1" width="43.28515625" bestFit="1" customWidth="1"/>
    <col min="2" max="2" width="23.85546875" customWidth="1"/>
    <col min="3" max="3" width="5.42578125" customWidth="1"/>
    <col min="4" max="4" width="6.7109375" customWidth="1"/>
    <col min="5" max="5" width="5" customWidth="1"/>
    <col min="6" max="6" width="3.85546875" customWidth="1"/>
    <col min="7" max="7" width="2.140625" customWidth="1"/>
  </cols>
  <sheetData>
    <row r="2" spans="1:10">
      <c r="A2" s="65" t="s">
        <v>2109</v>
      </c>
      <c r="B2" t="s">
        <v>2383</v>
      </c>
      <c r="H2">
        <v>99922</v>
      </c>
      <c r="I2" t="s">
        <v>2385</v>
      </c>
      <c r="J2" t="str">
        <f>"ia.assorted_string like '%"&amp;H2&amp;"-"&amp;I2&amp;B2&amp;"%' or"</f>
        <v>ia.assorted_string like '%99922-00002-10-2024%' or</v>
      </c>
    </row>
    <row r="3" spans="1:10">
      <c r="A3" s="65" t="s">
        <v>2110</v>
      </c>
      <c r="B3" t="s">
        <v>2383</v>
      </c>
      <c r="H3">
        <v>99922</v>
      </c>
      <c r="I3" t="s">
        <v>2386</v>
      </c>
      <c r="J3" t="str">
        <f t="shared" ref="J3:J66" si="0">"ia.assorted_string like '%"&amp;H3&amp;"-"&amp;I3&amp;B3&amp;"%' or"</f>
        <v>ia.assorted_string like '%99922-00003-10-2024%' or</v>
      </c>
    </row>
    <row r="4" spans="1:10">
      <c r="A4" s="65" t="s">
        <v>2111</v>
      </c>
      <c r="B4" t="s">
        <v>2383</v>
      </c>
      <c r="H4">
        <v>99922</v>
      </c>
      <c r="I4" t="s">
        <v>2387</v>
      </c>
      <c r="J4" t="str">
        <f t="shared" si="0"/>
        <v>ia.assorted_string like '%99922-00004-10-2024%' or</v>
      </c>
    </row>
    <row r="5" spans="1:10">
      <c r="A5" s="65" t="s">
        <v>2112</v>
      </c>
      <c r="B5" t="s">
        <v>2383</v>
      </c>
      <c r="H5">
        <v>99922</v>
      </c>
      <c r="I5" t="s">
        <v>2388</v>
      </c>
      <c r="J5" t="str">
        <f t="shared" si="0"/>
        <v>ia.assorted_string like '%99922-00005-10-2024%' or</v>
      </c>
    </row>
    <row r="6" spans="1:10">
      <c r="A6" s="65" t="s">
        <v>2113</v>
      </c>
      <c r="B6" t="s">
        <v>2383</v>
      </c>
      <c r="H6">
        <v>99922</v>
      </c>
      <c r="I6" t="s">
        <v>2389</v>
      </c>
      <c r="J6" t="str">
        <f t="shared" si="0"/>
        <v>ia.assorted_string like '%99922-00006-10-2024%' or</v>
      </c>
    </row>
    <row r="7" spans="1:10">
      <c r="A7" s="65" t="s">
        <v>2114</v>
      </c>
      <c r="B7" t="s">
        <v>2383</v>
      </c>
      <c r="H7">
        <v>99922</v>
      </c>
      <c r="I7" t="s">
        <v>2390</v>
      </c>
      <c r="J7" t="str">
        <f t="shared" si="0"/>
        <v>ia.assorted_string like '%99922-00007-10-2024%' or</v>
      </c>
    </row>
    <row r="8" spans="1:10">
      <c r="A8" s="65" t="s">
        <v>2115</v>
      </c>
      <c r="B8" t="s">
        <v>2383</v>
      </c>
      <c r="H8">
        <v>99922</v>
      </c>
      <c r="I8" t="s">
        <v>2391</v>
      </c>
      <c r="J8" t="str">
        <f t="shared" si="0"/>
        <v>ia.assorted_string like '%99922-00008-10-2024%' or</v>
      </c>
    </row>
    <row r="9" spans="1:10">
      <c r="A9" s="65" t="s">
        <v>2116</v>
      </c>
      <c r="B9" t="s">
        <v>2383</v>
      </c>
      <c r="H9">
        <v>99922</v>
      </c>
      <c r="I9" t="s">
        <v>2392</v>
      </c>
      <c r="J9" t="str">
        <f t="shared" si="0"/>
        <v>ia.assorted_string like '%99922-00009-10-2024%' or</v>
      </c>
    </row>
    <row r="10" spans="1:10">
      <c r="A10" s="65" t="s">
        <v>2117</v>
      </c>
      <c r="B10" t="s">
        <v>2383</v>
      </c>
      <c r="H10">
        <v>99922</v>
      </c>
      <c r="I10" t="s">
        <v>2393</v>
      </c>
      <c r="J10" t="str">
        <f t="shared" si="0"/>
        <v>ia.assorted_string like '%99922-00010-10-2024%' or</v>
      </c>
    </row>
    <row r="11" spans="1:10">
      <c r="A11" s="65" t="s">
        <v>2118</v>
      </c>
      <c r="B11" t="s">
        <v>2383</v>
      </c>
      <c r="H11">
        <v>99922</v>
      </c>
      <c r="I11" t="s">
        <v>2394</v>
      </c>
      <c r="J11" t="str">
        <f t="shared" si="0"/>
        <v>ia.assorted_string like '%99922-00011-10-2024%' or</v>
      </c>
    </row>
    <row r="12" spans="1:10">
      <c r="A12" s="65" t="s">
        <v>2119</v>
      </c>
      <c r="B12" t="s">
        <v>2383</v>
      </c>
      <c r="H12">
        <v>99922</v>
      </c>
      <c r="I12" t="s">
        <v>2395</v>
      </c>
      <c r="J12" t="str">
        <f t="shared" si="0"/>
        <v>ia.assorted_string like '%99922-00012-10-2024%' or</v>
      </c>
    </row>
    <row r="13" spans="1:10">
      <c r="A13" s="65" t="s">
        <v>2120</v>
      </c>
      <c r="B13" t="s">
        <v>2383</v>
      </c>
      <c r="H13">
        <v>99922</v>
      </c>
      <c r="I13" t="s">
        <v>2396</v>
      </c>
      <c r="J13" t="str">
        <f t="shared" si="0"/>
        <v>ia.assorted_string like '%99922-00013-10-2024%' or</v>
      </c>
    </row>
    <row r="14" spans="1:10">
      <c r="A14" s="65" t="s">
        <v>2121</v>
      </c>
      <c r="B14" t="s">
        <v>2383</v>
      </c>
      <c r="H14">
        <v>99922</v>
      </c>
      <c r="I14" t="s">
        <v>2397</v>
      </c>
      <c r="J14" t="str">
        <f t="shared" si="0"/>
        <v>ia.assorted_string like '%99922-00014-10-2024%' or</v>
      </c>
    </row>
    <row r="15" spans="1:10">
      <c r="A15" s="65" t="s">
        <v>2122</v>
      </c>
      <c r="B15" t="s">
        <v>2383</v>
      </c>
      <c r="H15">
        <v>99922</v>
      </c>
      <c r="I15" t="s">
        <v>2398</v>
      </c>
      <c r="J15" t="str">
        <f t="shared" si="0"/>
        <v>ia.assorted_string like '%99922-00015-10-2024%' or</v>
      </c>
    </row>
    <row r="16" spans="1:10">
      <c r="A16" s="65" t="s">
        <v>2123</v>
      </c>
      <c r="B16" t="s">
        <v>2383</v>
      </c>
      <c r="H16">
        <v>99922</v>
      </c>
      <c r="I16" t="s">
        <v>2399</v>
      </c>
      <c r="J16" t="str">
        <f t="shared" si="0"/>
        <v>ia.assorted_string like '%99922-00016-10-2024%' or</v>
      </c>
    </row>
    <row r="17" spans="1:10">
      <c r="A17" s="65" t="s">
        <v>2124</v>
      </c>
      <c r="B17" t="s">
        <v>2383</v>
      </c>
      <c r="H17">
        <v>99922</v>
      </c>
      <c r="I17" t="s">
        <v>2400</v>
      </c>
      <c r="J17" t="str">
        <f t="shared" si="0"/>
        <v>ia.assorted_string like '%99922-00017-10-2024%' or</v>
      </c>
    </row>
    <row r="18" spans="1:10">
      <c r="A18" s="65" t="s">
        <v>2125</v>
      </c>
      <c r="B18" t="s">
        <v>2383</v>
      </c>
      <c r="H18">
        <v>99922</v>
      </c>
      <c r="I18" t="s">
        <v>2401</v>
      </c>
      <c r="J18" t="str">
        <f t="shared" si="0"/>
        <v>ia.assorted_string like '%99922-00018-10-2024%' or</v>
      </c>
    </row>
    <row r="19" spans="1:10">
      <c r="A19" s="65" t="s">
        <v>2126</v>
      </c>
      <c r="B19" t="s">
        <v>2383</v>
      </c>
      <c r="H19">
        <v>99922</v>
      </c>
      <c r="I19" t="s">
        <v>2402</v>
      </c>
      <c r="J19" t="str">
        <f t="shared" si="0"/>
        <v>ia.assorted_string like '%99922-00019-10-2024%' or</v>
      </c>
    </row>
    <row r="20" spans="1:10">
      <c r="A20" s="65" t="s">
        <v>2127</v>
      </c>
      <c r="B20" t="s">
        <v>2383</v>
      </c>
      <c r="H20">
        <v>99922</v>
      </c>
      <c r="I20" t="s">
        <v>2403</v>
      </c>
      <c r="J20" t="str">
        <f t="shared" si="0"/>
        <v>ia.assorted_string like '%99922-00020-10-2024%' or</v>
      </c>
    </row>
    <row r="21" spans="1:10">
      <c r="A21" s="65" t="s">
        <v>2128</v>
      </c>
      <c r="B21" t="s">
        <v>2383</v>
      </c>
      <c r="H21">
        <v>99922</v>
      </c>
      <c r="I21" t="s">
        <v>2404</v>
      </c>
      <c r="J21" t="str">
        <f t="shared" si="0"/>
        <v>ia.assorted_string like '%99922-00021-10-2024%' or</v>
      </c>
    </row>
    <row r="22" spans="1:10">
      <c r="A22" s="65" t="s">
        <v>2129</v>
      </c>
      <c r="B22" t="s">
        <v>2383</v>
      </c>
      <c r="H22">
        <v>99922</v>
      </c>
      <c r="I22" t="s">
        <v>2405</v>
      </c>
      <c r="J22" t="str">
        <f t="shared" si="0"/>
        <v>ia.assorted_string like '%99922-00022-10-2024%' or</v>
      </c>
    </row>
    <row r="23" spans="1:10">
      <c r="A23" s="65" t="s">
        <v>2130</v>
      </c>
      <c r="B23" t="s">
        <v>2383</v>
      </c>
      <c r="H23">
        <v>99922</v>
      </c>
      <c r="I23" t="s">
        <v>2406</v>
      </c>
      <c r="J23" t="str">
        <f t="shared" si="0"/>
        <v>ia.assorted_string like '%99922-00023-10-2024%' or</v>
      </c>
    </row>
    <row r="24" spans="1:10">
      <c r="A24" s="65" t="s">
        <v>2131</v>
      </c>
      <c r="B24" t="s">
        <v>2383</v>
      </c>
      <c r="H24">
        <v>99922</v>
      </c>
      <c r="I24" t="s">
        <v>2407</v>
      </c>
      <c r="J24" t="str">
        <f t="shared" si="0"/>
        <v>ia.assorted_string like '%99922-00024-10-2024%' or</v>
      </c>
    </row>
    <row r="25" spans="1:10">
      <c r="A25" s="65" t="s">
        <v>2132</v>
      </c>
      <c r="B25" t="s">
        <v>2383</v>
      </c>
      <c r="H25">
        <v>99922</v>
      </c>
      <c r="I25" t="s">
        <v>2408</v>
      </c>
      <c r="J25" t="str">
        <f t="shared" si="0"/>
        <v>ia.assorted_string like '%99922-00025-10-2024%' or</v>
      </c>
    </row>
    <row r="26" spans="1:10">
      <c r="A26" s="65" t="s">
        <v>2133</v>
      </c>
      <c r="B26" t="s">
        <v>2383</v>
      </c>
      <c r="H26">
        <v>99922</v>
      </c>
      <c r="I26" t="s">
        <v>2409</v>
      </c>
      <c r="J26" t="str">
        <f t="shared" si="0"/>
        <v>ia.assorted_string like '%99922-00026-10-2024%' or</v>
      </c>
    </row>
    <row r="27" spans="1:10">
      <c r="A27" s="65" t="s">
        <v>2134</v>
      </c>
      <c r="B27" t="s">
        <v>2383</v>
      </c>
      <c r="H27">
        <v>99922</v>
      </c>
      <c r="I27" t="s">
        <v>2410</v>
      </c>
      <c r="J27" t="str">
        <f t="shared" si="0"/>
        <v>ia.assorted_string like '%99922-00027-10-2024%' or</v>
      </c>
    </row>
    <row r="28" spans="1:10">
      <c r="A28" s="65" t="s">
        <v>2135</v>
      </c>
      <c r="B28" t="s">
        <v>2383</v>
      </c>
      <c r="H28">
        <v>99922</v>
      </c>
      <c r="I28" t="s">
        <v>2411</v>
      </c>
      <c r="J28" t="str">
        <f t="shared" si="0"/>
        <v>ia.assorted_string like '%99922-00028-10-2024%' or</v>
      </c>
    </row>
    <row r="29" spans="1:10">
      <c r="A29" s="65" t="s">
        <v>2136</v>
      </c>
      <c r="B29" t="s">
        <v>2383</v>
      </c>
      <c r="H29">
        <v>99922</v>
      </c>
      <c r="I29" t="s">
        <v>2412</v>
      </c>
      <c r="J29" t="str">
        <f t="shared" si="0"/>
        <v>ia.assorted_string like '%99922-00029-10-2024%' or</v>
      </c>
    </row>
    <row r="30" spans="1:10">
      <c r="A30" s="65" t="s">
        <v>2137</v>
      </c>
      <c r="B30" t="s">
        <v>2383</v>
      </c>
      <c r="H30">
        <v>99922</v>
      </c>
      <c r="I30" t="s">
        <v>2413</v>
      </c>
      <c r="J30" t="str">
        <f t="shared" si="0"/>
        <v>ia.assorted_string like '%99922-00030-10-2024%' or</v>
      </c>
    </row>
    <row r="31" spans="1:10">
      <c r="A31" s="65" t="s">
        <v>2138</v>
      </c>
      <c r="B31" t="s">
        <v>2383</v>
      </c>
      <c r="H31">
        <v>99922</v>
      </c>
      <c r="I31" t="s">
        <v>2414</v>
      </c>
      <c r="J31" t="str">
        <f t="shared" si="0"/>
        <v>ia.assorted_string like '%99922-00031-10-2024%' or</v>
      </c>
    </row>
    <row r="32" spans="1:10">
      <c r="A32" s="65" t="s">
        <v>2139</v>
      </c>
      <c r="B32" t="s">
        <v>2383</v>
      </c>
      <c r="H32">
        <v>99922</v>
      </c>
      <c r="I32" t="s">
        <v>2415</v>
      </c>
      <c r="J32" t="str">
        <f t="shared" si="0"/>
        <v>ia.assorted_string like '%99922-00032-10-2024%' or</v>
      </c>
    </row>
    <row r="33" spans="1:10">
      <c r="A33" s="65" t="s">
        <v>2140</v>
      </c>
      <c r="B33" t="s">
        <v>2383</v>
      </c>
      <c r="H33">
        <v>99922</v>
      </c>
      <c r="I33" t="s">
        <v>2416</v>
      </c>
      <c r="J33" t="str">
        <f t="shared" si="0"/>
        <v>ia.assorted_string like '%99922-00033-10-2024%' or</v>
      </c>
    </row>
    <row r="34" spans="1:10">
      <c r="A34" s="65" t="s">
        <v>2141</v>
      </c>
      <c r="B34" t="s">
        <v>2383</v>
      </c>
      <c r="H34">
        <v>99922</v>
      </c>
      <c r="I34" t="s">
        <v>2417</v>
      </c>
      <c r="J34" t="str">
        <f t="shared" si="0"/>
        <v>ia.assorted_string like '%99922-00034-10-2024%' or</v>
      </c>
    </row>
    <row r="35" spans="1:10">
      <c r="A35" s="65" t="s">
        <v>2142</v>
      </c>
      <c r="B35" t="s">
        <v>2383</v>
      </c>
      <c r="H35">
        <v>99922</v>
      </c>
      <c r="I35" t="s">
        <v>2418</v>
      </c>
      <c r="J35" t="str">
        <f t="shared" si="0"/>
        <v>ia.assorted_string like '%99922-00035-10-2024%' or</v>
      </c>
    </row>
    <row r="36" spans="1:10">
      <c r="A36" s="65" t="s">
        <v>2143</v>
      </c>
      <c r="B36" t="s">
        <v>2383</v>
      </c>
      <c r="H36">
        <v>99922</v>
      </c>
      <c r="I36" t="s">
        <v>2419</v>
      </c>
      <c r="J36" t="str">
        <f t="shared" si="0"/>
        <v>ia.assorted_string like '%99922-00036-10-2024%' or</v>
      </c>
    </row>
    <row r="37" spans="1:10">
      <c r="A37" s="65" t="s">
        <v>2144</v>
      </c>
      <c r="B37" t="s">
        <v>2383</v>
      </c>
      <c r="H37">
        <v>99922</v>
      </c>
      <c r="I37" t="s">
        <v>2420</v>
      </c>
      <c r="J37" t="str">
        <f t="shared" si="0"/>
        <v>ia.assorted_string like '%99922-00037-10-2024%' or</v>
      </c>
    </row>
    <row r="38" spans="1:10">
      <c r="A38" s="65" t="s">
        <v>2145</v>
      </c>
      <c r="B38" t="s">
        <v>2383</v>
      </c>
      <c r="H38">
        <v>99922</v>
      </c>
      <c r="I38" t="s">
        <v>2421</v>
      </c>
      <c r="J38" t="str">
        <f t="shared" si="0"/>
        <v>ia.assorted_string like '%99922-00039-10-2024%' or</v>
      </c>
    </row>
    <row r="39" spans="1:10">
      <c r="A39" s="65" t="s">
        <v>2146</v>
      </c>
      <c r="B39" t="s">
        <v>2383</v>
      </c>
      <c r="H39">
        <v>99922</v>
      </c>
      <c r="I39" t="s">
        <v>2422</v>
      </c>
      <c r="J39" t="str">
        <f t="shared" si="0"/>
        <v>ia.assorted_string like '%99922-00040-10-2024%' or</v>
      </c>
    </row>
    <row r="40" spans="1:10">
      <c r="A40" s="65" t="s">
        <v>2147</v>
      </c>
      <c r="B40" t="s">
        <v>2383</v>
      </c>
      <c r="H40">
        <v>99922</v>
      </c>
      <c r="I40" t="s">
        <v>2423</v>
      </c>
      <c r="J40" t="str">
        <f t="shared" si="0"/>
        <v>ia.assorted_string like '%99922-00041-10-2024%' or</v>
      </c>
    </row>
    <row r="41" spans="1:10">
      <c r="A41" s="65" t="s">
        <v>2148</v>
      </c>
      <c r="B41" t="s">
        <v>2383</v>
      </c>
      <c r="H41">
        <v>99922</v>
      </c>
      <c r="I41" t="s">
        <v>2424</v>
      </c>
      <c r="J41" t="str">
        <f t="shared" si="0"/>
        <v>ia.assorted_string like '%99922-00042-10-2024%' or</v>
      </c>
    </row>
    <row r="42" spans="1:10">
      <c r="A42" s="65" t="s">
        <v>2149</v>
      </c>
      <c r="B42" t="s">
        <v>2383</v>
      </c>
      <c r="H42">
        <v>99922</v>
      </c>
      <c r="I42" t="s">
        <v>2425</v>
      </c>
      <c r="J42" t="str">
        <f t="shared" si="0"/>
        <v>ia.assorted_string like '%99922-00043-10-2024%' or</v>
      </c>
    </row>
    <row r="43" spans="1:10">
      <c r="A43" s="65" t="s">
        <v>2150</v>
      </c>
      <c r="B43" t="s">
        <v>2383</v>
      </c>
      <c r="H43">
        <v>99922</v>
      </c>
      <c r="I43" t="s">
        <v>2426</v>
      </c>
      <c r="J43" t="str">
        <f t="shared" si="0"/>
        <v>ia.assorted_string like '%99922-00044-10-2024%' or</v>
      </c>
    </row>
    <row r="44" spans="1:10">
      <c r="A44" s="65" t="s">
        <v>2151</v>
      </c>
      <c r="B44" t="s">
        <v>2383</v>
      </c>
      <c r="H44">
        <v>99922</v>
      </c>
      <c r="I44" t="s">
        <v>2427</v>
      </c>
      <c r="J44" t="str">
        <f t="shared" si="0"/>
        <v>ia.assorted_string like '%99922-00045-10-2024%' or</v>
      </c>
    </row>
    <row r="45" spans="1:10">
      <c r="A45" s="65" t="s">
        <v>2152</v>
      </c>
      <c r="B45" t="s">
        <v>2383</v>
      </c>
      <c r="H45">
        <v>99922</v>
      </c>
      <c r="I45" t="s">
        <v>2428</v>
      </c>
      <c r="J45" t="str">
        <f t="shared" si="0"/>
        <v>ia.assorted_string like '%99922-00046-10-2024%' or</v>
      </c>
    </row>
    <row r="46" spans="1:10">
      <c r="A46" s="65" t="s">
        <v>2153</v>
      </c>
      <c r="B46" t="s">
        <v>2383</v>
      </c>
      <c r="H46">
        <v>99922</v>
      </c>
      <c r="I46" t="s">
        <v>2429</v>
      </c>
      <c r="J46" t="str">
        <f t="shared" si="0"/>
        <v>ia.assorted_string like '%99922-00047-10-2024%' or</v>
      </c>
    </row>
    <row r="47" spans="1:10">
      <c r="A47" s="65" t="s">
        <v>2154</v>
      </c>
      <c r="B47" t="s">
        <v>2383</v>
      </c>
      <c r="H47">
        <v>99922</v>
      </c>
      <c r="I47" t="s">
        <v>2430</v>
      </c>
      <c r="J47" t="str">
        <f t="shared" si="0"/>
        <v>ia.assorted_string like '%99922-00048-10-2024%' or</v>
      </c>
    </row>
    <row r="48" spans="1:10">
      <c r="A48" s="65" t="s">
        <v>2155</v>
      </c>
      <c r="B48" t="s">
        <v>2383</v>
      </c>
      <c r="H48">
        <v>99922</v>
      </c>
      <c r="I48" t="s">
        <v>2431</v>
      </c>
      <c r="J48" t="str">
        <f t="shared" si="0"/>
        <v>ia.assorted_string like '%99922-00049-10-2024%' or</v>
      </c>
    </row>
    <row r="49" spans="1:10">
      <c r="A49" s="65" t="s">
        <v>2156</v>
      </c>
      <c r="B49" t="s">
        <v>2383</v>
      </c>
      <c r="H49">
        <v>99922</v>
      </c>
      <c r="I49" t="s">
        <v>2432</v>
      </c>
      <c r="J49" t="str">
        <f t="shared" si="0"/>
        <v>ia.assorted_string like '%99922-00050-10-2024%' or</v>
      </c>
    </row>
    <row r="50" spans="1:10">
      <c r="A50" s="65" t="s">
        <v>2157</v>
      </c>
      <c r="B50" t="s">
        <v>2383</v>
      </c>
      <c r="H50">
        <v>99922</v>
      </c>
      <c r="I50" t="s">
        <v>2433</v>
      </c>
      <c r="J50" t="str">
        <f t="shared" si="0"/>
        <v>ia.assorted_string like '%99922-00051-10-2024%' or</v>
      </c>
    </row>
    <row r="51" spans="1:10">
      <c r="A51" s="65" t="s">
        <v>2158</v>
      </c>
      <c r="B51" t="s">
        <v>2383</v>
      </c>
      <c r="H51">
        <v>99922</v>
      </c>
      <c r="I51" t="s">
        <v>2434</v>
      </c>
      <c r="J51" t="str">
        <f t="shared" si="0"/>
        <v>ia.assorted_string like '%99922-00052-10-2024%' or</v>
      </c>
    </row>
    <row r="52" spans="1:10">
      <c r="A52" s="65" t="s">
        <v>2159</v>
      </c>
      <c r="B52" t="s">
        <v>2383</v>
      </c>
      <c r="H52">
        <v>99922</v>
      </c>
      <c r="I52" t="s">
        <v>2435</v>
      </c>
      <c r="J52" t="str">
        <f t="shared" si="0"/>
        <v>ia.assorted_string like '%99922-00053-10-2024%' or</v>
      </c>
    </row>
    <row r="53" spans="1:10">
      <c r="A53" s="65" t="s">
        <v>2160</v>
      </c>
      <c r="B53" t="s">
        <v>2383</v>
      </c>
      <c r="H53">
        <v>99922</v>
      </c>
      <c r="I53" t="s">
        <v>2436</v>
      </c>
      <c r="J53" t="str">
        <f t="shared" si="0"/>
        <v>ia.assorted_string like '%99922-00054-10-2024%' or</v>
      </c>
    </row>
    <row r="54" spans="1:10">
      <c r="A54" s="65" t="s">
        <v>2161</v>
      </c>
      <c r="B54" t="s">
        <v>2383</v>
      </c>
      <c r="H54">
        <v>99922</v>
      </c>
      <c r="I54" t="s">
        <v>2437</v>
      </c>
      <c r="J54" t="str">
        <f t="shared" si="0"/>
        <v>ia.assorted_string like '%99922-00055-10-2024%' or</v>
      </c>
    </row>
    <row r="55" spans="1:10">
      <c r="A55" s="68" t="s">
        <v>2104</v>
      </c>
      <c r="B55" t="s">
        <v>2383</v>
      </c>
      <c r="H55">
        <v>99922</v>
      </c>
      <c r="I55" t="s">
        <v>2438</v>
      </c>
      <c r="J55" t="str">
        <f t="shared" si="0"/>
        <v>ia.assorted_string like '%99922-00001-10-2024%' or</v>
      </c>
    </row>
    <row r="56" spans="1:10">
      <c r="A56" s="65" t="s">
        <v>2162</v>
      </c>
      <c r="B56" t="s">
        <v>2383</v>
      </c>
      <c r="H56">
        <v>99922</v>
      </c>
      <c r="I56" t="s">
        <v>2439</v>
      </c>
      <c r="J56" t="str">
        <f t="shared" si="0"/>
        <v>ia.assorted_string like '%99922-00056-10-2024%' or</v>
      </c>
    </row>
    <row r="57" spans="1:10">
      <c r="A57" s="65" t="s">
        <v>2163</v>
      </c>
      <c r="B57" t="s">
        <v>2383</v>
      </c>
      <c r="H57">
        <v>99922</v>
      </c>
      <c r="I57" t="s">
        <v>2440</v>
      </c>
      <c r="J57" t="str">
        <f t="shared" si="0"/>
        <v>ia.assorted_string like '%99922-00057-10-2024%' or</v>
      </c>
    </row>
    <row r="58" spans="1:10">
      <c r="A58" s="65" t="s">
        <v>2164</v>
      </c>
      <c r="B58" t="s">
        <v>2383</v>
      </c>
      <c r="H58">
        <v>99922</v>
      </c>
      <c r="I58" t="s">
        <v>2441</v>
      </c>
      <c r="J58" t="str">
        <f t="shared" si="0"/>
        <v>ia.assorted_string like '%99922-00058-10-2024%' or</v>
      </c>
    </row>
    <row r="59" spans="1:10">
      <c r="A59" s="65" t="s">
        <v>2165</v>
      </c>
      <c r="B59" t="s">
        <v>2383</v>
      </c>
      <c r="H59">
        <v>99922</v>
      </c>
      <c r="I59" t="s">
        <v>2442</v>
      </c>
      <c r="J59" t="str">
        <f t="shared" si="0"/>
        <v>ia.assorted_string like '%99922-00059-10-2024%' or</v>
      </c>
    </row>
    <row r="60" spans="1:10">
      <c r="A60" s="65" t="s">
        <v>2166</v>
      </c>
      <c r="B60" t="s">
        <v>2383</v>
      </c>
      <c r="H60">
        <v>99922</v>
      </c>
      <c r="I60" t="s">
        <v>2443</v>
      </c>
      <c r="J60" t="str">
        <f t="shared" si="0"/>
        <v>ia.assorted_string like '%99922-00060-10-2024%' or</v>
      </c>
    </row>
    <row r="61" spans="1:10">
      <c r="A61" s="65" t="s">
        <v>2167</v>
      </c>
      <c r="B61" t="s">
        <v>2383</v>
      </c>
      <c r="H61">
        <v>99922</v>
      </c>
      <c r="I61" t="s">
        <v>2444</v>
      </c>
      <c r="J61" t="str">
        <f t="shared" si="0"/>
        <v>ia.assorted_string like '%99922-00061-10-2024%' or</v>
      </c>
    </row>
    <row r="62" spans="1:10">
      <c r="A62" s="65" t="s">
        <v>2168</v>
      </c>
      <c r="B62" t="s">
        <v>2383</v>
      </c>
      <c r="H62">
        <v>99922</v>
      </c>
      <c r="I62" t="s">
        <v>2445</v>
      </c>
      <c r="J62" t="str">
        <f t="shared" si="0"/>
        <v>ia.assorted_string like '%99922-00062-10-2024%' or</v>
      </c>
    </row>
    <row r="63" spans="1:10">
      <c r="A63" s="65" t="s">
        <v>2169</v>
      </c>
      <c r="B63" t="s">
        <v>2383</v>
      </c>
      <c r="H63">
        <v>99922</v>
      </c>
      <c r="I63" t="s">
        <v>2446</v>
      </c>
      <c r="J63" t="str">
        <f t="shared" si="0"/>
        <v>ia.assorted_string like '%99922-00063-10-2024%' or</v>
      </c>
    </row>
    <row r="64" spans="1:10">
      <c r="A64" s="65" t="s">
        <v>2170</v>
      </c>
      <c r="B64" t="s">
        <v>2383</v>
      </c>
      <c r="H64">
        <v>99922</v>
      </c>
      <c r="I64" t="s">
        <v>2447</v>
      </c>
      <c r="J64" t="str">
        <f t="shared" si="0"/>
        <v>ia.assorted_string like '%99922-00064-10-2024%' or</v>
      </c>
    </row>
    <row r="65" spans="1:10">
      <c r="A65" s="65" t="s">
        <v>2171</v>
      </c>
      <c r="B65" t="s">
        <v>2383</v>
      </c>
      <c r="H65">
        <v>99922</v>
      </c>
      <c r="I65" t="s">
        <v>2448</v>
      </c>
      <c r="J65" t="str">
        <f t="shared" si="0"/>
        <v>ia.assorted_string like '%99922-00065-10-2024%' or</v>
      </c>
    </row>
    <row r="66" spans="1:10">
      <c r="A66" s="65" t="s">
        <v>2172</v>
      </c>
      <c r="B66" t="s">
        <v>2383</v>
      </c>
      <c r="H66">
        <v>99922</v>
      </c>
      <c r="I66" t="s">
        <v>2449</v>
      </c>
      <c r="J66" t="str">
        <f t="shared" si="0"/>
        <v>ia.assorted_string like '%99922-00066-10-2024%' or</v>
      </c>
    </row>
    <row r="67" spans="1:10">
      <c r="A67" s="65" t="s">
        <v>2173</v>
      </c>
      <c r="B67" t="s">
        <v>2383</v>
      </c>
      <c r="H67">
        <v>99922</v>
      </c>
      <c r="I67" t="s">
        <v>2450</v>
      </c>
      <c r="J67" t="str">
        <f t="shared" ref="J67:J130" si="1">"ia.assorted_string like '%"&amp;H67&amp;"-"&amp;I67&amp;B67&amp;"%' or"</f>
        <v>ia.assorted_string like '%99922-00067-10-2024%' or</v>
      </c>
    </row>
    <row r="68" spans="1:10">
      <c r="A68" s="65" t="s">
        <v>2174</v>
      </c>
      <c r="B68" t="s">
        <v>2383</v>
      </c>
      <c r="H68">
        <v>99922</v>
      </c>
      <c r="I68" t="s">
        <v>2451</v>
      </c>
      <c r="J68" t="str">
        <f t="shared" si="1"/>
        <v>ia.assorted_string like '%99922-00068-10-2024%' or</v>
      </c>
    </row>
    <row r="69" spans="1:10">
      <c r="A69" s="65" t="s">
        <v>2175</v>
      </c>
      <c r="B69" t="s">
        <v>2383</v>
      </c>
      <c r="H69">
        <v>99922</v>
      </c>
      <c r="I69" t="s">
        <v>2452</v>
      </c>
      <c r="J69" t="str">
        <f t="shared" si="1"/>
        <v>ia.assorted_string like '%99922-00069-10-2024%' or</v>
      </c>
    </row>
    <row r="70" spans="1:10">
      <c r="A70" s="65" t="s">
        <v>2176</v>
      </c>
      <c r="B70" t="s">
        <v>2383</v>
      </c>
      <c r="H70">
        <v>99922</v>
      </c>
      <c r="I70" t="s">
        <v>2453</v>
      </c>
      <c r="J70" t="str">
        <f t="shared" si="1"/>
        <v>ia.assorted_string like '%99922-00070-10-2024%' or</v>
      </c>
    </row>
    <row r="71" spans="1:10">
      <c r="A71" s="65" t="s">
        <v>2177</v>
      </c>
      <c r="B71" t="s">
        <v>2383</v>
      </c>
      <c r="H71">
        <v>99922</v>
      </c>
      <c r="I71" t="s">
        <v>2454</v>
      </c>
      <c r="J71" t="str">
        <f t="shared" si="1"/>
        <v>ia.assorted_string like '%99922-00071-10-2024%' or</v>
      </c>
    </row>
    <row r="72" spans="1:10">
      <c r="A72" s="65" t="s">
        <v>2178</v>
      </c>
      <c r="B72" t="s">
        <v>2383</v>
      </c>
      <c r="H72">
        <v>99922</v>
      </c>
      <c r="I72" t="s">
        <v>2455</v>
      </c>
      <c r="J72" t="str">
        <f t="shared" si="1"/>
        <v>ia.assorted_string like '%99922-00072-10-2024%' or</v>
      </c>
    </row>
    <row r="73" spans="1:10">
      <c r="A73" s="65" t="s">
        <v>2179</v>
      </c>
      <c r="B73" t="s">
        <v>2383</v>
      </c>
      <c r="H73">
        <v>99922</v>
      </c>
      <c r="I73" t="s">
        <v>2456</v>
      </c>
      <c r="J73" t="str">
        <f t="shared" si="1"/>
        <v>ia.assorted_string like '%99922-00073-10-2024%' or</v>
      </c>
    </row>
    <row r="74" spans="1:10">
      <c r="A74" s="65" t="s">
        <v>2180</v>
      </c>
      <c r="B74" t="s">
        <v>2383</v>
      </c>
      <c r="H74">
        <v>99922</v>
      </c>
      <c r="I74" t="s">
        <v>2457</v>
      </c>
      <c r="J74" t="str">
        <f t="shared" si="1"/>
        <v>ia.assorted_string like '%99922-00074-10-2024%' or</v>
      </c>
    </row>
    <row r="75" spans="1:10">
      <c r="A75" s="65" t="s">
        <v>2181</v>
      </c>
      <c r="B75" t="s">
        <v>2383</v>
      </c>
      <c r="H75">
        <v>99922</v>
      </c>
      <c r="I75" t="s">
        <v>2458</v>
      </c>
      <c r="J75" t="str">
        <f t="shared" si="1"/>
        <v>ia.assorted_string like '%99922-00075-10-2024%' or</v>
      </c>
    </row>
    <row r="76" spans="1:10">
      <c r="A76" s="65" t="s">
        <v>2182</v>
      </c>
      <c r="B76" t="s">
        <v>2383</v>
      </c>
      <c r="H76">
        <v>99922</v>
      </c>
      <c r="I76" t="s">
        <v>2459</v>
      </c>
      <c r="J76" t="str">
        <f t="shared" si="1"/>
        <v>ia.assorted_string like '%99922-00076-10-2024%' or</v>
      </c>
    </row>
    <row r="77" spans="1:10">
      <c r="A77" s="65" t="s">
        <v>2183</v>
      </c>
      <c r="B77" t="s">
        <v>2383</v>
      </c>
      <c r="H77">
        <v>99922</v>
      </c>
      <c r="I77" t="s">
        <v>2460</v>
      </c>
      <c r="J77" t="str">
        <f t="shared" si="1"/>
        <v>ia.assorted_string like '%99922-00077-10-2024%' or</v>
      </c>
    </row>
    <row r="78" spans="1:10">
      <c r="A78" s="65" t="s">
        <v>2184</v>
      </c>
      <c r="B78" t="s">
        <v>2383</v>
      </c>
      <c r="H78">
        <v>99922</v>
      </c>
      <c r="I78" t="s">
        <v>2461</v>
      </c>
      <c r="J78" t="str">
        <f t="shared" si="1"/>
        <v>ia.assorted_string like '%99922-00078-10-2024%' or</v>
      </c>
    </row>
    <row r="79" spans="1:10">
      <c r="A79" s="65" t="s">
        <v>2185</v>
      </c>
      <c r="B79" t="s">
        <v>2383</v>
      </c>
      <c r="H79">
        <v>99922</v>
      </c>
      <c r="I79" t="s">
        <v>2462</v>
      </c>
      <c r="J79" t="str">
        <f t="shared" si="1"/>
        <v>ia.assorted_string like '%99922-00079-10-2024%' or</v>
      </c>
    </row>
    <row r="80" spans="1:10">
      <c r="A80" s="65" t="s">
        <v>2186</v>
      </c>
      <c r="B80" t="s">
        <v>2383</v>
      </c>
      <c r="H80">
        <v>99922</v>
      </c>
      <c r="I80" t="s">
        <v>2463</v>
      </c>
      <c r="J80" t="str">
        <f t="shared" si="1"/>
        <v>ia.assorted_string like '%99922-00080-10-2024%' or</v>
      </c>
    </row>
    <row r="81" spans="1:10">
      <c r="A81" s="65" t="s">
        <v>2187</v>
      </c>
      <c r="B81" t="s">
        <v>2383</v>
      </c>
      <c r="H81">
        <v>99922</v>
      </c>
      <c r="I81" t="s">
        <v>2464</v>
      </c>
      <c r="J81" t="str">
        <f t="shared" si="1"/>
        <v>ia.assorted_string like '%99922-00081-10-2024%' or</v>
      </c>
    </row>
    <row r="82" spans="1:10">
      <c r="A82" s="65" t="s">
        <v>2188</v>
      </c>
      <c r="B82" t="s">
        <v>2383</v>
      </c>
      <c r="H82">
        <v>99922</v>
      </c>
      <c r="I82" t="s">
        <v>2465</v>
      </c>
      <c r="J82" t="str">
        <f t="shared" si="1"/>
        <v>ia.assorted_string like '%99922-00082-10-2024%' or</v>
      </c>
    </row>
    <row r="83" spans="1:10">
      <c r="A83" s="65" t="s">
        <v>2189</v>
      </c>
      <c r="B83" t="s">
        <v>2383</v>
      </c>
      <c r="H83">
        <v>99922</v>
      </c>
      <c r="I83" t="s">
        <v>2466</v>
      </c>
      <c r="J83" t="str">
        <f t="shared" si="1"/>
        <v>ia.assorted_string like '%99922-00083-10-2024%' or</v>
      </c>
    </row>
    <row r="84" spans="1:10">
      <c r="A84" s="65" t="s">
        <v>2190</v>
      </c>
      <c r="B84" t="s">
        <v>2383</v>
      </c>
      <c r="H84">
        <v>99922</v>
      </c>
      <c r="I84" t="s">
        <v>2467</v>
      </c>
      <c r="J84" t="str">
        <f t="shared" si="1"/>
        <v>ia.assorted_string like '%99922-00084-10-2024%' or</v>
      </c>
    </row>
    <row r="85" spans="1:10">
      <c r="A85" s="65" t="s">
        <v>2191</v>
      </c>
      <c r="B85" t="s">
        <v>2383</v>
      </c>
      <c r="H85">
        <v>99922</v>
      </c>
      <c r="I85" t="s">
        <v>2468</v>
      </c>
      <c r="J85" t="str">
        <f t="shared" si="1"/>
        <v>ia.assorted_string like '%99922-00085-10-2024%' or</v>
      </c>
    </row>
    <row r="86" spans="1:10">
      <c r="A86" s="65" t="s">
        <v>2192</v>
      </c>
      <c r="B86" t="s">
        <v>2383</v>
      </c>
      <c r="H86">
        <v>99922</v>
      </c>
      <c r="I86" t="s">
        <v>2469</v>
      </c>
      <c r="J86" t="str">
        <f t="shared" si="1"/>
        <v>ia.assorted_string like '%99922-00086-10-2024%' or</v>
      </c>
    </row>
    <row r="87" spans="1:10">
      <c r="A87" s="65" t="s">
        <v>2193</v>
      </c>
      <c r="B87" t="s">
        <v>2383</v>
      </c>
      <c r="H87">
        <v>99922</v>
      </c>
      <c r="I87" t="s">
        <v>2470</v>
      </c>
      <c r="J87" t="str">
        <f t="shared" si="1"/>
        <v>ia.assorted_string like '%99922-00087-10-2024%' or</v>
      </c>
    </row>
    <row r="88" spans="1:10">
      <c r="A88" s="65" t="s">
        <v>2194</v>
      </c>
      <c r="B88" t="s">
        <v>2383</v>
      </c>
      <c r="H88">
        <v>99922</v>
      </c>
      <c r="I88" t="s">
        <v>2471</v>
      </c>
      <c r="J88" t="str">
        <f t="shared" si="1"/>
        <v>ia.assorted_string like '%99922-00088-10-2024%' or</v>
      </c>
    </row>
    <row r="89" spans="1:10">
      <c r="A89" s="65" t="s">
        <v>2195</v>
      </c>
      <c r="B89" t="s">
        <v>2383</v>
      </c>
      <c r="H89">
        <v>99922</v>
      </c>
      <c r="I89" t="s">
        <v>2472</v>
      </c>
      <c r="J89" t="str">
        <f t="shared" si="1"/>
        <v>ia.assorted_string like '%99922-00089-10-2024%' or</v>
      </c>
    </row>
    <row r="90" spans="1:10">
      <c r="A90" s="65" t="s">
        <v>2196</v>
      </c>
      <c r="B90" t="s">
        <v>2383</v>
      </c>
      <c r="H90">
        <v>99922</v>
      </c>
      <c r="I90" t="s">
        <v>2473</v>
      </c>
      <c r="J90" t="str">
        <f t="shared" si="1"/>
        <v>ia.assorted_string like '%99922-00090-10-2024%' or</v>
      </c>
    </row>
    <row r="91" spans="1:10">
      <c r="A91" s="65" t="s">
        <v>2197</v>
      </c>
      <c r="B91" t="s">
        <v>2383</v>
      </c>
      <c r="H91">
        <v>99922</v>
      </c>
      <c r="I91" t="s">
        <v>2474</v>
      </c>
      <c r="J91" t="str">
        <f t="shared" si="1"/>
        <v>ia.assorted_string like '%99922-00091-10-2024%' or</v>
      </c>
    </row>
    <row r="92" spans="1:10">
      <c r="A92" s="65" t="s">
        <v>2198</v>
      </c>
      <c r="B92" t="s">
        <v>2383</v>
      </c>
      <c r="H92">
        <v>99922</v>
      </c>
      <c r="I92" t="s">
        <v>2475</v>
      </c>
      <c r="J92" t="str">
        <f t="shared" si="1"/>
        <v>ia.assorted_string like '%99922-00092-10-2024%' or</v>
      </c>
    </row>
    <row r="93" spans="1:10">
      <c r="A93" s="65" t="s">
        <v>2199</v>
      </c>
      <c r="B93" t="s">
        <v>2383</v>
      </c>
      <c r="H93">
        <v>99922</v>
      </c>
      <c r="I93" t="s">
        <v>2476</v>
      </c>
      <c r="J93" t="str">
        <f t="shared" si="1"/>
        <v>ia.assorted_string like '%99922-00093-10-2024%' or</v>
      </c>
    </row>
    <row r="94" spans="1:10">
      <c r="A94" s="65" t="s">
        <v>2200</v>
      </c>
      <c r="B94" t="s">
        <v>2383</v>
      </c>
      <c r="H94">
        <v>99922</v>
      </c>
      <c r="I94" t="s">
        <v>2477</v>
      </c>
      <c r="J94" t="str">
        <f t="shared" si="1"/>
        <v>ia.assorted_string like '%99922-00094-10-2024%' or</v>
      </c>
    </row>
    <row r="95" spans="1:10">
      <c r="A95" s="65" t="s">
        <v>2201</v>
      </c>
      <c r="B95" t="s">
        <v>2383</v>
      </c>
      <c r="H95">
        <v>99922</v>
      </c>
      <c r="I95" t="s">
        <v>2478</v>
      </c>
      <c r="J95" t="str">
        <f t="shared" si="1"/>
        <v>ia.assorted_string like '%99922-00095-10-2024%' or</v>
      </c>
    </row>
    <row r="96" spans="1:10">
      <c r="A96" s="65" t="s">
        <v>2202</v>
      </c>
      <c r="B96" t="s">
        <v>2383</v>
      </c>
      <c r="H96">
        <v>99922</v>
      </c>
      <c r="I96" t="s">
        <v>2479</v>
      </c>
      <c r="J96" t="str">
        <f t="shared" si="1"/>
        <v>ia.assorted_string like '%99922-00096-10-2024%' or</v>
      </c>
    </row>
    <row r="97" spans="1:10">
      <c r="A97" s="65" t="s">
        <v>2203</v>
      </c>
      <c r="B97" t="s">
        <v>2383</v>
      </c>
      <c r="H97">
        <v>99922</v>
      </c>
      <c r="I97" t="s">
        <v>2480</v>
      </c>
      <c r="J97" t="str">
        <f t="shared" si="1"/>
        <v>ia.assorted_string like '%99922-00097-10-2024%' or</v>
      </c>
    </row>
    <row r="98" spans="1:10">
      <c r="A98" s="65" t="s">
        <v>2204</v>
      </c>
      <c r="B98" t="s">
        <v>2383</v>
      </c>
      <c r="H98">
        <v>99922</v>
      </c>
      <c r="I98" t="s">
        <v>2481</v>
      </c>
      <c r="J98" t="str">
        <f t="shared" si="1"/>
        <v>ia.assorted_string like '%99922-00098-10-2024%' or</v>
      </c>
    </row>
    <row r="99" spans="1:10">
      <c r="A99" s="65" t="s">
        <v>2205</v>
      </c>
      <c r="B99" t="s">
        <v>2383</v>
      </c>
      <c r="H99">
        <v>99922</v>
      </c>
      <c r="I99" t="s">
        <v>2482</v>
      </c>
      <c r="J99" t="str">
        <f t="shared" si="1"/>
        <v>ia.assorted_string like '%99922-00099-10-2024%' or</v>
      </c>
    </row>
    <row r="100" spans="1:10">
      <c r="A100" s="65" t="s">
        <v>2206</v>
      </c>
      <c r="B100" t="s">
        <v>2383</v>
      </c>
      <c r="H100">
        <v>99922</v>
      </c>
      <c r="I100" t="s">
        <v>2483</v>
      </c>
      <c r="J100" t="str">
        <f t="shared" si="1"/>
        <v>ia.assorted_string like '%99922-00100-10-2024%' or</v>
      </c>
    </row>
    <row r="101" spans="1:10">
      <c r="A101" s="65" t="s">
        <v>2207</v>
      </c>
      <c r="B101" t="s">
        <v>2383</v>
      </c>
      <c r="H101">
        <v>99922</v>
      </c>
      <c r="I101" t="s">
        <v>2484</v>
      </c>
      <c r="J101" t="str">
        <f t="shared" si="1"/>
        <v>ia.assorted_string like '%99922-00101-10-2024%' or</v>
      </c>
    </row>
    <row r="102" spans="1:10">
      <c r="A102" s="65" t="s">
        <v>2208</v>
      </c>
      <c r="B102" t="s">
        <v>2383</v>
      </c>
      <c r="H102">
        <v>99922</v>
      </c>
      <c r="I102" t="s">
        <v>2485</v>
      </c>
      <c r="J102" t="str">
        <f t="shared" si="1"/>
        <v>ia.assorted_string like '%99922-00102-10-2024%' or</v>
      </c>
    </row>
    <row r="103" spans="1:10">
      <c r="A103" s="65" t="s">
        <v>2209</v>
      </c>
      <c r="B103" t="s">
        <v>2383</v>
      </c>
      <c r="H103">
        <v>99922</v>
      </c>
      <c r="I103" t="s">
        <v>2486</v>
      </c>
      <c r="J103" t="str">
        <f t="shared" si="1"/>
        <v>ia.assorted_string like '%99922-00103-10-2024%' or</v>
      </c>
    </row>
    <row r="104" spans="1:10">
      <c r="A104" s="65" t="s">
        <v>2210</v>
      </c>
      <c r="B104" t="s">
        <v>2383</v>
      </c>
      <c r="H104">
        <v>99922</v>
      </c>
      <c r="I104" t="s">
        <v>2487</v>
      </c>
      <c r="J104" t="str">
        <f t="shared" si="1"/>
        <v>ia.assorted_string like '%99922-00104-10-2024%' or</v>
      </c>
    </row>
    <row r="105" spans="1:10">
      <c r="A105" s="65" t="s">
        <v>2211</v>
      </c>
      <c r="B105" t="s">
        <v>2383</v>
      </c>
      <c r="H105">
        <v>99922</v>
      </c>
      <c r="I105" t="s">
        <v>2488</v>
      </c>
      <c r="J105" t="str">
        <f t="shared" si="1"/>
        <v>ia.assorted_string like '%99922-00105-10-2024%' or</v>
      </c>
    </row>
    <row r="106" spans="1:10">
      <c r="A106" s="65" t="s">
        <v>2212</v>
      </c>
      <c r="B106" t="s">
        <v>2383</v>
      </c>
      <c r="H106">
        <v>99922</v>
      </c>
      <c r="I106" t="s">
        <v>2489</v>
      </c>
      <c r="J106" t="str">
        <f t="shared" si="1"/>
        <v>ia.assorted_string like '%99922-00106-10-2024%' or</v>
      </c>
    </row>
    <row r="107" spans="1:10">
      <c r="A107" s="65" t="s">
        <v>2213</v>
      </c>
      <c r="B107" t="s">
        <v>2383</v>
      </c>
      <c r="H107">
        <v>99922</v>
      </c>
      <c r="I107" t="s">
        <v>2490</v>
      </c>
      <c r="J107" t="str">
        <f t="shared" si="1"/>
        <v>ia.assorted_string like '%99922-00107-10-2024%' or</v>
      </c>
    </row>
    <row r="108" spans="1:10">
      <c r="A108" s="65" t="s">
        <v>2214</v>
      </c>
      <c r="B108" t="s">
        <v>2383</v>
      </c>
      <c r="H108">
        <v>99922</v>
      </c>
      <c r="I108" t="s">
        <v>2491</v>
      </c>
      <c r="J108" t="str">
        <f t="shared" si="1"/>
        <v>ia.assorted_string like '%99922-00108-10-2024%' or</v>
      </c>
    </row>
    <row r="109" spans="1:10">
      <c r="A109" s="65" t="s">
        <v>2215</v>
      </c>
      <c r="B109" t="s">
        <v>2383</v>
      </c>
      <c r="H109">
        <v>99922</v>
      </c>
      <c r="I109" t="s">
        <v>2492</v>
      </c>
      <c r="J109" t="str">
        <f t="shared" si="1"/>
        <v>ia.assorted_string like '%99922-00109-10-2024%' or</v>
      </c>
    </row>
    <row r="110" spans="1:10">
      <c r="A110" s="65" t="s">
        <v>2216</v>
      </c>
      <c r="B110" t="s">
        <v>2383</v>
      </c>
      <c r="H110">
        <v>99922</v>
      </c>
      <c r="I110" t="s">
        <v>2493</v>
      </c>
      <c r="J110" t="str">
        <f t="shared" si="1"/>
        <v>ia.assorted_string like '%99922-00110-10-2024%' or</v>
      </c>
    </row>
    <row r="111" spans="1:10">
      <c r="A111" s="65" t="s">
        <v>2217</v>
      </c>
      <c r="B111" t="s">
        <v>2383</v>
      </c>
      <c r="H111">
        <v>99922</v>
      </c>
      <c r="I111" t="s">
        <v>2494</v>
      </c>
      <c r="J111" t="str">
        <f t="shared" si="1"/>
        <v>ia.assorted_string like '%99922-00111-10-2024%' or</v>
      </c>
    </row>
    <row r="112" spans="1:10">
      <c r="A112" s="65" t="s">
        <v>2218</v>
      </c>
      <c r="B112" t="s">
        <v>2383</v>
      </c>
      <c r="H112">
        <v>99922</v>
      </c>
      <c r="I112" t="s">
        <v>2495</v>
      </c>
      <c r="J112" t="str">
        <f t="shared" si="1"/>
        <v>ia.assorted_string like '%99922-00112-10-2024%' or</v>
      </c>
    </row>
    <row r="113" spans="1:10">
      <c r="A113" s="65" t="s">
        <v>2219</v>
      </c>
      <c r="B113" t="s">
        <v>2383</v>
      </c>
      <c r="H113">
        <v>99922</v>
      </c>
      <c r="I113" t="s">
        <v>2496</v>
      </c>
      <c r="J113" t="str">
        <f t="shared" si="1"/>
        <v>ia.assorted_string like '%99922-00113-10-2024%' or</v>
      </c>
    </row>
    <row r="114" spans="1:10">
      <c r="A114" s="65" t="s">
        <v>2220</v>
      </c>
      <c r="B114" t="s">
        <v>2383</v>
      </c>
      <c r="H114">
        <v>99922</v>
      </c>
      <c r="I114" t="s">
        <v>2497</v>
      </c>
      <c r="J114" t="str">
        <f t="shared" si="1"/>
        <v>ia.assorted_string like '%99922-00114-10-2024%' or</v>
      </c>
    </row>
    <row r="115" spans="1:10">
      <c r="A115" s="65" t="s">
        <v>2221</v>
      </c>
      <c r="B115" t="s">
        <v>2383</v>
      </c>
      <c r="H115">
        <v>99922</v>
      </c>
      <c r="I115" t="s">
        <v>2498</v>
      </c>
      <c r="J115" t="str">
        <f t="shared" si="1"/>
        <v>ia.assorted_string like '%99922-00115-10-2024%' or</v>
      </c>
    </row>
    <row r="116" spans="1:10">
      <c r="A116" s="65" t="s">
        <v>2222</v>
      </c>
      <c r="B116" t="s">
        <v>2383</v>
      </c>
      <c r="H116">
        <v>99922</v>
      </c>
      <c r="I116" t="s">
        <v>2499</v>
      </c>
      <c r="J116" t="str">
        <f t="shared" si="1"/>
        <v>ia.assorted_string like '%99922-00116-10-2024%' or</v>
      </c>
    </row>
    <row r="117" spans="1:10">
      <c r="A117" s="65" t="s">
        <v>2223</v>
      </c>
      <c r="B117" t="s">
        <v>2383</v>
      </c>
      <c r="H117">
        <v>99922</v>
      </c>
      <c r="I117" t="s">
        <v>2500</v>
      </c>
      <c r="J117" t="str">
        <f t="shared" si="1"/>
        <v>ia.assorted_string like '%99922-00117-10-2024%' or</v>
      </c>
    </row>
    <row r="118" spans="1:10">
      <c r="A118" s="65" t="s">
        <v>2224</v>
      </c>
      <c r="B118" t="s">
        <v>2383</v>
      </c>
      <c r="H118">
        <v>99922</v>
      </c>
      <c r="I118" t="s">
        <v>2501</v>
      </c>
      <c r="J118" t="str">
        <f t="shared" si="1"/>
        <v>ia.assorted_string like '%99922-00118-10-2024%' or</v>
      </c>
    </row>
    <row r="119" spans="1:10">
      <c r="A119" s="65" t="s">
        <v>2225</v>
      </c>
      <c r="B119" t="s">
        <v>2383</v>
      </c>
      <c r="H119">
        <v>99922</v>
      </c>
      <c r="I119" t="s">
        <v>2502</v>
      </c>
      <c r="J119" t="str">
        <f t="shared" si="1"/>
        <v>ia.assorted_string like '%99922-00119-10-2024%' or</v>
      </c>
    </row>
    <row r="120" spans="1:10">
      <c r="A120" s="65" t="s">
        <v>2226</v>
      </c>
      <c r="B120" t="s">
        <v>2383</v>
      </c>
      <c r="H120">
        <v>99922</v>
      </c>
      <c r="I120" t="s">
        <v>2503</v>
      </c>
      <c r="J120" t="str">
        <f t="shared" si="1"/>
        <v>ia.assorted_string like '%99922-00120-10-2024%' or</v>
      </c>
    </row>
    <row r="121" spans="1:10">
      <c r="A121" s="65" t="s">
        <v>2227</v>
      </c>
      <c r="B121" t="s">
        <v>2383</v>
      </c>
      <c r="H121">
        <v>99922</v>
      </c>
      <c r="I121" t="s">
        <v>2504</v>
      </c>
      <c r="J121" t="str">
        <f t="shared" si="1"/>
        <v>ia.assorted_string like '%99922-00121-10-2024%' or</v>
      </c>
    </row>
    <row r="122" spans="1:10">
      <c r="A122" s="65" t="s">
        <v>2228</v>
      </c>
      <c r="B122" t="s">
        <v>2383</v>
      </c>
      <c r="H122">
        <v>99922</v>
      </c>
      <c r="I122" t="s">
        <v>2505</v>
      </c>
      <c r="J122" t="str">
        <f t="shared" si="1"/>
        <v>ia.assorted_string like '%99922-00122-10-2024%' or</v>
      </c>
    </row>
    <row r="123" spans="1:10">
      <c r="A123" s="65" t="s">
        <v>2229</v>
      </c>
      <c r="B123" t="s">
        <v>2383</v>
      </c>
      <c r="H123">
        <v>99922</v>
      </c>
      <c r="I123" t="s">
        <v>2506</v>
      </c>
      <c r="J123" t="str">
        <f t="shared" si="1"/>
        <v>ia.assorted_string like '%99922-00123-10-2024%' or</v>
      </c>
    </row>
    <row r="124" spans="1:10">
      <c r="A124" s="65" t="s">
        <v>2230</v>
      </c>
      <c r="B124" t="s">
        <v>2383</v>
      </c>
      <c r="H124">
        <v>99922</v>
      </c>
      <c r="I124" t="s">
        <v>2507</v>
      </c>
      <c r="J124" t="str">
        <f t="shared" si="1"/>
        <v>ia.assorted_string like '%99922-00124-10-2024%' or</v>
      </c>
    </row>
    <row r="125" spans="1:10">
      <c r="A125" s="65" t="s">
        <v>2231</v>
      </c>
      <c r="B125" t="s">
        <v>2383</v>
      </c>
      <c r="H125">
        <v>99922</v>
      </c>
      <c r="I125" t="s">
        <v>2508</v>
      </c>
      <c r="J125" t="str">
        <f t="shared" si="1"/>
        <v>ia.assorted_string like '%99922-00125-10-2024%' or</v>
      </c>
    </row>
    <row r="126" spans="1:10">
      <c r="A126" s="65" t="s">
        <v>2232</v>
      </c>
      <c r="B126" t="s">
        <v>2383</v>
      </c>
      <c r="H126">
        <v>99922</v>
      </c>
      <c r="I126" t="s">
        <v>2509</v>
      </c>
      <c r="J126" t="str">
        <f t="shared" si="1"/>
        <v>ia.assorted_string like '%99922-00126-10-2024%' or</v>
      </c>
    </row>
    <row r="127" spans="1:10">
      <c r="A127" s="65" t="s">
        <v>2233</v>
      </c>
      <c r="B127" t="s">
        <v>2383</v>
      </c>
      <c r="H127">
        <v>99922</v>
      </c>
      <c r="I127" t="s">
        <v>2510</v>
      </c>
      <c r="J127" t="str">
        <f t="shared" si="1"/>
        <v>ia.assorted_string like '%99922-00127-10-2024%' or</v>
      </c>
    </row>
    <row r="128" spans="1:10">
      <c r="A128" s="65" t="s">
        <v>2234</v>
      </c>
      <c r="B128" t="s">
        <v>2383</v>
      </c>
      <c r="H128">
        <v>99922</v>
      </c>
      <c r="I128" t="s">
        <v>2511</v>
      </c>
      <c r="J128" t="str">
        <f t="shared" si="1"/>
        <v>ia.assorted_string like '%99922-00128-10-2024%' or</v>
      </c>
    </row>
    <row r="129" spans="1:10">
      <c r="A129" s="65" t="s">
        <v>2235</v>
      </c>
      <c r="B129" t="s">
        <v>2383</v>
      </c>
      <c r="H129">
        <v>99922</v>
      </c>
      <c r="I129" t="s">
        <v>2512</v>
      </c>
      <c r="J129" t="str">
        <f t="shared" si="1"/>
        <v>ia.assorted_string like '%99922-00129-10-2024%' or</v>
      </c>
    </row>
    <row r="130" spans="1:10">
      <c r="A130" s="65" t="s">
        <v>2236</v>
      </c>
      <c r="B130" t="s">
        <v>2383</v>
      </c>
      <c r="H130">
        <v>99922</v>
      </c>
      <c r="I130" t="s">
        <v>2513</v>
      </c>
      <c r="J130" t="str">
        <f t="shared" si="1"/>
        <v>ia.assorted_string like '%99922-00130-10-2024%' or</v>
      </c>
    </row>
    <row r="131" spans="1:10">
      <c r="A131" s="65" t="s">
        <v>2237</v>
      </c>
      <c r="B131" t="s">
        <v>2383</v>
      </c>
      <c r="H131">
        <v>99922</v>
      </c>
      <c r="I131" t="s">
        <v>2514</v>
      </c>
      <c r="J131" t="str">
        <f t="shared" ref="J131:J194" si="2">"ia.assorted_string like '%"&amp;H131&amp;"-"&amp;I131&amp;B131&amp;"%' or"</f>
        <v>ia.assorted_string like '%99922-00131-10-2024%' or</v>
      </c>
    </row>
    <row r="132" spans="1:10">
      <c r="A132" s="65" t="s">
        <v>2238</v>
      </c>
      <c r="B132" t="s">
        <v>2383</v>
      </c>
      <c r="H132">
        <v>99922</v>
      </c>
      <c r="I132" t="s">
        <v>2515</v>
      </c>
      <c r="J132" t="str">
        <f t="shared" si="2"/>
        <v>ia.assorted_string like '%99922-00132-10-2024%' or</v>
      </c>
    </row>
    <row r="133" spans="1:10">
      <c r="A133" s="78" t="s">
        <v>2380</v>
      </c>
      <c r="B133" t="s">
        <v>2382</v>
      </c>
      <c r="J133" t="s">
        <v>2384</v>
      </c>
    </row>
    <row r="134" spans="1:10">
      <c r="A134" s="65" t="s">
        <v>2239</v>
      </c>
      <c r="B134" t="s">
        <v>2383</v>
      </c>
      <c r="H134">
        <v>99922</v>
      </c>
      <c r="I134" t="s">
        <v>2516</v>
      </c>
      <c r="J134" t="str">
        <f t="shared" si="2"/>
        <v>ia.assorted_string like '%99922-00133-10-2024%' or</v>
      </c>
    </row>
    <row r="135" spans="1:10">
      <c r="A135" s="65" t="s">
        <v>2240</v>
      </c>
      <c r="B135" t="s">
        <v>2383</v>
      </c>
      <c r="H135">
        <v>99922</v>
      </c>
      <c r="I135" t="s">
        <v>2517</v>
      </c>
      <c r="J135" t="str">
        <f t="shared" si="2"/>
        <v>ia.assorted_string like '%99922-00134-10-2024%' or</v>
      </c>
    </row>
    <row r="136" spans="1:10">
      <c r="A136" s="65" t="s">
        <v>2241</v>
      </c>
      <c r="B136" t="s">
        <v>2383</v>
      </c>
      <c r="H136">
        <v>99922</v>
      </c>
      <c r="I136" t="s">
        <v>2518</v>
      </c>
      <c r="J136" t="str">
        <f t="shared" si="2"/>
        <v>ia.assorted_string like '%99922-00135-10-2024%' or</v>
      </c>
    </row>
    <row r="137" spans="1:10">
      <c r="A137" s="65" t="s">
        <v>2242</v>
      </c>
      <c r="B137" t="s">
        <v>2383</v>
      </c>
      <c r="H137">
        <v>99922</v>
      </c>
      <c r="I137" t="s">
        <v>2519</v>
      </c>
      <c r="J137" t="str">
        <f t="shared" si="2"/>
        <v>ia.assorted_string like '%99922-00136-10-2024%' or</v>
      </c>
    </row>
    <row r="138" spans="1:10">
      <c r="A138" s="65" t="s">
        <v>2243</v>
      </c>
      <c r="B138" t="s">
        <v>2383</v>
      </c>
      <c r="H138">
        <v>99922</v>
      </c>
      <c r="I138" t="s">
        <v>2520</v>
      </c>
      <c r="J138" t="str">
        <f t="shared" si="2"/>
        <v>ia.assorted_string like '%99922-00137-10-2024%' or</v>
      </c>
    </row>
    <row r="139" spans="1:10">
      <c r="A139" s="65" t="s">
        <v>2244</v>
      </c>
      <c r="B139" t="s">
        <v>2383</v>
      </c>
      <c r="H139">
        <v>99922</v>
      </c>
      <c r="I139" t="s">
        <v>2521</v>
      </c>
      <c r="J139" t="str">
        <f t="shared" si="2"/>
        <v>ia.assorted_string like '%99922-00138-10-2024%' or</v>
      </c>
    </row>
    <row r="140" spans="1:10">
      <c r="A140" s="65" t="s">
        <v>2245</v>
      </c>
      <c r="B140" t="s">
        <v>2383</v>
      </c>
      <c r="H140">
        <v>99922</v>
      </c>
      <c r="I140" t="s">
        <v>2522</v>
      </c>
      <c r="J140" t="str">
        <f t="shared" si="2"/>
        <v>ia.assorted_string like '%99922-00139-10-2024%' or</v>
      </c>
    </row>
    <row r="141" spans="1:10">
      <c r="A141" s="65" t="s">
        <v>2246</v>
      </c>
      <c r="B141" t="s">
        <v>2383</v>
      </c>
      <c r="H141">
        <v>99922</v>
      </c>
      <c r="I141" t="s">
        <v>2523</v>
      </c>
      <c r="J141" t="str">
        <f t="shared" si="2"/>
        <v>ia.assorted_string like '%99922-00140-10-2024%' or</v>
      </c>
    </row>
    <row r="142" spans="1:10">
      <c r="A142" s="65" t="s">
        <v>2247</v>
      </c>
      <c r="B142" t="s">
        <v>2383</v>
      </c>
      <c r="H142">
        <v>99922</v>
      </c>
      <c r="I142" t="s">
        <v>2524</v>
      </c>
      <c r="J142" t="str">
        <f t="shared" si="2"/>
        <v>ia.assorted_string like '%99922-00141-10-2024%' or</v>
      </c>
    </row>
    <row r="143" spans="1:10">
      <c r="A143" s="65" t="s">
        <v>2248</v>
      </c>
      <c r="B143" t="s">
        <v>2383</v>
      </c>
      <c r="H143">
        <v>99922</v>
      </c>
      <c r="I143" t="s">
        <v>2525</v>
      </c>
      <c r="J143" t="str">
        <f t="shared" si="2"/>
        <v>ia.assorted_string like '%99922-00142-10-2024%' or</v>
      </c>
    </row>
    <row r="144" spans="1:10">
      <c r="A144" s="65" t="s">
        <v>2249</v>
      </c>
      <c r="B144" t="s">
        <v>2383</v>
      </c>
      <c r="H144">
        <v>99922</v>
      </c>
      <c r="I144" t="s">
        <v>2526</v>
      </c>
      <c r="J144" t="str">
        <f t="shared" si="2"/>
        <v>ia.assorted_string like '%99922-00143-10-2024%' or</v>
      </c>
    </row>
    <row r="145" spans="1:10">
      <c r="A145" s="65" t="s">
        <v>2250</v>
      </c>
      <c r="B145" t="s">
        <v>2383</v>
      </c>
      <c r="H145">
        <v>99922</v>
      </c>
      <c r="I145" t="s">
        <v>2527</v>
      </c>
      <c r="J145" t="str">
        <f t="shared" si="2"/>
        <v>ia.assorted_string like '%99922-00144-10-2024%' or</v>
      </c>
    </row>
    <row r="146" spans="1:10">
      <c r="A146" s="65" t="s">
        <v>2251</v>
      </c>
      <c r="B146" t="s">
        <v>2383</v>
      </c>
      <c r="H146">
        <v>99922</v>
      </c>
      <c r="I146" t="s">
        <v>2528</v>
      </c>
      <c r="J146" t="str">
        <f t="shared" si="2"/>
        <v>ia.assorted_string like '%99922-00145-10-2024%' or</v>
      </c>
    </row>
    <row r="147" spans="1:10">
      <c r="A147" s="65" t="s">
        <v>2252</v>
      </c>
      <c r="B147" t="s">
        <v>2383</v>
      </c>
      <c r="H147">
        <v>99922</v>
      </c>
      <c r="I147" t="s">
        <v>2529</v>
      </c>
      <c r="J147" t="str">
        <f t="shared" si="2"/>
        <v>ia.assorted_string like '%99922-00146-10-2024%' or</v>
      </c>
    </row>
    <row r="148" spans="1:10">
      <c r="A148" s="65" t="s">
        <v>2253</v>
      </c>
      <c r="B148" t="s">
        <v>2383</v>
      </c>
      <c r="H148">
        <v>99922</v>
      </c>
      <c r="I148" t="s">
        <v>2530</v>
      </c>
      <c r="J148" t="str">
        <f t="shared" si="2"/>
        <v>ia.assorted_string like '%99922-00147-10-2024%' or</v>
      </c>
    </row>
    <row r="149" spans="1:10">
      <c r="A149" s="65" t="s">
        <v>2254</v>
      </c>
      <c r="B149" t="s">
        <v>2383</v>
      </c>
      <c r="H149">
        <v>99922</v>
      </c>
      <c r="I149" t="s">
        <v>2531</v>
      </c>
      <c r="J149" t="str">
        <f t="shared" si="2"/>
        <v>ia.assorted_string like '%99922-00148-10-2024%' or</v>
      </c>
    </row>
    <row r="150" spans="1:10">
      <c r="A150" s="65" t="s">
        <v>2255</v>
      </c>
      <c r="B150" t="s">
        <v>2383</v>
      </c>
      <c r="H150">
        <v>99922</v>
      </c>
      <c r="I150" t="s">
        <v>2532</v>
      </c>
      <c r="J150" t="str">
        <f t="shared" si="2"/>
        <v>ia.assorted_string like '%99922-00149-10-2024%' or</v>
      </c>
    </row>
    <row r="151" spans="1:10">
      <c r="A151" s="65" t="s">
        <v>2256</v>
      </c>
      <c r="B151" t="s">
        <v>2383</v>
      </c>
      <c r="H151">
        <v>99922</v>
      </c>
      <c r="I151" t="s">
        <v>2533</v>
      </c>
      <c r="J151" t="str">
        <f t="shared" si="2"/>
        <v>ia.assorted_string like '%99922-00150-10-2024%' or</v>
      </c>
    </row>
    <row r="152" spans="1:10">
      <c r="A152" s="65" t="s">
        <v>2257</v>
      </c>
      <c r="B152" t="s">
        <v>2383</v>
      </c>
      <c r="H152">
        <v>99922</v>
      </c>
      <c r="I152" t="s">
        <v>2534</v>
      </c>
      <c r="J152" t="str">
        <f t="shared" si="2"/>
        <v>ia.assorted_string like '%99922-00151-10-2024%' or</v>
      </c>
    </row>
    <row r="153" spans="1:10">
      <c r="A153" s="65" t="s">
        <v>2258</v>
      </c>
      <c r="B153" t="s">
        <v>2383</v>
      </c>
      <c r="H153">
        <v>99922</v>
      </c>
      <c r="I153" t="s">
        <v>2535</v>
      </c>
      <c r="J153" t="str">
        <f t="shared" si="2"/>
        <v>ia.assorted_string like '%99922-00152-10-2024%' or</v>
      </c>
    </row>
    <row r="154" spans="1:10">
      <c r="A154" s="65" t="s">
        <v>2259</v>
      </c>
      <c r="B154" t="s">
        <v>2383</v>
      </c>
      <c r="H154">
        <v>99922</v>
      </c>
      <c r="I154" t="s">
        <v>2536</v>
      </c>
      <c r="J154" t="str">
        <f t="shared" si="2"/>
        <v>ia.assorted_string like '%99922-00153-10-2024%' or</v>
      </c>
    </row>
    <row r="155" spans="1:10">
      <c r="A155" s="65" t="s">
        <v>2260</v>
      </c>
      <c r="B155" t="s">
        <v>2383</v>
      </c>
      <c r="H155">
        <v>99922</v>
      </c>
      <c r="I155" t="s">
        <v>2537</v>
      </c>
      <c r="J155" t="str">
        <f t="shared" si="2"/>
        <v>ia.assorted_string like '%99922-00154-10-2024%' or</v>
      </c>
    </row>
    <row r="156" spans="1:10">
      <c r="A156" s="65" t="s">
        <v>2261</v>
      </c>
      <c r="B156" t="s">
        <v>2383</v>
      </c>
      <c r="H156">
        <v>99922</v>
      </c>
      <c r="I156" t="s">
        <v>2538</v>
      </c>
      <c r="J156" t="str">
        <f t="shared" si="2"/>
        <v>ia.assorted_string like '%99922-00155-10-2024%' or</v>
      </c>
    </row>
    <row r="157" spans="1:10">
      <c r="A157" s="65" t="s">
        <v>2262</v>
      </c>
      <c r="B157" t="s">
        <v>2383</v>
      </c>
      <c r="H157">
        <v>99922</v>
      </c>
      <c r="I157" t="s">
        <v>2539</v>
      </c>
      <c r="J157" t="str">
        <f t="shared" si="2"/>
        <v>ia.assorted_string like '%99922-00156-10-2024%' or</v>
      </c>
    </row>
    <row r="158" spans="1:10">
      <c r="A158" s="65" t="s">
        <v>2263</v>
      </c>
      <c r="B158" t="s">
        <v>2383</v>
      </c>
      <c r="H158">
        <v>99922</v>
      </c>
      <c r="I158" t="s">
        <v>2540</v>
      </c>
      <c r="J158" t="str">
        <f t="shared" si="2"/>
        <v>ia.assorted_string like '%99922-00157-10-2024%' or</v>
      </c>
    </row>
    <row r="159" spans="1:10">
      <c r="A159" s="65" t="s">
        <v>2264</v>
      </c>
      <c r="B159" t="s">
        <v>2383</v>
      </c>
      <c r="H159">
        <v>99922</v>
      </c>
      <c r="I159" t="s">
        <v>2541</v>
      </c>
      <c r="J159" t="str">
        <f t="shared" si="2"/>
        <v>ia.assorted_string like '%99922-00158-10-2024%' or</v>
      </c>
    </row>
    <row r="160" spans="1:10">
      <c r="A160" s="65" t="s">
        <v>2265</v>
      </c>
      <c r="B160" t="s">
        <v>2383</v>
      </c>
      <c r="H160">
        <v>99922</v>
      </c>
      <c r="I160" t="s">
        <v>2542</v>
      </c>
      <c r="J160" t="str">
        <f t="shared" si="2"/>
        <v>ia.assorted_string like '%99922-00159-10-2024%' or</v>
      </c>
    </row>
    <row r="161" spans="1:10">
      <c r="A161" s="65" t="s">
        <v>2266</v>
      </c>
      <c r="B161" t="s">
        <v>2383</v>
      </c>
      <c r="H161">
        <v>99922</v>
      </c>
      <c r="I161" t="s">
        <v>2543</v>
      </c>
      <c r="J161" t="str">
        <f t="shared" si="2"/>
        <v>ia.assorted_string like '%99922-00160-10-2024%' or</v>
      </c>
    </row>
    <row r="162" spans="1:10">
      <c r="A162" s="65" t="s">
        <v>2267</v>
      </c>
      <c r="B162" t="s">
        <v>2383</v>
      </c>
      <c r="H162">
        <v>99922</v>
      </c>
      <c r="I162" t="s">
        <v>2544</v>
      </c>
      <c r="J162" t="str">
        <f t="shared" si="2"/>
        <v>ia.assorted_string like '%99922-00161-10-2024%' or</v>
      </c>
    </row>
    <row r="163" spans="1:10">
      <c r="A163" s="65" t="s">
        <v>2268</v>
      </c>
      <c r="B163" t="s">
        <v>2383</v>
      </c>
      <c r="H163">
        <v>99922</v>
      </c>
      <c r="I163" t="s">
        <v>2545</v>
      </c>
      <c r="J163" t="str">
        <f t="shared" si="2"/>
        <v>ia.assorted_string like '%99922-00162-10-2024%' or</v>
      </c>
    </row>
    <row r="164" spans="1:10">
      <c r="A164" s="65" t="s">
        <v>2269</v>
      </c>
      <c r="B164" t="s">
        <v>2383</v>
      </c>
      <c r="H164">
        <v>99922</v>
      </c>
      <c r="I164" t="s">
        <v>2546</v>
      </c>
      <c r="J164" t="str">
        <f t="shared" si="2"/>
        <v>ia.assorted_string like '%99922-00163-10-2024%' or</v>
      </c>
    </row>
    <row r="165" spans="1:10">
      <c r="A165" s="65" t="s">
        <v>2270</v>
      </c>
      <c r="B165" t="s">
        <v>2383</v>
      </c>
      <c r="H165">
        <v>99922</v>
      </c>
      <c r="I165" t="s">
        <v>2547</v>
      </c>
      <c r="J165" t="str">
        <f t="shared" si="2"/>
        <v>ia.assorted_string like '%99922-00164-10-2024%' or</v>
      </c>
    </row>
    <row r="166" spans="1:10">
      <c r="A166" s="65" t="s">
        <v>2271</v>
      </c>
      <c r="B166" t="s">
        <v>2383</v>
      </c>
      <c r="H166">
        <v>99922</v>
      </c>
      <c r="I166" t="s">
        <v>2548</v>
      </c>
      <c r="J166" t="str">
        <f t="shared" si="2"/>
        <v>ia.assorted_string like '%99922-00165-10-2024%' or</v>
      </c>
    </row>
    <row r="167" spans="1:10">
      <c r="A167" s="65" t="s">
        <v>2272</v>
      </c>
      <c r="B167" t="s">
        <v>2383</v>
      </c>
      <c r="H167">
        <v>99922</v>
      </c>
      <c r="I167" t="s">
        <v>2549</v>
      </c>
      <c r="J167" t="str">
        <f t="shared" si="2"/>
        <v>ia.assorted_string like '%99922-00166-10-2024%' or</v>
      </c>
    </row>
    <row r="168" spans="1:10">
      <c r="A168" s="65" t="s">
        <v>2273</v>
      </c>
      <c r="B168" t="s">
        <v>2383</v>
      </c>
      <c r="H168">
        <v>99922</v>
      </c>
      <c r="I168" t="s">
        <v>2550</v>
      </c>
      <c r="J168" t="str">
        <f t="shared" si="2"/>
        <v>ia.assorted_string like '%99922-00167-10-2024%' or</v>
      </c>
    </row>
    <row r="169" spans="1:10">
      <c r="A169" s="65" t="s">
        <v>2274</v>
      </c>
      <c r="B169" t="s">
        <v>2383</v>
      </c>
      <c r="H169">
        <v>99922</v>
      </c>
      <c r="I169" t="s">
        <v>2551</v>
      </c>
      <c r="J169" t="str">
        <f t="shared" si="2"/>
        <v>ia.assorted_string like '%99922-00168-10-2024%' or</v>
      </c>
    </row>
    <row r="170" spans="1:10">
      <c r="A170" s="65" t="s">
        <v>2275</v>
      </c>
      <c r="B170" t="s">
        <v>2383</v>
      </c>
      <c r="H170">
        <v>99922</v>
      </c>
      <c r="I170" t="s">
        <v>2552</v>
      </c>
      <c r="J170" t="str">
        <f t="shared" si="2"/>
        <v>ia.assorted_string like '%99922-00169-10-2024%' or</v>
      </c>
    </row>
    <row r="171" spans="1:10">
      <c r="A171" s="65" t="s">
        <v>2276</v>
      </c>
      <c r="B171" t="s">
        <v>2383</v>
      </c>
      <c r="H171">
        <v>99922</v>
      </c>
      <c r="I171" t="s">
        <v>2553</v>
      </c>
      <c r="J171" t="str">
        <f t="shared" si="2"/>
        <v>ia.assorted_string like '%99922-00170-10-2024%' or</v>
      </c>
    </row>
    <row r="172" spans="1:10">
      <c r="A172" s="65" t="s">
        <v>2277</v>
      </c>
      <c r="B172" t="s">
        <v>2383</v>
      </c>
      <c r="H172">
        <v>99922</v>
      </c>
      <c r="I172" t="s">
        <v>2554</v>
      </c>
      <c r="J172" t="str">
        <f t="shared" si="2"/>
        <v>ia.assorted_string like '%99922-00171-10-2024%' or</v>
      </c>
    </row>
    <row r="173" spans="1:10">
      <c r="A173" s="65" t="s">
        <v>2278</v>
      </c>
      <c r="B173" t="s">
        <v>2383</v>
      </c>
      <c r="H173">
        <v>99922</v>
      </c>
      <c r="I173" t="s">
        <v>2555</v>
      </c>
      <c r="J173" t="str">
        <f t="shared" si="2"/>
        <v>ia.assorted_string like '%99922-00172-10-2024%' or</v>
      </c>
    </row>
    <row r="174" spans="1:10">
      <c r="A174" s="65" t="s">
        <v>2279</v>
      </c>
      <c r="B174" t="s">
        <v>2383</v>
      </c>
      <c r="H174">
        <v>99922</v>
      </c>
      <c r="I174" t="s">
        <v>2556</v>
      </c>
      <c r="J174" t="str">
        <f t="shared" si="2"/>
        <v>ia.assorted_string like '%99922-00173-10-2024%' or</v>
      </c>
    </row>
    <row r="175" spans="1:10">
      <c r="A175" s="65" t="s">
        <v>2280</v>
      </c>
      <c r="B175" t="s">
        <v>2383</v>
      </c>
      <c r="H175">
        <v>99922</v>
      </c>
      <c r="I175" t="s">
        <v>2557</v>
      </c>
      <c r="J175" t="str">
        <f t="shared" si="2"/>
        <v>ia.assorted_string like '%99922-00174-10-2024%' or</v>
      </c>
    </row>
    <row r="176" spans="1:10">
      <c r="A176" s="65" t="s">
        <v>2281</v>
      </c>
      <c r="B176" t="s">
        <v>2383</v>
      </c>
      <c r="H176">
        <v>99922</v>
      </c>
      <c r="I176" t="s">
        <v>2558</v>
      </c>
      <c r="J176" t="str">
        <f t="shared" si="2"/>
        <v>ia.assorted_string like '%99922-00175-10-2024%' or</v>
      </c>
    </row>
    <row r="177" spans="1:10">
      <c r="A177" s="65" t="s">
        <v>2282</v>
      </c>
      <c r="B177" t="s">
        <v>2383</v>
      </c>
      <c r="H177">
        <v>99922</v>
      </c>
      <c r="I177" t="s">
        <v>2559</v>
      </c>
      <c r="J177" t="str">
        <f t="shared" si="2"/>
        <v>ia.assorted_string like '%99922-00176-10-2024%' or</v>
      </c>
    </row>
    <row r="178" spans="1:10">
      <c r="A178" s="65" t="s">
        <v>2283</v>
      </c>
      <c r="B178" t="s">
        <v>2383</v>
      </c>
      <c r="H178">
        <v>99922</v>
      </c>
      <c r="I178" t="s">
        <v>2560</v>
      </c>
      <c r="J178" t="str">
        <f t="shared" si="2"/>
        <v>ia.assorted_string like '%99922-00177-10-2024%' or</v>
      </c>
    </row>
    <row r="179" spans="1:10">
      <c r="A179" s="65" t="s">
        <v>2284</v>
      </c>
      <c r="B179" t="s">
        <v>2383</v>
      </c>
      <c r="H179">
        <v>99922</v>
      </c>
      <c r="I179" t="s">
        <v>2561</v>
      </c>
      <c r="J179" t="str">
        <f t="shared" si="2"/>
        <v>ia.assorted_string like '%99922-00178-10-2024%' or</v>
      </c>
    </row>
    <row r="180" spans="1:10">
      <c r="A180" s="65" t="s">
        <v>2285</v>
      </c>
      <c r="B180" t="s">
        <v>2383</v>
      </c>
      <c r="H180">
        <v>99922</v>
      </c>
      <c r="I180" t="s">
        <v>2562</v>
      </c>
      <c r="J180" t="str">
        <f t="shared" si="2"/>
        <v>ia.assorted_string like '%99922-00179-10-2024%' or</v>
      </c>
    </row>
    <row r="181" spans="1:10">
      <c r="A181" s="65" t="s">
        <v>2286</v>
      </c>
      <c r="B181" t="s">
        <v>2383</v>
      </c>
      <c r="H181">
        <v>99922</v>
      </c>
      <c r="I181" t="s">
        <v>2563</v>
      </c>
      <c r="J181" t="str">
        <f t="shared" si="2"/>
        <v>ia.assorted_string like '%99922-00180-10-2024%' or</v>
      </c>
    </row>
    <row r="182" spans="1:10">
      <c r="A182" s="68" t="s">
        <v>2105</v>
      </c>
      <c r="B182" t="s">
        <v>2383</v>
      </c>
      <c r="H182">
        <v>100370</v>
      </c>
      <c r="I182" t="s">
        <v>2438</v>
      </c>
      <c r="J182" t="str">
        <f t="shared" si="2"/>
        <v>ia.assorted_string like '%100370-00001-10-2024%' or</v>
      </c>
    </row>
    <row r="183" spans="1:10">
      <c r="A183" s="65" t="s">
        <v>2287</v>
      </c>
      <c r="B183" t="s">
        <v>2383</v>
      </c>
      <c r="H183">
        <v>99922</v>
      </c>
      <c r="I183" t="s">
        <v>2564</v>
      </c>
      <c r="J183" t="str">
        <f t="shared" si="2"/>
        <v>ia.assorted_string like '%99922-00181-10-2024%' or</v>
      </c>
    </row>
    <row r="184" spans="1:10">
      <c r="A184" s="65" t="s">
        <v>2288</v>
      </c>
      <c r="B184" t="s">
        <v>2383</v>
      </c>
      <c r="H184">
        <v>99922</v>
      </c>
      <c r="I184" t="s">
        <v>2565</v>
      </c>
      <c r="J184" t="str">
        <f t="shared" si="2"/>
        <v>ia.assorted_string like '%99922-00182-10-2024%' or</v>
      </c>
    </row>
    <row r="185" spans="1:10">
      <c r="A185" s="65" t="s">
        <v>2289</v>
      </c>
      <c r="B185" t="s">
        <v>2383</v>
      </c>
      <c r="H185">
        <v>99922</v>
      </c>
      <c r="I185" t="s">
        <v>2566</v>
      </c>
      <c r="J185" t="str">
        <f t="shared" si="2"/>
        <v>ia.assorted_string like '%99922-00183-10-2024%' or</v>
      </c>
    </row>
    <row r="186" spans="1:10">
      <c r="A186" s="65" t="s">
        <v>2290</v>
      </c>
      <c r="B186" t="s">
        <v>2383</v>
      </c>
      <c r="H186">
        <v>99922</v>
      </c>
      <c r="I186" t="s">
        <v>2567</v>
      </c>
      <c r="J186" t="str">
        <f t="shared" si="2"/>
        <v>ia.assorted_string like '%99922-00184-10-2024%' or</v>
      </c>
    </row>
    <row r="187" spans="1:10">
      <c r="A187" s="65" t="s">
        <v>2291</v>
      </c>
      <c r="B187" t="s">
        <v>2383</v>
      </c>
      <c r="H187">
        <v>99922</v>
      </c>
      <c r="I187" t="s">
        <v>2568</v>
      </c>
      <c r="J187" t="str">
        <f t="shared" si="2"/>
        <v>ia.assorted_string like '%99922-00185-10-2024%' or</v>
      </c>
    </row>
    <row r="188" spans="1:10">
      <c r="A188" s="65" t="s">
        <v>2292</v>
      </c>
      <c r="B188" t="s">
        <v>2383</v>
      </c>
      <c r="H188">
        <v>99922</v>
      </c>
      <c r="I188" t="s">
        <v>2569</v>
      </c>
      <c r="J188" t="str">
        <f t="shared" si="2"/>
        <v>ia.assorted_string like '%99922-00186-10-2024%' or</v>
      </c>
    </row>
    <row r="189" spans="1:10">
      <c r="A189" s="65" t="s">
        <v>2293</v>
      </c>
      <c r="B189" t="s">
        <v>2383</v>
      </c>
      <c r="H189">
        <v>99922</v>
      </c>
      <c r="I189" t="s">
        <v>2570</v>
      </c>
      <c r="J189" t="str">
        <f t="shared" si="2"/>
        <v>ia.assorted_string like '%99922-00187-10-2024%' or</v>
      </c>
    </row>
    <row r="190" spans="1:10">
      <c r="A190" s="65" t="s">
        <v>2294</v>
      </c>
      <c r="B190" t="s">
        <v>2383</v>
      </c>
      <c r="H190">
        <v>99922</v>
      </c>
      <c r="I190" t="s">
        <v>2571</v>
      </c>
      <c r="J190" t="str">
        <f t="shared" si="2"/>
        <v>ia.assorted_string like '%99922-00188-10-2024%' or</v>
      </c>
    </row>
    <row r="191" spans="1:10">
      <c r="A191" s="65" t="s">
        <v>2295</v>
      </c>
      <c r="B191" t="s">
        <v>2383</v>
      </c>
      <c r="H191">
        <v>99922</v>
      </c>
      <c r="I191" t="s">
        <v>2572</v>
      </c>
      <c r="J191" t="str">
        <f t="shared" si="2"/>
        <v>ia.assorted_string like '%99922-00189-10-2024%' or</v>
      </c>
    </row>
    <row r="192" spans="1:10">
      <c r="A192" s="65" t="s">
        <v>2296</v>
      </c>
      <c r="B192" t="s">
        <v>2383</v>
      </c>
      <c r="H192">
        <v>99922</v>
      </c>
      <c r="I192" t="s">
        <v>2573</v>
      </c>
      <c r="J192" t="str">
        <f t="shared" si="2"/>
        <v>ia.assorted_string like '%99922-00190-10-2024%' or</v>
      </c>
    </row>
    <row r="193" spans="1:10">
      <c r="A193" s="65" t="s">
        <v>2297</v>
      </c>
      <c r="B193" t="s">
        <v>2383</v>
      </c>
      <c r="H193">
        <v>99922</v>
      </c>
      <c r="I193" t="s">
        <v>2574</v>
      </c>
      <c r="J193" t="str">
        <f t="shared" si="2"/>
        <v>ia.assorted_string like '%99922-00191-10-2024%' or</v>
      </c>
    </row>
    <row r="194" spans="1:10">
      <c r="A194" s="65" t="s">
        <v>2298</v>
      </c>
      <c r="B194" t="s">
        <v>2383</v>
      </c>
      <c r="H194">
        <v>99922</v>
      </c>
      <c r="I194" t="s">
        <v>2575</v>
      </c>
      <c r="J194" t="str">
        <f t="shared" si="2"/>
        <v>ia.assorted_string like '%99922-00192-10-2024%' or</v>
      </c>
    </row>
    <row r="195" spans="1:10">
      <c r="A195" s="65" t="s">
        <v>2299</v>
      </c>
      <c r="B195" t="s">
        <v>2383</v>
      </c>
      <c r="H195">
        <v>99922</v>
      </c>
      <c r="I195" t="s">
        <v>2576</v>
      </c>
      <c r="J195" t="str">
        <f t="shared" ref="J195:J258" si="3">"ia.assorted_string like '%"&amp;H195&amp;"-"&amp;I195&amp;B195&amp;"%' or"</f>
        <v>ia.assorted_string like '%99922-00193-10-2024%' or</v>
      </c>
    </row>
    <row r="196" spans="1:10">
      <c r="A196" s="65" t="s">
        <v>2300</v>
      </c>
      <c r="B196" t="s">
        <v>2383</v>
      </c>
      <c r="H196">
        <v>99922</v>
      </c>
      <c r="I196" t="s">
        <v>2577</v>
      </c>
      <c r="J196" t="str">
        <f t="shared" si="3"/>
        <v>ia.assorted_string like '%99922-00194-10-2024%' or</v>
      </c>
    </row>
    <row r="197" spans="1:10">
      <c r="A197" s="65" t="s">
        <v>2301</v>
      </c>
      <c r="B197" t="s">
        <v>2383</v>
      </c>
      <c r="H197">
        <v>99922</v>
      </c>
      <c r="I197" t="s">
        <v>2578</v>
      </c>
      <c r="J197" t="str">
        <f t="shared" si="3"/>
        <v>ia.assorted_string like '%99922-00195-10-2024%' or</v>
      </c>
    </row>
    <row r="198" spans="1:10">
      <c r="A198" s="65" t="s">
        <v>2302</v>
      </c>
      <c r="B198" t="s">
        <v>2383</v>
      </c>
      <c r="H198">
        <v>99922</v>
      </c>
      <c r="I198" t="s">
        <v>2579</v>
      </c>
      <c r="J198" t="str">
        <f t="shared" si="3"/>
        <v>ia.assorted_string like '%99922-00196-10-2024%' or</v>
      </c>
    </row>
    <row r="199" spans="1:10">
      <c r="A199" s="65" t="s">
        <v>2303</v>
      </c>
      <c r="B199" t="s">
        <v>2383</v>
      </c>
      <c r="H199">
        <v>99922</v>
      </c>
      <c r="I199" t="s">
        <v>2580</v>
      </c>
      <c r="J199" t="str">
        <f t="shared" si="3"/>
        <v>ia.assorted_string like '%99922-00197-10-2024%' or</v>
      </c>
    </row>
    <row r="200" spans="1:10">
      <c r="A200" s="65" t="s">
        <v>2304</v>
      </c>
      <c r="B200" t="s">
        <v>2383</v>
      </c>
      <c r="H200">
        <v>99922</v>
      </c>
      <c r="I200" t="s">
        <v>2581</v>
      </c>
      <c r="J200" t="str">
        <f t="shared" si="3"/>
        <v>ia.assorted_string like '%99922-00198-10-2024%' or</v>
      </c>
    </row>
    <row r="201" spans="1:10">
      <c r="A201" s="65" t="s">
        <v>2305</v>
      </c>
      <c r="B201" t="s">
        <v>2383</v>
      </c>
      <c r="H201">
        <v>99922</v>
      </c>
      <c r="I201" t="s">
        <v>2582</v>
      </c>
      <c r="J201" t="str">
        <f t="shared" si="3"/>
        <v>ia.assorted_string like '%99922-00199-10-2024%' or</v>
      </c>
    </row>
    <row r="202" spans="1:10">
      <c r="A202" s="65" t="s">
        <v>2306</v>
      </c>
      <c r="B202" t="s">
        <v>2383</v>
      </c>
      <c r="H202">
        <v>99922</v>
      </c>
      <c r="I202" t="s">
        <v>2583</v>
      </c>
      <c r="J202" t="str">
        <f t="shared" si="3"/>
        <v>ia.assorted_string like '%99922-00200-10-2024%' or</v>
      </c>
    </row>
    <row r="203" spans="1:10">
      <c r="A203" s="65" t="s">
        <v>2307</v>
      </c>
      <c r="B203" t="s">
        <v>2383</v>
      </c>
      <c r="H203">
        <v>99922</v>
      </c>
      <c r="I203" t="s">
        <v>2584</v>
      </c>
      <c r="J203" t="str">
        <f t="shared" si="3"/>
        <v>ia.assorted_string like '%99922-00201-10-2024%' or</v>
      </c>
    </row>
    <row r="204" spans="1:10">
      <c r="A204" s="65" t="s">
        <v>2308</v>
      </c>
      <c r="B204" t="s">
        <v>2383</v>
      </c>
      <c r="H204">
        <v>99922</v>
      </c>
      <c r="I204" t="s">
        <v>2585</v>
      </c>
      <c r="J204" t="str">
        <f t="shared" si="3"/>
        <v>ia.assorted_string like '%99922-00202-10-2024%' or</v>
      </c>
    </row>
    <row r="205" spans="1:10">
      <c r="A205" s="65" t="s">
        <v>2309</v>
      </c>
      <c r="B205" t="s">
        <v>2383</v>
      </c>
      <c r="H205">
        <v>99922</v>
      </c>
      <c r="I205" t="s">
        <v>2586</v>
      </c>
      <c r="J205" t="str">
        <f t="shared" si="3"/>
        <v>ia.assorted_string like '%99922-00203-10-2024%' or</v>
      </c>
    </row>
    <row r="206" spans="1:10">
      <c r="A206" s="65" t="s">
        <v>2310</v>
      </c>
      <c r="B206" t="s">
        <v>2383</v>
      </c>
      <c r="H206">
        <v>99922</v>
      </c>
      <c r="I206" t="s">
        <v>2587</v>
      </c>
      <c r="J206" t="str">
        <f t="shared" si="3"/>
        <v>ia.assorted_string like '%99922-00204-10-2024%' or</v>
      </c>
    </row>
    <row r="207" spans="1:10">
      <c r="A207" s="65" t="s">
        <v>2311</v>
      </c>
      <c r="B207" t="s">
        <v>2383</v>
      </c>
      <c r="H207">
        <v>99922</v>
      </c>
      <c r="I207" t="s">
        <v>2588</v>
      </c>
      <c r="J207" t="str">
        <f t="shared" si="3"/>
        <v>ia.assorted_string like '%99922-00205-10-2024%' or</v>
      </c>
    </row>
    <row r="208" spans="1:10">
      <c r="A208" s="65" t="s">
        <v>2312</v>
      </c>
      <c r="B208" t="s">
        <v>2383</v>
      </c>
      <c r="H208">
        <v>99922</v>
      </c>
      <c r="I208" t="s">
        <v>2589</v>
      </c>
      <c r="J208" t="str">
        <f t="shared" si="3"/>
        <v>ia.assorted_string like '%99922-00206-10-2024%' or</v>
      </c>
    </row>
    <row r="209" spans="1:10">
      <c r="A209" s="65" t="s">
        <v>2313</v>
      </c>
      <c r="B209" t="s">
        <v>2383</v>
      </c>
      <c r="H209">
        <v>99922</v>
      </c>
      <c r="I209" t="s">
        <v>2590</v>
      </c>
      <c r="J209" t="str">
        <f t="shared" si="3"/>
        <v>ia.assorted_string like '%99922-00207-10-2024%' or</v>
      </c>
    </row>
    <row r="210" spans="1:10">
      <c r="A210" s="65" t="s">
        <v>2314</v>
      </c>
      <c r="B210" t="s">
        <v>2383</v>
      </c>
      <c r="H210">
        <v>99922</v>
      </c>
      <c r="I210" t="s">
        <v>2591</v>
      </c>
      <c r="J210" t="str">
        <f t="shared" si="3"/>
        <v>ia.assorted_string like '%99922-00208-10-2024%' or</v>
      </c>
    </row>
    <row r="211" spans="1:10">
      <c r="A211" s="65" t="s">
        <v>2315</v>
      </c>
      <c r="B211" t="s">
        <v>2383</v>
      </c>
      <c r="H211">
        <v>99922</v>
      </c>
      <c r="I211" t="s">
        <v>2592</v>
      </c>
      <c r="J211" t="str">
        <f t="shared" si="3"/>
        <v>ia.assorted_string like '%99922-00209-10-2024%' or</v>
      </c>
    </row>
    <row r="212" spans="1:10">
      <c r="A212" s="65" t="s">
        <v>2316</v>
      </c>
      <c r="B212" t="s">
        <v>2383</v>
      </c>
      <c r="H212">
        <v>99922</v>
      </c>
      <c r="I212" t="s">
        <v>2593</v>
      </c>
      <c r="J212" t="str">
        <f t="shared" si="3"/>
        <v>ia.assorted_string like '%99922-00210-10-2024%' or</v>
      </c>
    </row>
    <row r="213" spans="1:10">
      <c r="A213" s="65" t="s">
        <v>2317</v>
      </c>
      <c r="B213" t="s">
        <v>2383</v>
      </c>
      <c r="H213">
        <v>99922</v>
      </c>
      <c r="I213" t="s">
        <v>2594</v>
      </c>
      <c r="J213" t="str">
        <f t="shared" si="3"/>
        <v>ia.assorted_string like '%99922-00211-10-2024%' or</v>
      </c>
    </row>
    <row r="214" spans="1:10">
      <c r="A214" s="68" t="s">
        <v>2106</v>
      </c>
      <c r="B214" t="s">
        <v>2383</v>
      </c>
      <c r="H214">
        <v>100172</v>
      </c>
      <c r="I214" t="s">
        <v>2438</v>
      </c>
      <c r="J214" t="str">
        <f t="shared" si="3"/>
        <v>ia.assorted_string like '%100172-00001-10-2024%' or</v>
      </c>
    </row>
    <row r="215" spans="1:10">
      <c r="A215" s="65" t="s">
        <v>2318</v>
      </c>
      <c r="B215" t="s">
        <v>2383</v>
      </c>
      <c r="H215">
        <v>99922</v>
      </c>
      <c r="I215" t="s">
        <v>2595</v>
      </c>
      <c r="J215" t="str">
        <f t="shared" si="3"/>
        <v>ia.assorted_string like '%99922-00212-10-2024%' or</v>
      </c>
    </row>
    <row r="216" spans="1:10">
      <c r="A216" s="65" t="s">
        <v>2319</v>
      </c>
      <c r="B216" t="s">
        <v>2383</v>
      </c>
      <c r="H216">
        <v>99922</v>
      </c>
      <c r="I216" t="s">
        <v>2596</v>
      </c>
      <c r="J216" t="str">
        <f t="shared" si="3"/>
        <v>ia.assorted_string like '%99922-00213-10-2024%' or</v>
      </c>
    </row>
    <row r="217" spans="1:10">
      <c r="A217" s="65" t="s">
        <v>2320</v>
      </c>
      <c r="B217" t="s">
        <v>2383</v>
      </c>
      <c r="H217">
        <v>99922</v>
      </c>
      <c r="I217" t="s">
        <v>2597</v>
      </c>
      <c r="J217" t="str">
        <f t="shared" si="3"/>
        <v>ia.assorted_string like '%99922-00214-10-2024%' or</v>
      </c>
    </row>
    <row r="218" spans="1:10">
      <c r="A218" s="65" t="s">
        <v>2321</v>
      </c>
      <c r="B218" t="s">
        <v>2383</v>
      </c>
      <c r="H218">
        <v>99922</v>
      </c>
      <c r="I218" t="s">
        <v>2598</v>
      </c>
      <c r="J218" t="str">
        <f t="shared" si="3"/>
        <v>ia.assorted_string like '%99922-00215-10-2024%' or</v>
      </c>
    </row>
    <row r="219" spans="1:10">
      <c r="A219" s="65" t="s">
        <v>2322</v>
      </c>
      <c r="B219" t="s">
        <v>2383</v>
      </c>
      <c r="H219">
        <v>99922</v>
      </c>
      <c r="I219" t="s">
        <v>2599</v>
      </c>
      <c r="J219" t="str">
        <f t="shared" si="3"/>
        <v>ia.assorted_string like '%99922-00216-10-2024%' or</v>
      </c>
    </row>
    <row r="220" spans="1:10">
      <c r="A220" s="65" t="s">
        <v>2323</v>
      </c>
      <c r="B220" t="s">
        <v>2383</v>
      </c>
      <c r="H220">
        <v>99922</v>
      </c>
      <c r="I220" t="s">
        <v>2600</v>
      </c>
      <c r="J220" t="str">
        <f t="shared" si="3"/>
        <v>ia.assorted_string like '%99922-00217-10-2024%' or</v>
      </c>
    </row>
    <row r="221" spans="1:10">
      <c r="A221" s="65" t="s">
        <v>2324</v>
      </c>
      <c r="B221" t="s">
        <v>2383</v>
      </c>
      <c r="H221">
        <v>99922</v>
      </c>
      <c r="I221" t="s">
        <v>2601</v>
      </c>
      <c r="J221" t="str">
        <f t="shared" si="3"/>
        <v>ia.assorted_string like '%99922-00218-10-2024%' or</v>
      </c>
    </row>
    <row r="222" spans="1:10">
      <c r="A222" s="65" t="s">
        <v>2325</v>
      </c>
      <c r="B222" t="s">
        <v>2383</v>
      </c>
      <c r="H222">
        <v>99922</v>
      </c>
      <c r="I222" t="s">
        <v>2602</v>
      </c>
      <c r="J222" t="str">
        <f t="shared" si="3"/>
        <v>ia.assorted_string like '%99922-00219-10-2024%' or</v>
      </c>
    </row>
    <row r="223" spans="1:10">
      <c r="A223" s="65" t="s">
        <v>2326</v>
      </c>
      <c r="B223" t="s">
        <v>2383</v>
      </c>
      <c r="H223">
        <v>99922</v>
      </c>
      <c r="I223" t="s">
        <v>2603</v>
      </c>
      <c r="J223" t="str">
        <f t="shared" si="3"/>
        <v>ia.assorted_string like '%99922-00220-10-2024%' or</v>
      </c>
    </row>
    <row r="224" spans="1:10">
      <c r="A224" s="65" t="s">
        <v>2327</v>
      </c>
      <c r="B224" t="s">
        <v>2383</v>
      </c>
      <c r="H224">
        <v>99922</v>
      </c>
      <c r="I224" t="s">
        <v>2604</v>
      </c>
      <c r="J224" t="str">
        <f t="shared" si="3"/>
        <v>ia.assorted_string like '%99922-00221-10-2024%' or</v>
      </c>
    </row>
    <row r="225" spans="1:10">
      <c r="A225" s="65" t="s">
        <v>2328</v>
      </c>
      <c r="B225" t="s">
        <v>2383</v>
      </c>
      <c r="H225">
        <v>99922</v>
      </c>
      <c r="I225" t="s">
        <v>2605</v>
      </c>
      <c r="J225" t="str">
        <f t="shared" si="3"/>
        <v>ia.assorted_string like '%99922-00222-10-2024%' or</v>
      </c>
    </row>
    <row r="226" spans="1:10">
      <c r="A226" s="65" t="s">
        <v>2329</v>
      </c>
      <c r="B226" t="s">
        <v>2383</v>
      </c>
      <c r="H226">
        <v>99922</v>
      </c>
      <c r="I226" t="s">
        <v>2606</v>
      </c>
      <c r="J226" t="str">
        <f t="shared" si="3"/>
        <v>ia.assorted_string like '%99922-00223-10-2024%' or</v>
      </c>
    </row>
    <row r="227" spans="1:10">
      <c r="A227" s="65" t="s">
        <v>2330</v>
      </c>
      <c r="B227" t="s">
        <v>2383</v>
      </c>
      <c r="H227">
        <v>99922</v>
      </c>
      <c r="I227" t="s">
        <v>2607</v>
      </c>
      <c r="J227" t="str">
        <f t="shared" si="3"/>
        <v>ia.assorted_string like '%99922-00224-10-2024%' or</v>
      </c>
    </row>
    <row r="228" spans="1:10">
      <c r="A228" s="65" t="s">
        <v>2331</v>
      </c>
      <c r="B228" t="s">
        <v>2383</v>
      </c>
      <c r="H228">
        <v>99922</v>
      </c>
      <c r="I228" t="s">
        <v>2608</v>
      </c>
      <c r="J228" t="str">
        <f t="shared" si="3"/>
        <v>ia.assorted_string like '%99922-00225-10-2024%' or</v>
      </c>
    </row>
    <row r="229" spans="1:10">
      <c r="A229" s="65" t="s">
        <v>2332</v>
      </c>
      <c r="B229" t="s">
        <v>2383</v>
      </c>
      <c r="H229">
        <v>99922</v>
      </c>
      <c r="I229" t="s">
        <v>2609</v>
      </c>
      <c r="J229" t="str">
        <f t="shared" si="3"/>
        <v>ia.assorted_string like '%99922-00226-10-2024%' or</v>
      </c>
    </row>
    <row r="230" spans="1:10">
      <c r="A230" s="65" t="s">
        <v>2333</v>
      </c>
      <c r="B230" t="s">
        <v>2383</v>
      </c>
      <c r="H230">
        <v>99922</v>
      </c>
      <c r="I230" t="s">
        <v>2610</v>
      </c>
      <c r="J230" t="str">
        <f t="shared" si="3"/>
        <v>ia.assorted_string like '%99922-00227-10-2024%' or</v>
      </c>
    </row>
    <row r="231" spans="1:10">
      <c r="A231" s="65" t="s">
        <v>2334</v>
      </c>
      <c r="B231" t="s">
        <v>2383</v>
      </c>
      <c r="H231">
        <v>99922</v>
      </c>
      <c r="I231" t="s">
        <v>2611</v>
      </c>
      <c r="J231" t="str">
        <f t="shared" si="3"/>
        <v>ia.assorted_string like '%99922-00228-10-2024%' or</v>
      </c>
    </row>
    <row r="232" spans="1:10">
      <c r="A232" s="65" t="s">
        <v>2335</v>
      </c>
      <c r="B232" t="s">
        <v>2383</v>
      </c>
      <c r="H232">
        <v>99922</v>
      </c>
      <c r="I232" t="s">
        <v>2612</v>
      </c>
      <c r="J232" t="str">
        <f t="shared" si="3"/>
        <v>ia.assorted_string like '%99922-00229-10-2024%' or</v>
      </c>
    </row>
    <row r="233" spans="1:10">
      <c r="A233" s="65" t="s">
        <v>2336</v>
      </c>
      <c r="B233" t="s">
        <v>2383</v>
      </c>
      <c r="H233">
        <v>99922</v>
      </c>
      <c r="I233" t="s">
        <v>2613</v>
      </c>
      <c r="J233" t="str">
        <f t="shared" si="3"/>
        <v>ia.assorted_string like '%99922-00230-10-2024%' or</v>
      </c>
    </row>
    <row r="234" spans="1:10">
      <c r="A234" s="65" t="s">
        <v>2337</v>
      </c>
      <c r="B234" t="s">
        <v>2383</v>
      </c>
      <c r="H234">
        <v>99922</v>
      </c>
      <c r="I234" t="s">
        <v>2614</v>
      </c>
      <c r="J234" t="str">
        <f t="shared" si="3"/>
        <v>ia.assorted_string like '%99922-00231-10-2024%' or</v>
      </c>
    </row>
    <row r="235" spans="1:10">
      <c r="A235" s="68" t="s">
        <v>2107</v>
      </c>
      <c r="B235" t="s">
        <v>2383</v>
      </c>
      <c r="H235">
        <v>100370</v>
      </c>
      <c r="I235" t="s">
        <v>2385</v>
      </c>
      <c r="J235" t="str">
        <f t="shared" si="3"/>
        <v>ia.assorted_string like '%100370-00002-10-2024%' or</v>
      </c>
    </row>
    <row r="236" spans="1:10">
      <c r="A236" s="65" t="s">
        <v>2338</v>
      </c>
      <c r="B236" t="s">
        <v>2383</v>
      </c>
      <c r="H236">
        <v>99922</v>
      </c>
      <c r="I236" t="s">
        <v>2615</v>
      </c>
      <c r="J236" t="str">
        <f t="shared" si="3"/>
        <v>ia.assorted_string like '%99922-00232-10-2024%' or</v>
      </c>
    </row>
    <row r="237" spans="1:10">
      <c r="A237" s="65" t="s">
        <v>2339</v>
      </c>
      <c r="B237" t="s">
        <v>2383</v>
      </c>
      <c r="H237">
        <v>99922</v>
      </c>
      <c r="I237" t="s">
        <v>2616</v>
      </c>
      <c r="J237" t="str">
        <f t="shared" si="3"/>
        <v>ia.assorted_string like '%99922-00233-10-2024%' or</v>
      </c>
    </row>
    <row r="238" spans="1:10">
      <c r="A238" s="65" t="s">
        <v>2340</v>
      </c>
      <c r="B238" t="s">
        <v>2383</v>
      </c>
      <c r="H238">
        <v>99922</v>
      </c>
      <c r="I238" t="s">
        <v>2617</v>
      </c>
      <c r="J238" t="str">
        <f t="shared" si="3"/>
        <v>ia.assorted_string like '%99922-00234-10-2024%' or</v>
      </c>
    </row>
    <row r="239" spans="1:10">
      <c r="A239" s="65" t="s">
        <v>2341</v>
      </c>
      <c r="B239" t="s">
        <v>2383</v>
      </c>
      <c r="H239">
        <v>99922</v>
      </c>
      <c r="I239" t="s">
        <v>2618</v>
      </c>
      <c r="J239" t="str">
        <f t="shared" si="3"/>
        <v>ia.assorted_string like '%99922-00235-10-2024%' or</v>
      </c>
    </row>
    <row r="240" spans="1:10">
      <c r="A240" s="65" t="s">
        <v>2342</v>
      </c>
      <c r="B240" t="s">
        <v>2383</v>
      </c>
      <c r="H240">
        <v>99922</v>
      </c>
      <c r="I240" t="s">
        <v>2619</v>
      </c>
      <c r="J240" t="str">
        <f t="shared" si="3"/>
        <v>ia.assorted_string like '%99922-00236-10-2024%' or</v>
      </c>
    </row>
    <row r="241" spans="1:10">
      <c r="A241" s="65" t="s">
        <v>2343</v>
      </c>
      <c r="B241" t="s">
        <v>2383</v>
      </c>
      <c r="H241">
        <v>99922</v>
      </c>
      <c r="I241" t="s">
        <v>2620</v>
      </c>
      <c r="J241" t="str">
        <f t="shared" si="3"/>
        <v>ia.assorted_string like '%99922-00237-10-2024%' or</v>
      </c>
    </row>
    <row r="242" spans="1:10">
      <c r="A242" s="65" t="s">
        <v>2344</v>
      </c>
      <c r="B242" t="s">
        <v>2383</v>
      </c>
      <c r="H242">
        <v>99922</v>
      </c>
      <c r="I242" t="s">
        <v>2621</v>
      </c>
      <c r="J242" t="str">
        <f t="shared" si="3"/>
        <v>ia.assorted_string like '%99922-00238-10-2024%' or</v>
      </c>
    </row>
    <row r="243" spans="1:10">
      <c r="A243" s="65" t="s">
        <v>2345</v>
      </c>
      <c r="B243" t="s">
        <v>2383</v>
      </c>
      <c r="H243">
        <v>99922</v>
      </c>
      <c r="I243" t="s">
        <v>2622</v>
      </c>
      <c r="J243" t="str">
        <f t="shared" si="3"/>
        <v>ia.assorted_string like '%99922-00239-10-2024%' or</v>
      </c>
    </row>
    <row r="244" spans="1:10">
      <c r="A244" s="65" t="s">
        <v>2346</v>
      </c>
      <c r="B244" t="s">
        <v>2383</v>
      </c>
      <c r="H244">
        <v>99922</v>
      </c>
      <c r="I244" t="s">
        <v>2623</v>
      </c>
      <c r="J244" t="str">
        <f t="shared" si="3"/>
        <v>ia.assorted_string like '%99922-00240-10-2024%' or</v>
      </c>
    </row>
    <row r="245" spans="1:10">
      <c r="A245" s="65" t="s">
        <v>2347</v>
      </c>
      <c r="B245" t="s">
        <v>2383</v>
      </c>
      <c r="H245">
        <v>99922</v>
      </c>
      <c r="I245" t="s">
        <v>2624</v>
      </c>
      <c r="J245" t="str">
        <f t="shared" si="3"/>
        <v>ia.assorted_string like '%99922-00241-10-2024%' or</v>
      </c>
    </row>
    <row r="246" spans="1:10">
      <c r="A246" s="65" t="s">
        <v>2348</v>
      </c>
      <c r="B246" t="s">
        <v>2383</v>
      </c>
      <c r="H246">
        <v>99922</v>
      </c>
      <c r="I246" t="s">
        <v>2625</v>
      </c>
      <c r="J246" t="str">
        <f t="shared" si="3"/>
        <v>ia.assorted_string like '%99922-00242-10-2024%' or</v>
      </c>
    </row>
    <row r="247" spans="1:10">
      <c r="A247" s="65" t="s">
        <v>2349</v>
      </c>
      <c r="B247" t="s">
        <v>2383</v>
      </c>
      <c r="H247">
        <v>99922</v>
      </c>
      <c r="I247" t="s">
        <v>2626</v>
      </c>
      <c r="J247" t="str">
        <f t="shared" si="3"/>
        <v>ia.assorted_string like '%99922-00243-10-2024%' or</v>
      </c>
    </row>
    <row r="248" spans="1:10">
      <c r="A248" s="65" t="s">
        <v>2350</v>
      </c>
      <c r="B248" t="s">
        <v>2383</v>
      </c>
      <c r="H248">
        <v>99922</v>
      </c>
      <c r="I248" t="s">
        <v>2627</v>
      </c>
      <c r="J248" t="str">
        <f t="shared" si="3"/>
        <v>ia.assorted_string like '%99922-00244-10-2024%' or</v>
      </c>
    </row>
    <row r="249" spans="1:10">
      <c r="A249" s="65" t="s">
        <v>2351</v>
      </c>
      <c r="B249" t="s">
        <v>2383</v>
      </c>
      <c r="H249">
        <v>99922</v>
      </c>
      <c r="I249" t="s">
        <v>2628</v>
      </c>
      <c r="J249" t="str">
        <f t="shared" si="3"/>
        <v>ia.assorted_string like '%99922-00245-10-2024%' or</v>
      </c>
    </row>
    <row r="250" spans="1:10">
      <c r="A250" s="65" t="s">
        <v>2352</v>
      </c>
      <c r="B250" t="s">
        <v>2383</v>
      </c>
      <c r="H250">
        <v>99922</v>
      </c>
      <c r="I250" t="s">
        <v>2629</v>
      </c>
      <c r="J250" t="str">
        <f t="shared" si="3"/>
        <v>ia.assorted_string like '%99922-00246-10-2024%' or</v>
      </c>
    </row>
    <row r="251" spans="1:10">
      <c r="A251" s="65" t="s">
        <v>2353</v>
      </c>
      <c r="B251" t="s">
        <v>2383</v>
      </c>
      <c r="H251">
        <v>99922</v>
      </c>
      <c r="I251" t="s">
        <v>2630</v>
      </c>
      <c r="J251" t="str">
        <f t="shared" si="3"/>
        <v>ia.assorted_string like '%99922-00247-10-2024%' or</v>
      </c>
    </row>
    <row r="252" spans="1:10">
      <c r="A252" s="65" t="s">
        <v>2354</v>
      </c>
      <c r="B252" t="s">
        <v>2383</v>
      </c>
      <c r="H252">
        <v>99922</v>
      </c>
      <c r="I252" t="s">
        <v>2631</v>
      </c>
      <c r="J252" t="str">
        <f t="shared" si="3"/>
        <v>ia.assorted_string like '%99922-00248-10-2024%' or</v>
      </c>
    </row>
    <row r="253" spans="1:10">
      <c r="A253" s="65" t="s">
        <v>2355</v>
      </c>
      <c r="B253" t="s">
        <v>2383</v>
      </c>
      <c r="H253">
        <v>99922</v>
      </c>
      <c r="I253" t="s">
        <v>2632</v>
      </c>
      <c r="J253" t="str">
        <f t="shared" si="3"/>
        <v>ia.assorted_string like '%99922-00249-10-2024%' or</v>
      </c>
    </row>
    <row r="254" spans="1:10">
      <c r="A254" s="65" t="s">
        <v>2356</v>
      </c>
      <c r="B254" t="s">
        <v>2383</v>
      </c>
      <c r="H254">
        <v>99922</v>
      </c>
      <c r="I254" t="s">
        <v>2633</v>
      </c>
      <c r="J254" t="str">
        <f t="shared" si="3"/>
        <v>ia.assorted_string like '%99922-00250-10-2024%' or</v>
      </c>
    </row>
    <row r="255" spans="1:10">
      <c r="A255" s="65" t="s">
        <v>2357</v>
      </c>
      <c r="B255" t="s">
        <v>2383</v>
      </c>
      <c r="H255">
        <v>99922</v>
      </c>
      <c r="I255" t="s">
        <v>2634</v>
      </c>
      <c r="J255" t="str">
        <f t="shared" si="3"/>
        <v>ia.assorted_string like '%99922-00251-10-2024%' or</v>
      </c>
    </row>
    <row r="256" spans="1:10">
      <c r="A256" s="65" t="s">
        <v>2358</v>
      </c>
      <c r="B256" t="s">
        <v>2383</v>
      </c>
      <c r="H256">
        <v>99922</v>
      </c>
      <c r="I256" t="s">
        <v>2635</v>
      </c>
      <c r="J256" t="str">
        <f t="shared" si="3"/>
        <v>ia.assorted_string like '%99922-00252-10-2024%' or</v>
      </c>
    </row>
    <row r="257" spans="1:10">
      <c r="A257" s="65" t="s">
        <v>2359</v>
      </c>
      <c r="B257" t="s">
        <v>2383</v>
      </c>
      <c r="H257">
        <v>99922</v>
      </c>
      <c r="I257" t="s">
        <v>2636</v>
      </c>
      <c r="J257" t="str">
        <f t="shared" si="3"/>
        <v>ia.assorted_string like '%99922-00253-10-2024%' or</v>
      </c>
    </row>
    <row r="258" spans="1:10">
      <c r="A258" s="65" t="s">
        <v>2360</v>
      </c>
      <c r="B258" t="s">
        <v>2383</v>
      </c>
      <c r="H258">
        <v>99922</v>
      </c>
      <c r="I258" t="s">
        <v>2637</v>
      </c>
      <c r="J258" t="str">
        <f t="shared" si="3"/>
        <v>ia.assorted_string like '%99922-00254-10-2024%' or</v>
      </c>
    </row>
    <row r="259" spans="1:10">
      <c r="A259" s="65" t="s">
        <v>2361</v>
      </c>
      <c r="B259" t="s">
        <v>2383</v>
      </c>
      <c r="H259">
        <v>99922</v>
      </c>
      <c r="I259" t="s">
        <v>2638</v>
      </c>
      <c r="J259" t="str">
        <f t="shared" ref="J259:J275" si="4">"ia.assorted_string like '%"&amp;H259&amp;"-"&amp;I259&amp;B259&amp;"%' or"</f>
        <v>ia.assorted_string like '%99922-00255-10-2024%' or</v>
      </c>
    </row>
    <row r="260" spans="1:10">
      <c r="A260" s="65" t="s">
        <v>2362</v>
      </c>
      <c r="B260" t="s">
        <v>2383</v>
      </c>
      <c r="H260">
        <v>99922</v>
      </c>
      <c r="I260" t="s">
        <v>2639</v>
      </c>
      <c r="J260" t="str">
        <f t="shared" si="4"/>
        <v>ia.assorted_string like '%99922-00256-10-2024%' or</v>
      </c>
    </row>
    <row r="261" spans="1:10">
      <c r="A261" s="65" t="s">
        <v>2363</v>
      </c>
      <c r="B261" t="s">
        <v>2383</v>
      </c>
      <c r="H261">
        <v>99922</v>
      </c>
      <c r="I261" t="s">
        <v>2640</v>
      </c>
      <c r="J261" t="str">
        <f t="shared" si="4"/>
        <v>ia.assorted_string like '%99922-00257-10-2024%' or</v>
      </c>
    </row>
    <row r="262" spans="1:10">
      <c r="A262" s="65" t="s">
        <v>2364</v>
      </c>
      <c r="B262" t="s">
        <v>2383</v>
      </c>
      <c r="H262">
        <v>99922</v>
      </c>
      <c r="I262" t="s">
        <v>2641</v>
      </c>
      <c r="J262" t="str">
        <f t="shared" si="4"/>
        <v>ia.assorted_string like '%99922-00258-10-2024%' or</v>
      </c>
    </row>
    <row r="263" spans="1:10">
      <c r="A263" s="65" t="s">
        <v>2365</v>
      </c>
      <c r="B263" t="s">
        <v>2383</v>
      </c>
      <c r="H263">
        <v>99922</v>
      </c>
      <c r="I263" t="s">
        <v>2642</v>
      </c>
      <c r="J263" t="str">
        <f t="shared" si="4"/>
        <v>ia.assorted_string like '%99922-00259-10-2024%' or</v>
      </c>
    </row>
    <row r="264" spans="1:10">
      <c r="A264" s="65" t="s">
        <v>2366</v>
      </c>
      <c r="B264" t="s">
        <v>2383</v>
      </c>
      <c r="H264">
        <v>99922</v>
      </c>
      <c r="I264" t="s">
        <v>2643</v>
      </c>
      <c r="J264" t="str">
        <f t="shared" si="4"/>
        <v>ia.assorted_string like '%99922-00260-10-2024%' or</v>
      </c>
    </row>
    <row r="265" spans="1:10">
      <c r="A265" s="65" t="s">
        <v>2367</v>
      </c>
      <c r="B265" t="s">
        <v>2383</v>
      </c>
      <c r="H265">
        <v>99922</v>
      </c>
      <c r="I265" t="s">
        <v>2644</v>
      </c>
      <c r="J265" t="str">
        <f t="shared" si="4"/>
        <v>ia.assorted_string like '%99922-00261-10-2024%' or</v>
      </c>
    </row>
    <row r="266" spans="1:10">
      <c r="A266" s="65" t="s">
        <v>2368</v>
      </c>
      <c r="B266" t="s">
        <v>2383</v>
      </c>
      <c r="H266">
        <v>99922</v>
      </c>
      <c r="I266" t="s">
        <v>2645</v>
      </c>
      <c r="J266" t="str">
        <f t="shared" si="4"/>
        <v>ia.assorted_string like '%99922-00262-10-2024%' or</v>
      </c>
    </row>
    <row r="267" spans="1:10">
      <c r="A267" s="65" t="s">
        <v>2369</v>
      </c>
      <c r="B267" t="s">
        <v>2383</v>
      </c>
      <c r="H267">
        <v>99922</v>
      </c>
      <c r="I267" t="s">
        <v>2646</v>
      </c>
      <c r="J267" t="str">
        <f t="shared" si="4"/>
        <v>ia.assorted_string like '%99922-00263-10-2024%' or</v>
      </c>
    </row>
    <row r="268" spans="1:10">
      <c r="A268" s="65" t="s">
        <v>2370</v>
      </c>
      <c r="B268" t="s">
        <v>2383</v>
      </c>
      <c r="H268">
        <v>99922</v>
      </c>
      <c r="I268" t="s">
        <v>2647</v>
      </c>
      <c r="J268" t="str">
        <f t="shared" si="4"/>
        <v>ia.assorted_string like '%99922-00264-10-2024%' or</v>
      </c>
    </row>
    <row r="269" spans="1:10">
      <c r="A269" s="65" t="s">
        <v>2371</v>
      </c>
      <c r="B269" t="s">
        <v>2383</v>
      </c>
      <c r="H269">
        <v>99922</v>
      </c>
      <c r="I269" t="s">
        <v>2648</v>
      </c>
      <c r="J269" t="str">
        <f t="shared" si="4"/>
        <v>ia.assorted_string like '%99922-00265-10-2024%' or</v>
      </c>
    </row>
    <row r="270" spans="1:10">
      <c r="A270" s="65" t="s">
        <v>2372</v>
      </c>
      <c r="B270" t="s">
        <v>2383</v>
      </c>
      <c r="H270">
        <v>99922</v>
      </c>
      <c r="I270" t="s">
        <v>2649</v>
      </c>
      <c r="J270" t="str">
        <f t="shared" si="4"/>
        <v>ia.assorted_string like '%99922-00266-10-2024%' or</v>
      </c>
    </row>
    <row r="271" spans="1:10">
      <c r="A271" s="65" t="s">
        <v>2373</v>
      </c>
      <c r="B271" t="s">
        <v>2383</v>
      </c>
      <c r="H271">
        <v>99922</v>
      </c>
      <c r="I271" t="s">
        <v>2650</v>
      </c>
      <c r="J271" t="str">
        <f t="shared" si="4"/>
        <v>ia.assorted_string like '%99922-00267-10-2024%' or</v>
      </c>
    </row>
    <row r="272" spans="1:10">
      <c r="A272" s="65" t="s">
        <v>2374</v>
      </c>
      <c r="B272" t="s">
        <v>2383</v>
      </c>
      <c r="H272">
        <v>99922</v>
      </c>
      <c r="I272" t="s">
        <v>2651</v>
      </c>
      <c r="J272" t="str">
        <f t="shared" si="4"/>
        <v>ia.assorted_string like '%99922-00268-10-2024%' or</v>
      </c>
    </row>
    <row r="273" spans="1:10">
      <c r="A273" s="68" t="s">
        <v>2108</v>
      </c>
      <c r="B273" t="s">
        <v>2383</v>
      </c>
      <c r="H273">
        <v>99922</v>
      </c>
      <c r="I273" t="s">
        <v>2652</v>
      </c>
      <c r="J273" t="str">
        <f t="shared" si="4"/>
        <v>ia.assorted_string like '%99922-00269-10-2024%' or</v>
      </c>
    </row>
    <row r="274" spans="1:10">
      <c r="A274" s="65" t="s">
        <v>2375</v>
      </c>
      <c r="B274" t="s">
        <v>2383</v>
      </c>
      <c r="H274">
        <v>99922</v>
      </c>
      <c r="I274" t="s">
        <v>2653</v>
      </c>
      <c r="J274" t="str">
        <f t="shared" si="4"/>
        <v>ia.assorted_string like '%99922-00270-10-2024%' or</v>
      </c>
    </row>
    <row r="275" spans="1:10">
      <c r="A275" s="68" t="s">
        <v>51</v>
      </c>
      <c r="B275" t="s">
        <v>2383</v>
      </c>
      <c r="H275">
        <v>100177</v>
      </c>
      <c r="I275" t="s">
        <v>2393</v>
      </c>
      <c r="J275" t="str">
        <f t="shared" si="4"/>
        <v>ia.assorted_string like '%100177-00010-10-2024%' or</v>
      </c>
    </row>
  </sheetData>
  <autoFilter ref="H1:H275" xr:uid="{02BC5E3A-C124-47DC-8CB5-04C49C60B50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FF2A-75DC-4F67-8ADB-9029BBF7EEC9}">
  <dimension ref="A1:C273"/>
  <sheetViews>
    <sheetView workbookViewId="0">
      <selection activeCell="J12" sqref="J12"/>
    </sheetView>
  </sheetViews>
  <sheetFormatPr defaultColWidth="7.85546875" defaultRowHeight="15"/>
  <cols>
    <col min="1" max="1" width="3.140625" customWidth="1"/>
    <col min="2" max="2" width="33.5703125" customWidth="1"/>
    <col min="3" max="3" width="13.85546875" customWidth="1"/>
  </cols>
  <sheetData>
    <row r="1" spans="1:3" s="94" customFormat="1" ht="12">
      <c r="A1" s="94" t="s">
        <v>2654</v>
      </c>
      <c r="B1" s="94" t="s">
        <v>2655</v>
      </c>
      <c r="C1" s="94" t="s">
        <v>2656</v>
      </c>
    </row>
    <row r="2" spans="1:3">
      <c r="A2">
        <v>1</v>
      </c>
      <c r="B2" t="s">
        <v>2279</v>
      </c>
      <c r="C2" t="s">
        <v>2657</v>
      </c>
    </row>
    <row r="3" spans="1:3">
      <c r="A3">
        <v>2</v>
      </c>
      <c r="B3" t="s">
        <v>2280</v>
      </c>
      <c r="C3" t="s">
        <v>2658</v>
      </c>
    </row>
    <row r="4" spans="1:3">
      <c r="A4">
        <v>3</v>
      </c>
      <c r="B4" t="s">
        <v>2281</v>
      </c>
      <c r="C4" t="s">
        <v>2659</v>
      </c>
    </row>
    <row r="5" spans="1:3">
      <c r="A5">
        <v>4</v>
      </c>
      <c r="B5" t="s">
        <v>2282</v>
      </c>
      <c r="C5" t="s">
        <v>2660</v>
      </c>
    </row>
    <row r="6" spans="1:3">
      <c r="A6">
        <v>5</v>
      </c>
      <c r="B6" t="s">
        <v>2283</v>
      </c>
      <c r="C6" t="s">
        <v>2661</v>
      </c>
    </row>
    <row r="7" spans="1:3">
      <c r="A7">
        <v>6</v>
      </c>
      <c r="B7" t="s">
        <v>2284</v>
      </c>
      <c r="C7" t="s">
        <v>2662</v>
      </c>
    </row>
    <row r="8" spans="1:3">
      <c r="A8">
        <v>7</v>
      </c>
      <c r="B8" t="s">
        <v>2285</v>
      </c>
      <c r="C8" t="s">
        <v>2663</v>
      </c>
    </row>
    <row r="9" spans="1:3">
      <c r="A9">
        <v>8</v>
      </c>
      <c r="B9" t="s">
        <v>2286</v>
      </c>
      <c r="C9" t="s">
        <v>2664</v>
      </c>
    </row>
    <row r="10" spans="1:3">
      <c r="A10">
        <v>9</v>
      </c>
      <c r="B10" t="s">
        <v>2287</v>
      </c>
      <c r="C10" t="s">
        <v>2665</v>
      </c>
    </row>
    <row r="11" spans="1:3">
      <c r="A11">
        <v>10</v>
      </c>
      <c r="B11" t="s">
        <v>2289</v>
      </c>
      <c r="C11" t="s">
        <v>2666</v>
      </c>
    </row>
    <row r="12" spans="1:3">
      <c r="A12">
        <v>11</v>
      </c>
      <c r="B12" t="s">
        <v>2290</v>
      </c>
      <c r="C12" t="s">
        <v>2667</v>
      </c>
    </row>
    <row r="13" spans="1:3">
      <c r="A13">
        <v>12</v>
      </c>
      <c r="B13" t="s">
        <v>2292</v>
      </c>
      <c r="C13" t="s">
        <v>2668</v>
      </c>
    </row>
    <row r="14" spans="1:3">
      <c r="A14">
        <v>13</v>
      </c>
      <c r="B14" t="s">
        <v>2293</v>
      </c>
      <c r="C14" t="s">
        <v>2669</v>
      </c>
    </row>
    <row r="15" spans="1:3">
      <c r="A15">
        <v>14</v>
      </c>
      <c r="B15" t="s">
        <v>2294</v>
      </c>
      <c r="C15" t="s">
        <v>2670</v>
      </c>
    </row>
    <row r="16" spans="1:3">
      <c r="A16">
        <v>15</v>
      </c>
      <c r="B16" t="s">
        <v>2296</v>
      </c>
      <c r="C16" t="s">
        <v>2671</v>
      </c>
    </row>
    <row r="17" spans="1:3">
      <c r="A17">
        <v>16</v>
      </c>
      <c r="B17" t="s">
        <v>2297</v>
      </c>
      <c r="C17" t="s">
        <v>2672</v>
      </c>
    </row>
    <row r="18" spans="1:3">
      <c r="A18">
        <v>17</v>
      </c>
      <c r="B18" t="s">
        <v>2299</v>
      </c>
      <c r="C18" t="s">
        <v>2673</v>
      </c>
    </row>
    <row r="19" spans="1:3">
      <c r="A19">
        <v>18</v>
      </c>
      <c r="B19" t="s">
        <v>2300</v>
      </c>
      <c r="C19" t="s">
        <v>2674</v>
      </c>
    </row>
    <row r="20" spans="1:3">
      <c r="A20">
        <v>19</v>
      </c>
      <c r="B20" t="s">
        <v>2301</v>
      </c>
      <c r="C20" t="s">
        <v>2675</v>
      </c>
    </row>
    <row r="21" spans="1:3">
      <c r="A21">
        <v>20</v>
      </c>
      <c r="B21" t="s">
        <v>2303</v>
      </c>
      <c r="C21" t="s">
        <v>2676</v>
      </c>
    </row>
    <row r="22" spans="1:3">
      <c r="A22">
        <v>21</v>
      </c>
      <c r="B22" t="s">
        <v>2304</v>
      </c>
      <c r="C22" t="s">
        <v>2677</v>
      </c>
    </row>
    <row r="23" spans="1:3">
      <c r="A23">
        <v>22</v>
      </c>
      <c r="B23" t="s">
        <v>2305</v>
      </c>
      <c r="C23" t="s">
        <v>2678</v>
      </c>
    </row>
    <row r="24" spans="1:3">
      <c r="A24">
        <v>23</v>
      </c>
      <c r="B24" t="s">
        <v>2306</v>
      </c>
      <c r="C24" t="s">
        <v>2679</v>
      </c>
    </row>
    <row r="25" spans="1:3">
      <c r="A25">
        <v>24</v>
      </c>
      <c r="B25" t="s">
        <v>2307</v>
      </c>
      <c r="C25" t="s">
        <v>2680</v>
      </c>
    </row>
    <row r="26" spans="1:3">
      <c r="A26">
        <v>25</v>
      </c>
      <c r="B26" t="s">
        <v>2308</v>
      </c>
      <c r="C26" t="s">
        <v>2681</v>
      </c>
    </row>
    <row r="27" spans="1:3">
      <c r="A27">
        <v>26</v>
      </c>
      <c r="B27" t="s">
        <v>2309</v>
      </c>
      <c r="C27" t="s">
        <v>2682</v>
      </c>
    </row>
    <row r="28" spans="1:3">
      <c r="A28">
        <v>27</v>
      </c>
      <c r="B28" t="s">
        <v>2310</v>
      </c>
      <c r="C28" t="s">
        <v>2683</v>
      </c>
    </row>
    <row r="29" spans="1:3">
      <c r="A29">
        <v>28</v>
      </c>
      <c r="B29" t="s">
        <v>2311</v>
      </c>
      <c r="C29" t="s">
        <v>2684</v>
      </c>
    </row>
    <row r="30" spans="1:3">
      <c r="A30">
        <v>29</v>
      </c>
      <c r="B30" t="s">
        <v>2312</v>
      </c>
      <c r="C30" t="s">
        <v>2685</v>
      </c>
    </row>
    <row r="31" spans="1:3">
      <c r="A31">
        <v>30</v>
      </c>
      <c r="B31" t="s">
        <v>2314</v>
      </c>
      <c r="C31" t="s">
        <v>2686</v>
      </c>
    </row>
    <row r="32" spans="1:3">
      <c r="A32">
        <v>31</v>
      </c>
      <c r="B32" t="s">
        <v>2315</v>
      </c>
      <c r="C32" t="s">
        <v>2687</v>
      </c>
    </row>
    <row r="33" spans="1:3">
      <c r="A33">
        <v>32</v>
      </c>
      <c r="B33" t="s">
        <v>2316</v>
      </c>
      <c r="C33" t="s">
        <v>2688</v>
      </c>
    </row>
    <row r="34" spans="1:3">
      <c r="A34">
        <v>33</v>
      </c>
      <c r="B34" t="s">
        <v>2318</v>
      </c>
      <c r="C34" t="s">
        <v>2689</v>
      </c>
    </row>
    <row r="35" spans="1:3">
      <c r="A35">
        <v>34</v>
      </c>
      <c r="B35" t="s">
        <v>2319</v>
      </c>
      <c r="C35" t="s">
        <v>2690</v>
      </c>
    </row>
    <row r="36" spans="1:3">
      <c r="A36">
        <v>35</v>
      </c>
      <c r="B36" t="s">
        <v>2321</v>
      </c>
      <c r="C36" t="s">
        <v>2691</v>
      </c>
    </row>
    <row r="37" spans="1:3">
      <c r="A37">
        <v>36</v>
      </c>
      <c r="B37" t="s">
        <v>2322</v>
      </c>
      <c r="C37" t="s">
        <v>2692</v>
      </c>
    </row>
    <row r="38" spans="1:3">
      <c r="A38">
        <v>37</v>
      </c>
      <c r="B38" t="s">
        <v>2323</v>
      </c>
      <c r="C38" t="s">
        <v>2693</v>
      </c>
    </row>
    <row r="39" spans="1:3">
      <c r="A39">
        <v>38</v>
      </c>
      <c r="B39" t="s">
        <v>2325</v>
      </c>
      <c r="C39" t="s">
        <v>2694</v>
      </c>
    </row>
    <row r="40" spans="1:3">
      <c r="A40">
        <v>39</v>
      </c>
      <c r="B40" t="s">
        <v>2326</v>
      </c>
      <c r="C40" t="s">
        <v>2695</v>
      </c>
    </row>
    <row r="41" spans="1:3">
      <c r="A41">
        <v>40</v>
      </c>
      <c r="B41" t="s">
        <v>2328</v>
      </c>
      <c r="C41" t="s">
        <v>2696</v>
      </c>
    </row>
    <row r="42" spans="1:3">
      <c r="A42">
        <v>41</v>
      </c>
      <c r="B42" t="s">
        <v>2329</v>
      </c>
      <c r="C42" t="s">
        <v>2697</v>
      </c>
    </row>
    <row r="43" spans="1:3">
      <c r="A43">
        <v>42</v>
      </c>
      <c r="B43" t="s">
        <v>2330</v>
      </c>
      <c r="C43" t="s">
        <v>2698</v>
      </c>
    </row>
    <row r="44" spans="1:3">
      <c r="A44">
        <v>43</v>
      </c>
      <c r="B44" t="s">
        <v>2332</v>
      </c>
      <c r="C44" t="s">
        <v>2699</v>
      </c>
    </row>
    <row r="45" spans="1:3">
      <c r="A45">
        <v>44</v>
      </c>
      <c r="B45" t="s">
        <v>2183</v>
      </c>
      <c r="C45" t="s">
        <v>2700</v>
      </c>
    </row>
    <row r="46" spans="1:3">
      <c r="A46">
        <v>45</v>
      </c>
      <c r="B46" t="s">
        <v>2184</v>
      </c>
      <c r="C46" t="s">
        <v>2701</v>
      </c>
    </row>
    <row r="47" spans="1:3">
      <c r="A47">
        <v>46</v>
      </c>
      <c r="B47" t="s">
        <v>2185</v>
      </c>
      <c r="C47" t="s">
        <v>2702</v>
      </c>
    </row>
    <row r="48" spans="1:3">
      <c r="A48">
        <v>47</v>
      </c>
      <c r="B48" t="s">
        <v>2186</v>
      </c>
      <c r="C48" t="s">
        <v>2703</v>
      </c>
    </row>
    <row r="49" spans="1:3">
      <c r="A49">
        <v>48</v>
      </c>
      <c r="B49" t="s">
        <v>2187</v>
      </c>
      <c r="C49" t="s">
        <v>2704</v>
      </c>
    </row>
    <row r="50" spans="1:3">
      <c r="A50">
        <v>49</v>
      </c>
      <c r="B50" t="s">
        <v>2188</v>
      </c>
      <c r="C50" t="s">
        <v>2705</v>
      </c>
    </row>
    <row r="51" spans="1:3">
      <c r="A51">
        <v>50</v>
      </c>
      <c r="B51" t="s">
        <v>2189</v>
      </c>
      <c r="C51" t="s">
        <v>2706</v>
      </c>
    </row>
    <row r="52" spans="1:3">
      <c r="A52">
        <v>51</v>
      </c>
      <c r="B52" t="s">
        <v>2191</v>
      </c>
      <c r="C52" t="s">
        <v>2707</v>
      </c>
    </row>
    <row r="53" spans="1:3">
      <c r="A53">
        <v>52</v>
      </c>
      <c r="B53" t="s">
        <v>2333</v>
      </c>
      <c r="C53" t="s">
        <v>2708</v>
      </c>
    </row>
    <row r="54" spans="1:3">
      <c r="A54">
        <v>53</v>
      </c>
      <c r="B54" t="s">
        <v>2334</v>
      </c>
      <c r="C54" t="s">
        <v>2709</v>
      </c>
    </row>
    <row r="55" spans="1:3">
      <c r="A55">
        <v>54</v>
      </c>
      <c r="B55" t="s">
        <v>2335</v>
      </c>
      <c r="C55" t="s">
        <v>2710</v>
      </c>
    </row>
    <row r="56" spans="1:3">
      <c r="A56">
        <v>55</v>
      </c>
      <c r="B56" t="s">
        <v>2336</v>
      </c>
      <c r="C56" t="s">
        <v>2711</v>
      </c>
    </row>
    <row r="57" spans="1:3">
      <c r="A57">
        <v>56</v>
      </c>
      <c r="B57" t="s">
        <v>2337</v>
      </c>
      <c r="C57" t="s">
        <v>2712</v>
      </c>
    </row>
    <row r="58" spans="1:3">
      <c r="A58">
        <v>57</v>
      </c>
      <c r="B58" t="s">
        <v>2338</v>
      </c>
      <c r="C58" t="s">
        <v>2713</v>
      </c>
    </row>
    <row r="59" spans="1:3">
      <c r="A59">
        <v>58</v>
      </c>
      <c r="B59" t="s">
        <v>2339</v>
      </c>
      <c r="C59" t="s">
        <v>2714</v>
      </c>
    </row>
    <row r="60" spans="1:3">
      <c r="A60">
        <v>59</v>
      </c>
      <c r="B60" t="s">
        <v>2340</v>
      </c>
      <c r="C60" t="s">
        <v>2715</v>
      </c>
    </row>
    <row r="61" spans="1:3">
      <c r="A61">
        <v>60</v>
      </c>
      <c r="B61" t="s">
        <v>2341</v>
      </c>
      <c r="C61" t="s">
        <v>2716</v>
      </c>
    </row>
    <row r="62" spans="1:3">
      <c r="A62">
        <v>61</v>
      </c>
      <c r="B62" t="s">
        <v>2343</v>
      </c>
      <c r="C62" t="s">
        <v>2717</v>
      </c>
    </row>
    <row r="63" spans="1:3">
      <c r="A63">
        <v>62</v>
      </c>
      <c r="B63" t="s">
        <v>2344</v>
      </c>
      <c r="C63" t="s">
        <v>2718</v>
      </c>
    </row>
    <row r="64" spans="1:3">
      <c r="A64">
        <v>63</v>
      </c>
      <c r="B64" t="s">
        <v>2346</v>
      </c>
      <c r="C64" t="s">
        <v>2719</v>
      </c>
    </row>
    <row r="65" spans="1:3">
      <c r="A65">
        <v>64</v>
      </c>
      <c r="B65" t="s">
        <v>2347</v>
      </c>
      <c r="C65" t="s">
        <v>2720</v>
      </c>
    </row>
    <row r="66" spans="1:3">
      <c r="A66">
        <v>65</v>
      </c>
      <c r="B66" t="s">
        <v>2348</v>
      </c>
      <c r="C66" t="s">
        <v>2721</v>
      </c>
    </row>
    <row r="67" spans="1:3">
      <c r="A67">
        <v>66</v>
      </c>
      <c r="B67" t="s">
        <v>2350</v>
      </c>
      <c r="C67" t="s">
        <v>2722</v>
      </c>
    </row>
    <row r="68" spans="1:3">
      <c r="A68">
        <v>67</v>
      </c>
      <c r="B68" t="s">
        <v>2351</v>
      </c>
      <c r="C68" t="s">
        <v>2723</v>
      </c>
    </row>
    <row r="69" spans="1:3">
      <c r="A69">
        <v>68</v>
      </c>
      <c r="B69" t="s">
        <v>2353</v>
      </c>
      <c r="C69" t="s">
        <v>2724</v>
      </c>
    </row>
    <row r="70" spans="1:3">
      <c r="A70">
        <v>69</v>
      </c>
      <c r="B70" t="s">
        <v>2354</v>
      </c>
      <c r="C70" t="s">
        <v>2725</v>
      </c>
    </row>
    <row r="71" spans="1:3">
      <c r="A71">
        <v>70</v>
      </c>
      <c r="B71" t="s">
        <v>2355</v>
      </c>
      <c r="C71" t="s">
        <v>2726</v>
      </c>
    </row>
    <row r="72" spans="1:3">
      <c r="A72">
        <v>71</v>
      </c>
      <c r="B72" t="s">
        <v>2192</v>
      </c>
      <c r="C72" t="s">
        <v>2727</v>
      </c>
    </row>
    <row r="73" spans="1:3">
      <c r="A73">
        <v>72</v>
      </c>
      <c r="B73" t="s">
        <v>2193</v>
      </c>
      <c r="C73" t="s">
        <v>2728</v>
      </c>
    </row>
    <row r="74" spans="1:3">
      <c r="A74">
        <v>73</v>
      </c>
      <c r="B74" t="s">
        <v>2194</v>
      </c>
      <c r="C74" t="s">
        <v>2729</v>
      </c>
    </row>
    <row r="75" spans="1:3">
      <c r="A75">
        <v>74</v>
      </c>
      <c r="B75" t="s">
        <v>2195</v>
      </c>
      <c r="C75" t="s">
        <v>2730</v>
      </c>
    </row>
    <row r="76" spans="1:3">
      <c r="A76">
        <v>75</v>
      </c>
      <c r="B76" t="s">
        <v>2196</v>
      </c>
      <c r="C76" t="s">
        <v>2731</v>
      </c>
    </row>
    <row r="77" spans="1:3">
      <c r="A77">
        <v>76</v>
      </c>
      <c r="B77" t="s">
        <v>2197</v>
      </c>
      <c r="C77" t="s">
        <v>2732</v>
      </c>
    </row>
    <row r="78" spans="1:3">
      <c r="A78">
        <v>77</v>
      </c>
      <c r="B78" t="s">
        <v>2198</v>
      </c>
      <c r="C78" t="s">
        <v>2733</v>
      </c>
    </row>
    <row r="79" spans="1:3">
      <c r="A79">
        <v>78</v>
      </c>
      <c r="B79" t="s">
        <v>2199</v>
      </c>
      <c r="C79" t="s">
        <v>2734</v>
      </c>
    </row>
    <row r="80" spans="1:3">
      <c r="A80">
        <v>79</v>
      </c>
      <c r="B80" t="s">
        <v>2200</v>
      </c>
      <c r="C80" t="s">
        <v>2735</v>
      </c>
    </row>
    <row r="81" spans="1:3">
      <c r="A81">
        <v>80</v>
      </c>
      <c r="B81" t="s">
        <v>2202</v>
      </c>
      <c r="C81" t="s">
        <v>2736</v>
      </c>
    </row>
    <row r="82" spans="1:3">
      <c r="A82">
        <v>81</v>
      </c>
      <c r="B82" t="s">
        <v>2203</v>
      </c>
      <c r="C82" t="s">
        <v>2737</v>
      </c>
    </row>
    <row r="83" spans="1:3">
      <c r="A83">
        <v>82</v>
      </c>
      <c r="B83" t="s">
        <v>2205</v>
      </c>
      <c r="C83" t="s">
        <v>2738</v>
      </c>
    </row>
    <row r="84" spans="1:3">
      <c r="A84">
        <v>83</v>
      </c>
      <c r="B84" t="s">
        <v>2206</v>
      </c>
      <c r="C84" t="s">
        <v>2739</v>
      </c>
    </row>
    <row r="85" spans="1:3">
      <c r="A85">
        <v>84</v>
      </c>
      <c r="B85" t="s">
        <v>2207</v>
      </c>
      <c r="C85" t="s">
        <v>2740</v>
      </c>
    </row>
    <row r="86" spans="1:3">
      <c r="A86">
        <v>85</v>
      </c>
      <c r="B86" t="s">
        <v>2209</v>
      </c>
      <c r="C86" t="s">
        <v>2741</v>
      </c>
    </row>
    <row r="87" spans="1:3">
      <c r="A87">
        <v>86</v>
      </c>
      <c r="B87" t="s">
        <v>2210</v>
      </c>
      <c r="C87" t="s">
        <v>2742</v>
      </c>
    </row>
    <row r="88" spans="1:3">
      <c r="A88">
        <v>87</v>
      </c>
      <c r="B88" t="s">
        <v>2212</v>
      </c>
      <c r="C88" t="s">
        <v>2743</v>
      </c>
    </row>
    <row r="89" spans="1:3">
      <c r="A89">
        <v>88</v>
      </c>
      <c r="B89" t="s">
        <v>2213</v>
      </c>
      <c r="C89" t="s">
        <v>2744</v>
      </c>
    </row>
    <row r="90" spans="1:3">
      <c r="A90">
        <v>89</v>
      </c>
      <c r="B90" t="s">
        <v>2214</v>
      </c>
      <c r="C90" t="s">
        <v>2745</v>
      </c>
    </row>
    <row r="91" spans="1:3">
      <c r="A91">
        <v>90</v>
      </c>
      <c r="B91" t="s">
        <v>2356</v>
      </c>
      <c r="C91" t="s">
        <v>2746</v>
      </c>
    </row>
    <row r="92" spans="1:3">
      <c r="A92">
        <v>91</v>
      </c>
      <c r="B92" t="s">
        <v>2357</v>
      </c>
      <c r="C92" t="s">
        <v>2747</v>
      </c>
    </row>
    <row r="93" spans="1:3">
      <c r="A93">
        <v>92</v>
      </c>
      <c r="B93" t="s">
        <v>2358</v>
      </c>
      <c r="C93" t="s">
        <v>2748</v>
      </c>
    </row>
    <row r="94" spans="1:3">
      <c r="A94">
        <v>93</v>
      </c>
      <c r="B94" t="s">
        <v>2359</v>
      </c>
      <c r="C94" t="s">
        <v>2749</v>
      </c>
    </row>
    <row r="95" spans="1:3">
      <c r="A95">
        <v>94</v>
      </c>
      <c r="B95" t="s">
        <v>2360</v>
      </c>
      <c r="C95" t="s">
        <v>2750</v>
      </c>
    </row>
    <row r="96" spans="1:3">
      <c r="A96">
        <v>95</v>
      </c>
      <c r="B96" t="s">
        <v>2361</v>
      </c>
      <c r="C96" t="s">
        <v>2751</v>
      </c>
    </row>
    <row r="97" spans="1:3">
      <c r="A97">
        <v>96</v>
      </c>
      <c r="B97" t="s">
        <v>2362</v>
      </c>
      <c r="C97" t="s">
        <v>2752</v>
      </c>
    </row>
    <row r="98" spans="1:3">
      <c r="A98">
        <v>97</v>
      </c>
      <c r="B98" t="s">
        <v>2364</v>
      </c>
      <c r="C98" t="s">
        <v>2753</v>
      </c>
    </row>
    <row r="99" spans="1:3">
      <c r="A99">
        <v>98</v>
      </c>
      <c r="B99" t="s">
        <v>2365</v>
      </c>
      <c r="C99" t="s">
        <v>2754</v>
      </c>
    </row>
    <row r="100" spans="1:3">
      <c r="A100">
        <v>99</v>
      </c>
      <c r="B100" t="s">
        <v>2367</v>
      </c>
      <c r="C100" t="s">
        <v>2755</v>
      </c>
    </row>
    <row r="101" spans="1:3">
      <c r="A101">
        <v>100</v>
      </c>
      <c r="B101" t="s">
        <v>2368</v>
      </c>
      <c r="C101" t="s">
        <v>2756</v>
      </c>
    </row>
    <row r="102" spans="1:3">
      <c r="A102">
        <v>101</v>
      </c>
      <c r="B102" t="s">
        <v>2369</v>
      </c>
      <c r="C102" t="s">
        <v>2757</v>
      </c>
    </row>
    <row r="103" spans="1:3">
      <c r="A103">
        <v>102</v>
      </c>
      <c r="B103" t="s">
        <v>2371</v>
      </c>
      <c r="C103" t="s">
        <v>2758</v>
      </c>
    </row>
    <row r="104" spans="1:3">
      <c r="A104">
        <v>103</v>
      </c>
      <c r="B104" t="s">
        <v>2372</v>
      </c>
      <c r="C104" t="s">
        <v>2759</v>
      </c>
    </row>
    <row r="105" spans="1:3">
      <c r="A105">
        <v>104</v>
      </c>
      <c r="B105" t="s">
        <v>2374</v>
      </c>
      <c r="C105" t="s">
        <v>2760</v>
      </c>
    </row>
    <row r="106" spans="1:3">
      <c r="A106">
        <v>105</v>
      </c>
      <c r="B106" t="s">
        <v>2108</v>
      </c>
      <c r="C106" t="s">
        <v>2761</v>
      </c>
    </row>
    <row r="107" spans="1:3">
      <c r="A107">
        <v>106</v>
      </c>
      <c r="B107" t="s">
        <v>2375</v>
      </c>
      <c r="C107" t="s">
        <v>2762</v>
      </c>
    </row>
    <row r="108" spans="1:3">
      <c r="A108">
        <v>107</v>
      </c>
      <c r="B108" t="s">
        <v>2215</v>
      </c>
      <c r="C108" t="s">
        <v>2763</v>
      </c>
    </row>
    <row r="109" spans="1:3">
      <c r="A109">
        <v>108</v>
      </c>
      <c r="B109" t="s">
        <v>2216</v>
      </c>
      <c r="C109" t="s">
        <v>2764</v>
      </c>
    </row>
    <row r="110" spans="1:3">
      <c r="A110">
        <v>109</v>
      </c>
      <c r="B110" t="s">
        <v>2217</v>
      </c>
      <c r="C110" t="s">
        <v>2765</v>
      </c>
    </row>
    <row r="111" spans="1:3">
      <c r="A111">
        <v>110</v>
      </c>
      <c r="B111" t="s">
        <v>2218</v>
      </c>
      <c r="C111" t="s">
        <v>2766</v>
      </c>
    </row>
    <row r="112" spans="1:3">
      <c r="A112">
        <v>111</v>
      </c>
      <c r="B112" t="s">
        <v>2219</v>
      </c>
      <c r="C112" t="s">
        <v>2767</v>
      </c>
    </row>
    <row r="113" spans="1:3">
      <c r="A113">
        <v>112</v>
      </c>
      <c r="B113" t="s">
        <v>2220</v>
      </c>
      <c r="C113" t="s">
        <v>2768</v>
      </c>
    </row>
    <row r="114" spans="1:3">
      <c r="A114">
        <v>113</v>
      </c>
      <c r="B114" t="s">
        <v>2221</v>
      </c>
      <c r="C114" t="s">
        <v>2769</v>
      </c>
    </row>
    <row r="115" spans="1:3">
      <c r="A115">
        <v>114</v>
      </c>
      <c r="B115" t="s">
        <v>2222</v>
      </c>
      <c r="C115" t="s">
        <v>2770</v>
      </c>
    </row>
    <row r="116" spans="1:3">
      <c r="A116">
        <v>115</v>
      </c>
      <c r="B116" t="s">
        <v>2223</v>
      </c>
      <c r="C116" t="s">
        <v>2771</v>
      </c>
    </row>
    <row r="117" spans="1:3">
      <c r="A117">
        <v>116</v>
      </c>
      <c r="B117" t="s">
        <v>2225</v>
      </c>
      <c r="C117" t="s">
        <v>2772</v>
      </c>
    </row>
    <row r="118" spans="1:3">
      <c r="A118">
        <v>117</v>
      </c>
      <c r="B118" t="s">
        <v>2226</v>
      </c>
      <c r="C118" t="s">
        <v>2773</v>
      </c>
    </row>
    <row r="119" spans="1:3">
      <c r="A119">
        <v>118</v>
      </c>
      <c r="B119" t="s">
        <v>2228</v>
      </c>
      <c r="C119" t="s">
        <v>2774</v>
      </c>
    </row>
    <row r="120" spans="1:3">
      <c r="A120">
        <v>119</v>
      </c>
      <c r="B120" t="s">
        <v>2229</v>
      </c>
      <c r="C120" t="s">
        <v>2775</v>
      </c>
    </row>
    <row r="121" spans="1:3">
      <c r="A121">
        <v>120</v>
      </c>
      <c r="B121" t="s">
        <v>2230</v>
      </c>
      <c r="C121" t="s">
        <v>2776</v>
      </c>
    </row>
    <row r="122" spans="1:3">
      <c r="A122">
        <v>121</v>
      </c>
      <c r="B122" t="s">
        <v>2232</v>
      </c>
      <c r="C122" t="s">
        <v>2777</v>
      </c>
    </row>
    <row r="123" spans="1:3">
      <c r="A123">
        <v>122</v>
      </c>
      <c r="B123" t="s">
        <v>2233</v>
      </c>
      <c r="C123" t="s">
        <v>2778</v>
      </c>
    </row>
    <row r="124" spans="1:3">
      <c r="A124">
        <v>123</v>
      </c>
      <c r="B124" t="s">
        <v>2234</v>
      </c>
      <c r="C124" t="s">
        <v>2779</v>
      </c>
    </row>
    <row r="125" spans="1:3">
      <c r="A125">
        <v>124</v>
      </c>
      <c r="B125" t="s">
        <v>2235</v>
      </c>
      <c r="C125" t="s">
        <v>2780</v>
      </c>
    </row>
    <row r="126" spans="1:3">
      <c r="A126">
        <v>125</v>
      </c>
      <c r="B126" t="s">
        <v>2236</v>
      </c>
      <c r="C126" t="s">
        <v>2781</v>
      </c>
    </row>
    <row r="127" spans="1:3">
      <c r="A127">
        <v>126</v>
      </c>
      <c r="B127" t="s">
        <v>2237</v>
      </c>
      <c r="C127" t="s">
        <v>2782</v>
      </c>
    </row>
    <row r="128" spans="1:3">
      <c r="A128">
        <v>127</v>
      </c>
      <c r="B128" t="s">
        <v>2238</v>
      </c>
      <c r="C128" t="s">
        <v>2783</v>
      </c>
    </row>
    <row r="129" spans="1:3">
      <c r="A129">
        <v>128</v>
      </c>
      <c r="B129" t="s">
        <v>2239</v>
      </c>
      <c r="C129" t="s">
        <v>2784</v>
      </c>
    </row>
    <row r="130" spans="1:3">
      <c r="A130">
        <v>129</v>
      </c>
      <c r="B130" t="s">
        <v>2240</v>
      </c>
      <c r="C130" t="s">
        <v>2785</v>
      </c>
    </row>
    <row r="131" spans="1:3">
      <c r="A131">
        <v>130</v>
      </c>
      <c r="B131" t="s">
        <v>2242</v>
      </c>
      <c r="C131" t="s">
        <v>2786</v>
      </c>
    </row>
    <row r="132" spans="1:3">
      <c r="A132">
        <v>131</v>
      </c>
      <c r="B132" t="s">
        <v>2243</v>
      </c>
      <c r="C132" t="s">
        <v>2787</v>
      </c>
    </row>
    <row r="133" spans="1:3">
      <c r="A133">
        <v>132</v>
      </c>
      <c r="B133" t="s">
        <v>2244</v>
      </c>
      <c r="C133" t="s">
        <v>2788</v>
      </c>
    </row>
    <row r="134" spans="1:3">
      <c r="A134">
        <v>133</v>
      </c>
      <c r="B134" t="s">
        <v>2245</v>
      </c>
      <c r="C134" t="s">
        <v>2789</v>
      </c>
    </row>
    <row r="135" spans="1:3">
      <c r="A135">
        <v>134</v>
      </c>
      <c r="B135" t="s">
        <v>2246</v>
      </c>
      <c r="C135" t="s">
        <v>2790</v>
      </c>
    </row>
    <row r="136" spans="1:3">
      <c r="A136">
        <v>135</v>
      </c>
      <c r="B136" t="s">
        <v>2247</v>
      </c>
      <c r="C136" t="s">
        <v>2791</v>
      </c>
    </row>
    <row r="137" spans="1:3">
      <c r="A137">
        <v>136</v>
      </c>
      <c r="B137" t="s">
        <v>2249</v>
      </c>
      <c r="C137" t="s">
        <v>2792</v>
      </c>
    </row>
    <row r="138" spans="1:3">
      <c r="A138">
        <v>137</v>
      </c>
      <c r="B138" t="s">
        <v>2250</v>
      </c>
      <c r="C138" t="s">
        <v>2793</v>
      </c>
    </row>
    <row r="139" spans="1:3">
      <c r="A139">
        <v>138</v>
      </c>
      <c r="B139" t="s">
        <v>2251</v>
      </c>
      <c r="C139" t="s">
        <v>2794</v>
      </c>
    </row>
    <row r="140" spans="1:3">
      <c r="A140">
        <v>139</v>
      </c>
      <c r="B140" t="s">
        <v>2252</v>
      </c>
      <c r="C140" t="s">
        <v>2795</v>
      </c>
    </row>
    <row r="141" spans="1:3">
      <c r="A141">
        <v>140</v>
      </c>
      <c r="B141" t="s">
        <v>2253</v>
      </c>
      <c r="C141" t="s">
        <v>2796</v>
      </c>
    </row>
    <row r="142" spans="1:3">
      <c r="A142">
        <v>141</v>
      </c>
      <c r="B142" t="s">
        <v>2254</v>
      </c>
      <c r="C142" t="s">
        <v>2797</v>
      </c>
    </row>
    <row r="143" spans="1:3">
      <c r="A143">
        <v>142</v>
      </c>
      <c r="B143" t="s">
        <v>2255</v>
      </c>
      <c r="C143" t="s">
        <v>2798</v>
      </c>
    </row>
    <row r="144" spans="1:3">
      <c r="A144">
        <v>143</v>
      </c>
      <c r="B144" t="s">
        <v>2256</v>
      </c>
      <c r="C144" t="s">
        <v>2799</v>
      </c>
    </row>
    <row r="145" spans="1:3">
      <c r="A145">
        <v>144</v>
      </c>
      <c r="B145" t="s">
        <v>2257</v>
      </c>
      <c r="C145" t="s">
        <v>2800</v>
      </c>
    </row>
    <row r="146" spans="1:3">
      <c r="A146">
        <v>145</v>
      </c>
      <c r="B146" t="s">
        <v>2258</v>
      </c>
      <c r="C146" t="s">
        <v>2801</v>
      </c>
    </row>
    <row r="147" spans="1:3">
      <c r="A147">
        <v>146</v>
      </c>
      <c r="B147" t="s">
        <v>2260</v>
      </c>
      <c r="C147" t="s">
        <v>2802</v>
      </c>
    </row>
    <row r="148" spans="1:3">
      <c r="A148">
        <v>147</v>
      </c>
      <c r="B148" t="s">
        <v>2261</v>
      </c>
      <c r="C148" t="s">
        <v>2803</v>
      </c>
    </row>
    <row r="149" spans="1:3">
      <c r="A149">
        <v>148</v>
      </c>
      <c r="B149" t="s">
        <v>2262</v>
      </c>
      <c r="C149" t="s">
        <v>2804</v>
      </c>
    </row>
    <row r="150" spans="1:3">
      <c r="A150">
        <v>149</v>
      </c>
      <c r="B150" t="s">
        <v>2264</v>
      </c>
      <c r="C150" t="s">
        <v>2805</v>
      </c>
    </row>
    <row r="151" spans="1:3">
      <c r="A151">
        <v>150</v>
      </c>
      <c r="B151" t="s">
        <v>2265</v>
      </c>
      <c r="C151" t="s">
        <v>2806</v>
      </c>
    </row>
    <row r="152" spans="1:3">
      <c r="A152">
        <v>151</v>
      </c>
      <c r="B152" t="s">
        <v>2267</v>
      </c>
      <c r="C152" t="s">
        <v>2807</v>
      </c>
    </row>
    <row r="153" spans="1:3">
      <c r="A153">
        <v>152</v>
      </c>
      <c r="B153" t="s">
        <v>2268</v>
      </c>
      <c r="C153" t="s">
        <v>2808</v>
      </c>
    </row>
    <row r="154" spans="1:3">
      <c r="A154">
        <v>153</v>
      </c>
      <c r="B154" t="s">
        <v>2269</v>
      </c>
      <c r="C154" t="s">
        <v>2809</v>
      </c>
    </row>
    <row r="155" spans="1:3">
      <c r="A155">
        <v>154</v>
      </c>
      <c r="B155" t="s">
        <v>2271</v>
      </c>
      <c r="C155" t="s">
        <v>2810</v>
      </c>
    </row>
    <row r="156" spans="1:3">
      <c r="A156">
        <v>155</v>
      </c>
      <c r="B156" t="s">
        <v>2272</v>
      </c>
      <c r="C156" t="s">
        <v>2811</v>
      </c>
    </row>
    <row r="157" spans="1:3">
      <c r="A157">
        <v>156</v>
      </c>
      <c r="B157" t="s">
        <v>2274</v>
      </c>
      <c r="C157" t="s">
        <v>2812</v>
      </c>
    </row>
    <row r="158" spans="1:3">
      <c r="A158">
        <v>157</v>
      </c>
      <c r="B158" t="s">
        <v>2275</v>
      </c>
      <c r="C158" t="s">
        <v>2813</v>
      </c>
    </row>
    <row r="159" spans="1:3">
      <c r="A159">
        <v>158</v>
      </c>
      <c r="B159" t="s">
        <v>2276</v>
      </c>
      <c r="C159" t="s">
        <v>2814</v>
      </c>
    </row>
    <row r="160" spans="1:3">
      <c r="A160">
        <v>159</v>
      </c>
      <c r="B160" t="s">
        <v>2278</v>
      </c>
      <c r="C160" t="s">
        <v>2815</v>
      </c>
    </row>
    <row r="161" spans="1:3">
      <c r="A161">
        <v>160</v>
      </c>
      <c r="B161" t="s">
        <v>2211</v>
      </c>
      <c r="C161" t="s">
        <v>2816</v>
      </c>
    </row>
    <row r="162" spans="1:3">
      <c r="A162">
        <v>161</v>
      </c>
      <c r="B162" t="s">
        <v>2117</v>
      </c>
      <c r="C162" t="s">
        <v>2817</v>
      </c>
    </row>
    <row r="163" spans="1:3">
      <c r="A163">
        <v>162</v>
      </c>
      <c r="B163" t="s">
        <v>2126</v>
      </c>
      <c r="C163" t="s">
        <v>2818</v>
      </c>
    </row>
    <row r="164" spans="1:3">
      <c r="A164">
        <v>163</v>
      </c>
      <c r="B164" t="s">
        <v>2130</v>
      </c>
      <c r="C164" t="s">
        <v>2819</v>
      </c>
    </row>
    <row r="165" spans="1:3">
      <c r="A165">
        <v>164</v>
      </c>
      <c r="B165" t="s">
        <v>2158</v>
      </c>
      <c r="C165" t="s">
        <v>2820</v>
      </c>
    </row>
    <row r="166" spans="1:3">
      <c r="A166">
        <v>165</v>
      </c>
      <c r="B166" t="s">
        <v>2161</v>
      </c>
      <c r="C166" t="s">
        <v>2821</v>
      </c>
    </row>
    <row r="167" spans="1:3">
      <c r="A167">
        <v>166</v>
      </c>
      <c r="B167" t="s">
        <v>2165</v>
      </c>
      <c r="C167" t="s">
        <v>2822</v>
      </c>
    </row>
    <row r="168" spans="1:3">
      <c r="A168">
        <v>167</v>
      </c>
      <c r="B168" t="s">
        <v>2168</v>
      </c>
      <c r="C168" t="s">
        <v>2823</v>
      </c>
    </row>
    <row r="169" spans="1:3">
      <c r="A169">
        <v>168</v>
      </c>
      <c r="B169" t="s">
        <v>2173</v>
      </c>
      <c r="C169" t="s">
        <v>2824</v>
      </c>
    </row>
    <row r="170" spans="1:3">
      <c r="A170">
        <v>169</v>
      </c>
      <c r="B170" t="s">
        <v>2177</v>
      </c>
      <c r="C170" t="s">
        <v>2825</v>
      </c>
    </row>
    <row r="171" spans="1:3">
      <c r="A171">
        <v>170</v>
      </c>
      <c r="B171" t="s">
        <v>2180</v>
      </c>
      <c r="C171" t="s">
        <v>2826</v>
      </c>
    </row>
    <row r="172" spans="1:3">
      <c r="A172">
        <v>171</v>
      </c>
      <c r="B172" t="s">
        <v>2224</v>
      </c>
      <c r="C172" t="s">
        <v>2827</v>
      </c>
    </row>
    <row r="173" spans="1:3">
      <c r="A173">
        <v>172</v>
      </c>
      <c r="B173" t="s">
        <v>2313</v>
      </c>
      <c r="C173" t="s">
        <v>2828</v>
      </c>
    </row>
    <row r="174" spans="1:3">
      <c r="A174">
        <v>173</v>
      </c>
      <c r="B174" t="s">
        <v>2317</v>
      </c>
      <c r="C174" t="s">
        <v>2829</v>
      </c>
    </row>
    <row r="175" spans="1:3">
      <c r="A175">
        <v>174</v>
      </c>
      <c r="B175" t="s">
        <v>2320</v>
      </c>
      <c r="C175" t="s">
        <v>2830</v>
      </c>
    </row>
    <row r="176" spans="1:3">
      <c r="A176">
        <v>175</v>
      </c>
      <c r="B176" t="s">
        <v>2324</v>
      </c>
      <c r="C176" t="s">
        <v>2831</v>
      </c>
    </row>
    <row r="177" spans="1:3">
      <c r="A177">
        <v>176</v>
      </c>
      <c r="B177" t="s">
        <v>2327</v>
      </c>
      <c r="C177" t="s">
        <v>2832</v>
      </c>
    </row>
    <row r="178" spans="1:3">
      <c r="A178">
        <v>177</v>
      </c>
      <c r="B178" t="s">
        <v>2331</v>
      </c>
      <c r="C178" t="s">
        <v>2833</v>
      </c>
    </row>
    <row r="179" spans="1:3">
      <c r="A179">
        <v>178</v>
      </c>
      <c r="B179" t="s">
        <v>2109</v>
      </c>
      <c r="C179" t="s">
        <v>2834</v>
      </c>
    </row>
    <row r="180" spans="1:3">
      <c r="A180">
        <v>179</v>
      </c>
      <c r="B180" t="s">
        <v>2110</v>
      </c>
      <c r="C180" t="s">
        <v>2835</v>
      </c>
    </row>
    <row r="181" spans="1:3">
      <c r="A181">
        <v>180</v>
      </c>
      <c r="B181" t="s">
        <v>2111</v>
      </c>
      <c r="C181" t="s">
        <v>2836</v>
      </c>
    </row>
    <row r="182" spans="1:3">
      <c r="A182">
        <v>181</v>
      </c>
      <c r="B182" t="s">
        <v>2112</v>
      </c>
      <c r="C182" t="s">
        <v>2837</v>
      </c>
    </row>
    <row r="183" spans="1:3">
      <c r="A183">
        <v>182</v>
      </c>
      <c r="B183" t="s">
        <v>2113</v>
      </c>
      <c r="C183" t="s">
        <v>2838</v>
      </c>
    </row>
    <row r="184" spans="1:3">
      <c r="A184">
        <v>183</v>
      </c>
      <c r="B184" t="s">
        <v>2114</v>
      </c>
      <c r="C184" t="s">
        <v>2839</v>
      </c>
    </row>
    <row r="185" spans="1:3">
      <c r="A185">
        <v>184</v>
      </c>
      <c r="B185" t="s">
        <v>2115</v>
      </c>
      <c r="C185" t="s">
        <v>2840</v>
      </c>
    </row>
    <row r="186" spans="1:3">
      <c r="A186">
        <v>185</v>
      </c>
      <c r="B186" t="s">
        <v>2116</v>
      </c>
      <c r="C186" t="s">
        <v>2841</v>
      </c>
    </row>
    <row r="187" spans="1:3">
      <c r="A187">
        <v>186</v>
      </c>
      <c r="B187" t="s">
        <v>2118</v>
      </c>
      <c r="C187" t="s">
        <v>2842</v>
      </c>
    </row>
    <row r="188" spans="1:3">
      <c r="A188">
        <v>187</v>
      </c>
      <c r="B188" t="s">
        <v>2119</v>
      </c>
      <c r="C188" t="s">
        <v>2843</v>
      </c>
    </row>
    <row r="189" spans="1:3">
      <c r="A189">
        <v>188</v>
      </c>
      <c r="B189" t="s">
        <v>2120</v>
      </c>
      <c r="C189" t="s">
        <v>2844</v>
      </c>
    </row>
    <row r="190" spans="1:3">
      <c r="A190">
        <v>189</v>
      </c>
      <c r="B190" t="s">
        <v>2121</v>
      </c>
      <c r="C190" t="s">
        <v>2845</v>
      </c>
    </row>
    <row r="191" spans="1:3">
      <c r="A191">
        <v>190</v>
      </c>
      <c r="B191" t="s">
        <v>2122</v>
      </c>
      <c r="C191" t="s">
        <v>2846</v>
      </c>
    </row>
    <row r="192" spans="1:3">
      <c r="A192">
        <v>191</v>
      </c>
      <c r="B192" t="s">
        <v>2123</v>
      </c>
      <c r="C192" t="s">
        <v>2847</v>
      </c>
    </row>
    <row r="193" spans="1:3">
      <c r="A193">
        <v>192</v>
      </c>
      <c r="B193" t="s">
        <v>2124</v>
      </c>
      <c r="C193" t="s">
        <v>2848</v>
      </c>
    </row>
    <row r="194" spans="1:3">
      <c r="A194">
        <v>193</v>
      </c>
      <c r="B194" t="s">
        <v>2125</v>
      </c>
      <c r="C194" t="s">
        <v>2849</v>
      </c>
    </row>
    <row r="195" spans="1:3">
      <c r="A195">
        <v>194</v>
      </c>
      <c r="B195" t="s">
        <v>2127</v>
      </c>
      <c r="C195" t="s">
        <v>2850</v>
      </c>
    </row>
    <row r="196" spans="1:3">
      <c r="A196">
        <v>195</v>
      </c>
      <c r="B196" t="s">
        <v>2128</v>
      </c>
      <c r="C196" t="s">
        <v>2851</v>
      </c>
    </row>
    <row r="197" spans="1:3">
      <c r="A197">
        <v>196</v>
      </c>
      <c r="B197" t="s">
        <v>2129</v>
      </c>
      <c r="C197" t="s">
        <v>2852</v>
      </c>
    </row>
    <row r="198" spans="1:3">
      <c r="A198">
        <v>197</v>
      </c>
      <c r="B198" t="s">
        <v>2131</v>
      </c>
      <c r="C198" t="s">
        <v>2853</v>
      </c>
    </row>
    <row r="199" spans="1:3">
      <c r="A199">
        <v>198</v>
      </c>
      <c r="B199" t="s">
        <v>2132</v>
      </c>
      <c r="C199" t="s">
        <v>2854</v>
      </c>
    </row>
    <row r="200" spans="1:3">
      <c r="A200">
        <v>199</v>
      </c>
      <c r="B200" t="s">
        <v>2134</v>
      </c>
      <c r="C200" t="s">
        <v>2855</v>
      </c>
    </row>
    <row r="201" spans="1:3">
      <c r="A201">
        <v>200</v>
      </c>
      <c r="B201" t="s">
        <v>2135</v>
      </c>
      <c r="C201" t="s">
        <v>2856</v>
      </c>
    </row>
    <row r="202" spans="1:3">
      <c r="A202">
        <v>201</v>
      </c>
      <c r="B202" t="s">
        <v>2136</v>
      </c>
      <c r="C202" t="s">
        <v>2857</v>
      </c>
    </row>
    <row r="203" spans="1:3">
      <c r="A203">
        <v>202</v>
      </c>
      <c r="B203" t="s">
        <v>2138</v>
      </c>
      <c r="C203" t="s">
        <v>2858</v>
      </c>
    </row>
    <row r="204" spans="1:3">
      <c r="A204">
        <v>203</v>
      </c>
      <c r="B204" t="s">
        <v>2139</v>
      </c>
      <c r="C204" t="s">
        <v>2859</v>
      </c>
    </row>
    <row r="205" spans="1:3">
      <c r="A205">
        <v>204</v>
      </c>
      <c r="B205" t="s">
        <v>2141</v>
      </c>
      <c r="C205" t="s">
        <v>2860</v>
      </c>
    </row>
    <row r="206" spans="1:3">
      <c r="A206">
        <v>205</v>
      </c>
      <c r="B206" t="s">
        <v>2142</v>
      </c>
      <c r="C206" t="s">
        <v>2861</v>
      </c>
    </row>
    <row r="207" spans="1:3">
      <c r="A207">
        <v>206</v>
      </c>
      <c r="B207" t="s">
        <v>2143</v>
      </c>
      <c r="C207" t="s">
        <v>2862</v>
      </c>
    </row>
    <row r="208" spans="1:3">
      <c r="A208">
        <v>207</v>
      </c>
      <c r="B208" t="s">
        <v>2145</v>
      </c>
      <c r="C208" t="s">
        <v>2863</v>
      </c>
    </row>
    <row r="209" spans="1:3">
      <c r="A209">
        <v>208</v>
      </c>
      <c r="B209" t="s">
        <v>2146</v>
      </c>
      <c r="C209" t="s">
        <v>2864</v>
      </c>
    </row>
    <row r="210" spans="1:3">
      <c r="A210">
        <v>209</v>
      </c>
      <c r="B210" t="s">
        <v>2147</v>
      </c>
      <c r="C210" t="s">
        <v>2865</v>
      </c>
    </row>
    <row r="211" spans="1:3">
      <c r="A211">
        <v>210</v>
      </c>
      <c r="B211" t="s">
        <v>2148</v>
      </c>
      <c r="C211" t="s">
        <v>2866</v>
      </c>
    </row>
    <row r="212" spans="1:3">
      <c r="A212">
        <v>211</v>
      </c>
      <c r="B212" t="s">
        <v>2149</v>
      </c>
      <c r="C212" t="s">
        <v>2867</v>
      </c>
    </row>
    <row r="213" spans="1:3">
      <c r="A213">
        <v>212</v>
      </c>
      <c r="B213" t="s">
        <v>2150</v>
      </c>
      <c r="C213" t="s">
        <v>2868</v>
      </c>
    </row>
    <row r="214" spans="1:3">
      <c r="A214">
        <v>213</v>
      </c>
      <c r="B214" t="s">
        <v>2151</v>
      </c>
      <c r="C214" t="s">
        <v>2869</v>
      </c>
    </row>
    <row r="215" spans="1:3">
      <c r="A215">
        <v>214</v>
      </c>
      <c r="B215" t="s">
        <v>2152</v>
      </c>
      <c r="C215" t="s">
        <v>2870</v>
      </c>
    </row>
    <row r="216" spans="1:3">
      <c r="A216">
        <v>215</v>
      </c>
      <c r="B216" t="s">
        <v>2153</v>
      </c>
      <c r="C216" t="s">
        <v>2871</v>
      </c>
    </row>
    <row r="217" spans="1:3">
      <c r="A217">
        <v>216</v>
      </c>
      <c r="B217" t="s">
        <v>2155</v>
      </c>
      <c r="C217" t="s">
        <v>2872</v>
      </c>
    </row>
    <row r="218" spans="1:3">
      <c r="A218">
        <v>217</v>
      </c>
      <c r="B218" t="s">
        <v>2156</v>
      </c>
      <c r="C218" t="s">
        <v>2873</v>
      </c>
    </row>
    <row r="219" spans="1:3">
      <c r="A219">
        <v>218</v>
      </c>
      <c r="B219" t="s">
        <v>2157</v>
      </c>
      <c r="C219" t="s">
        <v>2874</v>
      </c>
    </row>
    <row r="220" spans="1:3">
      <c r="A220">
        <v>219</v>
      </c>
      <c r="B220" t="s">
        <v>2159</v>
      </c>
      <c r="C220" t="s">
        <v>2875</v>
      </c>
    </row>
    <row r="221" spans="1:3">
      <c r="A221">
        <v>220</v>
      </c>
      <c r="B221" t="s">
        <v>2160</v>
      </c>
      <c r="C221" t="s">
        <v>2876</v>
      </c>
    </row>
    <row r="222" spans="1:3">
      <c r="A222">
        <v>221</v>
      </c>
      <c r="B222" t="s">
        <v>2162</v>
      </c>
      <c r="C222" t="s">
        <v>2877</v>
      </c>
    </row>
    <row r="223" spans="1:3">
      <c r="A223">
        <v>222</v>
      </c>
      <c r="B223" t="s">
        <v>2163</v>
      </c>
      <c r="C223" t="s">
        <v>2878</v>
      </c>
    </row>
    <row r="224" spans="1:3">
      <c r="A224">
        <v>223</v>
      </c>
      <c r="B224" t="s">
        <v>2164</v>
      </c>
      <c r="C224" t="s">
        <v>2879</v>
      </c>
    </row>
    <row r="225" spans="1:3">
      <c r="A225">
        <v>224</v>
      </c>
      <c r="B225" t="s">
        <v>2166</v>
      </c>
      <c r="C225" t="s">
        <v>2880</v>
      </c>
    </row>
    <row r="226" spans="1:3">
      <c r="A226">
        <v>225</v>
      </c>
      <c r="B226" t="s">
        <v>2167</v>
      </c>
      <c r="C226" t="s">
        <v>2881</v>
      </c>
    </row>
    <row r="227" spans="1:3">
      <c r="A227">
        <v>226</v>
      </c>
      <c r="B227" t="s">
        <v>2169</v>
      </c>
      <c r="C227" t="s">
        <v>2882</v>
      </c>
    </row>
    <row r="228" spans="1:3">
      <c r="A228">
        <v>227</v>
      </c>
      <c r="B228" t="s">
        <v>2170</v>
      </c>
      <c r="C228" t="s">
        <v>2883</v>
      </c>
    </row>
    <row r="229" spans="1:3">
      <c r="A229">
        <v>228</v>
      </c>
      <c r="B229" t="s">
        <v>2171</v>
      </c>
      <c r="C229" t="s">
        <v>2884</v>
      </c>
    </row>
    <row r="230" spans="1:3">
      <c r="A230">
        <v>229</v>
      </c>
      <c r="B230" t="s">
        <v>2172</v>
      </c>
      <c r="C230" t="s">
        <v>2885</v>
      </c>
    </row>
    <row r="231" spans="1:3">
      <c r="A231">
        <v>230</v>
      </c>
      <c r="B231" t="s">
        <v>2174</v>
      </c>
      <c r="C231" t="s">
        <v>2886</v>
      </c>
    </row>
    <row r="232" spans="1:3">
      <c r="A232">
        <v>231</v>
      </c>
      <c r="B232" t="s">
        <v>2175</v>
      </c>
      <c r="C232" t="s">
        <v>2887</v>
      </c>
    </row>
    <row r="233" spans="1:3">
      <c r="A233">
        <v>232</v>
      </c>
      <c r="B233" t="s">
        <v>2176</v>
      </c>
      <c r="C233" t="s">
        <v>2888</v>
      </c>
    </row>
    <row r="234" spans="1:3">
      <c r="A234">
        <v>233</v>
      </c>
      <c r="B234" t="s">
        <v>2178</v>
      </c>
      <c r="C234" t="s">
        <v>2889</v>
      </c>
    </row>
    <row r="235" spans="1:3">
      <c r="A235">
        <v>234</v>
      </c>
      <c r="B235" t="s">
        <v>2179</v>
      </c>
      <c r="C235" t="s">
        <v>2890</v>
      </c>
    </row>
    <row r="236" spans="1:3">
      <c r="A236">
        <v>235</v>
      </c>
      <c r="B236" t="s">
        <v>2181</v>
      </c>
      <c r="C236" t="s">
        <v>2891</v>
      </c>
    </row>
    <row r="237" spans="1:3">
      <c r="A237">
        <v>236</v>
      </c>
      <c r="B237" t="s">
        <v>2182</v>
      </c>
      <c r="C237" t="s">
        <v>2892</v>
      </c>
    </row>
    <row r="238" spans="1:3">
      <c r="A238">
        <v>237</v>
      </c>
      <c r="B238" t="s">
        <v>2133</v>
      </c>
      <c r="C238" t="s">
        <v>2893</v>
      </c>
    </row>
    <row r="239" spans="1:3">
      <c r="A239">
        <v>238</v>
      </c>
      <c r="B239" t="s">
        <v>2137</v>
      </c>
      <c r="C239" t="s">
        <v>2894</v>
      </c>
    </row>
    <row r="240" spans="1:3">
      <c r="A240">
        <v>239</v>
      </c>
      <c r="B240" t="s">
        <v>2140</v>
      </c>
      <c r="C240" t="s">
        <v>2895</v>
      </c>
    </row>
    <row r="241" spans="1:3">
      <c r="A241">
        <v>240</v>
      </c>
      <c r="B241" t="s">
        <v>2144</v>
      </c>
      <c r="C241" t="s">
        <v>2896</v>
      </c>
    </row>
    <row r="242" spans="1:3">
      <c r="A242">
        <v>241</v>
      </c>
      <c r="B242" t="s">
        <v>2154</v>
      </c>
      <c r="C242" t="s">
        <v>2897</v>
      </c>
    </row>
    <row r="243" spans="1:3">
      <c r="A243">
        <v>242</v>
      </c>
      <c r="B243" t="s">
        <v>2201</v>
      </c>
      <c r="C243" t="s">
        <v>2898</v>
      </c>
    </row>
    <row r="244" spans="1:3">
      <c r="A244">
        <v>243</v>
      </c>
      <c r="B244" t="s">
        <v>2204</v>
      </c>
      <c r="C244" t="s">
        <v>2899</v>
      </c>
    </row>
    <row r="245" spans="1:3">
      <c r="A245">
        <v>244</v>
      </c>
      <c r="B245" t="s">
        <v>2208</v>
      </c>
      <c r="C245" t="s">
        <v>2900</v>
      </c>
    </row>
    <row r="246" spans="1:3">
      <c r="A246">
        <v>245</v>
      </c>
      <c r="B246" t="s">
        <v>2227</v>
      </c>
      <c r="C246" t="s">
        <v>2901</v>
      </c>
    </row>
    <row r="247" spans="1:3">
      <c r="A247">
        <v>246</v>
      </c>
      <c r="B247" t="s">
        <v>2231</v>
      </c>
      <c r="C247" t="s">
        <v>2902</v>
      </c>
    </row>
    <row r="248" spans="1:3">
      <c r="A248">
        <v>247</v>
      </c>
      <c r="B248" t="s">
        <v>2241</v>
      </c>
      <c r="C248" t="s">
        <v>2903</v>
      </c>
    </row>
    <row r="249" spans="1:3">
      <c r="A249">
        <v>248</v>
      </c>
      <c r="B249" t="s">
        <v>2248</v>
      </c>
      <c r="C249" t="s">
        <v>2904</v>
      </c>
    </row>
    <row r="250" spans="1:3">
      <c r="A250">
        <v>249</v>
      </c>
      <c r="B250" t="s">
        <v>2259</v>
      </c>
      <c r="C250" t="s">
        <v>2905</v>
      </c>
    </row>
    <row r="251" spans="1:3">
      <c r="A251">
        <v>250</v>
      </c>
      <c r="B251" t="s">
        <v>2263</v>
      </c>
      <c r="C251" t="s">
        <v>2906</v>
      </c>
    </row>
    <row r="252" spans="1:3">
      <c r="A252">
        <v>251</v>
      </c>
      <c r="B252" t="s">
        <v>2266</v>
      </c>
      <c r="C252" t="s">
        <v>2907</v>
      </c>
    </row>
    <row r="253" spans="1:3">
      <c r="A253">
        <v>252</v>
      </c>
      <c r="B253" t="s">
        <v>2270</v>
      </c>
      <c r="C253" t="s">
        <v>2908</v>
      </c>
    </row>
    <row r="254" spans="1:3">
      <c r="A254">
        <v>253</v>
      </c>
      <c r="B254" t="s">
        <v>2273</v>
      </c>
      <c r="C254" t="s">
        <v>2909</v>
      </c>
    </row>
    <row r="255" spans="1:3">
      <c r="A255">
        <v>254</v>
      </c>
      <c r="B255" t="s">
        <v>2277</v>
      </c>
      <c r="C255" t="s">
        <v>2910</v>
      </c>
    </row>
    <row r="256" spans="1:3">
      <c r="A256">
        <v>255</v>
      </c>
      <c r="B256" t="s">
        <v>2288</v>
      </c>
      <c r="C256" t="s">
        <v>2911</v>
      </c>
    </row>
    <row r="257" spans="1:3">
      <c r="A257">
        <v>256</v>
      </c>
      <c r="B257" t="s">
        <v>2291</v>
      </c>
      <c r="C257" t="s">
        <v>2912</v>
      </c>
    </row>
    <row r="258" spans="1:3">
      <c r="A258">
        <v>257</v>
      </c>
      <c r="B258" t="s">
        <v>2295</v>
      </c>
      <c r="C258" t="s">
        <v>2913</v>
      </c>
    </row>
    <row r="259" spans="1:3">
      <c r="A259">
        <v>258</v>
      </c>
      <c r="B259" t="s">
        <v>2298</v>
      </c>
      <c r="C259" t="s">
        <v>2914</v>
      </c>
    </row>
    <row r="260" spans="1:3">
      <c r="A260">
        <v>259</v>
      </c>
      <c r="B260" t="s">
        <v>2302</v>
      </c>
      <c r="C260" t="s">
        <v>2915</v>
      </c>
    </row>
    <row r="261" spans="1:3">
      <c r="A261">
        <v>260</v>
      </c>
      <c r="B261" t="s">
        <v>2370</v>
      </c>
      <c r="C261" t="s">
        <v>2916</v>
      </c>
    </row>
    <row r="262" spans="1:3">
      <c r="A262">
        <v>261</v>
      </c>
      <c r="B262" t="s">
        <v>2373</v>
      </c>
      <c r="C262" t="s">
        <v>2917</v>
      </c>
    </row>
    <row r="263" spans="1:3">
      <c r="A263">
        <v>262</v>
      </c>
      <c r="B263" t="s">
        <v>2107</v>
      </c>
      <c r="C263" t="s">
        <v>2918</v>
      </c>
    </row>
    <row r="264" spans="1:3">
      <c r="A264">
        <v>263</v>
      </c>
      <c r="B264" t="s">
        <v>2190</v>
      </c>
      <c r="C264" t="s">
        <v>2919</v>
      </c>
    </row>
    <row r="265" spans="1:3">
      <c r="A265">
        <v>264</v>
      </c>
      <c r="B265" t="s">
        <v>2106</v>
      </c>
      <c r="C265" t="s">
        <v>2920</v>
      </c>
    </row>
    <row r="266" spans="1:3">
      <c r="A266">
        <v>265</v>
      </c>
      <c r="B266" t="s">
        <v>2105</v>
      </c>
      <c r="C266" t="s">
        <v>2921</v>
      </c>
    </row>
    <row r="267" spans="1:3">
      <c r="A267">
        <v>266</v>
      </c>
      <c r="B267" t="s">
        <v>2342</v>
      </c>
      <c r="C267" t="s">
        <v>2922</v>
      </c>
    </row>
    <row r="268" spans="1:3">
      <c r="A268">
        <v>267</v>
      </c>
      <c r="B268" t="s">
        <v>2345</v>
      </c>
      <c r="C268" t="s">
        <v>2923</v>
      </c>
    </row>
    <row r="269" spans="1:3">
      <c r="A269">
        <v>268</v>
      </c>
      <c r="B269" t="s">
        <v>2349</v>
      </c>
      <c r="C269" t="s">
        <v>2924</v>
      </c>
    </row>
    <row r="270" spans="1:3">
      <c r="A270">
        <v>269</v>
      </c>
      <c r="B270" t="s">
        <v>2352</v>
      </c>
      <c r="C270" t="s">
        <v>2925</v>
      </c>
    </row>
    <row r="271" spans="1:3">
      <c r="A271">
        <v>270</v>
      </c>
      <c r="B271" t="s">
        <v>2363</v>
      </c>
      <c r="C271" t="s">
        <v>2926</v>
      </c>
    </row>
    <row r="272" spans="1:3">
      <c r="A272">
        <v>271</v>
      </c>
      <c r="B272" t="s">
        <v>2366</v>
      </c>
      <c r="C272" t="s">
        <v>2927</v>
      </c>
    </row>
    <row r="273" spans="1:3">
      <c r="A273">
        <v>272</v>
      </c>
      <c r="B273" t="s">
        <v>2104</v>
      </c>
      <c r="C273" t="s">
        <v>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Fresh cases</vt:lpstr>
      <vt:lpstr>Renewal working</vt:lpstr>
      <vt:lpstr>Summary</vt:lpstr>
      <vt:lpstr>working</vt:lpstr>
      <vt:lpstr>Sheet2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IT User Software</cp:lastModifiedBy>
  <dcterms:created xsi:type="dcterms:W3CDTF">2024-10-31T10:36:35Z</dcterms:created>
  <dcterms:modified xsi:type="dcterms:W3CDTF">2024-11-01T11:11:05Z</dcterms:modified>
</cp:coreProperties>
</file>