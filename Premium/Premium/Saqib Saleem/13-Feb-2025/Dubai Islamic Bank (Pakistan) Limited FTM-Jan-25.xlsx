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remium\Premium\Saqib Saleem\13-Feb-2025\"/>
    </mc:Choice>
  </mc:AlternateContent>
  <xr:revisionPtr revIDLastSave="0" documentId="13_ncr:1_{FDE6C99A-34DA-4AB7-8D38-438A729D4F7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-PAK" sheetId="1" r:id="rId1"/>
    <sheet name="working" sheetId="2" r:id="rId2"/>
    <sheet name="Sheet2" sheetId="3" r:id="rId3"/>
    <sheet name="policy" sheetId="4" r:id="rId4"/>
  </sheets>
  <definedNames>
    <definedName name="_xlnm._FilterDatabase" localSheetId="2" hidden="1">Sheet2!$H$1:$H$155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2" i="2" l="1"/>
  <c r="G152" i="2" s="1"/>
  <c r="H152" i="2" s="1"/>
  <c r="D148" i="2"/>
  <c r="G148" i="2" s="1"/>
  <c r="H148" i="2" s="1"/>
  <c r="D144" i="2"/>
  <c r="G144" i="2" s="1"/>
  <c r="H144" i="2" s="1"/>
  <c r="D140" i="2"/>
  <c r="G140" i="2" s="1"/>
  <c r="H140" i="2" s="1"/>
  <c r="D136" i="2"/>
  <c r="G136" i="2" s="1"/>
  <c r="H136" i="2" s="1"/>
  <c r="D132" i="2"/>
  <c r="G132" i="2" s="1"/>
  <c r="H132" i="2" s="1"/>
  <c r="D128" i="2"/>
  <c r="G128" i="2" s="1"/>
  <c r="H128" i="2" s="1"/>
  <c r="D124" i="2"/>
  <c r="G124" i="2" s="1"/>
  <c r="H124" i="2" s="1"/>
  <c r="D120" i="2"/>
  <c r="G120" i="2" s="1"/>
  <c r="H120" i="2" s="1"/>
  <c r="D116" i="2"/>
  <c r="G116" i="2" s="1"/>
  <c r="H116" i="2" s="1"/>
  <c r="D112" i="2"/>
  <c r="G112" i="2" s="1"/>
  <c r="H112" i="2" s="1"/>
  <c r="D108" i="2"/>
  <c r="G108" i="2" s="1"/>
  <c r="H108" i="2" s="1"/>
  <c r="D104" i="2"/>
  <c r="G104" i="2" s="1"/>
  <c r="H104" i="2" s="1"/>
  <c r="D100" i="2"/>
  <c r="G100" i="2" s="1"/>
  <c r="H100" i="2" s="1"/>
  <c r="D96" i="2"/>
  <c r="G96" i="2" s="1"/>
  <c r="H96" i="2" s="1"/>
  <c r="D92" i="2"/>
  <c r="G92" i="2" s="1"/>
  <c r="H92" i="2" s="1"/>
  <c r="D88" i="2"/>
  <c r="G88" i="2" s="1"/>
  <c r="H88" i="2" s="1"/>
  <c r="D84" i="2"/>
  <c r="G84" i="2" s="1"/>
  <c r="H84" i="2" s="1"/>
  <c r="D80" i="2"/>
  <c r="G80" i="2" s="1"/>
  <c r="H80" i="2" s="1"/>
  <c r="D76" i="2"/>
  <c r="G76" i="2" s="1"/>
  <c r="H76" i="2" s="1"/>
  <c r="D72" i="2"/>
  <c r="G72" i="2" s="1"/>
  <c r="H72" i="2" s="1"/>
  <c r="D68" i="2"/>
  <c r="G68" i="2" s="1"/>
  <c r="H68" i="2" s="1"/>
  <c r="D64" i="2"/>
  <c r="G64" i="2" s="1"/>
  <c r="H64" i="2" s="1"/>
  <c r="D60" i="2"/>
  <c r="G60" i="2" s="1"/>
  <c r="H60" i="2" s="1"/>
  <c r="D56" i="2"/>
  <c r="G56" i="2" s="1"/>
  <c r="H56" i="2" s="1"/>
  <c r="D52" i="2"/>
  <c r="G52" i="2" s="1"/>
  <c r="H52" i="2" s="1"/>
  <c r="D48" i="2"/>
  <c r="G48" i="2" s="1"/>
  <c r="H48" i="2" s="1"/>
  <c r="D44" i="2"/>
  <c r="G44" i="2" s="1"/>
  <c r="H44" i="2" s="1"/>
  <c r="D40" i="2"/>
  <c r="G40" i="2" s="1"/>
  <c r="H40" i="2" s="1"/>
  <c r="D36" i="2"/>
  <c r="G36" i="2" s="1"/>
  <c r="H36" i="2" s="1"/>
  <c r="D32" i="2"/>
  <c r="G32" i="2" s="1"/>
  <c r="H32" i="2" s="1"/>
  <c r="D28" i="2"/>
  <c r="G28" i="2" s="1"/>
  <c r="H28" i="2" s="1"/>
  <c r="D24" i="2"/>
  <c r="G24" i="2" s="1"/>
  <c r="D20" i="2"/>
  <c r="G20" i="2" s="1"/>
  <c r="H20" i="2" s="1"/>
  <c r="D16" i="2"/>
  <c r="G16" i="2" s="1"/>
  <c r="H16" i="2" s="1"/>
  <c r="D12" i="2"/>
  <c r="G12" i="2" s="1"/>
  <c r="H12" i="2" s="1"/>
  <c r="D8" i="2"/>
  <c r="G8" i="2" s="1"/>
  <c r="D4" i="2"/>
  <c r="G4" i="2" s="1"/>
  <c r="H4" i="2" s="1"/>
  <c r="D2" i="2"/>
  <c r="G2" i="2" s="1"/>
  <c r="H8" i="2"/>
  <c r="H24" i="2"/>
  <c r="G27" i="2"/>
  <c r="H27" i="2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D3" i="2"/>
  <c r="G3" i="2" s="1"/>
  <c r="H3" i="2" s="1"/>
  <c r="D5" i="2"/>
  <c r="G5" i="2" s="1"/>
  <c r="H5" i="2" s="1"/>
  <c r="D6" i="2"/>
  <c r="G6" i="2" s="1"/>
  <c r="H6" i="2" s="1"/>
  <c r="D7" i="2"/>
  <c r="G7" i="2" s="1"/>
  <c r="H7" i="2" s="1"/>
  <c r="D9" i="2"/>
  <c r="G9" i="2" s="1"/>
  <c r="H9" i="2" s="1"/>
  <c r="D10" i="2"/>
  <c r="G10" i="2" s="1"/>
  <c r="H10" i="2" s="1"/>
  <c r="D11" i="2"/>
  <c r="G11" i="2" s="1"/>
  <c r="H11" i="2" s="1"/>
  <c r="D13" i="2"/>
  <c r="G13" i="2" s="1"/>
  <c r="H13" i="2" s="1"/>
  <c r="D14" i="2"/>
  <c r="G14" i="2" s="1"/>
  <c r="H14" i="2" s="1"/>
  <c r="D15" i="2"/>
  <c r="G15" i="2" s="1"/>
  <c r="H15" i="2" s="1"/>
  <c r="D17" i="2"/>
  <c r="G17" i="2" s="1"/>
  <c r="H17" i="2" s="1"/>
  <c r="D18" i="2"/>
  <c r="G18" i="2" s="1"/>
  <c r="H18" i="2" s="1"/>
  <c r="D19" i="2"/>
  <c r="G19" i="2" s="1"/>
  <c r="H19" i="2" s="1"/>
  <c r="D21" i="2"/>
  <c r="G21" i="2" s="1"/>
  <c r="H21" i="2" s="1"/>
  <c r="D22" i="2"/>
  <c r="G22" i="2" s="1"/>
  <c r="H22" i="2" s="1"/>
  <c r="D23" i="2"/>
  <c r="G23" i="2" s="1"/>
  <c r="H23" i="2" s="1"/>
  <c r="D25" i="2"/>
  <c r="G25" i="2" s="1"/>
  <c r="H25" i="2" s="1"/>
  <c r="D26" i="2"/>
  <c r="G26" i="2" s="1"/>
  <c r="H26" i="2" s="1"/>
  <c r="D27" i="2"/>
  <c r="D29" i="2"/>
  <c r="G29" i="2" s="1"/>
  <c r="H29" i="2" s="1"/>
  <c r="D30" i="2"/>
  <c r="G30" i="2" s="1"/>
  <c r="H30" i="2" s="1"/>
  <c r="D31" i="2"/>
  <c r="G31" i="2" s="1"/>
  <c r="H31" i="2" s="1"/>
  <c r="D33" i="2"/>
  <c r="G33" i="2" s="1"/>
  <c r="H33" i="2" s="1"/>
  <c r="D34" i="2"/>
  <c r="G34" i="2" s="1"/>
  <c r="H34" i="2" s="1"/>
  <c r="D35" i="2"/>
  <c r="G35" i="2" s="1"/>
  <c r="H35" i="2" s="1"/>
  <c r="D37" i="2"/>
  <c r="G37" i="2" s="1"/>
  <c r="H37" i="2" s="1"/>
  <c r="D38" i="2"/>
  <c r="G38" i="2" s="1"/>
  <c r="H38" i="2" s="1"/>
  <c r="D39" i="2"/>
  <c r="G39" i="2" s="1"/>
  <c r="H39" i="2" s="1"/>
  <c r="D41" i="2"/>
  <c r="G41" i="2" s="1"/>
  <c r="H41" i="2" s="1"/>
  <c r="D42" i="2"/>
  <c r="G42" i="2" s="1"/>
  <c r="H42" i="2" s="1"/>
  <c r="D43" i="2"/>
  <c r="G43" i="2" s="1"/>
  <c r="H43" i="2" s="1"/>
  <c r="D45" i="2"/>
  <c r="G45" i="2" s="1"/>
  <c r="H45" i="2" s="1"/>
  <c r="D46" i="2"/>
  <c r="G46" i="2" s="1"/>
  <c r="H46" i="2" s="1"/>
  <c r="D47" i="2"/>
  <c r="G47" i="2" s="1"/>
  <c r="H47" i="2" s="1"/>
  <c r="D49" i="2"/>
  <c r="G49" i="2" s="1"/>
  <c r="H49" i="2" s="1"/>
  <c r="D50" i="2"/>
  <c r="G50" i="2" s="1"/>
  <c r="H50" i="2" s="1"/>
  <c r="D51" i="2"/>
  <c r="G51" i="2" s="1"/>
  <c r="H51" i="2" s="1"/>
  <c r="D53" i="2"/>
  <c r="G53" i="2" s="1"/>
  <c r="H53" i="2" s="1"/>
  <c r="D54" i="2"/>
  <c r="G54" i="2" s="1"/>
  <c r="H54" i="2" s="1"/>
  <c r="D55" i="2"/>
  <c r="G55" i="2" s="1"/>
  <c r="H55" i="2" s="1"/>
  <c r="D57" i="2"/>
  <c r="G57" i="2" s="1"/>
  <c r="H57" i="2" s="1"/>
  <c r="D58" i="2"/>
  <c r="G58" i="2" s="1"/>
  <c r="H58" i="2" s="1"/>
  <c r="D59" i="2"/>
  <c r="G59" i="2" s="1"/>
  <c r="H59" i="2" s="1"/>
  <c r="D61" i="2"/>
  <c r="G61" i="2" s="1"/>
  <c r="H61" i="2" s="1"/>
  <c r="D62" i="2"/>
  <c r="G62" i="2" s="1"/>
  <c r="H62" i="2" s="1"/>
  <c r="D63" i="2"/>
  <c r="G63" i="2" s="1"/>
  <c r="H63" i="2" s="1"/>
  <c r="D65" i="2"/>
  <c r="G65" i="2" s="1"/>
  <c r="H65" i="2" s="1"/>
  <c r="D66" i="2"/>
  <c r="G66" i="2" s="1"/>
  <c r="H66" i="2" s="1"/>
  <c r="D67" i="2"/>
  <c r="G67" i="2" s="1"/>
  <c r="H67" i="2" s="1"/>
  <c r="D69" i="2"/>
  <c r="G69" i="2" s="1"/>
  <c r="H69" i="2" s="1"/>
  <c r="D70" i="2"/>
  <c r="G70" i="2" s="1"/>
  <c r="H70" i="2" s="1"/>
  <c r="D71" i="2"/>
  <c r="G71" i="2" s="1"/>
  <c r="H71" i="2" s="1"/>
  <c r="D73" i="2"/>
  <c r="G73" i="2" s="1"/>
  <c r="H73" i="2" s="1"/>
  <c r="D74" i="2"/>
  <c r="G74" i="2" s="1"/>
  <c r="H74" i="2" s="1"/>
  <c r="D75" i="2"/>
  <c r="G75" i="2" s="1"/>
  <c r="H75" i="2" s="1"/>
  <c r="D77" i="2"/>
  <c r="G77" i="2" s="1"/>
  <c r="H77" i="2" s="1"/>
  <c r="D78" i="2"/>
  <c r="G78" i="2" s="1"/>
  <c r="H78" i="2" s="1"/>
  <c r="D79" i="2"/>
  <c r="G79" i="2" s="1"/>
  <c r="H79" i="2" s="1"/>
  <c r="D81" i="2"/>
  <c r="G81" i="2" s="1"/>
  <c r="H81" i="2" s="1"/>
  <c r="D82" i="2"/>
  <c r="G82" i="2" s="1"/>
  <c r="H82" i="2" s="1"/>
  <c r="D83" i="2"/>
  <c r="G83" i="2" s="1"/>
  <c r="H83" i="2" s="1"/>
  <c r="D85" i="2"/>
  <c r="G85" i="2" s="1"/>
  <c r="H85" i="2" s="1"/>
  <c r="D86" i="2"/>
  <c r="G86" i="2" s="1"/>
  <c r="H86" i="2" s="1"/>
  <c r="D87" i="2"/>
  <c r="G87" i="2" s="1"/>
  <c r="H87" i="2" s="1"/>
  <c r="D89" i="2"/>
  <c r="G89" i="2" s="1"/>
  <c r="H89" i="2" s="1"/>
  <c r="D90" i="2"/>
  <c r="G90" i="2" s="1"/>
  <c r="H90" i="2" s="1"/>
  <c r="D91" i="2"/>
  <c r="G91" i="2" s="1"/>
  <c r="H91" i="2" s="1"/>
  <c r="D93" i="2"/>
  <c r="G93" i="2" s="1"/>
  <c r="H93" i="2" s="1"/>
  <c r="D94" i="2"/>
  <c r="G94" i="2" s="1"/>
  <c r="H94" i="2" s="1"/>
  <c r="D95" i="2"/>
  <c r="G95" i="2" s="1"/>
  <c r="H95" i="2" s="1"/>
  <c r="D97" i="2"/>
  <c r="G97" i="2" s="1"/>
  <c r="H97" i="2" s="1"/>
  <c r="D98" i="2"/>
  <c r="G98" i="2" s="1"/>
  <c r="H98" i="2" s="1"/>
  <c r="D99" i="2"/>
  <c r="G99" i="2" s="1"/>
  <c r="H99" i="2" s="1"/>
  <c r="D101" i="2"/>
  <c r="G101" i="2" s="1"/>
  <c r="H101" i="2" s="1"/>
  <c r="D102" i="2"/>
  <c r="G102" i="2" s="1"/>
  <c r="H102" i="2" s="1"/>
  <c r="D103" i="2"/>
  <c r="G103" i="2" s="1"/>
  <c r="H103" i="2" s="1"/>
  <c r="D105" i="2"/>
  <c r="G105" i="2" s="1"/>
  <c r="H105" i="2" s="1"/>
  <c r="D106" i="2"/>
  <c r="G106" i="2" s="1"/>
  <c r="H106" i="2" s="1"/>
  <c r="D107" i="2"/>
  <c r="G107" i="2" s="1"/>
  <c r="H107" i="2" s="1"/>
  <c r="D109" i="2"/>
  <c r="G109" i="2" s="1"/>
  <c r="H109" i="2" s="1"/>
  <c r="D110" i="2"/>
  <c r="G110" i="2" s="1"/>
  <c r="H110" i="2" s="1"/>
  <c r="D111" i="2"/>
  <c r="G111" i="2" s="1"/>
  <c r="H111" i="2" s="1"/>
  <c r="D113" i="2"/>
  <c r="G113" i="2" s="1"/>
  <c r="H113" i="2" s="1"/>
  <c r="D114" i="2"/>
  <c r="G114" i="2" s="1"/>
  <c r="H114" i="2" s="1"/>
  <c r="D115" i="2"/>
  <c r="G115" i="2" s="1"/>
  <c r="H115" i="2" s="1"/>
  <c r="D117" i="2"/>
  <c r="G117" i="2" s="1"/>
  <c r="H117" i="2" s="1"/>
  <c r="D118" i="2"/>
  <c r="G118" i="2" s="1"/>
  <c r="H118" i="2" s="1"/>
  <c r="D119" i="2"/>
  <c r="G119" i="2" s="1"/>
  <c r="H119" i="2" s="1"/>
  <c r="D121" i="2"/>
  <c r="G121" i="2" s="1"/>
  <c r="H121" i="2" s="1"/>
  <c r="D122" i="2"/>
  <c r="G122" i="2" s="1"/>
  <c r="H122" i="2" s="1"/>
  <c r="D123" i="2"/>
  <c r="G123" i="2" s="1"/>
  <c r="H123" i="2" s="1"/>
  <c r="D125" i="2"/>
  <c r="G125" i="2" s="1"/>
  <c r="H125" i="2" s="1"/>
  <c r="D126" i="2"/>
  <c r="G126" i="2" s="1"/>
  <c r="H126" i="2" s="1"/>
  <c r="D127" i="2"/>
  <c r="G127" i="2" s="1"/>
  <c r="H127" i="2" s="1"/>
  <c r="D129" i="2"/>
  <c r="G129" i="2" s="1"/>
  <c r="H129" i="2" s="1"/>
  <c r="D130" i="2"/>
  <c r="G130" i="2" s="1"/>
  <c r="H130" i="2" s="1"/>
  <c r="D131" i="2"/>
  <c r="G131" i="2" s="1"/>
  <c r="H131" i="2" s="1"/>
  <c r="D133" i="2"/>
  <c r="G133" i="2" s="1"/>
  <c r="H133" i="2" s="1"/>
  <c r="D134" i="2"/>
  <c r="G134" i="2" s="1"/>
  <c r="H134" i="2" s="1"/>
  <c r="D135" i="2"/>
  <c r="G135" i="2" s="1"/>
  <c r="H135" i="2" s="1"/>
  <c r="D137" i="2"/>
  <c r="G137" i="2" s="1"/>
  <c r="H137" i="2" s="1"/>
  <c r="D138" i="2"/>
  <c r="G138" i="2" s="1"/>
  <c r="H138" i="2" s="1"/>
  <c r="D139" i="2"/>
  <c r="G139" i="2" s="1"/>
  <c r="H139" i="2" s="1"/>
  <c r="D141" i="2"/>
  <c r="G141" i="2" s="1"/>
  <c r="H141" i="2" s="1"/>
  <c r="D142" i="2"/>
  <c r="G142" i="2" s="1"/>
  <c r="H142" i="2" s="1"/>
  <c r="D143" i="2"/>
  <c r="G143" i="2" s="1"/>
  <c r="H143" i="2" s="1"/>
  <c r="D145" i="2"/>
  <c r="G145" i="2" s="1"/>
  <c r="H145" i="2" s="1"/>
  <c r="D146" i="2"/>
  <c r="G146" i="2" s="1"/>
  <c r="H146" i="2" s="1"/>
  <c r="D147" i="2"/>
  <c r="G147" i="2" s="1"/>
  <c r="H147" i="2" s="1"/>
  <c r="D149" i="2"/>
  <c r="G149" i="2" s="1"/>
  <c r="H149" i="2" s="1"/>
  <c r="D150" i="2"/>
  <c r="G150" i="2" s="1"/>
  <c r="H150" i="2" s="1"/>
  <c r="D151" i="2"/>
  <c r="G151" i="2" s="1"/>
  <c r="H151" i="2" s="1"/>
  <c r="D153" i="2"/>
  <c r="G153" i="2" s="1"/>
  <c r="H153" i="2" s="1"/>
  <c r="D154" i="2"/>
  <c r="G154" i="2" s="1"/>
  <c r="H154" i="2" s="1"/>
  <c r="D155" i="2"/>
  <c r="G155" i="2" s="1"/>
  <c r="H155" i="2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2" i="2"/>
  <c r="F2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2" i="3"/>
  <c r="H2" i="2" l="1"/>
  <c r="AG431" i="1" l="1"/>
  <c r="AJ431" i="1"/>
  <c r="AI431" i="1"/>
</calcChain>
</file>

<file path=xl/sharedStrings.xml><?xml version="1.0" encoding="utf-8"?>
<sst xmlns="http://schemas.openxmlformats.org/spreadsheetml/2006/main" count="11495" uniqueCount="5796">
  <si>
    <t>Sr.</t>
  </si>
  <si>
    <t>Status</t>
  </si>
  <si>
    <t>Contract No.</t>
  </si>
  <si>
    <t>Contract Status</t>
  </si>
  <si>
    <t>Insurance Agency</t>
  </si>
  <si>
    <t>Customer Name</t>
  </si>
  <si>
    <t>City</t>
  </si>
  <si>
    <t>CNIC No.</t>
  </si>
  <si>
    <t>Home Phone#</t>
  </si>
  <si>
    <t>Mobile Number</t>
  </si>
  <si>
    <t>Business Phone#</t>
  </si>
  <si>
    <t>Mail Address</t>
  </si>
  <si>
    <t>Finance Amount</t>
  </si>
  <si>
    <t>Car Price</t>
  </si>
  <si>
    <t>Ins. Policy</t>
  </si>
  <si>
    <t>Ins. Expiry Date</t>
  </si>
  <si>
    <t>Engine No.</t>
  </si>
  <si>
    <t>Chassis No.</t>
  </si>
  <si>
    <t>Car Category</t>
  </si>
  <si>
    <t>Reg. No.</t>
  </si>
  <si>
    <t>Car Name</t>
  </si>
  <si>
    <t>Model</t>
  </si>
  <si>
    <t>Contract Booking Date</t>
  </si>
  <si>
    <t>Contract Value Date</t>
  </si>
  <si>
    <t>Contract Maturity Date</t>
  </si>
  <si>
    <t>Purchase Order No.</t>
  </si>
  <si>
    <t>Tenor#2</t>
  </si>
  <si>
    <t>Tracker Company</t>
  </si>
  <si>
    <t>Tracker Reference Number</t>
  </si>
  <si>
    <t>Tracker Installation Date</t>
  </si>
  <si>
    <t>Insurance Rate</t>
  </si>
  <si>
    <t>Sum Insured</t>
  </si>
  <si>
    <t>Premium</t>
  </si>
  <si>
    <t xml:space="preserve">Policy No. </t>
  </si>
  <si>
    <t xml:space="preserve">TMS Premium </t>
  </si>
  <si>
    <t>Difference Amount</t>
  </si>
  <si>
    <t>Endorsement No</t>
  </si>
  <si>
    <t>NORM</t>
  </si>
  <si>
    <t>9976AD2223640004</t>
  </si>
  <si>
    <t>A</t>
  </si>
  <si>
    <t>T-PAK</t>
  </si>
  <si>
    <t>SAJJAD AHMED BAJWA</t>
  </si>
  <si>
    <t>Faisalabad</t>
  </si>
  <si>
    <t>34501-2003546-9</t>
  </si>
  <si>
    <t>03017044648</t>
  </si>
  <si>
    <t>03017044648, 03017044648</t>
  </si>
  <si>
    <t xml:space="preserve">P-465 E MILLAT TOWN MILLAT ROAD FSD NEAR ISMAIL GREEN VALLEY FAISALABAD PK </t>
  </si>
  <si>
    <t>66406/0001/01/2023</t>
  </si>
  <si>
    <t>1001261</t>
  </si>
  <si>
    <t>001297</t>
  </si>
  <si>
    <t>NEW</t>
  </si>
  <si>
    <t/>
  </si>
  <si>
    <t>HONDA HR-V</t>
  </si>
  <si>
    <t>2022</t>
  </si>
  <si>
    <t>11-JAN-2023</t>
  </si>
  <si>
    <t>OLAFSD300091428</t>
  </si>
  <si>
    <t>FLCN</t>
  </si>
  <si>
    <t>109045/01/2023</t>
  </si>
  <si>
    <t>2%</t>
  </si>
  <si>
    <t>KHI/HO/D/MO/PC COMP/C/106590/4/01/2025</t>
  </si>
  <si>
    <t>9976AP1220070001</t>
  </si>
  <si>
    <t>TALHA AHMED KHAN</t>
  </si>
  <si>
    <t>Karachi</t>
  </si>
  <si>
    <t>42201-4657682-7</t>
  </si>
  <si>
    <t>03362807093</t>
  </si>
  <si>
    <t xml:space="preserve">HOUSE NO 90/1 20TH STREET KHAYBAN-E-RAHAT DHA PHASE 6 KARACHI </t>
  </si>
  <si>
    <t>57872/00002/01/2022</t>
  </si>
  <si>
    <t>12938588</t>
  </si>
  <si>
    <t>R042010</t>
  </si>
  <si>
    <t>USD</t>
  </si>
  <si>
    <t>BNC-303</t>
  </si>
  <si>
    <t>HONDA CIVIC IVTEC</t>
  </si>
  <si>
    <t>2018</t>
  </si>
  <si>
    <t>11-JAN-2022</t>
  </si>
  <si>
    <t>OLUKHI300082915</t>
  </si>
  <si>
    <t>ITECL</t>
  </si>
  <si>
    <t>6069/01/2022</t>
  </si>
  <si>
    <t>1.5%</t>
  </si>
  <si>
    <t>KHI/HO/D/MO/PC COMP/C/106590/11/01/2025</t>
  </si>
  <si>
    <t>9976AP1213650144</t>
  </si>
  <si>
    <t>SHAIKH TALHA SAEED</t>
  </si>
  <si>
    <t>42201-4531523-7</t>
  </si>
  <si>
    <t>03469099000</t>
  </si>
  <si>
    <t xml:space="preserve">SHOP NO 3 AND 7 MOON ELECTRONICE MARKET, HING COURT ABDULLAH HAROON RD KHI </t>
  </si>
  <si>
    <t>57132/00348/12/2021</t>
  </si>
  <si>
    <t>KP-701552</t>
  </si>
  <si>
    <t>216461</t>
  </si>
  <si>
    <t>KIA PICANTO 1.0 L A/T</t>
  </si>
  <si>
    <t>03-JAN-2022</t>
  </si>
  <si>
    <t>OLUKHI300082782</t>
  </si>
  <si>
    <t>CTRK</t>
  </si>
  <si>
    <t>DIB0033015</t>
  </si>
  <si>
    <t>KHI/HO/D/MO/PC COMP/C/106590/14/01/2025</t>
  </si>
  <si>
    <t>9976AP1230060006</t>
  </si>
  <si>
    <t>MUHAMMAD TAYYAB</t>
  </si>
  <si>
    <t>54201-2441034-9</t>
  </si>
  <si>
    <t>34026311</t>
  </si>
  <si>
    <t>03212448229</t>
  </si>
  <si>
    <t>32465625</t>
  </si>
  <si>
    <t xml:space="preserve">AL TIJJAR LOGISTICS HOUSE NO A-181 BLOCK 13 GULISTAN-E-JOHAR NEAR JOHAR CHOWRANGI KARACHI </t>
  </si>
  <si>
    <t>66406/00008/01/2023</t>
  </si>
  <si>
    <t>177158</t>
  </si>
  <si>
    <t>206550</t>
  </si>
  <si>
    <t>BK-3294</t>
  </si>
  <si>
    <t>HYUNDAI TUCSON FWD</t>
  </si>
  <si>
    <t>OLUKHI300091530</t>
  </si>
  <si>
    <t>ITFM</t>
  </si>
  <si>
    <t>9742/01/2023/ITFM</t>
  </si>
  <si>
    <t>1.75%</t>
  </si>
  <si>
    <t>KHI/HO/D/MO/PC COMP/C/106590/15/01/2025</t>
  </si>
  <si>
    <t>9976AD1223340010</t>
  </si>
  <si>
    <t>WAJID ZAKIR</t>
  </si>
  <si>
    <t>Islamabad</t>
  </si>
  <si>
    <t>82303-6957909-3</t>
  </si>
  <si>
    <t>03138586926</t>
  </si>
  <si>
    <t>0512201256</t>
  </si>
  <si>
    <t xml:space="preserve">DANISH ENTERPRISES SHOP NO 4 ZAKIA PLAZA NEAR CHINA CHOWK FAZAL E HAQ ROAD BLUE AREA ISLAMABAD </t>
  </si>
  <si>
    <t>66406/00005/01/2023</t>
  </si>
  <si>
    <t>269085</t>
  </si>
  <si>
    <t>169037</t>
  </si>
  <si>
    <t>SUZUKI ALTO VXR EURO-II</t>
  </si>
  <si>
    <t>OLAISD300091055</t>
  </si>
  <si>
    <t>109047/01/2023</t>
  </si>
  <si>
    <t>KHI/HO/D/MO/PC COMP/C/106590/19/01/2025</t>
  </si>
  <si>
    <t>9976AD2220900019</t>
  </si>
  <si>
    <t>HIRA KHISAL</t>
  </si>
  <si>
    <t>42101-0150581-8</t>
  </si>
  <si>
    <t>03343673345</t>
  </si>
  <si>
    <t>34912807</t>
  </si>
  <si>
    <t xml:space="preserve">CLARITY BIOSCIENCES OFFICE 405 NAFEES ARCADE SC-14 CHANDNI CHOWK OPP OLD SABZI MANDI UNI ROAD KHI </t>
  </si>
  <si>
    <t>66406/00004/01/2023</t>
  </si>
  <si>
    <t>257467</t>
  </si>
  <si>
    <t>1157429</t>
  </si>
  <si>
    <t>SUZUKI ALTO VXL AGS EURO II</t>
  </si>
  <si>
    <t>OLAKHI300086247</t>
  </si>
  <si>
    <t>9657/12/2022</t>
  </si>
  <si>
    <t>KHI/HO/D/MO/PC COMP/C/106590/20/01/2025</t>
  </si>
  <si>
    <t>9976AD1220900022</t>
  </si>
  <si>
    <t>MUHAMMAD ARSLAN</t>
  </si>
  <si>
    <t>13302-6125172-3</t>
  </si>
  <si>
    <t>03450011443</t>
  </si>
  <si>
    <t xml:space="preserve">A-45 BLK C, GULISTAN-E-JAMAL KARACHI </t>
  </si>
  <si>
    <t>66406/00007/01/2023</t>
  </si>
  <si>
    <t>Q102752</t>
  </si>
  <si>
    <t>6080227</t>
  </si>
  <si>
    <t>TOYOTA COROLLA ALTIS A/T S/R</t>
  </si>
  <si>
    <t>OLAKHI300086217</t>
  </si>
  <si>
    <t>108967/12/2022</t>
  </si>
  <si>
    <t>KHI/HO/D/MO/PC COMP/C/106590/21/01/2025</t>
  </si>
  <si>
    <t>9976AP1230090010</t>
  </si>
  <si>
    <t>MUKHTAR ABBAS</t>
  </si>
  <si>
    <t>61101-3468070-7</t>
  </si>
  <si>
    <t>03335141520</t>
  </si>
  <si>
    <t>051-2614931-32</t>
  </si>
  <si>
    <t xml:space="preserve">HAKIM HOUSE, NEW SHAKRIAL, DAK KHANA KHANA DAK, TEH AND DISTT RWP </t>
  </si>
  <si>
    <t>66406/00012/01/2023</t>
  </si>
  <si>
    <t>245580</t>
  </si>
  <si>
    <t>1145561</t>
  </si>
  <si>
    <t>AZX-596</t>
  </si>
  <si>
    <t>OLUISD300091534</t>
  </si>
  <si>
    <t>ITFT</t>
  </si>
  <si>
    <t>9744/01/2023/ITFM</t>
  </si>
  <si>
    <t>KHI/HO/D/MO/PC COMP/C/106590/48/01/2025</t>
  </si>
  <si>
    <t>9976AD1223650009</t>
  </si>
  <si>
    <t>USAMA NIZAM</t>
  </si>
  <si>
    <t>33100-7913850-7</t>
  </si>
  <si>
    <t>03336667715</t>
  </si>
  <si>
    <t>03336667715, 03336667715</t>
  </si>
  <si>
    <t xml:space="preserve">H NO 202 AYESHA BLOCK ABDULLAH GARD ENS CANAL ROAD FSD NEAR JAMIA MASJ FAISALABAD PK </t>
  </si>
  <si>
    <t>66406/00013/01/2023</t>
  </si>
  <si>
    <t>1013458</t>
  </si>
  <si>
    <t>113439</t>
  </si>
  <si>
    <t>SUZUKI SWIFT GLX CVT</t>
  </si>
  <si>
    <t>OLAFSD300091503</t>
  </si>
  <si>
    <t>9743/01/2023</t>
  </si>
  <si>
    <t>KHI/HO/D/MO/PC COMP/C/106590/49/01/2025</t>
  </si>
  <si>
    <t>9976AD1223290002</t>
  </si>
  <si>
    <t>MUHAMMAD ALI</t>
  </si>
  <si>
    <t>61101-1815849-9</t>
  </si>
  <si>
    <t>03455538334</t>
  </si>
  <si>
    <t>0514863370</t>
  </si>
  <si>
    <t xml:space="preserve">FLATE # 8 BLOCK # 5-A STREET #| 1SE CTOR I-8/1 ISLAMABAD PK </t>
  </si>
  <si>
    <t>66406/00010/01/2023</t>
  </si>
  <si>
    <t>E267475</t>
  </si>
  <si>
    <t>1167578</t>
  </si>
  <si>
    <t>OLAISD300090947</t>
  </si>
  <si>
    <t>109050/01/2023</t>
  </si>
  <si>
    <t>KHI/HO/D/MO/PC COMP/C/106590/53/01/2025</t>
  </si>
  <si>
    <t>9976AD1223270006</t>
  </si>
  <si>
    <t>SHEIKH MUHAMMAD ABID</t>
  </si>
  <si>
    <t>12101-0989951-7</t>
  </si>
  <si>
    <t>03018550519</t>
  </si>
  <si>
    <t xml:space="preserve">H # 473 MAIN DOUBLE ROAD I-10/4 ISLAMABAD PK </t>
  </si>
  <si>
    <t>66406/00009/01/2023</t>
  </si>
  <si>
    <t>6R267556</t>
  </si>
  <si>
    <t>1167568</t>
  </si>
  <si>
    <t>OLAISD300090924</t>
  </si>
  <si>
    <t>109049/01/2023</t>
  </si>
  <si>
    <t>KHI/HO/D/MO/PC COMP/C/106590/54/01/2025</t>
  </si>
  <si>
    <t>9976AP2240050001</t>
  </si>
  <si>
    <t>MUHAMMAD USMAN</t>
  </si>
  <si>
    <t>33301-0902233-3</t>
  </si>
  <si>
    <t>03253022800</t>
  </si>
  <si>
    <t xml:space="preserve">AL HAMMAD INTERIORS OFFICE 7 APPLE GARDEN JAMAL UDDIN AFGHANI ROAD BAHADURABAD KARACHI 0307-8228000 </t>
  </si>
  <si>
    <t>81032/00001/01/2024</t>
  </si>
  <si>
    <t>17510250</t>
  </si>
  <si>
    <t>R223177</t>
  </si>
  <si>
    <t>BMT-010</t>
  </si>
  <si>
    <t>HONDA CITY I-VTEC</t>
  </si>
  <si>
    <t>11-JAN-2024</t>
  </si>
  <si>
    <t>OLUKHI300098960</t>
  </si>
  <si>
    <t>10701/01/2024/ITFM</t>
  </si>
  <si>
    <t>KHI/HO/D/MO/PC COMP/C/106590/61/01/2025</t>
  </si>
  <si>
    <t>997AAD1203050085</t>
  </si>
  <si>
    <t>GHULAM MURTAZA</t>
  </si>
  <si>
    <t>61101-1792198-5</t>
  </si>
  <si>
    <t xml:space="preserve">H # 18 ST # 5 SECTOR G-13/3  ISLAMABAD PK </t>
  </si>
  <si>
    <t>2524/02288/00001/01/2021</t>
  </si>
  <si>
    <t>LR020046</t>
  </si>
  <si>
    <t>BRV-IVTEC-S</t>
  </si>
  <si>
    <t>11-JAN-2021</t>
  </si>
  <si>
    <t>11-Jan-2026</t>
  </si>
  <si>
    <t>POAISD300059793</t>
  </si>
  <si>
    <t>DIB0029295</t>
  </si>
  <si>
    <t>KHI/HO/D/MO/PC COMP/C/103702/12/12/2024</t>
  </si>
  <si>
    <t>KHI/HO/D/MO/PC COMP/E/52165/00012/02/2025</t>
  </si>
  <si>
    <t>9976AP1223650042</t>
  </si>
  <si>
    <t>RANA ARSLAN ZAFAR</t>
  </si>
  <si>
    <t>54401-9696683-3</t>
  </si>
  <si>
    <t>03008317668</t>
  </si>
  <si>
    <t>03008317668, 03008317668</t>
  </si>
  <si>
    <t xml:space="preserve">CHAK NO 68 RAJPOOT HOUSE SHEIKHUPUR A ROAD ADDA JOHAL FAISALABAD PK </t>
  </si>
  <si>
    <t>65483/00055/12/2022</t>
  </si>
  <si>
    <t>118310</t>
  </si>
  <si>
    <t>10018506</t>
  </si>
  <si>
    <t>LEC-18-8380</t>
  </si>
  <si>
    <t>SUZUKI CULTUS VXL</t>
  </si>
  <si>
    <t>03-JAN-2023</t>
  </si>
  <si>
    <t>03-Jan-2028</t>
  </si>
  <si>
    <t>OLUFSD300091462</t>
  </si>
  <si>
    <t>9723/12/2022</t>
  </si>
  <si>
    <t>KHI/HO/D/MO/PC COMP/C/103702/16/12/2024</t>
  </si>
  <si>
    <t>KHI/HO/D/MO/PC COMP/E/52165/00016/02/2025</t>
  </si>
  <si>
    <t>9976AP1223650032</t>
  </si>
  <si>
    <t>MUHAMMAD WAQAS AKRAM</t>
  </si>
  <si>
    <t>35302-0726893-1</t>
  </si>
  <si>
    <t>03006681096</t>
  </si>
  <si>
    <t>03006681096, 03006681096</t>
  </si>
  <si>
    <t xml:space="preserve">ST NO 3 HAMAYUN TOWN FSD NEAR MUMTA Z GRAMMAR HIGH SCHOOL FAISALABAD PK </t>
  </si>
  <si>
    <t>65483/00058/12/2022</t>
  </si>
  <si>
    <t>173902</t>
  </si>
  <si>
    <t>10073885</t>
  </si>
  <si>
    <t>FDA-18-244</t>
  </si>
  <si>
    <t>SUZUKI WAGONR VXL</t>
  </si>
  <si>
    <t>OLUFSD300091480</t>
  </si>
  <si>
    <t>9727/12/2022</t>
  </si>
  <si>
    <t>KHI/HO/D/MO/PC COMP/C/103702/19/12/2024</t>
  </si>
  <si>
    <t>KHI/HO/D/MO/PC COMP/E/52165/00019/02/2025</t>
  </si>
  <si>
    <t>9976AP1223650051</t>
  </si>
  <si>
    <t>SYED ALI MURTAZA ZAIDI</t>
  </si>
  <si>
    <t>61101-9788983-3</t>
  </si>
  <si>
    <t>00407497358373</t>
  </si>
  <si>
    <t xml:space="preserve">48 OLD CRABTREE LANE HP24EX HEMEL HEMPSTEAD UNITED KINGDOM </t>
  </si>
  <si>
    <t>65483/00060/12/2022</t>
  </si>
  <si>
    <t>281012895</t>
  </si>
  <si>
    <t>029762</t>
  </si>
  <si>
    <t>RDA</t>
  </si>
  <si>
    <t>HONDA CITY ASPIRE A/T</t>
  </si>
  <si>
    <t>03-Jan-2030</t>
  </si>
  <si>
    <t>OLDISD300091492</t>
  </si>
  <si>
    <t>109038/12/2022</t>
  </si>
  <si>
    <t>1.4%</t>
  </si>
  <si>
    <t>KHI/HO/D/MO/PC COMP/C/103702/25/12/2024</t>
  </si>
  <si>
    <t>KHI/HO/D/MO/PC COMP/E/52165/00025/02/2025</t>
  </si>
  <si>
    <t>9976AD2212510005</t>
  </si>
  <si>
    <t>MUHAMMAD AFTAB KHAN</t>
  </si>
  <si>
    <t>Lahore</t>
  </si>
  <si>
    <t>35200-1444731-9</t>
  </si>
  <si>
    <t>0300-4303941</t>
  </si>
  <si>
    <t>0300-4303941 0302-8403941</t>
  </si>
  <si>
    <t>04237000234 35218882</t>
  </si>
  <si>
    <t xml:space="preserve">HOUSE NO 551 M BLOCK EXTENSION MODEL TOWN CIVIC CENTRE LAHORE </t>
  </si>
  <si>
    <t>57872/00011/01/2022</t>
  </si>
  <si>
    <t>R204358</t>
  </si>
  <si>
    <t>1104373</t>
  </si>
  <si>
    <t>SUZUKI ALTO VXR EURO II</t>
  </si>
  <si>
    <t>2021</t>
  </si>
  <si>
    <t>21-JAN-2022</t>
  </si>
  <si>
    <t>OLALHR300073212</t>
  </si>
  <si>
    <t>DIB0033057</t>
  </si>
  <si>
    <t>KHI/HO/D/MO/PC COMP/C/106590/71/01/2025</t>
  </si>
  <si>
    <t>997AAD1193340005</t>
  </si>
  <si>
    <t>MOHAMMAD AHSAN AKBAR</t>
  </si>
  <si>
    <t>42101-8221491-3</t>
  </si>
  <si>
    <t>03343898410</t>
  </si>
  <si>
    <t>02135170768</t>
  </si>
  <si>
    <t xml:space="preserve">HOUSE # B-55 BLOCK C NORTH NAZIMABA D KARACHI </t>
  </si>
  <si>
    <t>51671/00002/01/2019</t>
  </si>
  <si>
    <t>168918</t>
  </si>
  <si>
    <t>700649</t>
  </si>
  <si>
    <t>2019</t>
  </si>
  <si>
    <t>21-JAN-2020</t>
  </si>
  <si>
    <t>POAKHI300051235</t>
  </si>
  <si>
    <t>DIB0028095</t>
  </si>
  <si>
    <t>2.75%</t>
  </si>
  <si>
    <t>KHI/HO/D/MO/PC COMP/C/106590/72/01/2025</t>
  </si>
  <si>
    <t>9976AP1220040161</t>
  </si>
  <si>
    <t>AMRITA VENOZ GILL</t>
  </si>
  <si>
    <t>Abotabad</t>
  </si>
  <si>
    <t>13101-6645750-6</t>
  </si>
  <si>
    <t>03365504525</t>
  </si>
  <si>
    <t>0992403549</t>
  </si>
  <si>
    <t xml:space="preserve">SPRING GILL MONTESSORI SCHOOL JHANGI SYEDIAN ABBOTTABAD </t>
  </si>
  <si>
    <t>57132/00347/12/2021</t>
  </si>
  <si>
    <t>530154</t>
  </si>
  <si>
    <t>4156502</t>
  </si>
  <si>
    <t>AJT-097</t>
  </si>
  <si>
    <t>TOYOTA GLI A/T</t>
  </si>
  <si>
    <t>11-Jan-2027</t>
  </si>
  <si>
    <t>OLUABD300082848</t>
  </si>
  <si>
    <t>6040/12/2021</t>
  </si>
  <si>
    <t>KHI/HO/D/MO/PC COMP/C/103702/29/12/2024</t>
  </si>
  <si>
    <t>KHI/HO/D/MO/PC COMP/E/52165/00029/02/2025</t>
  </si>
  <si>
    <t>9976AP1203660059</t>
  </si>
  <si>
    <t>JAMAL ALI MIRZA</t>
  </si>
  <si>
    <t>42201-2147828-7</t>
  </si>
  <si>
    <t>0333247114</t>
  </si>
  <si>
    <t>03332471114</t>
  </si>
  <si>
    <t>0</t>
  </si>
  <si>
    <t xml:space="preserve">2602 PIB COLONY JAMAL GENERAL STORE KARACHI PK </t>
  </si>
  <si>
    <t>2524/02243/00088/12/2020</t>
  </si>
  <si>
    <t>3B20-LB6651</t>
  </si>
  <si>
    <t>0338389</t>
  </si>
  <si>
    <t>RCN</t>
  </si>
  <si>
    <t>BKS-521</t>
  </si>
  <si>
    <t>NISSAN DAYS HIGHWAY STAR</t>
  </si>
  <si>
    <t>2016</t>
  </si>
  <si>
    <t>03-JAN-2021</t>
  </si>
  <si>
    <t>03-Jan-2026</t>
  </si>
  <si>
    <t>OLUKHI300064634</t>
  </si>
  <si>
    <t>3933/12/2020/ITFM</t>
  </si>
  <si>
    <t>KHI/HO/D/MO/PC COMP/C/103702/31/12/2024</t>
  </si>
  <si>
    <t>KHI/HO/D/MO/PC COMP/E/52165/00031/02/2025</t>
  </si>
  <si>
    <t>997AAD1202480012</t>
  </si>
  <si>
    <t>SHEIKH MUHAMMAD ARSLAN ALI</t>
  </si>
  <si>
    <t>33100-8724276-7</t>
  </si>
  <si>
    <t>03004761508, 03004761508</t>
  </si>
  <si>
    <t xml:space="preserve">H NO P-2 MAIN TOWN ST NO 13 ABC ROA D AFGHANABAD NO 2 FAISALABAD PK </t>
  </si>
  <si>
    <t>53545/00001/01/2021</t>
  </si>
  <si>
    <t>10066488</t>
  </si>
  <si>
    <t>CULTUS VXL</t>
  </si>
  <si>
    <t>POAFSD300057028</t>
  </si>
  <si>
    <t>3979/01/2021/ITFM</t>
  </si>
  <si>
    <t>KHI/HO/D/MO/PC COMP/C/106590/73/01/2025</t>
  </si>
  <si>
    <t>9976AP1220070002</t>
  </si>
  <si>
    <t>ABDUL AZIZ KAKAR</t>
  </si>
  <si>
    <t>54401-6140379-7</t>
  </si>
  <si>
    <t>03328824127</t>
  </si>
  <si>
    <t>03328824127, 03328824127</t>
  </si>
  <si>
    <t xml:space="preserve">HOUSE # 4-C MEZZANINE FLOOR STREET 2 MAIN SABA COMM DHA PHASE 5 NEAR G KARACHI PK </t>
  </si>
  <si>
    <t>57872/00017/01/2022</t>
  </si>
  <si>
    <t>Z327103</t>
  </si>
  <si>
    <t>NZE170R-4047590</t>
  </si>
  <si>
    <t>BEH-025</t>
  </si>
  <si>
    <t>TOYOTA COROLLA GLI</t>
  </si>
  <si>
    <t>2015</t>
  </si>
  <si>
    <t>OLUKHI300082922</t>
  </si>
  <si>
    <t>DIB0033069</t>
  </si>
  <si>
    <t>KHI/HO/D/MO/PC COMP/C/106590/74/01/2025</t>
  </si>
  <si>
    <t>9976AD2212110014</t>
  </si>
  <si>
    <t>ADEEL AHMED</t>
  </si>
  <si>
    <t>42101-4655899-1</t>
  </si>
  <si>
    <t>03218211212</t>
  </si>
  <si>
    <t xml:space="preserve">R-128 SECTOR 5-C BILAL TOWN NORTH K HI NEAR THE BEST SCHOOL KARACHI PK </t>
  </si>
  <si>
    <t>57872/00019/01/2022</t>
  </si>
  <si>
    <t>197014</t>
  </si>
  <si>
    <t>4096983</t>
  </si>
  <si>
    <t>ALTO VXL AGS EURO-II</t>
  </si>
  <si>
    <t>OLAKHI300071413</t>
  </si>
  <si>
    <t>6070/01/2022</t>
  </si>
  <si>
    <t>KHI/HO/D/MO/PC COMP/C/106590/75/01/2025</t>
  </si>
  <si>
    <t>9976AP1213650129</t>
  </si>
  <si>
    <t>SYED AZAM ALI SHAH RIZVI</t>
  </si>
  <si>
    <t>45502-8732960-9</t>
  </si>
  <si>
    <t>03213104006</t>
  </si>
  <si>
    <t xml:space="preserve">HOUSE # B-15 ABDULLAH VILLAS NEAR B ILAL MASJID QASIMABAD HYDERABAD PK </t>
  </si>
  <si>
    <t>57132/00318/12/2021</t>
  </si>
  <si>
    <t>638224</t>
  </si>
  <si>
    <t>545095</t>
  </si>
  <si>
    <t>BJV-376</t>
  </si>
  <si>
    <t>SUZUK CULTUS VXR CNG</t>
  </si>
  <si>
    <t>2017</t>
  </si>
  <si>
    <t>03-Jan-2027</t>
  </si>
  <si>
    <t>OLUKHI300082789</t>
  </si>
  <si>
    <t>DIB0032990</t>
  </si>
  <si>
    <t>KHI/HO/D/MO/PC COMP/C/103702/32/12/2024</t>
  </si>
  <si>
    <t>KHI/HO/D/MO/PC COMP/E/52165/00032/02/2025</t>
  </si>
  <si>
    <t>9976AP1223650046</t>
  </si>
  <si>
    <t>SYED USAMA ALI SHAH</t>
  </si>
  <si>
    <t>33102-6824894-1</t>
  </si>
  <si>
    <t>03202075588</t>
  </si>
  <si>
    <t>03202075588, 03202075588</t>
  </si>
  <si>
    <t xml:space="preserve">P-170-ACANAL ROAD PHASE I EDEN GARD ENS FSD NEAR OPP PARK FAISALABAD PK </t>
  </si>
  <si>
    <t>65483/00056/12/2022</t>
  </si>
  <si>
    <t>273327</t>
  </si>
  <si>
    <t>306078</t>
  </si>
  <si>
    <t>HYUNDAI ELENTRA</t>
  </si>
  <si>
    <t>OLDFSD300091475</t>
  </si>
  <si>
    <t>9726/12/2022</t>
  </si>
  <si>
    <t>KHI/HO/D/MO/PC COMP/C/103702/34/12/2024</t>
  </si>
  <si>
    <t>KHI/HO/D/MO/PC COMP/E/52165/00034/02/2025</t>
  </si>
  <si>
    <t>9976AP1223650045</t>
  </si>
  <si>
    <t>MUHAMMAD SHAHID</t>
  </si>
  <si>
    <t>31303-8682978-9</t>
  </si>
  <si>
    <t>03127788700</t>
  </si>
  <si>
    <t xml:space="preserve">P NO 17 BLOCK QUAID E AZAM ALLAMA COLONY FAISALABAD </t>
  </si>
  <si>
    <t>65483/00061/12/2022</t>
  </si>
  <si>
    <t>6R214379</t>
  </si>
  <si>
    <t>1114370</t>
  </si>
  <si>
    <t>AJT-713</t>
  </si>
  <si>
    <t>SUZUKI ALTO VXR</t>
  </si>
  <si>
    <t>OLUFSD300091497</t>
  </si>
  <si>
    <t>9730/12/2022</t>
  </si>
  <si>
    <t>KHI/HO/D/MO/PC COMP/C/103702/42/12/2024</t>
  </si>
  <si>
    <t>KHI/HO/D/MO/PC COMP/E/52165/00042/02/2025</t>
  </si>
  <si>
    <t>9976AP1223650030</t>
  </si>
  <si>
    <t>REHMAT ALI</t>
  </si>
  <si>
    <t>33100-9667888-5</t>
  </si>
  <si>
    <t>03226502244</t>
  </si>
  <si>
    <t>03226502244, 03226502244</t>
  </si>
  <si>
    <t xml:space="preserve">P-29-A A BLOCK BARKAT PURA FAISALABAD PK </t>
  </si>
  <si>
    <t>65483/00054/12/2022</t>
  </si>
  <si>
    <t>6R213917</t>
  </si>
  <si>
    <t>113937</t>
  </si>
  <si>
    <t>AJG-468</t>
  </si>
  <si>
    <t>SUZUKI ALTO VXL AGS EURO-II</t>
  </si>
  <si>
    <t>OLUFSD300091457</t>
  </si>
  <si>
    <t>9722/12/2022</t>
  </si>
  <si>
    <t>KHI/HO/D/MO/PC COMP/C/103702/44/12/2024</t>
  </si>
  <si>
    <t>KHI/HO/D/MO/PC COMP/E/52165/00044/02/2025</t>
  </si>
  <si>
    <t>9976AP1223650029</t>
  </si>
  <si>
    <t>MUHAMMAD ADNAN AMIR</t>
  </si>
  <si>
    <t>33100-8007590-1</t>
  </si>
  <si>
    <t>03006620687</t>
  </si>
  <si>
    <t>03006620687, 03006620687</t>
  </si>
  <si>
    <t xml:space="preserve">P-83 LASANI GARDENS SARGODHA ROAD F SD NEAR QUBA MASJID FAISALABAD PK </t>
  </si>
  <si>
    <t>65483/00053/12/2022</t>
  </si>
  <si>
    <t>204837</t>
  </si>
  <si>
    <t>10104844</t>
  </si>
  <si>
    <t>SUZUKI CULTUS VXL AGS EURO-II</t>
  </si>
  <si>
    <t>OLDFSD300091458</t>
  </si>
  <si>
    <t>9721/12/2022</t>
  </si>
  <si>
    <t>KHI/HO/D/MO/PC COMP/C/103702/46/12/2024</t>
  </si>
  <si>
    <t>KHI/HO/D/MO/PC COMP/E/52165/00046/02/2025</t>
  </si>
  <si>
    <t>9976AP2223650039</t>
  </si>
  <si>
    <t>TARIQ MAWAZ</t>
  </si>
  <si>
    <t>33100-0647226-5</t>
  </si>
  <si>
    <t>03007647050</t>
  </si>
  <si>
    <t>03007647050, 03007647050</t>
  </si>
  <si>
    <t>0412600882</t>
  </si>
  <si>
    <t xml:space="preserve">H NO 30 ST NO 01 AL MASOOM TOWN FAISALABAD PK </t>
  </si>
  <si>
    <t>65483/00059/12/2022</t>
  </si>
  <si>
    <t>Q326481</t>
  </si>
  <si>
    <t>7025687</t>
  </si>
  <si>
    <t>AFJ-950</t>
  </si>
  <si>
    <t>TOYOTA COROLLA ALTIS GRANDE CVT</t>
  </si>
  <si>
    <t>OLUFSD300091478</t>
  </si>
  <si>
    <t>9728/12/2022</t>
  </si>
  <si>
    <t>KHI/HO/D/MO/PC COMP/C/103702/47/12/2024</t>
  </si>
  <si>
    <t>KHI/HO/D/MO/PC COMP/E/52165/00047/02/2025</t>
  </si>
  <si>
    <t>9976AP1220120001</t>
  </si>
  <si>
    <t>MUHAMMAD ARSALAN KHAN</t>
  </si>
  <si>
    <t>54400-0542886-5</t>
  </si>
  <si>
    <t>03111027107</t>
  </si>
  <si>
    <t xml:space="preserve">HOUSE A- 136 SECTER Z SECTER 6 GULS HAN-E- MAYMAR RESTURENT Z- 06 KARACHI PK </t>
  </si>
  <si>
    <t>57872/00018/01/2022</t>
  </si>
  <si>
    <t>Q332139Q</t>
  </si>
  <si>
    <t>ZRE172R-7031259</t>
  </si>
  <si>
    <t>BMU-158</t>
  </si>
  <si>
    <t>OLUKHI300082952</t>
  </si>
  <si>
    <t>DIB0033073</t>
  </si>
  <si>
    <t>KHI/HO/D/MO/PC COMP/C/106590/81/01/2025</t>
  </si>
  <si>
    <t>9976AD1212700057</t>
  </si>
  <si>
    <t>MUHAMMAD BENYAMEEN TAHIR</t>
  </si>
  <si>
    <t>36502-1378700-3</t>
  </si>
  <si>
    <t>N/A</t>
  </si>
  <si>
    <t>03009432338</t>
  </si>
  <si>
    <t xml:space="preserve">HNO. 167 SAPHIRE BLOCK PARK VIEW SOCIETY MULTAN ROAD LAHORE </t>
  </si>
  <si>
    <t>57872/00014/01/2022</t>
  </si>
  <si>
    <t>G4NAMH315952</t>
  </si>
  <si>
    <t>NNAQL51AZKP308394</t>
  </si>
  <si>
    <t>KIA SPORTAGE FWD</t>
  </si>
  <si>
    <t>OLALHR300073753</t>
  </si>
  <si>
    <t>6074/01/2022</t>
  </si>
  <si>
    <t>KHI/HO/D/MO/PC COMP/C/106590/82/01/2025</t>
  </si>
  <si>
    <t>9976AP1213650138</t>
  </si>
  <si>
    <t>MUHAMMAD ANEES</t>
  </si>
  <si>
    <t>Hyderabad</t>
  </si>
  <si>
    <t>41303-6600627-7</t>
  </si>
  <si>
    <t>03213071774</t>
  </si>
  <si>
    <t xml:space="preserve">HOUSE NO A/288 MOHALLA JAMIA MASJID ROAD TANDO WALI MOHAMMAD HYD </t>
  </si>
  <si>
    <t>57132/00350/12/2021</t>
  </si>
  <si>
    <t>547057</t>
  </si>
  <si>
    <t>4172790</t>
  </si>
  <si>
    <t>BPX-345</t>
  </si>
  <si>
    <t>TOYOTA COROLLA GLI A/T</t>
  </si>
  <si>
    <t>OLUHYD300082748</t>
  </si>
  <si>
    <t>6043/12/2021</t>
  </si>
  <si>
    <t>KHI/HO/D/MO/PC COMP/C/103702/48/12/2024</t>
  </si>
  <si>
    <t>KHI/HO/D/MO/PC COMP/E/52165/00048/02/2025</t>
  </si>
  <si>
    <t>9976AP2220040096</t>
  </si>
  <si>
    <t>MUHAMMAD AHSAN MIR</t>
  </si>
  <si>
    <t>61101-1118384-7</t>
  </si>
  <si>
    <t>0515179507</t>
  </si>
  <si>
    <t>0512624800</t>
  </si>
  <si>
    <t xml:space="preserve">H # 134 ST # 22 ALI BLOCK BAHRIA TO WN PH-8 RAWALPINDI PK </t>
  </si>
  <si>
    <t>57132/00368/12/2021</t>
  </si>
  <si>
    <t>16913445</t>
  </si>
  <si>
    <t>065243</t>
  </si>
  <si>
    <t>AST-005</t>
  </si>
  <si>
    <t>HONDA CIVIC VTI</t>
  </si>
  <si>
    <t>2020</t>
  </si>
  <si>
    <t>OLUISD300082881</t>
  </si>
  <si>
    <t>6056/12/2021</t>
  </si>
  <si>
    <t>KHI/HO/D/MO/PC COMP/C/103702/50/12/2024</t>
  </si>
  <si>
    <t>KHI/HO/D/MO/PC COMP/E/52165/00050/02/2025</t>
  </si>
  <si>
    <t>9976AD1212530032</t>
  </si>
  <si>
    <t>SHAHZAD MUREED</t>
  </si>
  <si>
    <t>36302-8603292-7</t>
  </si>
  <si>
    <t>03006320207</t>
  </si>
  <si>
    <t xml:space="preserve">POST OFFICE KHAS KHAKI PANJANI SHUJ ABAD MULTAN </t>
  </si>
  <si>
    <t>57132/00304/12/2021</t>
  </si>
  <si>
    <t>6930139</t>
  </si>
  <si>
    <t>082737</t>
  </si>
  <si>
    <t>APL-4</t>
  </si>
  <si>
    <t>HONDA CIVIC VTI ORIEL P/T</t>
  </si>
  <si>
    <t>OLALHR300073244</t>
  </si>
  <si>
    <t>DIB0032981</t>
  </si>
  <si>
    <t>KHI/HO/D/MO/PC COMP/C/103702/51/12/2024</t>
  </si>
  <si>
    <t>KHI/HO/D/MO/PC COMP/E/52165/00051/02/2025</t>
  </si>
  <si>
    <t>9976AP1220040172</t>
  </si>
  <si>
    <t>DANISH</t>
  </si>
  <si>
    <t>35202-4154775-9</t>
  </si>
  <si>
    <t>03074363005</t>
  </si>
  <si>
    <t xml:space="preserve">HOUSE NO 53 STREET NO 53 MOHALLAH C HAH MERAN ROAD FAIZ BAGH LAHORE PK </t>
  </si>
  <si>
    <t>57132/00365/12/2021</t>
  </si>
  <si>
    <t>12905954</t>
  </si>
  <si>
    <t>R008418</t>
  </si>
  <si>
    <t>LEA-18-A-2812</t>
  </si>
  <si>
    <t>HONDA CIVIC VTI ORIEL</t>
  </si>
  <si>
    <t>OLULHR300082889</t>
  </si>
  <si>
    <t>DIB0033023</t>
  </si>
  <si>
    <t>KHI/HO/D/MO/PC COMP/C/103702/52/12/2024</t>
  </si>
  <si>
    <t>KHI/HO/D/MO/PC COMP/E/52165/00052/02/2025</t>
  </si>
  <si>
    <t>9976AP1213650113</t>
  </si>
  <si>
    <t>ABDUL SATTAR</t>
  </si>
  <si>
    <t>41306-4264727-5</t>
  </si>
  <si>
    <t>03133009846</t>
  </si>
  <si>
    <t xml:space="preserve">H NO B-34/1 HDA EDT 1 NORTH PHASE 1 QASIMABAD HYDERABAD PK </t>
  </si>
  <si>
    <t>57132/00321/12/2021</t>
  </si>
  <si>
    <t>Q040457</t>
  </si>
  <si>
    <t>6017962</t>
  </si>
  <si>
    <t>BKU-950</t>
  </si>
  <si>
    <t>TOYOTA COROLLA ALTIS A/T</t>
  </si>
  <si>
    <t>OLUHYD300082761</t>
  </si>
  <si>
    <t>6034/12/2021</t>
  </si>
  <si>
    <t>KHI/HO/D/MO/PC COMP/C/103702/53/12/2024</t>
  </si>
  <si>
    <t>KHI/HO/D/MO/PC COMP/E/52165/00053/02/2025</t>
  </si>
  <si>
    <t>9976AP1230090008</t>
  </si>
  <si>
    <t>SHEIKH MUJAHID ALI</t>
  </si>
  <si>
    <t>33100-7650028-1</t>
  </si>
  <si>
    <t>03219478678</t>
  </si>
  <si>
    <t>03219478678, 03006633268</t>
  </si>
  <si>
    <t xml:space="preserve">3-C ST NO 31 MOHALLA ALI HOUSING CO LONY SHADAB COLONY JHANG ROAD FSD N FAISALABAD PK </t>
  </si>
  <si>
    <t>66406/00018/01/2023</t>
  </si>
  <si>
    <t>17528047</t>
  </si>
  <si>
    <t>245903</t>
  </si>
  <si>
    <t>AMS-558</t>
  </si>
  <si>
    <t>HONDA CITY I-VTEC P/T</t>
  </si>
  <si>
    <t>OLUFSD300091556</t>
  </si>
  <si>
    <t>9750/01/2023</t>
  </si>
  <si>
    <t>KHI/HO/D/MO/PC COMP/C/106590/89/01/2025</t>
  </si>
  <si>
    <t>9976AP2213650079</t>
  </si>
  <si>
    <t>GHULAM FAROOQ</t>
  </si>
  <si>
    <t>Peshawar</t>
  </si>
  <si>
    <t>16101-4611758-7</t>
  </si>
  <si>
    <t>03444472038</t>
  </si>
  <si>
    <t xml:space="preserve">FLAT # B-33 GATE # 4 AGRICULTURE UN IVERSITY PESHAWAR PK </t>
  </si>
  <si>
    <t>57132/00344/12/2021</t>
  </si>
  <si>
    <t>2A42654</t>
  </si>
  <si>
    <t>NSP151R-9515828</t>
  </si>
  <si>
    <t>TOYOTA YARIS ATIV X CVT 1.5</t>
  </si>
  <si>
    <t>OLDPEW300082688</t>
  </si>
  <si>
    <t>DIB0033001</t>
  </si>
  <si>
    <t>KHI/HO/D/MO/PC COMP/C/103702/54/12/2024</t>
  </si>
  <si>
    <t>KHI/HO/D/MO/PC COMP/E/52165/00054/02/2025</t>
  </si>
  <si>
    <t>9976AD1223220003</t>
  </si>
  <si>
    <t>ZIA ZAMAN SHANWARI</t>
  </si>
  <si>
    <t>14301-3154269-9</t>
  </si>
  <si>
    <t>0514431044</t>
  </si>
  <si>
    <t>03455552172</t>
  </si>
  <si>
    <t xml:space="preserve">HOUSE NO.800, STREET NO.72, I-8/3, ISLAMABAD. </t>
  </si>
  <si>
    <t>66406/00015/01/2023</t>
  </si>
  <si>
    <t>267040</t>
  </si>
  <si>
    <t>1167059</t>
  </si>
  <si>
    <t>OLAISD300090832</t>
  </si>
  <si>
    <t>109015/12/2022</t>
  </si>
  <si>
    <t>KHI/HO/D/MO/PC COMP/C/106590/91/01/2025</t>
  </si>
  <si>
    <t>9976AP2220040091</t>
  </si>
  <si>
    <t>ADEEL GHAFFAR</t>
  </si>
  <si>
    <t>33105-9136009-1</t>
  </si>
  <si>
    <t>03236193113</t>
  </si>
  <si>
    <t>03236193113, 03236193113</t>
  </si>
  <si>
    <t xml:space="preserve">P-297 FACTORY AREA LYALLPUR GARDENS FSD FAISALABAD PK </t>
  </si>
  <si>
    <t>57132/00375/12/2021</t>
  </si>
  <si>
    <t>2A16225</t>
  </si>
  <si>
    <t>R-7009660</t>
  </si>
  <si>
    <t>AST-645</t>
  </si>
  <si>
    <t>TOYOTA ALTIS ATIV</t>
  </si>
  <si>
    <t>OLUFSD300082892</t>
  </si>
  <si>
    <t>DIB0033024</t>
  </si>
  <si>
    <t>KHI/HO/D/MO/PC COMP/C/103702/56/12/2024</t>
  </si>
  <si>
    <t>KHI/HO/D/MO/PC COMP/E/52165/00056/02/2025</t>
  </si>
  <si>
    <t>9976AD1220750038</t>
  </si>
  <si>
    <t>JAMIL KHAN</t>
  </si>
  <si>
    <t>42401-5345088-3</t>
  </si>
  <si>
    <t>03337825018</t>
  </si>
  <si>
    <t xml:space="preserve">HOUSE # 261 KMC ELAHIABAD SECTOR 10 NEAR FAROOQ E AZAM MASJID ORANGI T KARACHI PK </t>
  </si>
  <si>
    <t>66406/00017/01/2023</t>
  </si>
  <si>
    <t>Q102278</t>
  </si>
  <si>
    <t>6079787</t>
  </si>
  <si>
    <t>OLAKHI300085644</t>
  </si>
  <si>
    <t>DIB0034880</t>
  </si>
  <si>
    <t>KHI/HO/D/MO/PC COMP/C/106590/92/01/2025</t>
  </si>
  <si>
    <t>9976AP2213650068</t>
  </si>
  <si>
    <t>MUHAMMAD RAFAY</t>
  </si>
  <si>
    <t>35202-7591244-7</t>
  </si>
  <si>
    <t>03464394250</t>
  </si>
  <si>
    <t xml:space="preserve">209 PAK PWD OFFICE NEAR STOCK EXCHA NGE BRANCH MALL ROAD LAHORE </t>
  </si>
  <si>
    <t>57132/00332/12/2021</t>
  </si>
  <si>
    <t>12902993</t>
  </si>
  <si>
    <t>GR003739</t>
  </si>
  <si>
    <t>LEH-16-7134</t>
  </si>
  <si>
    <t>OLULHR300082823</t>
  </si>
  <si>
    <t>DIB0032995</t>
  </si>
  <si>
    <t>KHI/HO/D/MO/PC COMP/C/103702/57/12/2024</t>
  </si>
  <si>
    <t>KHI/HO/D/MO/PC COMP/E/52165/00057/02/2025</t>
  </si>
  <si>
    <t>9976AP1220100001</t>
  </si>
  <si>
    <t>Multan</t>
  </si>
  <si>
    <t>36302-0357137-7</t>
  </si>
  <si>
    <t>03007317542</t>
  </si>
  <si>
    <t>0614545362</t>
  </si>
  <si>
    <t xml:space="preserve">HOUSE NO 04 STREET NO 12 GULNAR COO NY NEAR GRASS MANDI MULTAN CANTT MULTAN PK </t>
  </si>
  <si>
    <t>57872/00015/01/2022</t>
  </si>
  <si>
    <t>PK10B196406</t>
  </si>
  <si>
    <t>A1J310PK10096399</t>
  </si>
  <si>
    <t>RI-20-79</t>
  </si>
  <si>
    <t>SUZUKI WAGNOR VXL</t>
  </si>
  <si>
    <t>OLUMUX300082913</t>
  </si>
  <si>
    <t>6072/01/2022</t>
  </si>
  <si>
    <t>KHI/HO/D/MO/PC COMP/C/106590/95/01/2025</t>
  </si>
  <si>
    <t>9976AP2220040097</t>
  </si>
  <si>
    <t>FAISAL AZIZ QURESHI</t>
  </si>
  <si>
    <t>61101-1574583-9</t>
  </si>
  <si>
    <t>03438848877</t>
  </si>
  <si>
    <t xml:space="preserve">AKBAR AND AL REHMAN PLAZA KHANNA EAST SERVICE ROAD GOURI TOWN ISB </t>
  </si>
  <si>
    <t>57132/00367/12/2021</t>
  </si>
  <si>
    <t>M3CAD504644</t>
  </si>
  <si>
    <t>M1003416</t>
  </si>
  <si>
    <t>CHANGAN ALSVIN LUMEIRE</t>
  </si>
  <si>
    <t>OLDISD300082867</t>
  </si>
  <si>
    <t>6054/12/2021</t>
  </si>
  <si>
    <t>KHI/HO/D/MO/PC COMP/C/103702/58/12/2024</t>
  </si>
  <si>
    <t>KHI/HO/D/MO/PC COMP/E/52165/00058/02/2025</t>
  </si>
  <si>
    <t>9976AP1203660071</t>
  </si>
  <si>
    <t>MUGHEES UR REHMAN</t>
  </si>
  <si>
    <t>14301-3372040-9</t>
  </si>
  <si>
    <t>091-5705186</t>
  </si>
  <si>
    <t xml:space="preserve">H.NO-90,ASKARI V SHAHEEN COLONY PESHAWAR CANTT PESHAWAR </t>
  </si>
  <si>
    <t>53326/00137/12/2020</t>
  </si>
  <si>
    <t>404119</t>
  </si>
  <si>
    <t>R124964</t>
  </si>
  <si>
    <t>NZ-001</t>
  </si>
  <si>
    <t>CIVIC VTI ORIEL P/T</t>
  </si>
  <si>
    <t>OLUISD300064732</t>
  </si>
  <si>
    <t>DIB0029280</t>
  </si>
  <si>
    <t>KHI/HO/D/MO/PC COMP/C/103702/59/12/2024</t>
  </si>
  <si>
    <t>KHI/HO/D/MO/PC COMP/E/52165/00059/02/2025</t>
  </si>
  <si>
    <t>9976AP2213650080</t>
  </si>
  <si>
    <t>SHAHZEB NAWAZ KHAN</t>
  </si>
  <si>
    <t>42101-7394020-5</t>
  </si>
  <si>
    <t>03218934107</t>
  </si>
  <si>
    <t xml:space="preserve">FLAT # 1104 11TH FLOOR AERO REGENT PLAZA BLOCK F NORTH NAZIMABAD KARAC KARACHI PK </t>
  </si>
  <si>
    <t>57132/00335/12/2021</t>
  </si>
  <si>
    <t>17455547</t>
  </si>
  <si>
    <t>197895</t>
  </si>
  <si>
    <t>BHQ-355</t>
  </si>
  <si>
    <t>HONDA CITY I-VTECH M/T</t>
  </si>
  <si>
    <t>OLUKHI300082792</t>
  </si>
  <si>
    <t>DIB0033018</t>
  </si>
  <si>
    <t>KHI/HO/D/MO/PC COMP/C/103702/61/12/2024</t>
  </si>
  <si>
    <t>KHI/HO/D/MO/PC COMP/E/52165/00061/02/2025</t>
  </si>
  <si>
    <t>9976AP1203660045</t>
  </si>
  <si>
    <t>MUHAMMAD AFZAL</t>
  </si>
  <si>
    <t>35302-4301442-9</t>
  </si>
  <si>
    <t>03336961578</t>
  </si>
  <si>
    <t xml:space="preserve">H # 03 ST # 74 GROUND FLOOR SECTOR # G-13/2 ISLAMABAD PK </t>
  </si>
  <si>
    <t>53326/00125/12/2020</t>
  </si>
  <si>
    <t>1901368</t>
  </si>
  <si>
    <t>2211412</t>
  </si>
  <si>
    <t>VITZ</t>
  </si>
  <si>
    <t>OLUISD300064689</t>
  </si>
  <si>
    <t>DIB0029263</t>
  </si>
  <si>
    <t>KHI/HO/D/MO/PC COMP/C/103702/62/12/2024</t>
  </si>
  <si>
    <t>KHI/HO/D/MO/PC COMP/E/52165/00062/02/2025</t>
  </si>
  <si>
    <t>997APD1193650012</t>
  </si>
  <si>
    <t>ABDULLAH RIZWAN</t>
  </si>
  <si>
    <t>35202-7166493-5</t>
  </si>
  <si>
    <t>0333-4759153, 35854923</t>
  </si>
  <si>
    <t>03334759153</t>
  </si>
  <si>
    <t xml:space="preserve">HNO # 53, BLOCK # G, MODEL TOWN LAHORE PAKISTAN </t>
  </si>
  <si>
    <t>DIB/T/BT/26364/LHR/1219</t>
  </si>
  <si>
    <t>Z570010</t>
  </si>
  <si>
    <t>4198241</t>
  </si>
  <si>
    <t>LE-20-4903</t>
  </si>
  <si>
    <t>COROLLA GLI A/T</t>
  </si>
  <si>
    <t>03-JAN-2020</t>
  </si>
  <si>
    <t>PODLHR300052309</t>
  </si>
  <si>
    <t>2205/12/2019/ITFM</t>
  </si>
  <si>
    <t>2.5%</t>
  </si>
  <si>
    <t>KHI/HO/D/MO/PC COMP/C/103702/65/12/2024</t>
  </si>
  <si>
    <t>KHI/HO/D/MO/PC COMP/E/52165/00065/02/2025</t>
  </si>
  <si>
    <t>9976AP2203660028</t>
  </si>
  <si>
    <t>TAHIRA JABEEN</t>
  </si>
  <si>
    <t>42401-9040859-2</t>
  </si>
  <si>
    <t>03201253858</t>
  </si>
  <si>
    <t xml:space="preserve">HOUSE NO E-93 CANTT BAZAR MALIR CANTT KARACHI </t>
  </si>
  <si>
    <t>2524/02243/00087/12/2020</t>
  </si>
  <si>
    <t>Z528271</t>
  </si>
  <si>
    <t>NZE170R-4154190</t>
  </si>
  <si>
    <t>BMV-710</t>
  </si>
  <si>
    <t>COROLLA XLI</t>
  </si>
  <si>
    <t>OLUKHI300064599</t>
  </si>
  <si>
    <t>3930/12/2020/ITFM</t>
  </si>
  <si>
    <t>KHI/HO/D/MO/PC COMP/C/103702/67/12/2024</t>
  </si>
  <si>
    <t>KHI/HO/D/MO/PC COMP/E/52165/00067/02/2025</t>
  </si>
  <si>
    <t>9976AP1213650127</t>
  </si>
  <si>
    <t>33100-4500898-9</t>
  </si>
  <si>
    <t>03009658170</t>
  </si>
  <si>
    <t>03009658170, 03009658170</t>
  </si>
  <si>
    <t xml:space="preserve">H NO 114-C MOHALLAH GULBERG C BLOC K FSD FAISALABAD PK </t>
  </si>
  <si>
    <t>57132/00340/12/2021</t>
  </si>
  <si>
    <t>PK10B189579</t>
  </si>
  <si>
    <t>A1J310PK10089576</t>
  </si>
  <si>
    <t>LED-19-4956</t>
  </si>
  <si>
    <t>OLUFSD300082743</t>
  </si>
  <si>
    <t>DIB0033003</t>
  </si>
  <si>
    <t>KHI/HO/D/MO/PC COMP/C/103702/68/12/2024</t>
  </si>
  <si>
    <t>KHI/HO/D/MO/PC COMP/E/52165/00068/02/2025</t>
  </si>
  <si>
    <t>9976AP2220040090</t>
  </si>
  <si>
    <t>ADNAN ASHRAF</t>
  </si>
  <si>
    <t>33100-1838235-1</t>
  </si>
  <si>
    <t>03217940709</t>
  </si>
  <si>
    <t xml:space="preserve">POST OFFICE KHAS CHAK NO. 248 RB BISMILLAH PUR DALOWAL FSD 03217940709 PAKISTAN </t>
  </si>
  <si>
    <t>57132/00353/12/2021</t>
  </si>
  <si>
    <t>B212736</t>
  </si>
  <si>
    <t>PK10112751</t>
  </si>
  <si>
    <t>AFJ-263</t>
  </si>
  <si>
    <t>OLUFSD300082876</t>
  </si>
  <si>
    <t>DIB-0033016</t>
  </si>
  <si>
    <t>KHI/HO/D/MO/PC COMP/C/103702/70/12/2024</t>
  </si>
  <si>
    <t>KHI/HO/D/MO/PC COMP/E/52165/00070/02/2025</t>
  </si>
  <si>
    <t>9976AP1220110006</t>
  </si>
  <si>
    <t>HAMZA AHMAD</t>
  </si>
  <si>
    <t>35202-2889126-7</t>
  </si>
  <si>
    <t>03016443098</t>
  </si>
  <si>
    <t xml:space="preserve">HOUSE NO 67 BLOCK D ARCHITECT HOUSI NG SOCIETY LAHORE </t>
  </si>
  <si>
    <t>57872/00027/01/2022</t>
  </si>
  <si>
    <t>2A17133</t>
  </si>
  <si>
    <t>R-7010053</t>
  </si>
  <si>
    <t>ABU-151</t>
  </si>
  <si>
    <t>TOYOTA YARIS ATIV</t>
  </si>
  <si>
    <t>OLULHR300082967</t>
  </si>
  <si>
    <t>DIB0033079</t>
  </si>
  <si>
    <t>KHI/HO/D/MO/PC COMP/C/82587/378/01/2024</t>
  </si>
  <si>
    <t>9976AP2220100002</t>
  </si>
  <si>
    <t>NOUMAN SAEED</t>
  </si>
  <si>
    <t>33103-7490330-9</t>
  </si>
  <si>
    <t>03008092004</t>
  </si>
  <si>
    <t>03008092004, 03008092004</t>
  </si>
  <si>
    <t xml:space="preserve">KURIANWALA AKHARI BUS STOP GM ABAD CHAK NO 100JB FAISALABAD PK </t>
  </si>
  <si>
    <t>57872/00028/01/2022</t>
  </si>
  <si>
    <t>12906854</t>
  </si>
  <si>
    <t>R009675</t>
  </si>
  <si>
    <t>ACW-865</t>
  </si>
  <si>
    <t>OLUFSD300082993</t>
  </si>
  <si>
    <t>DIB0033081</t>
  </si>
  <si>
    <t>KHI/HO/D/MO/PC COMP/C/106590/107/01/2025</t>
  </si>
  <si>
    <t>9976AP2210120005</t>
  </si>
  <si>
    <t>FAISAL AHMED</t>
  </si>
  <si>
    <t>42201-1660661-5</t>
  </si>
  <si>
    <t xml:space="preserve">NEW REDOVEN, SHOP NO 3-4 SHAH FAISAL COLONY NO 03 NEAR BANK ISLAMI BRANCH, KARACHI MOBILE NO 0345-2940863 </t>
  </si>
  <si>
    <t>53545/00018/01/2021</t>
  </si>
  <si>
    <t>Q333504</t>
  </si>
  <si>
    <t>BNF-859</t>
  </si>
  <si>
    <t>TOYOTA COROLLA GRANDE CVT</t>
  </si>
  <si>
    <t>OLUKHI300064891</t>
  </si>
  <si>
    <t>4024/01/2021/ITFM</t>
  </si>
  <si>
    <t>KHI/HO/D/MO/PC COMP/C/106590/108/01/2025</t>
  </si>
  <si>
    <t>9976AP2213650064</t>
  </si>
  <si>
    <t>GHULAM SHABIR</t>
  </si>
  <si>
    <t>Kotri Jamshoro</t>
  </si>
  <si>
    <t>41204-3839518-3</t>
  </si>
  <si>
    <t>03003790239</t>
  </si>
  <si>
    <t>03003790239, 03155863719</t>
  </si>
  <si>
    <t xml:space="preserve">H NO 55 BHIRYA JAMSHORO NEAR RESHAM BAZAR KOTRI JAMSHORO PK </t>
  </si>
  <si>
    <t>57132/00326/12/2021</t>
  </si>
  <si>
    <t>128382</t>
  </si>
  <si>
    <t>10028375</t>
  </si>
  <si>
    <t>BNX-378</t>
  </si>
  <si>
    <t>SUZUKI CULTUS VXR EURO II</t>
  </si>
  <si>
    <t>03-Jan-2029</t>
  </si>
  <si>
    <t>OLUKJM300082770</t>
  </si>
  <si>
    <t>6037/12/2021</t>
  </si>
  <si>
    <t>KHI/HO/D/MO/PC COMP/C/103702/71/12/2024</t>
  </si>
  <si>
    <t>KHI/HO/D/MO/PC COMP/E/52165/00071/02/2025</t>
  </si>
  <si>
    <t>9976AP1203660072</t>
  </si>
  <si>
    <t>FAZAL UR REHMAN</t>
  </si>
  <si>
    <t>38302-7688904-1</t>
  </si>
  <si>
    <t>03110021040</t>
  </si>
  <si>
    <t>0512617385</t>
  </si>
  <si>
    <t xml:space="preserve">H # 2021 ST # F-8/2 BLOCK-F NATIONA L POLICE FOUNDATION O-9 BLOCK-F NEA ISLAMABAD PK </t>
  </si>
  <si>
    <t>53326/00135/12/2020</t>
  </si>
  <si>
    <t>7425864</t>
  </si>
  <si>
    <t>163342</t>
  </si>
  <si>
    <t>DX-561</t>
  </si>
  <si>
    <t>CITY IVTEC P/T</t>
  </si>
  <si>
    <t>OLUISD300064751</t>
  </si>
  <si>
    <t>DIB0029285</t>
  </si>
  <si>
    <t>KHI/HO/D/MO/PC COMP/C/103702/73/12/2024</t>
  </si>
  <si>
    <t>KHI/HO/D/MO/PC COMP/E/52165/00073/02/2025</t>
  </si>
  <si>
    <t>9976AP1213650152</t>
  </si>
  <si>
    <t>KASHIF MAHMOOD</t>
  </si>
  <si>
    <t>35202-3118581-1</t>
  </si>
  <si>
    <t>03004440226</t>
  </si>
  <si>
    <t xml:space="preserve">FRIENDS STATIONERS OFFICE NO 1 FEROZ CENTER 28 KABIR STREET URDU BAZAR LAHORE </t>
  </si>
  <si>
    <t>57132/00331/12/2021</t>
  </si>
  <si>
    <t>PK10K118826</t>
  </si>
  <si>
    <t>NE1AVK31H10018800</t>
  </si>
  <si>
    <t>LEF-18-806</t>
  </si>
  <si>
    <t>SUZUKI CULTUS VXL EURO-II</t>
  </si>
  <si>
    <t>OLULHR300082745</t>
  </si>
  <si>
    <t>DIB0032994</t>
  </si>
  <si>
    <t>KHI/HO/D/MO/PC COMP/C/103702/75/12/2024</t>
  </si>
  <si>
    <t>KHI/HO/D/MO/PC COMP/E/52165/00075/02/2025</t>
  </si>
  <si>
    <t>9976AP1213650139</t>
  </si>
  <si>
    <t>IRFAN AHMED SHAIKH</t>
  </si>
  <si>
    <t>41306-5752630-9</t>
  </si>
  <si>
    <t>03003043553</t>
  </si>
  <si>
    <t xml:space="preserve">BUNGALOW NO 324, BLOCK I CITIZEN COLONY JAMSHORO ROAD HYDERABAD </t>
  </si>
  <si>
    <t>57132/00355/12/2021</t>
  </si>
  <si>
    <t>602273</t>
  </si>
  <si>
    <t>1011735</t>
  </si>
  <si>
    <t>CHANGAN KARVAAN PLUS</t>
  </si>
  <si>
    <t>OLDHYD300082527</t>
  </si>
  <si>
    <t>6048/12/2021</t>
  </si>
  <si>
    <t>KHI/HO/D/MO/PC COMP/C/103702/77/12/2024</t>
  </si>
  <si>
    <t>KHI/HO/D/MO/PC COMP/E/52165/00077/02/2025</t>
  </si>
  <si>
    <t>997AAD1202440035</t>
  </si>
  <si>
    <t>MIAN ASIF MAQBOOL SUKHERA</t>
  </si>
  <si>
    <t>35202-4632324-1</t>
  </si>
  <si>
    <t>03008440011 03218440011</t>
  </si>
  <si>
    <t>0321-8440011</t>
  </si>
  <si>
    <t xml:space="preserve">494 AMEER PURA GEEEN ACARS RAIWIND ROAD LAHORE   </t>
  </si>
  <si>
    <t>53545/0001401/01/2021</t>
  </si>
  <si>
    <t>G4NALH339308</t>
  </si>
  <si>
    <t>NNAQL51AZKP507736</t>
  </si>
  <si>
    <t>SPORTAGE AWD</t>
  </si>
  <si>
    <t>POALHR300056885</t>
  </si>
  <si>
    <t>Tracker Not Install</t>
  </si>
  <si>
    <t>KHI/HO/D/MO/PC COMP/C/106590/113/01/2025</t>
  </si>
  <si>
    <t>9976AP1220040173</t>
  </si>
  <si>
    <t>SHARAFAT ALI</t>
  </si>
  <si>
    <t>35202-2797937-9</t>
  </si>
  <si>
    <t>03214703399</t>
  </si>
  <si>
    <t xml:space="preserve">LAKHOKA P.O KHASS TAHSIL LAHORE CANTT DISTRICT LAHORE CANTT </t>
  </si>
  <si>
    <t>57132/00346/12/2021</t>
  </si>
  <si>
    <t>L13Z17439554</t>
  </si>
  <si>
    <t>NFBGM1543GR179428</t>
  </si>
  <si>
    <t>LEA-16-8434</t>
  </si>
  <si>
    <t>HONDA CITY M/T</t>
  </si>
  <si>
    <t>OLULHR300082846</t>
  </si>
  <si>
    <t>DIB0033011</t>
  </si>
  <si>
    <t>KHI/HO/D/MO/PC COMP/C/103702/78/12/2024</t>
  </si>
  <si>
    <t>KHI/HO/D/MO/PC COMP/E/52165/00078/02/2025</t>
  </si>
  <si>
    <t>9976AP2220040089</t>
  </si>
  <si>
    <t>FAREEHA SAMAN</t>
  </si>
  <si>
    <t>33100-9604378-6</t>
  </si>
  <si>
    <t>03051734194</t>
  </si>
  <si>
    <t>03051734194, 03051734194</t>
  </si>
  <si>
    <t>0418719132</t>
  </si>
  <si>
    <t xml:space="preserve">NP-84, ST#06 JOHAR COLONY NEW GREEN TOWN MILLAT ROAD FSD FAISALABAD PK </t>
  </si>
  <si>
    <t>57132/00351/12/2021</t>
  </si>
  <si>
    <t>10B179706</t>
  </si>
  <si>
    <t>PK10079700</t>
  </si>
  <si>
    <t>LE-19-7833</t>
  </si>
  <si>
    <t>OLUFSD300082858</t>
  </si>
  <si>
    <t>DIB0033013</t>
  </si>
  <si>
    <t>KHI/HO/D/MO/PC COMP/C/103702/79/12/2024</t>
  </si>
  <si>
    <t>KHI/HO/D/MO/PC COMP/E/52165/00079/02/2025</t>
  </si>
  <si>
    <t>9976AP2213650061</t>
  </si>
  <si>
    <t>GHULAM MUSTAFA KHAN</t>
  </si>
  <si>
    <t>42101-3872353-5</t>
  </si>
  <si>
    <t>03333564446</t>
  </si>
  <si>
    <t xml:space="preserve">R- 13 2ND FLOOR BLOCK 8 YASEENABAD FB AREA THE COMFORT HOME KARACHI PK </t>
  </si>
  <si>
    <t>57132/00315/12/2021</t>
  </si>
  <si>
    <t>13032552</t>
  </si>
  <si>
    <t>10032546</t>
  </si>
  <si>
    <t>BGS-641</t>
  </si>
  <si>
    <t>SUZUKI SWIFT DLX ABS WITH EBD A/T</t>
  </si>
  <si>
    <t>OLUKHI300082750</t>
  </si>
  <si>
    <t>6029/12/2021</t>
  </si>
  <si>
    <t>KHI/HO/D/MO/PC COMP/C/103702/80/12/2024</t>
  </si>
  <si>
    <t>KHI/HO/D/MO/PC COMP/E/52165/00080/02/2025</t>
  </si>
  <si>
    <t>997AAD1202720026</t>
  </si>
  <si>
    <t>MAHELAQA KHAN</t>
  </si>
  <si>
    <t>35202-0397182-0</t>
  </si>
  <si>
    <t xml:space="preserve">87-K MODEL TOWN   LAHORE </t>
  </si>
  <si>
    <t>53545/00021/01/2021</t>
  </si>
  <si>
    <t>NNAQL51AZKP507990</t>
  </si>
  <si>
    <t>KIA SPORTAGE AWD</t>
  </si>
  <si>
    <t>21-JAN-2021</t>
  </si>
  <si>
    <t>POALHR300057678</t>
  </si>
  <si>
    <t>KHI/HO/D/MO/PC COMP/C/106590/118/01/2025</t>
  </si>
  <si>
    <t>997AAD1202370002</t>
  </si>
  <si>
    <t>MUHAMMAD MAROOF</t>
  </si>
  <si>
    <t>35202-4893602-3</t>
  </si>
  <si>
    <t>03028451964 / 03218451964</t>
  </si>
  <si>
    <t xml:space="preserve">KHIZER LOGISTIC TRANSOPORT CO PLOT NO 107 MADINA COLONY CHOWK RAVI LINK ROAD LAHORE  </t>
  </si>
  <si>
    <t>53545/00022/01/2021</t>
  </si>
  <si>
    <t>G4NALH337000</t>
  </si>
  <si>
    <t>NNAQL51AZKP507433</t>
  </si>
  <si>
    <t>POALHR300056683</t>
  </si>
  <si>
    <t>KHI/HO/D/MO/PC COMP/C/106590/119/01/2025</t>
  </si>
  <si>
    <t>9976AP2220040092</t>
  </si>
  <si>
    <t>HAMMAD RAZA</t>
  </si>
  <si>
    <t>33100-2337268-5</t>
  </si>
  <si>
    <t>03214984000</t>
  </si>
  <si>
    <t>03214984000, 03214984000</t>
  </si>
  <si>
    <t xml:space="preserve">H # 212 , BLOCK-C , NEAR FAIZ MEDIC AL HALL , GULBERG COLONY FAISALABAD PK </t>
  </si>
  <si>
    <t>57132/00361/12/2021</t>
  </si>
  <si>
    <t>155643</t>
  </si>
  <si>
    <t>10055629</t>
  </si>
  <si>
    <t>AJB-808</t>
  </si>
  <si>
    <t>OLUFSD300082884</t>
  </si>
  <si>
    <t>DIB0033021</t>
  </si>
  <si>
    <t>KHI/HO/D/MO/PC COMP/C/103702/81/12/2024</t>
  </si>
  <si>
    <t>KHI/HO/D/MO/PC COMP/E/52165/00081/02/2025</t>
  </si>
  <si>
    <t>9976AP1213650148</t>
  </si>
  <si>
    <t>FARZANA SARWAR</t>
  </si>
  <si>
    <t>42201-0866692-8</t>
  </si>
  <si>
    <t>03122425074</t>
  </si>
  <si>
    <t>03323177843</t>
  </si>
  <si>
    <t>34020055 03022182410</t>
  </si>
  <si>
    <t xml:space="preserve">FLAT D-203 ERUM HIGHTS AND SHOPPING MALL BLOCK 13 GULISTAN-E-JOHAR KARACHI </t>
  </si>
  <si>
    <t>57132/00354/12/2021</t>
  </si>
  <si>
    <t>13033449</t>
  </si>
  <si>
    <t>10033445</t>
  </si>
  <si>
    <t>BHB-472</t>
  </si>
  <si>
    <t>SUZIKI SWIFT DLX ABS WITH EBD A/T</t>
  </si>
  <si>
    <t>OLUKHI300082778</t>
  </si>
  <si>
    <t>DIB00330014</t>
  </si>
  <si>
    <t>KHI/HO/D/MO/PC COMP/C/103702/83/12/2024</t>
  </si>
  <si>
    <t>KHI/HO/D/MO/PC COMP/E/52165/00083/02/2025</t>
  </si>
  <si>
    <t>9976AD1221740015</t>
  </si>
  <si>
    <t>WALEED SAJID</t>
  </si>
  <si>
    <t>35201-6961550-5</t>
  </si>
  <si>
    <t>03219696902</t>
  </si>
  <si>
    <t xml:space="preserve">H NO 2-A ST NO 5 AL HARAM SCHOOL HO SPITAL ROAD FATEH GARH HARBANSPURA LAHORE PK </t>
  </si>
  <si>
    <t>66406/00019/01/2023</t>
  </si>
  <si>
    <t>6R265415</t>
  </si>
  <si>
    <t>1165404</t>
  </si>
  <si>
    <t>SUZUKI ALTO VX EURO II</t>
  </si>
  <si>
    <t>OLALHR300088249</t>
  </si>
  <si>
    <t>9757/01/2023/ITFM</t>
  </si>
  <si>
    <t>KHI/HO/D/MO/PC COMP/C/106590/122/01/2025</t>
  </si>
  <si>
    <t>9976AP1213650104</t>
  </si>
  <si>
    <t>SYED MUHAMMAD SAMI</t>
  </si>
  <si>
    <t>42101-5499664-7</t>
  </si>
  <si>
    <t>03312336449</t>
  </si>
  <si>
    <t xml:space="preserve">HOUSE # F-53 RIZVIA SOCIETY NAZIMAB AD KARACHI PK </t>
  </si>
  <si>
    <t>57132/00306/12/2021</t>
  </si>
  <si>
    <t>136739</t>
  </si>
  <si>
    <t>10036707</t>
  </si>
  <si>
    <t>BKC-027</t>
  </si>
  <si>
    <t>OLUKHI300082646</t>
  </si>
  <si>
    <t>6015/12/2021</t>
  </si>
  <si>
    <t>KHI/HO/D/MO/PC COMP/C/103702/84/12/2024</t>
  </si>
  <si>
    <t>KHI/HO/D/MO/PC COMP/E/52165/00084/02/2025</t>
  </si>
  <si>
    <t>9976AP1240090001</t>
  </si>
  <si>
    <t>MUHAMMAD SAAD</t>
  </si>
  <si>
    <t>42301-0444829-7</t>
  </si>
  <si>
    <t>03042357337</t>
  </si>
  <si>
    <t xml:space="preserve">PLOT-A-5/5,1ST FLOOR STREET NO 15 DELHI COLONY NEAR FAZAL-E-KARIM MASJID KHI </t>
  </si>
  <si>
    <t>81032/00004/01/2024</t>
  </si>
  <si>
    <t>007203</t>
  </si>
  <si>
    <t>705749</t>
  </si>
  <si>
    <t>BTX-622</t>
  </si>
  <si>
    <t>OLUKHI300098978</t>
  </si>
  <si>
    <t>10709/01/2024/ITFM</t>
  </si>
  <si>
    <t>KHI/HO/D/MO/PC COMP/C/106590/2/01/2025</t>
  </si>
  <si>
    <t>9976AP1213650128</t>
  </si>
  <si>
    <t>MUHAMMAD FAIZAN</t>
  </si>
  <si>
    <t>42101-0255137-3</t>
  </si>
  <si>
    <t>03363407357</t>
  </si>
  <si>
    <t xml:space="preserve">HNO:4C1 FLAT NO:217 NAZIMABAD 4 KARACHI </t>
  </si>
  <si>
    <t>57132/00323/12/2021</t>
  </si>
  <si>
    <t>6R101963</t>
  </si>
  <si>
    <t>306H1001948</t>
  </si>
  <si>
    <t>BSE-591</t>
  </si>
  <si>
    <t>OLUKHI30082781</t>
  </si>
  <si>
    <t>DIB0033008</t>
  </si>
  <si>
    <t>KHI/HO/D/MO/PC COMP/C/103702/87/12/2024</t>
  </si>
  <si>
    <t>KHI/HO/D/MO/PC COMP/E/52165/00087/02/2025</t>
  </si>
  <si>
    <t>9976AP2210040005</t>
  </si>
  <si>
    <t>TARIQ HASSAN</t>
  </si>
  <si>
    <t>15202-7101128-3</t>
  </si>
  <si>
    <t xml:space="preserve">H # 205-A ST # 74 SECTOR # F-11/1  ISLAMABAD PK </t>
  </si>
  <si>
    <t>53326/00123/12/2020</t>
  </si>
  <si>
    <t>Q069949</t>
  </si>
  <si>
    <t>COROLLA ALTIS A/T</t>
  </si>
  <si>
    <t>OLDISD300064504</t>
  </si>
  <si>
    <t>3925/12/2020/ITFM</t>
  </si>
  <si>
    <t>KHI/HO/D/MO/PC COMP/C/103702/89/12/2024</t>
  </si>
  <si>
    <t>KHI/HO/D/MO/PC COMP/E/52165/00089/02/2025</t>
  </si>
  <si>
    <t>9976AD1212650008</t>
  </si>
  <si>
    <t>INTZAR ALI</t>
  </si>
  <si>
    <t>35201-9558209-7</t>
  </si>
  <si>
    <t>03008452663</t>
  </si>
  <si>
    <t xml:space="preserve">KK POWER INTERNATIONAL PRIVATE LIMITED 241 FF BLOCK CCA DHA PHASE 4 LAHORE 03008452663 </t>
  </si>
  <si>
    <t>57872/00033/01/2022</t>
  </si>
  <si>
    <t>520014</t>
  </si>
  <si>
    <t>1003927</t>
  </si>
  <si>
    <t>CHANGAN ALSVIN 1.5L</t>
  </si>
  <si>
    <t>OLALHR300073774</t>
  </si>
  <si>
    <t>DIB0033093</t>
  </si>
  <si>
    <t>KHI/HO/D/MO/PC COMP/C/106590/126/01/2025</t>
  </si>
  <si>
    <t>9976AP1213650120</t>
  </si>
  <si>
    <t>FAREEDA WASI KHAN</t>
  </si>
  <si>
    <t>42000-4551324-8</t>
  </si>
  <si>
    <t>03362602522</t>
  </si>
  <si>
    <t>03362602522, 03362602522</t>
  </si>
  <si>
    <t xml:space="preserve">HOUSE # IH 326 B EXT. PAF FALCON CO MPLEX NEW MALIR OPPOSITE MALIR CANT KARACHI PK </t>
  </si>
  <si>
    <t>57132/00303/12/2021</t>
  </si>
  <si>
    <t>6R156485</t>
  </si>
  <si>
    <t>1056488</t>
  </si>
  <si>
    <t>BTD-665</t>
  </si>
  <si>
    <t>OLUKHI300082732</t>
  </si>
  <si>
    <t>6025/12/2021</t>
  </si>
  <si>
    <t>KHI/HO/D/MO/PC COMP/C/103702/90/12/2024</t>
  </si>
  <si>
    <t>KHI/HO/D/MO/PC COMP/E/52165/00090/02/2025</t>
  </si>
  <si>
    <t>9976AP1213650132</t>
  </si>
  <si>
    <t>MUHAMMAD SHAHZAD KHAN</t>
  </si>
  <si>
    <t>42201-8155519-3</t>
  </si>
  <si>
    <t>03002191461</t>
  </si>
  <si>
    <t xml:space="preserve">HOUSE NO.A-407 BLOCK 5 GULSHAN-E-IQBAL NEAR SIR SYED UNIVERSITY KARACHI </t>
  </si>
  <si>
    <t>57132/00329/12/2021</t>
  </si>
  <si>
    <t>13029173</t>
  </si>
  <si>
    <t>10029170</t>
  </si>
  <si>
    <t>BEG-507</t>
  </si>
  <si>
    <t>SUZUKI SWIFT DLX 1.3</t>
  </si>
  <si>
    <t>OLUKHI300082773</t>
  </si>
  <si>
    <t>DIB0033004</t>
  </si>
  <si>
    <t>KHI/HO/D/MO/PC COMP/C/103702/91/12/2024</t>
  </si>
  <si>
    <t>KHI/HO/D/MO/PC COMP/E/52165/00091/02/2025</t>
  </si>
  <si>
    <t>9976AP2203660066</t>
  </si>
  <si>
    <t>SYED ABID ALI</t>
  </si>
  <si>
    <t>42201-0497263-5</t>
  </si>
  <si>
    <t>32780044</t>
  </si>
  <si>
    <t>03112309923</t>
  </si>
  <si>
    <t>NA</t>
  </si>
  <si>
    <t xml:space="preserve">H NO 4/6 BLOCK E JACOBA LINE HOUSING COMPLEX NR JAMIA MASJID THANVI KARACHI </t>
  </si>
  <si>
    <t>53326/00140/01/2021</t>
  </si>
  <si>
    <t>1KR-1621560</t>
  </si>
  <si>
    <t>KSP130-2171144</t>
  </si>
  <si>
    <t>OLUKHI300064837</t>
  </si>
  <si>
    <t>3977/12/2020/ITFM</t>
  </si>
  <si>
    <t>KHI/HO/D/MO/PC COMP/C/103702/92/12/2024</t>
  </si>
  <si>
    <t>KHI/HO/D/MO/PC COMP/E/52165/00092/02/2025</t>
  </si>
  <si>
    <t>9976AD2212570005</t>
  </si>
  <si>
    <t>MUHAMMAD MOAZZAM RANA</t>
  </si>
  <si>
    <t>35202-2531254-9</t>
  </si>
  <si>
    <t>5150195</t>
  </si>
  <si>
    <t>03213218282</t>
  </si>
  <si>
    <t>5112134</t>
  </si>
  <si>
    <t xml:space="preserve">HOUSE NO 215 BLOCK NO 3 SECTOR A2 TOWNSHIP 042-5112134 0321-3218282 LAHORE </t>
  </si>
  <si>
    <t>57872/00034/01/2022</t>
  </si>
  <si>
    <t>6R198580</t>
  </si>
  <si>
    <t>1098583</t>
  </si>
  <si>
    <t>OLALHR300073396</t>
  </si>
  <si>
    <t>DIB0033094</t>
  </si>
  <si>
    <t>KHI/HO/D/MO/PC COMP/C/106590/129/01/2025</t>
  </si>
  <si>
    <t>9976AD2211510005</t>
  </si>
  <si>
    <t>TARIQ MAHMOOD</t>
  </si>
  <si>
    <t>OKARA</t>
  </si>
  <si>
    <t>35302-7954461-9</t>
  </si>
  <si>
    <t>03008086907</t>
  </si>
  <si>
    <t xml:space="preserve">H NO 167 ST NO 04 MOHALLAH FAIZ ABA D OKARA PK </t>
  </si>
  <si>
    <t>57872/00038/01/2022</t>
  </si>
  <si>
    <t>506949</t>
  </si>
  <si>
    <t>1011586</t>
  </si>
  <si>
    <t>KARVAAN PLUS</t>
  </si>
  <si>
    <t>OLAOKR300068932</t>
  </si>
  <si>
    <t>108721/01/2022</t>
  </si>
  <si>
    <t>KHI/HO/D/MO/PC COMP/C/106590/131/01/2025</t>
  </si>
  <si>
    <t>9976AP2203660050</t>
  </si>
  <si>
    <t>MUHAMMAD KHALIQ</t>
  </si>
  <si>
    <t>61101-9520014-3</t>
  </si>
  <si>
    <t>03325048845</t>
  </si>
  <si>
    <t>0519334617</t>
  </si>
  <si>
    <t xml:space="preserve">H # 494-A ST # 54 NEAR QAZIA MARKET SECTOR # G-7/3-4 NEAR IQBAL HALL ISLAMABAD PK </t>
  </si>
  <si>
    <t>53326/00134/12/2020</t>
  </si>
  <si>
    <t>2741366</t>
  </si>
  <si>
    <t>111615</t>
  </si>
  <si>
    <t>AX-763</t>
  </si>
  <si>
    <t>CIVIC VTI ORIEL M/T</t>
  </si>
  <si>
    <t>2014</t>
  </si>
  <si>
    <t>OLUISD300064733</t>
  </si>
  <si>
    <t>DIB0029281</t>
  </si>
  <si>
    <t>KHI/HO/D/MO/PC COMP/C/103702/96/12/2024</t>
  </si>
  <si>
    <t>KHI/HO/D/MO/PC COMP/E/52165/00096/02/2025</t>
  </si>
  <si>
    <t>9976AD1212120125</t>
  </si>
  <si>
    <t>QUDRAT NAWAZ</t>
  </si>
  <si>
    <t>45302-3005405-7</t>
  </si>
  <si>
    <t>03003246972</t>
  </si>
  <si>
    <t xml:space="preserve">HOUSE D-106 1ST FLOOR SACHALABAD Q ASIMABAD CLITOZEN COLONY NEAR ATAA HYDERABAD PK </t>
  </si>
  <si>
    <t>57872/0030/01/2022</t>
  </si>
  <si>
    <t>198729</t>
  </si>
  <si>
    <t>1098741</t>
  </si>
  <si>
    <t>ALTO VXR EURO-II</t>
  </si>
  <si>
    <t>OLAHYD300071541</t>
  </si>
  <si>
    <t>6078/01/2022</t>
  </si>
  <si>
    <t>KHI/HO/D/MO/PC COMP/C/106590/133/01/2025</t>
  </si>
  <si>
    <t>9976AP1220040168</t>
  </si>
  <si>
    <t>ASAD RAZA</t>
  </si>
  <si>
    <t>37405-6371415-7</t>
  </si>
  <si>
    <t>03115529589</t>
  </si>
  <si>
    <t xml:space="preserve">H. NO.1 ST NO.13 SEC B DHA PH 1 RWP </t>
  </si>
  <si>
    <t>57132/00370/12/2021</t>
  </si>
  <si>
    <t>6R161302</t>
  </si>
  <si>
    <t>NF1AET306H1061274</t>
  </si>
  <si>
    <t>ATU-698</t>
  </si>
  <si>
    <t>SUZUKI ALTO VX</t>
  </si>
  <si>
    <t>OLUISD300082890</t>
  </si>
  <si>
    <t>6058/12/2021</t>
  </si>
  <si>
    <t>KHI/HO/D/MO/PC COMP/C/103702/113/12/2024</t>
  </si>
  <si>
    <t>KHI/HO/D/MO/PC COMP/E/52165/00113/02/2025</t>
  </si>
  <si>
    <t>9976AP1213650143</t>
  </si>
  <si>
    <t>MUHAMMAD SHAKIR</t>
  </si>
  <si>
    <t>42201-8312004-1</t>
  </si>
  <si>
    <t>03452346258</t>
  </si>
  <si>
    <t xml:space="preserve">PLOT # 60 SHOP 35-G KARACHI </t>
  </si>
  <si>
    <t>57132/00358/12/2021</t>
  </si>
  <si>
    <t>PKF626292</t>
  </si>
  <si>
    <t>PK533121</t>
  </si>
  <si>
    <t>BGE-581</t>
  </si>
  <si>
    <t>SUZUKI CULTUS VXR</t>
  </si>
  <si>
    <t>OLUKHI300082859</t>
  </si>
  <si>
    <t>6057/12/2021</t>
  </si>
  <si>
    <t>KHI/HO/D/MO/PC COMP/C/103702/117/12/2024</t>
  </si>
  <si>
    <t>KHI/HO/D/MO/PC COMP/E/52165/00117/02/2025</t>
  </si>
  <si>
    <t>9976AP1220040176</t>
  </si>
  <si>
    <t>MUHAMMAD AKBAR</t>
  </si>
  <si>
    <t>35201-9891775-9</t>
  </si>
  <si>
    <t>03014848460</t>
  </si>
  <si>
    <t xml:space="preserve">OFF NO 143-A BEGUMPURA LAHORE </t>
  </si>
  <si>
    <t>57132/00364/12/2021</t>
  </si>
  <si>
    <t>193535</t>
  </si>
  <si>
    <t>10093528</t>
  </si>
  <si>
    <t>LEE-19-5453</t>
  </si>
  <si>
    <t>OLULHR300082885</t>
  </si>
  <si>
    <t>DIB0033025</t>
  </si>
  <si>
    <t>KHI/HO/D/MO/PC COMP/C/103702/119/12/2024</t>
  </si>
  <si>
    <t>KHI/HO/D/MO/PC COMP/E/52165/00119/02/2025</t>
  </si>
  <si>
    <t>9976AP1233640017</t>
  </si>
  <si>
    <t>GHULAM</t>
  </si>
  <si>
    <t>42101-6210630-3</t>
  </si>
  <si>
    <t>03222259497</t>
  </si>
  <si>
    <t>03222259497, 03222259497</t>
  </si>
  <si>
    <t>02136644831</t>
  </si>
  <si>
    <t xml:space="preserve">PLOT # SC-15, 1ST FLOOR, NORTH NAZI MABAD BLOCK H NEAR FIVE STAR CHOWRA NGI KARACHI </t>
  </si>
  <si>
    <t>78992/00063/12/2023</t>
  </si>
  <si>
    <t>291455</t>
  </si>
  <si>
    <t>1191557</t>
  </si>
  <si>
    <t>2023</t>
  </si>
  <si>
    <t>03-JAN-2024</t>
  </si>
  <si>
    <t>OLDKHI300098943</t>
  </si>
  <si>
    <t>10694/12/2023/ITFM</t>
  </si>
  <si>
    <t>KHI/HO/D/MO/PC COMP/C/103702/123/12/2024</t>
  </si>
  <si>
    <t>9976AD2211200003</t>
  </si>
  <si>
    <t>MASOOD ANWAR</t>
  </si>
  <si>
    <t>42501-1192417-5</t>
  </si>
  <si>
    <t>02135393134</t>
  </si>
  <si>
    <t>03368185973</t>
  </si>
  <si>
    <t>02135841965</t>
  </si>
  <si>
    <t xml:space="preserve">SAS ENTERPRISES PLOT # 5C 10TH STRE ET KHAYABAN-E-SAHAR PHASE 06 DHA NE AR PHASE 6 PUMPING STAION KARACHI </t>
  </si>
  <si>
    <t>57872/00037/01/2022</t>
  </si>
  <si>
    <t>D529135</t>
  </si>
  <si>
    <t>M1005570</t>
  </si>
  <si>
    <t>OLAKHI300068418</t>
  </si>
  <si>
    <t>DIB0033063</t>
  </si>
  <si>
    <t>KHI/HO/D/MO/PC COMP/C/106590/137/01/2025</t>
  </si>
  <si>
    <t>9976AP1233640016</t>
  </si>
  <si>
    <t>MUHAMMAD AFTAB AHMED KHAN</t>
  </si>
  <si>
    <t>42401-6196436-3</t>
  </si>
  <si>
    <t>03332149639</t>
  </si>
  <si>
    <t xml:space="preserve">HNO KS-521 SECTOR 16/C/2 GULSHAN E BIHAR ORANGI TOWN KHI KARACHI PK </t>
  </si>
  <si>
    <t>78992/00062/12/2023</t>
  </si>
  <si>
    <t>17516665</t>
  </si>
  <si>
    <t>NFBGM1640JR231572</t>
  </si>
  <si>
    <t>BNQ-897</t>
  </si>
  <si>
    <t>HOMDA CIVIC I-VTEC</t>
  </si>
  <si>
    <t>OLUKHI300098947</t>
  </si>
  <si>
    <t>10693/12/2023/ITFM</t>
  </si>
  <si>
    <t>KHI/HO/D/MO/PC COMP/C/103702/125/12/2024</t>
  </si>
  <si>
    <t>9976AP1233640015</t>
  </si>
  <si>
    <t>SAAD ISMAIL SHAIKH</t>
  </si>
  <si>
    <t>42101-8003132-5</t>
  </si>
  <si>
    <t>03333004529</t>
  </si>
  <si>
    <t xml:space="preserve">HOUSE # A-445, NORTH NAZIMABAD, BLOCK-J, NEAR RAINBVOW BAKERY, 0333-3004529 </t>
  </si>
  <si>
    <t>78992/00061/12/2023</t>
  </si>
  <si>
    <t>12916729</t>
  </si>
  <si>
    <t>R0200099</t>
  </si>
  <si>
    <t>BJV-185</t>
  </si>
  <si>
    <t>HONDA CIVIC 1.8</t>
  </si>
  <si>
    <t>OLUKHI300098948</t>
  </si>
  <si>
    <t>10683/12/2023/ITFM</t>
  </si>
  <si>
    <t>KHI/HO/D/MO/PC COMP/C/103702/126/12/2024</t>
  </si>
  <si>
    <t>9976AP2233640011</t>
  </si>
  <si>
    <t>MUHAMMAD HAMMAD SHAHID</t>
  </si>
  <si>
    <t>41304-6583708-9</t>
  </si>
  <si>
    <t>03223114350</t>
  </si>
  <si>
    <t>03223114350, 03133114350</t>
  </si>
  <si>
    <t xml:space="preserve">HOUSE # 305 BLOCK E UNIT # 9 LATIFA BAD AIR PORT ROAD OPP NADRA OFFICE HYDERABAD PK </t>
  </si>
  <si>
    <t>78992/00066/12/2023</t>
  </si>
  <si>
    <t>2A25882</t>
  </si>
  <si>
    <t>7015461</t>
  </si>
  <si>
    <t>TOYOTA YARIS GLI</t>
  </si>
  <si>
    <t>OLUHYD300098949</t>
  </si>
  <si>
    <t>10697/12/2023/ITFM</t>
  </si>
  <si>
    <t>KHI/HO/D/MO/PC COMP/C/103702/127/12/2024</t>
  </si>
  <si>
    <t>9976AP2233640010</t>
  </si>
  <si>
    <t>MUHAMMAD TALHA SHAIKH</t>
  </si>
  <si>
    <t>41303-0157616-3</t>
  </si>
  <si>
    <t>03073167644</t>
  </si>
  <si>
    <t>03073167644, 03102703788</t>
  </si>
  <si>
    <t xml:space="preserve">HOUSE # D-44 - 2214 MOHALLA RESHAM STREET NEAR AL FAROOQ SCHOOL NEAR N HYDERABAD PK </t>
  </si>
  <si>
    <t>12934063</t>
  </si>
  <si>
    <t>037487</t>
  </si>
  <si>
    <t>OLUHYD300098951</t>
  </si>
  <si>
    <t>10696/12/2023/ITFM</t>
  </si>
  <si>
    <t>KHI/HO/D/MO/PC COMP/C/103702/128/12/2024</t>
  </si>
  <si>
    <t>9976AP1233640012</t>
  </si>
  <si>
    <t>ASSADULLAH</t>
  </si>
  <si>
    <t>42301-1794981-7</t>
  </si>
  <si>
    <t>03412427708</t>
  </si>
  <si>
    <t>03412927708</t>
  </si>
  <si>
    <t xml:space="preserve">BUILDING 17-C 1ST FLOOR OFFICE NO 0 2 STADIUM LANE 2 DHA PHASE V KHADA MARKET KHI KARACHI </t>
  </si>
  <si>
    <t>78992/00059/12/2023</t>
  </si>
  <si>
    <t>53893</t>
  </si>
  <si>
    <t>53054</t>
  </si>
  <si>
    <t>BVT-101</t>
  </si>
  <si>
    <t>TOYOTA COROLLA ALTIS GRANDE</t>
  </si>
  <si>
    <t>OLUKHI300098942</t>
  </si>
  <si>
    <t>10691/12/2023/ITFM</t>
  </si>
  <si>
    <t>KHI/HO/D/MO/PC COMP/C/103702/129/12/2024</t>
  </si>
  <si>
    <t>9976AP1240110002</t>
  </si>
  <si>
    <t>TAIMOOR AHMED PEER ZADA</t>
  </si>
  <si>
    <t>42501-1317950-1</t>
  </si>
  <si>
    <t>03182073400</t>
  </si>
  <si>
    <t>03182073400, 03182073400</t>
  </si>
  <si>
    <t xml:space="preserve">HOUSE # R-35 AL SYED CENTER MAIN QU AIDABAD MAIN NATIONAL HIGHWAY NEAR KARACHI PK </t>
  </si>
  <si>
    <t>81032/00007/01/2024</t>
  </si>
  <si>
    <t>1015887</t>
  </si>
  <si>
    <t>00115918</t>
  </si>
  <si>
    <t>BYZ-460</t>
  </si>
  <si>
    <t>SUZUKI SWIFT GLX</t>
  </si>
  <si>
    <t>OLUKHI300098998</t>
  </si>
  <si>
    <t>10716/01/2024/ITFM</t>
  </si>
  <si>
    <t>KHI/HO/D/MO/PC COMP/C/106590/145/01/2025</t>
  </si>
  <si>
    <t>9976AP1233640010</t>
  </si>
  <si>
    <t>MUHAMMAD RIZWAN</t>
  </si>
  <si>
    <t>42201-0392517-7</t>
  </si>
  <si>
    <t xml:space="preserve">HOUSE NO 523 SECTOR 33D GAREEB NAWAZ ROAD KORANGI 2 1/2 NEAR NOOR MASJID KARACHI </t>
  </si>
  <si>
    <t>78992/00056/12/2023</t>
  </si>
  <si>
    <t>14809359</t>
  </si>
  <si>
    <t>R-026037</t>
  </si>
  <si>
    <t>BK-4817</t>
  </si>
  <si>
    <t>HONDA BR-V IVTEC</t>
  </si>
  <si>
    <t>OLUKHI300098940</t>
  </si>
  <si>
    <t>10686/12/2023/ITFM</t>
  </si>
  <si>
    <t>KHI/HO/D/MO/PC COMP/C/103702/130/12/2024</t>
  </si>
  <si>
    <t>9976AP2240100002</t>
  </si>
  <si>
    <t>MUHAMMAD MUSTAFA AHMAD</t>
  </si>
  <si>
    <t>33301-8053620-3</t>
  </si>
  <si>
    <t>03030662437</t>
  </si>
  <si>
    <t>03030662437, 03030662437</t>
  </si>
  <si>
    <t xml:space="preserve">P-94 J BLOCK SATYANA ROAD TECH TOWN FSD NEAR PANI WALI TANKI FAISALABAD PK </t>
  </si>
  <si>
    <t>81032/00005/01/2024</t>
  </si>
  <si>
    <t>2A01748</t>
  </si>
  <si>
    <t>7000435</t>
  </si>
  <si>
    <t>AER-274</t>
  </si>
  <si>
    <t>OLUISD300099001</t>
  </si>
  <si>
    <t>10713/01/2024/ITFM</t>
  </si>
  <si>
    <t>KHI/HO/D/MO/PC COMP/C/106590/147/01/2025</t>
  </si>
  <si>
    <t>9976AP2233640007</t>
  </si>
  <si>
    <t>IRFAN KHALIL</t>
  </si>
  <si>
    <t>42101-6321368-3</t>
  </si>
  <si>
    <t>02134161232</t>
  </si>
  <si>
    <t>03002366317</t>
  </si>
  <si>
    <t>02135121220</t>
  </si>
  <si>
    <t xml:space="preserve">PLOT NO 5/2 SECTER 15 KORANGI INDUS TRIAL AREA BABAR CNG PUMP KARACHI </t>
  </si>
  <si>
    <t>78992/00058/12/2023</t>
  </si>
  <si>
    <t>51020313</t>
  </si>
  <si>
    <t>R035183</t>
  </si>
  <si>
    <t>HONDA CIVIC I-VTEC</t>
  </si>
  <si>
    <t>OLDKHI300098939</t>
  </si>
  <si>
    <t>10688/12/2023/ITFM</t>
  </si>
  <si>
    <t>KHI/HO/D/MO/PC COMP/C/103702/132/12/2024</t>
  </si>
  <si>
    <t>9976AP1233640008</t>
  </si>
  <si>
    <t>MUHAMMAD ADIL KHAN</t>
  </si>
  <si>
    <t>42501-1566836-3</t>
  </si>
  <si>
    <t>03118408373</t>
  </si>
  <si>
    <t xml:space="preserve">L-32 BLOCK A MILLAT GARDEN SOCIETY MALIR KALABOAT KARACHI KARACHI PK </t>
  </si>
  <si>
    <t>78992/00060/12/2023</t>
  </si>
  <si>
    <t>13513653</t>
  </si>
  <si>
    <t>013655</t>
  </si>
  <si>
    <t>BH-2394</t>
  </si>
  <si>
    <t>HONDA BRV-IVTEC</t>
  </si>
  <si>
    <t>OLUKHI300098938</t>
  </si>
  <si>
    <t>10689/12/2023/ITFM</t>
  </si>
  <si>
    <t>KHI/HO/D/MO/PC COMP/C/103702/134/12/2024</t>
  </si>
  <si>
    <t>9976AP1233640007</t>
  </si>
  <si>
    <t>NIAZ ALI JANWRI</t>
  </si>
  <si>
    <t>45203-4157127-9</t>
  </si>
  <si>
    <t>03013409956</t>
  </si>
  <si>
    <t xml:space="preserve">D- 69 BLOCK D SUPARCO ROAD SACHAL G OTH GULZAR-E- HIJRI PCSIR LABORTORY KARACHI PK </t>
  </si>
  <si>
    <t>78992/00057/12/2023</t>
  </si>
  <si>
    <t>130026</t>
  </si>
  <si>
    <t>10030019</t>
  </si>
  <si>
    <t>BNR-129</t>
  </si>
  <si>
    <t>OLUKHI300098941</t>
  </si>
  <si>
    <t>10687/12/2023/ITFM</t>
  </si>
  <si>
    <t>KHI/HO/D/MO/PC COMP/C/103702/135/12/2024</t>
  </si>
  <si>
    <t>9976AD2220900027</t>
  </si>
  <si>
    <t>GHULAM HASSAN HASHMI</t>
  </si>
  <si>
    <t>37405-7796948-3</t>
  </si>
  <si>
    <t>03330549029</t>
  </si>
  <si>
    <t>0519209032</t>
  </si>
  <si>
    <t xml:space="preserve">H # CB-2354 BAHADUR KHAN STREET ITE FAQ TOWN SAIM ROAD NEAR SEHAM EIDGH RAWALPINDI PK </t>
  </si>
  <si>
    <t>65483/00049/12/2022</t>
  </si>
  <si>
    <t>264826</t>
  </si>
  <si>
    <t>1164857</t>
  </si>
  <si>
    <t>11-Jan-2030</t>
  </si>
  <si>
    <t>OLAISD300086070</t>
  </si>
  <si>
    <t>DIB0034869</t>
  </si>
  <si>
    <t>KHI/HO/D/MO/PC COMP/C/103702/136/12/2024</t>
  </si>
  <si>
    <t>KHI/HO/D/MO/PC COMP/E/52165/00136/02/2025</t>
  </si>
  <si>
    <t>9976AD1221740013</t>
  </si>
  <si>
    <t>SHOAIB AHMED</t>
  </si>
  <si>
    <t>43103-4860208-3</t>
  </si>
  <si>
    <t>03453477902</t>
  </si>
  <si>
    <t>03333255522</t>
  </si>
  <si>
    <t>02134386168</t>
  </si>
  <si>
    <t xml:space="preserve">FLAT NO. B-01 2ND FLOOR ZAHEER MANSION PLOT NO. 199/201 COMMERCIAL AREA PECHS BLOCK-2 KARACHI 0333-3255522 </t>
  </si>
  <si>
    <t>65483/00050/12/2022</t>
  </si>
  <si>
    <t>265204</t>
  </si>
  <si>
    <t>1165228</t>
  </si>
  <si>
    <t>OLAKHI300088205</t>
  </si>
  <si>
    <t>9696/12/2022/ITFM</t>
  </si>
  <si>
    <t>KHI/HO/D/MO/PC COMP/C/103702/137/12/2024</t>
  </si>
  <si>
    <t>KHI/HO/D/MO/PC COMP/E/52165/00137/02/2025</t>
  </si>
  <si>
    <t>9976AD1222700002</t>
  </si>
  <si>
    <t>MOHAMMAD NABEEL ANJUM</t>
  </si>
  <si>
    <t>42101-3338633-7</t>
  </si>
  <si>
    <t>00966566245273</t>
  </si>
  <si>
    <t xml:space="preserve">PO BOX 9 ZIP CODE 31952 ZAMIL HOUSE FLR 10 PRINCE TURKY STR CORNICHE AL KHOBAR EASTERN SAUDI ARABIA </t>
  </si>
  <si>
    <t>65483/00051/12/2022</t>
  </si>
  <si>
    <t>972482</t>
  </si>
  <si>
    <t>0445332</t>
  </si>
  <si>
    <t>TOYOTA FORTUNER A/T</t>
  </si>
  <si>
    <t>OLAKHI300090084</t>
  </si>
  <si>
    <t>9645/12/2022/ITFM</t>
  </si>
  <si>
    <t>KHI/HO/D/MO/PC COMP/C/103702/141/12/2024</t>
  </si>
  <si>
    <t>KHI/HO/D/MO/PC COMP/E/52165/00141/02/2025</t>
  </si>
  <si>
    <t>9976AD2212670018</t>
  </si>
  <si>
    <t>MUHAMMAD SALEEM RAZA</t>
  </si>
  <si>
    <t>35202-7839776-3</t>
  </si>
  <si>
    <t>03014302286</t>
  </si>
  <si>
    <t xml:space="preserve">PLOT NO 222 BLOCK 4-D2 MAIN MADR-E- MILLAT ROAD GREEN TOWN NEAR MARHABA FACTORY LAHORE </t>
  </si>
  <si>
    <t>57871/00012/01/2022</t>
  </si>
  <si>
    <t>227665</t>
  </si>
  <si>
    <t>10127651</t>
  </si>
  <si>
    <t>SUZUKI WAGON VXL</t>
  </si>
  <si>
    <t>OLALHR300073969</t>
  </si>
  <si>
    <t>DIB0033108</t>
  </si>
  <si>
    <t>KHI/HO/D/MO/PC COMP/C/106590/154/01/2025</t>
  </si>
  <si>
    <t>9976AD2212290008</t>
  </si>
  <si>
    <t>35202-4900569-5</t>
  </si>
  <si>
    <t>03324622627</t>
  </si>
  <si>
    <t xml:space="preserve">GROUND FLOOR ARTHOPADIC DEPARTMENT SHEIKH ZAID HOSPITAL LAHORE </t>
  </si>
  <si>
    <t>57872/00040/01/2022</t>
  </si>
  <si>
    <t>6R197834</t>
  </si>
  <si>
    <t>1097856</t>
  </si>
  <si>
    <t>03-FEB-2022</t>
  </si>
  <si>
    <t>OLALHR300072007</t>
  </si>
  <si>
    <t>DIB0033112</t>
  </si>
  <si>
    <t>KHI/HO/D/MO/PC COMP/C/106590/155/01/2025</t>
  </si>
  <si>
    <t>9976AD2221750006</t>
  </si>
  <si>
    <t>SIDRA HABIB</t>
  </si>
  <si>
    <t>Burewala</t>
  </si>
  <si>
    <t>36603-2191008-6</t>
  </si>
  <si>
    <t>03336264201</t>
  </si>
  <si>
    <t>03336264201, 03336264201</t>
  </si>
  <si>
    <t xml:space="preserve">CHAK NO 557 ADDA MACHIWAL BUREWALA FAISALABAD PK </t>
  </si>
  <si>
    <t>65483/00047/12/2022</t>
  </si>
  <si>
    <t>6R266446</t>
  </si>
  <si>
    <t>1166420</t>
  </si>
  <si>
    <t>OLABRW300088301</t>
  </si>
  <si>
    <t>9702/12/2022/ITFM</t>
  </si>
  <si>
    <t>KHI/HO/D/MO/PC COMP/C/103702/144/12/2024</t>
  </si>
  <si>
    <t>KHI/HO/D/MO/PC COMP/E/52165/00144/02/2025</t>
  </si>
  <si>
    <t>9976AP1213650098</t>
  </si>
  <si>
    <t>HARIS MIAN</t>
  </si>
  <si>
    <t>42401-7140298-3</t>
  </si>
  <si>
    <t>03153040908</t>
  </si>
  <si>
    <t xml:space="preserve">HOUSE # L-113 SECTOR 5-A/1 NORTH KA RACHI KARACHI PK </t>
  </si>
  <si>
    <t>57134/00190/12/2021</t>
  </si>
  <si>
    <t>R18212930168</t>
  </si>
  <si>
    <t>NFBFC6665JR033609</t>
  </si>
  <si>
    <t>BML-808</t>
  </si>
  <si>
    <t>HONDA CIVIC 1.8L ORIEL</t>
  </si>
  <si>
    <t>OLUKHI300082581</t>
  </si>
  <si>
    <t>6020/12/2021</t>
  </si>
  <si>
    <t>KHI/HO/D/MO/PC COMP/C/103702/146/12/2024</t>
  </si>
  <si>
    <t>KHI/HO/D/MO/PC COMP/E/52165/00146/02/2025</t>
  </si>
  <si>
    <t>9976AP2213650044</t>
  </si>
  <si>
    <t>TAIMOOR TARIQ</t>
  </si>
  <si>
    <t>37101-9773756-3</t>
  </si>
  <si>
    <t>03004021273</t>
  </si>
  <si>
    <t xml:space="preserve">OFFICE NO 23 SECOND FLOOR MALL OF L AHORE LAHORE </t>
  </si>
  <si>
    <t>57132/0028/12/2021</t>
  </si>
  <si>
    <t>Q040337</t>
  </si>
  <si>
    <t>ZRE171R-6017832</t>
  </si>
  <si>
    <t>BKW-920</t>
  </si>
  <si>
    <t>OLULHR300082668</t>
  </si>
  <si>
    <t>DIB0032966</t>
  </si>
  <si>
    <t>KHI/HO/D/MO/PC COMP/C/103702/148/12/2024</t>
  </si>
  <si>
    <t>KHI/HO/D/MO/PC COMP/E/52165/00148/02/2025</t>
  </si>
  <si>
    <t>9976AP1220040163</t>
  </si>
  <si>
    <t>SYED WAQAS FAHEEM</t>
  </si>
  <si>
    <t>35202-3651566-1</t>
  </si>
  <si>
    <t>03224281032</t>
  </si>
  <si>
    <t xml:space="preserve">34-J3 OPPO EXPO ENTER ABDUL HAQUE ROAD JOHAR TOWN LAHORE </t>
  </si>
  <si>
    <t>57132/00298/12/2021</t>
  </si>
  <si>
    <t>R18Z16926888</t>
  </si>
  <si>
    <t>NFBFC6660MR079472</t>
  </si>
  <si>
    <t>AFH-556</t>
  </si>
  <si>
    <t>OLULHR300082735</t>
  </si>
  <si>
    <t>DIB0032979</t>
  </si>
  <si>
    <t>KHI/HO/D/MO/PC COMP/C/103702/149/12/2024</t>
  </si>
  <si>
    <t>KHI/HO/D/MO/PC COMP/E/52165/00149/02/2025</t>
  </si>
  <si>
    <t>9976AP1213650114</t>
  </si>
  <si>
    <t>MUNIR AHMED KHAN</t>
  </si>
  <si>
    <t>56302-0845281-3</t>
  </si>
  <si>
    <t>03002509192</t>
  </si>
  <si>
    <t xml:space="preserve">PLOT NO 3-C FLAT NO 301 KHAYABN E B ADAR COMMERCIAL PHASE 5 DHA NEAR 26 KARACHI PK </t>
  </si>
  <si>
    <t>57132/00290/12/2021</t>
  </si>
  <si>
    <t>2A03822</t>
  </si>
  <si>
    <t>9501848</t>
  </si>
  <si>
    <t>BTE-169</t>
  </si>
  <si>
    <t>TOYOTA YARIS A/T X CVT 1.5</t>
  </si>
  <si>
    <t>OLKHI300082656</t>
  </si>
  <si>
    <t>6022/12/2021</t>
  </si>
  <si>
    <t>KHI/HO/D/MO/PC COMP/C/103702/151/12/2024</t>
  </si>
  <si>
    <t>KHI/HO/D/MO/PC COMP/E/52165/00151/02/2025</t>
  </si>
  <si>
    <t>9976AP1203660034</t>
  </si>
  <si>
    <t>AMEER HAMZA</t>
  </si>
  <si>
    <t>42301-7782126-7</t>
  </si>
  <si>
    <t>03153334034</t>
  </si>
  <si>
    <t xml:space="preserve">FLAT # 03 3rd FLOOR MADNI MANZIL LI GHT HOUSE NEAR USMAN GHANI MASJID KARACHI PK </t>
  </si>
  <si>
    <t>53326/00111/12/2020</t>
  </si>
  <si>
    <t>R55198</t>
  </si>
  <si>
    <t>6631400</t>
  </si>
  <si>
    <t>TOYOTA AQUA HYBRID S</t>
  </si>
  <si>
    <t>OLUKHI300064554</t>
  </si>
  <si>
    <t>DIB0029256</t>
  </si>
  <si>
    <t>KHI/HO/D/MO/PC COMP/C/103702/152/12/2024</t>
  </si>
  <si>
    <t>KHI/HO/D/MO/PC COMP/E/52165/00152/02/2025</t>
  </si>
  <si>
    <t>9976AP1213650102</t>
  </si>
  <si>
    <t>ASAD MASOOD</t>
  </si>
  <si>
    <t>42000-1494840-3</t>
  </si>
  <si>
    <t>03462147431</t>
  </si>
  <si>
    <t xml:space="preserve">HOUSE 1168 FIRST FLOOR SECTER 9 BLO CK A SAEEDABAD BALDIA TOWN NEAR YAS KARACHI PK </t>
  </si>
  <si>
    <t>57132/00284/12/2021</t>
  </si>
  <si>
    <t>2A15317</t>
  </si>
  <si>
    <t>NSP150R-7009087</t>
  </si>
  <si>
    <t>BSU-106</t>
  </si>
  <si>
    <t>TOYOTA YARIS ATIV CVT 1.3</t>
  </si>
  <si>
    <t>OLUKHI300082654</t>
  </si>
  <si>
    <t>6014/12/2021</t>
  </si>
  <si>
    <t>KHI/HO/D/MO/PC COMP/C/103702/153/12/2024</t>
  </si>
  <si>
    <t>KHI/HO/D/MO/PC COMP/E/52165/00153/02/2025</t>
  </si>
  <si>
    <t>997AAD1203000030</t>
  </si>
  <si>
    <t>NAEEM ABBAS MALIK</t>
  </si>
  <si>
    <t>35202-4634827-3</t>
  </si>
  <si>
    <t>03214507000</t>
  </si>
  <si>
    <t xml:space="preserve">11,12 CIVIC CENTER KAREEM ELAHI PLA ZA JOHAR TOWN LAHORE </t>
  </si>
  <si>
    <t>2524/02243/00082/12/2020</t>
  </si>
  <si>
    <t>9800255</t>
  </si>
  <si>
    <t>266286</t>
  </si>
  <si>
    <t>CITY ASPIRE A/T</t>
  </si>
  <si>
    <t>POALHR300059040</t>
  </si>
  <si>
    <t>DIB0029264</t>
  </si>
  <si>
    <t>KHI/HO/D/MO/PC COMP/C/103702/155/12/2024</t>
  </si>
  <si>
    <t>KHI/HO/D/MO/PC COMP/E/52165/00155/02/2025</t>
  </si>
  <si>
    <t>9976AP1213650096</t>
  </si>
  <si>
    <t>ARBAZ ALI</t>
  </si>
  <si>
    <t>42301-4516282-5</t>
  </si>
  <si>
    <t>03212857784</t>
  </si>
  <si>
    <t>35879281</t>
  </si>
  <si>
    <t xml:space="preserve">FLAT #50 COLUBUS TOWER BUILDING 31 FT 3 MAIN TEEN TALWAR ROAD NEAR PS KARACHI PK </t>
  </si>
  <si>
    <t>57132/00288/12/2021</t>
  </si>
  <si>
    <t>168125</t>
  </si>
  <si>
    <t>10066122</t>
  </si>
  <si>
    <t>BSU-836</t>
  </si>
  <si>
    <t>OLUKHI300082653</t>
  </si>
  <si>
    <t>6018/12/2021</t>
  </si>
  <si>
    <t>KHI/HO/D/MO/PC COMP/C/103702/156/12/2024</t>
  </si>
  <si>
    <t>KHI/HO/D/MO/PC COMP/E/52165/00156/02/2025</t>
  </si>
  <si>
    <t>9976AP2213650054</t>
  </si>
  <si>
    <t>YOUSUF HASAN JAFRI</t>
  </si>
  <si>
    <t>42101-7372872-1</t>
  </si>
  <si>
    <t>03322370731</t>
  </si>
  <si>
    <t>35881750</t>
  </si>
  <si>
    <t xml:space="preserve">A- 16 BLOCK 13-D /1 GULSHAN-E- IQBA L SARWAR STORE MARKET KARACHI PK </t>
  </si>
  <si>
    <t>57132/00278/12/2021</t>
  </si>
  <si>
    <t>9751412</t>
  </si>
  <si>
    <t>165959</t>
  </si>
  <si>
    <t>BDM-802</t>
  </si>
  <si>
    <t>HONDA CITY ASPIRE M/T</t>
  </si>
  <si>
    <t>OLUKHI300082636</t>
  </si>
  <si>
    <t>6006/12/2021</t>
  </si>
  <si>
    <t>KHI/HO/D/MO/PC COMP/C/103702/157/12/2024</t>
  </si>
  <si>
    <t>KHI/HO/D/MO/PC COMP/E/52165/00157/02/2025</t>
  </si>
  <si>
    <t>9976AP1203660031</t>
  </si>
  <si>
    <t>MUJTABA AHMED</t>
  </si>
  <si>
    <t>Rawalpindi</t>
  </si>
  <si>
    <t>37203-0138069-9</t>
  </si>
  <si>
    <t>03324090315</t>
  </si>
  <si>
    <t>0515955135</t>
  </si>
  <si>
    <t xml:space="preserve">OFF # 987 MAIN ROAD SECTOR # 04 AIR PORT HOUSING SOCIETY NEAR SECTOR # 4 GATE RAWALPINDI </t>
  </si>
  <si>
    <t>53326/00113/12/2020</t>
  </si>
  <si>
    <t>Z319318</t>
  </si>
  <si>
    <t>4045574</t>
  </si>
  <si>
    <t>FE-473</t>
  </si>
  <si>
    <t>TOYOTA COROLLA XLI</t>
  </si>
  <si>
    <t>OLURWP300064505</t>
  </si>
  <si>
    <t>3920/12/2020/ITFM</t>
  </si>
  <si>
    <t>KHI/HO/D/MO/PC COMP/C/103702/158/12/2024</t>
  </si>
  <si>
    <t>KHI/HO/D/MO/PC COMP/E/52165/00158/02/2025</t>
  </si>
  <si>
    <t>997AAD2202550002</t>
  </si>
  <si>
    <t>SHEIKH MOIN UD DIN SABRI</t>
  </si>
  <si>
    <t>35202-6508090-5</t>
  </si>
  <si>
    <t>35833755 35838551</t>
  </si>
  <si>
    <t>03004011485</t>
  </si>
  <si>
    <t>04235290339 40</t>
  </si>
  <si>
    <t xml:space="preserve">H 99 H BLOCK MODEL TOWN LAHORE </t>
  </si>
  <si>
    <t>53326/00120/12/2020</t>
  </si>
  <si>
    <t>G3LALP077832</t>
  </si>
  <si>
    <t>NNATA52AXKP500643</t>
  </si>
  <si>
    <t>KIA PICANTO 1.0 L M/T</t>
  </si>
  <si>
    <t>POALHR300057199</t>
  </si>
  <si>
    <t>3923/12/2020/ITFM</t>
  </si>
  <si>
    <t>KHI/HO/D/MO/PC COMP/C/103702/159/12/2024</t>
  </si>
  <si>
    <t>KHI/HO/D/MO/PC COMP/E/52165/00159/02/2025</t>
  </si>
  <si>
    <t>9976AP1213650109</t>
  </si>
  <si>
    <t>SYED MUNIR HUSSAIN SHAH</t>
  </si>
  <si>
    <t>37405-3067115-1</t>
  </si>
  <si>
    <t>0515789610</t>
  </si>
  <si>
    <t xml:space="preserve">H # 325 ST # 21 SECTOR B-1 DHA-1 RAWALPINDI PK </t>
  </si>
  <si>
    <t>57132/00292/12/2021</t>
  </si>
  <si>
    <t>6R177424</t>
  </si>
  <si>
    <t>H1077422</t>
  </si>
  <si>
    <t>OLDRWP300082690</t>
  </si>
  <si>
    <t>DIB0032973</t>
  </si>
  <si>
    <t>KHI/HO/D/MO/PC COMP/C/103702/162/12/2024</t>
  </si>
  <si>
    <t>KHI/HO/D/MO/PC COMP/E/52165/00162/02/2025</t>
  </si>
  <si>
    <t>9976AP2213640038</t>
  </si>
  <si>
    <t>SUNEEL KUMAR</t>
  </si>
  <si>
    <t>45101-2427484-1</t>
  </si>
  <si>
    <t>03342530855</t>
  </si>
  <si>
    <t xml:space="preserve">G-6 GROUMD FLOR ST GELLINGH HOME NE AR CAFE AGAH JAN HOTEL DR DAWOOD PO KARACHI PK </t>
  </si>
  <si>
    <t>57132/00276/12/2021</t>
  </si>
  <si>
    <t>2A11475</t>
  </si>
  <si>
    <t>NSP151R-9504623</t>
  </si>
  <si>
    <t>BSM-205</t>
  </si>
  <si>
    <t>OLUKHI300082643</t>
  </si>
  <si>
    <t>6001/12/2021</t>
  </si>
  <si>
    <t>KHI/HO/D/MO/PC COMP/C/103702/163/12/2024</t>
  </si>
  <si>
    <t>KHI/HO/D/MO/PC COMP/E/52165/00163/02/2025</t>
  </si>
  <si>
    <t>997AAD2203110002</t>
  </si>
  <si>
    <t>MUHAMMAD SHAHID THEBO</t>
  </si>
  <si>
    <t>42101-8576138-5</t>
  </si>
  <si>
    <t xml:space="preserve">PLOT NO  27, 12-D GABOL TOWN NORTH KARACHI INDUSTRIAL AREA KARACHI PAKISTAN </t>
  </si>
  <si>
    <t>53545/00028/01/2021</t>
  </si>
  <si>
    <t>266472</t>
  </si>
  <si>
    <t>CITY I-VTEC P/T</t>
  </si>
  <si>
    <t>POAKHI300060301</t>
  </si>
  <si>
    <t>3981/01/2021/ITFM</t>
  </si>
  <si>
    <t>KHI/HO/D/MO/PC COMP/C/106590/169/01/2025</t>
  </si>
  <si>
    <t>9976AP1220060003</t>
  </si>
  <si>
    <t>HAIDER ALI</t>
  </si>
  <si>
    <t>35202-2794881-1</t>
  </si>
  <si>
    <t>03219405645</t>
  </si>
  <si>
    <t>04235790031</t>
  </si>
  <si>
    <t xml:space="preserve">4TH FLOOR PLAZA NO 100 B-II MM ALAM ROAD GULBERG III LAHORE </t>
  </si>
  <si>
    <t>57132/00279/12/2021</t>
  </si>
  <si>
    <t>PK10B121260</t>
  </si>
  <si>
    <t>A1J310PK10021257</t>
  </si>
  <si>
    <t>LEA-16-A-4217</t>
  </si>
  <si>
    <t>OLULHR300082652</t>
  </si>
  <si>
    <t>DIB0032980</t>
  </si>
  <si>
    <t>KHI/HO/D/MO/PC COMP/C/103702/165/12/2024</t>
  </si>
  <si>
    <t>KHI/HO/D/MO/PC COMP/E/52165/00165/02/2025</t>
  </si>
  <si>
    <t>997AAD1202900024</t>
  </si>
  <si>
    <t>MUHAMMAD SHAMS UR REHMAN</t>
  </si>
  <si>
    <t>35201-3889866-7</t>
  </si>
  <si>
    <t>35729119</t>
  </si>
  <si>
    <t>0300-4294634</t>
  </si>
  <si>
    <t>042-399203159</t>
  </si>
  <si>
    <t xml:space="preserve">H NO 190 BLOCK N STREET 135 PHASE I DHA CANTT LAHORE </t>
  </si>
  <si>
    <t>DIB/T/BT/30188/LHR/1220</t>
  </si>
  <si>
    <t>7542915</t>
  </si>
  <si>
    <t>266521</t>
  </si>
  <si>
    <t>CITY IVTEC M/T</t>
  </si>
  <si>
    <t>POALHR300058701</t>
  </si>
  <si>
    <t>TDIDIB0028891</t>
  </si>
  <si>
    <t>KHI/HO/D/MO/PC COMP/C/103702/169/12/2024</t>
  </si>
  <si>
    <t>KHI/HO/D/MO/PC COMP/E/52165/00169/02/2025</t>
  </si>
  <si>
    <t>9976AP1213650105</t>
  </si>
  <si>
    <t>MUHAMMAD FAAIZ ADEEL</t>
  </si>
  <si>
    <t>42301-8223798-1</t>
  </si>
  <si>
    <t>03042228475</t>
  </si>
  <si>
    <t xml:space="preserve">HOUSE # 5C5/27 AL AQSA ARCADE 3RD F LOOR NAZIMABAD # 5 NEAR MCB BANK KARACHI PK </t>
  </si>
  <si>
    <t>57132/00283/12/2021</t>
  </si>
  <si>
    <t>132257</t>
  </si>
  <si>
    <t>10032257</t>
  </si>
  <si>
    <t>BJV-091</t>
  </si>
  <si>
    <t>SUZUKI WAGONR VXR</t>
  </si>
  <si>
    <t>OLUKHI300082587</t>
  </si>
  <si>
    <t>6013/12/2021</t>
  </si>
  <si>
    <t>KHI/HO/D/MO/PC COMP/C/103702/170/12/2024</t>
  </si>
  <si>
    <t>KHI/HO/D/MO/PC COMP/E/52165/00170/02/2025</t>
  </si>
  <si>
    <t>9976AP1213650117</t>
  </si>
  <si>
    <t>SHAHBAZ AHMED</t>
  </si>
  <si>
    <t>35201-1184611-1</t>
  </si>
  <si>
    <t>03129299909</t>
  </si>
  <si>
    <t xml:space="preserve">SHOP NO 9 LINK NO 08 STREET DOGAR M ARKET MAIN BOULEVARD DHA OPPOSITE A DIL HOSPITAL NEAR CHUGHTAI LAB LAHORE </t>
  </si>
  <si>
    <t>57132/00289/12/2021</t>
  </si>
  <si>
    <t>Z408626</t>
  </si>
  <si>
    <t>R-4066567</t>
  </si>
  <si>
    <t>LEB-16-3492</t>
  </si>
  <si>
    <t>OYOTA COROLLA XLI</t>
  </si>
  <si>
    <t>OLULHR300082651</t>
  </si>
  <si>
    <t>DIB0032970</t>
  </si>
  <si>
    <t>KHI/HO/D/MO/PC COMP/C/103702/171/12/2024</t>
  </si>
  <si>
    <t>KHI/HO/D/MO/PC COMP/E/52165/00171/02/2025</t>
  </si>
  <si>
    <t>997AAD1202740055</t>
  </si>
  <si>
    <t>JAMSHAID ALI</t>
  </si>
  <si>
    <t>Kasur</t>
  </si>
  <si>
    <t>35102-2555285-1</t>
  </si>
  <si>
    <t xml:space="preserve">OFFICE ROSHAN HEIGHTS 28 A MAIN BOLULEVARD MILITRY ACCOUNTS CO OPERATIVE HOUSING SOCIETY COLLEGE ROAD LAHORE </t>
  </si>
  <si>
    <t>53545/00025/01/2021</t>
  </si>
  <si>
    <t>G4NALH339417</t>
  </si>
  <si>
    <t>NNAQL51AZKP508039</t>
  </si>
  <si>
    <t>POAKSR300057994</t>
  </si>
  <si>
    <t>KHI/HO/D/MO/PC COMP/C/106590/177/01/2025</t>
  </si>
  <si>
    <t>997APD1193640011</t>
  </si>
  <si>
    <t>TANZEEL AHMED QURESHI</t>
  </si>
  <si>
    <t>41306-1225132-1</t>
  </si>
  <si>
    <t>03332757955</t>
  </si>
  <si>
    <t>34553082, 0333275795</t>
  </si>
  <si>
    <t xml:space="preserve">H # A-62, OLD MEMON CITY QASIMABAD NEAR CITY SCHOOL AND LONDON TOWN HYDERABAD </t>
  </si>
  <si>
    <t>51531/00054/12/2019</t>
  </si>
  <si>
    <t>125088</t>
  </si>
  <si>
    <t>1025027</t>
  </si>
  <si>
    <t>PODHYD300052232</t>
  </si>
  <si>
    <t>DIB0028081</t>
  </si>
  <si>
    <t>KHI/HO/D/MO/PC COMP/C/103702/173/12/2024</t>
  </si>
  <si>
    <t>KHI/HO/D/MO/PC COMP/E/52165/00173/02/2025</t>
  </si>
  <si>
    <t>9976AP1230130022</t>
  </si>
  <si>
    <t>KARAM ELLAHI BABAR</t>
  </si>
  <si>
    <t>33100-6267673-3</t>
  </si>
  <si>
    <t>03006621146</t>
  </si>
  <si>
    <t>03006621146, 03006621146</t>
  </si>
  <si>
    <t xml:space="preserve">P-401, A BLOCK NAZIM ABAD FSD NEAR BILAL PARK FAISALABAD PK </t>
  </si>
  <si>
    <t>66408/00024/01/2023</t>
  </si>
  <si>
    <t>241308</t>
  </si>
  <si>
    <t>1014087</t>
  </si>
  <si>
    <t>21-JAN-2023</t>
  </si>
  <si>
    <t>OLDFSD300091587</t>
  </si>
  <si>
    <t>9769/01/2023</t>
  </si>
  <si>
    <t>KHI/HO/D/MO/PC COMP/C/106590/180/01/2025</t>
  </si>
  <si>
    <t>997APD2193650007</t>
  </si>
  <si>
    <t>AMMARA ASHI</t>
  </si>
  <si>
    <t>33100-7593662-8</t>
  </si>
  <si>
    <t>0333-8389733</t>
  </si>
  <si>
    <t>041-9239131</t>
  </si>
  <si>
    <t xml:space="preserve">H NO 1044 BLOCK C USMANIA PARK NEAR NAZAKAT GEN STORE GHOUSIA CHOWK PEOPLE COLONY 2 FAISALABAD </t>
  </si>
  <si>
    <t>01-1912-PO-MTR-PCCM-D-003177</t>
  </si>
  <si>
    <t>PK10B113878</t>
  </si>
  <si>
    <t>A1J310PK10013906</t>
  </si>
  <si>
    <t>LEC-16-4959</t>
  </si>
  <si>
    <t>SUZUKI WAGON R VXL</t>
  </si>
  <si>
    <t>POUFSD300052311</t>
  </si>
  <si>
    <t>2192/12/2019/ITFM</t>
  </si>
  <si>
    <t>KHI/HO/D/MO/PC COMP/C/103702/174/12/2024</t>
  </si>
  <si>
    <t>KHI/HO/D/MO/PC COMP/E/52165/00174/02/2025</t>
  </si>
  <si>
    <t>9976AP1213650123</t>
  </si>
  <si>
    <t>ANILA BANO</t>
  </si>
  <si>
    <t>61101-1898260-8</t>
  </si>
  <si>
    <t>03435200954</t>
  </si>
  <si>
    <t>0519100027</t>
  </si>
  <si>
    <t xml:space="preserve">H # 8 ST # 12-C GARDEN TOWN NEW SHA KRIYAL ZIA MASJID NEAR BABUL UL ISL ISLAMABAD PK </t>
  </si>
  <si>
    <t>57132/00295/12/2021</t>
  </si>
  <si>
    <t>PKB751320</t>
  </si>
  <si>
    <t>SB308PK01289863</t>
  </si>
  <si>
    <t>AMA-663</t>
  </si>
  <si>
    <t>SUZUKI MEHRAN VXR EURO-II</t>
  </si>
  <si>
    <t>OLUISD300082694</t>
  </si>
  <si>
    <t>DIB0032975</t>
  </si>
  <si>
    <t>KHI/HO/D/MO/PC COMP/C/103702/179/12/2024</t>
  </si>
  <si>
    <t>KHI/HO/D/MO/PC COMP/E/52165/00179/02/2025</t>
  </si>
  <si>
    <t>997AAD2202680009</t>
  </si>
  <si>
    <t>IMRAN AHMAD</t>
  </si>
  <si>
    <t>35302-1968209-7</t>
  </si>
  <si>
    <t>03006975119</t>
  </si>
  <si>
    <t>03136490006</t>
  </si>
  <si>
    <t xml:space="preserve">INFRONT OF DUBAI ISLAMIC BANK M A J INNAH ROAD OKARA </t>
  </si>
  <si>
    <t>2020/12/CLFTTPCDP00751</t>
  </si>
  <si>
    <t>G3LALP078009</t>
  </si>
  <si>
    <t>KP703918</t>
  </si>
  <si>
    <t>PICANTO 1.0L A/T</t>
  </si>
  <si>
    <t>POAOKR300057514</t>
  </si>
  <si>
    <t>DIB0029242</t>
  </si>
  <si>
    <t>KHI/HO/D/MO/PC COMP/C/103702/181/12/2024</t>
  </si>
  <si>
    <t>KHI/HO/D/MO/PC COMP/E/52165/00181/02/2025</t>
  </si>
  <si>
    <t>9976AP1233640011</t>
  </si>
  <si>
    <t>MUHAMMAD HASSAM KHATRI</t>
  </si>
  <si>
    <t>42201-4036845-5</t>
  </si>
  <si>
    <t>03422836118</t>
  </si>
  <si>
    <t xml:space="preserve">202 BLOCK I ROYAL CITY PHS 1 GULIST AN E JAUHAR KHI KARACHI PK </t>
  </si>
  <si>
    <t>78992/00052/12/2023</t>
  </si>
  <si>
    <t>149069</t>
  </si>
  <si>
    <t>10049054</t>
  </si>
  <si>
    <t>BQP-861</t>
  </si>
  <si>
    <t>OLUKHI300098920</t>
  </si>
  <si>
    <t>10678/12/2023/ITFM</t>
  </si>
  <si>
    <t>KHI/HO/D/MO/PC COMP/C/103702/182/12/2024</t>
  </si>
  <si>
    <t>9976AP1240230001</t>
  </si>
  <si>
    <t>NAEEM</t>
  </si>
  <si>
    <t>43203-9542117-5</t>
  </si>
  <si>
    <t xml:space="preserve">H NO 35 STREET 01 MEHMOODABAD 01 KARACHI 03462244099` </t>
  </si>
  <si>
    <t>81032/00008/01/2024</t>
  </si>
  <si>
    <t>134124</t>
  </si>
  <si>
    <t>10034055</t>
  </si>
  <si>
    <t>BJP-577</t>
  </si>
  <si>
    <t>SUZUKI CULTUS VXL AGS EURO II</t>
  </si>
  <si>
    <t>27-JAN-2024</t>
  </si>
  <si>
    <t>OLUKHI300098989</t>
  </si>
  <si>
    <t>10718/01/2024/ITFM</t>
  </si>
  <si>
    <t>KHI/HO/D/MO/PC COMP/C/106590/185/01/2025</t>
  </si>
  <si>
    <t>9976AP1220140015</t>
  </si>
  <si>
    <t>NAVEED AHMED</t>
  </si>
  <si>
    <t>13302-9204486-3</t>
  </si>
  <si>
    <t>03325343189</t>
  </si>
  <si>
    <t xml:space="preserve">HOUSE NO SN 129 MOHALLA DHOKE KALA KHAN RAWALPINDI </t>
  </si>
  <si>
    <t>57872/00047/01/2022</t>
  </si>
  <si>
    <t>651798</t>
  </si>
  <si>
    <t>01190301</t>
  </si>
  <si>
    <t>OLURWP300083064</t>
  </si>
  <si>
    <t>6092/01/2022</t>
  </si>
  <si>
    <t>KHI/HO/D/MO/PC COMP/C/106590/186/01/2025</t>
  </si>
  <si>
    <t>9976AP1220180023</t>
  </si>
  <si>
    <t>ABDUL AZEEM</t>
  </si>
  <si>
    <t>42101-0305775-5</t>
  </si>
  <si>
    <t>03222748107</t>
  </si>
  <si>
    <t>35248621</t>
  </si>
  <si>
    <t xml:space="preserve">A-96 3RD FLOOR NAGINA SQUARE PH-1 BLOCK-G HYDERI NORHT NAZIMABAD KARACHI </t>
  </si>
  <si>
    <t>57872/00062/01/2022</t>
  </si>
  <si>
    <t>133492</t>
  </si>
  <si>
    <t>10033480</t>
  </si>
  <si>
    <t>BJT-910</t>
  </si>
  <si>
    <t>OLUKHI300083077</t>
  </si>
  <si>
    <t>DIB0033144</t>
  </si>
  <si>
    <t>KHI/HO/D/MO/PC COMP/C/106590/188/01/2025</t>
  </si>
  <si>
    <t>9976AP1233640009</t>
  </si>
  <si>
    <t>SYED RAZI WAHID</t>
  </si>
  <si>
    <t>42301-4925568-3</t>
  </si>
  <si>
    <t>03352626844</t>
  </si>
  <si>
    <t xml:space="preserve">R-868 SECTOR 15-A-2 BUFFERZONE NORTH KARACHI </t>
  </si>
  <si>
    <t>78992/00054/12/2023</t>
  </si>
  <si>
    <t>182702</t>
  </si>
  <si>
    <t>10082720</t>
  </si>
  <si>
    <t>BUM-742</t>
  </si>
  <si>
    <t>OLUKHI300098915</t>
  </si>
  <si>
    <t>10682/12/2023/ITFM</t>
  </si>
  <si>
    <t>KHI/HO/D/MO/PC COMP/C/103702/183/12/2024</t>
  </si>
  <si>
    <t>997AAD1202440030</t>
  </si>
  <si>
    <t>KASHIF ALI</t>
  </si>
  <si>
    <t>33100-5919902-5</t>
  </si>
  <si>
    <t xml:space="preserve">LORDS INN HOTEL OPP POLICE STATION PEOPLES COLONY MAIN JARANWALA ROAD FAISALABAD. </t>
  </si>
  <si>
    <t>53545/00002/01/2021</t>
  </si>
  <si>
    <t>10066606</t>
  </si>
  <si>
    <t>03-FEB-2021</t>
  </si>
  <si>
    <t>POAFSD300056931</t>
  </si>
  <si>
    <t>3982/01/2021</t>
  </si>
  <si>
    <t>KHI/HO/D/MO/PC COMP/C/106590/190/01/2025</t>
  </si>
  <si>
    <t>9976AP1213640083</t>
  </si>
  <si>
    <t>MUHAMMAD AMIR AMIN</t>
  </si>
  <si>
    <t>42201-0971624-3</t>
  </si>
  <si>
    <t>03008275683</t>
  </si>
  <si>
    <t xml:space="preserve">FLAT # 010/4 BLOCK 16 ASHISH APT GU LISTAN E JOHAR KARACHI PK </t>
  </si>
  <si>
    <t>57132/00268/12/2021</t>
  </si>
  <si>
    <t>KP131811</t>
  </si>
  <si>
    <t>500075</t>
  </si>
  <si>
    <t>BRK-970</t>
  </si>
  <si>
    <t>KIA PICANTO 1.0</t>
  </si>
  <si>
    <t>OLUKHI300082610</t>
  </si>
  <si>
    <t>5996/12/2021</t>
  </si>
  <si>
    <t>KHI/HO/D/MO/PC COMP/C/103702/184/12/2024</t>
  </si>
  <si>
    <t>KHI/HO/D/MO/PC COMP/E/52165/00184/02/2025</t>
  </si>
  <si>
    <t>9976AD1212510017</t>
  </si>
  <si>
    <t>MUHAMMAD ZUBAIR SHEIKH</t>
  </si>
  <si>
    <t>36302-7148940-9</t>
  </si>
  <si>
    <t>03333361640</t>
  </si>
  <si>
    <t xml:space="preserve">15-G SKY CENTER KARIM BLOCK ALLAMA IQBAL TOWN LAHORE </t>
  </si>
  <si>
    <t>57872/00048/01/2022</t>
  </si>
  <si>
    <t>190435</t>
  </si>
  <si>
    <t>10090412</t>
  </si>
  <si>
    <t>OLALHR300073226</t>
  </si>
  <si>
    <t>DIB0033117</t>
  </si>
  <si>
    <t>KHI/HO/D/MO/PC COMP/C/106590/193/01/2025</t>
  </si>
  <si>
    <t>9976AP2220140006</t>
  </si>
  <si>
    <t>JAMAL HUSSAIN</t>
  </si>
  <si>
    <t>42000-5059580-1</t>
  </si>
  <si>
    <t>03242863536</t>
  </si>
  <si>
    <t>0514101484</t>
  </si>
  <si>
    <t xml:space="preserve">FLAT # 14 CHAUDHRY HOUSE ST # 7 FAR OOQ E AZAM ROAD RAWALPINDI PK </t>
  </si>
  <si>
    <t>57872/00054/01/2022</t>
  </si>
  <si>
    <t>121726</t>
  </si>
  <si>
    <t>10021780</t>
  </si>
  <si>
    <t>AHU-588</t>
  </si>
  <si>
    <t>OLURWP300083092</t>
  </si>
  <si>
    <t>6093/01/2022</t>
  </si>
  <si>
    <t>KHI/HO/D/MO/PC COMP/C/106590/194/01/2025</t>
  </si>
  <si>
    <t>9976AP1220130003</t>
  </si>
  <si>
    <t>SIDDIQ ULLAH</t>
  </si>
  <si>
    <t>42401-7434501-9</t>
  </si>
  <si>
    <t>03002909696</t>
  </si>
  <si>
    <t xml:space="preserve">PLOT B- 62 BLOCK 4 METROVILE SITE K HI FATIMA MASJID KARACHI PK </t>
  </si>
  <si>
    <t>57872/00049/01/2022</t>
  </si>
  <si>
    <t>17504428</t>
  </si>
  <si>
    <t>215742</t>
  </si>
  <si>
    <t>BLL-279</t>
  </si>
  <si>
    <t>OLUKHI300083075</t>
  </si>
  <si>
    <t>DIB0033130</t>
  </si>
  <si>
    <t>KHI/HO/D/MO/PC COMP/C/106590/195/01/2025</t>
  </si>
  <si>
    <t>9976AP1220140014</t>
  </si>
  <si>
    <t>42301-4308293-5</t>
  </si>
  <si>
    <t>03242625761</t>
  </si>
  <si>
    <t xml:space="preserve">HOUSE # 55/M KHAYABAN E SAADI LANE # 05 PH-7 DHA NEAR AXACT OFFICE KARACHI PK </t>
  </si>
  <si>
    <t>57872/00063/01/2022</t>
  </si>
  <si>
    <t>Q336626</t>
  </si>
  <si>
    <t>R-7035750</t>
  </si>
  <si>
    <t>BPA-880</t>
  </si>
  <si>
    <t>TOYOTA COROLA ALTIS GRANDE CVT</t>
  </si>
  <si>
    <t>OLUKHI300083102</t>
  </si>
  <si>
    <t>DIB0033143</t>
  </si>
  <si>
    <t>KHI/HO/D/MO/PC COMP/C/106590/199/01/2025</t>
  </si>
  <si>
    <t>997AAD2202590010</t>
  </si>
  <si>
    <t>FIYAZ AHMED</t>
  </si>
  <si>
    <t>43103-8960158-1</t>
  </si>
  <si>
    <t>03013337414</t>
  </si>
  <si>
    <t xml:space="preserve">H NO 112 ABDULLAH SPORTS CITY QASIM ABAD HYDERABAD PK </t>
  </si>
  <si>
    <t>2020-12-205-V01501DP0002883</t>
  </si>
  <si>
    <t>060660</t>
  </si>
  <si>
    <t>703750</t>
  </si>
  <si>
    <t>KIA PICANTO 1.0L M/T</t>
  </si>
  <si>
    <t>POAHYD300057165</t>
  </si>
  <si>
    <t>3841/12/2020/ITFM</t>
  </si>
  <si>
    <t>KHI/HO/D/MO/PC COMP/C/103702/186/12/2024</t>
  </si>
  <si>
    <t>KHI/HO/D/MO/PC COMP/E/52165/00186/02/2025</t>
  </si>
  <si>
    <t>9976AD2212790003</t>
  </si>
  <si>
    <t>KHALID JAVED(G)</t>
  </si>
  <si>
    <t>35200-3428762-7</t>
  </si>
  <si>
    <t>04235925136</t>
  </si>
  <si>
    <t>03008494317</t>
  </si>
  <si>
    <t xml:space="preserve">SD 136, FALCON COMPLEX ST 8 GULBERG III, NEAR KALMA CHOWK LAHORE </t>
  </si>
  <si>
    <t>57872/00051/01/2022</t>
  </si>
  <si>
    <t>321294</t>
  </si>
  <si>
    <t>515075</t>
  </si>
  <si>
    <t>OLALHR300074061</t>
  </si>
  <si>
    <t>6090/01/2022</t>
  </si>
  <si>
    <t>KHI/HO/D/MO/PC COMP/C/106590/201/01/2025</t>
  </si>
  <si>
    <t>9976AP1223650014</t>
  </si>
  <si>
    <t>ZAHID MAHMOOD</t>
  </si>
  <si>
    <t>33100-3492406-3</t>
  </si>
  <si>
    <t>03206600603</t>
  </si>
  <si>
    <t xml:space="preserve">P-1364 STREET NO 3 PEOPLES COLONY NO 02 WARIS PURA FAISALABAD PAKISTAN 03206600603 </t>
  </si>
  <si>
    <t>65483/00042/12/2022</t>
  </si>
  <si>
    <t>10K179061</t>
  </si>
  <si>
    <t>10079085</t>
  </si>
  <si>
    <t>AEY-21-502</t>
  </si>
  <si>
    <t>OLUFSD300091420</t>
  </si>
  <si>
    <t>109008/12/2022</t>
  </si>
  <si>
    <t>KHI/HO/D/MO/PC COMP/C/103702/187/12/2024</t>
  </si>
  <si>
    <t>KHI/HO/D/MO/PC COMP/E/52165/00187/02/2025</t>
  </si>
  <si>
    <t>9976AP1223650009</t>
  </si>
  <si>
    <t>MUHAMMAD TAHIR ILYAS</t>
  </si>
  <si>
    <t>33100-0919705-1</t>
  </si>
  <si>
    <t>03219664398</t>
  </si>
  <si>
    <t>03219664398, 03219664398</t>
  </si>
  <si>
    <t>0412620007</t>
  </si>
  <si>
    <t xml:space="preserve">H NO 4 ST NO 01 OLD SHAHZAD THEATHE R FSD NEAR U MART 03219664398 PK </t>
  </si>
  <si>
    <t>65483/00044/12/2022</t>
  </si>
  <si>
    <t>10B241765</t>
  </si>
  <si>
    <t>10141759</t>
  </si>
  <si>
    <t>SUZUKI WAGONR VXL AGS</t>
  </si>
  <si>
    <t>OLDFSD300091419</t>
  </si>
  <si>
    <t>109010/12/2022</t>
  </si>
  <si>
    <t>KHI/HO/D/MO/PC COMP/C/103702/188/12/2024</t>
  </si>
  <si>
    <t>KHI/HO/D/MO/PC COMP/E/52165/00188/02/2025</t>
  </si>
  <si>
    <t>9976AP2223640030</t>
  </si>
  <si>
    <t>MUHAMMAD ANEES UR REHMAN</t>
  </si>
  <si>
    <t>33301-8779311-5</t>
  </si>
  <si>
    <t>03427878796</t>
  </si>
  <si>
    <t>03427878796, 03427878796</t>
  </si>
  <si>
    <t xml:space="preserve">294-E BLOCK E CANAL ROAD EDEN VALLE Y FSD NEAR COMMERCIAL MARKET FAISALABAD PK </t>
  </si>
  <si>
    <t>65483/00023/12/2022</t>
  </si>
  <si>
    <t>6R235366</t>
  </si>
  <si>
    <t>1135051</t>
  </si>
  <si>
    <t>ALY-645</t>
  </si>
  <si>
    <t>OLUFSD300091412</t>
  </si>
  <si>
    <t>109007/12/2022</t>
  </si>
  <si>
    <t>KHI/HO/D/MO/PC COMP/C/103702/189/12/2024</t>
  </si>
  <si>
    <t>KHI/HO/D/MO/PC COMP/E/52165/00189/02/2025</t>
  </si>
  <si>
    <t>9976AP1223630056</t>
  </si>
  <si>
    <t>NASIR MEHMOOD</t>
  </si>
  <si>
    <t>33106-0330484-3</t>
  </si>
  <si>
    <t>03005009433</t>
  </si>
  <si>
    <t>03005009433, 03005009433</t>
  </si>
  <si>
    <t xml:space="preserve">P-268 RACHNA TOWN FSD NEAR TAWAKAL KARYANA STORE FAISALABAD PK </t>
  </si>
  <si>
    <t>65483/00041/12/2022</t>
  </si>
  <si>
    <t>204412</t>
  </si>
  <si>
    <t>1004416</t>
  </si>
  <si>
    <t>OLDFSD300091361</t>
  </si>
  <si>
    <t>108979/12/2022</t>
  </si>
  <si>
    <t>KHI/HO/D/MO/PC COMP/C/103702/190/12/2024</t>
  </si>
  <si>
    <t>KHI/HO/D/MO/PC COMP/E/52165/00190/02/2025</t>
  </si>
  <si>
    <t>9976AP2213650060</t>
  </si>
  <si>
    <t>MIAN MUHAMMAD JUNAID AALAM</t>
  </si>
  <si>
    <t>37405-1014758-9</t>
  </si>
  <si>
    <t>03462019500</t>
  </si>
  <si>
    <t>02134328447</t>
  </si>
  <si>
    <t xml:space="preserve">H # 27-A LINE # 01 ST # 16 GULREZ P HASE II NEARALLAH WALI MASJID RAWALPINDI PK </t>
  </si>
  <si>
    <t>57132/00261/12/2021</t>
  </si>
  <si>
    <t>18216910607</t>
  </si>
  <si>
    <t>R062148</t>
  </si>
  <si>
    <t>AQW-229</t>
  </si>
  <si>
    <t>OLURWP300082625</t>
  </si>
  <si>
    <t>6007/12/2021</t>
  </si>
  <si>
    <t>KHI/HO/D/MO/PC COMP/C/103702/197/12/2024</t>
  </si>
  <si>
    <t>KHI/HO/D/MO/PC COMP/E/52165/00197/02/2025</t>
  </si>
  <si>
    <t>9976AD2223080003</t>
  </si>
  <si>
    <t>MUHAMMAD ASAD ALI</t>
  </si>
  <si>
    <t>37405-1068083-3</t>
  </si>
  <si>
    <t>03005855552</t>
  </si>
  <si>
    <t xml:space="preserve">H #52, ST #21 SEC # D ODDCL, SOCIETY ADYALA ROAD , SHAHPUR RAWALPINDI </t>
  </si>
  <si>
    <t>66406/00025/01/2023</t>
  </si>
  <si>
    <t>268048</t>
  </si>
  <si>
    <t>1168090</t>
  </si>
  <si>
    <t>SUZUKI ALTO VXR AGS</t>
  </si>
  <si>
    <t>OLARWP300090724</t>
  </si>
  <si>
    <t>109060/01/2023</t>
  </si>
  <si>
    <t>KHI/HO/D/MO/PC COMP/C/106590/208/01/2025</t>
  </si>
  <si>
    <t>9976AP1213640070</t>
  </si>
  <si>
    <t>ABDUL SIDDIQUI</t>
  </si>
  <si>
    <t>45504-1326766-3</t>
  </si>
  <si>
    <t>03018293565</t>
  </si>
  <si>
    <t xml:space="preserve">H # A1/3 AL MUSLIM SOCIETY SCHEM 33 MEMON HOSPITAL KARACHI PK </t>
  </si>
  <si>
    <t>57132/00265/12/2021</t>
  </si>
  <si>
    <t>12932828</t>
  </si>
  <si>
    <t>036241</t>
  </si>
  <si>
    <t>BNW-191</t>
  </si>
  <si>
    <t>OLUKHI300082616</t>
  </si>
  <si>
    <t>5992/12/2021</t>
  </si>
  <si>
    <t>KHI/HO/D/MO/PC COMP/C/103702/198/12/2024</t>
  </si>
  <si>
    <t>KHI/HO/D/MO/PC COMP/E/52165/00198/02/2025</t>
  </si>
  <si>
    <t>9976AP1213640060</t>
  </si>
  <si>
    <t>MUHAMMAD HAYAT SOLANGI</t>
  </si>
  <si>
    <t>61101-7302378-9</t>
  </si>
  <si>
    <t>03332652475</t>
  </si>
  <si>
    <t xml:space="preserve">H NO C-299 MUHALLA PHASE 1 QASIMABA D HYDERABAD PK </t>
  </si>
  <si>
    <t>57132/00271/12/2021</t>
  </si>
  <si>
    <t>51005442</t>
  </si>
  <si>
    <t>MR008214</t>
  </si>
  <si>
    <t>OLDHYD300082605</t>
  </si>
  <si>
    <t>5985/12/2021</t>
  </si>
  <si>
    <t>KHI/HO/D/MO/PC COMP/C/103702/200/12/2024</t>
  </si>
  <si>
    <t>KHI/HO/D/MO/PC COMP/E/52165/00200/02/2025</t>
  </si>
  <si>
    <t>9976AP1213640082</t>
  </si>
  <si>
    <t>SHAHID</t>
  </si>
  <si>
    <t>42501-9245990-5</t>
  </si>
  <si>
    <t>03172779928</t>
  </si>
  <si>
    <t xml:space="preserve">R-584 SECTOR 17-A SHAH LATIF TOWN S CHEME 25 BIN QASIM MALIR KARACHI PK </t>
  </si>
  <si>
    <t>57132/00266/12/2021</t>
  </si>
  <si>
    <t>184413</t>
  </si>
  <si>
    <t>700999</t>
  </si>
  <si>
    <t>BRM 686</t>
  </si>
  <si>
    <t>KIA PICANTO 1.0L A/T</t>
  </si>
  <si>
    <t>OLUKHI300082583</t>
  </si>
  <si>
    <t>5995/12/2021</t>
  </si>
  <si>
    <t>KHI/HO/D/MO/PC COMP/C/103702/207/12/2024</t>
  </si>
  <si>
    <t>KHI/HO/D/MO/PC COMP/E/52165/00207/02/2025</t>
  </si>
  <si>
    <t>9976AP2213650059</t>
  </si>
  <si>
    <t>SHAGUFTA NAZ</t>
  </si>
  <si>
    <t>34202-0104918-4</t>
  </si>
  <si>
    <t>03315489781</t>
  </si>
  <si>
    <t xml:space="preserve">H # 28/4 ST # 5 SECTOR E-9 NEAR P.F COMPLEX ISLAMABAD PK </t>
  </si>
  <si>
    <t>57132/00263/12/2021</t>
  </si>
  <si>
    <t>159468</t>
  </si>
  <si>
    <t>79750506</t>
  </si>
  <si>
    <t>CY-772</t>
  </si>
  <si>
    <t>OLUISD300082549</t>
  </si>
  <si>
    <t>6005/12/2021</t>
  </si>
  <si>
    <t>KHI/HO/D/MO/PC COMP/C/103702/210/12/2024</t>
  </si>
  <si>
    <t>KHI/HO/D/MO/PC COMP/E/52165/00210/02/2025</t>
  </si>
  <si>
    <t>9976AP2213650056</t>
  </si>
  <si>
    <t>SAMI UL HAQUE</t>
  </si>
  <si>
    <t>42101-3120782-3</t>
  </si>
  <si>
    <t>03002216171</t>
  </si>
  <si>
    <t xml:space="preserve">R-460 BLOCK 9 YASEENABAD 2 GULSHAN E FAIZAN BEHIND JAVED NIHARI HOUSE F.B. AREA KARACHI PK </t>
  </si>
  <si>
    <t>57132/00267/12/2021</t>
  </si>
  <si>
    <t>153783</t>
  </si>
  <si>
    <t>1053790</t>
  </si>
  <si>
    <t>BTA-455</t>
  </si>
  <si>
    <t>SUZUKI ALTO VXR AGS EURO II</t>
  </si>
  <si>
    <t>OLUKHI300082602</t>
  </si>
  <si>
    <t>5994/12/2021</t>
  </si>
  <si>
    <t>KHI/HO/D/MO/PC COMP/C/103702/215/12/2024</t>
  </si>
  <si>
    <t>KHI/HO/D/MO/PC COMP/E/52165/00215/02/2025</t>
  </si>
  <si>
    <t>9976AP1213630057</t>
  </si>
  <si>
    <t>SAQIB ABDUL MAJEED</t>
  </si>
  <si>
    <t>37405-4153219-9</t>
  </si>
  <si>
    <t>03338504445</t>
  </si>
  <si>
    <t>0515700130</t>
  </si>
  <si>
    <t xml:space="preserve">H # 678 ST # 1 SHERZAMAN COLONY LA LAZAR RAWALPINDI PK </t>
  </si>
  <si>
    <t>57132/00254/12/2021</t>
  </si>
  <si>
    <t>13040425</t>
  </si>
  <si>
    <t>10040428</t>
  </si>
  <si>
    <t>AHF-644</t>
  </si>
  <si>
    <t>SUZUKI SWIFT DLX ABS</t>
  </si>
  <si>
    <t>OLUISD300082547</t>
  </si>
  <si>
    <t>5984/12/2021</t>
  </si>
  <si>
    <t>KHI/HO/D/MO/PC COMP/C/103702/217/12/2024</t>
  </si>
  <si>
    <t>KHI/HO/D/MO/PC COMP/E/52165/00217/02/2025</t>
  </si>
  <si>
    <t>9976AP1213650092</t>
  </si>
  <si>
    <t>NAUMAN LATIF</t>
  </si>
  <si>
    <t>35201-6989987-1</t>
  </si>
  <si>
    <t>03004898560</t>
  </si>
  <si>
    <t xml:space="preserve">HOUSE NO E-54 STREET NO 1 MOHALLAH JUTT BROTHERS NEAR DECENT MOBILE SH LAHORE PK </t>
  </si>
  <si>
    <t>57132/00257/12/2021</t>
  </si>
  <si>
    <t>10B144701</t>
  </si>
  <si>
    <t>10044679</t>
  </si>
  <si>
    <t>LE-18-7442</t>
  </si>
  <si>
    <t>OLULHR300082572</t>
  </si>
  <si>
    <t>DIB0032948</t>
  </si>
  <si>
    <t>KHI/HO/D/MO/PC COMP/C/103702/218/12/2024</t>
  </si>
  <si>
    <t>KHI/HO/D/MO/PC COMP/E/52165/00218/02/2025</t>
  </si>
  <si>
    <t>9976AD2212420004</t>
  </si>
  <si>
    <t>SHAHBZADA UZAIR SHAHID</t>
  </si>
  <si>
    <t>Gujranwala</t>
  </si>
  <si>
    <t>34101-3597245-5</t>
  </si>
  <si>
    <t>03034547307</t>
  </si>
  <si>
    <t xml:space="preserve">FAQEER PURA FEROZ WALA ROAD ST NO 1 3 MOH KOT HABIB ULLAH GUJRANWALA PK </t>
  </si>
  <si>
    <t>57132/00262/12/2021</t>
  </si>
  <si>
    <t>226994</t>
  </si>
  <si>
    <t>10126984</t>
  </si>
  <si>
    <t>WAGONR VXL</t>
  </si>
  <si>
    <t>OLAGWL300072522</t>
  </si>
  <si>
    <t>DIB0032950</t>
  </si>
  <si>
    <t>KHI/HO/D/MO/PC COMP/C/103702/221/12/2024</t>
  </si>
  <si>
    <t>KHI/HO/D/MO/PC COMP/E/52165/00221/02/2025</t>
  </si>
  <si>
    <t>997AAD1203160001</t>
  </si>
  <si>
    <t>MUHAMMAD ABBAS</t>
  </si>
  <si>
    <t>36302-0310219-7</t>
  </si>
  <si>
    <t>03009634961</t>
  </si>
  <si>
    <t xml:space="preserve">HOUSE NO 03 STREET NO 03 GULNAR COL ONY MULTAN MULTAN PK </t>
  </si>
  <si>
    <t>2020/12/CLFTTPCDP00752</t>
  </si>
  <si>
    <t>149208</t>
  </si>
  <si>
    <t>1049235</t>
  </si>
  <si>
    <t>ALTO VXL A/T</t>
  </si>
  <si>
    <t>POAMUX300060325</t>
  </si>
  <si>
    <t>DIB0029243</t>
  </si>
  <si>
    <t>KHI/HO/D/MO/PC COMP/C/103702/222/12/2024</t>
  </si>
  <si>
    <t>KHI/HO/D/MO/PC COMP/E/52165/00222/02/2025</t>
  </si>
  <si>
    <t>9976AP2213630025</t>
  </si>
  <si>
    <t>SYED AHMED ALI GILLANI</t>
  </si>
  <si>
    <t>Muzaffarabad</t>
  </si>
  <si>
    <t>82203-2828333-5</t>
  </si>
  <si>
    <t>03335559786</t>
  </si>
  <si>
    <t xml:space="preserve">HOUSE NUMBER 80, STREET NO 55 SECTOR I 11/3 ISLAMABAD 03335559786 </t>
  </si>
  <si>
    <t>57132/00242/12/2021</t>
  </si>
  <si>
    <t>Q051612</t>
  </si>
  <si>
    <t>R-6029104</t>
  </si>
  <si>
    <t>AJK-004</t>
  </si>
  <si>
    <t>TOYOTA COROLLA ALTIS</t>
  </si>
  <si>
    <t>OLUMFD300082305</t>
  </si>
  <si>
    <t>DIB0032907</t>
  </si>
  <si>
    <t>KHI/HO/D/MO/PC COMP/C/103702/227/12/2024</t>
  </si>
  <si>
    <t>KHI/HO/D/MO/PC COMP/E/52165/00227/02/2025</t>
  </si>
  <si>
    <t>9976AP1233630019</t>
  </si>
  <si>
    <t>MUHAMMAD AMJADULLAH</t>
  </si>
  <si>
    <t>42201-9204662-3</t>
  </si>
  <si>
    <t>03092869450</t>
  </si>
  <si>
    <t xml:space="preserve">HOUSE # 271 STREET 1 AREA 36 G SHAR EEF COLONY LANDHI KARACHI PK </t>
  </si>
  <si>
    <t>78992/00050/12/2023</t>
  </si>
  <si>
    <t>13500847</t>
  </si>
  <si>
    <t>000844</t>
  </si>
  <si>
    <t>BG-2992</t>
  </si>
  <si>
    <t>OLUKHI300098858</t>
  </si>
  <si>
    <t>10669/12/2023/ITFM</t>
  </si>
  <si>
    <t>KHI/HO/D/MO/PC COMP/C/103702/228/12/2024</t>
  </si>
  <si>
    <t>9976AD1212730120</t>
  </si>
  <si>
    <t>UMAIR ABDUL SATTAR</t>
  </si>
  <si>
    <t>33100-2866150-5</t>
  </si>
  <si>
    <t>03214509555</t>
  </si>
  <si>
    <t>03214509555, 03214509555</t>
  </si>
  <si>
    <t xml:space="preserve">P-151 MUSLIM TOWN NO 2 BLOCK B SARG ODHA ROAD FSD FAISALABAD PK </t>
  </si>
  <si>
    <t>57872/00068/01/2022</t>
  </si>
  <si>
    <t>196244</t>
  </si>
  <si>
    <t>1095708</t>
  </si>
  <si>
    <t>OLAFSD300074443</t>
  </si>
  <si>
    <t>DIB0033138</t>
  </si>
  <si>
    <t>KHI/HO/D/MO/PC COMP/C/106590/220/01/2025</t>
  </si>
  <si>
    <t>9976AP1233630018</t>
  </si>
  <si>
    <t>SHAGUFTA GULZAR</t>
  </si>
  <si>
    <t>42201-0607585-0</t>
  </si>
  <si>
    <t>03003379722</t>
  </si>
  <si>
    <t>02135862937</t>
  </si>
  <si>
    <t xml:space="preserve">DR ZIA UDDIN HOSPITAL CLIFTON CAMPU S ST-4/B BLOCK 06 CLIFTON FIRST FLO ORKARACHI KARACHI </t>
  </si>
  <si>
    <t>78992/00049/12/2023</t>
  </si>
  <si>
    <t>6R147578</t>
  </si>
  <si>
    <t>1047572</t>
  </si>
  <si>
    <t>BSW-937</t>
  </si>
  <si>
    <t>OLUKHI300098889</t>
  </si>
  <si>
    <t>10667/12/2023/ITFM</t>
  </si>
  <si>
    <t>KHI/HO/D/MO/PC COMP/C/103702/229/12/2024</t>
  </si>
  <si>
    <t>9976AP1213650085</t>
  </si>
  <si>
    <t>NOSHEEN AMBER</t>
  </si>
  <si>
    <t>35201-1334212-2</t>
  </si>
  <si>
    <t>03244078707</t>
  </si>
  <si>
    <t xml:space="preserve">MANZOOR COLONY HARBANSPURA NEAR FAN DUNIA LAHORE PK </t>
  </si>
  <si>
    <t>57132/00247/12/2021</t>
  </si>
  <si>
    <t>719610</t>
  </si>
  <si>
    <t>01258097</t>
  </si>
  <si>
    <t>LEC-18-9504</t>
  </si>
  <si>
    <t>SUZUKI MEHRAN VXR EURO II</t>
  </si>
  <si>
    <t>OLULHR300082510</t>
  </si>
  <si>
    <t>DIB0032930</t>
  </si>
  <si>
    <t>KHI/HO/D/MO/PC COMP/C/103702/230/12/2024</t>
  </si>
  <si>
    <t>KHI/HO/D/MO/PC COMP/E/52165/00230/02/2025</t>
  </si>
  <si>
    <t>9976AD1211830092</t>
  </si>
  <si>
    <t>SUHRAB KHAN TUNIO</t>
  </si>
  <si>
    <t>Nawab Shah</t>
  </si>
  <si>
    <t>45402-7432328-7</t>
  </si>
  <si>
    <t>03007005868</t>
  </si>
  <si>
    <t xml:space="preserve">AL HAMZA ENGINEERING MAGSI COLONY SOCITY NEAR HOUSING NAWABSHA NAWABSHA </t>
  </si>
  <si>
    <t>UWT/D/T002/00001215/1221/109-0</t>
  </si>
  <si>
    <t>224703</t>
  </si>
  <si>
    <t>10124719</t>
  </si>
  <si>
    <t>OLANWB300070382</t>
  </si>
  <si>
    <t>DIB0032748</t>
  </si>
  <si>
    <t>KHI/HO/D/MO/PC COMP/C/103702/231/12/2024</t>
  </si>
  <si>
    <t>KHI/HO/D/MO/PC COMP/E/52165/00231/02/2025</t>
  </si>
  <si>
    <t>9976AD1220680008</t>
  </si>
  <si>
    <t>BILAL AHMED</t>
  </si>
  <si>
    <t>42201-1102531-3</t>
  </si>
  <si>
    <t>03332158799</t>
  </si>
  <si>
    <t xml:space="preserve">BILAL ENTERPRISES SHOP NO-19 SALAR STREET BHIM PURA KHI NEAR GULSHAN-E-BILAL MASJID </t>
  </si>
  <si>
    <t>65483/00040/12/2022</t>
  </si>
  <si>
    <t>Q102515</t>
  </si>
  <si>
    <t>6079996</t>
  </si>
  <si>
    <t>OLAKHI300085342</t>
  </si>
  <si>
    <t>DIB0034859</t>
  </si>
  <si>
    <t>KHI/HO/D/MO/PC COMP/C/103702/232/12/2024</t>
  </si>
  <si>
    <t>KHI/HO/D/MO/PC COMP/E/52165/00232/02/2025</t>
  </si>
  <si>
    <t>9976AD1212650004</t>
  </si>
  <si>
    <t>RANA WAJID MUNIR</t>
  </si>
  <si>
    <t>35202-3525532-3</t>
  </si>
  <si>
    <t>03344100289</t>
  </si>
  <si>
    <t xml:space="preserve">PLOT NO 35 1-A-2 TOWNSHIP CHANDANI CHOWK LAHORE </t>
  </si>
  <si>
    <t>57872/00073/01/2022</t>
  </si>
  <si>
    <t>227444</t>
  </si>
  <si>
    <t>10127464</t>
  </si>
  <si>
    <t>SUUZKI WAGON R VXL AGS</t>
  </si>
  <si>
    <t>OLALHR30073398</t>
  </si>
  <si>
    <t>DIB0033149</t>
  </si>
  <si>
    <t>KHI/HO/D/MO/PC COMP/C/106590/223/01/2025</t>
  </si>
  <si>
    <t>9976AP1220140013</t>
  </si>
  <si>
    <t>SYED MUHAMMAD RIAZ UR REHMAN</t>
  </si>
  <si>
    <t>42101-1993226-1</t>
  </si>
  <si>
    <t>03213763966</t>
  </si>
  <si>
    <t xml:space="preserve">H # R- 260 BLOCK H SHEET SAIMA ARAB IAN VILLAS 4K CHOWRANGI KARACHI PK </t>
  </si>
  <si>
    <t>57872/00065/01/2022</t>
  </si>
  <si>
    <t>128846</t>
  </si>
  <si>
    <t>10028848</t>
  </si>
  <si>
    <t>BNL-732</t>
  </si>
  <si>
    <t>OLUKHI300083032</t>
  </si>
  <si>
    <t>DIB0033146</t>
  </si>
  <si>
    <t>KHI/HO/D/MO/PC COMP/C/106590/224/01/2025</t>
  </si>
  <si>
    <t>9976AD1212840002</t>
  </si>
  <si>
    <t>HASNAIN IQBAL</t>
  </si>
  <si>
    <t>33100-5700604-7</t>
  </si>
  <si>
    <t>03006272680</t>
  </si>
  <si>
    <t>03006272680, 03006272680</t>
  </si>
  <si>
    <t xml:space="preserve">P-954 ST NO 16 NISAR COLONY FSD NEA R SHAMMA KARYANA STORE FAISALABAD PK </t>
  </si>
  <si>
    <t>57872/00067/01/2022</t>
  </si>
  <si>
    <t>2A44221</t>
  </si>
  <si>
    <t>7027817</t>
  </si>
  <si>
    <t>OLAFSD300074686</t>
  </si>
  <si>
    <t>DIB0033139</t>
  </si>
  <si>
    <t>KHI/HO/D/MO/PC COMP/C/106590/225/01/2025</t>
  </si>
  <si>
    <t>9976AP1213630044</t>
  </si>
  <si>
    <t>FAISAL SHAHZAD MALIK</t>
  </si>
  <si>
    <t>13101-1998075-7</t>
  </si>
  <si>
    <t>0321-5551551</t>
  </si>
  <si>
    <t>03215551551</t>
  </si>
  <si>
    <t>051-8733455</t>
  </si>
  <si>
    <t xml:space="preserve">HNO # 15, STREET # 24, SECTOR A DHA -2, NEAR GIGA MALL ISLAMABAD PAKISTAN </t>
  </si>
  <si>
    <t>57132/00244/12/2021</t>
  </si>
  <si>
    <t>313513</t>
  </si>
  <si>
    <t>308562</t>
  </si>
  <si>
    <t>KIA SPORTAGE</t>
  </si>
  <si>
    <t>OLDISD300082576</t>
  </si>
  <si>
    <t>KHI/HO/D/MO/PC COMP/C/103702/235/12/2024</t>
  </si>
  <si>
    <t>KHI/HO/D/MO/PC COMP/E/52165/00235/02/2025</t>
  </si>
  <si>
    <t>9976AP1213650087</t>
  </si>
  <si>
    <t>MUHAMMAD UMER FAROOQ</t>
  </si>
  <si>
    <t>33102-2494438-9</t>
  </si>
  <si>
    <t>03005147882</t>
  </si>
  <si>
    <t xml:space="preserve">153/5-A 2ND FLOOR COMMERCIAL BROADW AY PHASE 8 LAHORE </t>
  </si>
  <si>
    <t>57132/00240/12/2021</t>
  </si>
  <si>
    <t>12945891</t>
  </si>
  <si>
    <t>R049316</t>
  </si>
  <si>
    <t>LED-18A-517</t>
  </si>
  <si>
    <t>OLULHR300082410</t>
  </si>
  <si>
    <t>DIB0032923</t>
  </si>
  <si>
    <t>KHI/HO/D/MO/PC COMP/C/103702/236/12/2024</t>
  </si>
  <si>
    <t>KHI/HO/D/MO/PC COMP/E/52165/00236/02/2025</t>
  </si>
  <si>
    <t>9976AD1213480042</t>
  </si>
  <si>
    <t>SYED HAMZA HYDER JAFFRI</t>
  </si>
  <si>
    <t>42000-8728632-7</t>
  </si>
  <si>
    <t xml:space="preserve">HNO. 27/2 7TH GIZRI LANE N STREET PHASE IV DHA KARACHI </t>
  </si>
  <si>
    <t>57872/00071/01/2022</t>
  </si>
  <si>
    <t>51005509</t>
  </si>
  <si>
    <t>008180</t>
  </si>
  <si>
    <t>HONDA CITY I-V TEC 1.2 L CVT</t>
  </si>
  <si>
    <t>OLAKHI300081923</t>
  </si>
  <si>
    <t>DIB0032968</t>
  </si>
  <si>
    <t>KHI/HO/D/MO/PC COMP/C/106590/228/01/2025</t>
  </si>
  <si>
    <t>9976AD1211810062</t>
  </si>
  <si>
    <t>MIAN NOVAIR</t>
  </si>
  <si>
    <t>61101-8304019-1</t>
  </si>
  <si>
    <t>03475908990</t>
  </si>
  <si>
    <t xml:space="preserve">PLOT # 1/3 ST # 14 SECTOR G-7/2 ISLAMABAD PK </t>
  </si>
  <si>
    <t>PL-1221-1101010102-V14-D00619</t>
  </si>
  <si>
    <t>JL473QFM3CAD515963</t>
  </si>
  <si>
    <t>NKMA2ASE5M1005248</t>
  </si>
  <si>
    <t>ALSVIN 1.5L</t>
  </si>
  <si>
    <t>OLAISD3600070254</t>
  </si>
  <si>
    <t>5974/12/2021</t>
  </si>
  <si>
    <t>KHI/HO/D/MO/PC COMP/C/103702/243/12/2024</t>
  </si>
  <si>
    <t>KHI/HO/D/MO/PC COMP/E/52165/00243/02/2025</t>
  </si>
  <si>
    <t>9976AP1203640008</t>
  </si>
  <si>
    <t>MUHAMMAD QASIM YAQOOB RAJA</t>
  </si>
  <si>
    <t>37401-7448258-1</t>
  </si>
  <si>
    <t>0315-5000113</t>
  </si>
  <si>
    <t xml:space="preserve">H# 23/31GALI # 25 ZAHEER STREET MOH MULTANI DHOKA SYEDA RAOD ASLAM MARKET RAWALPINDI </t>
  </si>
  <si>
    <t>53326/00104/12/2020</t>
  </si>
  <si>
    <t>Z547565</t>
  </si>
  <si>
    <t>4173453</t>
  </si>
  <si>
    <t>ALH-238</t>
  </si>
  <si>
    <t>COROLLA GLI M/T</t>
  </si>
  <si>
    <t>OLURWP300064446</t>
  </si>
  <si>
    <t>3901/12/2020/ITFM</t>
  </si>
  <si>
    <t>KHI/HO/D/MO/PC COMP/C/103702/246/12/2024</t>
  </si>
  <si>
    <t>KHI/HO/D/MO/PC COMP/E/52165/00246/02/2025</t>
  </si>
  <si>
    <t>9976AP1220140016</t>
  </si>
  <si>
    <t>TAHIR MAHMOOD</t>
  </si>
  <si>
    <t>35202-3295872-5</t>
  </si>
  <si>
    <t>03234773444</t>
  </si>
  <si>
    <t>04237115444</t>
  </si>
  <si>
    <t xml:space="preserve">55 1ST FLOOR HASSAN CENTER HALL ROA D LAHORE </t>
  </si>
  <si>
    <t>57872/00075/01/2022</t>
  </si>
  <si>
    <t>5100116</t>
  </si>
  <si>
    <t>R000079</t>
  </si>
  <si>
    <t>AET-290</t>
  </si>
  <si>
    <t>OLULHR300083146</t>
  </si>
  <si>
    <t>6103/01/2022</t>
  </si>
  <si>
    <t>KHI/HO/D/MO/PC COMP/C/106590/231/01/2025</t>
  </si>
  <si>
    <t>9976AP1220180029</t>
  </si>
  <si>
    <t>GULNAZ TABASSUM</t>
  </si>
  <si>
    <t>33100-0750077-6</t>
  </si>
  <si>
    <t>0418723394</t>
  </si>
  <si>
    <t xml:space="preserve">MUHALA AL NAJAF COLONY P-521,MAIN ROAD ALNAJAF AYESHA TALHA CLINIC FAISALABAD </t>
  </si>
  <si>
    <t>57872/00074/01/2022</t>
  </si>
  <si>
    <t>Q318590</t>
  </si>
  <si>
    <t>R7017647</t>
  </si>
  <si>
    <t>LEA-16A-1997</t>
  </si>
  <si>
    <t>OLUFSD300083150</t>
  </si>
  <si>
    <t>DIB0033148</t>
  </si>
  <si>
    <t>KHI/HO/D/MO/PC COMP/C/106590/232/01/2025</t>
  </si>
  <si>
    <t>9976AP1213630056</t>
  </si>
  <si>
    <t>WAQAS ALI AWAN</t>
  </si>
  <si>
    <t>13101-2982112-1</t>
  </si>
  <si>
    <t>0992337646</t>
  </si>
  <si>
    <t>03005614084</t>
  </si>
  <si>
    <t>0992342289</t>
  </si>
  <si>
    <t xml:space="preserve">VILLAGE AND P/O BANDA PHAGWARIAN, TEHSIL AND DISTT ABBOTTABAD </t>
  </si>
  <si>
    <t>57132/00252/12/2021</t>
  </si>
  <si>
    <t>L13Z17539044</t>
  </si>
  <si>
    <t>NFBGM1548LR260953</t>
  </si>
  <si>
    <t>ASJ-175</t>
  </si>
  <si>
    <t>CITY I-VTEC M/T</t>
  </si>
  <si>
    <t>OLUABD300082548</t>
  </si>
  <si>
    <t>5981/12/2021</t>
  </si>
  <si>
    <t>KHI/HO/D/MO/PC COMP/C/103702/247/12/2024</t>
  </si>
  <si>
    <t>KHI/HO/D/MO/PC COMP/E/52165/00247/02/2025</t>
  </si>
  <si>
    <t>9976AP2213640035</t>
  </si>
  <si>
    <t>MUHAMMAD DANISH KHAN</t>
  </si>
  <si>
    <t>35201-2821954-7</t>
  </si>
  <si>
    <t>03334403903</t>
  </si>
  <si>
    <t>04235782721</t>
  </si>
  <si>
    <t xml:space="preserve">HOUSE NO 8 STREET NO 35-A NAFEERABA D BAGHBANPURA NEAR DHOBHI GHAT STOP LAHORE PK </t>
  </si>
  <si>
    <t>57132/00235/12/2021</t>
  </si>
  <si>
    <t>213525</t>
  </si>
  <si>
    <t>10113487</t>
  </si>
  <si>
    <t>ADF-461</t>
  </si>
  <si>
    <t>OLULHR300082525</t>
  </si>
  <si>
    <t>DIB0032917</t>
  </si>
  <si>
    <t>KHI/HO/D/MO/PC COMP/C/103702/249/12/2024</t>
  </si>
  <si>
    <t>KHI/HO/D/MO/PC COMP/E/52165/00249/02/2025</t>
  </si>
  <si>
    <t>9976AP1213630046</t>
  </si>
  <si>
    <t>MUHAMMAD SHEERAZ TABISH</t>
  </si>
  <si>
    <t>35403-6105603-5</t>
  </si>
  <si>
    <t>03155421139</t>
  </si>
  <si>
    <t xml:space="preserve">HOUSE NO 750 ST NO 51 I-10/1, ISLAMABAD 0315-5421139 </t>
  </si>
  <si>
    <t>57132/00241/12/2021</t>
  </si>
  <si>
    <t>102233</t>
  </si>
  <si>
    <t>10002250</t>
  </si>
  <si>
    <t>AEW-563</t>
  </si>
  <si>
    <t>SUZUKI CULTUS VXL EURO II</t>
  </si>
  <si>
    <t>OLUISD300082550</t>
  </si>
  <si>
    <t>5975/12/2021</t>
  </si>
  <si>
    <t>KHI/HO/D/MO/PC COMP/C/103702/250/12/2024</t>
  </si>
  <si>
    <t>KHI/HO/D/MO/PC COMP/E/52165/00250/02/2025</t>
  </si>
  <si>
    <t>9976AP1213630041</t>
  </si>
  <si>
    <t>MUHAMMAD IMRAN</t>
  </si>
  <si>
    <t>61101-0608958-9</t>
  </si>
  <si>
    <t>0300-5040468</t>
  </si>
  <si>
    <t>2212468</t>
  </si>
  <si>
    <t xml:space="preserve">HOUSE NO 279 STREET 74 G-11/2 ISLAMABAD </t>
  </si>
  <si>
    <t>57132/00246/12/2021</t>
  </si>
  <si>
    <t>7979235</t>
  </si>
  <si>
    <t>R235103</t>
  </si>
  <si>
    <t>AKW-887</t>
  </si>
  <si>
    <t>HONDA CITY ASPIRE</t>
  </si>
  <si>
    <t>OLSISD300082551</t>
  </si>
  <si>
    <t>5976/12/2021</t>
  </si>
  <si>
    <t>KHI/HO/D/MO/PC COMP/C/103702/251/12/2024</t>
  </si>
  <si>
    <t>KHI/HO/D/MO/PC COMP/E/52165/00251/02/2025</t>
  </si>
  <si>
    <t>9976AP2213640037</t>
  </si>
  <si>
    <t>EJAZ HUSSAIN</t>
  </si>
  <si>
    <t>42201-0333012-1</t>
  </si>
  <si>
    <t>03008221346</t>
  </si>
  <si>
    <t xml:space="preserve">FLAT # 201 2ND FLOOR PEARL GARDEN P LOT # 171 E 1 BLOCK 3 PECHS NEAR BE KARACHI PK </t>
  </si>
  <si>
    <t>57132/00139/12/2021</t>
  </si>
  <si>
    <t>506786</t>
  </si>
  <si>
    <t>1011139</t>
  </si>
  <si>
    <t>OLDKHI300082531</t>
  </si>
  <si>
    <t>5977/12/2021</t>
  </si>
  <si>
    <t>KHI/HO/D/MO/PC COMP/C/103702/252/12/2024</t>
  </si>
  <si>
    <t>KHI/HO/D/MO/PC COMP/E/52165/00252/02/2025</t>
  </si>
  <si>
    <t>9976AP1213630048</t>
  </si>
  <si>
    <t>SARA SIDDIQUE</t>
  </si>
  <si>
    <t>37101-7983703-8</t>
  </si>
  <si>
    <t>03065430143</t>
  </si>
  <si>
    <t>0515178536</t>
  </si>
  <si>
    <t xml:space="preserve">H # 1 OSAMA STREET DEFENCE ROAD NEA R YOUSAFZAI USMAN MASJID ADYALA RO RAWALPINDI PK </t>
  </si>
  <si>
    <t>57132/00236/12/2021</t>
  </si>
  <si>
    <t>100827</t>
  </si>
  <si>
    <t>1000808</t>
  </si>
  <si>
    <t>ANW-226</t>
  </si>
  <si>
    <t>OLURWP300082497</t>
  </si>
  <si>
    <t>5964/12/2021</t>
  </si>
  <si>
    <t>KHI/HO/D/MO/PC COMP/C/103702/254/12/2024</t>
  </si>
  <si>
    <t>KHI/HO/D/MO/PC COMP/E/52165/00254/02/2025</t>
  </si>
  <si>
    <t>9976AD1212420027</t>
  </si>
  <si>
    <t>SOHAIL ALI SYED</t>
  </si>
  <si>
    <t>35201-5374377-9</t>
  </si>
  <si>
    <t>03458455352</t>
  </si>
  <si>
    <t xml:space="preserve">G-1 KHURSHID PLAZA MAIN BOULEVARD D HA NEAR RASHEED HOSPITAL LAHORE </t>
  </si>
  <si>
    <t>57872/00086/01/2022</t>
  </si>
  <si>
    <t>204675</t>
  </si>
  <si>
    <t>1104796</t>
  </si>
  <si>
    <t>27-JAN-2022</t>
  </si>
  <si>
    <t>OLULHR300072455</t>
  </si>
  <si>
    <t>DIB0033166</t>
  </si>
  <si>
    <t>KHI/HO/D/MO/PC COMP/C/106590/245/01/2025</t>
  </si>
  <si>
    <t>9976AP1203640001</t>
  </si>
  <si>
    <t>HAROON RASHEED</t>
  </si>
  <si>
    <t>42000-7140231-1</t>
  </si>
  <si>
    <t>03212000036</t>
  </si>
  <si>
    <t>02134539618</t>
  </si>
  <si>
    <t xml:space="preserve">104 ANUM ESTATE MAIN SHAHRAH-E- FAI SAL BALOCH COLONY KARACHI </t>
  </si>
  <si>
    <t>53326/00102/12/2020</t>
  </si>
  <si>
    <t>6R147902</t>
  </si>
  <si>
    <t>NF1AET306H1047910</t>
  </si>
  <si>
    <t>ALTO VXR EURO II</t>
  </si>
  <si>
    <t>OLDKHI300064342</t>
  </si>
  <si>
    <t>3898/12/2020/ITFM</t>
  </si>
  <si>
    <t>KHI/HO/D/MO/PC COMP/C/103702/255/12/2024</t>
  </si>
  <si>
    <t>KHI/HO/D/MO/PC COMP/E/52165/00255/02/2025</t>
  </si>
  <si>
    <t>9976AP1213650093</t>
  </si>
  <si>
    <t>MONA BURKE</t>
  </si>
  <si>
    <t>35200-1485889-2</t>
  </si>
  <si>
    <t>03161428269</t>
  </si>
  <si>
    <t>04235463650</t>
  </si>
  <si>
    <t xml:space="preserve">15 A WARIS ROAD LAHORE </t>
  </si>
  <si>
    <t>57132/00249/12/2021</t>
  </si>
  <si>
    <t>6R167920</t>
  </si>
  <si>
    <t>1067857</t>
  </si>
  <si>
    <t>AEP-586</t>
  </si>
  <si>
    <t>OLULHR300082503</t>
  </si>
  <si>
    <t>DIB0032934</t>
  </si>
  <si>
    <t>KHI/HO/D/MO/PC COMP/C/103702/256/12/2024</t>
  </si>
  <si>
    <t>KHI/HO/D/MO/PC COMP/E/52165/00256/02/2025</t>
  </si>
  <si>
    <t>9976AD1212380032</t>
  </si>
  <si>
    <t>IQRA AZEEM</t>
  </si>
  <si>
    <t>34101-7908924-8</t>
  </si>
  <si>
    <t>03036758032</t>
  </si>
  <si>
    <t xml:space="preserve">ST NO 7 GILL ROAD MOH WAZIR GUJRANWALA PK </t>
  </si>
  <si>
    <t>01-2112-PO-MTR-PCCM-D-001793</t>
  </si>
  <si>
    <t>226670</t>
  </si>
  <si>
    <t>10126677</t>
  </si>
  <si>
    <t>OLAGWL300072351</t>
  </si>
  <si>
    <t>DIB0032941</t>
  </si>
  <si>
    <t>KHI/HO/D/MO/PC COMP/C/103702/257/12/2024</t>
  </si>
  <si>
    <t>KHI/HO/D/MO/PC COMP/E/52165/00257/02/2025</t>
  </si>
  <si>
    <t>9976AP2213640036</t>
  </si>
  <si>
    <t>SAEED AHMAD</t>
  </si>
  <si>
    <t>35202-2753361-3</t>
  </si>
  <si>
    <t>03214759360</t>
  </si>
  <si>
    <t xml:space="preserve">GOVT ISLAMIA COLLEGE RAILWAY ROAD LAHORE </t>
  </si>
  <si>
    <t>57132/00215/12/2021</t>
  </si>
  <si>
    <t>17533188</t>
  </si>
  <si>
    <t>R252413</t>
  </si>
  <si>
    <t>LEF-19-3888</t>
  </si>
  <si>
    <t>OLULHR300082406</t>
  </si>
  <si>
    <t>DIB0032904</t>
  </si>
  <si>
    <t>KHI/HO/D/MO/PC COMP/C/103702/262/12/2024</t>
  </si>
  <si>
    <t>KHI/HO/D/MO/PC COMP/E/52165/00262/02/2025</t>
  </si>
  <si>
    <t>9976AP2220270023</t>
  </si>
  <si>
    <t>MUHAMMAD AWAIS IQBAL</t>
  </si>
  <si>
    <t>36302-5660755-5</t>
  </si>
  <si>
    <t>03212176446</t>
  </si>
  <si>
    <t xml:space="preserve">H NO 19 ST NO 7 MOH. FAIZ BAKHSH BE HIND BILAL JEE CHARGHA HOUSE PIPLE LAHORE PK </t>
  </si>
  <si>
    <t>57872/00082/01/2022</t>
  </si>
  <si>
    <t>137944</t>
  </si>
  <si>
    <t>10037943</t>
  </si>
  <si>
    <t>LEA-17A-3994</t>
  </si>
  <si>
    <t>SUZUKI WAGON R VXR</t>
  </si>
  <si>
    <t>OLULHR300083202</t>
  </si>
  <si>
    <t>6139/01/2022</t>
  </si>
  <si>
    <t>KHI/HO/D/MO/PC COMP/C/106590/253/01/2025</t>
  </si>
  <si>
    <t>9976AP1233620013</t>
  </si>
  <si>
    <t>MUHAMMAD IFTIKHAR-ASAAN ACCOUNT</t>
  </si>
  <si>
    <t>33303-2096268-3</t>
  </si>
  <si>
    <t>03333923291</t>
  </si>
  <si>
    <t xml:space="preserve">HOUSE NO A-166 UPPER GIZRI KARACHI NO 6 KARACHI </t>
  </si>
  <si>
    <t>78992/00045/12/2023</t>
  </si>
  <si>
    <t>686250</t>
  </si>
  <si>
    <t>01224786</t>
  </si>
  <si>
    <t>BQL-697</t>
  </si>
  <si>
    <t>OLUKHI300098818</t>
  </si>
  <si>
    <t>DIB0035545</t>
  </si>
  <si>
    <t>KHI/HO/D/MO/PC COMP/C/103702/264/12/2024</t>
  </si>
  <si>
    <t>9976AP1233620012</t>
  </si>
  <si>
    <t>SYED MUHAMMAD SHAMIM</t>
  </si>
  <si>
    <t>42401-6246199-5</t>
  </si>
  <si>
    <t>03139000359 -MOB NO: 0313-9000359</t>
  </si>
  <si>
    <t xml:space="preserve">AL HADI TRADING COMPANY OFF 508, POONAWALA TRADE TOWER DANDLA BAZAR, CITY COURTS KARACHI. </t>
  </si>
  <si>
    <t>78992/00047/12/2023</t>
  </si>
  <si>
    <t>Z671404</t>
  </si>
  <si>
    <t>R4196841</t>
  </si>
  <si>
    <t>BRD-101</t>
  </si>
  <si>
    <t>OLUKHI300098850</t>
  </si>
  <si>
    <t>10661/12/2023/ITFM</t>
  </si>
  <si>
    <t>KHI/HO/D/MO/PC COMP/C/103702/266/12/2024</t>
  </si>
  <si>
    <t>9976AP2233620007</t>
  </si>
  <si>
    <t>SAMA ALI-ASAAN ACCOUNT</t>
  </si>
  <si>
    <t>42301-8753522-2</t>
  </si>
  <si>
    <t>03333458641</t>
  </si>
  <si>
    <t xml:space="preserve">HOUSE NO 7-B, CENTRAL LANE PHASE 2, DHA KARACHI </t>
  </si>
  <si>
    <t>78992/00048/12/2023</t>
  </si>
  <si>
    <t>291203</t>
  </si>
  <si>
    <t>1191336</t>
  </si>
  <si>
    <t>OLDKHI300098860</t>
  </si>
  <si>
    <t>10663/12/2023/ITFM</t>
  </si>
  <si>
    <t>KHI/HO/D/MO/PC COMP/C/103702/267/12/2024</t>
  </si>
  <si>
    <t>9976AD1212600056</t>
  </si>
  <si>
    <t>SYEDA AMNA HASSAN</t>
  </si>
  <si>
    <t>34101-2899493-8</t>
  </si>
  <si>
    <t>03008646159</t>
  </si>
  <si>
    <t xml:space="preserve">ARFA KARIM TOWER 6TH FLOOR FEROZPUR ROAD LAHORE </t>
  </si>
  <si>
    <t>57872/00081/01/2022</t>
  </si>
  <si>
    <t>2A43867</t>
  </si>
  <si>
    <t>7027515</t>
  </si>
  <si>
    <t>OLALHR300073647</t>
  </si>
  <si>
    <t>DIB0033159</t>
  </si>
  <si>
    <t>KHI/HO/D/MO/PC COMP/C/106590/258/01/2025</t>
  </si>
  <si>
    <t>9976AP1220170018</t>
  </si>
  <si>
    <t>WAQAS QAYYUM</t>
  </si>
  <si>
    <t>35201-3868671-5</t>
  </si>
  <si>
    <t>03214508331</t>
  </si>
  <si>
    <t xml:space="preserve">H NO 12 ST NO 13 GUJJAR PURA BAGHBA NPURA LAHORE </t>
  </si>
  <si>
    <t>57872/00079/01/2022</t>
  </si>
  <si>
    <t>PK10B100547</t>
  </si>
  <si>
    <t>31010000552</t>
  </si>
  <si>
    <t>LE-17A-3529</t>
  </si>
  <si>
    <t>OLULHR300083207</t>
  </si>
  <si>
    <t>6104/01/2022</t>
  </si>
  <si>
    <t>KHI/HO/D/MO/PC COMP/C/106590/259/01/2025</t>
  </si>
  <si>
    <t>9976AP1220170022</t>
  </si>
  <si>
    <t>KAMRAN RASHEED</t>
  </si>
  <si>
    <t>33303-3679090-5</t>
  </si>
  <si>
    <t>03334741310</t>
  </si>
  <si>
    <t>04235817054</t>
  </si>
  <si>
    <t xml:space="preserve">OFFICE 607-A 6TH FLOOR SIDDIQUE TRA DE CENTER LAHORE </t>
  </si>
  <si>
    <t>57872/00083/01/2022</t>
  </si>
  <si>
    <t>08252</t>
  </si>
  <si>
    <t>704213</t>
  </si>
  <si>
    <t>ACE-250</t>
  </si>
  <si>
    <t>OLULHR300083212</t>
  </si>
  <si>
    <t>6110/01/2022</t>
  </si>
  <si>
    <t>KHI/HO/D/MO/PC COMP/C/106590/260/01/2025</t>
  </si>
  <si>
    <t>9976AP2220140009</t>
  </si>
  <si>
    <t>MUHAMMAD TANVEER</t>
  </si>
  <si>
    <t>35202-4143871-5</t>
  </si>
  <si>
    <t>03007575466</t>
  </si>
  <si>
    <t xml:space="preserve">BEST BUY DEVELOPERS SHOP NO 4 CIVIC CENTER 30 MOON MARKET GULSHAN RAVI LAHORE </t>
  </si>
  <si>
    <t>57872/00078/01/2022</t>
  </si>
  <si>
    <t>340360</t>
  </si>
  <si>
    <t>508814</t>
  </si>
  <si>
    <t>OLULHR300083190</t>
  </si>
  <si>
    <t>6101/01/2022</t>
  </si>
  <si>
    <t>KHI/HO/D/MO/PC COMP/C/106590/261/01/2025</t>
  </si>
  <si>
    <t>9976AP1213640076</t>
  </si>
  <si>
    <t>MUHAMMAD AYUB</t>
  </si>
  <si>
    <t>35302-8095853-7</t>
  </si>
  <si>
    <t>03085340381</t>
  </si>
  <si>
    <t>03085340381, 03057341246</t>
  </si>
  <si>
    <t>03057341246</t>
  </si>
  <si>
    <t xml:space="preserve">HOUSE NO 33 MOHALLAH JINNAH ABAD KO T NEHAL SINGH GT ROAD OKARA OKARA PK </t>
  </si>
  <si>
    <t>57132/00227/12/2021</t>
  </si>
  <si>
    <t>2A43355</t>
  </si>
  <si>
    <t>7027196</t>
  </si>
  <si>
    <t>OLDOKR300082471</t>
  </si>
  <si>
    <t>DIB0032909</t>
  </si>
  <si>
    <t>KHI/HO/D/MO/PC COMP/C/103702/269/12/2024</t>
  </si>
  <si>
    <t>KHI/HO/D/MO/PC COMP/E/52165/00269/02/2025</t>
  </si>
  <si>
    <t>9976AP2220180017</t>
  </si>
  <si>
    <t>WAJEEM UR RAHMAN</t>
  </si>
  <si>
    <t>45302-7197148-3</t>
  </si>
  <si>
    <t>03335558849</t>
  </si>
  <si>
    <t xml:space="preserve">HOUSE NO.1440 AREA 31-G, KORANGI CROSSING NEAR AMAN PLAZA KARACHI 0333-5558849 </t>
  </si>
  <si>
    <t>57872/00087/01/2022</t>
  </si>
  <si>
    <t>12916482</t>
  </si>
  <si>
    <t>R019932</t>
  </si>
  <si>
    <t>BJU-565</t>
  </si>
  <si>
    <t>OLUKHI30008318</t>
  </si>
  <si>
    <t>DIB0033170</t>
  </si>
  <si>
    <t>KHI/HO/D/MO/PC COMP/C/106590/263/01/2025</t>
  </si>
  <si>
    <t>9976AP2213630021</t>
  </si>
  <si>
    <t>SADIA SARWAR</t>
  </si>
  <si>
    <t>33102-6079339-6</t>
  </si>
  <si>
    <t>03156096186</t>
  </si>
  <si>
    <t xml:space="preserve">HOUSE NO 301 MUHALLAH WEAVERS COLONY NO 2 FAISALABAD </t>
  </si>
  <si>
    <t>57132/00222/12/2021</t>
  </si>
  <si>
    <t>207792</t>
  </si>
  <si>
    <t>10107801</t>
  </si>
  <si>
    <t>AAX-097</t>
  </si>
  <si>
    <t>OLUFSD300082505</t>
  </si>
  <si>
    <t>5947/12/2021</t>
  </si>
  <si>
    <t>KHI/HO/D/MO/PC COMP/C/103702/270/12/2024</t>
  </si>
  <si>
    <t>KHI/HO/D/MO/PC COMP/E/52165/00270/02/2025</t>
  </si>
  <si>
    <t>9976AP2210190015</t>
  </si>
  <si>
    <t>CHAUDHRY FAKHAR ZAMAN</t>
  </si>
  <si>
    <t>37401-9755730-5</t>
  </si>
  <si>
    <t xml:space="preserve">H # B-308  ST # 30  SECTOR F-11/2  ISLAMABAD PK </t>
  </si>
  <si>
    <t>53545/00041/01/2021</t>
  </si>
  <si>
    <t>Q346904</t>
  </si>
  <si>
    <t>COROLLA ALTIS GRANDE CVT</t>
  </si>
  <si>
    <t>OLDISD300065013</t>
  </si>
  <si>
    <t>4055/01/2021/ITFM</t>
  </si>
  <si>
    <t>KHI/HO/D/MO/PC COMP/C/106590/265/01/2025</t>
  </si>
  <si>
    <t>9976AD1212650009</t>
  </si>
  <si>
    <t>TANVEER AFZAL</t>
  </si>
  <si>
    <t>35201-1698490-5</t>
  </si>
  <si>
    <t>03234442584</t>
  </si>
  <si>
    <t xml:space="preserve">OFFICE NO 26 IRIS BLOCK COMMERCIAL BAHRIA NASHEMAN FEROZPUR ROAD LAHORE </t>
  </si>
  <si>
    <t>57872/00085/01/2022</t>
  </si>
  <si>
    <t>L15Z14807449</t>
  </si>
  <si>
    <t>024165</t>
  </si>
  <si>
    <t>HONDA BR-V IV TEC</t>
  </si>
  <si>
    <t>OLALHR300073391</t>
  </si>
  <si>
    <t>DIB0033153</t>
  </si>
  <si>
    <t>KHI/HO/D/MO/PC COMP/C/106590/267/01/2025</t>
  </si>
  <si>
    <t>9976AP1213630050</t>
  </si>
  <si>
    <t>ZOHAIB MAQSOOD</t>
  </si>
  <si>
    <t>44101-8530273-1</t>
  </si>
  <si>
    <t>03003638235</t>
  </si>
  <si>
    <t xml:space="preserve">FLAT NO F 19 SULAIMAN PLAZA OPPOSITE ALADIN PARK GULSHAN-E-IQBAL KARACHI 0300-3638235 </t>
  </si>
  <si>
    <t>57132/00231/12/2021</t>
  </si>
  <si>
    <t>L13Z17512141</t>
  </si>
  <si>
    <t>NFBGM1648JR225549</t>
  </si>
  <si>
    <t>BMK-159</t>
  </si>
  <si>
    <t>OLUKHI300082512</t>
  </si>
  <si>
    <t>5969/12/2021</t>
  </si>
  <si>
    <t>KHI/HO/D/MO/PC COMP/C/103702/272/12/2024</t>
  </si>
  <si>
    <t>KHI/HO/D/MO/PC COMP/E/52165/00272/02/2025</t>
  </si>
  <si>
    <t>9976AP1213640063</t>
  </si>
  <si>
    <t>AHMAD SAJJAD</t>
  </si>
  <si>
    <t>41306-6246180-3</t>
  </si>
  <si>
    <t>03117610119</t>
  </si>
  <si>
    <t xml:space="preserve">STREET NO 1 MIAN KHAN WALI MOHALLAH RAJKOT GONDLANWALA ROAD GUJRANWALA </t>
  </si>
  <si>
    <t>57132/00228/12/2021</t>
  </si>
  <si>
    <t>R18Z12945996</t>
  </si>
  <si>
    <t>NFBFC6669JR049415</t>
  </si>
  <si>
    <t>AMD-612</t>
  </si>
  <si>
    <t>OLUGWL300082511</t>
  </si>
  <si>
    <t>5967/12/2021</t>
  </si>
  <si>
    <t>KHI/HO/D/MO/PC COMP/C/103702/273/12/2024</t>
  </si>
  <si>
    <t>KHI/HO/D/MO/PC COMP/E/52165/00273/02/2025</t>
  </si>
  <si>
    <t>9976AP1213630043</t>
  </si>
  <si>
    <t>FAIZAN ABDUL WAHAB</t>
  </si>
  <si>
    <t>42301-9346396-1</t>
  </si>
  <si>
    <t>03112262506</t>
  </si>
  <si>
    <t xml:space="preserve">FLAT # 22 6th FLOOR SANA ARCADE BLO CK-C PLOT # 17 SHEET GRW-1 HUDA DAS KARACHI PK </t>
  </si>
  <si>
    <t>57132/00229/12/2021</t>
  </si>
  <si>
    <t>2464270</t>
  </si>
  <si>
    <t>NZE170R-4090616</t>
  </si>
  <si>
    <t>BGQ-357</t>
  </si>
  <si>
    <t>OLUKHI300082520</t>
  </si>
  <si>
    <t>5970/12/2021</t>
  </si>
  <si>
    <t>KHI/HO/D/MO/PC COMP/C/103702/274/12/2024</t>
  </si>
  <si>
    <t>KHI/HO/D/MO/PC COMP/E/52165/00274/02/2025</t>
  </si>
  <si>
    <t>9976AP1213620020</t>
  </si>
  <si>
    <t>MUHAMMAD ASIF NAEEM</t>
  </si>
  <si>
    <t>33100-1191636-5</t>
  </si>
  <si>
    <t>03009666803</t>
  </si>
  <si>
    <t>03009666803, 03009666803</t>
  </si>
  <si>
    <t xml:space="preserve">P-81 ST NO 3 NEMAT COLONY NO 02 JAR ANWALA ROAD FSD NEAR TEZAIB MILL FAISALABAD PK </t>
  </si>
  <si>
    <t>57132/00221/12/2021</t>
  </si>
  <si>
    <t>L13217517267</t>
  </si>
  <si>
    <t>NFBGM1648JR232534</t>
  </si>
  <si>
    <t>FD-18-931</t>
  </si>
  <si>
    <t>OLUFSD300082514</t>
  </si>
  <si>
    <t>DIB0032912</t>
  </si>
  <si>
    <t>KHI/HO/D/MO/PC COMP/C/103702/276/12/2024</t>
  </si>
  <si>
    <t>KHI/HO/D/MO/PC COMP/E/52165/00276/02/2025</t>
  </si>
  <si>
    <t>9976AP1213630058</t>
  </si>
  <si>
    <t>ABDUL SAMAD</t>
  </si>
  <si>
    <t>45203-7517795-9</t>
  </si>
  <si>
    <t>03212266062</t>
  </si>
  <si>
    <t xml:space="preserve">FLAT NO. F-103, SAIMA PRIDE NEAR JOHAR NOR RASHID MINHAS BLOCK 10A, GULSHAN-E-IQBAL KARACHI </t>
  </si>
  <si>
    <t>57132/00230/12/2021</t>
  </si>
  <si>
    <t>6R147607</t>
  </si>
  <si>
    <t>NF1AET306H1047512</t>
  </si>
  <si>
    <t>BTE-780</t>
  </si>
  <si>
    <t>OLUKHI300082479</t>
  </si>
  <si>
    <t>5958/12/2021</t>
  </si>
  <si>
    <t>KHI/HO/D/MO/PC COMP/C/103702/277/12/2024</t>
  </si>
  <si>
    <t>KHI/HO/D/MO/PC COMP/E/52165/00277/02/2025</t>
  </si>
  <si>
    <t>997APD2193640002</t>
  </si>
  <si>
    <t>FAHAD RIAZ</t>
  </si>
  <si>
    <t>42201-3510362-7</t>
  </si>
  <si>
    <t>0213-4014577, 0321-8239073</t>
  </si>
  <si>
    <t>03218239073</t>
  </si>
  <si>
    <t>35292329-30</t>
  </si>
  <si>
    <t xml:space="preserve">FLAT NO A-18 3RD FLOOR NOMAN HEAVEN, BLOCK # 15 GULISTAN-E-JOHAR KARACHI PAKISTAN </t>
  </si>
  <si>
    <t>51531/00052/12/2019</t>
  </si>
  <si>
    <t>124152</t>
  </si>
  <si>
    <t>1023875</t>
  </si>
  <si>
    <t>ALTO VXL AGS EURO II</t>
  </si>
  <si>
    <t>PODKHI300052191</t>
  </si>
  <si>
    <t>DIB0028076</t>
  </si>
  <si>
    <t>KHI/HO/D/MO/PC COMP/C/103702/278/12/2024</t>
  </si>
  <si>
    <t>KHI/HO/D/MO/PC COMP/E/52165/00278/02/2025</t>
  </si>
  <si>
    <t>9976AP1210190019</t>
  </si>
  <si>
    <t>MUHAMMAD MUNIR IQBAL</t>
  </si>
  <si>
    <t>35202-5032174-1</t>
  </si>
  <si>
    <t xml:space="preserve">OFFICE NO 1118 11TH FLOOR EDEN HEIG HTS MAIN GULBERG JAIL ROAD  LAHORE </t>
  </si>
  <si>
    <t>53545/00049/01/2021</t>
  </si>
  <si>
    <t>1047703</t>
  </si>
  <si>
    <t>OLDLHR300065033</t>
  </si>
  <si>
    <t>DIB0029352</t>
  </si>
  <si>
    <t>KHI/HO/D/MO/PC COMP/C/106590/277/01/2025</t>
  </si>
  <si>
    <t>9976AP2213650072</t>
  </si>
  <si>
    <t>MUHAMMAD AMJAD</t>
  </si>
  <si>
    <t>35302-2119533-7</t>
  </si>
  <si>
    <t>03457503018</t>
  </si>
  <si>
    <t xml:space="preserve">HOSE NO 14STREET NO 7 MOHALLAH FAIS AL MEHMOOD COLONY OKARA PK </t>
  </si>
  <si>
    <t>57132/00226/12/2021</t>
  </si>
  <si>
    <t>6R138865</t>
  </si>
  <si>
    <t>NF1AET306H1038836</t>
  </si>
  <si>
    <t>ABD 846</t>
  </si>
  <si>
    <t>OLUOKR300082475</t>
  </si>
  <si>
    <t>KHI/HO/D/MO/PC COMP/C/103702/279/12/2024</t>
  </si>
  <si>
    <t>KHI/HO/D/MO/PC COMP/E/52165/00279/02/2025</t>
  </si>
  <si>
    <t>9976AD1212440018</t>
  </si>
  <si>
    <t>KHURRAM AKRAM</t>
  </si>
  <si>
    <t>35201-3572164-9</t>
  </si>
  <si>
    <t>03457323230</t>
  </si>
  <si>
    <t xml:space="preserve">DHA PHASE II NEAR WAPDA OFFICE ALFA LAH TOWN BADIAN ROAD LAHORE </t>
  </si>
  <si>
    <t>57132/00232/12/2021</t>
  </si>
  <si>
    <t>6R201735</t>
  </si>
  <si>
    <t>NF1AET306H1101749</t>
  </si>
  <si>
    <t>OLALHR300072667</t>
  </si>
  <si>
    <t>DIB0032926</t>
  </si>
  <si>
    <t>KHI/HO/D/MO/PC COMP/C/103702/280/12/2024</t>
  </si>
  <si>
    <t>KHI/HO/D/MO/PC COMP/E/52165/00280/02/2025</t>
  </si>
  <si>
    <t>9976AP1210180010</t>
  </si>
  <si>
    <t>GULFAM AKHTAR</t>
  </si>
  <si>
    <t>17301-5363627-7</t>
  </si>
  <si>
    <t xml:space="preserve">H # 2 ST # 17 NEAR RAYAN BOYS HOSTE L NEAR NUST GATE # 4 ABDUL GHANI RO ISLAMABAD PK </t>
  </si>
  <si>
    <t>53545/00053/01/2021</t>
  </si>
  <si>
    <t>26718</t>
  </si>
  <si>
    <t>RIC-18-82</t>
  </si>
  <si>
    <t>OLUISD300065046</t>
  </si>
  <si>
    <t>4060/01/2021/ITFM</t>
  </si>
  <si>
    <t>KHI/HO/D/MO/PC COMP/C/106590/280/01/2025</t>
  </si>
  <si>
    <t>9976AP2213620015</t>
  </si>
  <si>
    <t>MUBASHIR MIRAJ</t>
  </si>
  <si>
    <t>33102-1909471-5</t>
  </si>
  <si>
    <t>03447900083</t>
  </si>
  <si>
    <t>03447900083, 03447900083</t>
  </si>
  <si>
    <t xml:space="preserve">P-3 ST NO 20 ABDULLAH PUR FSD NEAR HABIB PRINT MILL FAISALABAD PK </t>
  </si>
  <si>
    <t>57132/00216/12/2021</t>
  </si>
  <si>
    <t>604669</t>
  </si>
  <si>
    <t>511535</t>
  </si>
  <si>
    <t>FD-15-508</t>
  </si>
  <si>
    <t>OLUFSD300082460</t>
  </si>
  <si>
    <t>5042/12/2021</t>
  </si>
  <si>
    <t>KHI/HO/D/MO/PC COMP/C/103702/281/12/2024</t>
  </si>
  <si>
    <t>KHI/HO/D/MO/PC COMP/E/52165/00281/02/2025</t>
  </si>
  <si>
    <t>9976AD2221660006</t>
  </si>
  <si>
    <t>35402-9254113-1</t>
  </si>
  <si>
    <t>03091056548</t>
  </si>
  <si>
    <t xml:space="preserve">H NO B3 WATER MANAGEMENT COLONY THO KER NIAZ BAIG LAHORE PK </t>
  </si>
  <si>
    <t>65483/00038/12/2022</t>
  </si>
  <si>
    <t>6R265602</t>
  </si>
  <si>
    <t>1165580</t>
  </si>
  <si>
    <t>OLALHR300088072</t>
  </si>
  <si>
    <t>9692/12/2022/ITFM</t>
  </si>
  <si>
    <t>KHI/HO/D/MO/PC COMP/C/103702/286/12/2024</t>
  </si>
  <si>
    <t>KHI/HO/D/MO/PC COMP/E/52165/00286/02/2025</t>
  </si>
  <si>
    <t>997AAD1202370004</t>
  </si>
  <si>
    <t>MUHAMMAD ASIF</t>
  </si>
  <si>
    <t>35201-7698944-3</t>
  </si>
  <si>
    <t>03334403280</t>
  </si>
  <si>
    <t xml:space="preserve">H NO 01 OPP HAMAD PARK TOKAY WALA C HOWK SHERSHAH ROAD SHADBAGH LAHORE PK </t>
  </si>
  <si>
    <t>53326/00101/12/2020</t>
  </si>
  <si>
    <t>G4NALH336273</t>
  </si>
  <si>
    <t>NNAQL51AZKP507454</t>
  </si>
  <si>
    <t>POALHR300056754</t>
  </si>
  <si>
    <t>KHI/HO/D/MO/PC COMP/C/103702/289/12/2024</t>
  </si>
  <si>
    <t>KHI/HO/D/MO/PC COMP/E/52165/00289/02/2025</t>
  </si>
  <si>
    <t>9976AD1203490022</t>
  </si>
  <si>
    <t>ABID SARFARAZ GABOL</t>
  </si>
  <si>
    <t>42301-4649632-5</t>
  </si>
  <si>
    <t xml:space="preserve">BLOOM RESIDENCY FLAT#1502, AMIR KHUSRO ROAD, CIVIL LINES, KARACHI </t>
  </si>
  <si>
    <t>53545/00055/01/2021</t>
  </si>
  <si>
    <t>R068354</t>
  </si>
  <si>
    <t>POAKHI300063611</t>
  </si>
  <si>
    <t>4043/01/2021/ITFM</t>
  </si>
  <si>
    <t>KHI/HO/D/MO/PC COMP/C/106590/283/01/2025</t>
  </si>
  <si>
    <t>9976AP1220180033</t>
  </si>
  <si>
    <t>HARIS DAWOOD</t>
  </si>
  <si>
    <t>42201-3051325-1</t>
  </si>
  <si>
    <t>03202259059</t>
  </si>
  <si>
    <t xml:space="preserve">HARIS TRADERS PLOT NO L-64 GABOL TOWN NORTH KARACHI INDUSTRIAL AREA KARACHI PAKISTAN </t>
  </si>
  <si>
    <t>57872/00090/1/2022</t>
  </si>
  <si>
    <t>Q036919</t>
  </si>
  <si>
    <t>R-6014396</t>
  </si>
  <si>
    <t>BJE-468</t>
  </si>
  <si>
    <t>OLUKHI30083187</t>
  </si>
  <si>
    <t>DIB0033169</t>
  </si>
  <si>
    <t>KHI/HO/D/MO/PC COMP/C/106590/284/01/2025</t>
  </si>
  <si>
    <t>9976AP1213630038</t>
  </si>
  <si>
    <t>SALMAN SHAFI</t>
  </si>
  <si>
    <t>42000-7932206-9</t>
  </si>
  <si>
    <t>03219099123</t>
  </si>
  <si>
    <t xml:space="preserve">PLOT # D-147 SECTOR 31-D P AND T COOPERATIVE HOUSING SOCIETY KARACHI 03219099123 </t>
  </si>
  <si>
    <t>57132/00205/12/2021</t>
  </si>
  <si>
    <t>R18Z16925842</t>
  </si>
  <si>
    <t>NFBFC6660MR078368</t>
  </si>
  <si>
    <t>BUU 266</t>
  </si>
  <si>
    <t>OLUKHI300082380</t>
  </si>
  <si>
    <t>5983/12/2021</t>
  </si>
  <si>
    <t>KHI/HO/D/MO/PC COMP/C/103702/290/12/2024</t>
  </si>
  <si>
    <t>KHI/HO/D/MO/PC COMP/E/52165/00290/02/2025</t>
  </si>
  <si>
    <t>9976AP1213620021</t>
  </si>
  <si>
    <t>FARRUKH ZEB</t>
  </si>
  <si>
    <t>54400-0552536-7</t>
  </si>
  <si>
    <t>03458331303</t>
  </si>
  <si>
    <t xml:space="preserve">HOUSE NO 1.5 KM MAIN RAIWAIND ROAD OPP DENTAL HOSPITAL U.O.L LAHORE </t>
  </si>
  <si>
    <t>57132/00201/12/2021</t>
  </si>
  <si>
    <t>12936668</t>
  </si>
  <si>
    <t>R040100</t>
  </si>
  <si>
    <t>LE-18A-1359</t>
  </si>
  <si>
    <t>HONDA CIVIC ORIEL</t>
  </si>
  <si>
    <t>OLULHR300082414</t>
  </si>
  <si>
    <t>DIB0032890</t>
  </si>
  <si>
    <t>KHI/HO/D/MO/PC COMP/C/103702/291/12/2024</t>
  </si>
  <si>
    <t>KHI/HO/D/MO/PC COMP/E/52165/00291/02/2025</t>
  </si>
  <si>
    <t>9976AP1213620030</t>
  </si>
  <si>
    <t>MUHAMMAD SHAHID SHABIR</t>
  </si>
  <si>
    <t>33104-1727958-5</t>
  </si>
  <si>
    <t>03216603719</t>
  </si>
  <si>
    <t xml:space="preserve">CHAK NO.266/R.B KURIANWALA TEHSIL JARANWALA DISTT FAISALABAD </t>
  </si>
  <si>
    <t>37132/00196/12/2021</t>
  </si>
  <si>
    <t>R18Z12900316</t>
  </si>
  <si>
    <t>NFBFC6668GR000456</t>
  </si>
  <si>
    <t>LEH-16-278</t>
  </si>
  <si>
    <t>OLUFSD300082390</t>
  </si>
  <si>
    <t>5951/12/2021</t>
  </si>
  <si>
    <t>KHI/HO/D/MO/PC COMP/C/103702/296/12/2024</t>
  </si>
  <si>
    <t>KHI/HO/D/MO/PC COMP/E/52165/00296/02/2025</t>
  </si>
  <si>
    <t>9976AP1213620015</t>
  </si>
  <si>
    <t>NAEEM KHAN</t>
  </si>
  <si>
    <t>42101-2966381-3</t>
  </si>
  <si>
    <t>03158318057</t>
  </si>
  <si>
    <t xml:space="preserve">HOUSE NO 308 SEC 11-E ISLAMIA COLON Y NORTH KHI HARI MAJSID KARACHI PK </t>
  </si>
  <si>
    <t>57132/00203/12/2021</t>
  </si>
  <si>
    <t>6R149504</t>
  </si>
  <si>
    <t>H1049492</t>
  </si>
  <si>
    <t>BSW-486</t>
  </si>
  <si>
    <t>OLUKHI300082299</t>
  </si>
  <si>
    <t>DIB0032896</t>
  </si>
  <si>
    <t>KHI/HO/D/MO/PC COMP/C/103702/299/12/2024</t>
  </si>
  <si>
    <t>KHI/HO/D/MO/PC COMP/E/52165/00299/02/2025</t>
  </si>
  <si>
    <t>997AAD2202520002</t>
  </si>
  <si>
    <t>SHAFQAT JAHAN</t>
  </si>
  <si>
    <t>TOBA TEK SINGH</t>
  </si>
  <si>
    <t>33100-0780213-0</t>
  </si>
  <si>
    <t>03358282559</t>
  </si>
  <si>
    <t>03358282559, 03358282559</t>
  </si>
  <si>
    <t>0462512536</t>
  </si>
  <si>
    <t xml:space="preserve">ARAIN STREET MUSTAFA ABAD TTS PK </t>
  </si>
  <si>
    <t>DIB/T/BT/29957/LHR/1220</t>
  </si>
  <si>
    <t>G3LALP072444</t>
  </si>
  <si>
    <t>NNATA52AZKP703694</t>
  </si>
  <si>
    <t>PICANTO A/T</t>
  </si>
  <si>
    <t>POATTS300057139</t>
  </si>
  <si>
    <t>3869/12/2020</t>
  </si>
  <si>
    <t>KHI/HO/D/MO/PC COMP/C/103702/300/12/2024</t>
  </si>
  <si>
    <t>KHI/HO/D/MO/PC COMP/E/52165/00300/02/2025</t>
  </si>
  <si>
    <t>9976AP1220200042</t>
  </si>
  <si>
    <t>TAHA GHAZALI</t>
  </si>
  <si>
    <t>35202-1550104-7</t>
  </si>
  <si>
    <t>03104632859</t>
  </si>
  <si>
    <t>03001119145</t>
  </si>
  <si>
    <t xml:space="preserve">HOUSE NO 14/15-B ANGORI SCHEME NO 2 SHALIMAR LINK ROAD LAHORE PK </t>
  </si>
  <si>
    <t>57872/00095/01/2022</t>
  </si>
  <si>
    <t>71403704</t>
  </si>
  <si>
    <t>R058195</t>
  </si>
  <si>
    <t>APC-207</t>
  </si>
  <si>
    <t>HONDA CIVIC 1.5L</t>
  </si>
  <si>
    <t>OLULHR300083226</t>
  </si>
  <si>
    <t>6115/01/2022</t>
  </si>
  <si>
    <t>KHI/HO/D/MO/PC COMP/C/106590/290/01/2025</t>
  </si>
  <si>
    <t>9976AP1240170008</t>
  </si>
  <si>
    <t>MOHAN LAL</t>
  </si>
  <si>
    <t>44107-5393682-9</t>
  </si>
  <si>
    <t>32228280</t>
  </si>
  <si>
    <t>0333-2113953</t>
  </si>
  <si>
    <t>35045354</t>
  </si>
  <si>
    <t xml:space="preserve">FLAT# 715 7TH FLOOR DEPOT LANE 133 OPPOSITE NASRA SCHOOL KIYANI ROAD HUMA HIGHTS SADAR CAPRI CENIMA KARACHI </t>
  </si>
  <si>
    <t>81032/00011/01/2024</t>
  </si>
  <si>
    <t>142944</t>
  </si>
  <si>
    <t>10042925</t>
  </si>
  <si>
    <t>BKQ-930</t>
  </si>
  <si>
    <t>21-JAN-2024</t>
  </si>
  <si>
    <t>OLUKHI300099039</t>
  </si>
  <si>
    <t>10729/01/2024/ITFM</t>
  </si>
  <si>
    <t>KHI/HO/D/MO/PC COMP/C/106590/291/01/2025</t>
  </si>
  <si>
    <t>9976AD2212520009</t>
  </si>
  <si>
    <t>SAFDAR SAMDANI</t>
  </si>
  <si>
    <t>42101-1816660-9</t>
  </si>
  <si>
    <t>02134170627</t>
  </si>
  <si>
    <t>03223433043</t>
  </si>
  <si>
    <t xml:space="preserve">OFFICE # 1504 15TH FLOOR EMERALD TO WER CLIFON BLOCK 5 DO TALWAR KARACHI </t>
  </si>
  <si>
    <t>57132/00197/12/2021</t>
  </si>
  <si>
    <t>16930047</t>
  </si>
  <si>
    <t>082631</t>
  </si>
  <si>
    <t>OLAKHI300073307</t>
  </si>
  <si>
    <t>DIB0032859</t>
  </si>
  <si>
    <t>KHI/HO/D/MO/PC COMP/C/103702/304/12/2024</t>
  </si>
  <si>
    <t>KHI/HO/D/MO/PC COMP/E/52165/00304/02/2025</t>
  </si>
  <si>
    <t>9976AP1213630034</t>
  </si>
  <si>
    <t>FAHAD MAHMOOD BUTT</t>
  </si>
  <si>
    <t>34101-6700791-7</t>
  </si>
  <si>
    <t>03217512101</t>
  </si>
  <si>
    <t xml:space="preserve">HOUSE Z-725, STREET 03 GURUNANAK PURA GUJRANWALA </t>
  </si>
  <si>
    <t>57132/00209/12/2021</t>
  </si>
  <si>
    <t>183046</t>
  </si>
  <si>
    <t>10083039</t>
  </si>
  <si>
    <t>LEB-19-1821</t>
  </si>
  <si>
    <t>OLUGWL300082398</t>
  </si>
  <si>
    <t>5948/12/2021</t>
  </si>
  <si>
    <t>KHI/HO/D/MO/PC COMP/C/103702/307/12/2024</t>
  </si>
  <si>
    <t>KHI/HO/D/MO/PC COMP/E/52165/00307/02/2025</t>
  </si>
  <si>
    <t>9976AD2212370006</t>
  </si>
  <si>
    <t>MEHRNAZ BARRY</t>
  </si>
  <si>
    <t>42301-4961018-4</t>
  </si>
  <si>
    <t>3212071354</t>
  </si>
  <si>
    <t>03242126236</t>
  </si>
  <si>
    <t xml:space="preserve">43/3 10TH STREET KHY-E-SHAHBAZ OPP ALVI DENTAL PHASE 6 DHA KARACHI </t>
  </si>
  <si>
    <t>57132/00191/12/2021</t>
  </si>
  <si>
    <t>6R200930</t>
  </si>
  <si>
    <t>1100926</t>
  </si>
  <si>
    <t>OLAKHI300072313</t>
  </si>
  <si>
    <t>DIB0032829</t>
  </si>
  <si>
    <t>KHI/HO/D/MO/PC COMP/C/103702/308/12/2024</t>
  </si>
  <si>
    <t>KHI/HO/D/MO/PC COMP/E/52165/00308/02/2025</t>
  </si>
  <si>
    <t>9976AP1230180002</t>
  </si>
  <si>
    <t>LATIF UR REHMAN</t>
  </si>
  <si>
    <t>17301-3409107-7</t>
  </si>
  <si>
    <t>03331662929</t>
  </si>
  <si>
    <t xml:space="preserve">AL HABIB SEEDS STORE VEGETABLE SEEDS TRADERS NEW GRAIN MARKET GUR MANDI PESHAWAR 03331662929 </t>
  </si>
  <si>
    <t>66406/00033/01/2023</t>
  </si>
  <si>
    <t>1013094</t>
  </si>
  <si>
    <t>030018</t>
  </si>
  <si>
    <t>OLDPEW300091613</t>
  </si>
  <si>
    <t>9807/01/2023/ITFM</t>
  </si>
  <si>
    <t>KHI/HO/D/MO/PC COMP/C/106590/297/01/2025</t>
  </si>
  <si>
    <t>9976AD1212420021</t>
  </si>
  <si>
    <t>HASEEB ASHFAQ</t>
  </si>
  <si>
    <t>33103-4252061-9</t>
  </si>
  <si>
    <t>03110620262</t>
  </si>
  <si>
    <t xml:space="preserve">1ST FLOOR SHAHEEN COMPLEX ABBOT ROA D LAHORE </t>
  </si>
  <si>
    <t>57132/00187/12/2021</t>
  </si>
  <si>
    <t>201175</t>
  </si>
  <si>
    <t>1101172</t>
  </si>
  <si>
    <t>OLALHR300072665</t>
  </si>
  <si>
    <t>DIB0032874</t>
  </si>
  <si>
    <t>KHI/HO/D/MO/PC COMP/C/103702/309/12/2024</t>
  </si>
  <si>
    <t>KHI/HO/D/MO/PC COMP/E/52165/00309/02/2025</t>
  </si>
  <si>
    <t>9976AP1213630051</t>
  </si>
  <si>
    <t>HAJI KHAN</t>
  </si>
  <si>
    <t>41204-7619914-1</t>
  </si>
  <si>
    <t>03332662501</t>
  </si>
  <si>
    <t xml:space="preserve">H NO C-17/2 MUHALLA ANWER VILLAZ PH ASE 2 QASIMABAD HYDERABAD PK </t>
  </si>
  <si>
    <t>57132/00198/12/2021</t>
  </si>
  <si>
    <t>PKF625645</t>
  </si>
  <si>
    <t>SF410PK532534</t>
  </si>
  <si>
    <t>BGA-945</t>
  </si>
  <si>
    <t>SUZUKI CULTUS VXRI EURO II</t>
  </si>
  <si>
    <t>OLUHYD300082402</t>
  </si>
  <si>
    <t>5932/12/2021</t>
  </si>
  <si>
    <t>KHI/HO/D/MO/PC COMP/C/103702/311/12/2024</t>
  </si>
  <si>
    <t>KHI/HO/D/MO/PC COMP/E/52165/00311/02/2025</t>
  </si>
  <si>
    <t>9976AD2212380008</t>
  </si>
  <si>
    <t>MOHAMMAD USMAN</t>
  </si>
  <si>
    <t>41306-8218981-7</t>
  </si>
  <si>
    <t>03003012705</t>
  </si>
  <si>
    <t>0222109500</t>
  </si>
  <si>
    <t xml:space="preserve">296 ABDULLAH GARDEN PHASE 2 QASIMAB AD PEARL RESIDENCY HYDERABAD HYDERABAD PK </t>
  </si>
  <si>
    <t>57132/00212/12/2021</t>
  </si>
  <si>
    <t>200851</t>
  </si>
  <si>
    <t>1100821</t>
  </si>
  <si>
    <t>OLAKHI300072399</t>
  </si>
  <si>
    <t>DIB0032861</t>
  </si>
  <si>
    <t>KHI/HO/D/MO/PC COMP/C/103702/313/12/2024</t>
  </si>
  <si>
    <t>KHI/HO/D/MO/PC COMP/E/52165/00313/02/2025</t>
  </si>
  <si>
    <t>9976AP1213620019</t>
  </si>
  <si>
    <t>FARAH DEEBA</t>
  </si>
  <si>
    <t>45304-2371022-4</t>
  </si>
  <si>
    <t>03333991187</t>
  </si>
  <si>
    <t xml:space="preserve">FLAT # 1003 101 FLOOR BLOCK B ALPIN E TOWER GULISTAN E JOHAR BLOCK 10 KARACHI PK </t>
  </si>
  <si>
    <t>57132/00199/12/2021</t>
  </si>
  <si>
    <t>6R136998</t>
  </si>
  <si>
    <t>1036997</t>
  </si>
  <si>
    <t>BRR-807</t>
  </si>
  <si>
    <t>OLUKHI300082418</t>
  </si>
  <si>
    <t>5954/12/2021</t>
  </si>
  <si>
    <t>KHI/HO/D/MO/PC COMP/C/103702/314/12/2024</t>
  </si>
  <si>
    <t>KHI/HO/D/MO/PC COMP/E/52165/00314/02/2025</t>
  </si>
  <si>
    <t>9976AP1230170001</t>
  </si>
  <si>
    <t>KAMRAN QURESHI</t>
  </si>
  <si>
    <t>37405-3186169-1</t>
  </si>
  <si>
    <t>03410050040</t>
  </si>
  <si>
    <t xml:space="preserve">SHOP 2, BLOCK 3 ABPARA MARKET ISLAMABAD 03410050040 </t>
  </si>
  <si>
    <t>66406/00032/01/2023</t>
  </si>
  <si>
    <t>131045</t>
  </si>
  <si>
    <t>10031010</t>
  </si>
  <si>
    <t>OLUISD300091615</t>
  </si>
  <si>
    <t>9797/01/2023/ITFM</t>
  </si>
  <si>
    <t>KHI/HO/D/MO/PC COMP/C/106590/300/01/2025</t>
  </si>
  <si>
    <t>9976AP2240170006</t>
  </si>
  <si>
    <t>SHEREBANU</t>
  </si>
  <si>
    <t>42301-0255298-0</t>
  </si>
  <si>
    <t>03351243407</t>
  </si>
  <si>
    <t>03351243407, 03351243407</t>
  </si>
  <si>
    <t xml:space="preserve">FLAT # 303 1ST FLOOR FAIZ-E-HUSSAIN BUILDING BUNDER ROAD M.A. JINNAH R KARACHI PK </t>
  </si>
  <si>
    <t>81032/00014/01/2024</t>
  </si>
  <si>
    <t>113400</t>
  </si>
  <si>
    <t>1013345</t>
  </si>
  <si>
    <t>BQX-526</t>
  </si>
  <si>
    <t>OLUKHI300099053</t>
  </si>
  <si>
    <t>10737/01/2024/ITFM</t>
  </si>
  <si>
    <t>KHI/HO/D/MO/PC COMP/C/106590/298/01/2025</t>
  </si>
  <si>
    <t>9976AP2240170005</t>
  </si>
  <si>
    <t>SAAD REHMAN</t>
  </si>
  <si>
    <t>32202-4306804-5</t>
  </si>
  <si>
    <t>03350541668</t>
  </si>
  <si>
    <t xml:space="preserve">H # 3 MALIK HOUSE ST # 3 ABDULLAH G ARDEN SECTOR H-13/4 NEAR HASHIM GEN ISLAMABAD PK </t>
  </si>
  <si>
    <t>81032/00015/01/2024</t>
  </si>
  <si>
    <t>311871</t>
  </si>
  <si>
    <t>7010900</t>
  </si>
  <si>
    <t>F-E-182</t>
  </si>
  <si>
    <t>OLUISD300099060</t>
  </si>
  <si>
    <t>10734/01/2024/ITFM</t>
  </si>
  <si>
    <t>KHI/HO/D/MO/PC COMP/C/106590/296/01/2025</t>
  </si>
  <si>
    <t>9976AD2212630005</t>
  </si>
  <si>
    <t>SHAHZAD AHMED</t>
  </si>
  <si>
    <t>33102-1748119-1</t>
  </si>
  <si>
    <t>0412430806</t>
  </si>
  <si>
    <t>03008650717, 03008650717</t>
  </si>
  <si>
    <t>03008650717</t>
  </si>
  <si>
    <t xml:space="preserve">40-J J BLOCK PARADISE VALLEY I GATW ALA PULL SHEIKHUPURA ROAD FSD FAISALABAD PK </t>
  </si>
  <si>
    <t>2021-12-205-V01501OP0003240</t>
  </si>
  <si>
    <t>PK10K190464</t>
  </si>
  <si>
    <t>NF1AVK31H10090447</t>
  </si>
  <si>
    <t>OLAFSD300073706</t>
  </si>
  <si>
    <t>DIB0032886</t>
  </si>
  <si>
    <t>KHI/HO/D/MO/PC COMP/C/103702/316/12/2024</t>
  </si>
  <si>
    <t>KHI/HO/D/MO/PC COMP/E/52165/00316/02/2025</t>
  </si>
  <si>
    <t>9976AP2240170004</t>
  </si>
  <si>
    <t>SAJID AZIZ MEER</t>
  </si>
  <si>
    <t>35202-4169817-3</t>
  </si>
  <si>
    <t>03218424284</t>
  </si>
  <si>
    <t>32464484</t>
  </si>
  <si>
    <t xml:space="preserve">SUIT 1302 K.S TRADE TOWER SHAHRAH -E-LIAQUAT NEW CHALLI KARACHI 32464484 </t>
  </si>
  <si>
    <t>81032/00006/01/2024</t>
  </si>
  <si>
    <t>842410</t>
  </si>
  <si>
    <t>301809</t>
  </si>
  <si>
    <t>AVX-387</t>
  </si>
  <si>
    <t>OLULHR300099059</t>
  </si>
  <si>
    <t>10735/01/2024/ITFM</t>
  </si>
  <si>
    <t>KHI/HO/D/MO/PC COMP/C/106590/295/01/2025</t>
  </si>
  <si>
    <t>9976AP2240170003</t>
  </si>
  <si>
    <t>SAJJAD HUSSAIN MUNTAZRI</t>
  </si>
  <si>
    <t>38402-9064478-1</t>
  </si>
  <si>
    <t>03126537001</t>
  </si>
  <si>
    <t xml:space="preserve">H # 5 MOHAMMADIA CORPORATION STREET ALI PUR FARASH JAGIOT ROAD ISLAMABAD PK </t>
  </si>
  <si>
    <t>81032/00013/01/2024</t>
  </si>
  <si>
    <t>292945</t>
  </si>
  <si>
    <t>1192971</t>
  </si>
  <si>
    <t>2024</t>
  </si>
  <si>
    <t>OLDISD300099055</t>
  </si>
  <si>
    <t>10733/01/2024/ITFM</t>
  </si>
  <si>
    <t>KHI/HO/D/MO/PC COMP/C/106590/294/01/2025</t>
  </si>
  <si>
    <t>9976AP2203650015</t>
  </si>
  <si>
    <t>SYED MUHAMMAD HARIS</t>
  </si>
  <si>
    <t>42301-6308281-2</t>
  </si>
  <si>
    <t>03462021891</t>
  </si>
  <si>
    <t xml:space="preserve">FLAT # 603 6TH FLOOR FATIMA ARCADE YOUNG HOUSING ROAD KHARADAR NEAR EX KARACHI PK </t>
  </si>
  <si>
    <t>53326/00095/12/2020</t>
  </si>
  <si>
    <t>8454864</t>
  </si>
  <si>
    <t>2030873</t>
  </si>
  <si>
    <t>TOYOTA VITZ</t>
  </si>
  <si>
    <t>OLUKHI300064157</t>
  </si>
  <si>
    <t>3880/12/2020/ITFM</t>
  </si>
  <si>
    <t>KHI/HO/D/MO/PC COMP/C/103702/320/12/2024</t>
  </si>
  <si>
    <t>KHI/HO/D/MO/PC COMP/E/52165/00320/02/2025</t>
  </si>
  <si>
    <t>9976AP1223620044</t>
  </si>
  <si>
    <t>MUHAMMAD SHAHBAZ AHMAD</t>
  </si>
  <si>
    <t>33301-2055405-5</t>
  </si>
  <si>
    <t>03366632066</t>
  </si>
  <si>
    <t>03366632066, 03366632066</t>
  </si>
  <si>
    <t xml:space="preserve">P-217/B SARGODHA ROAD LASANI TOWN F SD NEAR SB STORE FAISALABAD </t>
  </si>
  <si>
    <t>65483/00035/12/2022</t>
  </si>
  <si>
    <t>504236</t>
  </si>
  <si>
    <t>1017175</t>
  </si>
  <si>
    <t>OLDFSD300091330</t>
  </si>
  <si>
    <t>108960/12/2022</t>
  </si>
  <si>
    <t>KHI/HO/D/MO/PC COMP/C/103702/321/12/2024</t>
  </si>
  <si>
    <t>KHI/HO/D/MO/PC COMP/E/52165/00321/02/2025</t>
  </si>
  <si>
    <t>9976AP1213630059</t>
  </si>
  <si>
    <t>MUKHTAR AHMED</t>
  </si>
  <si>
    <t>45402-0921932-7</t>
  </si>
  <si>
    <t>03145555506</t>
  </si>
  <si>
    <t xml:space="preserve">AL RAYAN COMMUNICATION GOLWALA COMPLEX KACHERI ROAD NAWABSHAH </t>
  </si>
  <si>
    <t>57132/00182/12/2021</t>
  </si>
  <si>
    <t>Q085331</t>
  </si>
  <si>
    <t>R-6062804</t>
  </si>
  <si>
    <t>TOYOTA COROLLA</t>
  </si>
  <si>
    <t>OLDNWB300082343</t>
  </si>
  <si>
    <t>5924/12/2021</t>
  </si>
  <si>
    <t>KHI/HO/D/MO/PC COMP/C/103702/322/12/2024</t>
  </si>
  <si>
    <t>KHI/HO/D/MO/PC COMP/E/52165/00322/02/2025</t>
  </si>
  <si>
    <t>9976AP1213630055</t>
  </si>
  <si>
    <t>ABDUL WAHID</t>
  </si>
  <si>
    <t>37405-1689029-3</t>
  </si>
  <si>
    <t>03335903375</t>
  </si>
  <si>
    <t xml:space="preserve">H # 612/46 ST # 6 DHERI HASSANABAD NEAR PATHANON WALI MASJID RAWALPINDI PK </t>
  </si>
  <si>
    <t>57132/00178/12/2021</t>
  </si>
  <si>
    <t>100514</t>
  </si>
  <si>
    <t>MR008285</t>
  </si>
  <si>
    <t>OLDRWP300082356</t>
  </si>
  <si>
    <t>DIB0032860</t>
  </si>
  <si>
    <t>KHI/HO/D/MO/PC COMP/C/103702/326/12/2024</t>
  </si>
  <si>
    <t>KHI/HO/D/MO/PC COMP/E/52165/00326/02/2025</t>
  </si>
  <si>
    <t>9976AP2220260017</t>
  </si>
  <si>
    <t>GHULAM SARWAR</t>
  </si>
  <si>
    <t>45401-1002117-1</t>
  </si>
  <si>
    <t>03003210377</t>
  </si>
  <si>
    <t xml:space="preserve">MUHALLA REHMANABAD BANDI DAUR NAWAB SHAH SHAHEED BENAZIRABAD GHULAM SAR NAWABSHAH PK </t>
  </si>
  <si>
    <t>57872/00100/01/2022</t>
  </si>
  <si>
    <t>188964</t>
  </si>
  <si>
    <t>10088980</t>
  </si>
  <si>
    <t>OLDNWB300083165</t>
  </si>
  <si>
    <t>6121/01/2022</t>
  </si>
  <si>
    <t>KHI/HO/D/MO/PC COMP/C/106590/289/01/2025</t>
  </si>
  <si>
    <t>9976AP2220250011</t>
  </si>
  <si>
    <t>AMJAD ALI</t>
  </si>
  <si>
    <t>35401-7466608-7</t>
  </si>
  <si>
    <t>03445249591</t>
  </si>
  <si>
    <t>03075140391</t>
  </si>
  <si>
    <t xml:space="preserve">ST# 47 NEAR PUNJAB CHAKI ATTA AND B ISMILLAH PARKING MOHRABADI ISLAMABAD PK </t>
  </si>
  <si>
    <t>57872/00098/01/2022</t>
  </si>
  <si>
    <t>51006925</t>
  </si>
  <si>
    <t>010895</t>
  </si>
  <si>
    <t>HINDA CITY I-VTEC 1.2L MT</t>
  </si>
  <si>
    <t>OLDISD300083125</t>
  </si>
  <si>
    <t>6122/01/2022</t>
  </si>
  <si>
    <t>KHI/HO/D/MO/PC COMP/C/106590/288/01/2025</t>
  </si>
  <si>
    <t>9976AP1220270066</t>
  </si>
  <si>
    <t>DANIAL KHAN</t>
  </si>
  <si>
    <t>Sialkot</t>
  </si>
  <si>
    <t>34603-4768842-7</t>
  </si>
  <si>
    <t>03157816069</t>
  </si>
  <si>
    <t xml:space="preserve">DANIAL LEATHER AIRPORT ROAD, KAPOORWALI DISTT SILKOT NEAR GLAXY SWEET SIALKOT </t>
  </si>
  <si>
    <t>57872/00103/01/2022</t>
  </si>
  <si>
    <t>51006819</t>
  </si>
  <si>
    <t>R010836</t>
  </si>
  <si>
    <t>OLDSKT300082965</t>
  </si>
  <si>
    <t>DIB0033184</t>
  </si>
  <si>
    <t>KHI/HO/D/MO/PC COMP/C/106590/287/01/2025</t>
  </si>
  <si>
    <t>997AAD1202390006</t>
  </si>
  <si>
    <t>KHADIJA MUZAFFAR</t>
  </si>
  <si>
    <t>35201-6756194-2</t>
  </si>
  <si>
    <t>03018436801</t>
  </si>
  <si>
    <t xml:space="preserve">PEPSI COLA , PLOT 413 , SUNDAR INDU STRIAL ESTATE RAIWIND SUNDAR ROAD, NEAR SHELL PUMP LAHORE </t>
  </si>
  <si>
    <t>2524/02243/00064/12/2020</t>
  </si>
  <si>
    <t>G3LALP077786</t>
  </si>
  <si>
    <t>NNATA52AXKP500598</t>
  </si>
  <si>
    <t>KIA PICANTO 1.0 M/T</t>
  </si>
  <si>
    <t>POALHR300056766</t>
  </si>
  <si>
    <t>DIB0029216</t>
  </si>
  <si>
    <t>KHI/HO/D/MO/PC COMP/C/103702/329/12/2024</t>
  </si>
  <si>
    <t>KHI/HO/D/MO/PC COMP/E/52165/00330/02/2025</t>
  </si>
  <si>
    <t>9976AP1233610005</t>
  </si>
  <si>
    <t>42101-3635885-3</t>
  </si>
  <si>
    <t>03491306794</t>
  </si>
  <si>
    <t xml:space="preserve">PLOT # 450, 2ND FLOOR, BLOCK-2, AZIZABAD, NEAR AZIZABAD POLICE STATION, KARACHI. (0349-1306794) </t>
  </si>
  <si>
    <t>78992/00043/12/2023</t>
  </si>
  <si>
    <t>1017513</t>
  </si>
  <si>
    <t>00200360</t>
  </si>
  <si>
    <t>OLDKLHI300098779</t>
  </si>
  <si>
    <t>DIB0035541</t>
  </si>
  <si>
    <t>KHI/HO/D/MO/PC COMP/C/103702/339/12/2024</t>
  </si>
  <si>
    <t>9976AD1212570025</t>
  </si>
  <si>
    <t>MUHAMMAD ARSHAD AMIR</t>
  </si>
  <si>
    <t>35101-2727378-1</t>
  </si>
  <si>
    <t>03002132619</t>
  </si>
  <si>
    <t>04235111044-56</t>
  </si>
  <si>
    <t xml:space="preserve">HOUSE # 114-B PHASE-II SHAUKAT KHANAM CHOWK PCSIR LAHORE </t>
  </si>
  <si>
    <t>DIB/T/34891/ISB/1221</t>
  </si>
  <si>
    <t>082724</t>
  </si>
  <si>
    <t>6930144</t>
  </si>
  <si>
    <t>APF</t>
  </si>
  <si>
    <t>OLAISD300073345</t>
  </si>
  <si>
    <t>TDIDIB0029894</t>
  </si>
  <si>
    <t>KHI/HO/D/MO/PC COMP/C/80441/98/12/2023</t>
  </si>
  <si>
    <t>KHI/HO/D/MO/PC COMP/E/52227/00098/02/2025</t>
  </si>
  <si>
    <t>9976AP1213640061</t>
  </si>
  <si>
    <t>SYED ALI HAMZA</t>
  </si>
  <si>
    <t>34603-0897183-7</t>
  </si>
  <si>
    <t>03311412515</t>
  </si>
  <si>
    <t>03166667111, 03311412515</t>
  </si>
  <si>
    <t xml:space="preserve">BHARATH GONDAL ROAD NEAR IMAM BARGA H SIALKOT PK </t>
  </si>
  <si>
    <t>57132/00160/12/2021</t>
  </si>
  <si>
    <t>Q355848</t>
  </si>
  <si>
    <t>7054998</t>
  </si>
  <si>
    <t>OLDSKT300082266</t>
  </si>
  <si>
    <t>5916/12/2021</t>
  </si>
  <si>
    <t>KHI/HO/D/MO/PC COMP/C/103702/357/12/2024</t>
  </si>
  <si>
    <t>KHI/HO/D/MO/PC COMP/E/52165/00357/02/2025</t>
  </si>
  <si>
    <t>997AAD2202930001</t>
  </si>
  <si>
    <t>BILAL QASIM ALI</t>
  </si>
  <si>
    <t>33102-0457669-5</t>
  </si>
  <si>
    <t>03457772820</t>
  </si>
  <si>
    <t xml:space="preserve">46-KM MULTAN ROAD, NATHAY KHALSA CP FEED MILL NEAR MANGA MANDI LAHORE </t>
  </si>
  <si>
    <t>2524/02243/00059/12/2020</t>
  </si>
  <si>
    <t>165751</t>
  </si>
  <si>
    <t>10065780</t>
  </si>
  <si>
    <t>POALHR300058852</t>
  </si>
  <si>
    <t>DIB0029212</t>
  </si>
  <si>
    <t>KHI/HO/D/MO/PC COMP/C/103702/372/12/2024</t>
  </si>
  <si>
    <t>KHI/HO/D/MO/PC COMP/E/52165/00372/02/2025</t>
  </si>
  <si>
    <t>9976AP1230180001</t>
  </si>
  <si>
    <t>MOHSIN IQBAL</t>
  </si>
  <si>
    <t>33100-2207821-7</t>
  </si>
  <si>
    <t>03084484558</t>
  </si>
  <si>
    <t>03084484558, 03084484558</t>
  </si>
  <si>
    <t xml:space="preserve">P-444 SAMUNDRI ROAD SEGHAL CITY COL ONY FSD NEAR ALI MURTAZA MASJID FAISALABAD PK </t>
  </si>
  <si>
    <t>66406/00034/01/2023</t>
  </si>
  <si>
    <t>6R213777</t>
  </si>
  <si>
    <t>1131811</t>
  </si>
  <si>
    <t>AXV-144</t>
  </si>
  <si>
    <t>OLUFSD300091639</t>
  </si>
  <si>
    <t>9817/01/2023</t>
  </si>
  <si>
    <t>KHI/HO/D/MO/PC COMP/C/106590/286/01/2025</t>
  </si>
  <si>
    <t>9976AP2213620009</t>
  </si>
  <si>
    <t>KHURRAM SHAHBAZ-ASAAN ACCOUNT</t>
  </si>
  <si>
    <t>33302-6778392-5</t>
  </si>
  <si>
    <t>03125936703</t>
  </si>
  <si>
    <t xml:space="preserve">HOUSE NO.1963 NO STREET F7/2 BLOCK F SECTOR O-9 NPF ISLAMABAD </t>
  </si>
  <si>
    <t>DIB/T/34899/ISB/1221</t>
  </si>
  <si>
    <t>224537</t>
  </si>
  <si>
    <t>10124537</t>
  </si>
  <si>
    <t>OLDISD300082307</t>
  </si>
  <si>
    <t>TDIDIB0029895</t>
  </si>
  <si>
    <t>KHI/HO/D/MO/PC COMP/C/103702/373/12/2024</t>
  </si>
  <si>
    <t>KHI/HO/D/MO/PC COMP/E/52165/00373/02/2025</t>
  </si>
  <si>
    <t>9976AP2213620013</t>
  </si>
  <si>
    <t>MUHAMMAD RIAZ</t>
  </si>
  <si>
    <t>SARGODHA</t>
  </si>
  <si>
    <t>38403-2128052-9</t>
  </si>
  <si>
    <t>03016758382</t>
  </si>
  <si>
    <t xml:space="preserve">CHAK NO 82 NB P/O KHAS TEHSIL DISTRICT SARGODHA 0301-6758382 </t>
  </si>
  <si>
    <t>57132/00162/12/2021</t>
  </si>
  <si>
    <t>HF300211</t>
  </si>
  <si>
    <t>15590</t>
  </si>
  <si>
    <t>FAW-V2</t>
  </si>
  <si>
    <t>OOLUSGD300082288</t>
  </si>
  <si>
    <t>DIB0032848</t>
  </si>
  <si>
    <t>KHI/HO/D/MO/PC COMP/C/103702/375/12/2024</t>
  </si>
  <si>
    <t>KHI/HO/D/MO/PC COMP/E/52165/00375/02/2025</t>
  </si>
  <si>
    <t>9976AD1212650017</t>
  </si>
  <si>
    <t>ARSLAN JAVAID</t>
  </si>
  <si>
    <t>35201-4722707-7</t>
  </si>
  <si>
    <t>03231420328</t>
  </si>
  <si>
    <t xml:space="preserve">HOUSE NO 69/20 STREET NO 16-D OLD M EHRAN PARK SHALIMAR TOWN NEAR MADIN A PROPERTY DEALER LAHORE </t>
  </si>
  <si>
    <t>57132/00152/12/2021</t>
  </si>
  <si>
    <t>2A41279</t>
  </si>
  <si>
    <t>R-7025891</t>
  </si>
  <si>
    <t>YARIS ATIV M/T 1.3</t>
  </si>
  <si>
    <t>OLALHR300073833</t>
  </si>
  <si>
    <t>DIB0032832</t>
  </si>
  <si>
    <t>KHI/HO/D/MO/PC COMP/C/103702/385/12/2024</t>
  </si>
  <si>
    <t>KHI/HO/D/MO/PC COMP/E/52165/00385/02/2025</t>
  </si>
  <si>
    <t>9976AD2212700004</t>
  </si>
  <si>
    <t>MUHAMMAD ATIF HUSSAIN JAMI</t>
  </si>
  <si>
    <t>35201-1679382-5</t>
  </si>
  <si>
    <t>03008433267</t>
  </si>
  <si>
    <t>04237181781</t>
  </si>
  <si>
    <t xml:space="preserve">HOUSE NO 51 STREET NO 05 AHMAD STRE ET LAAL PUL MUGHALPURA LAHORE </t>
  </si>
  <si>
    <t>57132/00142/12/2021</t>
  </si>
  <si>
    <t>2A42528</t>
  </si>
  <si>
    <t>NSP151R-9515734</t>
  </si>
  <si>
    <t>OLALHR300073916</t>
  </si>
  <si>
    <t>DIB0032816</t>
  </si>
  <si>
    <t>KHI/HO/D/MO/PC COMP/C/103702/386/12/2024</t>
  </si>
  <si>
    <t>KHI/HO/D/MO/PC COMP/E/52165/00386/02/2025</t>
  </si>
  <si>
    <t>9976AP2213620014</t>
  </si>
  <si>
    <t>FARHANA ABRAR</t>
  </si>
  <si>
    <t>38403-6276161-2</t>
  </si>
  <si>
    <t>03065816996</t>
  </si>
  <si>
    <t xml:space="preserve">HOUSE NO 1/2/21/61 MOHALLA GULBERG PARK NEAR KHAYYAM CHOWK SARGODHA </t>
  </si>
  <si>
    <t>57132/00135/12/2021</t>
  </si>
  <si>
    <t>HE300236</t>
  </si>
  <si>
    <t>ESB38021</t>
  </si>
  <si>
    <t>EW-757</t>
  </si>
  <si>
    <t>OLUSGD300082116</t>
  </si>
  <si>
    <t>DIB0032805</t>
  </si>
  <si>
    <t>KHI/HO/D/MO/PC COMP/C/103702/402/12/2024</t>
  </si>
  <si>
    <t>KHI/HO/D/MO/PC COMP/E/52165/00402/02/2025</t>
  </si>
  <si>
    <t>9976AD1213200011</t>
  </si>
  <si>
    <t>MUHAMMAD ZUBAIR</t>
  </si>
  <si>
    <t>33100-5317706-5</t>
  </si>
  <si>
    <t>0412554274</t>
  </si>
  <si>
    <t>03217656463</t>
  </si>
  <si>
    <t xml:space="preserve">HOUSE # P-1396 STREET # 11, RAHMANIA ROAD FAISALABAD </t>
  </si>
  <si>
    <t>57132/00101/12/2021</t>
  </si>
  <si>
    <t>L12B51005148</t>
  </si>
  <si>
    <t>NFBGN8621MR007557</t>
  </si>
  <si>
    <t>HONDA CITY I-VTEC 1.2 L CVT</t>
  </si>
  <si>
    <t>OLAFSD300078922</t>
  </si>
  <si>
    <t>DIB0032764</t>
  </si>
  <si>
    <t>KHI/HO/D/MO/PC COMP/C/103702/404/12/2024</t>
  </si>
  <si>
    <t>KHI/HO/D/MO/PC COMP/E/52165/00404/02/2025</t>
  </si>
  <si>
    <t>9976AD2233340003</t>
  </si>
  <si>
    <t>AIESHA IQBAL</t>
  </si>
  <si>
    <t>Bahawalpur</t>
  </si>
  <si>
    <t>32301-9524105-8</t>
  </si>
  <si>
    <t>03338324222</t>
  </si>
  <si>
    <t>03186725340</t>
  </si>
  <si>
    <t xml:space="preserve">HOUSE NO 57 STREET NO 05 AJWA GARDE N JHANGI WALA ROAD BAHAWALPUR BAHAWALPUR PK </t>
  </si>
  <si>
    <t>78992/00026/12/2023</t>
  </si>
  <si>
    <t>6R290119</t>
  </si>
  <si>
    <t>H1190249</t>
  </si>
  <si>
    <t>OLABHP300098330</t>
  </si>
  <si>
    <t>DIB0035520</t>
  </si>
  <si>
    <t>KHI/HO/D/MO/PC COMP/C/103702/416/12/2024</t>
  </si>
  <si>
    <t>9976AP2240220001</t>
  </si>
  <si>
    <t>41303-8200524-5</t>
  </si>
  <si>
    <t>03082098184</t>
  </si>
  <si>
    <t xml:space="preserve">PLOT NO R-1571 GROUND FLOOR AZIZABA D BLOCK 2 FB AREA KHI KARACHI PK </t>
  </si>
  <si>
    <t>81032/00016/01/2024</t>
  </si>
  <si>
    <t>14043675</t>
  </si>
  <si>
    <t>127418</t>
  </si>
  <si>
    <t>BED-100</t>
  </si>
  <si>
    <t>OLUKHI300099065</t>
  </si>
  <si>
    <t>10741/01/2024/ITFM</t>
  </si>
  <si>
    <t>KHI/HO/D/MO/PC COMP/C/106590/282/01/2025</t>
  </si>
  <si>
    <t>9976AP1213640068</t>
  </si>
  <si>
    <t>45504-1145672-1</t>
  </si>
  <si>
    <t>03222316297</t>
  </si>
  <si>
    <t xml:space="preserve">L- 535 SECTER 5 A NORTH KHI BABUL I SLAM MASJID KARACHI PK </t>
  </si>
  <si>
    <t>57132/00102/12/2021</t>
  </si>
  <si>
    <t>6R105154</t>
  </si>
  <si>
    <t>306H1005141</t>
  </si>
  <si>
    <t>BQS-449</t>
  </si>
  <si>
    <t>OLUKHI300082054</t>
  </si>
  <si>
    <t>DIB0032949</t>
  </si>
  <si>
    <t>KHI/HO/D/MO/PC COMP/C/103702/312/12/2024</t>
  </si>
  <si>
    <t>KHI/HO/D/MO/PC COMP/E/52165/00312/02/2025</t>
  </si>
  <si>
    <t>9976AD2212040001</t>
  </si>
  <si>
    <t>SERENA AGHA</t>
  </si>
  <si>
    <t>35201-1428225-6</t>
  </si>
  <si>
    <t>03008469848</t>
  </si>
  <si>
    <t xml:space="preserve">PCB QADDAFI STADIUM LAHORE </t>
  </si>
  <si>
    <t>57132/00078/12/2021</t>
  </si>
  <si>
    <t>312251</t>
  </si>
  <si>
    <t>308349</t>
  </si>
  <si>
    <t>KIA SPORTGE</t>
  </si>
  <si>
    <t>21-Jan-2027</t>
  </si>
  <si>
    <t>OLALHR300070975</t>
  </si>
  <si>
    <t>5865/12/2021</t>
  </si>
  <si>
    <t>KHI/HO/D/MO/PC COMP/C/103702/248/12/2024</t>
  </si>
  <si>
    <t>KHI/HO/D/MO/PC COMP/E/52165/00248/02/2025</t>
  </si>
  <si>
    <t>9976AD1210770027</t>
  </si>
  <si>
    <t>RIZWAN HAIDER</t>
  </si>
  <si>
    <t>35201-0900984-5</t>
  </si>
  <si>
    <t>03004515963</t>
  </si>
  <si>
    <t>04236532127</t>
  </si>
  <si>
    <t xml:space="preserve">GROUND FLOOR JAHANGIR ROAD LAL PUL NEAR SINDH BANK MUGHALPURA AZIZ BHA TTI TOWN LAHORE </t>
  </si>
  <si>
    <t>57132/00058/12/2021</t>
  </si>
  <si>
    <t>503442</t>
  </si>
  <si>
    <t>1000605</t>
  </si>
  <si>
    <t>B NEW</t>
  </si>
  <si>
    <t>CHANGAN ALSVIN 1.37L</t>
  </si>
  <si>
    <t>OLALHR300066805</t>
  </si>
  <si>
    <t>DIB0032705</t>
  </si>
  <si>
    <t>KHI/HO/D/MO/PC COMP/C/103702/205/12/2024</t>
  </si>
  <si>
    <t>KHI/HO/D/MO/PC COMP/E/52165/00205/02/2025</t>
  </si>
  <si>
    <t>9976AD1232990001</t>
  </si>
  <si>
    <t>MUHAMMAD WAQAS</t>
  </si>
  <si>
    <t>35202-3339666-9</t>
  </si>
  <si>
    <t>00491708031479</t>
  </si>
  <si>
    <t xml:space="preserve">VELLERNER STR 24 BACKUM BELIFEILD 59269 BEILIFEILD GERMANY </t>
  </si>
  <si>
    <t>78992/0005/12/2023</t>
  </si>
  <si>
    <t>51020057</t>
  </si>
  <si>
    <t>NFBGN8626PR034953</t>
  </si>
  <si>
    <t>OLSLHR300097567</t>
  </si>
  <si>
    <t>10632/12/2023/ITFM</t>
  </si>
  <si>
    <t>KHI/HO/D/MO/PC COMP/C/103702/94/12/2024</t>
  </si>
  <si>
    <t>9976AD1232280002</t>
  </si>
  <si>
    <t>35202-7943592-3</t>
  </si>
  <si>
    <t>03154292395</t>
  </si>
  <si>
    <t xml:space="preserve">HOUSE 173 BLOCK A EXTENTION PCSIR STAFF SOCIETY LAHORE 03004292395 </t>
  </si>
  <si>
    <t>78992/00003/12/2023</t>
  </si>
  <si>
    <t>51020150</t>
  </si>
  <si>
    <t>PR035030</t>
  </si>
  <si>
    <t>11-DEC-2023</t>
  </si>
  <si>
    <t>11-Dec-2026</t>
  </si>
  <si>
    <t>OLALHR300096203</t>
  </si>
  <si>
    <t>DIB0035483</t>
  </si>
  <si>
    <t>KHI/HO/D/MO/PC COMP/C/103702/55/12/2024</t>
  </si>
  <si>
    <t>KHI/HO/D/MO/PC COMP/E/52165/00055/02/2025</t>
  </si>
  <si>
    <t>9976AP2230310024</t>
  </si>
  <si>
    <t>MUHAMMAD ALEEM</t>
  </si>
  <si>
    <t>61101-5020791-5</t>
  </si>
  <si>
    <t xml:space="preserve">FLAT NO 5 GULSHAN MARKET G-7/3-1 ISLAMABAD PK </t>
  </si>
  <si>
    <t>66406/00061/01/2023</t>
  </si>
  <si>
    <t>12910317</t>
  </si>
  <si>
    <t>013419</t>
  </si>
  <si>
    <t>ADH-095</t>
  </si>
  <si>
    <t>03-FEB-2023</t>
  </si>
  <si>
    <t>OLUISD300091839</t>
  </si>
  <si>
    <t>9927/01/2023/ITFM</t>
  </si>
  <si>
    <t>KHI/HO/D/MO/PC COMP/C/106590/28/01/2025</t>
  </si>
  <si>
    <t>9976AP1220200045</t>
  </si>
  <si>
    <t>SYED MUMTAZ AHMED</t>
  </si>
  <si>
    <t>42501-7890212-5</t>
  </si>
  <si>
    <t>03212382906</t>
  </si>
  <si>
    <t xml:space="preserve">L- 39 -40 SCHEEM 33 HAROON BANGLOWS PHASE 2 SECTER 38-A KHI MEMON HOSP KARACHI PK </t>
  </si>
  <si>
    <t>57872/00119/01/2022</t>
  </si>
  <si>
    <t>123871</t>
  </si>
  <si>
    <t>10023770</t>
  </si>
  <si>
    <t>BHD-770</t>
  </si>
  <si>
    <t>OLUKHI300083309</t>
  </si>
  <si>
    <t>DIB0033208</t>
  </si>
  <si>
    <t>KHI/HO/D/MO/PC COMP/C/106590/279/01/2025</t>
  </si>
  <si>
    <t>9976AP2240310005</t>
  </si>
  <si>
    <t>UMAIR AKBAR KHAN</t>
  </si>
  <si>
    <t>37405-4327019-1</t>
  </si>
  <si>
    <t>03318222289</t>
  </si>
  <si>
    <t xml:space="preserve">H # 1067 ST #46 BAHRIA TOWN PH-7 NE AR CITY SCHOOL ISLAMABAD PK </t>
  </si>
  <si>
    <t>81032/00035/01/2024</t>
  </si>
  <si>
    <t>6R293623</t>
  </si>
  <si>
    <t>1193650</t>
  </si>
  <si>
    <t>03-FEB-2024</t>
  </si>
  <si>
    <t>OLDRWP300099181</t>
  </si>
  <si>
    <t>10808/01/2024/ITFM</t>
  </si>
  <si>
    <t>KHI/HO/D/MO/PC COMP/C/106590/76/01/2025</t>
  </si>
  <si>
    <t>9976AP2240290002</t>
  </si>
  <si>
    <t>MUHAMMAD AZEEM ROOMI</t>
  </si>
  <si>
    <t>37405-2843379-9</t>
  </si>
  <si>
    <t>0321-5181719</t>
  </si>
  <si>
    <t>051-4854435</t>
  </si>
  <si>
    <t xml:space="preserve">H NO 61-E/8 E BLOCK SATELLITE TOWN RAWALPINDI </t>
  </si>
  <si>
    <t>81032/00029/01/2024</t>
  </si>
  <si>
    <t>6R295001</t>
  </si>
  <si>
    <t>1195285</t>
  </si>
  <si>
    <t>SUZUKI ALTO VXL EURO II</t>
  </si>
  <si>
    <t>OLDISD300099135</t>
  </si>
  <si>
    <t>10771/01/2024/ITFM</t>
  </si>
  <si>
    <t>KHI/HO/D/MO/PC COMP/C/106590/171/01/2025</t>
  </si>
  <si>
    <t>9976AP1210190020</t>
  </si>
  <si>
    <t>MUHAMMAD JAVED</t>
  </si>
  <si>
    <t>35301-5618880-3</t>
  </si>
  <si>
    <t xml:space="preserve">CCA-181, DD PHASE 04, DHA, LAHORE CANTT   </t>
  </si>
  <si>
    <t>53545/00060/01/2021</t>
  </si>
  <si>
    <t>1049170</t>
  </si>
  <si>
    <t>OLDLHR300065078</t>
  </si>
  <si>
    <t>DIB0029380</t>
  </si>
  <si>
    <t>KHI/HO/D/MO/PC COMP/C/106590/278/01/2025</t>
  </si>
  <si>
    <t>997AAD1202410014</t>
  </si>
  <si>
    <t>KHAISTA  GULL</t>
  </si>
  <si>
    <t>Wah Cantt</t>
  </si>
  <si>
    <t>37406-3725731-1</t>
  </si>
  <si>
    <t>514535977 3008524488</t>
  </si>
  <si>
    <t xml:space="preserve">H NO 268 STR NO 9 NEW WAHDAT TOWN TAHA MASJID  TAXILA </t>
  </si>
  <si>
    <t>53545/00087/01/2021</t>
  </si>
  <si>
    <t>1GD0925663</t>
  </si>
  <si>
    <t>FORTUNER A/T</t>
  </si>
  <si>
    <t>POAWAH300056890</t>
  </si>
  <si>
    <t>4125/01/2021</t>
  </si>
  <si>
    <t>KHI/HO/D/MO/PC COMP/C/106590/178/01/2025</t>
  </si>
  <si>
    <t>9976AP2230250001</t>
  </si>
  <si>
    <t>ZAHOOR AHMED</t>
  </si>
  <si>
    <t>61101-7794013-3</t>
  </si>
  <si>
    <t>03115507686</t>
  </si>
  <si>
    <t>0512243322</t>
  </si>
  <si>
    <t xml:space="preserve">H # 26 ST # 1 MAIN JIGOT ROAD JABBI ALI PUR ISLAMABAD PK </t>
  </si>
  <si>
    <t>66406/00049/01/2023</t>
  </si>
  <si>
    <t>750528</t>
  </si>
  <si>
    <t>01289069</t>
  </si>
  <si>
    <t>ALS-735</t>
  </si>
  <si>
    <t>SUZUKI MEHRAN VX EURO II</t>
  </si>
  <si>
    <t>27-JAN-2023</t>
  </si>
  <si>
    <t>OLUISD300091736</t>
  </si>
  <si>
    <t>9874/01/2023/ITFM</t>
  </si>
  <si>
    <t>KHI/HO/D/MO/PC COMP/C/106590/202/01/2025</t>
  </si>
  <si>
    <t>9976AP1220200046</t>
  </si>
  <si>
    <t>AHSAN UR REHMAN</t>
  </si>
  <si>
    <t>42201-9616792-3</t>
  </si>
  <si>
    <t>03432719014</t>
  </si>
  <si>
    <t xml:space="preserve">HOUSE NO A-4 BLOCK 4 NEAR KAMRAN CHOWRANGI GULISTAN E JOHAR KARACHI CONTACT 0343 2719014 </t>
  </si>
  <si>
    <t>57872/00120/01/2022</t>
  </si>
  <si>
    <t>G3LALP130547</t>
  </si>
  <si>
    <t>NNATA52AZKP705182</t>
  </si>
  <si>
    <t>BUK-206</t>
  </si>
  <si>
    <t>UKHI300083311</t>
  </si>
  <si>
    <t>DIB0033210</t>
  </si>
  <si>
    <t>KHI/HO/D/MO/PC COMP/C/106590/276/01/2025</t>
  </si>
  <si>
    <t>9976AP1220190039</t>
  </si>
  <si>
    <t>NABEEL WAQAR WYNE</t>
  </si>
  <si>
    <t>37405-7567711-7</t>
  </si>
  <si>
    <t>03455055814</t>
  </si>
  <si>
    <t>0512011034</t>
  </si>
  <si>
    <t xml:space="preserve">H # 17-E ST # 2 SECTOR E DHA 1 NEA R D WATSON ISLAMABAD PK </t>
  </si>
  <si>
    <t>57872/00110/01/2022</t>
  </si>
  <si>
    <t>12931414</t>
  </si>
  <si>
    <t>034938</t>
  </si>
  <si>
    <t>AHY-142</t>
  </si>
  <si>
    <t>OLUISD300083295</t>
  </si>
  <si>
    <t>6130/01/2022</t>
  </si>
  <si>
    <t>KHI/HO/D/MO/PC COMP/C/106590/275/01/2025</t>
  </si>
  <si>
    <t>997APD1210190002</t>
  </si>
  <si>
    <t>MUHAMMAD ASIM KHAN</t>
  </si>
  <si>
    <t>35102-0884775-3</t>
  </si>
  <si>
    <t xml:space="preserve">KUCHA ALI ADIL KHAN KOT FATEH DIN KHAN KASUR   </t>
  </si>
  <si>
    <t>53545/00057/01/2021</t>
  </si>
  <si>
    <t>MR068567</t>
  </si>
  <si>
    <t>CIVIC VTI P/T S/R</t>
  </si>
  <si>
    <t>OLDKSR300065059</t>
  </si>
  <si>
    <t>4070/01/2021/ITFM</t>
  </si>
  <si>
    <t>KHI/HO/D/MO/PC COMP/C/106590/274/01/2025</t>
  </si>
  <si>
    <t>9976AP1210290011</t>
  </si>
  <si>
    <t>TAUQEER   MEHMOOD</t>
  </si>
  <si>
    <t>37405-4369793-3</t>
  </si>
  <si>
    <t>051-4845721</t>
  </si>
  <si>
    <t>N-A</t>
  </si>
  <si>
    <t>051-4582377</t>
  </si>
  <si>
    <t xml:space="preserve">H # 4/A MOHALLAH AFANDI COLONY SADIQ ABAD  Rawalpindi </t>
  </si>
  <si>
    <t>53545/00072/01/2021</t>
  </si>
  <si>
    <t>508560</t>
  </si>
  <si>
    <t>OLDRWP300065221</t>
  </si>
  <si>
    <t>KHI/HO/D/MO/PC COMP/C/106590/222/01/2025</t>
  </si>
  <si>
    <t>997AAD1202940007</t>
  </si>
  <si>
    <t>MALIK ASIM GHANI</t>
  </si>
  <si>
    <t>37405-5494448-5</t>
  </si>
  <si>
    <t xml:space="preserve">H # 192 ST # 13 SECTOR -F DEFENCE V ILLAS DHA-1 NEAR GLORIA JEANS ISLAMABAD PK </t>
  </si>
  <si>
    <t>53545/00068/01/2021</t>
  </si>
  <si>
    <t>G4NALH341061</t>
  </si>
  <si>
    <t>27-JAN-2021</t>
  </si>
  <si>
    <t>POAISD300058623</t>
  </si>
  <si>
    <t>KHI/HO/D/MO/PC COMP/C/106590/241/01/2025</t>
  </si>
  <si>
    <t>9976AP1230200017</t>
  </si>
  <si>
    <t>USMAN ZULFIQAR</t>
  </si>
  <si>
    <t>33302-9352214-9</t>
  </si>
  <si>
    <t>03096228971</t>
  </si>
  <si>
    <t>03096228971, 03096228971</t>
  </si>
  <si>
    <t xml:space="preserve">H NO 8 USMAN BLOCK WOODBURY HOMES N O 2 SARGODHA ROAD FSD FAISALABAD PK </t>
  </si>
  <si>
    <t>66406/00041/01/2023</t>
  </si>
  <si>
    <t>17425146</t>
  </si>
  <si>
    <t>162633</t>
  </si>
  <si>
    <t>LEB-15-2570</t>
  </si>
  <si>
    <t>OLUFSD300091673</t>
  </si>
  <si>
    <t>9841/01/2023</t>
  </si>
  <si>
    <t>KHI/HO/D/MO/PC COMP/C/106590/1/01/2025</t>
  </si>
  <si>
    <t>9976AD2212430035</t>
  </si>
  <si>
    <t>MOIZ UDDIN</t>
  </si>
  <si>
    <t>42201-6391096-1</t>
  </si>
  <si>
    <t>03212528778</t>
  </si>
  <si>
    <t xml:space="preserve">30-C 9TH COMMERCIAL STREET BADAR COMMERCIAL PHASE 5 EXT DHA KARACHI 03212528778 </t>
  </si>
  <si>
    <t>57872/00116/01/2022</t>
  </si>
  <si>
    <t>SFG15T-21754031</t>
  </si>
  <si>
    <t>PALR22A2993</t>
  </si>
  <si>
    <t>PRINCE GLORY 580 PRO</t>
  </si>
  <si>
    <t>OLAKHI200072802</t>
  </si>
  <si>
    <t>DIB0033154</t>
  </si>
  <si>
    <t>KHI/HO/D/MO/PC COMP/C/106590/273/01/2025</t>
  </si>
  <si>
    <t>997AAD1203050078</t>
  </si>
  <si>
    <t>SYED SHAFI UR REHMAN</t>
  </si>
  <si>
    <t>42201-2310975-9</t>
  </si>
  <si>
    <t xml:space="preserve">MADARSSAH DARUL ULOOM MUHAMMADIA S T 25/1 SECTOR 32/B KORANGI NO 1 KARACHI  </t>
  </si>
  <si>
    <t>53545/00065/01/2021</t>
  </si>
  <si>
    <t>L15A79800414</t>
  </si>
  <si>
    <t>NFBGM2660MR266916</t>
  </si>
  <si>
    <t>POAKHI300059811</t>
  </si>
  <si>
    <t>DIB0029390</t>
  </si>
  <si>
    <t>KHI/HO/D/MO/PC COMP/C/106590/255/01/2025</t>
  </si>
  <si>
    <t>9976AP2230200009</t>
  </si>
  <si>
    <t>33100-2598475-9</t>
  </si>
  <si>
    <t>03218663081</t>
  </si>
  <si>
    <t>03218663081, 03218663081</t>
  </si>
  <si>
    <t xml:space="preserve">H NO P-143 ST NO 5/7 REHMAN PURA SA RGODHA ROAD FSD NEAR ANJUM KARYANA FAISALABAD PK </t>
  </si>
  <si>
    <t>66406/00036/01/2023</t>
  </si>
  <si>
    <t>79801789</t>
  </si>
  <si>
    <t>271440</t>
  </si>
  <si>
    <t>ACZ-570</t>
  </si>
  <si>
    <t>OLUFSD300091658</t>
  </si>
  <si>
    <t>9830/01/2023</t>
  </si>
  <si>
    <t>KHI/HO/D/MO/PC COMP/C/106590/272/01/2025</t>
  </si>
  <si>
    <t>9976AP1240160002</t>
  </si>
  <si>
    <t>TANZEEL AHMAD MINHAS</t>
  </si>
  <si>
    <t>36203-8181322-7</t>
  </si>
  <si>
    <t>03340091127</t>
  </si>
  <si>
    <t>0515402036</t>
  </si>
  <si>
    <t xml:space="preserve">H # 1 MINHAS STREET QURESHI TOWN NE LOOR HARNO NEAR THANDDA PANI ISLAMABAD PK </t>
  </si>
  <si>
    <t>81032/00012/01/2024</t>
  </si>
  <si>
    <t>289847</t>
  </si>
  <si>
    <t>1189912</t>
  </si>
  <si>
    <t>OLDISD300099049</t>
  </si>
  <si>
    <t>10731/01/2024/ITFM</t>
  </si>
  <si>
    <t>KHI/HO/D/MO/PC COMP/C/106590/292/01/2025</t>
  </si>
  <si>
    <t>997AAD1202740053</t>
  </si>
  <si>
    <t>MOHAMMAD ATIF KHAN</t>
  </si>
  <si>
    <t>61101-1125168-5</t>
  </si>
  <si>
    <t xml:space="preserve">H # 697 ST # 01 SECTOR # G-9/2  ISLAMABAD PK </t>
  </si>
  <si>
    <t>53545/00043/01/2021</t>
  </si>
  <si>
    <t>KP508138</t>
  </si>
  <si>
    <t>POAISD300058032</t>
  </si>
  <si>
    <t>KHI/HO/D/MO/PC COMP/C/106590/270/01/2025</t>
  </si>
  <si>
    <t>9976AP1230190013</t>
  </si>
  <si>
    <t>SULTAN MUHAMMAD</t>
  </si>
  <si>
    <t>33100-8661536-3</t>
  </si>
  <si>
    <t>03007248012</t>
  </si>
  <si>
    <t>03007248012, 03007248012</t>
  </si>
  <si>
    <t xml:space="preserve">ST NO 7 KOOKIANWALA JALIM PARK FSD FAISALABAD PK </t>
  </si>
  <si>
    <t>66406/00037/01/2023</t>
  </si>
  <si>
    <t>17500774</t>
  </si>
  <si>
    <t>209864</t>
  </si>
  <si>
    <t>LEA-17A-4480</t>
  </si>
  <si>
    <t>HONDA CITY I-VTEC M/T</t>
  </si>
  <si>
    <t>OLUFSD300091664</t>
  </si>
  <si>
    <t>9823/01/2023</t>
  </si>
  <si>
    <t>KHI/HO/D/MO/PC COMP/C/106590/271/01/2025</t>
  </si>
  <si>
    <t>997AAD1203050059</t>
  </si>
  <si>
    <t>SYEDA TEHREEM GILLANI</t>
  </si>
  <si>
    <t>82203-5295367-0</t>
  </si>
  <si>
    <t xml:space="preserve">POST OFFICE MUZAFFARABAD RAWANI TESHIL AND DISTRICT MUZAFFARABAD 0300-5462786 </t>
  </si>
  <si>
    <t>53545/00039/01/2021</t>
  </si>
  <si>
    <t>KP304584</t>
  </si>
  <si>
    <t>POAMFD300059161</t>
  </si>
  <si>
    <t>KHI/HO/D/MO/PC COMP/C/106590/266/01/2025</t>
  </si>
  <si>
    <t>9976AP1240150002</t>
  </si>
  <si>
    <t>MUHAMMAD NISAR</t>
  </si>
  <si>
    <t>37405-1681132-3</t>
  </si>
  <si>
    <t>03125577011</t>
  </si>
  <si>
    <t>0512353566</t>
  </si>
  <si>
    <t xml:space="preserve">FLAT 02 BLOCK 02 SECTOR G-9/2 ISLAMABAD PK </t>
  </si>
  <si>
    <t>81032/00010/01/2024</t>
  </si>
  <si>
    <t>293863</t>
  </si>
  <si>
    <t>1193859</t>
  </si>
  <si>
    <t>OLDISD300099029</t>
  </si>
  <si>
    <t>10721/01/2024/ITFM</t>
  </si>
  <si>
    <t>KHI/HO/D/MO/PC COMP/C/106590/213/01/2025</t>
  </si>
  <si>
    <t>9976AD1223110002</t>
  </si>
  <si>
    <t>DILDAR HUSSAIN</t>
  </si>
  <si>
    <t>36603-6426259-5</t>
  </si>
  <si>
    <t>00971559679200 00971507763465</t>
  </si>
  <si>
    <t xml:space="preserve">BUILDING 101 FLAT 401 SHABIYA 10 ABU DHABI 54000 UNITED ARAB EMIRATES </t>
  </si>
  <si>
    <t>66406/00026/01/2023</t>
  </si>
  <si>
    <t>6R266527</t>
  </si>
  <si>
    <t>1166512</t>
  </si>
  <si>
    <t>OLALHR300090728</t>
  </si>
  <si>
    <t>9776/01/2023/ITFM</t>
  </si>
  <si>
    <t>KHI/HO/D/MO/PC COMP/C/106590/207/01/2025</t>
  </si>
  <si>
    <t>9976AP1240150003</t>
  </si>
  <si>
    <t>OUMAIS MUSHTAQ</t>
  </si>
  <si>
    <t>42101-7564206-5</t>
  </si>
  <si>
    <t>03101006989</t>
  </si>
  <si>
    <t xml:space="preserve">HNO C-102 GROUND FLOOR FB AREA BLOC K 11 KHI KARACHI PK </t>
  </si>
  <si>
    <t>81032/0009/01/2024</t>
  </si>
  <si>
    <t>288398</t>
  </si>
  <si>
    <t>1188408</t>
  </si>
  <si>
    <t>OLDKHI300099010</t>
  </si>
  <si>
    <t>10719/01/2024/ITFM</t>
  </si>
  <si>
    <t>KHI/HO/D/MO/PC COMP/C/106590/184/01/2025</t>
  </si>
  <si>
    <t>9976AP2230130005</t>
  </si>
  <si>
    <t>HAFIZ MUHAMMAD MATEEN</t>
  </si>
  <si>
    <t>33100-0168034-5</t>
  </si>
  <si>
    <t>0321-6659767</t>
  </si>
  <si>
    <t xml:space="preserve">P-185, GREEN BELT BAKAR MANDI A-BLOCK SHAHBAZ TOWN NEAR AL BURHAN MASJID FASILABAD </t>
  </si>
  <si>
    <t>66406/00023/01/2023</t>
  </si>
  <si>
    <t>17535557</t>
  </si>
  <si>
    <t>256176</t>
  </si>
  <si>
    <t>APS-646</t>
  </si>
  <si>
    <t>9772/01/2023</t>
  </si>
  <si>
    <t>KHI/HO/D/MO/PC COMP/C/106590/179/01/2025</t>
  </si>
  <si>
    <t>9976AD1212910007</t>
  </si>
  <si>
    <t>ALTAF AHMED GONDAL</t>
  </si>
  <si>
    <t>34402-4946774-3</t>
  </si>
  <si>
    <t>00393920379796</t>
  </si>
  <si>
    <t xml:space="preserve">VIA VALLE 16 BERGAMO FORESTO SPARSO 24060 ITALY </t>
  </si>
  <si>
    <t>57872/00035/01/2022</t>
  </si>
  <si>
    <t>324010</t>
  </si>
  <si>
    <t>102675</t>
  </si>
  <si>
    <t>KIA SPORTAGE ALPHA</t>
  </si>
  <si>
    <t>OLAISD300075412</t>
  </si>
  <si>
    <t>KHI/HO/D/MO/PC COMP/C/106590/139/01/2025</t>
  </si>
  <si>
    <t>9976AP1230100012</t>
  </si>
  <si>
    <t>QADEEM AKHTAR SATTI</t>
  </si>
  <si>
    <t>61101-3698293-5</t>
  </si>
  <si>
    <t>03315223989</t>
  </si>
  <si>
    <t xml:space="preserve">H # 3 ST # 1 TARLAI NEAR GRID STATI ON ISLAMABAD PK </t>
  </si>
  <si>
    <t>66406/00016/01/2023</t>
  </si>
  <si>
    <t>12920982</t>
  </si>
  <si>
    <t>R024278</t>
  </si>
  <si>
    <t>AFJ-665</t>
  </si>
  <si>
    <t>OLUISD300091554</t>
  </si>
  <si>
    <t>9747/01/2023/ITFM</t>
  </si>
  <si>
    <t>KHI/HO/D/MO/PC COMP/C/106590/84/01/2025</t>
  </si>
  <si>
    <t>997AAD1203250012</t>
  </si>
  <si>
    <t>NAUMAN ADIL</t>
  </si>
  <si>
    <t>35202-5631945-5</t>
  </si>
  <si>
    <t xml:space="preserve">PLOT NO 343 QUAID-E-AZAM INDUSTRIAL ESTATE TOWNSHIP  LAHORE </t>
  </si>
  <si>
    <t>53545/00005/01/2021</t>
  </si>
  <si>
    <t>G4NALUC34318</t>
  </si>
  <si>
    <t>PMHJ2813MLN201277</t>
  </si>
  <si>
    <t>TUCSON AWD</t>
  </si>
  <si>
    <t>POALHR300061761</t>
  </si>
  <si>
    <t>DIB0029302</t>
  </si>
  <si>
    <t>KHI/HO/D/MO/PC COMP/C/106590/44/01/2025</t>
  </si>
  <si>
    <t>9976AP1220240020</t>
  </si>
  <si>
    <t>MOHD SALMAN SAEED</t>
  </si>
  <si>
    <t>42101-4447897-3</t>
  </si>
  <si>
    <t>021-6615544</t>
  </si>
  <si>
    <t>0300-2386290</t>
  </si>
  <si>
    <t>021-2637145</t>
  </si>
  <si>
    <t xml:space="preserve">H NO 2/12 ST-5B NAZIMABAD NO 5 Karachi </t>
  </si>
  <si>
    <t>57872/00132/01/2022</t>
  </si>
  <si>
    <t>6R03615</t>
  </si>
  <si>
    <t>6H1003538</t>
  </si>
  <si>
    <t>BQR-538</t>
  </si>
  <si>
    <t>OLUKHI300083373</t>
  </si>
  <si>
    <t>DIB0033227</t>
  </si>
  <si>
    <t>KHI/HO/D/MO/PC COMP/C/106590/264/01/2025</t>
  </si>
  <si>
    <t>9976AP1220310062</t>
  </si>
  <si>
    <t>MUHAMMAD ADNAN</t>
  </si>
  <si>
    <t>36302-9147779-5</t>
  </si>
  <si>
    <t>03006386367</t>
  </si>
  <si>
    <t>0616353663</t>
  </si>
  <si>
    <t xml:space="preserve">361- F BLOCK SHAH RUKEN E ALAM COLO NY MULTAN MULTAN PK </t>
  </si>
  <si>
    <t>57872/00254/01/2022</t>
  </si>
  <si>
    <t>687758</t>
  </si>
  <si>
    <t>01226260</t>
  </si>
  <si>
    <t>MNC-17-346</t>
  </si>
  <si>
    <t>OLUMUX300083573</t>
  </si>
  <si>
    <t>6166/01/2022</t>
  </si>
  <si>
    <t>KHI/HO/D/MO/PC COMP/C/106590/10/01/2025</t>
  </si>
  <si>
    <t>9976AP2240320025</t>
  </si>
  <si>
    <t>SYED UZAIR ALI</t>
  </si>
  <si>
    <t>41304-0347924-7</t>
  </si>
  <si>
    <t>03332627220</t>
  </si>
  <si>
    <t xml:space="preserve">H NO:11 BLOCK-D U NO:6 NEAR GO PETROL PUMP LATIFABAD HYDERABAD PAKISTAN </t>
  </si>
  <si>
    <t>81032/00039/01/2024</t>
  </si>
  <si>
    <t>S4PEWR0828</t>
  </si>
  <si>
    <t>000407</t>
  </si>
  <si>
    <t>PROTON SAGA A/T</t>
  </si>
  <si>
    <t>OLUHYD300099200</t>
  </si>
  <si>
    <t>10856/01/2024/ITFM</t>
  </si>
  <si>
    <t>KHI/HO/D/MO/PC COMP/C/106590/12/01/2025</t>
  </si>
  <si>
    <t>9976AP1240320036</t>
  </si>
  <si>
    <t>MUHAMMAD OWAIS KHAN</t>
  </si>
  <si>
    <t>42101-2313900-5</t>
  </si>
  <si>
    <t>03122504489</t>
  </si>
  <si>
    <t>03122504489, 03131040009</t>
  </si>
  <si>
    <t xml:space="preserve">HNO A-1239 BLOCK 8 FB AREA KHI KARACHI PK </t>
  </si>
  <si>
    <t>81032/00038/01/2024</t>
  </si>
  <si>
    <t>2A15257</t>
  </si>
  <si>
    <t>7009041</t>
  </si>
  <si>
    <t>BTA-661</t>
  </si>
  <si>
    <t>OLUKHI300099231</t>
  </si>
  <si>
    <t>10855/01/2024/ITFM</t>
  </si>
  <si>
    <t>KHI/HO/D/MO/PC COMP/C/106590/13/01/2025</t>
  </si>
  <si>
    <t>9976AP2240310008</t>
  </si>
  <si>
    <t>MOHSIN AFTAB</t>
  </si>
  <si>
    <t>61101-9788578-7</t>
  </si>
  <si>
    <t>03465463501</t>
  </si>
  <si>
    <t xml:space="preserve">ABBASI HOUSE MALOT PO KHAS NEAR ANW AR E MUSTAFA ISLAMABAD PK </t>
  </si>
  <si>
    <t>81032/00036/01/2024</t>
  </si>
  <si>
    <t>757901</t>
  </si>
  <si>
    <t>1296414</t>
  </si>
  <si>
    <t>ANB-125</t>
  </si>
  <si>
    <t>OLUISD300099202</t>
  </si>
  <si>
    <t>10825/01/2024/ITFM</t>
  </si>
  <si>
    <t>KHI/HO/D/MO/PC COMP/C/106590/16/01/2025</t>
  </si>
  <si>
    <t>9976AP1220200048</t>
  </si>
  <si>
    <t>MUHAMMAD FAROOQ</t>
  </si>
  <si>
    <t>35201-8743451-1</t>
  </si>
  <si>
    <t>03224224951</t>
  </si>
  <si>
    <t xml:space="preserve">SK ELECTRONICS OPPO KAHNA FLYOVER D IL MUHAMMAD COLONY FAROOQ MARKET OP PO KAHNA FLYOVER NEW DEFENCE ROAD LAHORE </t>
  </si>
  <si>
    <t>57872/00125/01/2022</t>
  </si>
  <si>
    <t>L13Z17436304</t>
  </si>
  <si>
    <t>NFBGM1543FR175703</t>
  </si>
  <si>
    <t>LE-16-5565</t>
  </si>
  <si>
    <t>HONDA CITY I VTECH M/T</t>
  </si>
  <si>
    <t>OLULHR300083246</t>
  </si>
  <si>
    <t>6131/01/2022</t>
  </si>
  <si>
    <t>KHI/HO/D/MO/PC COMP/C/106590/262/01/2025</t>
  </si>
  <si>
    <t>9976AD1213650139</t>
  </si>
  <si>
    <t>SYED MUHAMMAD ALI</t>
  </si>
  <si>
    <t>MURIDK</t>
  </si>
  <si>
    <t>35401-4857992-3</t>
  </si>
  <si>
    <t>03231414512</t>
  </si>
  <si>
    <t xml:space="preserve">HOUSE NO 43 STREET NO 2 KAMRAN BLOC K S.A GARDEN PHASE 2 MAIN GT ROAD K MURIDKAY PK </t>
  </si>
  <si>
    <t>57872/00127/01/2022</t>
  </si>
  <si>
    <t>1006733</t>
  </si>
  <si>
    <t>010667</t>
  </si>
  <si>
    <t>HONDA CITY 1 VTECH 1.2 L CVT</t>
  </si>
  <si>
    <t>OLAMDK300082854</t>
  </si>
  <si>
    <t>DIB0033220</t>
  </si>
  <si>
    <t>KHI/HO/D/MO/PC COMP/C/106590/257/01/2025</t>
  </si>
  <si>
    <t>9976AP2220190020</t>
  </si>
  <si>
    <t>MAQSOOD ALI</t>
  </si>
  <si>
    <t>42201-3965308-1</t>
  </si>
  <si>
    <t>03452611508</t>
  </si>
  <si>
    <t>03008200832</t>
  </si>
  <si>
    <t>34575287</t>
  </si>
  <si>
    <t xml:space="preserve">M-1 MEZZANINE FLOOR BUSINESS ARCADE MAIN SHAHRAH E FAISAL KARACHI </t>
  </si>
  <si>
    <t>57872/00123/01/2022</t>
  </si>
  <si>
    <t>79788565</t>
  </si>
  <si>
    <t>217734</t>
  </si>
  <si>
    <t>BLB-773</t>
  </si>
  <si>
    <t>OLUKHI300083290</t>
  </si>
  <si>
    <t>DIB0033207</t>
  </si>
  <si>
    <t>KHI/HO/D/MO/PC COMP/C/106590/256/01/2025</t>
  </si>
  <si>
    <t>9976AP2240310010</t>
  </si>
  <si>
    <t>SYED MUHAMMAD ALI MUJTABA</t>
  </si>
  <si>
    <t>37405-0263790-7</t>
  </si>
  <si>
    <t>03435867726</t>
  </si>
  <si>
    <t xml:space="preserve">IST FLOOR 85-EAST KAMRAN CENTRE JINNAH AVENUE BLUE AREA ISLAMABAD 03435867726 </t>
  </si>
  <si>
    <t>81032/00037/01/2024</t>
  </si>
  <si>
    <t>12938066</t>
  </si>
  <si>
    <t>041489</t>
  </si>
  <si>
    <t>AKJ-632</t>
  </si>
  <si>
    <t>OLURWP300099207</t>
  </si>
  <si>
    <t>10828/01/2024/ITFM</t>
  </si>
  <si>
    <t>KHI/HO/D/MO/PC COMP/C/106590/17/01/2025</t>
  </si>
  <si>
    <t>9976AP1210220004</t>
  </si>
  <si>
    <t>MUHAMMAD ZEESHAN HASSAN</t>
  </si>
  <si>
    <t>37405-6622379-3</t>
  </si>
  <si>
    <t xml:space="preserve">H # P-1615 EID GAH ASGHAR MALL ROAD  RAWALPINDI PK </t>
  </si>
  <si>
    <t>53545/00066/01/2021</t>
  </si>
  <si>
    <t>9406</t>
  </si>
  <si>
    <t>AHU-118</t>
  </si>
  <si>
    <t>OLURWP300065134</t>
  </si>
  <si>
    <t>DIB0029391</t>
  </si>
  <si>
    <t>KHI/HO/D/MO/PC COMP/C/106590/254/01/2025</t>
  </si>
  <si>
    <t>9976AP1220320104</t>
  </si>
  <si>
    <t>NAVEED KHALID</t>
  </si>
  <si>
    <t>33100-2208795-3</t>
  </si>
  <si>
    <t>03218666762</t>
  </si>
  <si>
    <t>03218666762, 03218666762</t>
  </si>
  <si>
    <t>0412626462</t>
  </si>
  <si>
    <t xml:space="preserve">P-15 SHADMAN COLONY NO 02 ST NO 01 FSD NEAR HAIM ALI MASJID FAISALABAD PK </t>
  </si>
  <si>
    <t>57871/00093/01/2022</t>
  </si>
  <si>
    <t>PK10B201600</t>
  </si>
  <si>
    <t>A1J310PK10101693</t>
  </si>
  <si>
    <t>AQV-764</t>
  </si>
  <si>
    <t>OLUFSD300083975</t>
  </si>
  <si>
    <t>6268/01/2022</t>
  </si>
  <si>
    <t>KHI/HO/D/MO/PC COMP/C/106590/18/01/2025</t>
  </si>
  <si>
    <t>9976AP2220320091</t>
  </si>
  <si>
    <t>MUHAMMAD NIZAR KHAN</t>
  </si>
  <si>
    <t>41304-6461835-1</t>
  </si>
  <si>
    <t>03433666420</t>
  </si>
  <si>
    <t xml:space="preserve">PLOT NO 10-C 1ST FLOOR 101, 102 ZAMZAMA COMMERCIAL LANE 4 DHA 5 KARACHI </t>
  </si>
  <si>
    <t>57872/00309/01/2022</t>
  </si>
  <si>
    <t>Q343945</t>
  </si>
  <si>
    <t>ZRE172R-7043114</t>
  </si>
  <si>
    <t>BSD-913</t>
  </si>
  <si>
    <t>OLUKHI300083968</t>
  </si>
  <si>
    <t>DIB0033361</t>
  </si>
  <si>
    <t>KHI/HO/D/MO/PC COMP/C/106590/22/01/2025</t>
  </si>
  <si>
    <t>9976AP2220320094</t>
  </si>
  <si>
    <t>SYED ATHAR ALI</t>
  </si>
  <si>
    <t>35202-4091758-5</t>
  </si>
  <si>
    <t>03214275200</t>
  </si>
  <si>
    <t xml:space="preserve">HOUSE NO 662 STREET NO 25 BLOCK CC SECTOR D BAHRIA TOWN LAHORE PK </t>
  </si>
  <si>
    <t>57872/00290/01/2022</t>
  </si>
  <si>
    <t>79788387</t>
  </si>
  <si>
    <t>R217612</t>
  </si>
  <si>
    <t>LEA-18-335</t>
  </si>
  <si>
    <t>OLULHR300083936</t>
  </si>
  <si>
    <t>6256/01/2022</t>
  </si>
  <si>
    <t>KHI/HO/D/MO/PC COMP/C/106590/23/01/2025</t>
  </si>
  <si>
    <t>9976AP2220310060</t>
  </si>
  <si>
    <t>MUHAMMAD ARMAN AKBAR</t>
  </si>
  <si>
    <t>35402-2885814-3</t>
  </si>
  <si>
    <t>03024047604</t>
  </si>
  <si>
    <t xml:space="preserve">SHOP NO 2 DOGAR MARKET RAIWIND ROAD MAIN THOKAR NIAZ BAIG CHOWK LAHORE </t>
  </si>
  <si>
    <t>57872/00273/01/2022</t>
  </si>
  <si>
    <t>228979</t>
  </si>
  <si>
    <t>10128972</t>
  </si>
  <si>
    <t>OLDLHR300083890</t>
  </si>
  <si>
    <t>6240/01/2022</t>
  </si>
  <si>
    <t>KHI/HO/D/MO/PC COMP/C/106590/24/01/2025</t>
  </si>
  <si>
    <t>9976AP2220320074</t>
  </si>
  <si>
    <t>MUHAMMAD FARHAN MALIK</t>
  </si>
  <si>
    <t>36302-3351450-5</t>
  </si>
  <si>
    <t>03006383223 03458291300</t>
  </si>
  <si>
    <t>03458293100 03006383323</t>
  </si>
  <si>
    <t xml:space="preserve">NAYAB FURNITURE SADDIQUE COMMERCIAL CENTRE TIMBER MARKET VEHARI ROAD MULTAN 03006383323 </t>
  </si>
  <si>
    <t>57872/00258/01/2022</t>
  </si>
  <si>
    <t>R18Z12908859</t>
  </si>
  <si>
    <t>011923</t>
  </si>
  <si>
    <t>LEB-17-5884</t>
  </si>
  <si>
    <t>OLUMX300083868</t>
  </si>
  <si>
    <t>6217/01/2022</t>
  </si>
  <si>
    <t>KHI/HO/D/MO/PC COMP/C/106590/25/01/2025</t>
  </si>
  <si>
    <t>9976AP1230310016</t>
  </si>
  <si>
    <t>JIBRAN KHIZAR</t>
  </si>
  <si>
    <t>61101-6985428-3</t>
  </si>
  <si>
    <t>0518314780</t>
  </si>
  <si>
    <t>03335195929</t>
  </si>
  <si>
    <t xml:space="preserve">H # 84-B ST # 07 E-11/4 NATIONAL PO LICE FOUNDATION ISLAMABAD PK </t>
  </si>
  <si>
    <t>66406/00060/01/2023</t>
  </si>
  <si>
    <t>14520</t>
  </si>
  <si>
    <t>7008591</t>
  </si>
  <si>
    <t>ASF-146</t>
  </si>
  <si>
    <t>TOYOTA YARIS GLI MT 1.3</t>
  </si>
  <si>
    <t>OLUISD300091852</t>
  </si>
  <si>
    <t>9926/01/2023/ITFM</t>
  </si>
  <si>
    <t>KHI/HO/D/MO/PC COMP/C/106590/26/01/2025</t>
  </si>
  <si>
    <t>9976AP2230200008</t>
  </si>
  <si>
    <t>IMRAN AHMAD KHAN-ASAAN ACCOUNT</t>
  </si>
  <si>
    <t>33105-3201891-7</t>
  </si>
  <si>
    <t>03086709460</t>
  </si>
  <si>
    <t xml:space="preserve">POST OFFICE KHASS CKAG 142 GB CHAK 141 NANAKSAR FSD </t>
  </si>
  <si>
    <t>66406/00039/01/2023</t>
  </si>
  <si>
    <t>103349</t>
  </si>
  <si>
    <t>10003374</t>
  </si>
  <si>
    <t>LEF-17-9362</t>
  </si>
  <si>
    <t>OLUFSD300091665</t>
  </si>
  <si>
    <t>9839/01/2023</t>
  </si>
  <si>
    <t>KHI/HO/D/MO/PC COMP/C/106590/250/01/2025</t>
  </si>
  <si>
    <t>9976AP2230310020</t>
  </si>
  <si>
    <t>MIAN MUHAMMAD RIZWAN</t>
  </si>
  <si>
    <t>35202-2777199-9</t>
  </si>
  <si>
    <t>03006677273</t>
  </si>
  <si>
    <t>03006677273, 03006677273</t>
  </si>
  <si>
    <t xml:space="preserve">304 ST NO 04 SARFRAZ COLONY FAWARA CHOWK SARFRAZ COLONY FSD FAISALABAD PK </t>
  </si>
  <si>
    <t>66406/00062/01/2023</t>
  </si>
  <si>
    <t>17463258</t>
  </si>
  <si>
    <t>206521</t>
  </si>
  <si>
    <t>MNE-17-200</t>
  </si>
  <si>
    <t>OLUFSD300091857</t>
  </si>
  <si>
    <t>DIB0034904</t>
  </si>
  <si>
    <t>KHI/HO/D/MO/PC COMP/C/106590/27/01/2025</t>
  </si>
  <si>
    <t>9976AP2230260002</t>
  </si>
  <si>
    <t>MUNIR AHMED</t>
  </si>
  <si>
    <t>33100-3162217-3</t>
  </si>
  <si>
    <t>0321-9662191</t>
  </si>
  <si>
    <t xml:space="preserve">P-128, BLOCK -C PEOPLES COLONY # 01 SHIBLEE \COLLAGE OF COMMRECE FAISALABAD PAKISTAN </t>
  </si>
  <si>
    <t>66406/00040/01/2023</t>
  </si>
  <si>
    <t>517239</t>
  </si>
  <si>
    <t>1010641</t>
  </si>
  <si>
    <t>CHANGAN ALSVIN 1.5L LUMIERE</t>
  </si>
  <si>
    <t>OLDFSD300091671</t>
  </si>
  <si>
    <t>9842/01/2023</t>
  </si>
  <si>
    <t>KHI/HO/D/MO/PC COMP/C/106590/249/01/2025</t>
  </si>
  <si>
    <t>9976AP2230310031</t>
  </si>
  <si>
    <t>TAMOOR HAIDER AWAN</t>
  </si>
  <si>
    <t>61101-6743114-5</t>
  </si>
  <si>
    <t>03335971832</t>
  </si>
  <si>
    <t xml:space="preserve">HOUSE NO 4 NATIONAL MARKET G-6/2 ISLAMABAD PK </t>
  </si>
  <si>
    <t>66406/00064/01/2023</t>
  </si>
  <si>
    <t>12909944</t>
  </si>
  <si>
    <t>013014</t>
  </si>
  <si>
    <t>ADA-8</t>
  </si>
  <si>
    <t>OLUISD300091874</t>
  </si>
  <si>
    <t>9946/01/2023/ITFM</t>
  </si>
  <si>
    <t>KHI/HO/D/MO/PC COMP/C/106590/29/01/2025</t>
  </si>
  <si>
    <t>9976AP1220320113</t>
  </si>
  <si>
    <t>KASHIF UR REHMAN</t>
  </si>
  <si>
    <t>42301-8547111-3</t>
  </si>
  <si>
    <t>03352108485</t>
  </si>
  <si>
    <t>32621000</t>
  </si>
  <si>
    <t xml:space="preserve">2 KHATIJA BUILDING, MUHAMMAD BIN QASIM ROAD NEAR S.M.LAW. COLLEGE KARACHI </t>
  </si>
  <si>
    <t>57872/00286/01/2022</t>
  </si>
  <si>
    <t>682731</t>
  </si>
  <si>
    <t>01221250</t>
  </si>
  <si>
    <t>BJE-458</t>
  </si>
  <si>
    <t>SUZUKI MEHRAN VXR EURO II CNG</t>
  </si>
  <si>
    <t>OLUKHI300083906</t>
  </si>
  <si>
    <t>DIB0033347</t>
  </si>
  <si>
    <t>KHI/HO/D/MO/PC COMP/C/106590/30/01/2025</t>
  </si>
  <si>
    <t>9976AP1220320106</t>
  </si>
  <si>
    <t>FAIZAN AHMAD NAEEM</t>
  </si>
  <si>
    <t>35202-6781697-1</t>
  </si>
  <si>
    <t>03314909570</t>
  </si>
  <si>
    <t xml:space="preserve">HOUSE NO 3 STREET NO 90 CHAMAN BAGH RAJ GARH LAHORE PK </t>
  </si>
  <si>
    <t>57872/00297/01/2022</t>
  </si>
  <si>
    <t>12933923</t>
  </si>
  <si>
    <t>R037345</t>
  </si>
  <si>
    <t>LEF-18-3015</t>
  </si>
  <si>
    <t>OLULHR300083945</t>
  </si>
  <si>
    <t>6264/01/2022</t>
  </si>
  <si>
    <t>KHI/HO/D/MO/PC COMP/C/106590/31/01/2025</t>
  </si>
  <si>
    <t>9976AP2220310045</t>
  </si>
  <si>
    <t>ALI ADNAN SAQIB</t>
  </si>
  <si>
    <t>33104-8656177-7</t>
  </si>
  <si>
    <t>03471070108</t>
  </si>
  <si>
    <t xml:space="preserve">ALI ADNAN,POST OFFICE,CHAK 17 G-B AKAL GARH,TEHSIL JARANWALA FAISALABAD.03471070108 </t>
  </si>
  <si>
    <t>2524/2588/0083/01/2022</t>
  </si>
  <si>
    <t>Q086199</t>
  </si>
  <si>
    <t>6063679</t>
  </si>
  <si>
    <t>OLDFSD300083753</t>
  </si>
  <si>
    <t>6202/01/2022</t>
  </si>
  <si>
    <t>KHI/HO/D/MO/PC COMP/C/106590/32/01/2025</t>
  </si>
  <si>
    <t>9976AP1220330116</t>
  </si>
  <si>
    <t>MUHAMMAD BINYAMIN</t>
  </si>
  <si>
    <t>36402-0785767-3</t>
  </si>
  <si>
    <t>03324430804</t>
  </si>
  <si>
    <t xml:space="preserve">AZGARD 9 MANGA MANDI LAHORE </t>
  </si>
  <si>
    <t>57872/00253/01/2022</t>
  </si>
  <si>
    <t>Q321734</t>
  </si>
  <si>
    <t>R-7020812</t>
  </si>
  <si>
    <t>LEE-17-8144</t>
  </si>
  <si>
    <t>OLULHR300083835</t>
  </si>
  <si>
    <t>6220/01/2022</t>
  </si>
  <si>
    <t>KHI/HO/D/MO/PC COMP/C/106590/33/01/2025</t>
  </si>
  <si>
    <t>9976AP1220040174</t>
  </si>
  <si>
    <t>ADEEL ZAHID</t>
  </si>
  <si>
    <t>35202-4553745-7</t>
  </si>
  <si>
    <t>03224319946</t>
  </si>
  <si>
    <t xml:space="preserve">122-B BLOCK GULBERG II HALI ROAD LAHORE </t>
  </si>
  <si>
    <t>57132/00360/12/2021</t>
  </si>
  <si>
    <t>12918381</t>
  </si>
  <si>
    <t>R021638</t>
  </si>
  <si>
    <t>LEH-17-6654</t>
  </si>
  <si>
    <t>OLULHR300082864</t>
  </si>
  <si>
    <t>DIB0033017</t>
  </si>
  <si>
    <t>KHI/HO/D/MO/PC COMP/C/106590/34/01/2025</t>
  </si>
  <si>
    <t>9976AP1220260052</t>
  </si>
  <si>
    <t>SAQIB RAMZAN</t>
  </si>
  <si>
    <t>35202-8901907-9</t>
  </si>
  <si>
    <t>03204143501</t>
  </si>
  <si>
    <t xml:space="preserve">HOUSE NO 969 H-BLOCK SABZAZAR LAHORE PK </t>
  </si>
  <si>
    <t>57872/00138/01/2022</t>
  </si>
  <si>
    <t>1019401</t>
  </si>
  <si>
    <t>1135911</t>
  </si>
  <si>
    <t>SUZUKI BOLAN VX EURO II</t>
  </si>
  <si>
    <t>OLDLHR300083392</t>
  </si>
  <si>
    <t>DIB0033235</t>
  </si>
  <si>
    <t>KHI/HO/D/MO/PC COMP/C/106590/247/01/2025</t>
  </si>
  <si>
    <t>9976AP1220310066</t>
  </si>
  <si>
    <t>MUHAMMAD TAIMOOR ABBASI</t>
  </si>
  <si>
    <t>13101-2232144-7</t>
  </si>
  <si>
    <t>03035880772</t>
  </si>
  <si>
    <t>0514572305</t>
  </si>
  <si>
    <t xml:space="preserve">H # 1928 ST # 27 SECTOR I-10/2 ISLAMABAD PK </t>
  </si>
  <si>
    <t>57872/00264/01/2022</t>
  </si>
  <si>
    <t>488118</t>
  </si>
  <si>
    <t>4114379</t>
  </si>
  <si>
    <t>ADD-072</t>
  </si>
  <si>
    <t>OLUISD300083865</t>
  </si>
  <si>
    <t>6233/01/2022</t>
  </si>
  <si>
    <t>KHI/HO/D/MO/PC COMP/C/106590/35/01/2025</t>
  </si>
  <si>
    <t>9976AP2220310065</t>
  </si>
  <si>
    <t>ADIL RABBANI</t>
  </si>
  <si>
    <t>42101-9489254-9</t>
  </si>
  <si>
    <t>03331261666</t>
  </si>
  <si>
    <t xml:space="preserve">SHOP # 27 GROUND FLOOR BURHAN ARCAD E BLOCK EORTH NAZIMABAD KARACHI </t>
  </si>
  <si>
    <t>57872/00282/01/2022</t>
  </si>
  <si>
    <t>Z551392</t>
  </si>
  <si>
    <t>4177343</t>
  </si>
  <si>
    <t>BPN-190</t>
  </si>
  <si>
    <t>TOYOTA COROLLA XLI A/T</t>
  </si>
  <si>
    <t>OLUKHI300083887</t>
  </si>
  <si>
    <t>6242/01/2022</t>
  </si>
  <si>
    <t>KHI/HO/D/MO/PC COMP/C/106590/36/01/2025</t>
  </si>
  <si>
    <t>9976AP1220320094</t>
  </si>
  <si>
    <t>JALIL UR REHMAN</t>
  </si>
  <si>
    <t>37405-1620966-5</t>
  </si>
  <si>
    <t>03465350017</t>
  </si>
  <si>
    <t>0515519358</t>
  </si>
  <si>
    <t xml:space="preserve">H # 529-G ST # 9 ASKARI 14 SECTOR B NEAR ATTOCK REFINERY RAWALPINDI PK </t>
  </si>
  <si>
    <t>57872/00279/01/2022</t>
  </si>
  <si>
    <t>170309</t>
  </si>
  <si>
    <t>10070312</t>
  </si>
  <si>
    <t>ATS-741</t>
  </si>
  <si>
    <t>OLURWP300083924</t>
  </si>
  <si>
    <t>6252/01/2022</t>
  </si>
  <si>
    <t>KHI/HO/D/MO/PC COMP/C/106590/38/01/2025</t>
  </si>
  <si>
    <t>9976AD2212600038</t>
  </si>
  <si>
    <t>RIZWAN ULLAH</t>
  </si>
  <si>
    <t>35202-3759180-7</t>
  </si>
  <si>
    <t>03217209332</t>
  </si>
  <si>
    <t xml:space="preserve">CORPORATE OFFICE 44-L GULBERG III LAHORE </t>
  </si>
  <si>
    <t>57872/00134/01/2022</t>
  </si>
  <si>
    <t>191251</t>
  </si>
  <si>
    <t>10091248</t>
  </si>
  <si>
    <t>CULTUS VXR EURO-II</t>
  </si>
  <si>
    <t>OLALHR300073516</t>
  </si>
  <si>
    <t>DIB0033234</t>
  </si>
  <si>
    <t>KHI/HO/D/MO/PC COMP/C/106590/246/01/2025</t>
  </si>
  <si>
    <t>9976AP1220250033</t>
  </si>
  <si>
    <t>MUHAMMAD HASEEB</t>
  </si>
  <si>
    <t>42201-2153928-1</t>
  </si>
  <si>
    <t>03441170726</t>
  </si>
  <si>
    <t xml:space="preserve">HOUSE NO-21/12, BLOCK-3D, NAZIMABAD NO-3, KARACHI. NEAR GOL MARKET . </t>
  </si>
  <si>
    <t>57872/00141/01/2022</t>
  </si>
  <si>
    <t>6R100055</t>
  </si>
  <si>
    <t>H1000051</t>
  </si>
  <si>
    <t>BQN-738</t>
  </si>
  <si>
    <t>OLUKHI300083404</t>
  </si>
  <si>
    <t>DIB0033275</t>
  </si>
  <si>
    <t>KHI/HO/D/MO/PC COMP/C/106590/244/01/2025</t>
  </si>
  <si>
    <t>9976AP1220210014</t>
  </si>
  <si>
    <t>ZAKIA AMANAT</t>
  </si>
  <si>
    <t>35201-3263084-4</t>
  </si>
  <si>
    <t>03078439384</t>
  </si>
  <si>
    <t xml:space="preserve">STREET NO 4 GATE NO 5 TEHAT VILLAGE NEAR GREEN TOWN QUAID-E-AZAM INDUS LAHORE PK </t>
  </si>
  <si>
    <t>57872/00135/01/2022</t>
  </si>
  <si>
    <t>100417</t>
  </si>
  <si>
    <t>1000420</t>
  </si>
  <si>
    <t>LEH-17-8057</t>
  </si>
  <si>
    <t>OLULHR300083374</t>
  </si>
  <si>
    <t>DIB0033229</t>
  </si>
  <si>
    <t>KHI/HO/D/MO/PC COMP/C/106590/243/01/2025</t>
  </si>
  <si>
    <t>9976AP1220320102</t>
  </si>
  <si>
    <t>BUSHRA QADEER</t>
  </si>
  <si>
    <t>35202-2503633-6</t>
  </si>
  <si>
    <t>03224144303</t>
  </si>
  <si>
    <t>04235854262</t>
  </si>
  <si>
    <t xml:space="preserve">DIVISIONAL PUBLIC SCHOOL H-BLOCK MO DEL TOWN COMPUTER DEPARTMENT LAHORE </t>
  </si>
  <si>
    <t>57872/00284/01/2022</t>
  </si>
  <si>
    <t>2400466</t>
  </si>
  <si>
    <t>NZE170R-4064158</t>
  </si>
  <si>
    <t>LEB-16-1534</t>
  </si>
  <si>
    <t>OLULHR300083907</t>
  </si>
  <si>
    <t>6259/01/2022</t>
  </si>
  <si>
    <t>KHI/HO/D/MO/PC COMP/C/106590/39/01/2025</t>
  </si>
  <si>
    <t>9976AP2220320088</t>
  </si>
  <si>
    <t>MATEEN YOUSAF BUTT</t>
  </si>
  <si>
    <t>42501-9780092-1</t>
  </si>
  <si>
    <t>03357566782</t>
  </si>
  <si>
    <t>03357566782, 03357566782</t>
  </si>
  <si>
    <t xml:space="preserve">HOUSE # CM-7 FIRST FLOOR GULSHAN-E- RAFI JAMIA MILLIA ROAD MALIR NEAR J KARACHI PK </t>
  </si>
  <si>
    <t>57872/00268/01/2022</t>
  </si>
  <si>
    <t>6R154964</t>
  </si>
  <si>
    <t>6H1054948</t>
  </si>
  <si>
    <t>BSZ-437</t>
  </si>
  <si>
    <t>OLUKHI300083884</t>
  </si>
  <si>
    <t>6237/01/2022</t>
  </si>
  <si>
    <t>KHI/HO/D/MO/PC COMP/C/106590/40/01/2025</t>
  </si>
  <si>
    <t>9976AP1220310057</t>
  </si>
  <si>
    <t>FAZEEL AHMED JEELANI</t>
  </si>
  <si>
    <t>41504-0457290-3</t>
  </si>
  <si>
    <t>03332629064</t>
  </si>
  <si>
    <t xml:space="preserve">HOUSE # 876 MUHALLAH SHAHI BAZAR NE AR MALIK ASAD HOUSE KOTRI KOTRI PK </t>
  </si>
  <si>
    <t>57872/00278/01/2022</t>
  </si>
  <si>
    <t>Q028112</t>
  </si>
  <si>
    <t>605599</t>
  </si>
  <si>
    <t>BEQ-027</t>
  </si>
  <si>
    <t>OLUHYD300083698</t>
  </si>
  <si>
    <t>DIB0033345</t>
  </si>
  <si>
    <t>KHI/HO/D/MO/PC COMP/C/106590/41/01/2025</t>
  </si>
  <si>
    <t>9976AP1220310061</t>
  </si>
  <si>
    <t>SAAD SALEEM MALIK</t>
  </si>
  <si>
    <t>35202-9445415-3</t>
  </si>
  <si>
    <t>03224032814</t>
  </si>
  <si>
    <t xml:space="preserve">SHOP NO 7 9-C MALL MM ALAM ROAD LAHORE </t>
  </si>
  <si>
    <t>57872/00257/01/2022</t>
  </si>
  <si>
    <t>L13Z17460594</t>
  </si>
  <si>
    <t>203534</t>
  </si>
  <si>
    <t>LED-17-6432</t>
  </si>
  <si>
    <t>OLULHR300083642</t>
  </si>
  <si>
    <t>DIB0033338</t>
  </si>
  <si>
    <t>KHI/HO/D/MO/PC COMP/C/106590/42/01/2025</t>
  </si>
  <si>
    <t>9976AP1220320108</t>
  </si>
  <si>
    <t>MUHAMMAD RAZA FAROOQ</t>
  </si>
  <si>
    <t>33100-7694079-9</t>
  </si>
  <si>
    <t>03401444440</t>
  </si>
  <si>
    <t>03401444440, 03401444440</t>
  </si>
  <si>
    <t xml:space="preserve">P-52 ST NO 02 JARANWALA ROAD KEHKIS HAN COLONY FSD FAISALABAD PK </t>
  </si>
  <si>
    <t>57872/00295/01/2022</t>
  </si>
  <si>
    <t>17514308</t>
  </si>
  <si>
    <t>228615</t>
  </si>
  <si>
    <t>LEH-18-8082</t>
  </si>
  <si>
    <t>HONDA CITY -VTEC M/T</t>
  </si>
  <si>
    <t>OLUFSD300083961</t>
  </si>
  <si>
    <t>DIB0033349</t>
  </si>
  <si>
    <t>KHI/HO/D/MO/PC COMP/C/106590/43/01/2025</t>
  </si>
  <si>
    <t>9976AP1220320114</t>
  </si>
  <si>
    <t>SHAHZAD AHMAD</t>
  </si>
  <si>
    <t>35202-6226826-7</t>
  </si>
  <si>
    <t>03499111119</t>
  </si>
  <si>
    <t xml:space="preserve">H NO 26 ST NO 2 FAISAL COLONY PECO ROAD MARGZAR NEAR MIAN ESTATE LAHORE </t>
  </si>
  <si>
    <t>57872/00291/01/2022</t>
  </si>
  <si>
    <t>G3LALP044691</t>
  </si>
  <si>
    <t>NNATA52AZKP703160</t>
  </si>
  <si>
    <t>AAM-242</t>
  </si>
  <si>
    <t>OLULHR300083927</t>
  </si>
  <si>
    <t>6254/01/2022</t>
  </si>
  <si>
    <t>KHI/HO/D/MO/PC COMP/C/106590/45/01/2025</t>
  </si>
  <si>
    <t>9976AP2220320069</t>
  </si>
  <si>
    <t>MUHAMMAD SHAHBAZ</t>
  </si>
  <si>
    <t>36402-0762322-5</t>
  </si>
  <si>
    <t>03004928807</t>
  </si>
  <si>
    <t>04236523425</t>
  </si>
  <si>
    <t xml:space="preserve">ZAKRIA SUPER MART HARBANSPURA NEAR JAMIA MASJID AL MARAJ LAHORE </t>
  </si>
  <si>
    <t>57872/00256/01/2022</t>
  </si>
  <si>
    <t>228900</t>
  </si>
  <si>
    <t>10128903</t>
  </si>
  <si>
    <t>OLDLHR300083836</t>
  </si>
  <si>
    <t>DIB0033337</t>
  </si>
  <si>
    <t>KHI/HO/D/MO/PC COMP/C/106590/46/01/2025</t>
  </si>
  <si>
    <t>9976AP2230250007</t>
  </si>
  <si>
    <t>ASAD IQBAL</t>
  </si>
  <si>
    <t>37405-4423775-3</t>
  </si>
  <si>
    <t>03155909080</t>
  </si>
  <si>
    <t xml:space="preserve">H NO 24 A STREET NO 3 LANE NO 1 LALAZAR TULSA ROAD RWP </t>
  </si>
  <si>
    <t>66406/0004/01/2023</t>
  </si>
  <si>
    <t>179463</t>
  </si>
  <si>
    <t>1000663</t>
  </si>
  <si>
    <t>CHANGAN OSHAN X7 COMFORT</t>
  </si>
  <si>
    <t>OLDRWP300091686</t>
  </si>
  <si>
    <t>9845/01/2023/ITFM</t>
  </si>
  <si>
    <t>KHI/HO/D/MO/PC COMP/C/106590/240/01/2025</t>
  </si>
  <si>
    <t>9976AP1220320089</t>
  </si>
  <si>
    <t>AMIR SHAHZAD</t>
  </si>
  <si>
    <t>42101-4449003-3</t>
  </si>
  <si>
    <t>03172717340</t>
  </si>
  <si>
    <t xml:space="preserve">HOUSE # R-552 SEC 15 A-2 BUFFER ZON E NORTH KHI NAR NICE BAKERY KARACHI PK </t>
  </si>
  <si>
    <t>57872/00298/01/2022</t>
  </si>
  <si>
    <t>101905</t>
  </si>
  <si>
    <t>H10001852</t>
  </si>
  <si>
    <t>BKA-993</t>
  </si>
  <si>
    <t>OLUKHI300083920</t>
  </si>
  <si>
    <t>DIB0033350</t>
  </si>
  <si>
    <t>KHI/HO/D/MO/PC COMP/C/106590/47/01/2025</t>
  </si>
  <si>
    <t>9976AP1220320095</t>
  </si>
  <si>
    <t>MUHAMMAD FAISAL</t>
  </si>
  <si>
    <t>33100-7394697-5</t>
  </si>
  <si>
    <t>03006600060</t>
  </si>
  <si>
    <t>03006600060, 03006600060</t>
  </si>
  <si>
    <t>0412643323</t>
  </si>
  <si>
    <t xml:space="preserve">P-30 ST NO 13 Y BLOCK MADINA TOWN F SD NEAR AQSA MASJID FAISALABAD PK </t>
  </si>
  <si>
    <t>57872/00285/01/2022</t>
  </si>
  <si>
    <t>PK10B187934</t>
  </si>
  <si>
    <t>A1J310PK10087929</t>
  </si>
  <si>
    <t>LEC-19-4846</t>
  </si>
  <si>
    <t>OLUFSD300083935</t>
  </si>
  <si>
    <t>6248/01/2022</t>
  </si>
  <si>
    <t>KHI/HO/D/MO/PC COMP/C/106590/50/01/2025</t>
  </si>
  <si>
    <t>9976AP1220320097</t>
  </si>
  <si>
    <t>MOHSIN ALI</t>
  </si>
  <si>
    <t>35202-8782398-3</t>
  </si>
  <si>
    <t>03219192342</t>
  </si>
  <si>
    <t xml:space="preserve">OFF NO 38-A KALYAR ROAD RUSTAM PARK NONARIYAN CHOWK GULSHAN RAVI LAHORE </t>
  </si>
  <si>
    <t>57872/00266/01/2022</t>
  </si>
  <si>
    <t>PK10B228763</t>
  </si>
  <si>
    <t>10128771</t>
  </si>
  <si>
    <t>OLDLHR300083882</t>
  </si>
  <si>
    <t>DIB0033341</t>
  </si>
  <si>
    <t>KHI/HO/D/MO/PC COMP/C/106590/51/01/2025</t>
  </si>
  <si>
    <t>9976AP1230230028</t>
  </si>
  <si>
    <t>SHAHID MAHMOOD</t>
  </si>
  <si>
    <t>37405-4995279-7</t>
  </si>
  <si>
    <t>03335685422</t>
  </si>
  <si>
    <t xml:space="preserve">H # 05 ST # 42 SECTOR -D PAKISTAN A TOMIC SOCIETY RAWAT ISLAMABAD PK </t>
  </si>
  <si>
    <t>66406/00042/01/2023</t>
  </si>
  <si>
    <t>52016937</t>
  </si>
  <si>
    <t>029900</t>
  </si>
  <si>
    <t>HONDA CITY I-VTEC 1.2L MT</t>
  </si>
  <si>
    <t>OLDISD300091684</t>
  </si>
  <si>
    <t>9847/01/2023/ITFM</t>
  </si>
  <si>
    <t>KHI/HO/D/MO/PC COMP/C/106590/239/01/2025</t>
  </si>
  <si>
    <t>9976AP2230230013</t>
  </si>
  <si>
    <t>SYED SABIR ALI SHAH</t>
  </si>
  <si>
    <t>42401-9150228-3</t>
  </si>
  <si>
    <t>03002421845</t>
  </si>
  <si>
    <t xml:space="preserve">HOUSE NO 74-B SECTOR 4-H BALDIA TOW N SAEEDABAD BISMILLAH CHOWK KHI NEA KARACHI PK </t>
  </si>
  <si>
    <t>66406/00043/01/2023</t>
  </si>
  <si>
    <t>Z17535488</t>
  </si>
  <si>
    <t>R256032</t>
  </si>
  <si>
    <t>BQX-585</t>
  </si>
  <si>
    <t>OLUKHI300091693</t>
  </si>
  <si>
    <t>9849/01/2023/ITFM</t>
  </si>
  <si>
    <t>KHI/HO/D/MO/PC COMP/C/106590/238/01/2025</t>
  </si>
  <si>
    <t>9976AP1220320110</t>
  </si>
  <si>
    <t>ALI GOHAR RAHU</t>
  </si>
  <si>
    <t>45401-0612356-7</t>
  </si>
  <si>
    <t>03053354046</t>
  </si>
  <si>
    <t xml:space="preserve">BANGLOW # 29 GLAMOUR HOMES NEAR MAS JID CITIZEN COLONY ROAD HYDERABAD PK </t>
  </si>
  <si>
    <t>57872/00300/01/2022</t>
  </si>
  <si>
    <t>9755849</t>
  </si>
  <si>
    <t>196920</t>
  </si>
  <si>
    <t>BHM-180</t>
  </si>
  <si>
    <t>OLUHYD300083889</t>
  </si>
  <si>
    <t>DIB0033359</t>
  </si>
  <si>
    <t>KHI/HO/D/MO/PC COMP/C/106590/52/01/2025</t>
  </si>
  <si>
    <t>9976AP1220310045</t>
  </si>
  <si>
    <t>BAZIL JOEL FRANCIS</t>
  </si>
  <si>
    <t>41304-5569542-9</t>
  </si>
  <si>
    <t>03313683174</t>
  </si>
  <si>
    <t xml:space="preserve">HOUSE # 50-B JUDICAIL OFFICERS HOUS ING SOCEITY KOHISAR LATIFABAD HYDERABAD PK </t>
  </si>
  <si>
    <t>57872/00265/01/2022</t>
  </si>
  <si>
    <t>6R143439</t>
  </si>
  <si>
    <t>1043543</t>
  </si>
  <si>
    <t>BSQ-539</t>
  </si>
  <si>
    <t>OLUHYD300083837</t>
  </si>
  <si>
    <t>DIB0033342</t>
  </si>
  <si>
    <t>KHI/HO/D/MO/PC COMP/C/106590/55/01/2025</t>
  </si>
  <si>
    <t>9976AD1213000020</t>
  </si>
  <si>
    <t>SYED HASSAN ALI</t>
  </si>
  <si>
    <t>37405-0814063-5</t>
  </si>
  <si>
    <t>0316509571</t>
  </si>
  <si>
    <t xml:space="preserve">DK 545 ST NO 2 DHOKE PARACHA NEAR YOUNAS MASJID RAWALPINDI </t>
  </si>
  <si>
    <t>57872/00136/01/2022</t>
  </si>
  <si>
    <t>228214</t>
  </si>
  <si>
    <t>10128207</t>
  </si>
  <si>
    <t>OLARWP300076932</t>
  </si>
  <si>
    <t>DIB0033231</t>
  </si>
  <si>
    <t>KHI/HO/D/MO/PC COMP/C/106590/237/01/2025</t>
  </si>
  <si>
    <t>9976AP2220320068</t>
  </si>
  <si>
    <t>34502-1343528-3</t>
  </si>
  <si>
    <t>03054780697</t>
  </si>
  <si>
    <t xml:space="preserve">HOSUE NO 5 FAISAL STREET ARIF CHOWK SAMNABAD LAHORE </t>
  </si>
  <si>
    <t>57872/00252/01/2022</t>
  </si>
  <si>
    <t>PK10K130089</t>
  </si>
  <si>
    <t>NF1AVK31H10030089</t>
  </si>
  <si>
    <t>BNR-461</t>
  </si>
  <si>
    <t>OLULHR300083831</t>
  </si>
  <si>
    <t>6216/01/2022</t>
  </si>
  <si>
    <t>KHI/HO/D/MO/PC COMP/C/106590/57/01/2025</t>
  </si>
  <si>
    <t>9976AP1220310033</t>
  </si>
  <si>
    <t>RIZWAN AHMED</t>
  </si>
  <si>
    <t>42301-1100792-9</t>
  </si>
  <si>
    <t>03202070152</t>
  </si>
  <si>
    <t xml:space="preserve">B- 26 1ST FLOOR BLOCK 5 KAECHS KHI MADNI MASJID KARACHI PK </t>
  </si>
  <si>
    <t>57872/0024/01/2022</t>
  </si>
  <si>
    <t>PKF628595</t>
  </si>
  <si>
    <t>PK535477</t>
  </si>
  <si>
    <t>BGQ-435</t>
  </si>
  <si>
    <t>OLUKHI300083832</t>
  </si>
  <si>
    <t>6213/01/2022</t>
  </si>
  <si>
    <t>KHI/HO/D/MO/PC COMP/C/106590/59/01/2025</t>
  </si>
  <si>
    <t>9976AP2220320079</t>
  </si>
  <si>
    <t>MIAN MUHAMMAD ARSHAD MEHMOOD</t>
  </si>
  <si>
    <t>32203-1249066-9</t>
  </si>
  <si>
    <t>03008201749</t>
  </si>
  <si>
    <t>02134712525</t>
  </si>
  <si>
    <t xml:space="preserve">HOUSE # R-73 2ND FLOOR SALMAN GARDE N MALIR CITY NEAR JAMIA MILIA ROAD KARACHI PK </t>
  </si>
  <si>
    <t>57872/00308/01/2022</t>
  </si>
  <si>
    <t>139226</t>
  </si>
  <si>
    <t>10039228</t>
  </si>
  <si>
    <t>BKN-337</t>
  </si>
  <si>
    <t>OLUKHI300083972</t>
  </si>
  <si>
    <t>DIB0033357</t>
  </si>
  <si>
    <t>KHI/HO/D/MO/PC COMP/C/106590/60/01/2025</t>
  </si>
  <si>
    <t>9976AP1220320099</t>
  </si>
  <si>
    <t>IMRAN AHMED</t>
  </si>
  <si>
    <t>35202-3059536-7</t>
  </si>
  <si>
    <t>03214339798</t>
  </si>
  <si>
    <t xml:space="preserve">TOYOTA AIRPORTS MOTORS MAIN GHAZI R OAD NEW AIRPORT ROAD LAHORE </t>
  </si>
  <si>
    <t>57872/00292/01/2022</t>
  </si>
  <si>
    <t>6R127923</t>
  </si>
  <si>
    <t>1027873</t>
  </si>
  <si>
    <t>ABE-996</t>
  </si>
  <si>
    <t>OLULHR300083926</t>
  </si>
  <si>
    <t>6257/01/2022</t>
  </si>
  <si>
    <t>KHI/HO/D/MO/PC COMP/C/106590/62/01/2025</t>
  </si>
  <si>
    <t>997APD1210250001</t>
  </si>
  <si>
    <t>MUHAMMAD KASHIF RAFIQUE</t>
  </si>
  <si>
    <t>35201-1237070-3</t>
  </si>
  <si>
    <t>0321-8400458</t>
  </si>
  <si>
    <t>35750288 35711281</t>
  </si>
  <si>
    <t xml:space="preserve">H NO 803-C GUL BAHAR BLOCK BAHRIA TOWN  LAHORE </t>
  </si>
  <si>
    <t>53545/00073/01/2021</t>
  </si>
  <si>
    <t>ZRE172R7011476</t>
  </si>
  <si>
    <t>LEH-15-4237</t>
  </si>
  <si>
    <t>OLULHR300065208</t>
  </si>
  <si>
    <t>DIB0029409</t>
  </si>
  <si>
    <t>KHI/HO/D/MO/PC COMP/C/106590/236/01/2025</t>
  </si>
  <si>
    <t>9976AP1210250009</t>
  </si>
  <si>
    <t>SYED MUHAMMAD TAHA</t>
  </si>
  <si>
    <t>35202-2461272-3</t>
  </si>
  <si>
    <t xml:space="preserve">38 TIPU BLOCK GARDEN TOWN   LAHORE </t>
  </si>
  <si>
    <t>53545/00074/01/2021</t>
  </si>
  <si>
    <t>1052241</t>
  </si>
  <si>
    <t>OLDLHR300065200</t>
  </si>
  <si>
    <t>DIB0029412</t>
  </si>
  <si>
    <t>KHI/HO/D/MO/PC COMP/C/106590/234/01/2025</t>
  </si>
  <si>
    <t>9976AP1220320105</t>
  </si>
  <si>
    <t>SHAHROZ TARIQ</t>
  </si>
  <si>
    <t>33102-0962128-1</t>
  </si>
  <si>
    <t>03003952176</t>
  </si>
  <si>
    <t>03003952176, 03003952176</t>
  </si>
  <si>
    <t>0414689246</t>
  </si>
  <si>
    <t xml:space="preserve">P-208 G BLOCK ST NO 4 GULISTAN COLO NY NO 01 FSD FAISALABAD PK </t>
  </si>
  <si>
    <t>57872/00305/01/2022</t>
  </si>
  <si>
    <t>L13Z17508729</t>
  </si>
  <si>
    <t>221307</t>
  </si>
  <si>
    <t>LED-18-7657</t>
  </si>
  <si>
    <t>OLUFSD300083976</t>
  </si>
  <si>
    <t>6266/01/2022</t>
  </si>
  <si>
    <t>KHI/HO/D/MO/PC COMP/C/106590/63/01/2025</t>
  </si>
  <si>
    <t>9976AD2212430039</t>
  </si>
  <si>
    <t>SYED KHISAL KAZMI</t>
  </si>
  <si>
    <t>42101-5429101-9</t>
  </si>
  <si>
    <t>03082166621</t>
  </si>
  <si>
    <t>34812807</t>
  </si>
  <si>
    <t xml:space="preserve">CLARITY DISTRIBUTION NETWORK OFFICE NO 406 A NAFEES ARCADE PLOT NO SC 14CHANDNI CHOWK OPP OLD SABZI MANDI KARACHI </t>
  </si>
  <si>
    <t>57872/00270/01/2022</t>
  </si>
  <si>
    <t>197463</t>
  </si>
  <si>
    <t>1097508</t>
  </si>
  <si>
    <t>ALTO VX EURO-II</t>
  </si>
  <si>
    <t>OLAKHI300072808</t>
  </si>
  <si>
    <t>DIB0033200</t>
  </si>
  <si>
    <t>KHI/HO/D/MO/PC COMP/C/106590/64/01/2025</t>
  </si>
  <si>
    <t>9976AP1220320083</t>
  </si>
  <si>
    <t>SAMI ULLAH</t>
  </si>
  <si>
    <t>42501-0989915-9</t>
  </si>
  <si>
    <t>03451244875</t>
  </si>
  <si>
    <t>34850180</t>
  </si>
  <si>
    <t xml:space="preserve">HOUSE # 366,MUSLIMABAD NEAR SHERPAO GUL AHMED CHOWRANGI COLONY KARACHI PK </t>
  </si>
  <si>
    <t>57872/00311/01/2022</t>
  </si>
  <si>
    <t>134504</t>
  </si>
  <si>
    <t>NF1AER306H1034515</t>
  </si>
  <si>
    <t>BRU-740</t>
  </si>
  <si>
    <t>OLUKHI300083980</t>
  </si>
  <si>
    <t>DIB0033363</t>
  </si>
  <si>
    <t>KHI/HO/D/MO/PC COMP/C/106590/65/01/2025</t>
  </si>
  <si>
    <t>9976AP2220250010</t>
  </si>
  <si>
    <t>NIDA SHAHID</t>
  </si>
  <si>
    <t>35202-8600297-4</t>
  </si>
  <si>
    <t>03334446536</t>
  </si>
  <si>
    <t xml:space="preserve">IBEX PAKISTAN PLOT NO 13-A AITCHISO N STREET 1KM THOKAR RAIWIND ROAD LAHORE </t>
  </si>
  <si>
    <t>57872/00147/01/2022</t>
  </si>
  <si>
    <t>005509</t>
  </si>
  <si>
    <t>705657</t>
  </si>
  <si>
    <t>AGB-495</t>
  </si>
  <si>
    <t>OLULHR300083305</t>
  </si>
  <si>
    <t>DIB0033248</t>
  </si>
  <si>
    <t>KHI/HO/D/MO/PC COMP/C/106590/233/01/2025</t>
  </si>
  <si>
    <t>9976AP1220280080</t>
  </si>
  <si>
    <t>HUSSAN BANO</t>
  </si>
  <si>
    <t>36302-0404114-0</t>
  </si>
  <si>
    <t>0332-6346276</t>
  </si>
  <si>
    <t xml:space="preserve">PHASE #2 H#36 BLOCK-J MOHALLA SHAH RUKAN-E-ALAM COLONY NEAR PARK LANE SUPER STORE MULTAN </t>
  </si>
  <si>
    <t>57872/00144/01/2022</t>
  </si>
  <si>
    <t>119590</t>
  </si>
  <si>
    <t>10019578</t>
  </si>
  <si>
    <t>MNB-18-743</t>
  </si>
  <si>
    <t>OLUMUX300083376</t>
  </si>
  <si>
    <t>6143/01/2022</t>
  </si>
  <si>
    <t>KHI/HO/D/MO/PC COMP/C/106590/230/01/2025</t>
  </si>
  <si>
    <t>9976AP1220240017</t>
  </si>
  <si>
    <t>NADIA IMRAN</t>
  </si>
  <si>
    <t>42301-7601295-2</t>
  </si>
  <si>
    <t>03332161489</t>
  </si>
  <si>
    <t>0333242492</t>
  </si>
  <si>
    <t xml:space="preserve">FLAT # 8 4 3FLOOR PLOT # 44-C STREE T # 9 BADAR COMM NEAR BANDU KHAN RE KARACHI PK </t>
  </si>
  <si>
    <t>57872/00148/01/2022</t>
  </si>
  <si>
    <t>6R147947</t>
  </si>
  <si>
    <t>H1047923</t>
  </si>
  <si>
    <t>BTS-203</t>
  </si>
  <si>
    <t>SUZUKI ALTO AGS EURO II</t>
  </si>
  <si>
    <t>OLUKHI300083410</t>
  </si>
  <si>
    <t>DIB0033250</t>
  </si>
  <si>
    <t>KHI/HO/D/MO/PC COMP/C/106590/229/01/2025</t>
  </si>
  <si>
    <t>9976AP2220320087</t>
  </si>
  <si>
    <t>HASHMAT ALI</t>
  </si>
  <si>
    <t>44203-7900190-3</t>
  </si>
  <si>
    <t>03443516448</t>
  </si>
  <si>
    <t xml:space="preserve">B-63 2ND FLOOR AL REHMAN COTTAGE QA SIMABAD HYDERABAD PK </t>
  </si>
  <si>
    <t>57872/00307/01/2022</t>
  </si>
  <si>
    <t>729551</t>
  </si>
  <si>
    <t>01268056</t>
  </si>
  <si>
    <t>BMH-938</t>
  </si>
  <si>
    <t>OLUHYD300083894</t>
  </si>
  <si>
    <t>DIB0033358</t>
  </si>
  <si>
    <t>KHI/HO/D/MO/PC COMP/C/106590/66/01/2025</t>
  </si>
  <si>
    <t>9976AP1220310025</t>
  </si>
  <si>
    <t>ZAHID HUSSAIN BHANGWAR</t>
  </si>
  <si>
    <t>45403-0799875-9</t>
  </si>
  <si>
    <t>03122093367</t>
  </si>
  <si>
    <t xml:space="preserve">MUHALLAH FAIZ MUHAMMAD BHANGWAR VIP ROAD KACHIABADI NEAR OWAIS KARNI M NAWABSHAH PK </t>
  </si>
  <si>
    <t>57872/00251/01/2022</t>
  </si>
  <si>
    <t>B-691612</t>
  </si>
  <si>
    <t>01230106</t>
  </si>
  <si>
    <t>BKH-974</t>
  </si>
  <si>
    <t>OLUNWB300083586</t>
  </si>
  <si>
    <t>6200/01/2022</t>
  </si>
  <si>
    <t>KHI/HO/D/MO/PC COMP/C/106590/67/01/2025</t>
  </si>
  <si>
    <t>9976AP1190310046</t>
  </si>
  <si>
    <t>MAHANOOR</t>
  </si>
  <si>
    <t>61101-2588727-0</t>
  </si>
  <si>
    <t>03315177467</t>
  </si>
  <si>
    <t>90402012</t>
  </si>
  <si>
    <t xml:space="preserve">H # 96-D ST # 21 SECTOR # G-6-2 ISLAMABAD PK </t>
  </si>
  <si>
    <t>50255/00064/01/2019</t>
  </si>
  <si>
    <t>181169</t>
  </si>
  <si>
    <t>10081167</t>
  </si>
  <si>
    <t>AMF-271</t>
  </si>
  <si>
    <t>WAGON R VXL</t>
  </si>
  <si>
    <t>03-FEB-2019</t>
  </si>
  <si>
    <t>PODISD300042875</t>
  </si>
  <si>
    <t>0238/01/2019</t>
  </si>
  <si>
    <t>KHI/HO/D/MO/PC COMP/C/106590/70/01/2025</t>
  </si>
  <si>
    <t>9976AP2220250012</t>
  </si>
  <si>
    <t>ABDUL QADEER</t>
  </si>
  <si>
    <t>35202-8814293-7</t>
  </si>
  <si>
    <t>03344019352</t>
  </si>
  <si>
    <t>99034437</t>
  </si>
  <si>
    <t xml:space="preserve">H NO 69 H ARRIAN NAGAR ISLAMIA PARK LAHORE </t>
  </si>
  <si>
    <t>57872/00151/01/2022</t>
  </si>
  <si>
    <t>Z521293</t>
  </si>
  <si>
    <t>4147955</t>
  </si>
  <si>
    <t>LEF-18-1694</t>
  </si>
  <si>
    <t>OLULHR300083469</t>
  </si>
  <si>
    <t>DIB0033254</t>
  </si>
  <si>
    <t>KHI/HO/D/MO/PC COMP/C/106590/227/01/2025</t>
  </si>
  <si>
    <t>9976AD1213630049</t>
  </si>
  <si>
    <t>ALI AKHTAR BAJWA</t>
  </si>
  <si>
    <t>61101-1929219-3</t>
  </si>
  <si>
    <t>03008549717</t>
  </si>
  <si>
    <t xml:space="preserve">HOUSE3 249 ST NO 19 G-10/2, ISLAMABAD </t>
  </si>
  <si>
    <t>57872/00145/01/2022</t>
  </si>
  <si>
    <t>6931219</t>
  </si>
  <si>
    <t>NR083790</t>
  </si>
  <si>
    <t>OLAISD300082543</t>
  </si>
  <si>
    <t>6144/01/2022</t>
  </si>
  <si>
    <t>KHI/HO/D/MO/PC COMP/C/106590/226/01/2025</t>
  </si>
  <si>
    <t>9976AP1210300049</t>
  </si>
  <si>
    <t>SHEIKH BILAL JAHANGIR</t>
  </si>
  <si>
    <t>35202-2769175-9</t>
  </si>
  <si>
    <t xml:space="preserve">ALI CENTER NISHTER COLONY NEAR BOP BANK MAIN FEROZPUR ROAD  LAHORE </t>
  </si>
  <si>
    <t>KHI/HO/D/MO/PC COMP/P/53545/01/2021</t>
  </si>
  <si>
    <t>68575</t>
  </si>
  <si>
    <t>OLALHR300065612</t>
  </si>
  <si>
    <t>TDIDIB0028973</t>
  </si>
  <si>
    <t>KHI/HO/D/MO/PC COMP/C/106590/77/01/2025</t>
  </si>
  <si>
    <t>9976AP1210300066</t>
  </si>
  <si>
    <t>USAMA IMRAN</t>
  </si>
  <si>
    <t>35201-5081062-1</t>
  </si>
  <si>
    <t xml:space="preserve">HOUSE NO 21 STREET NO 2 B/3 14 CANA L PARK BEGUMPURA  LAHORE </t>
  </si>
  <si>
    <t>6033965</t>
  </si>
  <si>
    <t>LEC-19-4073</t>
  </si>
  <si>
    <t>COROLLA ALTIS AT</t>
  </si>
  <si>
    <t>OLULHR300065565</t>
  </si>
  <si>
    <t>DIB0029499</t>
  </si>
  <si>
    <t>KHI/HO/D/MO/PC COMP/C/106590/78/01/2025</t>
  </si>
  <si>
    <t>9976AP2210300067</t>
  </si>
  <si>
    <t>ADNAN RIZWAN</t>
  </si>
  <si>
    <t>42201-8207935-5</t>
  </si>
  <si>
    <t xml:space="preserve">H # 247/3, BLOCK 3 KARACHI ADMINIST RATION SOCIETY NEAR CHAWALA FOOD CE KARACHI PK </t>
  </si>
  <si>
    <t>53740/00001/02/2021</t>
  </si>
  <si>
    <t>2361507</t>
  </si>
  <si>
    <t>BKU-905</t>
  </si>
  <si>
    <t>AQUA</t>
  </si>
  <si>
    <t>OLUKHI300065677</t>
  </si>
  <si>
    <t>DIB0029514</t>
  </si>
  <si>
    <t>KHI/HO/D/MO/PC COMP/C/106590/79/01/2025</t>
  </si>
  <si>
    <t>9976AP1210300096</t>
  </si>
  <si>
    <t>TOUSEEF AHMED</t>
  </si>
  <si>
    <t>42201-4326674-9</t>
  </si>
  <si>
    <t xml:space="preserve">HOUSE # C-91/6 MALIR COLONY KARACHI 0345-2007063 </t>
  </si>
  <si>
    <t>53545/00141/01/2021</t>
  </si>
  <si>
    <t>1KR-2152026</t>
  </si>
  <si>
    <t>KSP130-2239927</t>
  </si>
  <si>
    <t>BSJ-116</t>
  </si>
  <si>
    <t>OLUKHI300065558</t>
  </si>
  <si>
    <t>4192/01/2021/ITFM</t>
  </si>
  <si>
    <t>KHI/HO/D/MO/PC COMP/C/106590/80/01/2025</t>
  </si>
  <si>
    <t>9976AP1210300055</t>
  </si>
  <si>
    <t>35202-7397756-9</t>
  </si>
  <si>
    <t xml:space="preserve">320 3RD FLOOR CENTURY TOWER KALMA C HOWK  LAHORE </t>
  </si>
  <si>
    <t>53545/00137/01/2021</t>
  </si>
  <si>
    <t>10109333</t>
  </si>
  <si>
    <t>OLDLHR300065529</t>
  </si>
  <si>
    <t>DIB0029487</t>
  </si>
  <si>
    <t>KHI/HO/D/MO/PC COMP/C/106590/83/01/2025</t>
  </si>
  <si>
    <t>9976AD1240110002</t>
  </si>
  <si>
    <t>JAWED HUSSAIN</t>
  </si>
  <si>
    <t>42101-0409566-3</t>
  </si>
  <si>
    <t>03002168872</t>
  </si>
  <si>
    <t>36990436 36953141</t>
  </si>
  <si>
    <t xml:space="preserve">H NO A 266 NORTH NAZIMABAD BLOCK L KARACHI </t>
  </si>
  <si>
    <t>81032/00032/01/2024</t>
  </si>
  <si>
    <t>1020988</t>
  </si>
  <si>
    <t>R036046</t>
  </si>
  <si>
    <t>OLAKHI300098992</t>
  </si>
  <si>
    <t>10774/01/2024/ITFM</t>
  </si>
  <si>
    <t>KHI/HO/D/MO/PC COMP/C/106590/85/01/2025</t>
  </si>
  <si>
    <t>9976AP1240290002</t>
  </si>
  <si>
    <t>SAJJAD HUSSAIN</t>
  </si>
  <si>
    <t>37203-8402803-1</t>
  </si>
  <si>
    <t>03065568428</t>
  </si>
  <si>
    <t xml:space="preserve">AL FATEH PLAZA FLAT NO 49 FIRST FLOOR GULSHAN ABAD GATE NO 1 RWP </t>
  </si>
  <si>
    <t>81032/00030/01/2024</t>
  </si>
  <si>
    <t>306063</t>
  </si>
  <si>
    <t>312789</t>
  </si>
  <si>
    <t>OLDRWP300099154</t>
  </si>
  <si>
    <t>KHI/HO/D/MO/PC COMP/C/106590/86/01/2025</t>
  </si>
  <si>
    <t>9976AP2240290003</t>
  </si>
  <si>
    <t>NABEEL AHMED</t>
  </si>
  <si>
    <t>37405-5694310-5</t>
  </si>
  <si>
    <t>03165315945</t>
  </si>
  <si>
    <t>03211167799</t>
  </si>
  <si>
    <t xml:space="preserve">H # 12-A ST # 226 JINNAH GARDEN ISLAMABAD PK </t>
  </si>
  <si>
    <t>81032/00031/01/2024</t>
  </si>
  <si>
    <t>293323</t>
  </si>
  <si>
    <t>1193316</t>
  </si>
  <si>
    <t>SUZUKI ALTO VXR RUTO II</t>
  </si>
  <si>
    <t>OLDISD300099129</t>
  </si>
  <si>
    <t>10793/01/2024/ITFM</t>
  </si>
  <si>
    <t>KHI/HO/D/MO/PC COMP/C/106590/87/01/2025</t>
  </si>
  <si>
    <t>9976AP2210300022</t>
  </si>
  <si>
    <t>MUHAMMAD IBRAHIM</t>
  </si>
  <si>
    <t>61101-6122566-9</t>
  </si>
  <si>
    <t>0333-5470414</t>
  </si>
  <si>
    <t xml:space="preserve">HOUSE NO 728 MAIN IBN E SINA ROAD G-11/2 ISLAMABAD </t>
  </si>
  <si>
    <t>53545/00075/01/2021</t>
  </si>
  <si>
    <t>2A13246</t>
  </si>
  <si>
    <t>YARIS ATIV X CVT 1.5</t>
  </si>
  <si>
    <t>OLDISD300065246</t>
  </si>
  <si>
    <t>DIB0029411</t>
  </si>
  <si>
    <t>KHI/HO/D/MO/PC COMP/C/106590/221/01/2025</t>
  </si>
  <si>
    <t>9976AP2240300001</t>
  </si>
  <si>
    <t>WAQAS KHAN</t>
  </si>
  <si>
    <t>37405-9729351-1</t>
  </si>
  <si>
    <t>03475297873</t>
  </si>
  <si>
    <t xml:space="preserve">S.N.9 STATION SADDAR RAWALPINDI 0347-5297873 </t>
  </si>
  <si>
    <t>81032/00034/01/2024</t>
  </si>
  <si>
    <t>293886</t>
  </si>
  <si>
    <t>1193881</t>
  </si>
  <si>
    <t>OLDRWP300099160</t>
  </si>
  <si>
    <t>10799/01/2024/ITFM</t>
  </si>
  <si>
    <t>KHI/HO/D/MO/PC COMP/C/106590/88/01/2025</t>
  </si>
  <si>
    <t>9976AP1210300058</t>
  </si>
  <si>
    <t>TOUQEER AMIN</t>
  </si>
  <si>
    <t>35202-4906923-3</t>
  </si>
  <si>
    <t xml:space="preserve">A-23 USMAN GHANI ROAD SUNAT NAGAR N EAR MASJID FAIZ ALAM  LAHORE </t>
  </si>
  <si>
    <t>53545/00126/01/2021</t>
  </si>
  <si>
    <t>2A15369</t>
  </si>
  <si>
    <t>OLDLHR300065466</t>
  </si>
  <si>
    <t>4180/01/2021/ITFM</t>
  </si>
  <si>
    <t>KHI/HO/D/MO/PC COMP/C/106590/90/01/2025</t>
  </si>
  <si>
    <t>9976AP2240240001</t>
  </si>
  <si>
    <t>MUHAMMAD SARFRAZ KHAN ABBASI</t>
  </si>
  <si>
    <t>82102-2417070-7</t>
  </si>
  <si>
    <t>0300-8525655</t>
  </si>
  <si>
    <t>051-4443965</t>
  </si>
  <si>
    <t xml:space="preserve">H# 1782 ST# 25 SECTOR I/10/2 ISLAMABAD </t>
  </si>
  <si>
    <t>81032/00020/01/2024</t>
  </si>
  <si>
    <t>Z577245</t>
  </si>
  <si>
    <t>4199985</t>
  </si>
  <si>
    <t>ANW-14</t>
  </si>
  <si>
    <t>YOTA COROLLA GLI</t>
  </si>
  <si>
    <t>OLUISD300099080</t>
  </si>
  <si>
    <t>10752/01/2024/ITFM</t>
  </si>
  <si>
    <t>KHI/HO/D/MO/PC COMP/C/106590/218/01/2025</t>
  </si>
  <si>
    <t>9976AP1240230003</t>
  </si>
  <si>
    <t>GHALIB FAROOQ</t>
  </si>
  <si>
    <t>61101-7190886-1</t>
  </si>
  <si>
    <t>03138585956</t>
  </si>
  <si>
    <t xml:space="preserve">FLAT # 734 -B UPPER PORTION MAIN IB NE SINA ROAD NEAR MALIK JAFFAR CHOW ISLAMABAD PK </t>
  </si>
  <si>
    <t>81032/00022/01/2024</t>
  </si>
  <si>
    <t>12927662</t>
  </si>
  <si>
    <t>031042</t>
  </si>
  <si>
    <t>AGT-501</t>
  </si>
  <si>
    <t>OLUISD300099099</t>
  </si>
  <si>
    <t>10755/01/2024/ITFM</t>
  </si>
  <si>
    <t>KHI/HO/D/MO/PC COMP/C/106590/217/01/2025</t>
  </si>
  <si>
    <t>9976AP1240230002</t>
  </si>
  <si>
    <t>KHURRAM EJAZ</t>
  </si>
  <si>
    <t>37405-0435413-9</t>
  </si>
  <si>
    <t>0341114000</t>
  </si>
  <si>
    <t>0512099743</t>
  </si>
  <si>
    <t xml:space="preserve">H # 1073 ST # 1 USMAN BLOCK PHASE-8 BAHRIA TOWN RAWALPINDI PK </t>
  </si>
  <si>
    <t>81032/00021/01/2024</t>
  </si>
  <si>
    <t>81015019</t>
  </si>
  <si>
    <t>RR035944</t>
  </si>
  <si>
    <t>OLDRWP300099079</t>
  </si>
  <si>
    <t>10750/01/2024/ITFM</t>
  </si>
  <si>
    <t>KHI/HO/D/MO/PC COMP/C/106590/216/01/2025</t>
  </si>
  <si>
    <t>9976AP1220310032</t>
  </si>
  <si>
    <t>HASSAN ASKARI</t>
  </si>
  <si>
    <t>35202-9138783-5</t>
  </si>
  <si>
    <t>03201053108</t>
  </si>
  <si>
    <t xml:space="preserve">OFFICE NO 2-A JOHAR VIEW G-BLOCK JO HAR TOWN LAHORE </t>
  </si>
  <si>
    <t>57872/00241/01/2022</t>
  </si>
  <si>
    <t>12952845</t>
  </si>
  <si>
    <t>R056440</t>
  </si>
  <si>
    <t>ANX-003</t>
  </si>
  <si>
    <t>OLULHR300083793</t>
  </si>
  <si>
    <t>6218/01/2022</t>
  </si>
  <si>
    <t>KHI/HO/D/MO/PC COMP/C/106590/94/01/2025</t>
  </si>
  <si>
    <t>9976AP1220320088</t>
  </si>
  <si>
    <t>ABDULLAH KASHIF</t>
  </si>
  <si>
    <t>35202-7779348-7</t>
  </si>
  <si>
    <t>042-35230299</t>
  </si>
  <si>
    <t>03208337073</t>
  </si>
  <si>
    <t xml:space="preserve">HONDA BAHRIA TOWN 1/2 KM DEFENCE ROAD ADDA MOHLANWAL LINK MULTAN ROAD LAHORE 03208337073 </t>
  </si>
  <si>
    <t>57872/00233/01/2022</t>
  </si>
  <si>
    <t>Q088417</t>
  </si>
  <si>
    <t>6065918</t>
  </si>
  <si>
    <t>OLDLHR300083739</t>
  </si>
  <si>
    <t>6196/01/2022</t>
  </si>
  <si>
    <t>KHI/HO/D/MO/PC COMP/C/106590/97/01/2025</t>
  </si>
  <si>
    <t>9976AP1210300059</t>
  </si>
  <si>
    <t>35202-2407650-9</t>
  </si>
  <si>
    <t xml:space="preserve">H# 143-C, AKRAM SHAH STREET SHER SHAH ROAD NEW SHADBAGH NEAR FAIZAN MILK SHOP LAHORE </t>
  </si>
  <si>
    <t>53545/00132/01/2021</t>
  </si>
  <si>
    <t>R18Z12927299</t>
  </si>
  <si>
    <t>NFBFC666XJR030629</t>
  </si>
  <si>
    <t>AHA-400</t>
  </si>
  <si>
    <t>OLULHR300065538</t>
  </si>
  <si>
    <t>DIB0029488</t>
  </si>
  <si>
    <t>KHI/HO/D/MO/PC COMP/C/106590/98/01/2025</t>
  </si>
  <si>
    <t>997AAD1203210016</t>
  </si>
  <si>
    <t>MUHAMMAD SAFDAR MANSHA</t>
  </si>
  <si>
    <t>35201-8217207-1</t>
  </si>
  <si>
    <t xml:space="preserve">HOUSE NO E-676/9-A  SHIRAZ VILLAS P HASE II CAVALERY GROUND CANTT LAHORE PK </t>
  </si>
  <si>
    <t>53545/00122/01/2021</t>
  </si>
  <si>
    <t>6917084</t>
  </si>
  <si>
    <t>9506195</t>
  </si>
  <si>
    <t>POALHR300061061</t>
  </si>
  <si>
    <t>DIB0029468</t>
  </si>
  <si>
    <t>KHI/HO/D/MO/PC COMP/C/106590/100/01/2025</t>
  </si>
  <si>
    <t>9976AP1220310041</t>
  </si>
  <si>
    <t>MUHAMMAD HAMMAD MAROOF</t>
  </si>
  <si>
    <t>35202-3689106-1</t>
  </si>
  <si>
    <t>03330483117</t>
  </si>
  <si>
    <t xml:space="preserve">HOUSE NO57 BLOCK B ST NO 3 MATEEN A VENUE SOCIETY COLLEGE ROAD TOWNSHIP LAHORE PK </t>
  </si>
  <si>
    <t>57872/00243/01/2022</t>
  </si>
  <si>
    <t>L13Z17515397</t>
  </si>
  <si>
    <t>JR229917</t>
  </si>
  <si>
    <t>LE-18A-9035</t>
  </si>
  <si>
    <t>OLULHR300083816</t>
  </si>
  <si>
    <t>6221/01/2022</t>
  </si>
  <si>
    <t>KHI/HO/D/MO/PC COMP/C/106590/101/01/2025</t>
  </si>
  <si>
    <t>9976AP1240240005</t>
  </si>
  <si>
    <t>NADIA SALEEM</t>
  </si>
  <si>
    <t>33100-6729712-0</t>
  </si>
  <si>
    <t>03244023776</t>
  </si>
  <si>
    <t xml:space="preserve">115-D BLOCK D WAPDA CITY FAISALABAD PK </t>
  </si>
  <si>
    <t>81032/00025/01/2024</t>
  </si>
  <si>
    <t>177509</t>
  </si>
  <si>
    <t>10077494</t>
  </si>
  <si>
    <t>AFE-904</t>
  </si>
  <si>
    <t>OLUFSD300099113</t>
  </si>
  <si>
    <t>10763/01/2024/ITFM</t>
  </si>
  <si>
    <t>KHI/HO/D/MO/PC COMP/C/106590/212/01/2025</t>
  </si>
  <si>
    <t>9976AP1220310037</t>
  </si>
  <si>
    <t>HUMAIRA KAZMI</t>
  </si>
  <si>
    <t>35201-4588593-6</t>
  </si>
  <si>
    <t>03097001650</t>
  </si>
  <si>
    <t xml:space="preserve">HOUSE NO E-151-C STREET NO 5 PEER C OLONY WALTON ROAD LAHORE PK </t>
  </si>
  <si>
    <t>57872/00242/01/2022</t>
  </si>
  <si>
    <t>10B180805</t>
  </si>
  <si>
    <t>10080803</t>
  </si>
  <si>
    <t>LEA-19-2190</t>
  </si>
  <si>
    <t>OLULHR300083817</t>
  </si>
  <si>
    <t>6215/01/2022</t>
  </si>
  <si>
    <t>KHI/HO/D/MO/PC COMP/C/106590/103/01/2025</t>
  </si>
  <si>
    <t>9976AP1220310046</t>
  </si>
  <si>
    <t>TARIQ BASHIR QURESHI</t>
  </si>
  <si>
    <t>42101-7329761-9</t>
  </si>
  <si>
    <t>03332233131</t>
  </si>
  <si>
    <t>03332233131, 03332233131</t>
  </si>
  <si>
    <t xml:space="preserve">HOUSE # R-248 SECTOR 15-A/2 BUFFERZ ONE NORTH KARACHI BUFFERZONE NEAR T KARACHI PK </t>
  </si>
  <si>
    <t>57872/00238/01/2022</t>
  </si>
  <si>
    <t>17450363</t>
  </si>
  <si>
    <t>192140</t>
  </si>
  <si>
    <t>BGN-285</t>
  </si>
  <si>
    <t>OLUKHI300083774</t>
  </si>
  <si>
    <t>DIB0033332</t>
  </si>
  <si>
    <t>KHI/HO/D/MO/PC COMP/C/106590/104/01/2025</t>
  </si>
  <si>
    <t>9976AP2220260015</t>
  </si>
  <si>
    <t>ABDUL RAUF</t>
  </si>
  <si>
    <t>41308-4590140-3</t>
  </si>
  <si>
    <t>03332801160</t>
  </si>
  <si>
    <t>03332801160, 03183606859</t>
  </si>
  <si>
    <t xml:space="preserve">H NO 378/A BLOCK B UNIT 4 LATIFABAD MALIIK HOUSE NEAR RAJPUT GROUND HYDERABAD PK </t>
  </si>
  <si>
    <t>57872/00157/01/2022</t>
  </si>
  <si>
    <t>LO9608914W</t>
  </si>
  <si>
    <t>RAILPPM21A01912</t>
  </si>
  <si>
    <t>BVG-650</t>
  </si>
  <si>
    <t>PRINCE PEARL</t>
  </si>
  <si>
    <t>OLUHYD300083377</t>
  </si>
  <si>
    <t>6415/01/2022</t>
  </si>
  <si>
    <t>KHI/HO/D/MO/PC COMP/C/106590/211/01/2025</t>
  </si>
  <si>
    <t>9976AP1210300029</t>
  </si>
  <si>
    <t>MALIK KASHIF ZAHEER</t>
  </si>
  <si>
    <t>35202-2661341-7</t>
  </si>
  <si>
    <t xml:space="preserve">12-B G BLOCK ADJACENT STYLO SHOES O PPOSITE G.1 MARKET JOHAR TOWN  LAHORE </t>
  </si>
  <si>
    <t>53545/00120/01/2021</t>
  </si>
  <si>
    <t>10109710</t>
  </si>
  <si>
    <t>OLDLHR300065462</t>
  </si>
  <si>
    <t>DIB0029472</t>
  </si>
  <si>
    <t>KHI/HO/D/MO/PC COMP/C/106590/105/01/2025</t>
  </si>
  <si>
    <t>9976AP1210300030</t>
  </si>
  <si>
    <t>ZEESHAN HUSSIAN BHATTI</t>
  </si>
  <si>
    <t>35201-4170329-9</t>
  </si>
  <si>
    <t xml:space="preserve">SHOP NO 50-G HAFEEZ CENTER MAIN BOU LEVARD GULBERG  LAHORE </t>
  </si>
  <si>
    <t>53545/00129/01/2021</t>
  </si>
  <si>
    <t>1053385</t>
  </si>
  <si>
    <t>OLDLHR300065509</t>
  </si>
  <si>
    <t>DIB0029480</t>
  </si>
  <si>
    <t>KHI/HO/D/MO/PC COMP/C/106590/109/01/2025</t>
  </si>
  <si>
    <t>9976AP2220270020</t>
  </si>
  <si>
    <t>FAIZAN YASEEN</t>
  </si>
  <si>
    <t>37405-7963016-1</t>
  </si>
  <si>
    <t>03170155165</t>
  </si>
  <si>
    <t xml:space="preserve">MAKAAN # 521 ST # 5 MOHALLAH MOHANP URA RAWALPINDI PK </t>
  </si>
  <si>
    <t>57872/00165/01/2022</t>
  </si>
  <si>
    <t>208834</t>
  </si>
  <si>
    <t>1108867</t>
  </si>
  <si>
    <t>OLDRWP300083474</t>
  </si>
  <si>
    <t>6156/01/2022</t>
  </si>
  <si>
    <t>KHI/HO/D/MO/PC COMP/C/106590/210/01/2025</t>
  </si>
  <si>
    <t>9976AP1210300065</t>
  </si>
  <si>
    <t>KASHIF JAMIL MUSHTAQI</t>
  </si>
  <si>
    <t>35202-7525596-3</t>
  </si>
  <si>
    <t xml:space="preserve">HOUSE NO 8 BLOCK C-3 PGECHS PECO RO AD TOWNSHIP  LAHORE </t>
  </si>
  <si>
    <t>53545/00121/01/2021</t>
  </si>
  <si>
    <t>1051508</t>
  </si>
  <si>
    <t>ALTO VXL AGS</t>
  </si>
  <si>
    <t>OLDLHR300065428</t>
  </si>
  <si>
    <t>DIB0029469</t>
  </si>
  <si>
    <t>KHI/HO/D/MO/PC COMP/C/106590/110/01/2025</t>
  </si>
  <si>
    <t>9976AP1190310024</t>
  </si>
  <si>
    <t>MUHAMMAD OMER NASIR</t>
  </si>
  <si>
    <t>35202-5924949-3</t>
  </si>
  <si>
    <t>03224222832</t>
  </si>
  <si>
    <t>0517080830</t>
  </si>
  <si>
    <t xml:space="preserve">H # 1077 ST # 26 PHASE 4 BAHRIA TOW N RAWALPINDI PK </t>
  </si>
  <si>
    <t>50255/00049/01/2019</t>
  </si>
  <si>
    <t>Q318334</t>
  </si>
  <si>
    <t>R7017405</t>
  </si>
  <si>
    <t>LEH-16-3658</t>
  </si>
  <si>
    <t>POURWP300042719</t>
  </si>
  <si>
    <t>0180/01/2019</t>
  </si>
  <si>
    <t>KHI/HO/D/MO/PC COMP/C/106590/111/01/2025</t>
  </si>
  <si>
    <t>9976AP1210300043</t>
  </si>
  <si>
    <t>AMANAT ALI</t>
  </si>
  <si>
    <t>35201-8438389-5</t>
  </si>
  <si>
    <t xml:space="preserve">HOUSE NO 3 SHALIMAR TOWN KAHNA NAU UMER CHOWK LAHORE PK </t>
  </si>
  <si>
    <t>53545/00131/01/2021</t>
  </si>
  <si>
    <t>1125196</t>
  </si>
  <si>
    <t>SUZUKI BOLAN VX</t>
  </si>
  <si>
    <t>OLDLHR300065520</t>
  </si>
  <si>
    <t>DIB0029489</t>
  </si>
  <si>
    <t>KHI/HO/D/MO/PC COMP/C/106590/112/01/2025</t>
  </si>
  <si>
    <t>9976AP2220310040</t>
  </si>
  <si>
    <t>AHMAD ALI</t>
  </si>
  <si>
    <t>35202-8582534-1</t>
  </si>
  <si>
    <t>03318980808</t>
  </si>
  <si>
    <t xml:space="preserve">SHOP NO 3 AFGHAN MARKET 97 GT ROAD SHAHDARA STATION LAHORE </t>
  </si>
  <si>
    <t>57872/00224/01/2022</t>
  </si>
  <si>
    <t>L08607893W</t>
  </si>
  <si>
    <t>01651</t>
  </si>
  <si>
    <t>ABF-590</t>
  </si>
  <si>
    <t>OLULHR300083668</t>
  </si>
  <si>
    <t>6192/01/2022</t>
  </si>
  <si>
    <t>KHI/HO/D/MO/PC COMP/C/106590/114/01/2025</t>
  </si>
  <si>
    <t>9976AP2220310046</t>
  </si>
  <si>
    <t>ASIFA NOREEN</t>
  </si>
  <si>
    <t>33301-6341969-4</t>
  </si>
  <si>
    <t>03096381840</t>
  </si>
  <si>
    <t>03096381840, 03096381840</t>
  </si>
  <si>
    <t xml:space="preserve">P-115 PHASE NO 4 SITARA VALLEY SHEI KHUPURA ROAD FSD NEAR USMANIA MASJI FAISALABAD PK </t>
  </si>
  <si>
    <t>57872/00218/01/2022</t>
  </si>
  <si>
    <t>L15Z13504173</t>
  </si>
  <si>
    <t>004079</t>
  </si>
  <si>
    <t>AFJ-276</t>
  </si>
  <si>
    <t>HONDA BRV-IVTEC-S</t>
  </si>
  <si>
    <t>OLUFSD300083696</t>
  </si>
  <si>
    <t>DIB0033323</t>
  </si>
  <si>
    <t>KHI/HO/D/MO/PC COMP/C/106590/115/01/2025</t>
  </si>
  <si>
    <t>9976AP1220310043</t>
  </si>
  <si>
    <t>ABDUL RAZZAQ</t>
  </si>
  <si>
    <t>42201-7210243-5</t>
  </si>
  <si>
    <t>03003943437</t>
  </si>
  <si>
    <t xml:space="preserve">BANGLOW # D-5 RUFI SPIRING FLOWER S EC 16-AS SCHEEM 33 ABDUL ASPHANI RO KARACHI PK </t>
  </si>
  <si>
    <t>57872/00230/01/2022</t>
  </si>
  <si>
    <t>Q-347742</t>
  </si>
  <si>
    <t>7046912</t>
  </si>
  <si>
    <t>BTM-877</t>
  </si>
  <si>
    <t>OLUKHI300083737</t>
  </si>
  <si>
    <t>DIB0033329</t>
  </si>
  <si>
    <t>KHI/HO/D/MO/PC COMP/C/106590/117/01/2025</t>
  </si>
  <si>
    <t>9976AP1220250036</t>
  </si>
  <si>
    <t>AHMED AFFAN</t>
  </si>
  <si>
    <t>42000-8152796-5</t>
  </si>
  <si>
    <t>03333123198 03018230271</t>
  </si>
  <si>
    <t>38797500 EXT 127</t>
  </si>
  <si>
    <t xml:space="preserve">FLAT # B-29 REGENCY HAIETS GULSHAN E IQBAL BLK # 04 NEAR KARACHI UNIVERSITY KARACHI </t>
  </si>
  <si>
    <t>57872/0015/01/2022</t>
  </si>
  <si>
    <t>14043654</t>
  </si>
  <si>
    <t>R127392</t>
  </si>
  <si>
    <t>BEE-150</t>
  </si>
  <si>
    <t>OLUKHI300083454</t>
  </si>
  <si>
    <t>DIB0033264</t>
  </si>
  <si>
    <t>KHI/HO/D/MO/PC COMP/C/106590/209/01/2025</t>
  </si>
  <si>
    <t>9976AP1220290001</t>
  </si>
  <si>
    <t>SYED AHMED ALI MAISUM</t>
  </si>
  <si>
    <t>42201-6281782-5</t>
  </si>
  <si>
    <t>03009283492</t>
  </si>
  <si>
    <t xml:space="preserve">GRAY MATTER (PVT) LTD SUITE NO.202 2ND FLOOR AG TRADE CENTER BLK 14 GULI- STAN E JOHAR KARACHI </t>
  </si>
  <si>
    <t>57872/00220/01/2022</t>
  </si>
  <si>
    <t>12920559</t>
  </si>
  <si>
    <t>R023927</t>
  </si>
  <si>
    <t>BKG-182</t>
  </si>
  <si>
    <t>HONDA CIVIC VTI ORIEL R/T</t>
  </si>
  <si>
    <t>OLUKHI300083610</t>
  </si>
  <si>
    <t>DIB0033326</t>
  </si>
  <si>
    <t>KHI/HO/D/MO/PC COMP/C/106590/120/01/2025</t>
  </si>
  <si>
    <t>9976AP1210300036</t>
  </si>
  <si>
    <t>MUHAMMAD BILAL</t>
  </si>
  <si>
    <t>34501-7742594-7</t>
  </si>
  <si>
    <t xml:space="preserve">AL-RAHEEM GARDEN PHASE 4 MAIN GT RO AD MANAWAN  LAHORE </t>
  </si>
  <si>
    <t>53545/00113/01/2021</t>
  </si>
  <si>
    <t>Q071386</t>
  </si>
  <si>
    <t>ZRE171R-6048886</t>
  </si>
  <si>
    <t>OLDLHR300065293</t>
  </si>
  <si>
    <t>4167/01/2021/ITFM</t>
  </si>
  <si>
    <t>KHI/HO/D/MO/PC COMP/C/106590/121/01/2025</t>
  </si>
  <si>
    <t>9976AD2220180004</t>
  </si>
  <si>
    <t>TALIB HUSSAIN</t>
  </si>
  <si>
    <t>61101-9572798-3</t>
  </si>
  <si>
    <t>03345124438</t>
  </si>
  <si>
    <t xml:space="preserve">H# 56 ST # 16 SECTOR F-11/2 ISLAMABAD PK </t>
  </si>
  <si>
    <t>57872/00152/01/2022</t>
  </si>
  <si>
    <t>4807827</t>
  </si>
  <si>
    <t>R024516</t>
  </si>
  <si>
    <t>HONDA BRV - IVTEC S</t>
  </si>
  <si>
    <t>OLAISD300083063</t>
  </si>
  <si>
    <t>6147/01/2022</t>
  </si>
  <si>
    <t>KHI/HO/D/MO/PC COMP/C/106590/206/01/2025</t>
  </si>
  <si>
    <t>9976AD2212730027</t>
  </si>
  <si>
    <t>ZEESHAN RIAZ CHAUDHARY</t>
  </si>
  <si>
    <t>35202-0387570-1</t>
  </si>
  <si>
    <t>03334456000</t>
  </si>
  <si>
    <t>03334456000 03224301000</t>
  </si>
  <si>
    <t xml:space="preserve">H NO 36 MAIN GULBERG LAHORE </t>
  </si>
  <si>
    <t>6930937</t>
  </si>
  <si>
    <t>083529</t>
  </si>
  <si>
    <t>OLALHR300074240</t>
  </si>
  <si>
    <t>0033257</t>
  </si>
  <si>
    <t>KHI/HO/D/MO/PC COMP/C/106590/205/01/2025</t>
  </si>
  <si>
    <t>9976AP1220320101</t>
  </si>
  <si>
    <t>MUHAMMAD UMAR</t>
  </si>
  <si>
    <t>35201-9945527-9</t>
  </si>
  <si>
    <t>03245053359</t>
  </si>
  <si>
    <t xml:space="preserve">SHOP NO 364 BASHIR MARKET RAHIM ROA D NEAR JECO WALI MARKET MISRI SHAH LAHORE </t>
  </si>
  <si>
    <t>57872/000221/01/2022</t>
  </si>
  <si>
    <t>1007885</t>
  </si>
  <si>
    <t>NR012375</t>
  </si>
  <si>
    <t>OLDLHR300083670</t>
  </si>
  <si>
    <t>6214/01/2022</t>
  </si>
  <si>
    <t>KHI/HO/D/MO/PC COMP/C/106590/123/01/2025</t>
  </si>
  <si>
    <t>9976AP1220270053</t>
  </si>
  <si>
    <t>QAIB HUSSAIN KORAI</t>
  </si>
  <si>
    <t>42501-8375909-5</t>
  </si>
  <si>
    <t>03009299853</t>
  </si>
  <si>
    <t xml:space="preserve">FLAT # 136 AREA ABDULLAH SHAH GHAZI BLOCK F-2 SCHEEM 33 NEAR QURESHI C KARACHI PK </t>
  </si>
  <si>
    <t>57872/00161/01/2022</t>
  </si>
  <si>
    <t>R18Z16930449</t>
  </si>
  <si>
    <t>MR082972</t>
  </si>
  <si>
    <t>OLDKHI300083353</t>
  </si>
  <si>
    <t>DIB0033267</t>
  </si>
  <si>
    <t>KHI/HO/D/MO/PC COMP/C/106590/204/01/2025</t>
  </si>
  <si>
    <t>9976AP1220290002</t>
  </si>
  <si>
    <t>SAMEER TAHIR</t>
  </si>
  <si>
    <t>42201-9198670-9</t>
  </si>
  <si>
    <t>02134522196</t>
  </si>
  <si>
    <t>03222529642</t>
  </si>
  <si>
    <t>02132621615</t>
  </si>
  <si>
    <t xml:space="preserve">HOUSE NO 40 B.M.H.S AMEER KHUSRO ROAD BLOCK 7/8 KARACHI </t>
  </si>
  <si>
    <t>57872/00213/01/2022</t>
  </si>
  <si>
    <t>MU842505</t>
  </si>
  <si>
    <t>MN301896</t>
  </si>
  <si>
    <t>HYUNDAI ELANTRA</t>
  </si>
  <si>
    <t>OLUKHI300083681</t>
  </si>
  <si>
    <t>DIB0033322</t>
  </si>
  <si>
    <t>KHI/HO/D/MO/PC COMP/C/106590/124/01/2025</t>
  </si>
  <si>
    <t>997AAD2203230003</t>
  </si>
  <si>
    <t>NAEEM ALAM BUTT</t>
  </si>
  <si>
    <t>35202-2168866-7</t>
  </si>
  <si>
    <t xml:space="preserve">SHEIKH ZAYED HOSPITAL BRANCH (NATIO NAL BANK OF PAKISTAN)  LAHORE </t>
  </si>
  <si>
    <t>53545/00104/01/2021</t>
  </si>
  <si>
    <t>266684</t>
  </si>
  <si>
    <t>POALHR300061381</t>
  </si>
  <si>
    <t>DIB0029463</t>
  </si>
  <si>
    <t>KHI/HO/D/MO/PC COMP/C/106590/125/01/2025</t>
  </si>
  <si>
    <t>9976AP1230250011</t>
  </si>
  <si>
    <t>NOMAN MAQBOOL HUSSAIN</t>
  </si>
  <si>
    <t>35202-2873706-1</t>
  </si>
  <si>
    <t>03359270328</t>
  </si>
  <si>
    <t xml:space="preserve">H # 1043 ALI BLOCK MAIN BOULEVARD B AHRIA TOWN PH 8 RAWALPINDI PK </t>
  </si>
  <si>
    <t>66406/00047/01/2023</t>
  </si>
  <si>
    <t>B243410</t>
  </si>
  <si>
    <t>10143405</t>
  </si>
  <si>
    <t>OLDRWP300091713</t>
  </si>
  <si>
    <t>9866/01/2023/ITFM</t>
  </si>
  <si>
    <t>KHI/HO/D/MO/PC COMP/C/106590/203/01/2025</t>
  </si>
  <si>
    <t>9976AP1220310040</t>
  </si>
  <si>
    <t>ZEESHAN AHMED</t>
  </si>
  <si>
    <t>42101-2119473-7</t>
  </si>
  <si>
    <t>03333425456</t>
  </si>
  <si>
    <t xml:space="preserve">R-281 SEC 15A-5 BUFFER ZONE NORHT N AZIMABAD NEAR MADNI PAKWAN KARACHI PK </t>
  </si>
  <si>
    <t>57872/00231/01/2022</t>
  </si>
  <si>
    <t>107136</t>
  </si>
  <si>
    <t>10007161</t>
  </si>
  <si>
    <t>BKQ-052</t>
  </si>
  <si>
    <t>OLUKHI300083688</t>
  </si>
  <si>
    <t>DIB0033331</t>
  </si>
  <si>
    <t>KHI/HO/D/MO/PC COMP/C/106590/128/01/2025</t>
  </si>
  <si>
    <t>9976AD2212600031</t>
  </si>
  <si>
    <t>ATTIR AMEER</t>
  </si>
  <si>
    <t>35202-0383301-5</t>
  </si>
  <si>
    <t>03064905028</t>
  </si>
  <si>
    <t>04235782042-46</t>
  </si>
  <si>
    <t xml:space="preserve">H # 20, ST # 2, MUHALLA MADINA COLO NY PEER GHAZI ROAD ICHRA SHAMA APP ARTMENT LAHORE </t>
  </si>
  <si>
    <t>57872/00222/01/2022</t>
  </si>
  <si>
    <t>191582</t>
  </si>
  <si>
    <t>10091518</t>
  </si>
  <si>
    <t>OLALHR300073579</t>
  </si>
  <si>
    <t>DIB0033325</t>
  </si>
  <si>
    <t>KHI/HO/D/MO/PC COMP/C/106590/132/01/2025</t>
  </si>
  <si>
    <t>9976AP1210300041</t>
  </si>
  <si>
    <t>MUHAMMAD ANWAAR HANIF MUGHAL</t>
  </si>
  <si>
    <t>35201-3628651-3</t>
  </si>
  <si>
    <t xml:space="preserve">SHOP NO 56 MADINA MARKET SHAH ALAM   LAHORE </t>
  </si>
  <si>
    <t>53545/00112/01/2021</t>
  </si>
  <si>
    <t>GR146188</t>
  </si>
  <si>
    <t>SUZUKI ALTO VXL</t>
  </si>
  <si>
    <t>OLDLHR300065417</t>
  </si>
  <si>
    <t>DIB0029464</t>
  </si>
  <si>
    <t>KHI/HO/D/MO/PC COMP/C/106590/134/01/2025</t>
  </si>
  <si>
    <t>9976AP1220280077</t>
  </si>
  <si>
    <t>ASHFAQ AHMED</t>
  </si>
  <si>
    <t>35201-1483296-3</t>
  </si>
  <si>
    <t>03214338448</t>
  </si>
  <si>
    <t xml:space="preserve">MUNAWAR BUILDING R-1 MISHAL ROAD PR INTING STREET GAWAL MANDI LAHORE </t>
  </si>
  <si>
    <t>57872/00192/01/2022</t>
  </si>
  <si>
    <t>6R107827</t>
  </si>
  <si>
    <t>NF1AET306H1007740</t>
  </si>
  <si>
    <t>LEH-19-3526</t>
  </si>
  <si>
    <t>OLULHR300083637</t>
  </si>
  <si>
    <t>DIB0033307</t>
  </si>
  <si>
    <t>KHI/HO/D/MO/PC COMP/C/106590/136/01/2025</t>
  </si>
  <si>
    <t>9976AP1230300001</t>
  </si>
  <si>
    <t>TEHREEM AZHAR</t>
  </si>
  <si>
    <t>35202-2809441-4</t>
  </si>
  <si>
    <t>03066821893</t>
  </si>
  <si>
    <t>04238020001</t>
  </si>
  <si>
    <t xml:space="preserve">H NO 248 F-1 MAIN MULTAN ROAD NEAR KHARAK STOP NALA NEAR MADNI MUHAMMA LAHORE PK </t>
  </si>
  <si>
    <t>66406/00056/01/2023</t>
  </si>
  <si>
    <t>6R168972</t>
  </si>
  <si>
    <t>1069005</t>
  </si>
  <si>
    <t>ADQ-939</t>
  </si>
  <si>
    <t>OLULHR300091797</t>
  </si>
  <si>
    <t>9901/01/2023/ITFM</t>
  </si>
  <si>
    <t>KHI/HO/D/MO/PC COMP/C/106590/138/01/2025</t>
  </si>
  <si>
    <t>9976AP1220290004</t>
  </si>
  <si>
    <t>DALAIR KHAN</t>
  </si>
  <si>
    <t>17301-8688680-9</t>
  </si>
  <si>
    <t>03466767679</t>
  </si>
  <si>
    <t xml:space="preserve">OFFICE NO 1 1ST FLOOR 2039-D PLAZA NEAR MEEZAN BANK FOWARA CHOWK SHAH ALAM MARKET LAHORE </t>
  </si>
  <si>
    <t>57872/00204/01/2022</t>
  </si>
  <si>
    <t>G4NALU787361</t>
  </si>
  <si>
    <t>PMHD841FMMN300444</t>
  </si>
  <si>
    <t>ATW-330</t>
  </si>
  <si>
    <t>OLULHR300083683</t>
  </si>
  <si>
    <t>6190/01/2022</t>
  </si>
  <si>
    <t>KHI/HO/D/MO/PC COMP/C/106590/142/01/2025</t>
  </si>
  <si>
    <t>9976AP1220310055</t>
  </si>
  <si>
    <t>35202-0456783-7</t>
  </si>
  <si>
    <t>03008463711</t>
  </si>
  <si>
    <t>111111669</t>
  </si>
  <si>
    <t xml:space="preserve">H NO 371 E MOHALLA PIA SOCIETY NEAR GORMEY BAKERY LAHORE </t>
  </si>
  <si>
    <t>57872/00191/01/2022</t>
  </si>
  <si>
    <t>Q058553</t>
  </si>
  <si>
    <t>6035774</t>
  </si>
  <si>
    <t>LEE-19-918</t>
  </si>
  <si>
    <t>OLULHR300083579</t>
  </si>
  <si>
    <t>DIB0033306</t>
  </si>
  <si>
    <t>KHI/HO/D/MO/PC COMP/C/106590/143/01/2025</t>
  </si>
  <si>
    <t>997AAD1193650016</t>
  </si>
  <si>
    <t>ZULFIQAR ALI BUDHANI</t>
  </si>
  <si>
    <t>41306-2055361-7</t>
  </si>
  <si>
    <t>03003003127</t>
  </si>
  <si>
    <t xml:space="preserve">HOUSE # B-83, QASIMABAD PHASE 01, N EAR GOVT. GIRLS HIGH SCHOOL HYDERABAD PK </t>
  </si>
  <si>
    <t>COMP/P/51671/01/2020</t>
  </si>
  <si>
    <t>Q063970</t>
  </si>
  <si>
    <t>ZRE171R-6041465</t>
  </si>
  <si>
    <t>03-FEB-2020</t>
  </si>
  <si>
    <t>POAHYD300052269</t>
  </si>
  <si>
    <t>DIB0028118</t>
  </si>
  <si>
    <t>KHI/HO/D/MO/PC COMP/C/106590/144/01/2025</t>
  </si>
  <si>
    <t>9976AP1190290017</t>
  </si>
  <si>
    <t>38403-1764118-9</t>
  </si>
  <si>
    <t>03127400252</t>
  </si>
  <si>
    <t>0515418173</t>
  </si>
  <si>
    <t xml:space="preserve">FLAT # 01 ST # 06 QUBA MARKET MODEL TOWN RAWALPINDI PK </t>
  </si>
  <si>
    <t>50255/00037/01/2019</t>
  </si>
  <si>
    <t>759997</t>
  </si>
  <si>
    <t>01298526</t>
  </si>
  <si>
    <t>AMF-270</t>
  </si>
  <si>
    <t>MEHRAN VXR</t>
  </si>
  <si>
    <t>PODISD300042593</t>
  </si>
  <si>
    <t>TDIDIB0026868</t>
  </si>
  <si>
    <t>KHI/HO/D/MO/PC COMP/C/106590/192/01/2025</t>
  </si>
  <si>
    <t>9976AP2220310037</t>
  </si>
  <si>
    <t>ASAD ULLAH</t>
  </si>
  <si>
    <t>34501-5152118-1</t>
  </si>
  <si>
    <t>03355547450</t>
  </si>
  <si>
    <t xml:space="preserve">OFF NO 576 Q BLOCK JOHAR TOWN NEAR GREEN APPLE LAHORE </t>
  </si>
  <si>
    <t>57872/00207/01/2022</t>
  </si>
  <si>
    <t>51005796</t>
  </si>
  <si>
    <t>MR009051</t>
  </si>
  <si>
    <t>OLDLHR300083672</t>
  </si>
  <si>
    <t>6186/01/2022</t>
  </si>
  <si>
    <t>KHI/HO/D/MO/PC COMP/C/106590/146/01/2025</t>
  </si>
  <si>
    <t>9976AP1220280075</t>
  </si>
  <si>
    <t>ASIF IMRAN</t>
  </si>
  <si>
    <t>33100-0954316-5</t>
  </si>
  <si>
    <t>03008668410</t>
  </si>
  <si>
    <t>03008668410, 03008668410</t>
  </si>
  <si>
    <t>0418787931</t>
  </si>
  <si>
    <t xml:space="preserve">P-6 ST NO 4 AZAFI ABADI YOUSAF ABAD MADINA TOWN NEAR BABAR CHOWK FAISALABAD </t>
  </si>
  <si>
    <t>57872/00197/01/2022</t>
  </si>
  <si>
    <t>PK10K136323</t>
  </si>
  <si>
    <t>NF1AVK31H10036353</t>
  </si>
  <si>
    <t>ALZ-594</t>
  </si>
  <si>
    <t>OLUFSD300083625</t>
  </si>
  <si>
    <t>DIB0033310</t>
  </si>
  <si>
    <t>KHI/HO/D/MO/PC COMP/C/106590/148/01/2025</t>
  </si>
  <si>
    <t>9976AP1210300034</t>
  </si>
  <si>
    <t>MUHAMAMD TAHIR RAMZAN</t>
  </si>
  <si>
    <t>35201-4117325-7</t>
  </si>
  <si>
    <t xml:space="preserve">134 ALLAMA IQBAL RAOD GARI SHAHU OP POSITE TANVIR ACCADEMY  LAHORE </t>
  </si>
  <si>
    <t>53545/00100/01/2021</t>
  </si>
  <si>
    <t>10109002</t>
  </si>
  <si>
    <t>AGON R VXL AGS</t>
  </si>
  <si>
    <t>OLDLHR300065383</t>
  </si>
  <si>
    <t>4150/01/2021/ITFM</t>
  </si>
  <si>
    <t>KHI/HO/D/MO/PC COMP/C/106590/149/01/2025</t>
  </si>
  <si>
    <t>9976AP1220280074</t>
  </si>
  <si>
    <t>SHAHRUKH AHMED KHAN</t>
  </si>
  <si>
    <t>42101-2390487-1</t>
  </si>
  <si>
    <t>03453170131</t>
  </si>
  <si>
    <t xml:space="preserve">1/2 BLOCK 5-D BEHIND MCB BANK KARACHI PK </t>
  </si>
  <si>
    <t>57872/00203/01/2022</t>
  </si>
  <si>
    <t>209681</t>
  </si>
  <si>
    <t>1109648</t>
  </si>
  <si>
    <t>OLDKHI300083667</t>
  </si>
  <si>
    <t>DIB0033316</t>
  </si>
  <si>
    <t>KHI/HO/D/MO/PC COMP/C/106590/150/01/2025</t>
  </si>
  <si>
    <t>9976AP1220260042</t>
  </si>
  <si>
    <t>SHAFIQ AHMED</t>
  </si>
  <si>
    <t>42101-1825705-9</t>
  </si>
  <si>
    <t>03452789136</t>
  </si>
  <si>
    <t xml:space="preserve">HOUSE # 6/425 LIAQUATABAD BLOCK 6 N EAR FIRDOUS SHOPPING CENTRE KARACHI PK </t>
  </si>
  <si>
    <t>57872/00170/01/2022</t>
  </si>
  <si>
    <t>6R161719</t>
  </si>
  <si>
    <t>NF1AET306H1061725</t>
  </si>
  <si>
    <t>BTN-144</t>
  </si>
  <si>
    <t>OLUKHI300083507</t>
  </si>
  <si>
    <t>DIB0033279</t>
  </si>
  <si>
    <t>KHI/HO/D/MO/PC COMP/C/106590/183/01/2025</t>
  </si>
  <si>
    <t>9976AP1210290013</t>
  </si>
  <si>
    <t>HASEEB ASHRAF</t>
  </si>
  <si>
    <t>35201-8114682-1</t>
  </si>
  <si>
    <t xml:space="preserve">H NO 2 NEAR SUBEDAR STREET CHANAR G ARDEN HARBANSPURA ROAD  LAHORE </t>
  </si>
  <si>
    <t>53545/00102/01/2021</t>
  </si>
  <si>
    <t>10109639</t>
  </si>
  <si>
    <t>OLDLHR300065398</t>
  </si>
  <si>
    <t>DIB0029458</t>
  </si>
  <si>
    <t>KHI/HO/D/MO/PC COMP/C/106590/152/01/2025</t>
  </si>
  <si>
    <t>9976AP1220270058</t>
  </si>
  <si>
    <t>MUHAMMAD HUSSAIN</t>
  </si>
  <si>
    <t>33100-3275716-1</t>
  </si>
  <si>
    <t>03026000387</t>
  </si>
  <si>
    <t>03026000387, 03026000387</t>
  </si>
  <si>
    <t xml:space="preserve">10-K EDEN GARDEN FSD NEAR SOCITY OF FICE FAISALABAD PK </t>
  </si>
  <si>
    <t>57872/00174/01/2022</t>
  </si>
  <si>
    <t>2A36667</t>
  </si>
  <si>
    <t>R-7022983</t>
  </si>
  <si>
    <t>AEY-209</t>
  </si>
  <si>
    <t>OLUFSD300083552</t>
  </si>
  <si>
    <t>DIB0033276</t>
  </si>
  <si>
    <t>KHI/HO/D/MO/PC COMP/C/106590/182/01/2025</t>
  </si>
  <si>
    <t>9976AD1212210013</t>
  </si>
  <si>
    <t>ZUNNURAIN HAFEEZ GOREJA</t>
  </si>
  <si>
    <t>35201-5482782-3</t>
  </si>
  <si>
    <t>03239114000</t>
  </si>
  <si>
    <t>35911575</t>
  </si>
  <si>
    <t xml:space="preserve">H# 317 BLOCK M PHASE 1 DHA LAHORE PK </t>
  </si>
  <si>
    <t>57872/00167/01/2022</t>
  </si>
  <si>
    <t>312244</t>
  </si>
  <si>
    <t>308337</t>
  </si>
  <si>
    <t>OLALHR300071632</t>
  </si>
  <si>
    <t>KHI/HO/D/MO/PC COMP/C/106590/181/01/2025</t>
  </si>
  <si>
    <t>9976AD2212730054</t>
  </si>
  <si>
    <t>35202-2312592-1</t>
  </si>
  <si>
    <t>03038847683</t>
  </si>
  <si>
    <t xml:space="preserve">FBR AUDIT BUILDING 6TH FLOOR LTD TA X HOUSE BUILDING NABI ROAD LAHORE </t>
  </si>
  <si>
    <t>57872/00199/01/2022</t>
  </si>
  <si>
    <t>226718</t>
  </si>
  <si>
    <t>10126730</t>
  </si>
  <si>
    <t>OLALHR300074329</t>
  </si>
  <si>
    <t>DIB0033288</t>
  </si>
  <si>
    <t>KHI/HO/D/MO/PC COMP/C/106590/153/01/2025</t>
  </si>
  <si>
    <t>9976AP1220320103</t>
  </si>
  <si>
    <t>MUHAMMAD ADEEL SHEIKH</t>
  </si>
  <si>
    <t>35202-6191865-3</t>
  </si>
  <si>
    <t>37169532</t>
  </si>
  <si>
    <t>0321-4027570</t>
  </si>
  <si>
    <t xml:space="preserve">H # E-755A ALI PARK BILAL STREET BEDIAN ROAD LAHORE </t>
  </si>
  <si>
    <t>57872/00198/01/2022</t>
  </si>
  <si>
    <t>M05605643W</t>
  </si>
  <si>
    <t>M22A03519</t>
  </si>
  <si>
    <t>PRINCE PERAL</t>
  </si>
  <si>
    <t>OLDLHR300083641</t>
  </si>
  <si>
    <t>DIB0033311</t>
  </si>
  <si>
    <t>KHI/HO/D/MO/PC COMP/C/106590/157/01/2025</t>
  </si>
  <si>
    <t>9976AP1230260005</t>
  </si>
  <si>
    <t>ONEEB ANIS</t>
  </si>
  <si>
    <t>42501-6820790-9</t>
  </si>
  <si>
    <t>03452622321</t>
  </si>
  <si>
    <t xml:space="preserve">KARACHI BARYANI HOUSE NEAR MEEZAN BANK BANIGALA ISLAMABAD 03452622321 </t>
  </si>
  <si>
    <t>66406/00051/01/2023</t>
  </si>
  <si>
    <t>191095</t>
  </si>
  <si>
    <t>1091127</t>
  </si>
  <si>
    <t>BAB-325</t>
  </si>
  <si>
    <t>OLUISD300091754</t>
  </si>
  <si>
    <t>9886/01/2023/ITFM</t>
  </si>
  <si>
    <t>KHI/HO/D/MO/PC COMP/C/106590/176/01/2025</t>
  </si>
  <si>
    <t>9976AP1220310050</t>
  </si>
  <si>
    <t>SAJJAD RASOOL</t>
  </si>
  <si>
    <t>34601-3248060-9</t>
  </si>
  <si>
    <t>03334473479</t>
  </si>
  <si>
    <t xml:space="preserve">MOHALLAH RASOOL PUR SAMBRAIL ROAD N EAR MCB BANK WALA GALA SIALKOT </t>
  </si>
  <si>
    <t>57872/00200/01/2022</t>
  </si>
  <si>
    <t>229019</t>
  </si>
  <si>
    <t>10129012</t>
  </si>
  <si>
    <t>OLDSKT300083623</t>
  </si>
  <si>
    <t>DIB003312</t>
  </si>
  <si>
    <t>KHI/HO/D/MO/PC COMP/C/106590/158/01/2025</t>
  </si>
  <si>
    <t>9976AP1220270055</t>
  </si>
  <si>
    <t>IRFAN MEHMOOD</t>
  </si>
  <si>
    <t>37401-0106206-9</t>
  </si>
  <si>
    <t>03488509505</t>
  </si>
  <si>
    <t xml:space="preserve">H # 4 A FAZAL STREET OPP RAFAY PLAZ A DEFENCE ROAD ADYALA ROAD RAWALPINDI PK </t>
  </si>
  <si>
    <t>57872/00173/01/2022</t>
  </si>
  <si>
    <t>208816</t>
  </si>
  <si>
    <t>1109021</t>
  </si>
  <si>
    <t>OLDRWP300083523</t>
  </si>
  <si>
    <t>6159/01/2022</t>
  </si>
  <si>
    <t>KHI/HO/D/MO/PC COMP/C/106590/174/01/2025</t>
  </si>
  <si>
    <t>9976AP1220330115</t>
  </si>
  <si>
    <t>BABAR SIDDIQUE</t>
  </si>
  <si>
    <t>35201-4592585-3</t>
  </si>
  <si>
    <t>03200755842</t>
  </si>
  <si>
    <t xml:space="preserve">HOUSE NO 270/C GULDASHAT TOWN LAHOR E CANTT LAHORE PK </t>
  </si>
  <si>
    <t>57872/00179/01/2022</t>
  </si>
  <si>
    <t>2126763</t>
  </si>
  <si>
    <t>10112676</t>
  </si>
  <si>
    <t>AGA-889</t>
  </si>
  <si>
    <t>OLULHR300083272</t>
  </si>
  <si>
    <t>DIB0033287</t>
  </si>
  <si>
    <t>KHI/HO/D/MO/PC COMP/C/106590/173/01/2025</t>
  </si>
  <si>
    <t>9976AD1223320005</t>
  </si>
  <si>
    <t>AFZAL HUSSAIN</t>
  </si>
  <si>
    <t>42501-1461483-3</t>
  </si>
  <si>
    <t>03002331186</t>
  </si>
  <si>
    <t xml:space="preserve">H NO D-67 CANTT BAZAR MALIR CANTT KARACHI </t>
  </si>
  <si>
    <t>66406/00055/01/2023</t>
  </si>
  <si>
    <t>6R268805</t>
  </si>
  <si>
    <t>1168784</t>
  </si>
  <si>
    <t>OLAKHI300090986</t>
  </si>
  <si>
    <t>9853/01/2023/ITFM</t>
  </si>
  <si>
    <t>KHI/HO/D/MO/PC COMP/C/106590/160/01/2025</t>
  </si>
  <si>
    <t>9976AP1230270009</t>
  </si>
  <si>
    <t>ATIF NAEEM MALIK</t>
  </si>
  <si>
    <t>37405-5882214-1</t>
  </si>
  <si>
    <t>03135384358</t>
  </si>
  <si>
    <t>0512260441</t>
  </si>
  <si>
    <t xml:space="preserve">H # 264 ST # 2-C GHOURI TOWN PH 5-A ISLAMABAD PK </t>
  </si>
  <si>
    <t>66406/00052/01/2023</t>
  </si>
  <si>
    <t>1010926</t>
  </si>
  <si>
    <t>110888</t>
  </si>
  <si>
    <t>BBC-844</t>
  </si>
  <si>
    <t>OLUISD300091775</t>
  </si>
  <si>
    <t>9888/01/2023/ITFM</t>
  </si>
  <si>
    <t>KHI/HO/D/MO/PC COMP/C/106590/161/01/2025</t>
  </si>
  <si>
    <t>9976AP1220290005</t>
  </si>
  <si>
    <t>USMAN BIN ABBAS</t>
  </si>
  <si>
    <t>Dinga</t>
  </si>
  <si>
    <t>34402-0849773-3</t>
  </si>
  <si>
    <t>03498301370</t>
  </si>
  <si>
    <t xml:space="preserve">P.O KHAS SIVIA , TEH DISTT M B DIN 0349-8301370 </t>
  </si>
  <si>
    <t>57872/00190/01/2022</t>
  </si>
  <si>
    <t>138509</t>
  </si>
  <si>
    <t>708840</t>
  </si>
  <si>
    <t>OLDDGA300083612</t>
  </si>
  <si>
    <t>6165/01/2022</t>
  </si>
  <si>
    <t>KHI/HO/D/MO/PC COMP/C/106590/163/01/2025</t>
  </si>
  <si>
    <t>9976AP1240260015</t>
  </si>
  <si>
    <t>SHOAIB AKHTAR</t>
  </si>
  <si>
    <t>34104-1005529-1</t>
  </si>
  <si>
    <t>03005388552</t>
  </si>
  <si>
    <t xml:space="preserve">SHOP NO 16 BASEMENT SIGNPORE PLAZA ADAMJEE ROAD SADDAR RWP </t>
  </si>
  <si>
    <t>81032/00028/01/2024</t>
  </si>
  <si>
    <t>075164</t>
  </si>
  <si>
    <t>710939</t>
  </si>
  <si>
    <t>BBZ-964</t>
  </si>
  <si>
    <t>OLURWP300099128</t>
  </si>
  <si>
    <t>10770/01/2024/ITFM</t>
  </si>
  <si>
    <t>KHI/HO/D/MO/PC COMP/C/106590/172/01/2025</t>
  </si>
  <si>
    <t>997AAD1203140002</t>
  </si>
  <si>
    <t>TAHIR RAFIQ</t>
  </si>
  <si>
    <t>34603-5697663-9</t>
  </si>
  <si>
    <t xml:space="preserve">177-A-I, GULBERG-III, LINK MM ALAM ROAD, LAHORE 03361171176   </t>
  </si>
  <si>
    <t>53545/00092/01/2021</t>
  </si>
  <si>
    <t>G3LALP082188</t>
  </si>
  <si>
    <t>NNATA52AXKP500802</t>
  </si>
  <si>
    <t>PICANTO 1.0L M/T</t>
  </si>
  <si>
    <t>POALHR300060521</t>
  </si>
  <si>
    <t>DIB0029444</t>
  </si>
  <si>
    <t>KHI/HO/D/MO/PC COMP/C/106590/164/01/2025</t>
  </si>
  <si>
    <t>9976AP2220270024</t>
  </si>
  <si>
    <t>ZAHID MEHMOOD</t>
  </si>
  <si>
    <t>35103-1341439-9</t>
  </si>
  <si>
    <t>041-8753423</t>
  </si>
  <si>
    <t>0301-7171474</t>
  </si>
  <si>
    <t>041-9201424</t>
  </si>
  <si>
    <t xml:space="preserve">H NO P-223AMIN TOWN NISHAT ABAD BEHIND NOOR FATIMA MILL Faisalabad </t>
  </si>
  <si>
    <t>57872/00183/01/2022</t>
  </si>
  <si>
    <t>L13A17446790</t>
  </si>
  <si>
    <t>NFBGM1555GR187927</t>
  </si>
  <si>
    <t>FDA-16-213</t>
  </si>
  <si>
    <t>OLUFSD300083072</t>
  </si>
  <si>
    <t>DIB0033298</t>
  </si>
  <si>
    <t>KHI/HO/D/MO/PC COMP/C/106590/166/01/2025</t>
  </si>
  <si>
    <t>9976AP2220280026</t>
  </si>
  <si>
    <t>NATHAR MAL</t>
  </si>
  <si>
    <t>41207-0736670-5</t>
  </si>
  <si>
    <t>03023354526</t>
  </si>
  <si>
    <t xml:space="preserve">FLAT # 8 2ND FLOOR ABDULLAH HEIGHTS QASIMABAD HYDERABAD PK </t>
  </si>
  <si>
    <t>57872/00188/01/2022</t>
  </si>
  <si>
    <t>6R183179</t>
  </si>
  <si>
    <t>6H1083183</t>
  </si>
  <si>
    <t>OLDHYD300083585</t>
  </si>
  <si>
    <t>6170/01/2022</t>
  </si>
  <si>
    <t>KHI/HO/D/MO/PC COMP/C/106590/167/01/2025</t>
  </si>
  <si>
    <t>9976AP1190290014</t>
  </si>
  <si>
    <t>NAUMAN AHMAD</t>
  </si>
  <si>
    <t>16102-3237655-1</t>
  </si>
  <si>
    <t>03034967377</t>
  </si>
  <si>
    <t>0518439038</t>
  </si>
  <si>
    <t xml:space="preserve">H # 10/2 ST # 2 KHAYABAN E LUQMAN K ALMA CHOWK TAHLI MORI RAWALPINDI PK </t>
  </si>
  <si>
    <t>50255/00038/01/2019</t>
  </si>
  <si>
    <t>762803</t>
  </si>
  <si>
    <t>1301336</t>
  </si>
  <si>
    <t>AMF-266</t>
  </si>
  <si>
    <t>SUZUKI MEHRAN VXR</t>
  </si>
  <si>
    <t>27-JAN-2019</t>
  </si>
  <si>
    <t>PODRWP300042619</t>
  </si>
  <si>
    <t>0155/01/2019</t>
  </si>
  <si>
    <t>KHI/HO/D/MO/PC COMP/C/106590/170/01/2025</t>
  </si>
  <si>
    <t>WACH</t>
  </si>
  <si>
    <t>9976AP2213650073</t>
  </si>
  <si>
    <t>AMANULLAH BHANGWAR</t>
  </si>
  <si>
    <t>45402-0952954-3</t>
  </si>
  <si>
    <t>03048457467</t>
  </si>
  <si>
    <t xml:space="preserve">PEOPLES MEDICAL COLLEGE HO HEALTH DEPTT PMC HOSPITAL NAWABSHAH DISTT SBA 0304-8457467 </t>
  </si>
  <si>
    <t>57132/00320/12/2021</t>
  </si>
  <si>
    <t>Z528182</t>
  </si>
  <si>
    <t>NZE170R-1054056</t>
  </si>
  <si>
    <t>BMV-295</t>
  </si>
  <si>
    <t>OLUNWB300082774</t>
  </si>
  <si>
    <t>6033/12/2021</t>
  </si>
  <si>
    <t>KHI/HO/D/MO/PC COMP/C/103702/14/12/2024</t>
  </si>
  <si>
    <t>KHI/HO/D/MO/PC COMP/E/52165/00014/02/2025</t>
  </si>
  <si>
    <t>9976AP1203660044</t>
  </si>
  <si>
    <t>MUHAMMAD SHEHROZ</t>
  </si>
  <si>
    <t>38403-7381818-9</t>
  </si>
  <si>
    <t>03075043307</t>
  </si>
  <si>
    <t xml:space="preserve">MOHALLAH AKBAR GHOURI TOWN PHASE 1 ISLAMABAD </t>
  </si>
  <si>
    <t>53326/00126/12/2020</t>
  </si>
  <si>
    <t>070297</t>
  </si>
  <si>
    <t>6047766</t>
  </si>
  <si>
    <t>OLDISD300064685</t>
  </si>
  <si>
    <t>3932/12/2020/ITFM</t>
  </si>
  <si>
    <t>KHI/HO/D/MO/PC COMP/C/103702/15/12/2024</t>
  </si>
  <si>
    <t>KHI/HO/D/MO/PC COMP/E/52165/00015/02/2025</t>
  </si>
  <si>
    <t>9976AP1213630033</t>
  </si>
  <si>
    <t>IRFAN JAMIL</t>
  </si>
  <si>
    <t>35202-0677600-1</t>
  </si>
  <si>
    <t>03222008877 03224928612</t>
  </si>
  <si>
    <t>03224928672</t>
  </si>
  <si>
    <t xml:space="preserve">HOUSE NO 10 BLOCK P PHASE 1 DHA LAHORE CANTT </t>
  </si>
  <si>
    <t>57132/00219/12/2021</t>
  </si>
  <si>
    <t>12946327</t>
  </si>
  <si>
    <t>R049760</t>
  </si>
  <si>
    <t>LEA-19-3677</t>
  </si>
  <si>
    <t>OLULHR300082473</t>
  </si>
  <si>
    <t>DIB0032911</t>
  </si>
  <si>
    <t>KHI/HO/D/MO/PC COMP/C/103702/261/12/2024</t>
  </si>
  <si>
    <t>KHI/HO/D/MO/PC COMP/E/52165/00261/02/2025</t>
  </si>
  <si>
    <t>9976AD2210290003</t>
  </si>
  <si>
    <t>MUHAMMAD ARBAB DOGAR</t>
  </si>
  <si>
    <t>33102-1809797-5</t>
  </si>
  <si>
    <t>03216600218</t>
  </si>
  <si>
    <t xml:space="preserve">P 17 C BLOCK WAPDA CITY FAISALABAD </t>
  </si>
  <si>
    <t>2021-10-205-V015010P0002401</t>
  </si>
  <si>
    <t>15E4E5MGM7150028</t>
  </si>
  <si>
    <t>LSJA24U95MN122889</t>
  </si>
  <si>
    <t>MG HS TURBO</t>
  </si>
  <si>
    <t>OLAFSD300065386</t>
  </si>
  <si>
    <t>DIB0032040</t>
  </si>
  <si>
    <t>KHI/HO/D/MO/PC COMP/C/103702/337/12/2024</t>
  </si>
  <si>
    <t>KHI/HO/D/MO/PC COMP/E/52165/00337/02/2025</t>
  </si>
  <si>
    <t>9976AP1220320077</t>
  </si>
  <si>
    <t>AAKASH</t>
  </si>
  <si>
    <t>41205-0862932-9</t>
  </si>
  <si>
    <t>03003003747</t>
  </si>
  <si>
    <t xml:space="preserve">SHOP NO 03 MASHALLAH MARKET SAFOORA CHOWK SCH 33 KARACHI </t>
  </si>
  <si>
    <t>5782/00306/01/2022</t>
  </si>
  <si>
    <t>134824</t>
  </si>
  <si>
    <t>H-10034895</t>
  </si>
  <si>
    <t>BPL-924</t>
  </si>
  <si>
    <t>OLUKHI300083961</t>
  </si>
  <si>
    <t>DIB0033356</t>
  </si>
  <si>
    <t>KHI/HO/D/MO/PC COMP/C/106590/8/01/2025</t>
  </si>
  <si>
    <t>9976AP2220320090</t>
  </si>
  <si>
    <t>UMAIR ALI BAIG</t>
  </si>
  <si>
    <t>34601-5753087-3</t>
  </si>
  <si>
    <t>03215755757</t>
  </si>
  <si>
    <t xml:space="preserve">HOUSE NO 137 BLOCK C OPF HOUSING SO CIETY OVERSEAS PAKISTAN FOUNDATION LAHORE PK </t>
  </si>
  <si>
    <t>57872/00246/01/2022</t>
  </si>
  <si>
    <t>113629</t>
  </si>
  <si>
    <t>10013613</t>
  </si>
  <si>
    <t>LEC-18-1957</t>
  </si>
  <si>
    <t>OLULHR300083807</t>
  </si>
  <si>
    <t>6211/01/2022</t>
  </si>
  <si>
    <t>KHI/HO/D/MO/PC COMP/C/106590/9/01/2025</t>
  </si>
  <si>
    <t>9976AD1240090001</t>
  </si>
  <si>
    <t>ANEEQA QADEER</t>
  </si>
  <si>
    <t>61101-1189637-8</t>
  </si>
  <si>
    <t>03309502069</t>
  </si>
  <si>
    <t>0518732646</t>
  </si>
  <si>
    <t xml:space="preserve">H # 13-A ST # 2 PH-6 BAHRIA TOWN NE AR WATER FILTRATION PLANT RAWALPINDI PK </t>
  </si>
  <si>
    <t>81032/00023/01/2024</t>
  </si>
  <si>
    <t>Q368491</t>
  </si>
  <si>
    <t>7067683</t>
  </si>
  <si>
    <t>OLARWP300098988</t>
  </si>
  <si>
    <t>10756/01/2024/ITFM</t>
  </si>
  <si>
    <t>KHI/HO/D/MO/PC COMP/C/106590/215/01/2025</t>
  </si>
  <si>
    <t>9976AP1210270003</t>
  </si>
  <si>
    <t>MUHAMMAD NAWAZ</t>
  </si>
  <si>
    <t>35201-3111933-9</t>
  </si>
  <si>
    <t xml:space="preserve">STREET NO 2 ASIF TOWN CHANDRAI ROAD NEAR SARDAR KHAL MILL  LAHORE </t>
  </si>
  <si>
    <t>53545/00091/01/2021</t>
  </si>
  <si>
    <t>09608951W</t>
  </si>
  <si>
    <t>A01880</t>
  </si>
  <si>
    <t>OLDLHR300065294</t>
  </si>
  <si>
    <t>4134/01/2021/ITFM</t>
  </si>
  <si>
    <t>KHI/HO/D/MO/PC COMP/C/106590/159/01/2025</t>
  </si>
  <si>
    <t>-02-2025</t>
  </si>
  <si>
    <t>00012</t>
  </si>
  <si>
    <t>00016</t>
  </si>
  <si>
    <t>00019</t>
  </si>
  <si>
    <t>00025</t>
  </si>
  <si>
    <t>00029</t>
  </si>
  <si>
    <t>00031</t>
  </si>
  <si>
    <t>00032</t>
  </si>
  <si>
    <t>00034</t>
  </si>
  <si>
    <t>00042</t>
  </si>
  <si>
    <t>00044</t>
  </si>
  <si>
    <t>00046</t>
  </si>
  <si>
    <t>00047</t>
  </si>
  <si>
    <t>00048</t>
  </si>
  <si>
    <t>00050</t>
  </si>
  <si>
    <t>00051</t>
  </si>
  <si>
    <t>00052</t>
  </si>
  <si>
    <t>00053</t>
  </si>
  <si>
    <t>00054</t>
  </si>
  <si>
    <t>00056</t>
  </si>
  <si>
    <t>00057</t>
  </si>
  <si>
    <t>00058</t>
  </si>
  <si>
    <t>00059</t>
  </si>
  <si>
    <t>00061</t>
  </si>
  <si>
    <t>00062</t>
  </si>
  <si>
    <t>00065</t>
  </si>
  <si>
    <t>00067</t>
  </si>
  <si>
    <t>00068</t>
  </si>
  <si>
    <t>00070</t>
  </si>
  <si>
    <t>00071</t>
  </si>
  <si>
    <t>00073</t>
  </si>
  <si>
    <t>00075</t>
  </si>
  <si>
    <t>00077</t>
  </si>
  <si>
    <t>00078</t>
  </si>
  <si>
    <t>00079</t>
  </si>
  <si>
    <t>00080</t>
  </si>
  <si>
    <t>00081</t>
  </si>
  <si>
    <t>00083</t>
  </si>
  <si>
    <t>00084</t>
  </si>
  <si>
    <t>00087</t>
  </si>
  <si>
    <t>00089</t>
  </si>
  <si>
    <t>00090</t>
  </si>
  <si>
    <t>00091</t>
  </si>
  <si>
    <t>00092</t>
  </si>
  <si>
    <t>00096</t>
  </si>
  <si>
    <t>00113</t>
  </si>
  <si>
    <t>00117</t>
  </si>
  <si>
    <t>00119</t>
  </si>
  <si>
    <t>00136</t>
  </si>
  <si>
    <t>00137</t>
  </si>
  <si>
    <t>00141</t>
  </si>
  <si>
    <t>00144</t>
  </si>
  <si>
    <t>00146</t>
  </si>
  <si>
    <t>00148</t>
  </si>
  <si>
    <t>00149</t>
  </si>
  <si>
    <t>00151</t>
  </si>
  <si>
    <t>00152</t>
  </si>
  <si>
    <t>00153</t>
  </si>
  <si>
    <t>00155</t>
  </si>
  <si>
    <t>00156</t>
  </si>
  <si>
    <t>00157</t>
  </si>
  <si>
    <t>00158</t>
  </si>
  <si>
    <t>00159</t>
  </si>
  <si>
    <t>00162</t>
  </si>
  <si>
    <t>00163</t>
  </si>
  <si>
    <t>00165</t>
  </si>
  <si>
    <t>00169</t>
  </si>
  <si>
    <t>00170</t>
  </si>
  <si>
    <t>00171</t>
  </si>
  <si>
    <t>00173</t>
  </si>
  <si>
    <t>00174</t>
  </si>
  <si>
    <t>00179</t>
  </si>
  <si>
    <t>00181</t>
  </si>
  <si>
    <t>00184</t>
  </si>
  <si>
    <t>00186</t>
  </si>
  <si>
    <t>00187</t>
  </si>
  <si>
    <t>00188</t>
  </si>
  <si>
    <t>00189</t>
  </si>
  <si>
    <t>00190</t>
  </si>
  <si>
    <t>00197</t>
  </si>
  <si>
    <t>00198</t>
  </si>
  <si>
    <t>00200</t>
  </si>
  <si>
    <t>00207</t>
  </si>
  <si>
    <t>00210</t>
  </si>
  <si>
    <t>00215</t>
  </si>
  <si>
    <t>00217</t>
  </si>
  <si>
    <t>00218</t>
  </si>
  <si>
    <t>00221</t>
  </si>
  <si>
    <t>00222</t>
  </si>
  <si>
    <t>00227</t>
  </si>
  <si>
    <t>00230</t>
  </si>
  <si>
    <t>00231</t>
  </si>
  <si>
    <t>00232</t>
  </si>
  <si>
    <t>00235</t>
  </si>
  <si>
    <t>00236</t>
  </si>
  <si>
    <t>00243</t>
  </si>
  <si>
    <t>00246</t>
  </si>
  <si>
    <t>00247</t>
  </si>
  <si>
    <t>00249</t>
  </si>
  <si>
    <t>00250</t>
  </si>
  <si>
    <t>00251</t>
  </si>
  <si>
    <t>00252</t>
  </si>
  <si>
    <t>00254</t>
  </si>
  <si>
    <t>00255</t>
  </si>
  <si>
    <t>00256</t>
  </si>
  <si>
    <t>00257</t>
  </si>
  <si>
    <t>00262</t>
  </si>
  <si>
    <t>00269</t>
  </si>
  <si>
    <t>00270</t>
  </si>
  <si>
    <t>00272</t>
  </si>
  <si>
    <t>00273</t>
  </si>
  <si>
    <t>00274</t>
  </si>
  <si>
    <t>00276</t>
  </si>
  <si>
    <t>00277</t>
  </si>
  <si>
    <t>00278</t>
  </si>
  <si>
    <t>00279</t>
  </si>
  <si>
    <t>00280</t>
  </si>
  <si>
    <t>00281</t>
  </si>
  <si>
    <t>00286</t>
  </si>
  <si>
    <t>00289</t>
  </si>
  <si>
    <t>00290</t>
  </si>
  <si>
    <t>00291</t>
  </si>
  <si>
    <t>00296</t>
  </si>
  <si>
    <t>00299</t>
  </si>
  <si>
    <t>00300</t>
  </si>
  <si>
    <t>00304</t>
  </si>
  <si>
    <t>00307</t>
  </si>
  <si>
    <t>00308</t>
  </si>
  <si>
    <t>00309</t>
  </si>
  <si>
    <t>00311</t>
  </si>
  <si>
    <t>00313</t>
  </si>
  <si>
    <t>00314</t>
  </si>
  <si>
    <t>00316</t>
  </si>
  <si>
    <t>00320</t>
  </si>
  <si>
    <t>00321</t>
  </si>
  <si>
    <t>00322</t>
  </si>
  <si>
    <t>00326</t>
  </si>
  <si>
    <t>00330</t>
  </si>
  <si>
    <t>00098</t>
  </si>
  <si>
    <t>00357</t>
  </si>
  <si>
    <t>00372</t>
  </si>
  <si>
    <t>00373</t>
  </si>
  <si>
    <t>00375</t>
  </si>
  <si>
    <t>00385</t>
  </si>
  <si>
    <t>00386</t>
  </si>
  <si>
    <t>00402</t>
  </si>
  <si>
    <t>00404</t>
  </si>
  <si>
    <t>00312</t>
  </si>
  <si>
    <t>00248</t>
  </si>
  <si>
    <t>00205</t>
  </si>
  <si>
    <t>00055</t>
  </si>
  <si>
    <t>00014</t>
  </si>
  <si>
    <t>00015</t>
  </si>
  <si>
    <t>00261</t>
  </si>
  <si>
    <t>00337</t>
  </si>
  <si>
    <t>POLICY NO.</t>
  </si>
  <si>
    <t>Assorted_code</t>
  </si>
  <si>
    <t xml:space="preserve">   </t>
  </si>
  <si>
    <t>FUNC_ASSORTED_STRING(IA.ASSORTED_CODE)</t>
  </si>
  <si>
    <t>ASSORTED_CODE</t>
  </si>
  <si>
    <t>050000850838</t>
  </si>
  <si>
    <t>050000850866</t>
  </si>
  <si>
    <t>050000850883</t>
  </si>
  <si>
    <t>050000850891</t>
  </si>
  <si>
    <t>050000850895</t>
  </si>
  <si>
    <t>050000850906</t>
  </si>
  <si>
    <t>050000850910</t>
  </si>
  <si>
    <t>050000850918</t>
  </si>
  <si>
    <t>050000850933</t>
  </si>
  <si>
    <t>050000851132</t>
  </si>
  <si>
    <t>050000850936</t>
  </si>
  <si>
    <t>050000850944</t>
  </si>
  <si>
    <t>050000850962</t>
  </si>
  <si>
    <t>050000850965</t>
  </si>
  <si>
    <t>050000850969</t>
  </si>
  <si>
    <t>050000850982</t>
  </si>
  <si>
    <t>050000851036</t>
  </si>
  <si>
    <t>050000851043</t>
  </si>
  <si>
    <t>050000851149</t>
  </si>
  <si>
    <t>050000851151</t>
  </si>
  <si>
    <t>050000851047</t>
  </si>
  <si>
    <t>050000851061</t>
  </si>
  <si>
    <t>050000851068</t>
  </si>
  <si>
    <t>050000851120</t>
  </si>
  <si>
    <t>050000851133</t>
  </si>
  <si>
    <t>050000850803</t>
  </si>
  <si>
    <t>050000850804</t>
  </si>
  <si>
    <t>050000850805</t>
  </si>
  <si>
    <t>050000850806</t>
  </si>
  <si>
    <t>050000850809</t>
  </si>
  <si>
    <t>050000850812</t>
  </si>
  <si>
    <t>050000850814</t>
  </si>
  <si>
    <t>050000850817</t>
  </si>
  <si>
    <t>050000850818</t>
  </si>
  <si>
    <t>050000850820</t>
  </si>
  <si>
    <t>050000850824</t>
  </si>
  <si>
    <t>050000851182</t>
  </si>
  <si>
    <t>050000851184</t>
  </si>
  <si>
    <t>050000851185</t>
  </si>
  <si>
    <t>050000851186</t>
  </si>
  <si>
    <t>050000851189</t>
  </si>
  <si>
    <t>050000850825</t>
  </si>
  <si>
    <t>050000850826</t>
  </si>
  <si>
    <t>050000850827</t>
  </si>
  <si>
    <t>050000850828</t>
  </si>
  <si>
    <t>050000850830</t>
  </si>
  <si>
    <t>050000850831</t>
  </si>
  <si>
    <t>050000850836</t>
  </si>
  <si>
    <t>050000850837</t>
  </si>
  <si>
    <t>050000850839</t>
  </si>
  <si>
    <t>050000850843</t>
  </si>
  <si>
    <t>050000851199</t>
  </si>
  <si>
    <t>050000851201</t>
  </si>
  <si>
    <t>050000851202</t>
  </si>
  <si>
    <t>050000851204</t>
  </si>
  <si>
    <t>050000851212</t>
  </si>
  <si>
    <t>050000850860</t>
  </si>
  <si>
    <t>050000850864</t>
  </si>
  <si>
    <t>050000850884</t>
  </si>
  <si>
    <t>050000850888</t>
  </si>
  <si>
    <t>050000850893</t>
  </si>
  <si>
    <t>050000850896</t>
  </si>
  <si>
    <t>050000851216</t>
  </si>
  <si>
    <t>050000851217</t>
  </si>
  <si>
    <t>050000851218</t>
  </si>
  <si>
    <t>050000851220</t>
  </si>
  <si>
    <t>050000851221</t>
  </si>
  <si>
    <t>050000851222</t>
  </si>
  <si>
    <t>050000851224</t>
  </si>
  <si>
    <t>050000851225</t>
  </si>
  <si>
    <t>050000850898</t>
  </si>
  <si>
    <t>050000850899</t>
  </si>
  <si>
    <t>050000850900</t>
  </si>
  <si>
    <t>050000850902</t>
  </si>
  <si>
    <t>050000850903</t>
  </si>
  <si>
    <t>050000850904</t>
  </si>
  <si>
    <t>050000850905</t>
  </si>
  <si>
    <t>050000850909</t>
  </si>
  <si>
    <t>050000850912</t>
  </si>
  <si>
    <t>050000850916</t>
  </si>
  <si>
    <t>050000850917</t>
  </si>
  <si>
    <t>050000850920</t>
  </si>
  <si>
    <t>050000850921</t>
  </si>
  <si>
    <t>050000851195</t>
  </si>
  <si>
    <t>050000850926</t>
  </si>
  <si>
    <t>050000850928</t>
  </si>
  <si>
    <t>050000850931</t>
  </si>
  <si>
    <t>050000850934</t>
  </si>
  <si>
    <t>050000850935</t>
  </si>
  <si>
    <t>050000850937</t>
  </si>
  <si>
    <t>050000850945</t>
  </si>
  <si>
    <t>050000850947</t>
  </si>
  <si>
    <t>050000850952</t>
  </si>
  <si>
    <t>050000850954</t>
  </si>
  <si>
    <t>050000850957</t>
  </si>
  <si>
    <t>050000850964</t>
  </si>
  <si>
    <t>050000850968</t>
  </si>
  <si>
    <t>050000850974</t>
  </si>
  <si>
    <t>050000850977</t>
  </si>
  <si>
    <t>050000850978</t>
  </si>
  <si>
    <t>050000850979</t>
  </si>
  <si>
    <t>050000850983</t>
  </si>
  <si>
    <t>050000850993</t>
  </si>
  <si>
    <t>050000850995</t>
  </si>
  <si>
    <t>050000850996</t>
  </si>
  <si>
    <t>050000850997</t>
  </si>
  <si>
    <t>050000850998</t>
  </si>
  <si>
    <t>050000850999</t>
  </si>
  <si>
    <t>050000851001</t>
  </si>
  <si>
    <t>050000851002</t>
  </si>
  <si>
    <t>050000851003</t>
  </si>
  <si>
    <t>050000851004</t>
  </si>
  <si>
    <t>050000851008</t>
  </si>
  <si>
    <t>050000851009</t>
  </si>
  <si>
    <t>050000851016</t>
  </si>
  <si>
    <t>050000851017</t>
  </si>
  <si>
    <t>050000851019</t>
  </si>
  <si>
    <t>050000851020</t>
  </si>
  <si>
    <t>050000851021</t>
  </si>
  <si>
    <t>050000851023</t>
  </si>
  <si>
    <t>050000851024</t>
  </si>
  <si>
    <t>050000851025</t>
  </si>
  <si>
    <t>050000851026</t>
  </si>
  <si>
    <t>050000851027</t>
  </si>
  <si>
    <t>050000851028</t>
  </si>
  <si>
    <t>050000851033</t>
  </si>
  <si>
    <t>050000851037</t>
  </si>
  <si>
    <t>050000851038</t>
  </si>
  <si>
    <t>050000851046</t>
  </si>
  <si>
    <t>050000851051</t>
  </si>
  <si>
    <t>050000851054</t>
  </si>
  <si>
    <t>050000851055</t>
  </si>
  <si>
    <t>050000851056</t>
  </si>
  <si>
    <t>050000851058</t>
  </si>
  <si>
    <t>050000851059</t>
  </si>
  <si>
    <t>050000851060</t>
  </si>
  <si>
    <t>050000851063</t>
  </si>
  <si>
    <t>050000851067</t>
  </si>
  <si>
    <t>050000851069</t>
  </si>
  <si>
    <t>050000851073</t>
  </si>
  <si>
    <t>050000851077</t>
  </si>
  <si>
    <t>050000851084</t>
  </si>
  <si>
    <t>050000850990</t>
  </si>
  <si>
    <t>050000850994</t>
  </si>
  <si>
    <t>050000851104</t>
  </si>
  <si>
    <t>050000851119</t>
  </si>
  <si>
    <t>050000851122</t>
  </si>
  <si>
    <t>050000850808</t>
  </si>
  <si>
    <t>050000850815</t>
  </si>
  <si>
    <t>050000850822</t>
  </si>
  <si>
    <t>050000850834</t>
  </si>
  <si>
    <t>050000851214</t>
  </si>
  <si>
    <t>050000851223</t>
  </si>
  <si>
    <t>050000852707</t>
  </si>
  <si>
    <t>12Feb250043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</si>
</sst>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_);\(#,##0\)"/>
    <numFmt numFmtId="165" formatCode="m/d/yyyy"/>
    <numFmt numFmtId="166" formatCode="_-* #,##0_-;\-* #,##0_-;_-* &quot;-&quot;??_-;_-@_-"/>
    <numFmt numFmtId="167" formatCode="_(* #,##0_);_(* \(#,##0\);_(* &quot;-&quot;??_);_(@_)"/>
  </numFmts>
  <fonts count="7">
    <font>
      <sz val="10"/>
      <name val="Arial "/>
    </font>
    <font>
      <sz val="10"/>
      <name val="Arial "/>
    </font>
    <font>
      <sz val="10"/>
      <color theme="1"/>
      <name val="Arial "/>
    </font>
    <font>
      <b/>
      <sz val="11"/>
      <color theme="1"/>
      <name val="Aptos Narrow"/>
      <family val="2"/>
      <scheme val="minor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1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vertical="top"/>
    </xf>
    <xf numFmtId="0" fontId="0" fillId="3" borderId="1" xfId="0" applyFill="1" applyBorder="1"/>
    <xf numFmtId="14" fontId="0" fillId="3" borderId="1" xfId="0" applyNumberFormat="1" applyFill="1" applyBorder="1"/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0" fontId="0" fillId="3" borderId="2" xfId="0" applyFill="1" applyBorder="1"/>
    <xf numFmtId="165" fontId="0" fillId="3" borderId="2" xfId="0" applyNumberFormat="1" applyFill="1" applyBorder="1"/>
    <xf numFmtId="166" fontId="1" fillId="4" borderId="2" xfId="0" applyNumberFormat="1" applyFont="1" applyFill="1" applyBorder="1"/>
    <xf numFmtId="166" fontId="0" fillId="4" borderId="2" xfId="0" applyNumberFormat="1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2" fillId="4" borderId="1" xfId="0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0" xfId="0" applyAlignment="1">
      <alignment vertical="top"/>
    </xf>
    <xf numFmtId="167" fontId="4" fillId="0" borderId="0" xfId="1" applyNumberFormat="1" applyFont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0" fontId="5" fillId="0" borderId="0" xfId="0" applyFont="1"/>
    <xf numFmtId="0" fontId="6" fillId="0" borderId="0" xfId="0" applyFont="1"/>
  </cellXfs>
  <cellStyles count="2">
    <cellStyle name="Comma" xfId="1" builtinId="3"/>
    <cellStyle name="Normal" xfId="0" builtinId="0"/>
  </cellStyles>
  <dxfs count="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"/>
        <scheme val="none"/>
      </font>
      <numFmt numFmtId="166" formatCode="_-* #,##0_-;\-* #,##0_-;_-* &quot;-&quot;??_-;_-@_-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"/>
        <scheme val="none"/>
      </font>
      <numFmt numFmtId="166" formatCode="_-* #,##0_-;\-* #,##0_-;_-* &quot;-&quot;??_-;_-@_-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"/>
        <scheme val="none"/>
      </font>
      <numFmt numFmtId="166" formatCode="_-* #,##0_-;\-* #,##0_-;_-* &quot;-&quot;??_-;_-@_-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 "/>
        <scheme val="none"/>
      </font>
      <fill>
        <patternFill patternType="solid">
          <fgColor indexed="64"/>
          <bgColor theme="4" tint="0.59999389629810485"/>
        </patternFill>
      </fill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4" displayName="Table14" ref="A1:AK431" totalsRowCount="1" headerRowDxfId="79" dataDxfId="78">
  <autoFilter ref="A1:AK430" xr:uid="{00000000-0009-0000-0100-000001000000}">
    <filterColumn colId="36">
      <customFilters>
        <customFilter operator="notEqual" val=" "/>
      </customFilters>
    </filterColumn>
  </autoFilter>
  <sortState xmlns:xlrd2="http://schemas.microsoft.com/office/spreadsheetml/2017/richdata2" ref="A2:AG430">
    <sortCondition ref="B2:B430"/>
  </sortState>
  <tableColumns count="37">
    <tableColumn id="1" xr3:uid="{00000000-0010-0000-0000-000001000000}" name="Sr." dataDxfId="77" totalsRowDxfId="76"/>
    <tableColumn id="2" xr3:uid="{00000000-0010-0000-0000-000002000000}" name="Status" dataDxfId="75" totalsRowDxfId="74"/>
    <tableColumn id="3" xr3:uid="{00000000-0010-0000-0000-000003000000}" name="Contract No." dataDxfId="73" totalsRowDxfId="72"/>
    <tableColumn id="4" xr3:uid="{00000000-0010-0000-0000-000004000000}" name="Contract Status" dataDxfId="71" totalsRowDxfId="70"/>
    <tableColumn id="5" xr3:uid="{00000000-0010-0000-0000-000005000000}" name="Insurance Agency" dataDxfId="69" totalsRowDxfId="68"/>
    <tableColumn id="6" xr3:uid="{00000000-0010-0000-0000-000006000000}" name="Customer Name" dataDxfId="67" totalsRowDxfId="66"/>
    <tableColumn id="7" xr3:uid="{00000000-0010-0000-0000-000007000000}" name="City" dataDxfId="65" totalsRowDxfId="64"/>
    <tableColumn id="8" xr3:uid="{00000000-0010-0000-0000-000008000000}" name="CNIC No." dataDxfId="63" totalsRowDxfId="62"/>
    <tableColumn id="9" xr3:uid="{00000000-0010-0000-0000-000009000000}" name="Home Phone#" dataDxfId="61" totalsRowDxfId="60"/>
    <tableColumn id="10" xr3:uid="{00000000-0010-0000-0000-00000A000000}" name="Mobile Number" dataDxfId="59" totalsRowDxfId="58"/>
    <tableColumn id="11" xr3:uid="{00000000-0010-0000-0000-00000B000000}" name="Business Phone#" dataDxfId="57" totalsRowDxfId="56"/>
    <tableColumn id="12" xr3:uid="{00000000-0010-0000-0000-00000C000000}" name="Mail Address" dataDxfId="55" totalsRowDxfId="54"/>
    <tableColumn id="13" xr3:uid="{00000000-0010-0000-0000-00000D000000}" name="Finance Amount" dataDxfId="53" totalsRowDxfId="52"/>
    <tableColumn id="14" xr3:uid="{00000000-0010-0000-0000-00000E000000}" name="Car Price" dataDxfId="51" totalsRowDxfId="50"/>
    <tableColumn id="15" xr3:uid="{00000000-0010-0000-0000-00000F000000}" name="Ins. Policy" dataDxfId="49" totalsRowDxfId="48"/>
    <tableColumn id="16" xr3:uid="{00000000-0010-0000-0000-000010000000}" name="Ins. Expiry Date" dataDxfId="47" totalsRowDxfId="46"/>
    <tableColumn id="17" xr3:uid="{00000000-0010-0000-0000-000011000000}" name="Engine No." dataDxfId="45" totalsRowDxfId="44"/>
    <tableColumn id="18" xr3:uid="{00000000-0010-0000-0000-000012000000}" name="Chassis No." dataDxfId="43" totalsRowDxfId="42"/>
    <tableColumn id="19" xr3:uid="{00000000-0010-0000-0000-000013000000}" name="Car Category" dataDxfId="41" totalsRowDxfId="40"/>
    <tableColumn id="20" xr3:uid="{00000000-0010-0000-0000-000014000000}" name="Reg. No." dataDxfId="39" totalsRowDxfId="38"/>
    <tableColumn id="21" xr3:uid="{00000000-0010-0000-0000-000015000000}" name="Car Name" dataDxfId="37" totalsRowDxfId="36"/>
    <tableColumn id="22" xr3:uid="{00000000-0010-0000-0000-000016000000}" name="Model" dataDxfId="35" totalsRowDxfId="34"/>
    <tableColumn id="23" xr3:uid="{00000000-0010-0000-0000-000017000000}" name="Contract Booking Date" dataDxfId="33" totalsRowDxfId="32"/>
    <tableColumn id="24" xr3:uid="{00000000-0010-0000-0000-000018000000}" name="Contract Value Date" dataDxfId="31" totalsRowDxfId="30"/>
    <tableColumn id="25" xr3:uid="{00000000-0010-0000-0000-000019000000}" name="Contract Maturity Date" dataDxfId="29" totalsRowDxfId="28"/>
    <tableColumn id="26" xr3:uid="{00000000-0010-0000-0000-00001A000000}" name="Purchase Order No." dataDxfId="27" totalsRowDxfId="26"/>
    <tableColumn id="27" xr3:uid="{00000000-0010-0000-0000-00001B000000}" name="Tenor#2" dataDxfId="25" totalsRowDxfId="24"/>
    <tableColumn id="28" xr3:uid="{00000000-0010-0000-0000-00001C000000}" name="Tracker Company" dataDxfId="23" totalsRowDxfId="22"/>
    <tableColumn id="29" xr3:uid="{00000000-0010-0000-0000-00001D000000}" name="Tracker Reference Number" dataDxfId="21" totalsRowDxfId="20"/>
    <tableColumn id="30" xr3:uid="{00000000-0010-0000-0000-00001E000000}" name="Tracker Installation Date" dataDxfId="19" totalsRowDxfId="18"/>
    <tableColumn id="31" xr3:uid="{00000000-0010-0000-0000-00001F000000}" name="Insurance Rate" dataDxfId="17" totalsRowDxfId="16"/>
    <tableColumn id="32" xr3:uid="{00000000-0010-0000-0000-000020000000}" name="Sum Insured" dataDxfId="15" totalsRowDxfId="14"/>
    <tableColumn id="33" xr3:uid="{00000000-0010-0000-0000-000021000000}" name="Premium" totalsRowFunction="custom" dataDxfId="13" totalsRowDxfId="12">
      <totalsRowFormula>SUM(Table14[Premium])</totalsRowFormula>
    </tableColumn>
    <tableColumn id="34" xr3:uid="{00000000-0010-0000-0000-000022000000}" name="Policy No. " dataDxfId="11" totalsRowDxfId="10"/>
    <tableColumn id="35" xr3:uid="{00000000-0010-0000-0000-000023000000}" name="TMS Premium " totalsRowFunction="custom" dataDxfId="9" totalsRowDxfId="8">
      <totalsRowFormula>SUM(Table14[[TMS Premium ]])</totalsRowFormula>
    </tableColumn>
    <tableColumn id="36" xr3:uid="{00000000-0010-0000-0000-000024000000}" name="Difference Amount" totalsRowFunction="custom" dataDxfId="7" totalsRowDxfId="6">
      <totalsRowFormula>SUM(Table14[Difference Amount])</totalsRowFormula>
    </tableColumn>
    <tableColumn id="39" xr3:uid="{00000000-0010-0000-0000-000027000000}" name="Endorsement No" dataDxfId="5" totalsRow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31"/>
  <sheetViews>
    <sheetView topLeftCell="AH246" zoomScale="95" zoomScaleNormal="95" workbookViewId="0">
      <selection activeCell="AK254" sqref="AK254"/>
    </sheetView>
  </sheetViews>
  <sheetFormatPr defaultRowHeight="12.75"/>
  <cols>
    <col min="1" max="2" width="0" hidden="1" customWidth="1"/>
    <col min="3" max="3" width="14.28515625" hidden="1" customWidth="1"/>
    <col min="4" max="4" width="16.85546875" hidden="1" customWidth="1"/>
    <col min="5" max="5" width="19.28515625" hidden="1" customWidth="1"/>
    <col min="6" max="6" width="36.85546875" hidden="1" customWidth="1"/>
    <col min="7" max="7" width="0" hidden="1" customWidth="1"/>
    <col min="8" max="8" width="16" hidden="1" customWidth="1"/>
    <col min="9" max="9" width="15.85546875" hidden="1" customWidth="1"/>
    <col min="10" max="10" width="17" hidden="1" customWidth="1"/>
    <col min="11" max="11" width="18.42578125" hidden="1" customWidth="1"/>
    <col min="12" max="12" width="14.7109375" hidden="1" customWidth="1"/>
    <col min="13" max="13" width="18" hidden="1" customWidth="1"/>
    <col min="14" max="14" width="11.5703125" hidden="1" customWidth="1"/>
    <col min="15" max="15" width="12.42578125" hidden="1" customWidth="1"/>
    <col min="16" max="16" width="17.28515625" hidden="1" customWidth="1"/>
    <col min="17" max="17" width="13" hidden="1" customWidth="1"/>
    <col min="18" max="18" width="20.7109375" hidden="1" customWidth="1"/>
    <col min="19" max="19" width="15" hidden="1" customWidth="1"/>
    <col min="20" max="20" width="10.85546875" hidden="1" customWidth="1"/>
    <col min="21" max="21" width="12.140625" hidden="1" customWidth="1"/>
    <col min="22" max="22" width="0" hidden="1" customWidth="1"/>
    <col min="23" max="23" width="23.42578125" hidden="1" customWidth="1"/>
    <col min="24" max="24" width="21.28515625" hidden="1" customWidth="1"/>
    <col min="25" max="25" width="23.28515625" hidden="1" customWidth="1"/>
    <col min="26" max="26" width="20.85546875" hidden="1" customWidth="1"/>
    <col min="27" max="27" width="10.42578125" hidden="1" customWidth="1"/>
    <col min="28" max="28" width="19.140625" hidden="1" customWidth="1"/>
    <col min="29" max="29" width="27.5703125" hidden="1" customWidth="1"/>
    <col min="30" max="30" width="25.28515625" hidden="1" customWidth="1"/>
    <col min="31" max="31" width="16.7109375" hidden="1" customWidth="1"/>
    <col min="32" max="32" width="14.5703125" hidden="1" customWidth="1"/>
    <col min="33" max="33" width="13.140625" hidden="1" customWidth="1"/>
    <col min="34" max="34" width="41.28515625" bestFit="1" customWidth="1"/>
    <col min="35" max="35" width="15.85546875" bestFit="1" customWidth="1"/>
    <col min="36" max="36" width="19.5703125" bestFit="1" customWidth="1"/>
    <col min="37" max="37" width="45.5703125" bestFit="1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idden="1">
      <c r="A2" s="10">
        <v>1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44</v>
      </c>
      <c r="L2" s="2" t="s">
        <v>46</v>
      </c>
      <c r="M2" s="2">
        <v>2800800</v>
      </c>
      <c r="N2" s="2">
        <v>6224000</v>
      </c>
      <c r="O2" s="2" t="s">
        <v>47</v>
      </c>
      <c r="P2" s="3">
        <v>45689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3">
        <v>44925</v>
      </c>
      <c r="X2" s="2" t="s">
        <v>54</v>
      </c>
      <c r="Y2" s="3">
        <v>46033</v>
      </c>
      <c r="Z2" s="2" t="s">
        <v>55</v>
      </c>
      <c r="AA2" s="2">
        <v>3</v>
      </c>
      <c r="AB2" s="2" t="s">
        <v>56</v>
      </c>
      <c r="AC2" s="2" t="s">
        <v>57</v>
      </c>
      <c r="AD2" s="3">
        <v>44986</v>
      </c>
      <c r="AE2" s="2" t="s">
        <v>58</v>
      </c>
      <c r="AF2" s="2">
        <v>5290400</v>
      </c>
      <c r="AG2" s="2">
        <v>105808</v>
      </c>
      <c r="AH2" s="2" t="s">
        <v>59</v>
      </c>
      <c r="AI2" s="2">
        <v>105808</v>
      </c>
      <c r="AJ2" s="11">
        <v>0</v>
      </c>
      <c r="AK2" s="11"/>
    </row>
    <row r="3" spans="1:37" hidden="1">
      <c r="A3" s="10">
        <v>2</v>
      </c>
      <c r="B3" s="2" t="s">
        <v>37</v>
      </c>
      <c r="C3" s="2" t="s">
        <v>60</v>
      </c>
      <c r="D3" s="2" t="s">
        <v>39</v>
      </c>
      <c r="E3" s="2" t="s">
        <v>40</v>
      </c>
      <c r="F3" s="2" t="s">
        <v>61</v>
      </c>
      <c r="G3" s="2" t="s">
        <v>62</v>
      </c>
      <c r="H3" s="2" t="s">
        <v>63</v>
      </c>
      <c r="I3" s="2" t="s">
        <v>51</v>
      </c>
      <c r="J3" s="2" t="s">
        <v>64</v>
      </c>
      <c r="K3" s="2" t="s">
        <v>51</v>
      </c>
      <c r="L3" s="2" t="s">
        <v>65</v>
      </c>
      <c r="M3" s="2">
        <v>2380000</v>
      </c>
      <c r="N3" s="2">
        <v>3500000</v>
      </c>
      <c r="O3" s="2" t="s">
        <v>66</v>
      </c>
      <c r="P3" s="3">
        <v>45717</v>
      </c>
      <c r="Q3" s="2" t="s">
        <v>67</v>
      </c>
      <c r="R3" s="2" t="s">
        <v>68</v>
      </c>
      <c r="S3" s="2" t="s">
        <v>69</v>
      </c>
      <c r="T3" s="2" t="s">
        <v>70</v>
      </c>
      <c r="U3" s="2" t="s">
        <v>71</v>
      </c>
      <c r="V3" s="2" t="s">
        <v>72</v>
      </c>
      <c r="W3" s="3">
        <v>44743</v>
      </c>
      <c r="X3" s="2" t="s">
        <v>73</v>
      </c>
      <c r="Y3" s="3">
        <v>46398</v>
      </c>
      <c r="Z3" s="2" t="s">
        <v>74</v>
      </c>
      <c r="AA3" s="2">
        <v>5</v>
      </c>
      <c r="AB3" s="2" t="s">
        <v>75</v>
      </c>
      <c r="AC3" s="2" t="s">
        <v>76</v>
      </c>
      <c r="AD3" s="3">
        <v>44682</v>
      </c>
      <c r="AE3" s="2" t="s">
        <v>77</v>
      </c>
      <c r="AF3" s="2">
        <v>2800000</v>
      </c>
      <c r="AG3" s="2">
        <v>42000</v>
      </c>
      <c r="AH3" s="2" t="s">
        <v>78</v>
      </c>
      <c r="AI3" s="2">
        <v>42000</v>
      </c>
      <c r="AJ3" s="11">
        <v>0</v>
      </c>
      <c r="AK3" s="11"/>
    </row>
    <row r="4" spans="1:37" hidden="1">
      <c r="A4" s="10">
        <v>3</v>
      </c>
      <c r="B4" s="2" t="s">
        <v>37</v>
      </c>
      <c r="C4" s="2" t="s">
        <v>79</v>
      </c>
      <c r="D4" s="2" t="s">
        <v>39</v>
      </c>
      <c r="E4" s="2" t="s">
        <v>40</v>
      </c>
      <c r="F4" s="2" t="s">
        <v>80</v>
      </c>
      <c r="G4" s="2" t="s">
        <v>62</v>
      </c>
      <c r="H4" s="2" t="s">
        <v>81</v>
      </c>
      <c r="I4" s="2" t="s">
        <v>51</v>
      </c>
      <c r="J4" s="2" t="s">
        <v>82</v>
      </c>
      <c r="K4" s="2" t="s">
        <v>51</v>
      </c>
      <c r="L4" s="2" t="s">
        <v>83</v>
      </c>
      <c r="M4" s="2">
        <v>1519000</v>
      </c>
      <c r="N4" s="2">
        <v>2170000</v>
      </c>
      <c r="O4" s="2" t="s">
        <v>84</v>
      </c>
      <c r="P4" s="3">
        <v>45717</v>
      </c>
      <c r="Q4" s="2" t="s">
        <v>85</v>
      </c>
      <c r="R4" s="2" t="s">
        <v>86</v>
      </c>
      <c r="S4" s="2" t="s">
        <v>69</v>
      </c>
      <c r="T4" s="2" t="s">
        <v>51</v>
      </c>
      <c r="U4" s="2" t="s">
        <v>87</v>
      </c>
      <c r="V4" s="2" t="s">
        <v>51</v>
      </c>
      <c r="W4" s="3">
        <v>44561</v>
      </c>
      <c r="X4" s="2" t="s">
        <v>88</v>
      </c>
      <c r="Y4" s="3">
        <v>46025</v>
      </c>
      <c r="Z4" s="2" t="s">
        <v>89</v>
      </c>
      <c r="AA4" s="2">
        <v>4</v>
      </c>
      <c r="AB4" s="2" t="s">
        <v>90</v>
      </c>
      <c r="AC4" s="2" t="s">
        <v>91</v>
      </c>
      <c r="AD4" s="3">
        <v>44561</v>
      </c>
      <c r="AE4" s="2" t="s">
        <v>77</v>
      </c>
      <c r="AF4" s="2">
        <v>1736000</v>
      </c>
      <c r="AG4" s="2">
        <v>26040</v>
      </c>
      <c r="AH4" s="2" t="s">
        <v>92</v>
      </c>
      <c r="AI4" s="2">
        <v>26040</v>
      </c>
      <c r="AJ4" s="11">
        <v>0</v>
      </c>
      <c r="AK4" s="11"/>
    </row>
    <row r="5" spans="1:37" hidden="1">
      <c r="A5" s="10">
        <v>4</v>
      </c>
      <c r="B5" s="2" t="s">
        <v>37</v>
      </c>
      <c r="C5" s="2" t="s">
        <v>93</v>
      </c>
      <c r="D5" s="2" t="s">
        <v>39</v>
      </c>
      <c r="E5" s="2" t="s">
        <v>40</v>
      </c>
      <c r="F5" s="2" t="s">
        <v>94</v>
      </c>
      <c r="G5" s="2" t="s">
        <v>62</v>
      </c>
      <c r="H5" s="2" t="s">
        <v>95</v>
      </c>
      <c r="I5" s="2" t="s">
        <v>96</v>
      </c>
      <c r="J5" s="2" t="s">
        <v>97</v>
      </c>
      <c r="K5" s="2" t="s">
        <v>98</v>
      </c>
      <c r="L5" s="2" t="s">
        <v>99</v>
      </c>
      <c r="M5" s="2">
        <v>2992000</v>
      </c>
      <c r="N5" s="2">
        <v>6800000</v>
      </c>
      <c r="O5" s="2" t="s">
        <v>100</v>
      </c>
      <c r="P5" s="3">
        <v>45717</v>
      </c>
      <c r="Q5" s="2" t="s">
        <v>101</v>
      </c>
      <c r="R5" s="2" t="s">
        <v>102</v>
      </c>
      <c r="S5" s="2" t="s">
        <v>69</v>
      </c>
      <c r="T5" s="2" t="s">
        <v>103</v>
      </c>
      <c r="U5" s="2" t="s">
        <v>104</v>
      </c>
      <c r="V5" s="2" t="s">
        <v>53</v>
      </c>
      <c r="W5" s="3">
        <v>45078</v>
      </c>
      <c r="X5" s="2" t="s">
        <v>54</v>
      </c>
      <c r="Y5" s="3">
        <v>46033</v>
      </c>
      <c r="Z5" s="2" t="s">
        <v>105</v>
      </c>
      <c r="AA5" s="2">
        <v>3</v>
      </c>
      <c r="AB5" s="2" t="s">
        <v>106</v>
      </c>
      <c r="AC5" s="2" t="s">
        <v>107</v>
      </c>
      <c r="AD5" s="3">
        <v>45047</v>
      </c>
      <c r="AE5" s="2" t="s">
        <v>108</v>
      </c>
      <c r="AF5" s="2">
        <v>5780000</v>
      </c>
      <c r="AG5" s="2">
        <v>101150</v>
      </c>
      <c r="AH5" s="2" t="s">
        <v>109</v>
      </c>
      <c r="AI5" s="2">
        <v>101150</v>
      </c>
      <c r="AJ5" s="11">
        <v>0</v>
      </c>
      <c r="AK5" s="11"/>
    </row>
    <row r="6" spans="1:37" hidden="1">
      <c r="A6" s="10">
        <v>5</v>
      </c>
      <c r="B6" s="2" t="s">
        <v>37</v>
      </c>
      <c r="C6" s="2" t="s">
        <v>110</v>
      </c>
      <c r="D6" s="2" t="s">
        <v>39</v>
      </c>
      <c r="E6" s="2" t="s">
        <v>40</v>
      </c>
      <c r="F6" s="2" t="s">
        <v>111</v>
      </c>
      <c r="G6" s="2" t="s">
        <v>112</v>
      </c>
      <c r="H6" s="2" t="s">
        <v>113</v>
      </c>
      <c r="I6" s="2" t="s">
        <v>51</v>
      </c>
      <c r="J6" s="2" t="s">
        <v>114</v>
      </c>
      <c r="K6" s="2" t="s">
        <v>115</v>
      </c>
      <c r="L6" s="2" t="s">
        <v>116</v>
      </c>
      <c r="M6" s="2">
        <v>1284400</v>
      </c>
      <c r="N6" s="2">
        <v>1976000</v>
      </c>
      <c r="O6" s="2" t="s">
        <v>117</v>
      </c>
      <c r="P6" s="3">
        <v>45717</v>
      </c>
      <c r="Q6" s="2" t="s">
        <v>118</v>
      </c>
      <c r="R6" s="2" t="s">
        <v>119</v>
      </c>
      <c r="S6" s="2" t="s">
        <v>50</v>
      </c>
      <c r="T6" s="2" t="s">
        <v>51</v>
      </c>
      <c r="U6" s="2" t="s">
        <v>120</v>
      </c>
      <c r="V6" s="2" t="s">
        <v>53</v>
      </c>
      <c r="W6" s="3">
        <v>44895</v>
      </c>
      <c r="X6" s="2" t="s">
        <v>54</v>
      </c>
      <c r="Y6" s="3">
        <v>46763</v>
      </c>
      <c r="Z6" s="2" t="s">
        <v>121</v>
      </c>
      <c r="AA6" s="2">
        <v>5</v>
      </c>
      <c r="AB6" s="2" t="s">
        <v>56</v>
      </c>
      <c r="AC6" s="2" t="s">
        <v>122</v>
      </c>
      <c r="AD6" s="3">
        <v>45017</v>
      </c>
      <c r="AE6" s="2" t="s">
        <v>58</v>
      </c>
      <c r="AF6" s="2">
        <v>1679600</v>
      </c>
      <c r="AG6" s="2">
        <v>33592</v>
      </c>
      <c r="AH6" s="2" t="s">
        <v>123</v>
      </c>
      <c r="AI6" s="2">
        <v>33592</v>
      </c>
      <c r="AJ6" s="11">
        <v>0</v>
      </c>
      <c r="AK6" s="11"/>
    </row>
    <row r="7" spans="1:37" hidden="1">
      <c r="A7" s="10">
        <v>6</v>
      </c>
      <c r="B7" s="2" t="s">
        <v>37</v>
      </c>
      <c r="C7" s="2" t="s">
        <v>124</v>
      </c>
      <c r="D7" s="2" t="s">
        <v>39</v>
      </c>
      <c r="E7" s="2" t="s">
        <v>40</v>
      </c>
      <c r="F7" s="2" t="s">
        <v>125</v>
      </c>
      <c r="G7" s="2" t="s">
        <v>62</v>
      </c>
      <c r="H7" s="2" t="s">
        <v>126</v>
      </c>
      <c r="I7" s="2" t="s">
        <v>51</v>
      </c>
      <c r="J7" s="2" t="s">
        <v>127</v>
      </c>
      <c r="K7" s="2" t="s">
        <v>128</v>
      </c>
      <c r="L7" s="2" t="s">
        <v>129</v>
      </c>
      <c r="M7" s="2">
        <v>1222900</v>
      </c>
      <c r="N7" s="2">
        <v>1747000</v>
      </c>
      <c r="O7" s="2" t="s">
        <v>130</v>
      </c>
      <c r="P7" s="3">
        <v>45717</v>
      </c>
      <c r="Q7" s="2" t="s">
        <v>131</v>
      </c>
      <c r="R7" s="2" t="s">
        <v>132</v>
      </c>
      <c r="S7" s="2" t="s">
        <v>50</v>
      </c>
      <c r="T7" s="2" t="s">
        <v>51</v>
      </c>
      <c r="U7" s="2" t="s">
        <v>133</v>
      </c>
      <c r="V7" s="2" t="s">
        <v>53</v>
      </c>
      <c r="W7" s="3">
        <v>44651</v>
      </c>
      <c r="X7" s="2" t="s">
        <v>54</v>
      </c>
      <c r="Y7" s="3">
        <v>46763</v>
      </c>
      <c r="Z7" s="2" t="s">
        <v>134</v>
      </c>
      <c r="AA7" s="2">
        <v>5</v>
      </c>
      <c r="AB7" s="2" t="s">
        <v>75</v>
      </c>
      <c r="AC7" s="2" t="s">
        <v>135</v>
      </c>
      <c r="AD7" s="3">
        <v>44911</v>
      </c>
      <c r="AE7" s="2" t="s">
        <v>58</v>
      </c>
      <c r="AF7" s="2">
        <v>1484950</v>
      </c>
      <c r="AG7" s="2">
        <v>29699</v>
      </c>
      <c r="AH7" s="2" t="s">
        <v>136</v>
      </c>
      <c r="AI7" s="2">
        <v>29699</v>
      </c>
      <c r="AJ7" s="11">
        <v>0</v>
      </c>
      <c r="AK7" s="11"/>
    </row>
    <row r="8" spans="1:37" hidden="1">
      <c r="A8" s="10">
        <v>7</v>
      </c>
      <c r="B8" s="2" t="s">
        <v>37</v>
      </c>
      <c r="C8" s="2" t="s">
        <v>137</v>
      </c>
      <c r="D8" s="2" t="s">
        <v>39</v>
      </c>
      <c r="E8" s="2" t="s">
        <v>40</v>
      </c>
      <c r="F8" s="2" t="s">
        <v>138</v>
      </c>
      <c r="G8" s="2" t="s">
        <v>62</v>
      </c>
      <c r="H8" s="2" t="s">
        <v>139</v>
      </c>
      <c r="I8" s="2" t="s">
        <v>51</v>
      </c>
      <c r="J8" s="2" t="s">
        <v>140</v>
      </c>
      <c r="K8" s="2" t="s">
        <v>51</v>
      </c>
      <c r="L8" s="2" t="s">
        <v>141</v>
      </c>
      <c r="M8" s="2">
        <v>2755200</v>
      </c>
      <c r="N8" s="2">
        <v>3936000</v>
      </c>
      <c r="O8" s="2" t="s">
        <v>142</v>
      </c>
      <c r="P8" s="3">
        <v>45717</v>
      </c>
      <c r="Q8" s="2" t="s">
        <v>143</v>
      </c>
      <c r="R8" s="2" t="s">
        <v>144</v>
      </c>
      <c r="S8" s="2" t="s">
        <v>50</v>
      </c>
      <c r="T8" s="2" t="s">
        <v>51</v>
      </c>
      <c r="U8" s="2" t="s">
        <v>145</v>
      </c>
      <c r="V8" s="2" t="s">
        <v>53</v>
      </c>
      <c r="W8" s="3">
        <v>44651</v>
      </c>
      <c r="X8" s="2" t="s">
        <v>54</v>
      </c>
      <c r="Y8" s="3">
        <v>46033</v>
      </c>
      <c r="Z8" s="2" t="s">
        <v>146</v>
      </c>
      <c r="AA8" s="2">
        <v>3</v>
      </c>
      <c r="AB8" s="2" t="s">
        <v>56</v>
      </c>
      <c r="AC8" s="2" t="s">
        <v>147</v>
      </c>
      <c r="AD8" s="3">
        <v>44918</v>
      </c>
      <c r="AE8" s="2" t="s">
        <v>58</v>
      </c>
      <c r="AF8" s="2">
        <v>3345600</v>
      </c>
      <c r="AG8" s="2">
        <v>66912</v>
      </c>
      <c r="AH8" s="2" t="s">
        <v>148</v>
      </c>
      <c r="AI8" s="2">
        <v>66912</v>
      </c>
      <c r="AJ8" s="11">
        <v>0</v>
      </c>
      <c r="AK8" s="11"/>
    </row>
    <row r="9" spans="1:37" hidden="1">
      <c r="A9" s="10">
        <v>8</v>
      </c>
      <c r="B9" s="2" t="s">
        <v>37</v>
      </c>
      <c r="C9" s="2" t="s">
        <v>149</v>
      </c>
      <c r="D9" s="2" t="s">
        <v>39</v>
      </c>
      <c r="E9" s="2" t="s">
        <v>40</v>
      </c>
      <c r="F9" s="2" t="s">
        <v>150</v>
      </c>
      <c r="G9" s="2" t="s">
        <v>112</v>
      </c>
      <c r="H9" s="2" t="s">
        <v>151</v>
      </c>
      <c r="I9" s="2" t="s">
        <v>51</v>
      </c>
      <c r="J9" s="2" t="s">
        <v>152</v>
      </c>
      <c r="K9" s="2" t="s">
        <v>153</v>
      </c>
      <c r="L9" s="2" t="s">
        <v>154</v>
      </c>
      <c r="M9" s="2">
        <v>1512000</v>
      </c>
      <c r="N9" s="2">
        <v>2160000</v>
      </c>
      <c r="O9" s="2" t="s">
        <v>155</v>
      </c>
      <c r="P9" s="3">
        <v>45748</v>
      </c>
      <c r="Q9" s="2" t="s">
        <v>156</v>
      </c>
      <c r="R9" s="2" t="s">
        <v>157</v>
      </c>
      <c r="S9" s="2" t="s">
        <v>69</v>
      </c>
      <c r="T9" s="2" t="s">
        <v>158</v>
      </c>
      <c r="U9" s="2" t="s">
        <v>120</v>
      </c>
      <c r="V9" s="2" t="s">
        <v>53</v>
      </c>
      <c r="W9" s="3">
        <v>45170</v>
      </c>
      <c r="X9" s="2" t="s">
        <v>54</v>
      </c>
      <c r="Y9" s="3">
        <v>46763</v>
      </c>
      <c r="Z9" s="2" t="s">
        <v>159</v>
      </c>
      <c r="AA9" s="2">
        <v>5</v>
      </c>
      <c r="AB9" s="2" t="s">
        <v>160</v>
      </c>
      <c r="AC9" s="2" t="s">
        <v>161</v>
      </c>
      <c r="AD9" s="3">
        <v>45047</v>
      </c>
      <c r="AE9" s="2" t="s">
        <v>108</v>
      </c>
      <c r="AF9" s="2">
        <v>1836000</v>
      </c>
      <c r="AG9" s="2">
        <v>32130</v>
      </c>
      <c r="AH9" s="2" t="s">
        <v>162</v>
      </c>
      <c r="AI9" s="2">
        <v>32130</v>
      </c>
      <c r="AJ9" s="11">
        <v>0</v>
      </c>
      <c r="AK9" s="11"/>
    </row>
    <row r="10" spans="1:37" hidden="1">
      <c r="A10" s="10">
        <v>9</v>
      </c>
      <c r="B10" s="2" t="s">
        <v>37</v>
      </c>
      <c r="C10" s="2" t="s">
        <v>163</v>
      </c>
      <c r="D10" s="2" t="s">
        <v>39</v>
      </c>
      <c r="E10" s="2" t="s">
        <v>40</v>
      </c>
      <c r="F10" s="2" t="s">
        <v>164</v>
      </c>
      <c r="G10" s="2" t="s">
        <v>42</v>
      </c>
      <c r="H10" s="2" t="s">
        <v>165</v>
      </c>
      <c r="I10" s="2" t="s">
        <v>166</v>
      </c>
      <c r="J10" s="2" t="s">
        <v>167</v>
      </c>
      <c r="K10" s="2" t="s">
        <v>166</v>
      </c>
      <c r="L10" s="2" t="s">
        <v>168</v>
      </c>
      <c r="M10" s="2">
        <v>2444000</v>
      </c>
      <c r="N10" s="2">
        <v>3760000</v>
      </c>
      <c r="O10" s="2" t="s">
        <v>169</v>
      </c>
      <c r="P10" s="3">
        <v>45748</v>
      </c>
      <c r="Q10" s="2" t="s">
        <v>170</v>
      </c>
      <c r="R10" s="2" t="s">
        <v>171</v>
      </c>
      <c r="S10" s="2" t="s">
        <v>50</v>
      </c>
      <c r="T10" s="2" t="s">
        <v>51</v>
      </c>
      <c r="U10" s="2" t="s">
        <v>172</v>
      </c>
      <c r="V10" s="2" t="s">
        <v>53</v>
      </c>
      <c r="W10" s="3">
        <v>44926</v>
      </c>
      <c r="X10" s="2" t="s">
        <v>54</v>
      </c>
      <c r="Y10" s="3">
        <v>46033</v>
      </c>
      <c r="Z10" s="2" t="s">
        <v>173</v>
      </c>
      <c r="AA10" s="2">
        <v>3</v>
      </c>
      <c r="AB10" s="2" t="s">
        <v>75</v>
      </c>
      <c r="AC10" s="2" t="s">
        <v>174</v>
      </c>
      <c r="AD10" s="3">
        <v>45047</v>
      </c>
      <c r="AE10" s="2" t="s">
        <v>108</v>
      </c>
      <c r="AF10" s="2">
        <v>3196000</v>
      </c>
      <c r="AG10" s="2">
        <v>55930</v>
      </c>
      <c r="AH10" s="2" t="s">
        <v>175</v>
      </c>
      <c r="AI10" s="2">
        <v>55930</v>
      </c>
      <c r="AJ10" s="11">
        <v>0</v>
      </c>
      <c r="AK10" s="11"/>
    </row>
    <row r="11" spans="1:37" hidden="1">
      <c r="A11" s="10">
        <v>10</v>
      </c>
      <c r="B11" s="2" t="s">
        <v>37</v>
      </c>
      <c r="C11" s="2" t="s">
        <v>176</v>
      </c>
      <c r="D11" s="2" t="s">
        <v>39</v>
      </c>
      <c r="E11" s="2" t="s">
        <v>40</v>
      </c>
      <c r="F11" s="2" t="s">
        <v>177</v>
      </c>
      <c r="G11" s="2" t="s">
        <v>112</v>
      </c>
      <c r="H11" s="2" t="s">
        <v>178</v>
      </c>
      <c r="I11" s="2" t="s">
        <v>179</v>
      </c>
      <c r="J11" s="2" t="s">
        <v>51</v>
      </c>
      <c r="K11" s="2" t="s">
        <v>180</v>
      </c>
      <c r="L11" s="2" t="s">
        <v>181</v>
      </c>
      <c r="M11" s="2">
        <v>1086800</v>
      </c>
      <c r="N11" s="2">
        <v>1976000</v>
      </c>
      <c r="O11" s="2" t="s">
        <v>182</v>
      </c>
      <c r="P11" s="3">
        <v>45748</v>
      </c>
      <c r="Q11" s="2" t="s">
        <v>183</v>
      </c>
      <c r="R11" s="2" t="s">
        <v>184</v>
      </c>
      <c r="S11" s="2" t="s">
        <v>50</v>
      </c>
      <c r="T11" s="2" t="s">
        <v>51</v>
      </c>
      <c r="U11" s="2" t="s">
        <v>120</v>
      </c>
      <c r="V11" s="2" t="s">
        <v>53</v>
      </c>
      <c r="W11" s="3">
        <v>44890</v>
      </c>
      <c r="X11" s="2" t="s">
        <v>54</v>
      </c>
      <c r="Y11" s="3">
        <v>46763</v>
      </c>
      <c r="Z11" s="2" t="s">
        <v>185</v>
      </c>
      <c r="AA11" s="2">
        <v>5</v>
      </c>
      <c r="AB11" s="2" t="s">
        <v>56</v>
      </c>
      <c r="AC11" s="2" t="s">
        <v>186</v>
      </c>
      <c r="AD11" s="3">
        <v>45047</v>
      </c>
      <c r="AE11" s="2" t="s">
        <v>58</v>
      </c>
      <c r="AF11" s="2">
        <v>1679600</v>
      </c>
      <c r="AG11" s="2">
        <v>33592</v>
      </c>
      <c r="AH11" s="2" t="s">
        <v>187</v>
      </c>
      <c r="AI11" s="2">
        <v>33592</v>
      </c>
      <c r="AJ11" s="11">
        <v>0</v>
      </c>
      <c r="AK11" s="11"/>
    </row>
    <row r="12" spans="1:37" hidden="1">
      <c r="A12" s="10">
        <v>11</v>
      </c>
      <c r="B12" s="2" t="s">
        <v>37</v>
      </c>
      <c r="C12" s="2" t="s">
        <v>188</v>
      </c>
      <c r="D12" s="2" t="s">
        <v>39</v>
      </c>
      <c r="E12" s="2" t="s">
        <v>40</v>
      </c>
      <c r="F12" s="2" t="s">
        <v>189</v>
      </c>
      <c r="G12" s="2" t="s">
        <v>112</v>
      </c>
      <c r="H12" s="2" t="s">
        <v>190</v>
      </c>
      <c r="I12" s="2" t="s">
        <v>191</v>
      </c>
      <c r="J12" s="2" t="s">
        <v>51</v>
      </c>
      <c r="K12" s="2" t="s">
        <v>191</v>
      </c>
      <c r="L12" s="2" t="s">
        <v>192</v>
      </c>
      <c r="M12" s="2">
        <v>1383200</v>
      </c>
      <c r="N12" s="2">
        <v>1976000</v>
      </c>
      <c r="O12" s="2" t="s">
        <v>193</v>
      </c>
      <c r="P12" s="3">
        <v>45748</v>
      </c>
      <c r="Q12" s="2" t="s">
        <v>194</v>
      </c>
      <c r="R12" s="2" t="s">
        <v>195</v>
      </c>
      <c r="S12" s="2" t="s">
        <v>50</v>
      </c>
      <c r="T12" s="2" t="s">
        <v>51</v>
      </c>
      <c r="U12" s="2" t="s">
        <v>120</v>
      </c>
      <c r="V12" s="2" t="s">
        <v>53</v>
      </c>
      <c r="W12" s="3">
        <v>44888</v>
      </c>
      <c r="X12" s="2" t="s">
        <v>54</v>
      </c>
      <c r="Y12" s="3">
        <v>46763</v>
      </c>
      <c r="Z12" s="2" t="s">
        <v>196</v>
      </c>
      <c r="AA12" s="2">
        <v>5</v>
      </c>
      <c r="AB12" s="2" t="s">
        <v>56</v>
      </c>
      <c r="AC12" s="2" t="s">
        <v>197</v>
      </c>
      <c r="AD12" s="3">
        <v>45047</v>
      </c>
      <c r="AE12" s="2" t="s">
        <v>108</v>
      </c>
      <c r="AF12" s="2">
        <v>1679600</v>
      </c>
      <c r="AG12" s="2">
        <v>29393</v>
      </c>
      <c r="AH12" s="2" t="s">
        <v>198</v>
      </c>
      <c r="AI12" s="2">
        <v>29393</v>
      </c>
      <c r="AJ12" s="11">
        <v>0</v>
      </c>
      <c r="AK12" s="11"/>
    </row>
    <row r="13" spans="1:37" hidden="1">
      <c r="A13" s="10">
        <v>12</v>
      </c>
      <c r="B13" s="2" t="s">
        <v>37</v>
      </c>
      <c r="C13" s="2" t="s">
        <v>199</v>
      </c>
      <c r="D13" s="2" t="s">
        <v>39</v>
      </c>
      <c r="E13" s="2" t="s">
        <v>40</v>
      </c>
      <c r="F13" s="2" t="s">
        <v>200</v>
      </c>
      <c r="G13" s="2" t="s">
        <v>62</v>
      </c>
      <c r="H13" s="2" t="s">
        <v>201</v>
      </c>
      <c r="I13" s="2" t="s">
        <v>51</v>
      </c>
      <c r="J13" s="2" t="s">
        <v>202</v>
      </c>
      <c r="K13" s="2" t="s">
        <v>51</v>
      </c>
      <c r="L13" s="2" t="s">
        <v>203</v>
      </c>
      <c r="M13" s="2">
        <v>2562000</v>
      </c>
      <c r="N13" s="2">
        <v>3660000</v>
      </c>
      <c r="O13" s="2" t="s">
        <v>204</v>
      </c>
      <c r="P13" s="3">
        <v>45748</v>
      </c>
      <c r="Q13" s="2" t="s">
        <v>205</v>
      </c>
      <c r="R13" s="2" t="s">
        <v>206</v>
      </c>
      <c r="S13" s="2" t="s">
        <v>69</v>
      </c>
      <c r="T13" s="2" t="s">
        <v>207</v>
      </c>
      <c r="U13" s="2" t="s">
        <v>208</v>
      </c>
      <c r="V13" s="2" t="s">
        <v>72</v>
      </c>
      <c r="W13" s="3">
        <v>45413</v>
      </c>
      <c r="X13" s="2" t="s">
        <v>209</v>
      </c>
      <c r="Y13" s="3">
        <v>46398</v>
      </c>
      <c r="Z13" s="2" t="s">
        <v>210</v>
      </c>
      <c r="AA13" s="2">
        <v>3</v>
      </c>
      <c r="AB13" s="2" t="s">
        <v>160</v>
      </c>
      <c r="AC13" s="2" t="s">
        <v>211</v>
      </c>
      <c r="AD13" s="3">
        <v>45017</v>
      </c>
      <c r="AE13" s="2" t="s">
        <v>108</v>
      </c>
      <c r="AF13" s="2">
        <v>3294000</v>
      </c>
      <c r="AG13" s="2">
        <v>57645</v>
      </c>
      <c r="AH13" s="2" t="s">
        <v>212</v>
      </c>
      <c r="AI13" s="2">
        <v>57645</v>
      </c>
      <c r="AJ13" s="11">
        <v>0</v>
      </c>
      <c r="AK13" s="11"/>
    </row>
    <row r="14" spans="1:37">
      <c r="A14" s="10">
        <v>13</v>
      </c>
      <c r="B14" s="2" t="s">
        <v>37</v>
      </c>
      <c r="C14" s="2" t="s">
        <v>213</v>
      </c>
      <c r="D14" s="2" t="s">
        <v>39</v>
      </c>
      <c r="E14" s="2" t="s">
        <v>40</v>
      </c>
      <c r="F14" s="2" t="s">
        <v>214</v>
      </c>
      <c r="G14" s="2" t="s">
        <v>112</v>
      </c>
      <c r="H14" s="2" t="s">
        <v>215</v>
      </c>
      <c r="I14" s="2">
        <v>3228585196</v>
      </c>
      <c r="J14" s="2"/>
      <c r="K14" s="2">
        <v>0</v>
      </c>
      <c r="L14" s="2" t="s">
        <v>216</v>
      </c>
      <c r="M14" s="2">
        <v>2446500</v>
      </c>
      <c r="N14" s="2">
        <v>3495000</v>
      </c>
      <c r="O14" s="2" t="s">
        <v>217</v>
      </c>
      <c r="P14" s="3">
        <v>45657</v>
      </c>
      <c r="Q14" s="2">
        <v>4803418</v>
      </c>
      <c r="R14" s="2" t="s">
        <v>218</v>
      </c>
      <c r="S14" s="2" t="s">
        <v>50</v>
      </c>
      <c r="T14" s="2" t="s">
        <v>51</v>
      </c>
      <c r="U14" s="2" t="s">
        <v>219</v>
      </c>
      <c r="V14" s="2">
        <v>2021</v>
      </c>
      <c r="W14" s="3">
        <v>44135</v>
      </c>
      <c r="X14" s="2" t="s">
        <v>220</v>
      </c>
      <c r="Y14" s="2" t="s">
        <v>221</v>
      </c>
      <c r="Z14" s="2" t="s">
        <v>222</v>
      </c>
      <c r="AA14" s="2">
        <v>5</v>
      </c>
      <c r="AB14" s="2" t="s">
        <v>90</v>
      </c>
      <c r="AC14" s="2" t="s">
        <v>223</v>
      </c>
      <c r="AD14" s="3">
        <v>44202</v>
      </c>
      <c r="AE14" s="2" t="s">
        <v>58</v>
      </c>
      <c r="AF14" s="2">
        <v>2621250</v>
      </c>
      <c r="AG14" s="2">
        <v>52425</v>
      </c>
      <c r="AH14" s="2" t="s">
        <v>224</v>
      </c>
      <c r="AI14" s="2">
        <v>55920</v>
      </c>
      <c r="AJ14" s="11">
        <v>3495</v>
      </c>
      <c r="AK14" s="11" t="s">
        <v>225</v>
      </c>
    </row>
    <row r="15" spans="1:37">
      <c r="A15" s="10">
        <v>14</v>
      </c>
      <c r="B15" s="2" t="s">
        <v>37</v>
      </c>
      <c r="C15" s="2" t="s">
        <v>226</v>
      </c>
      <c r="D15" s="2" t="s">
        <v>39</v>
      </c>
      <c r="E15" s="2" t="s">
        <v>40</v>
      </c>
      <c r="F15" s="2" t="s">
        <v>227</v>
      </c>
      <c r="G15" s="2" t="s">
        <v>42</v>
      </c>
      <c r="H15" s="2" t="s">
        <v>228</v>
      </c>
      <c r="I15" s="2" t="s">
        <v>229</v>
      </c>
      <c r="J15" s="2" t="s">
        <v>230</v>
      </c>
      <c r="K15" s="2" t="s">
        <v>229</v>
      </c>
      <c r="L15" s="2" t="s">
        <v>231</v>
      </c>
      <c r="M15" s="2">
        <v>1330000</v>
      </c>
      <c r="N15" s="2">
        <v>1900000</v>
      </c>
      <c r="O15" s="2" t="s">
        <v>232</v>
      </c>
      <c r="P15" s="3">
        <v>45656</v>
      </c>
      <c r="Q15" s="2" t="s">
        <v>233</v>
      </c>
      <c r="R15" s="2" t="s">
        <v>234</v>
      </c>
      <c r="S15" s="2" t="s">
        <v>69</v>
      </c>
      <c r="T15" s="2" t="s">
        <v>235</v>
      </c>
      <c r="U15" s="2" t="s">
        <v>236</v>
      </c>
      <c r="V15" s="2" t="s">
        <v>72</v>
      </c>
      <c r="W15" s="3">
        <v>44926</v>
      </c>
      <c r="X15" s="2" t="s">
        <v>237</v>
      </c>
      <c r="Y15" s="2" t="s">
        <v>238</v>
      </c>
      <c r="Z15" s="2" t="s">
        <v>239</v>
      </c>
      <c r="AA15" s="2">
        <v>5</v>
      </c>
      <c r="AB15" s="2" t="s">
        <v>160</v>
      </c>
      <c r="AC15" s="2" t="s">
        <v>240</v>
      </c>
      <c r="AD15" s="3">
        <v>44926</v>
      </c>
      <c r="AE15" s="2" t="s">
        <v>108</v>
      </c>
      <c r="AF15" s="2">
        <v>1615000</v>
      </c>
      <c r="AG15" s="2">
        <v>28263</v>
      </c>
      <c r="AH15" s="2" t="s">
        <v>241</v>
      </c>
      <c r="AI15" s="2">
        <v>29925</v>
      </c>
      <c r="AJ15" s="11">
        <v>1662</v>
      </c>
      <c r="AK15" s="11" t="s">
        <v>242</v>
      </c>
    </row>
    <row r="16" spans="1:37">
      <c r="A16" s="10">
        <v>15</v>
      </c>
      <c r="B16" s="2" t="s">
        <v>37</v>
      </c>
      <c r="C16" s="2" t="s">
        <v>243</v>
      </c>
      <c r="D16" s="2" t="s">
        <v>39</v>
      </c>
      <c r="E16" s="2" t="s">
        <v>40</v>
      </c>
      <c r="F16" s="2" t="s">
        <v>244</v>
      </c>
      <c r="G16" s="2" t="s">
        <v>42</v>
      </c>
      <c r="H16" s="2" t="s">
        <v>245</v>
      </c>
      <c r="I16" s="2" t="s">
        <v>246</v>
      </c>
      <c r="J16" s="2" t="s">
        <v>247</v>
      </c>
      <c r="K16" s="2" t="s">
        <v>246</v>
      </c>
      <c r="L16" s="2" t="s">
        <v>248</v>
      </c>
      <c r="M16" s="2">
        <v>1190000</v>
      </c>
      <c r="N16" s="2">
        <v>1700000</v>
      </c>
      <c r="O16" s="2" t="s">
        <v>249</v>
      </c>
      <c r="P16" s="3">
        <v>45656</v>
      </c>
      <c r="Q16" s="2" t="s">
        <v>250</v>
      </c>
      <c r="R16" s="2" t="s">
        <v>251</v>
      </c>
      <c r="S16" s="2" t="s">
        <v>69</v>
      </c>
      <c r="T16" s="2" t="s">
        <v>252</v>
      </c>
      <c r="U16" s="2" t="s">
        <v>253</v>
      </c>
      <c r="V16" s="2" t="s">
        <v>72</v>
      </c>
      <c r="W16" s="3">
        <v>44926</v>
      </c>
      <c r="X16" s="2" t="s">
        <v>237</v>
      </c>
      <c r="Y16" s="2" t="s">
        <v>238</v>
      </c>
      <c r="Z16" s="2" t="s">
        <v>254</v>
      </c>
      <c r="AA16" s="2">
        <v>5</v>
      </c>
      <c r="AB16" s="2" t="s">
        <v>75</v>
      </c>
      <c r="AC16" s="2" t="s">
        <v>255</v>
      </c>
      <c r="AD16" s="3">
        <v>44926</v>
      </c>
      <c r="AE16" s="2" t="s">
        <v>108</v>
      </c>
      <c r="AF16" s="2">
        <v>1445000</v>
      </c>
      <c r="AG16" s="2">
        <v>25288</v>
      </c>
      <c r="AH16" s="2" t="s">
        <v>256</v>
      </c>
      <c r="AI16" s="2">
        <v>26775</v>
      </c>
      <c r="AJ16" s="11">
        <v>1487</v>
      </c>
      <c r="AK16" s="11" t="s">
        <v>257</v>
      </c>
    </row>
    <row r="17" spans="1:37">
      <c r="A17" s="10">
        <v>16</v>
      </c>
      <c r="B17" s="2" t="s">
        <v>37</v>
      </c>
      <c r="C17" s="2" t="s">
        <v>258</v>
      </c>
      <c r="D17" s="2" t="s">
        <v>39</v>
      </c>
      <c r="E17" s="2" t="s">
        <v>40</v>
      </c>
      <c r="F17" s="2" t="s">
        <v>259</v>
      </c>
      <c r="G17" s="2" t="s">
        <v>112</v>
      </c>
      <c r="H17" s="2" t="s">
        <v>260</v>
      </c>
      <c r="I17" s="2" t="s">
        <v>51</v>
      </c>
      <c r="J17" s="2" t="s">
        <v>261</v>
      </c>
      <c r="K17" s="2" t="s">
        <v>51</v>
      </c>
      <c r="L17" s="2" t="s">
        <v>262</v>
      </c>
      <c r="M17" s="2">
        <v>3066460</v>
      </c>
      <c r="N17" s="2">
        <v>4509500</v>
      </c>
      <c r="O17" s="2" t="s">
        <v>263</v>
      </c>
      <c r="P17" s="3">
        <v>45656</v>
      </c>
      <c r="Q17" s="2" t="s">
        <v>264</v>
      </c>
      <c r="R17" s="2" t="s">
        <v>265</v>
      </c>
      <c r="S17" s="2" t="s">
        <v>266</v>
      </c>
      <c r="T17" s="2" t="s">
        <v>51</v>
      </c>
      <c r="U17" s="2" t="s">
        <v>267</v>
      </c>
      <c r="V17" s="2" t="s">
        <v>53</v>
      </c>
      <c r="W17" s="3">
        <v>44926</v>
      </c>
      <c r="X17" s="2" t="s">
        <v>237</v>
      </c>
      <c r="Y17" s="2" t="s">
        <v>268</v>
      </c>
      <c r="Z17" s="2" t="s">
        <v>269</v>
      </c>
      <c r="AA17" s="2">
        <v>7</v>
      </c>
      <c r="AB17" s="2" t="s">
        <v>56</v>
      </c>
      <c r="AC17" s="2" t="s">
        <v>270</v>
      </c>
      <c r="AD17" s="3">
        <v>44926</v>
      </c>
      <c r="AE17" s="2" t="s">
        <v>271</v>
      </c>
      <c r="AF17" s="2">
        <v>3833075</v>
      </c>
      <c r="AG17" s="2">
        <v>53663</v>
      </c>
      <c r="AH17" s="2" t="s">
        <v>272</v>
      </c>
      <c r="AI17" s="2">
        <v>56820</v>
      </c>
      <c r="AJ17" s="11">
        <v>3157</v>
      </c>
      <c r="AK17" s="11" t="s">
        <v>273</v>
      </c>
    </row>
    <row r="18" spans="1:37" hidden="1">
      <c r="A18" s="10">
        <v>17</v>
      </c>
      <c r="B18" s="2" t="s">
        <v>37</v>
      </c>
      <c r="C18" s="2" t="s">
        <v>274</v>
      </c>
      <c r="D18" s="2" t="s">
        <v>39</v>
      </c>
      <c r="E18" s="2" t="s">
        <v>40</v>
      </c>
      <c r="F18" s="2" t="s">
        <v>275</v>
      </c>
      <c r="G18" s="2" t="s">
        <v>276</v>
      </c>
      <c r="H18" s="2" t="s">
        <v>277</v>
      </c>
      <c r="I18" s="2" t="s">
        <v>278</v>
      </c>
      <c r="J18" s="2" t="s">
        <v>279</v>
      </c>
      <c r="K18" s="2" t="s">
        <v>280</v>
      </c>
      <c r="L18" s="2" t="s">
        <v>281</v>
      </c>
      <c r="M18" s="2">
        <v>934500</v>
      </c>
      <c r="N18" s="2">
        <v>1335000</v>
      </c>
      <c r="O18" s="2" t="s">
        <v>282</v>
      </c>
      <c r="P18" s="3">
        <v>45778</v>
      </c>
      <c r="Q18" s="2" t="s">
        <v>283</v>
      </c>
      <c r="R18" s="2" t="s">
        <v>284</v>
      </c>
      <c r="S18" s="2" t="s">
        <v>50</v>
      </c>
      <c r="T18" s="2" t="s">
        <v>51</v>
      </c>
      <c r="U18" s="2" t="s">
        <v>285</v>
      </c>
      <c r="V18" s="2" t="s">
        <v>286</v>
      </c>
      <c r="W18" s="3">
        <v>44417</v>
      </c>
      <c r="X18" s="2" t="s">
        <v>287</v>
      </c>
      <c r="Y18" s="3">
        <v>46408</v>
      </c>
      <c r="Z18" s="2" t="s">
        <v>288</v>
      </c>
      <c r="AA18" s="2">
        <v>5</v>
      </c>
      <c r="AB18" s="2" t="s">
        <v>90</v>
      </c>
      <c r="AC18" s="2" t="s">
        <v>289</v>
      </c>
      <c r="AD18" s="3">
        <v>44713</v>
      </c>
      <c r="AE18" s="2" t="s">
        <v>58</v>
      </c>
      <c r="AF18" s="2">
        <v>1068000</v>
      </c>
      <c r="AG18" s="2">
        <v>21360</v>
      </c>
      <c r="AH18" s="2" t="s">
        <v>290</v>
      </c>
      <c r="AI18" s="2">
        <v>21360</v>
      </c>
      <c r="AJ18" s="11">
        <v>0</v>
      </c>
      <c r="AK18" s="11"/>
    </row>
    <row r="19" spans="1:37" hidden="1">
      <c r="A19" s="10">
        <v>18</v>
      </c>
      <c r="B19" s="2" t="s">
        <v>37</v>
      </c>
      <c r="C19" s="2" t="s">
        <v>291</v>
      </c>
      <c r="D19" s="2" t="s">
        <v>39</v>
      </c>
      <c r="E19" s="2" t="s">
        <v>40</v>
      </c>
      <c r="F19" s="2" t="s">
        <v>292</v>
      </c>
      <c r="G19" s="2" t="s">
        <v>62</v>
      </c>
      <c r="H19" s="2" t="s">
        <v>293</v>
      </c>
      <c r="I19" s="2" t="s">
        <v>294</v>
      </c>
      <c r="J19" s="2" t="s">
        <v>294</v>
      </c>
      <c r="K19" s="2" t="s">
        <v>295</v>
      </c>
      <c r="L19" s="2" t="s">
        <v>296</v>
      </c>
      <c r="M19" s="2">
        <v>1299350</v>
      </c>
      <c r="N19" s="2">
        <v>1999000</v>
      </c>
      <c r="O19" s="2" t="s">
        <v>297</v>
      </c>
      <c r="P19" s="3">
        <v>45778</v>
      </c>
      <c r="Q19" s="2" t="s">
        <v>298</v>
      </c>
      <c r="R19" s="2" t="s">
        <v>299</v>
      </c>
      <c r="S19" s="2" t="s">
        <v>50</v>
      </c>
      <c r="T19" s="2" t="e">
        <v>#N/A</v>
      </c>
      <c r="U19" s="2" t="s">
        <v>87</v>
      </c>
      <c r="V19" s="2" t="s">
        <v>300</v>
      </c>
      <c r="W19" s="3">
        <v>43799</v>
      </c>
      <c r="X19" s="2" t="s">
        <v>301</v>
      </c>
      <c r="Y19" s="3">
        <v>46408</v>
      </c>
      <c r="Z19" s="2" t="s">
        <v>302</v>
      </c>
      <c r="AA19" s="2">
        <v>7</v>
      </c>
      <c r="AB19" s="2" t="s">
        <v>90</v>
      </c>
      <c r="AC19" s="2" t="s">
        <v>303</v>
      </c>
      <c r="AD19" s="3">
        <v>43891</v>
      </c>
      <c r="AE19" s="2" t="s">
        <v>304</v>
      </c>
      <c r="AF19" s="2">
        <v>1399300</v>
      </c>
      <c r="AG19" s="2">
        <v>38481</v>
      </c>
      <c r="AH19" s="2" t="s">
        <v>305</v>
      </c>
      <c r="AI19" s="2">
        <v>38481</v>
      </c>
      <c r="AJ19" s="11">
        <v>0</v>
      </c>
      <c r="AK19" s="11"/>
    </row>
    <row r="20" spans="1:37">
      <c r="A20" s="10">
        <v>19</v>
      </c>
      <c r="B20" s="2" t="s">
        <v>37</v>
      </c>
      <c r="C20" s="2" t="s">
        <v>306</v>
      </c>
      <c r="D20" s="2" t="s">
        <v>39</v>
      </c>
      <c r="E20" s="2" t="s">
        <v>40</v>
      </c>
      <c r="F20" s="2" t="s">
        <v>307</v>
      </c>
      <c r="G20" s="2" t="s">
        <v>308</v>
      </c>
      <c r="H20" s="2" t="s">
        <v>309</v>
      </c>
      <c r="I20" s="2" t="s">
        <v>51</v>
      </c>
      <c r="J20" s="2" t="s">
        <v>310</v>
      </c>
      <c r="K20" s="2" t="s">
        <v>311</v>
      </c>
      <c r="L20" s="2" t="s">
        <v>312</v>
      </c>
      <c r="M20" s="2">
        <v>1885000</v>
      </c>
      <c r="N20" s="2">
        <v>2900000</v>
      </c>
      <c r="O20" s="2" t="s">
        <v>313</v>
      </c>
      <c r="P20" s="3">
        <v>45656</v>
      </c>
      <c r="Q20" s="2" t="s">
        <v>314</v>
      </c>
      <c r="R20" s="2" t="s">
        <v>315</v>
      </c>
      <c r="S20" s="2" t="s">
        <v>69</v>
      </c>
      <c r="T20" s="2" t="s">
        <v>316</v>
      </c>
      <c r="U20" s="2" t="s">
        <v>317</v>
      </c>
      <c r="V20" s="2" t="s">
        <v>72</v>
      </c>
      <c r="W20" s="3">
        <v>44565</v>
      </c>
      <c r="X20" s="2" t="s">
        <v>73</v>
      </c>
      <c r="Y20" s="2" t="s">
        <v>318</v>
      </c>
      <c r="Z20" s="2" t="s">
        <v>319</v>
      </c>
      <c r="AA20" s="2">
        <v>5</v>
      </c>
      <c r="AB20" s="2" t="s">
        <v>75</v>
      </c>
      <c r="AC20" s="2" t="s">
        <v>320</v>
      </c>
      <c r="AD20" s="3">
        <v>44561</v>
      </c>
      <c r="AE20" s="2" t="s">
        <v>77</v>
      </c>
      <c r="AF20" s="2">
        <v>2320000</v>
      </c>
      <c r="AG20" s="2">
        <v>34800</v>
      </c>
      <c r="AH20" s="2" t="s">
        <v>321</v>
      </c>
      <c r="AI20" s="2">
        <v>36975</v>
      </c>
      <c r="AJ20" s="11">
        <v>2175</v>
      </c>
      <c r="AK20" s="11" t="s">
        <v>322</v>
      </c>
    </row>
    <row r="21" spans="1:37">
      <c r="A21" s="10">
        <v>20</v>
      </c>
      <c r="B21" s="2" t="s">
        <v>37</v>
      </c>
      <c r="C21" s="2" t="s">
        <v>323</v>
      </c>
      <c r="D21" s="2" t="s">
        <v>39</v>
      </c>
      <c r="E21" s="2" t="s">
        <v>40</v>
      </c>
      <c r="F21" s="2" t="s">
        <v>324</v>
      </c>
      <c r="G21" s="2" t="s">
        <v>62</v>
      </c>
      <c r="H21" s="2" t="s">
        <v>325</v>
      </c>
      <c r="I21" s="2" t="s">
        <v>326</v>
      </c>
      <c r="J21" s="2" t="s">
        <v>327</v>
      </c>
      <c r="K21" s="2" t="s">
        <v>328</v>
      </c>
      <c r="L21" s="2" t="s">
        <v>329</v>
      </c>
      <c r="M21" s="2">
        <v>1237500</v>
      </c>
      <c r="N21" s="2">
        <v>1650000</v>
      </c>
      <c r="O21" s="2" t="s">
        <v>330</v>
      </c>
      <c r="P21" s="3">
        <v>45656</v>
      </c>
      <c r="Q21" s="2" t="s">
        <v>331</v>
      </c>
      <c r="R21" s="2" t="s">
        <v>332</v>
      </c>
      <c r="S21" s="2" t="s">
        <v>333</v>
      </c>
      <c r="T21" s="2" t="s">
        <v>334</v>
      </c>
      <c r="U21" s="2" t="s">
        <v>335</v>
      </c>
      <c r="V21" s="2" t="s">
        <v>336</v>
      </c>
      <c r="W21" s="3">
        <v>44196</v>
      </c>
      <c r="X21" s="2" t="s">
        <v>337</v>
      </c>
      <c r="Y21" s="2" t="s">
        <v>338</v>
      </c>
      <c r="Z21" s="2" t="s">
        <v>339</v>
      </c>
      <c r="AA21" s="2">
        <v>5</v>
      </c>
      <c r="AB21" s="2" t="s">
        <v>106</v>
      </c>
      <c r="AC21" s="2" t="s">
        <v>340</v>
      </c>
      <c r="AD21" s="3">
        <v>44196</v>
      </c>
      <c r="AE21" s="2" t="s">
        <v>58</v>
      </c>
      <c r="AF21" s="2">
        <v>1237500</v>
      </c>
      <c r="AG21" s="2">
        <v>24750</v>
      </c>
      <c r="AH21" s="2" t="s">
        <v>341</v>
      </c>
      <c r="AI21" s="2">
        <v>26400</v>
      </c>
      <c r="AJ21" s="11">
        <v>1650</v>
      </c>
      <c r="AK21" s="11" t="s">
        <v>342</v>
      </c>
    </row>
    <row r="22" spans="1:37" hidden="1">
      <c r="A22" s="10">
        <v>21</v>
      </c>
      <c r="B22" s="2" t="s">
        <v>37</v>
      </c>
      <c r="C22" s="2" t="s">
        <v>343</v>
      </c>
      <c r="D22" s="2" t="s">
        <v>39</v>
      </c>
      <c r="E22" s="2" t="s">
        <v>40</v>
      </c>
      <c r="F22" s="2" t="s">
        <v>344</v>
      </c>
      <c r="G22" s="2" t="s">
        <v>42</v>
      </c>
      <c r="H22" s="2" t="s">
        <v>345</v>
      </c>
      <c r="I22" s="2">
        <v>3004761508</v>
      </c>
      <c r="J22" s="2" t="s">
        <v>346</v>
      </c>
      <c r="K22" s="2">
        <v>3004761508</v>
      </c>
      <c r="L22" s="2" t="s">
        <v>347</v>
      </c>
      <c r="M22" s="2">
        <v>1398750</v>
      </c>
      <c r="N22" s="2">
        <v>1865000</v>
      </c>
      <c r="O22" s="2" t="s">
        <v>348</v>
      </c>
      <c r="P22" s="3">
        <v>45778</v>
      </c>
      <c r="Q22" s="2">
        <v>166469</v>
      </c>
      <c r="R22" s="4" t="s">
        <v>349</v>
      </c>
      <c r="S22" s="2" t="s">
        <v>50</v>
      </c>
      <c r="T22" s="2"/>
      <c r="U22" s="2" t="s">
        <v>350</v>
      </c>
      <c r="V22" s="2">
        <v>2020</v>
      </c>
      <c r="W22" s="3">
        <v>43930</v>
      </c>
      <c r="X22" s="2" t="s">
        <v>220</v>
      </c>
      <c r="Y22" s="3">
        <v>46033</v>
      </c>
      <c r="Z22" s="2" t="s">
        <v>351</v>
      </c>
      <c r="AA22" s="2">
        <v>5</v>
      </c>
      <c r="AB22" s="2" t="s">
        <v>106</v>
      </c>
      <c r="AC22" s="2" t="s">
        <v>352</v>
      </c>
      <c r="AD22" s="3">
        <v>44348</v>
      </c>
      <c r="AE22" s="2" t="s">
        <v>58</v>
      </c>
      <c r="AF22" s="2">
        <v>1398750</v>
      </c>
      <c r="AG22" s="2">
        <v>27975</v>
      </c>
      <c r="AH22" s="2" t="s">
        <v>353</v>
      </c>
      <c r="AI22" s="2">
        <v>27975</v>
      </c>
      <c r="AJ22" s="11">
        <v>0</v>
      </c>
      <c r="AK22" s="11"/>
    </row>
    <row r="23" spans="1:37" hidden="1">
      <c r="A23" s="10">
        <v>22</v>
      </c>
      <c r="B23" s="2" t="s">
        <v>37</v>
      </c>
      <c r="C23" s="2" t="s">
        <v>354</v>
      </c>
      <c r="D23" s="2" t="s">
        <v>39</v>
      </c>
      <c r="E23" s="2" t="s">
        <v>40</v>
      </c>
      <c r="F23" s="2" t="s">
        <v>355</v>
      </c>
      <c r="G23" s="2" t="s">
        <v>62</v>
      </c>
      <c r="H23" s="2" t="s">
        <v>356</v>
      </c>
      <c r="I23" s="2" t="s">
        <v>357</v>
      </c>
      <c r="J23" s="2" t="s">
        <v>358</v>
      </c>
      <c r="K23" s="2" t="s">
        <v>357</v>
      </c>
      <c r="L23" s="2" t="s">
        <v>359</v>
      </c>
      <c r="M23" s="2">
        <v>1182500</v>
      </c>
      <c r="N23" s="2">
        <v>2150000</v>
      </c>
      <c r="O23" s="2" t="s">
        <v>360</v>
      </c>
      <c r="P23" s="3">
        <v>45778</v>
      </c>
      <c r="Q23" s="2" t="s">
        <v>361</v>
      </c>
      <c r="R23" s="2" t="s">
        <v>362</v>
      </c>
      <c r="S23" s="2" t="s">
        <v>69</v>
      </c>
      <c r="T23" s="2" t="s">
        <v>363</v>
      </c>
      <c r="U23" s="2" t="s">
        <v>364</v>
      </c>
      <c r="V23" s="2" t="s">
        <v>365</v>
      </c>
      <c r="W23" s="3">
        <v>44743</v>
      </c>
      <c r="X23" s="2" t="s">
        <v>73</v>
      </c>
      <c r="Y23" s="3">
        <v>46398</v>
      </c>
      <c r="Z23" s="2" t="s">
        <v>366</v>
      </c>
      <c r="AA23" s="2">
        <v>5</v>
      </c>
      <c r="AB23" s="2" t="s">
        <v>90</v>
      </c>
      <c r="AC23" s="2" t="s">
        <v>367</v>
      </c>
      <c r="AD23" s="3">
        <v>44743</v>
      </c>
      <c r="AE23" s="2" t="s">
        <v>77</v>
      </c>
      <c r="AF23" s="2">
        <v>1720000</v>
      </c>
      <c r="AG23" s="2">
        <v>25800</v>
      </c>
      <c r="AH23" s="2" t="s">
        <v>368</v>
      </c>
      <c r="AI23" s="2">
        <v>25800</v>
      </c>
      <c r="AJ23" s="11">
        <v>0</v>
      </c>
      <c r="AK23" s="11"/>
    </row>
    <row r="24" spans="1:37" hidden="1">
      <c r="A24" s="10">
        <v>23</v>
      </c>
      <c r="B24" s="2" t="s">
        <v>37</v>
      </c>
      <c r="C24" s="2" t="s">
        <v>369</v>
      </c>
      <c r="D24" s="2" t="s">
        <v>39</v>
      </c>
      <c r="E24" s="2" t="s">
        <v>40</v>
      </c>
      <c r="F24" s="2" t="s">
        <v>370</v>
      </c>
      <c r="G24" s="2" t="s">
        <v>62</v>
      </c>
      <c r="H24" s="2" t="s">
        <v>371</v>
      </c>
      <c r="I24" s="2" t="s">
        <v>372</v>
      </c>
      <c r="J24" s="2" t="s">
        <v>372</v>
      </c>
      <c r="K24" s="2" t="s">
        <v>328</v>
      </c>
      <c r="L24" s="2" t="s">
        <v>373</v>
      </c>
      <c r="M24" s="2">
        <v>1216800</v>
      </c>
      <c r="N24" s="2">
        <v>1521000</v>
      </c>
      <c r="O24" s="2" t="s">
        <v>374</v>
      </c>
      <c r="P24" s="3">
        <v>45778</v>
      </c>
      <c r="Q24" s="2" t="s">
        <v>375</v>
      </c>
      <c r="R24" s="2" t="s">
        <v>376</v>
      </c>
      <c r="S24" s="2" t="s">
        <v>50</v>
      </c>
      <c r="T24" s="2" t="s">
        <v>51</v>
      </c>
      <c r="U24" s="2" t="s">
        <v>377</v>
      </c>
      <c r="V24" s="2" t="s">
        <v>286</v>
      </c>
      <c r="W24" s="3">
        <v>44407</v>
      </c>
      <c r="X24" s="2" t="s">
        <v>287</v>
      </c>
      <c r="Y24" s="3">
        <v>46408</v>
      </c>
      <c r="Z24" s="2" t="s">
        <v>378</v>
      </c>
      <c r="AA24" s="2">
        <v>5</v>
      </c>
      <c r="AB24" s="2" t="s">
        <v>75</v>
      </c>
      <c r="AC24" s="2" t="s">
        <v>379</v>
      </c>
      <c r="AD24" s="3">
        <v>44682</v>
      </c>
      <c r="AE24" s="2" t="s">
        <v>58</v>
      </c>
      <c r="AF24" s="2">
        <v>1216800</v>
      </c>
      <c r="AG24" s="2">
        <v>24336</v>
      </c>
      <c r="AH24" s="2" t="s">
        <v>380</v>
      </c>
      <c r="AI24" s="2">
        <v>24336</v>
      </c>
      <c r="AJ24" s="11">
        <v>0</v>
      </c>
      <c r="AK24" s="11"/>
    </row>
    <row r="25" spans="1:37">
      <c r="A25" s="10">
        <v>24</v>
      </c>
      <c r="B25" s="2" t="s">
        <v>37</v>
      </c>
      <c r="C25" s="2" t="s">
        <v>381</v>
      </c>
      <c r="D25" s="2" t="s">
        <v>39</v>
      </c>
      <c r="E25" s="2" t="s">
        <v>40</v>
      </c>
      <c r="F25" s="2" t="s">
        <v>382</v>
      </c>
      <c r="G25" s="2" t="s">
        <v>62</v>
      </c>
      <c r="H25" s="2" t="s">
        <v>383</v>
      </c>
      <c r="I25" s="2" t="s">
        <v>384</v>
      </c>
      <c r="J25" s="2" t="s">
        <v>384</v>
      </c>
      <c r="K25" s="2" t="s">
        <v>384</v>
      </c>
      <c r="L25" s="2" t="s">
        <v>385</v>
      </c>
      <c r="M25" s="2">
        <v>896000</v>
      </c>
      <c r="N25" s="2">
        <v>1280000</v>
      </c>
      <c r="O25" s="2" t="s">
        <v>386</v>
      </c>
      <c r="P25" s="3">
        <v>45656</v>
      </c>
      <c r="Q25" s="2" t="s">
        <v>387</v>
      </c>
      <c r="R25" s="2" t="s">
        <v>388</v>
      </c>
      <c r="S25" s="2" t="s">
        <v>69</v>
      </c>
      <c r="T25" s="2" t="s">
        <v>389</v>
      </c>
      <c r="U25" s="2" t="s">
        <v>390</v>
      </c>
      <c r="V25" s="2" t="s">
        <v>391</v>
      </c>
      <c r="W25" s="3">
        <v>44561</v>
      </c>
      <c r="X25" s="2" t="s">
        <v>88</v>
      </c>
      <c r="Y25" s="2" t="s">
        <v>392</v>
      </c>
      <c r="Z25" s="2" t="s">
        <v>393</v>
      </c>
      <c r="AA25" s="2">
        <v>5</v>
      </c>
      <c r="AB25" s="2" t="s">
        <v>90</v>
      </c>
      <c r="AC25" s="2" t="s">
        <v>394</v>
      </c>
      <c r="AD25" s="3">
        <v>44561</v>
      </c>
      <c r="AE25" s="2" t="s">
        <v>77</v>
      </c>
      <c r="AF25" s="2">
        <v>1024000</v>
      </c>
      <c r="AG25" s="2">
        <v>15360</v>
      </c>
      <c r="AH25" s="2" t="s">
        <v>395</v>
      </c>
      <c r="AI25" s="2">
        <v>16320</v>
      </c>
      <c r="AJ25" s="11">
        <v>960</v>
      </c>
      <c r="AK25" s="11" t="s">
        <v>396</v>
      </c>
    </row>
    <row r="26" spans="1:37">
      <c r="A26" s="10">
        <v>25</v>
      </c>
      <c r="B26" s="2" t="s">
        <v>37</v>
      </c>
      <c r="C26" s="2" t="s">
        <v>397</v>
      </c>
      <c r="D26" s="2" t="s">
        <v>39</v>
      </c>
      <c r="E26" s="2" t="s">
        <v>40</v>
      </c>
      <c r="F26" s="2" t="s">
        <v>398</v>
      </c>
      <c r="G26" s="2" t="s">
        <v>42</v>
      </c>
      <c r="H26" s="2" t="s">
        <v>399</v>
      </c>
      <c r="I26" s="2" t="s">
        <v>400</v>
      </c>
      <c r="J26" s="2" t="s">
        <v>401</v>
      </c>
      <c r="K26" s="2" t="s">
        <v>400</v>
      </c>
      <c r="L26" s="2" t="s">
        <v>402</v>
      </c>
      <c r="M26" s="2">
        <v>2454010</v>
      </c>
      <c r="N26" s="2">
        <v>5707000</v>
      </c>
      <c r="O26" s="2" t="s">
        <v>403</v>
      </c>
      <c r="P26" s="3">
        <v>45656</v>
      </c>
      <c r="Q26" s="2" t="s">
        <v>404</v>
      </c>
      <c r="R26" s="2" t="s">
        <v>405</v>
      </c>
      <c r="S26" s="2" t="s">
        <v>50</v>
      </c>
      <c r="T26" s="2" t="s">
        <v>51</v>
      </c>
      <c r="U26" s="2" t="s">
        <v>406</v>
      </c>
      <c r="V26" s="2" t="s">
        <v>53</v>
      </c>
      <c r="W26" s="3">
        <v>44926</v>
      </c>
      <c r="X26" s="2" t="s">
        <v>237</v>
      </c>
      <c r="Y26" s="2" t="s">
        <v>338</v>
      </c>
      <c r="Z26" s="2" t="s">
        <v>407</v>
      </c>
      <c r="AA26" s="2">
        <v>3</v>
      </c>
      <c r="AB26" s="2" t="s">
        <v>75</v>
      </c>
      <c r="AC26" s="2" t="s">
        <v>408</v>
      </c>
      <c r="AD26" s="3">
        <v>44926</v>
      </c>
      <c r="AE26" s="2" t="s">
        <v>108</v>
      </c>
      <c r="AF26" s="2">
        <v>4850950</v>
      </c>
      <c r="AG26" s="2">
        <v>84892</v>
      </c>
      <c r="AH26" s="2" t="s">
        <v>409</v>
      </c>
      <c r="AI26" s="2">
        <v>89885</v>
      </c>
      <c r="AJ26" s="11">
        <v>4993</v>
      </c>
      <c r="AK26" s="11" t="s">
        <v>410</v>
      </c>
    </row>
    <row r="27" spans="1:37">
      <c r="A27" s="10">
        <v>26</v>
      </c>
      <c r="B27" s="2" t="s">
        <v>37</v>
      </c>
      <c r="C27" s="2" t="s">
        <v>411</v>
      </c>
      <c r="D27" s="2" t="s">
        <v>39</v>
      </c>
      <c r="E27" s="2" t="s">
        <v>40</v>
      </c>
      <c r="F27" s="2" t="s">
        <v>412</v>
      </c>
      <c r="G27" s="2" t="s">
        <v>42</v>
      </c>
      <c r="H27" s="2" t="s">
        <v>413</v>
      </c>
      <c r="I27" s="2" t="s">
        <v>51</v>
      </c>
      <c r="J27" s="2" t="s">
        <v>414</v>
      </c>
      <c r="K27" s="2" t="s">
        <v>51</v>
      </c>
      <c r="L27" s="2" t="s">
        <v>415</v>
      </c>
      <c r="M27" s="2">
        <v>1540000</v>
      </c>
      <c r="N27" s="2">
        <v>2200000</v>
      </c>
      <c r="O27" s="2" t="s">
        <v>416</v>
      </c>
      <c r="P27" s="3">
        <v>45656</v>
      </c>
      <c r="Q27" s="2" t="s">
        <v>417</v>
      </c>
      <c r="R27" s="2" t="s">
        <v>418</v>
      </c>
      <c r="S27" s="2" t="s">
        <v>69</v>
      </c>
      <c r="T27" s="2" t="s">
        <v>419</v>
      </c>
      <c r="U27" s="2" t="s">
        <v>420</v>
      </c>
      <c r="V27" s="2" t="s">
        <v>53</v>
      </c>
      <c r="W27" s="3">
        <v>44926</v>
      </c>
      <c r="X27" s="2" t="s">
        <v>237</v>
      </c>
      <c r="Y27" s="2" t="s">
        <v>338</v>
      </c>
      <c r="Z27" s="2" t="s">
        <v>421</v>
      </c>
      <c r="AA27" s="2">
        <v>3</v>
      </c>
      <c r="AB27" s="2" t="s">
        <v>160</v>
      </c>
      <c r="AC27" s="2" t="s">
        <v>422</v>
      </c>
      <c r="AD27" s="3">
        <v>44926</v>
      </c>
      <c r="AE27" s="2" t="s">
        <v>108</v>
      </c>
      <c r="AF27" s="2">
        <v>1870000</v>
      </c>
      <c r="AG27" s="2">
        <v>32725</v>
      </c>
      <c r="AH27" s="2" t="s">
        <v>423</v>
      </c>
      <c r="AI27" s="2">
        <v>34650</v>
      </c>
      <c r="AJ27" s="11">
        <v>1925</v>
      </c>
      <c r="AK27" s="11" t="s">
        <v>424</v>
      </c>
    </row>
    <row r="28" spans="1:37">
      <c r="A28" s="10">
        <v>27</v>
      </c>
      <c r="B28" s="2" t="s">
        <v>37</v>
      </c>
      <c r="C28" s="2" t="s">
        <v>425</v>
      </c>
      <c r="D28" s="2" t="s">
        <v>39</v>
      </c>
      <c r="E28" s="2" t="s">
        <v>40</v>
      </c>
      <c r="F28" s="2" t="s">
        <v>426</v>
      </c>
      <c r="G28" s="2" t="s">
        <v>42</v>
      </c>
      <c r="H28" s="2" t="s">
        <v>427</v>
      </c>
      <c r="I28" s="2" t="s">
        <v>428</v>
      </c>
      <c r="J28" s="2" t="s">
        <v>429</v>
      </c>
      <c r="K28" s="2" t="s">
        <v>428</v>
      </c>
      <c r="L28" s="2" t="s">
        <v>430</v>
      </c>
      <c r="M28" s="2">
        <v>1368000</v>
      </c>
      <c r="N28" s="2">
        <v>2400000</v>
      </c>
      <c r="O28" s="2" t="s">
        <v>431</v>
      </c>
      <c r="P28" s="3">
        <v>45656</v>
      </c>
      <c r="Q28" s="2" t="s">
        <v>432</v>
      </c>
      <c r="R28" s="2" t="s">
        <v>433</v>
      </c>
      <c r="S28" s="2" t="s">
        <v>69</v>
      </c>
      <c r="T28" s="2" t="s">
        <v>434</v>
      </c>
      <c r="U28" s="2" t="s">
        <v>435</v>
      </c>
      <c r="V28" s="2" t="s">
        <v>53</v>
      </c>
      <c r="W28" s="3">
        <v>44926</v>
      </c>
      <c r="X28" s="2" t="s">
        <v>237</v>
      </c>
      <c r="Y28" s="2" t="s">
        <v>238</v>
      </c>
      <c r="Z28" s="2" t="s">
        <v>436</v>
      </c>
      <c r="AA28" s="2">
        <v>5</v>
      </c>
      <c r="AB28" s="2" t="s">
        <v>75</v>
      </c>
      <c r="AC28" s="2" t="s">
        <v>437</v>
      </c>
      <c r="AD28" s="3">
        <v>44926</v>
      </c>
      <c r="AE28" s="2" t="s">
        <v>108</v>
      </c>
      <c r="AF28" s="2">
        <v>2040000</v>
      </c>
      <c r="AG28" s="2">
        <v>35700</v>
      </c>
      <c r="AH28" s="2" t="s">
        <v>438</v>
      </c>
      <c r="AI28" s="2">
        <v>37800</v>
      </c>
      <c r="AJ28" s="11">
        <v>2100</v>
      </c>
      <c r="AK28" s="11" t="s">
        <v>439</v>
      </c>
    </row>
    <row r="29" spans="1:37">
      <c r="A29" s="10">
        <v>28</v>
      </c>
      <c r="B29" s="2" t="s">
        <v>37</v>
      </c>
      <c r="C29" s="2" t="s">
        <v>440</v>
      </c>
      <c r="D29" s="2" t="s">
        <v>39</v>
      </c>
      <c r="E29" s="2" t="s">
        <v>40</v>
      </c>
      <c r="F29" s="2" t="s">
        <v>441</v>
      </c>
      <c r="G29" s="2" t="s">
        <v>42</v>
      </c>
      <c r="H29" s="2" t="s">
        <v>442</v>
      </c>
      <c r="I29" s="2" t="s">
        <v>443</v>
      </c>
      <c r="J29" s="2" t="s">
        <v>444</v>
      </c>
      <c r="K29" s="2" t="s">
        <v>443</v>
      </c>
      <c r="L29" s="2" t="s">
        <v>445</v>
      </c>
      <c r="M29" s="2">
        <v>1940400</v>
      </c>
      <c r="N29" s="2">
        <v>3234000</v>
      </c>
      <c r="O29" s="2" t="s">
        <v>446</v>
      </c>
      <c r="P29" s="3">
        <v>45656</v>
      </c>
      <c r="Q29" s="2" t="s">
        <v>447</v>
      </c>
      <c r="R29" s="2" t="s">
        <v>448</v>
      </c>
      <c r="S29" s="2" t="s">
        <v>50</v>
      </c>
      <c r="T29" s="2" t="s">
        <v>51</v>
      </c>
      <c r="U29" s="2" t="s">
        <v>449</v>
      </c>
      <c r="V29" s="2" t="s">
        <v>53</v>
      </c>
      <c r="W29" s="3">
        <v>44926</v>
      </c>
      <c r="X29" s="2" t="s">
        <v>237</v>
      </c>
      <c r="Y29" s="2" t="s">
        <v>238</v>
      </c>
      <c r="Z29" s="2" t="s">
        <v>450</v>
      </c>
      <c r="AA29" s="2">
        <v>5</v>
      </c>
      <c r="AB29" s="2" t="s">
        <v>75</v>
      </c>
      <c r="AC29" s="2" t="s">
        <v>451</v>
      </c>
      <c r="AD29" s="3">
        <v>44926</v>
      </c>
      <c r="AE29" s="2" t="s">
        <v>108</v>
      </c>
      <c r="AF29" s="2">
        <v>2748900</v>
      </c>
      <c r="AG29" s="2">
        <v>48106</v>
      </c>
      <c r="AH29" s="2" t="s">
        <v>452</v>
      </c>
      <c r="AI29" s="2">
        <v>50936</v>
      </c>
      <c r="AJ29" s="11">
        <v>2830</v>
      </c>
      <c r="AK29" s="11" t="s">
        <v>453</v>
      </c>
    </row>
    <row r="30" spans="1:37">
      <c r="A30" s="10">
        <v>29</v>
      </c>
      <c r="B30" s="2" t="s">
        <v>37</v>
      </c>
      <c r="C30" s="2" t="s">
        <v>454</v>
      </c>
      <c r="D30" s="2" t="s">
        <v>39</v>
      </c>
      <c r="E30" s="2" t="s">
        <v>40</v>
      </c>
      <c r="F30" s="2" t="s">
        <v>455</v>
      </c>
      <c r="G30" s="2" t="s">
        <v>42</v>
      </c>
      <c r="H30" s="2" t="s">
        <v>456</v>
      </c>
      <c r="I30" s="2" t="s">
        <v>457</v>
      </c>
      <c r="J30" s="2" t="s">
        <v>458</v>
      </c>
      <c r="K30" s="2" t="s">
        <v>459</v>
      </c>
      <c r="L30" s="2" t="s">
        <v>460</v>
      </c>
      <c r="M30" s="2">
        <v>2000000</v>
      </c>
      <c r="N30" s="2">
        <v>4000000</v>
      </c>
      <c r="O30" s="2" t="s">
        <v>461</v>
      </c>
      <c r="P30" s="3">
        <v>45656</v>
      </c>
      <c r="Q30" s="2" t="s">
        <v>462</v>
      </c>
      <c r="R30" s="2" t="s">
        <v>463</v>
      </c>
      <c r="S30" s="2" t="s">
        <v>69</v>
      </c>
      <c r="T30" s="2" t="s">
        <v>464</v>
      </c>
      <c r="U30" s="2" t="s">
        <v>465</v>
      </c>
      <c r="V30" s="2" t="s">
        <v>391</v>
      </c>
      <c r="W30" s="3">
        <v>44926</v>
      </c>
      <c r="X30" s="2" t="s">
        <v>237</v>
      </c>
      <c r="Y30" s="2" t="s">
        <v>338</v>
      </c>
      <c r="Z30" s="2" t="s">
        <v>466</v>
      </c>
      <c r="AA30" s="2">
        <v>3</v>
      </c>
      <c r="AB30" s="2" t="s">
        <v>75</v>
      </c>
      <c r="AC30" s="2" t="s">
        <v>467</v>
      </c>
      <c r="AD30" s="3">
        <v>44926</v>
      </c>
      <c r="AE30" s="2" t="s">
        <v>108</v>
      </c>
      <c r="AF30" s="2">
        <v>3400000</v>
      </c>
      <c r="AG30" s="2">
        <v>59500</v>
      </c>
      <c r="AH30" s="2" t="s">
        <v>468</v>
      </c>
      <c r="AI30" s="2">
        <v>63000</v>
      </c>
      <c r="AJ30" s="11">
        <v>3500</v>
      </c>
      <c r="AK30" s="11" t="s">
        <v>469</v>
      </c>
    </row>
    <row r="31" spans="1:37" hidden="1">
      <c r="A31" s="10">
        <v>30</v>
      </c>
      <c r="B31" s="2" t="s">
        <v>37</v>
      </c>
      <c r="C31" s="2" t="s">
        <v>470</v>
      </c>
      <c r="D31" s="2" t="s">
        <v>39</v>
      </c>
      <c r="E31" s="2" t="s">
        <v>40</v>
      </c>
      <c r="F31" s="2" t="s">
        <v>471</v>
      </c>
      <c r="G31" s="2" t="s">
        <v>62</v>
      </c>
      <c r="H31" s="2" t="s">
        <v>472</v>
      </c>
      <c r="I31" s="2" t="s">
        <v>473</v>
      </c>
      <c r="J31" s="2" t="s">
        <v>473</v>
      </c>
      <c r="K31" s="2" t="s">
        <v>328</v>
      </c>
      <c r="L31" s="2" t="s">
        <v>474</v>
      </c>
      <c r="M31" s="2">
        <v>2282000</v>
      </c>
      <c r="N31" s="2">
        <v>3260000</v>
      </c>
      <c r="O31" s="2" t="s">
        <v>475</v>
      </c>
      <c r="P31" s="3">
        <v>45778</v>
      </c>
      <c r="Q31" s="2" t="s">
        <v>476</v>
      </c>
      <c r="R31" s="2" t="s">
        <v>477</v>
      </c>
      <c r="S31" s="2" t="s">
        <v>69</v>
      </c>
      <c r="T31" s="2" t="s">
        <v>478</v>
      </c>
      <c r="U31" s="2" t="s">
        <v>465</v>
      </c>
      <c r="V31" s="2" t="s">
        <v>72</v>
      </c>
      <c r="W31" s="3">
        <v>44896</v>
      </c>
      <c r="X31" s="2" t="s">
        <v>287</v>
      </c>
      <c r="Y31" s="3">
        <v>46408</v>
      </c>
      <c r="Z31" s="2" t="s">
        <v>479</v>
      </c>
      <c r="AA31" s="2">
        <v>5</v>
      </c>
      <c r="AB31" s="2" t="s">
        <v>90</v>
      </c>
      <c r="AC31" s="2" t="s">
        <v>480</v>
      </c>
      <c r="AD31" s="3">
        <v>44743</v>
      </c>
      <c r="AE31" s="2" t="s">
        <v>77</v>
      </c>
      <c r="AF31" s="2">
        <v>2608000</v>
      </c>
      <c r="AG31" s="2">
        <v>39120</v>
      </c>
      <c r="AH31" s="2" t="s">
        <v>481</v>
      </c>
      <c r="AI31" s="2">
        <v>39120</v>
      </c>
      <c r="AJ31" s="11">
        <v>0</v>
      </c>
      <c r="AK31" s="11"/>
    </row>
    <row r="32" spans="1:37" hidden="1">
      <c r="A32" s="10">
        <v>31</v>
      </c>
      <c r="B32" s="2" t="s">
        <v>37</v>
      </c>
      <c r="C32" s="2" t="s">
        <v>482</v>
      </c>
      <c r="D32" s="2" t="s">
        <v>39</v>
      </c>
      <c r="E32" s="2" t="s">
        <v>40</v>
      </c>
      <c r="F32" s="2" t="s">
        <v>483</v>
      </c>
      <c r="G32" s="2" t="s">
        <v>276</v>
      </c>
      <c r="H32" s="2" t="s">
        <v>484</v>
      </c>
      <c r="I32" s="2" t="s">
        <v>485</v>
      </c>
      <c r="J32" s="2" t="s">
        <v>486</v>
      </c>
      <c r="K32" s="2" t="s">
        <v>485</v>
      </c>
      <c r="L32" s="2" t="s">
        <v>487</v>
      </c>
      <c r="M32" s="2">
        <v>2391000</v>
      </c>
      <c r="N32" s="2">
        <v>4782000</v>
      </c>
      <c r="O32" s="2" t="s">
        <v>488</v>
      </c>
      <c r="P32" s="3">
        <v>45778</v>
      </c>
      <c r="Q32" s="2" t="s">
        <v>489</v>
      </c>
      <c r="R32" s="2" t="s">
        <v>490</v>
      </c>
      <c r="S32" s="2" t="s">
        <v>50</v>
      </c>
      <c r="T32" s="2" t="s">
        <v>51</v>
      </c>
      <c r="U32" s="2" t="s">
        <v>491</v>
      </c>
      <c r="V32" s="2" t="s">
        <v>286</v>
      </c>
      <c r="W32" s="3">
        <v>44466</v>
      </c>
      <c r="X32" s="2" t="s">
        <v>287</v>
      </c>
      <c r="Y32" s="3">
        <v>46408</v>
      </c>
      <c r="Z32" s="2" t="s">
        <v>492</v>
      </c>
      <c r="AA32" s="2">
        <v>5</v>
      </c>
      <c r="AB32" s="2" t="s">
        <v>75</v>
      </c>
      <c r="AC32" s="2" t="s">
        <v>493</v>
      </c>
      <c r="AD32" s="3">
        <v>44713</v>
      </c>
      <c r="AE32" s="2" t="s">
        <v>77</v>
      </c>
      <c r="AF32" s="2">
        <v>3825600</v>
      </c>
      <c r="AG32" s="2">
        <v>57384</v>
      </c>
      <c r="AH32" s="2" t="s">
        <v>494</v>
      </c>
      <c r="AI32" s="2">
        <v>57384</v>
      </c>
      <c r="AJ32" s="11">
        <v>0</v>
      </c>
      <c r="AK32" s="11"/>
    </row>
    <row r="33" spans="1:37">
      <c r="A33" s="10">
        <v>32</v>
      </c>
      <c r="B33" s="2" t="s">
        <v>37</v>
      </c>
      <c r="C33" s="2" t="s">
        <v>495</v>
      </c>
      <c r="D33" s="2" t="s">
        <v>39</v>
      </c>
      <c r="E33" s="2" t="s">
        <v>40</v>
      </c>
      <c r="F33" s="2" t="s">
        <v>496</v>
      </c>
      <c r="G33" s="2" t="s">
        <v>497</v>
      </c>
      <c r="H33" s="2" t="s">
        <v>498</v>
      </c>
      <c r="I33" s="2" t="s">
        <v>51</v>
      </c>
      <c r="J33" s="2" t="s">
        <v>499</v>
      </c>
      <c r="K33" s="2" t="s">
        <v>51</v>
      </c>
      <c r="L33" s="2" t="s">
        <v>500</v>
      </c>
      <c r="M33" s="2">
        <v>1890000</v>
      </c>
      <c r="N33" s="2">
        <v>2700000</v>
      </c>
      <c r="O33" s="2" t="s">
        <v>501</v>
      </c>
      <c r="P33" s="3">
        <v>45656</v>
      </c>
      <c r="Q33" s="2" t="s">
        <v>502</v>
      </c>
      <c r="R33" s="2" t="s">
        <v>503</v>
      </c>
      <c r="S33" s="2" t="s">
        <v>69</v>
      </c>
      <c r="T33" s="2" t="s">
        <v>504</v>
      </c>
      <c r="U33" s="2" t="s">
        <v>505</v>
      </c>
      <c r="V33" s="2" t="s">
        <v>72</v>
      </c>
      <c r="W33" s="3">
        <v>44561</v>
      </c>
      <c r="X33" s="2" t="s">
        <v>88</v>
      </c>
      <c r="Y33" s="2" t="s">
        <v>392</v>
      </c>
      <c r="Z33" s="2" t="s">
        <v>506</v>
      </c>
      <c r="AA33" s="2">
        <v>5</v>
      </c>
      <c r="AB33" s="2" t="s">
        <v>75</v>
      </c>
      <c r="AC33" s="2" t="s">
        <v>507</v>
      </c>
      <c r="AD33" s="3">
        <v>44561</v>
      </c>
      <c r="AE33" s="2" t="s">
        <v>77</v>
      </c>
      <c r="AF33" s="2">
        <v>2160000</v>
      </c>
      <c r="AG33" s="2">
        <v>32400</v>
      </c>
      <c r="AH33" s="2" t="s">
        <v>508</v>
      </c>
      <c r="AI33" s="2">
        <v>34425</v>
      </c>
      <c r="AJ33" s="11">
        <v>2025</v>
      </c>
      <c r="AK33" s="11" t="s">
        <v>509</v>
      </c>
    </row>
    <row r="34" spans="1:37">
      <c r="A34" s="10">
        <v>33</v>
      </c>
      <c r="B34" s="2" t="s">
        <v>37</v>
      </c>
      <c r="C34" s="2" t="s">
        <v>510</v>
      </c>
      <c r="D34" s="2" t="s">
        <v>39</v>
      </c>
      <c r="E34" s="2" t="s">
        <v>40</v>
      </c>
      <c r="F34" s="2" t="s">
        <v>511</v>
      </c>
      <c r="G34" s="2" t="s">
        <v>112</v>
      </c>
      <c r="H34" s="2" t="s">
        <v>512</v>
      </c>
      <c r="I34" s="2" t="s">
        <v>513</v>
      </c>
      <c r="J34" s="2" t="s">
        <v>51</v>
      </c>
      <c r="K34" s="2" t="s">
        <v>514</v>
      </c>
      <c r="L34" s="2" t="s">
        <v>515</v>
      </c>
      <c r="M34" s="2">
        <v>2762500</v>
      </c>
      <c r="N34" s="2">
        <v>4250000</v>
      </c>
      <c r="O34" s="2" t="s">
        <v>516</v>
      </c>
      <c r="P34" s="3">
        <v>45656</v>
      </c>
      <c r="Q34" s="2" t="s">
        <v>517</v>
      </c>
      <c r="R34" s="2" t="s">
        <v>518</v>
      </c>
      <c r="S34" s="2" t="s">
        <v>69</v>
      </c>
      <c r="T34" s="2" t="s">
        <v>519</v>
      </c>
      <c r="U34" s="2" t="s">
        <v>520</v>
      </c>
      <c r="V34" s="2" t="s">
        <v>521</v>
      </c>
      <c r="W34" s="3">
        <v>44565</v>
      </c>
      <c r="X34" s="2" t="s">
        <v>73</v>
      </c>
      <c r="Y34" s="2" t="s">
        <v>318</v>
      </c>
      <c r="Z34" s="2" t="s">
        <v>522</v>
      </c>
      <c r="AA34" s="2">
        <v>5</v>
      </c>
      <c r="AB34" s="2" t="s">
        <v>75</v>
      </c>
      <c r="AC34" s="2" t="s">
        <v>523</v>
      </c>
      <c r="AD34" s="3">
        <v>44561</v>
      </c>
      <c r="AE34" s="2" t="s">
        <v>77</v>
      </c>
      <c r="AF34" s="2">
        <v>3400000</v>
      </c>
      <c r="AG34" s="2">
        <v>51000</v>
      </c>
      <c r="AH34" s="2" t="s">
        <v>524</v>
      </c>
      <c r="AI34" s="2">
        <v>54188</v>
      </c>
      <c r="AJ34" s="11">
        <v>3188</v>
      </c>
      <c r="AK34" s="11" t="s">
        <v>525</v>
      </c>
    </row>
    <row r="35" spans="1:37">
      <c r="A35" s="10">
        <v>34</v>
      </c>
      <c r="B35" s="2" t="s">
        <v>37</v>
      </c>
      <c r="C35" s="2" t="s">
        <v>526</v>
      </c>
      <c r="D35" s="2" t="s">
        <v>39</v>
      </c>
      <c r="E35" s="2" t="s">
        <v>40</v>
      </c>
      <c r="F35" s="2" t="s">
        <v>527</v>
      </c>
      <c r="G35" s="2" t="s">
        <v>276</v>
      </c>
      <c r="H35" s="2" t="s">
        <v>528</v>
      </c>
      <c r="I35" s="2" t="s">
        <v>529</v>
      </c>
      <c r="J35" s="2" t="s">
        <v>529</v>
      </c>
      <c r="K35" s="2" t="s">
        <v>529</v>
      </c>
      <c r="L35" s="2" t="s">
        <v>530</v>
      </c>
      <c r="M35" s="2">
        <v>2407200</v>
      </c>
      <c r="N35" s="2">
        <v>4012000</v>
      </c>
      <c r="O35" s="2" t="s">
        <v>531</v>
      </c>
      <c r="P35" s="3">
        <v>45656</v>
      </c>
      <c r="Q35" s="2" t="s">
        <v>532</v>
      </c>
      <c r="R35" s="2" t="s">
        <v>533</v>
      </c>
      <c r="S35" s="2" t="s">
        <v>50</v>
      </c>
      <c r="T35" s="2" t="s">
        <v>534</v>
      </c>
      <c r="U35" s="2" t="s">
        <v>535</v>
      </c>
      <c r="V35" s="2" t="s">
        <v>286</v>
      </c>
      <c r="W35" s="3">
        <v>44449</v>
      </c>
      <c r="X35" s="2" t="s">
        <v>73</v>
      </c>
      <c r="Y35" s="2" t="s">
        <v>318</v>
      </c>
      <c r="Z35" s="2" t="s">
        <v>536</v>
      </c>
      <c r="AA35" s="2">
        <v>5</v>
      </c>
      <c r="AB35" s="2" t="s">
        <v>90</v>
      </c>
      <c r="AC35" s="2" t="s">
        <v>537</v>
      </c>
      <c r="AD35" s="3">
        <v>44561</v>
      </c>
      <c r="AE35" s="2" t="s">
        <v>58</v>
      </c>
      <c r="AF35" s="2">
        <v>3209600</v>
      </c>
      <c r="AG35" s="2">
        <v>64192</v>
      </c>
      <c r="AH35" s="2" t="s">
        <v>538</v>
      </c>
      <c r="AI35" s="2">
        <v>68204</v>
      </c>
      <c r="AJ35" s="11">
        <v>4012</v>
      </c>
      <c r="AK35" s="11" t="s">
        <v>539</v>
      </c>
    </row>
    <row r="36" spans="1:37">
      <c r="A36" s="10">
        <v>35</v>
      </c>
      <c r="B36" s="2" t="s">
        <v>37</v>
      </c>
      <c r="C36" s="2" t="s">
        <v>540</v>
      </c>
      <c r="D36" s="2" t="s">
        <v>39</v>
      </c>
      <c r="E36" s="2" t="s">
        <v>40</v>
      </c>
      <c r="F36" s="2" t="s">
        <v>541</v>
      </c>
      <c r="G36" s="2" t="s">
        <v>276</v>
      </c>
      <c r="H36" s="2" t="s">
        <v>542</v>
      </c>
      <c r="I36" s="2" t="s">
        <v>543</v>
      </c>
      <c r="J36" s="2" t="s">
        <v>543</v>
      </c>
      <c r="K36" s="2" t="s">
        <v>543</v>
      </c>
      <c r="L36" s="2" t="s">
        <v>544</v>
      </c>
      <c r="M36" s="2">
        <v>2380000</v>
      </c>
      <c r="N36" s="2">
        <v>3400000</v>
      </c>
      <c r="O36" s="2" t="s">
        <v>545</v>
      </c>
      <c r="P36" s="3">
        <v>45656</v>
      </c>
      <c r="Q36" s="2" t="s">
        <v>546</v>
      </c>
      <c r="R36" s="2" t="s">
        <v>547</v>
      </c>
      <c r="S36" s="2" t="s">
        <v>69</v>
      </c>
      <c r="T36" s="2" t="s">
        <v>548</v>
      </c>
      <c r="U36" s="2" t="s">
        <v>549</v>
      </c>
      <c r="V36" s="2" t="s">
        <v>336</v>
      </c>
      <c r="W36" s="3">
        <v>44565</v>
      </c>
      <c r="X36" s="2" t="s">
        <v>73</v>
      </c>
      <c r="Y36" s="2" t="s">
        <v>318</v>
      </c>
      <c r="Z36" s="2" t="s">
        <v>550</v>
      </c>
      <c r="AA36" s="2">
        <v>5</v>
      </c>
      <c r="AB36" s="2" t="s">
        <v>90</v>
      </c>
      <c r="AC36" s="2" t="s">
        <v>551</v>
      </c>
      <c r="AD36" s="3">
        <v>44561</v>
      </c>
      <c r="AE36" s="2" t="s">
        <v>77</v>
      </c>
      <c r="AF36" s="2">
        <v>2720000</v>
      </c>
      <c r="AG36" s="2">
        <v>40800</v>
      </c>
      <c r="AH36" s="2" t="s">
        <v>552</v>
      </c>
      <c r="AI36" s="2">
        <v>43350</v>
      </c>
      <c r="AJ36" s="11">
        <v>2550</v>
      </c>
      <c r="AK36" s="11" t="s">
        <v>553</v>
      </c>
    </row>
    <row r="37" spans="1:37">
      <c r="A37" s="10">
        <v>36</v>
      </c>
      <c r="B37" s="2" t="s">
        <v>37</v>
      </c>
      <c r="C37" s="2" t="s">
        <v>554</v>
      </c>
      <c r="D37" s="2" t="s">
        <v>39</v>
      </c>
      <c r="E37" s="2" t="s">
        <v>40</v>
      </c>
      <c r="F37" s="2" t="s">
        <v>555</v>
      </c>
      <c r="G37" s="2" t="s">
        <v>497</v>
      </c>
      <c r="H37" s="2" t="s">
        <v>556</v>
      </c>
      <c r="I37" s="2" t="s">
        <v>557</v>
      </c>
      <c r="J37" s="2" t="s">
        <v>557</v>
      </c>
      <c r="K37" s="2" t="s">
        <v>557</v>
      </c>
      <c r="L37" s="2" t="s">
        <v>558</v>
      </c>
      <c r="M37" s="2">
        <v>2100000</v>
      </c>
      <c r="N37" s="2">
        <v>3000000</v>
      </c>
      <c r="O37" s="2" t="s">
        <v>559</v>
      </c>
      <c r="P37" s="3">
        <v>45656</v>
      </c>
      <c r="Q37" s="2" t="s">
        <v>560</v>
      </c>
      <c r="R37" s="2" t="s">
        <v>561</v>
      </c>
      <c r="S37" s="2" t="s">
        <v>69</v>
      </c>
      <c r="T37" s="2" t="s">
        <v>562</v>
      </c>
      <c r="U37" s="2" t="s">
        <v>563</v>
      </c>
      <c r="V37" s="2" t="s">
        <v>391</v>
      </c>
      <c r="W37" s="3">
        <v>44561</v>
      </c>
      <c r="X37" s="2" t="s">
        <v>88</v>
      </c>
      <c r="Y37" s="2" t="s">
        <v>392</v>
      </c>
      <c r="Z37" s="2" t="s">
        <v>564</v>
      </c>
      <c r="AA37" s="2">
        <v>5</v>
      </c>
      <c r="AB37" s="2" t="s">
        <v>75</v>
      </c>
      <c r="AC37" s="2" t="s">
        <v>565</v>
      </c>
      <c r="AD37" s="3">
        <v>44561</v>
      </c>
      <c r="AE37" s="2" t="s">
        <v>77</v>
      </c>
      <c r="AF37" s="2">
        <v>2400000</v>
      </c>
      <c r="AG37" s="2">
        <v>36000</v>
      </c>
      <c r="AH37" s="2" t="s">
        <v>566</v>
      </c>
      <c r="AI37" s="2">
        <v>38250</v>
      </c>
      <c r="AJ37" s="11">
        <v>2250</v>
      </c>
      <c r="AK37" s="11" t="s">
        <v>567</v>
      </c>
    </row>
    <row r="38" spans="1:37" hidden="1">
      <c r="A38" s="10">
        <v>37</v>
      </c>
      <c r="B38" s="2" t="s">
        <v>37</v>
      </c>
      <c r="C38" s="2" t="s">
        <v>568</v>
      </c>
      <c r="D38" s="2" t="s">
        <v>39</v>
      </c>
      <c r="E38" s="2" t="s">
        <v>40</v>
      </c>
      <c r="F38" s="2" t="s">
        <v>569</v>
      </c>
      <c r="G38" s="2" t="s">
        <v>42</v>
      </c>
      <c r="H38" s="2" t="s">
        <v>570</v>
      </c>
      <c r="I38" s="2" t="s">
        <v>571</v>
      </c>
      <c r="J38" s="2" t="s">
        <v>572</v>
      </c>
      <c r="K38" s="2" t="s">
        <v>571</v>
      </c>
      <c r="L38" s="2" t="s">
        <v>573</v>
      </c>
      <c r="M38" s="2">
        <v>1890000</v>
      </c>
      <c r="N38" s="2">
        <v>3000000</v>
      </c>
      <c r="O38" s="2" t="s">
        <v>574</v>
      </c>
      <c r="P38" s="3">
        <v>45778</v>
      </c>
      <c r="Q38" s="2" t="s">
        <v>575</v>
      </c>
      <c r="R38" s="2" t="s">
        <v>576</v>
      </c>
      <c r="S38" s="2" t="s">
        <v>69</v>
      </c>
      <c r="T38" s="2" t="s">
        <v>577</v>
      </c>
      <c r="U38" s="2" t="s">
        <v>578</v>
      </c>
      <c r="V38" s="2" t="s">
        <v>300</v>
      </c>
      <c r="W38" s="3">
        <v>45170</v>
      </c>
      <c r="X38" s="2" t="s">
        <v>54</v>
      </c>
      <c r="Y38" s="3">
        <v>46033</v>
      </c>
      <c r="Z38" s="2" t="s">
        <v>579</v>
      </c>
      <c r="AA38" s="2">
        <v>3</v>
      </c>
      <c r="AB38" s="2" t="s">
        <v>75</v>
      </c>
      <c r="AC38" s="2" t="s">
        <v>580</v>
      </c>
      <c r="AD38" s="3">
        <v>44932</v>
      </c>
      <c r="AE38" s="2" t="s">
        <v>108</v>
      </c>
      <c r="AF38" s="2">
        <v>2550000</v>
      </c>
      <c r="AG38" s="2">
        <v>44625</v>
      </c>
      <c r="AH38" s="2" t="s">
        <v>581</v>
      </c>
      <c r="AI38" s="2">
        <v>44625</v>
      </c>
      <c r="AJ38" s="11">
        <v>0</v>
      </c>
      <c r="AK38" s="11"/>
    </row>
    <row r="39" spans="1:37">
      <c r="A39" s="10">
        <v>38</v>
      </c>
      <c r="B39" s="2" t="s">
        <v>37</v>
      </c>
      <c r="C39" s="2" t="s">
        <v>582</v>
      </c>
      <c r="D39" s="2" t="s">
        <v>39</v>
      </c>
      <c r="E39" s="2" t="s">
        <v>40</v>
      </c>
      <c r="F39" s="2" t="s">
        <v>583</v>
      </c>
      <c r="G39" s="2" t="s">
        <v>584</v>
      </c>
      <c r="H39" s="2" t="s">
        <v>585</v>
      </c>
      <c r="I39" s="2" t="s">
        <v>586</v>
      </c>
      <c r="J39" s="2" t="s">
        <v>51</v>
      </c>
      <c r="K39" s="2" t="s">
        <v>328</v>
      </c>
      <c r="L39" s="2" t="s">
        <v>587</v>
      </c>
      <c r="M39" s="2">
        <v>2054000</v>
      </c>
      <c r="N39" s="2">
        <v>2933000</v>
      </c>
      <c r="O39" s="2" t="s">
        <v>588</v>
      </c>
      <c r="P39" s="3">
        <v>45656</v>
      </c>
      <c r="Q39" s="2" t="s">
        <v>589</v>
      </c>
      <c r="R39" s="2" t="s">
        <v>590</v>
      </c>
      <c r="S39" s="2" t="s">
        <v>50</v>
      </c>
      <c r="T39" s="2" t="s">
        <v>51</v>
      </c>
      <c r="U39" s="2" t="s">
        <v>591</v>
      </c>
      <c r="V39" s="2" t="s">
        <v>286</v>
      </c>
      <c r="W39" s="3">
        <v>44561</v>
      </c>
      <c r="X39" s="2" t="s">
        <v>88</v>
      </c>
      <c r="Y39" s="2" t="s">
        <v>392</v>
      </c>
      <c r="Z39" s="2" t="s">
        <v>592</v>
      </c>
      <c r="AA39" s="2">
        <v>5</v>
      </c>
      <c r="AB39" s="2" t="s">
        <v>90</v>
      </c>
      <c r="AC39" s="2" t="s">
        <v>593</v>
      </c>
      <c r="AD39" s="3">
        <v>44561</v>
      </c>
      <c r="AE39" s="2" t="s">
        <v>58</v>
      </c>
      <c r="AF39" s="2">
        <v>2346400</v>
      </c>
      <c r="AG39" s="2">
        <v>46928</v>
      </c>
      <c r="AH39" s="2" t="s">
        <v>594</v>
      </c>
      <c r="AI39" s="2">
        <v>49861</v>
      </c>
      <c r="AJ39" s="11">
        <v>2933</v>
      </c>
      <c r="AK39" s="11" t="s">
        <v>595</v>
      </c>
    </row>
    <row r="40" spans="1:37" hidden="1">
      <c r="A40" s="10">
        <v>39</v>
      </c>
      <c r="B40" s="2" t="s">
        <v>37</v>
      </c>
      <c r="C40" s="2" t="s">
        <v>596</v>
      </c>
      <c r="D40" s="2" t="s">
        <v>39</v>
      </c>
      <c r="E40" s="2" t="s">
        <v>40</v>
      </c>
      <c r="F40" s="2" t="s">
        <v>597</v>
      </c>
      <c r="G40" s="2" t="s">
        <v>112</v>
      </c>
      <c r="H40" s="2" t="s">
        <v>598</v>
      </c>
      <c r="I40" s="2" t="s">
        <v>599</v>
      </c>
      <c r="J40" s="2" t="s">
        <v>600</v>
      </c>
      <c r="K40" s="2" t="s">
        <v>51</v>
      </c>
      <c r="L40" s="2" t="s">
        <v>601</v>
      </c>
      <c r="M40" s="2">
        <v>1383200</v>
      </c>
      <c r="N40" s="2">
        <v>1976000</v>
      </c>
      <c r="O40" s="2" t="s">
        <v>602</v>
      </c>
      <c r="P40" s="3">
        <v>45778</v>
      </c>
      <c r="Q40" s="2" t="s">
        <v>603</v>
      </c>
      <c r="R40" s="2" t="s">
        <v>604</v>
      </c>
      <c r="S40" s="2" t="s">
        <v>50</v>
      </c>
      <c r="T40" s="2" t="s">
        <v>51</v>
      </c>
      <c r="U40" s="2" t="s">
        <v>120</v>
      </c>
      <c r="V40" s="2" t="s">
        <v>53</v>
      </c>
      <c r="W40" s="3">
        <v>44883</v>
      </c>
      <c r="X40" s="2" t="s">
        <v>54</v>
      </c>
      <c r="Y40" s="3">
        <v>46763</v>
      </c>
      <c r="Z40" s="2" t="s">
        <v>605</v>
      </c>
      <c r="AA40" s="2">
        <v>5</v>
      </c>
      <c r="AB40" s="2" t="s">
        <v>56</v>
      </c>
      <c r="AC40" s="2" t="s">
        <v>606</v>
      </c>
      <c r="AD40" s="3">
        <v>44932</v>
      </c>
      <c r="AE40" s="2" t="s">
        <v>58</v>
      </c>
      <c r="AF40" s="2">
        <v>1679600</v>
      </c>
      <c r="AG40" s="2">
        <v>33592</v>
      </c>
      <c r="AH40" s="2" t="s">
        <v>607</v>
      </c>
      <c r="AI40" s="2">
        <v>33592</v>
      </c>
      <c r="AJ40" s="11">
        <v>0</v>
      </c>
      <c r="AK40" s="11"/>
    </row>
    <row r="41" spans="1:37">
      <c r="A41" s="10">
        <v>40</v>
      </c>
      <c r="B41" s="2" t="s">
        <v>37</v>
      </c>
      <c r="C41" s="2" t="s">
        <v>608</v>
      </c>
      <c r="D41" s="2" t="s">
        <v>39</v>
      </c>
      <c r="E41" s="2" t="s">
        <v>40</v>
      </c>
      <c r="F41" s="2" t="s">
        <v>609</v>
      </c>
      <c r="G41" s="2" t="s">
        <v>42</v>
      </c>
      <c r="H41" s="2" t="s">
        <v>610</v>
      </c>
      <c r="I41" s="2" t="s">
        <v>611</v>
      </c>
      <c r="J41" s="2" t="s">
        <v>612</v>
      </c>
      <c r="K41" s="2" t="s">
        <v>611</v>
      </c>
      <c r="L41" s="2" t="s">
        <v>613</v>
      </c>
      <c r="M41" s="2">
        <v>1872000</v>
      </c>
      <c r="N41" s="2">
        <v>2880000</v>
      </c>
      <c r="O41" s="2" t="s">
        <v>614</v>
      </c>
      <c r="P41" s="3">
        <v>45656</v>
      </c>
      <c r="Q41" s="2" t="s">
        <v>615</v>
      </c>
      <c r="R41" s="2" t="s">
        <v>616</v>
      </c>
      <c r="S41" s="2" t="s">
        <v>69</v>
      </c>
      <c r="T41" s="2" t="s">
        <v>617</v>
      </c>
      <c r="U41" s="2" t="s">
        <v>618</v>
      </c>
      <c r="V41" s="2" t="s">
        <v>286</v>
      </c>
      <c r="W41" s="3">
        <v>44565</v>
      </c>
      <c r="X41" s="2" t="s">
        <v>73</v>
      </c>
      <c r="Y41" s="2" t="s">
        <v>318</v>
      </c>
      <c r="Z41" s="2" t="s">
        <v>619</v>
      </c>
      <c r="AA41" s="2">
        <v>5</v>
      </c>
      <c r="AB41" s="2" t="s">
        <v>90</v>
      </c>
      <c r="AC41" s="2" t="s">
        <v>620</v>
      </c>
      <c r="AD41" s="3">
        <v>44561</v>
      </c>
      <c r="AE41" s="2" t="s">
        <v>77</v>
      </c>
      <c r="AF41" s="2">
        <v>2304000</v>
      </c>
      <c r="AG41" s="2">
        <v>34560</v>
      </c>
      <c r="AH41" s="2" t="s">
        <v>621</v>
      </c>
      <c r="AI41" s="2">
        <v>36720</v>
      </c>
      <c r="AJ41" s="11">
        <v>2160</v>
      </c>
      <c r="AK41" s="11" t="s">
        <v>622</v>
      </c>
    </row>
    <row r="42" spans="1:37" hidden="1">
      <c r="A42" s="10">
        <v>41</v>
      </c>
      <c r="B42" s="2" t="s">
        <v>37</v>
      </c>
      <c r="C42" s="2" t="s">
        <v>623</v>
      </c>
      <c r="D42" s="2" t="s">
        <v>39</v>
      </c>
      <c r="E42" s="2" t="s">
        <v>40</v>
      </c>
      <c r="F42" s="2" t="s">
        <v>624</v>
      </c>
      <c r="G42" s="2" t="s">
        <v>62</v>
      </c>
      <c r="H42" s="2" t="s">
        <v>625</v>
      </c>
      <c r="I42" s="2" t="s">
        <v>626</v>
      </c>
      <c r="J42" s="2" t="s">
        <v>626</v>
      </c>
      <c r="K42" s="2" t="s">
        <v>626</v>
      </c>
      <c r="L42" s="2" t="s">
        <v>627</v>
      </c>
      <c r="M42" s="2">
        <v>2124600</v>
      </c>
      <c r="N42" s="2">
        <v>3541000</v>
      </c>
      <c r="O42" s="2" t="s">
        <v>628</v>
      </c>
      <c r="P42" s="3">
        <v>45778</v>
      </c>
      <c r="Q42" s="2" t="s">
        <v>629</v>
      </c>
      <c r="R42" s="2" t="s">
        <v>630</v>
      </c>
      <c r="S42" s="2" t="s">
        <v>50</v>
      </c>
      <c r="T42" s="2" t="s">
        <v>51</v>
      </c>
      <c r="U42" s="2" t="s">
        <v>563</v>
      </c>
      <c r="V42" s="2" t="s">
        <v>53</v>
      </c>
      <c r="W42" s="3">
        <v>44636</v>
      </c>
      <c r="X42" s="2" t="s">
        <v>54</v>
      </c>
      <c r="Y42" s="3">
        <v>46033</v>
      </c>
      <c r="Z42" s="2" t="s">
        <v>631</v>
      </c>
      <c r="AA42" s="2">
        <v>3</v>
      </c>
      <c r="AB42" s="2" t="s">
        <v>90</v>
      </c>
      <c r="AC42" s="2" t="s">
        <v>632</v>
      </c>
      <c r="AD42" s="3">
        <v>44930</v>
      </c>
      <c r="AE42" s="2" t="s">
        <v>58</v>
      </c>
      <c r="AF42" s="2">
        <v>3009850</v>
      </c>
      <c r="AG42" s="2">
        <v>60197</v>
      </c>
      <c r="AH42" s="2" t="s">
        <v>633</v>
      </c>
      <c r="AI42" s="2">
        <v>60197</v>
      </c>
      <c r="AJ42" s="11">
        <v>0</v>
      </c>
      <c r="AK42" s="11"/>
    </row>
    <row r="43" spans="1:37">
      <c r="A43" s="10">
        <v>42</v>
      </c>
      <c r="B43" s="2" t="s">
        <v>37</v>
      </c>
      <c r="C43" s="2" t="s">
        <v>634</v>
      </c>
      <c r="D43" s="2" t="s">
        <v>39</v>
      </c>
      <c r="E43" s="2" t="s">
        <v>40</v>
      </c>
      <c r="F43" s="2" t="s">
        <v>635</v>
      </c>
      <c r="G43" s="2" t="s">
        <v>276</v>
      </c>
      <c r="H43" s="2" t="s">
        <v>636</v>
      </c>
      <c r="I43" s="2" t="s">
        <v>637</v>
      </c>
      <c r="J43" s="2" t="s">
        <v>637</v>
      </c>
      <c r="K43" s="2" t="s">
        <v>637</v>
      </c>
      <c r="L43" s="2" t="s">
        <v>638</v>
      </c>
      <c r="M43" s="2">
        <v>1828750</v>
      </c>
      <c r="N43" s="2">
        <v>3325000</v>
      </c>
      <c r="O43" s="2" t="s">
        <v>639</v>
      </c>
      <c r="P43" s="3">
        <v>45656</v>
      </c>
      <c r="Q43" s="2" t="s">
        <v>640</v>
      </c>
      <c r="R43" s="2" t="s">
        <v>641</v>
      </c>
      <c r="S43" s="2" t="s">
        <v>69</v>
      </c>
      <c r="T43" s="2" t="s">
        <v>642</v>
      </c>
      <c r="U43" s="2" t="s">
        <v>535</v>
      </c>
      <c r="V43" s="2" t="s">
        <v>336</v>
      </c>
      <c r="W43" s="3">
        <v>44561</v>
      </c>
      <c r="X43" s="2" t="s">
        <v>88</v>
      </c>
      <c r="Y43" s="2" t="s">
        <v>392</v>
      </c>
      <c r="Z43" s="2" t="s">
        <v>643</v>
      </c>
      <c r="AA43" s="2">
        <v>5</v>
      </c>
      <c r="AB43" s="2" t="s">
        <v>90</v>
      </c>
      <c r="AC43" s="2" t="s">
        <v>644</v>
      </c>
      <c r="AD43" s="3">
        <v>44561</v>
      </c>
      <c r="AE43" s="2" t="s">
        <v>77</v>
      </c>
      <c r="AF43" s="2">
        <v>2660000</v>
      </c>
      <c r="AG43" s="2">
        <v>39900</v>
      </c>
      <c r="AH43" s="2" t="s">
        <v>645</v>
      </c>
      <c r="AI43" s="2">
        <v>42394</v>
      </c>
      <c r="AJ43" s="11">
        <v>2494</v>
      </c>
      <c r="AK43" s="11" t="s">
        <v>646</v>
      </c>
    </row>
    <row r="44" spans="1:37" hidden="1">
      <c r="A44" s="10">
        <v>43</v>
      </c>
      <c r="B44" s="2" t="s">
        <v>37</v>
      </c>
      <c r="C44" s="2" t="s">
        <v>647</v>
      </c>
      <c r="D44" s="2" t="s">
        <v>39</v>
      </c>
      <c r="E44" s="2" t="s">
        <v>40</v>
      </c>
      <c r="F44" s="2" t="s">
        <v>94</v>
      </c>
      <c r="G44" s="2" t="s">
        <v>648</v>
      </c>
      <c r="H44" s="2" t="s">
        <v>649</v>
      </c>
      <c r="I44" s="2" t="s">
        <v>650</v>
      </c>
      <c r="J44" s="2" t="s">
        <v>650</v>
      </c>
      <c r="K44" s="2" t="s">
        <v>651</v>
      </c>
      <c r="L44" s="2" t="s">
        <v>652</v>
      </c>
      <c r="M44" s="2">
        <v>1020000</v>
      </c>
      <c r="N44" s="2">
        <v>1700000</v>
      </c>
      <c r="O44" s="2" t="s">
        <v>653</v>
      </c>
      <c r="P44" s="3">
        <v>45778</v>
      </c>
      <c r="Q44" s="2" t="s">
        <v>654</v>
      </c>
      <c r="R44" s="2" t="s">
        <v>655</v>
      </c>
      <c r="S44" s="2" t="s">
        <v>69</v>
      </c>
      <c r="T44" s="2" t="s">
        <v>656</v>
      </c>
      <c r="U44" s="2" t="s">
        <v>657</v>
      </c>
      <c r="V44" s="2" t="s">
        <v>300</v>
      </c>
      <c r="W44" s="3">
        <v>44835</v>
      </c>
      <c r="X44" s="2" t="s">
        <v>73</v>
      </c>
      <c r="Y44" s="3">
        <v>46398</v>
      </c>
      <c r="Z44" s="2" t="s">
        <v>658</v>
      </c>
      <c r="AA44" s="2">
        <v>5</v>
      </c>
      <c r="AB44" s="2" t="s">
        <v>75</v>
      </c>
      <c r="AC44" s="2" t="s">
        <v>659</v>
      </c>
      <c r="AD44" s="3">
        <v>44567</v>
      </c>
      <c r="AE44" s="2" t="s">
        <v>77</v>
      </c>
      <c r="AF44" s="2">
        <v>1360000</v>
      </c>
      <c r="AG44" s="2">
        <v>20400</v>
      </c>
      <c r="AH44" s="2" t="s">
        <v>660</v>
      </c>
      <c r="AI44" s="2">
        <v>20400</v>
      </c>
      <c r="AJ44" s="11">
        <v>0</v>
      </c>
      <c r="AK44" s="11"/>
    </row>
    <row r="45" spans="1:37">
      <c r="A45" s="10">
        <v>44</v>
      </c>
      <c r="B45" s="2" t="s">
        <v>37</v>
      </c>
      <c r="C45" s="2" t="s">
        <v>661</v>
      </c>
      <c r="D45" s="2" t="s">
        <v>39</v>
      </c>
      <c r="E45" s="2" t="s">
        <v>40</v>
      </c>
      <c r="F45" s="2" t="s">
        <v>662</v>
      </c>
      <c r="G45" s="2" t="s">
        <v>112</v>
      </c>
      <c r="H45" s="2" t="s">
        <v>663</v>
      </c>
      <c r="I45" s="2" t="s">
        <v>51</v>
      </c>
      <c r="J45" s="2" t="s">
        <v>664</v>
      </c>
      <c r="K45" s="2" t="s">
        <v>51</v>
      </c>
      <c r="L45" s="2" t="s">
        <v>665</v>
      </c>
      <c r="M45" s="2">
        <v>1812300</v>
      </c>
      <c r="N45" s="2">
        <v>2589000</v>
      </c>
      <c r="O45" s="2" t="s">
        <v>666</v>
      </c>
      <c r="P45" s="3">
        <v>45656</v>
      </c>
      <c r="Q45" s="2" t="s">
        <v>667</v>
      </c>
      <c r="R45" s="2" t="s">
        <v>668</v>
      </c>
      <c r="S45" s="2" t="s">
        <v>50</v>
      </c>
      <c r="T45" s="2" t="s">
        <v>51</v>
      </c>
      <c r="U45" s="2" t="s">
        <v>669</v>
      </c>
      <c r="V45" s="2" t="s">
        <v>286</v>
      </c>
      <c r="W45" s="3">
        <v>44565</v>
      </c>
      <c r="X45" s="2" t="s">
        <v>73</v>
      </c>
      <c r="Y45" s="2" t="s">
        <v>318</v>
      </c>
      <c r="Z45" s="2" t="s">
        <v>670</v>
      </c>
      <c r="AA45" s="2">
        <v>5</v>
      </c>
      <c r="AB45" s="2" t="s">
        <v>75</v>
      </c>
      <c r="AC45" s="2" t="s">
        <v>671</v>
      </c>
      <c r="AD45" s="3">
        <v>44561</v>
      </c>
      <c r="AE45" s="2" t="s">
        <v>58</v>
      </c>
      <c r="AF45" s="2">
        <v>2071200</v>
      </c>
      <c r="AG45" s="2">
        <v>41424</v>
      </c>
      <c r="AH45" s="2" t="s">
        <v>672</v>
      </c>
      <c r="AI45" s="2">
        <v>44013</v>
      </c>
      <c r="AJ45" s="11">
        <v>2589</v>
      </c>
      <c r="AK45" s="11" t="s">
        <v>673</v>
      </c>
    </row>
    <row r="46" spans="1:37">
      <c r="A46" s="10">
        <v>45</v>
      </c>
      <c r="B46" s="2" t="s">
        <v>37</v>
      </c>
      <c r="C46" s="2" t="s">
        <v>674</v>
      </c>
      <c r="D46" s="2" t="s">
        <v>39</v>
      </c>
      <c r="E46" s="2" t="s">
        <v>40</v>
      </c>
      <c r="F46" s="2" t="s">
        <v>675</v>
      </c>
      <c r="G46" s="2" t="s">
        <v>112</v>
      </c>
      <c r="H46" s="2" t="s">
        <v>676</v>
      </c>
      <c r="I46" s="2" t="s">
        <v>677</v>
      </c>
      <c r="J46" s="2" t="s">
        <v>51</v>
      </c>
      <c r="K46" s="2" t="s">
        <v>677</v>
      </c>
      <c r="L46" s="2" t="s">
        <v>678</v>
      </c>
      <c r="M46" s="2">
        <v>1987500</v>
      </c>
      <c r="N46" s="2">
        <v>2650000</v>
      </c>
      <c r="O46" s="2" t="s">
        <v>679</v>
      </c>
      <c r="P46" s="3">
        <v>45656</v>
      </c>
      <c r="Q46" s="2" t="s">
        <v>680</v>
      </c>
      <c r="R46" s="2" t="s">
        <v>681</v>
      </c>
      <c r="S46" s="2" t="s">
        <v>69</v>
      </c>
      <c r="T46" s="2" t="s">
        <v>682</v>
      </c>
      <c r="U46" s="2" t="s">
        <v>683</v>
      </c>
      <c r="V46" s="2" t="s">
        <v>365</v>
      </c>
      <c r="W46" s="3">
        <v>44196</v>
      </c>
      <c r="X46" s="2" t="s">
        <v>337</v>
      </c>
      <c r="Y46" s="2" t="s">
        <v>338</v>
      </c>
      <c r="Z46" s="2" t="s">
        <v>684</v>
      </c>
      <c r="AA46" s="2">
        <v>5</v>
      </c>
      <c r="AB46" s="2" t="s">
        <v>90</v>
      </c>
      <c r="AC46" s="2" t="s">
        <v>685</v>
      </c>
      <c r="AD46" s="3">
        <v>44196</v>
      </c>
      <c r="AE46" s="2" t="s">
        <v>58</v>
      </c>
      <c r="AF46" s="2">
        <v>1987500</v>
      </c>
      <c r="AG46" s="2">
        <v>39750</v>
      </c>
      <c r="AH46" s="2" t="s">
        <v>686</v>
      </c>
      <c r="AI46" s="2">
        <v>42400</v>
      </c>
      <c r="AJ46" s="11">
        <v>2650</v>
      </c>
      <c r="AK46" s="11" t="s">
        <v>687</v>
      </c>
    </row>
    <row r="47" spans="1:37">
      <c r="A47" s="10">
        <v>46</v>
      </c>
      <c r="B47" s="2" t="s">
        <v>37</v>
      </c>
      <c r="C47" s="2" t="s">
        <v>688</v>
      </c>
      <c r="D47" s="2" t="s">
        <v>39</v>
      </c>
      <c r="E47" s="2" t="s">
        <v>40</v>
      </c>
      <c r="F47" s="2" t="s">
        <v>689</v>
      </c>
      <c r="G47" s="2" t="s">
        <v>62</v>
      </c>
      <c r="H47" s="2" t="s">
        <v>690</v>
      </c>
      <c r="I47" s="2" t="s">
        <v>691</v>
      </c>
      <c r="J47" s="2" t="s">
        <v>691</v>
      </c>
      <c r="K47" s="2" t="s">
        <v>691</v>
      </c>
      <c r="L47" s="2" t="s">
        <v>692</v>
      </c>
      <c r="M47" s="2">
        <v>1575000</v>
      </c>
      <c r="N47" s="2">
        <v>2250000</v>
      </c>
      <c r="O47" s="2" t="s">
        <v>693</v>
      </c>
      <c r="P47" s="3">
        <v>45656</v>
      </c>
      <c r="Q47" s="2" t="s">
        <v>694</v>
      </c>
      <c r="R47" s="2" t="s">
        <v>695</v>
      </c>
      <c r="S47" s="2" t="s">
        <v>69</v>
      </c>
      <c r="T47" s="2" t="s">
        <v>696</v>
      </c>
      <c r="U47" s="2" t="s">
        <v>697</v>
      </c>
      <c r="V47" s="2" t="s">
        <v>391</v>
      </c>
      <c r="W47" s="3">
        <v>44561</v>
      </c>
      <c r="X47" s="2" t="s">
        <v>88</v>
      </c>
      <c r="Y47" s="2" t="s">
        <v>392</v>
      </c>
      <c r="Z47" s="2" t="s">
        <v>698</v>
      </c>
      <c r="AA47" s="2">
        <v>5</v>
      </c>
      <c r="AB47" s="2" t="s">
        <v>90</v>
      </c>
      <c r="AC47" s="2" t="s">
        <v>699</v>
      </c>
      <c r="AD47" s="3">
        <v>44561</v>
      </c>
      <c r="AE47" s="2" t="s">
        <v>77</v>
      </c>
      <c r="AF47" s="2">
        <v>1800000</v>
      </c>
      <c r="AG47" s="2">
        <v>27000</v>
      </c>
      <c r="AH47" s="2" t="s">
        <v>700</v>
      </c>
      <c r="AI47" s="2">
        <v>28688</v>
      </c>
      <c r="AJ47" s="11">
        <v>1688</v>
      </c>
      <c r="AK47" s="11" t="s">
        <v>701</v>
      </c>
    </row>
    <row r="48" spans="1:37">
      <c r="A48" s="10">
        <v>47</v>
      </c>
      <c r="B48" s="2" t="s">
        <v>37</v>
      </c>
      <c r="C48" s="2" t="s">
        <v>702</v>
      </c>
      <c r="D48" s="2" t="s">
        <v>39</v>
      </c>
      <c r="E48" s="2" t="s">
        <v>40</v>
      </c>
      <c r="F48" s="2" t="s">
        <v>703</v>
      </c>
      <c r="G48" s="2" t="s">
        <v>112</v>
      </c>
      <c r="H48" s="2" t="s">
        <v>704</v>
      </c>
      <c r="I48" s="2" t="s">
        <v>705</v>
      </c>
      <c r="J48" s="2" t="s">
        <v>51</v>
      </c>
      <c r="K48" s="2" t="s">
        <v>328</v>
      </c>
      <c r="L48" s="2" t="s">
        <v>706</v>
      </c>
      <c r="M48" s="2">
        <v>1875000</v>
      </c>
      <c r="N48" s="2">
        <v>2500000</v>
      </c>
      <c r="O48" s="2" t="s">
        <v>707</v>
      </c>
      <c r="P48" s="3">
        <v>45656</v>
      </c>
      <c r="Q48" s="2" t="s">
        <v>708</v>
      </c>
      <c r="R48" s="2" t="s">
        <v>709</v>
      </c>
      <c r="S48" s="2" t="s">
        <v>333</v>
      </c>
      <c r="T48" s="2" t="s">
        <v>51</v>
      </c>
      <c r="U48" s="2" t="s">
        <v>710</v>
      </c>
      <c r="V48" s="2" t="s">
        <v>391</v>
      </c>
      <c r="W48" s="3">
        <v>44196</v>
      </c>
      <c r="X48" s="2" t="s">
        <v>337</v>
      </c>
      <c r="Y48" s="2" t="s">
        <v>338</v>
      </c>
      <c r="Z48" s="2" t="s">
        <v>711</v>
      </c>
      <c r="AA48" s="2">
        <v>5</v>
      </c>
      <c r="AB48" s="2" t="s">
        <v>90</v>
      </c>
      <c r="AC48" s="2" t="s">
        <v>712</v>
      </c>
      <c r="AD48" s="3">
        <v>44196</v>
      </c>
      <c r="AE48" s="2" t="s">
        <v>58</v>
      </c>
      <c r="AF48" s="2">
        <v>1875000</v>
      </c>
      <c r="AG48" s="2">
        <v>37500</v>
      </c>
      <c r="AH48" s="2" t="s">
        <v>713</v>
      </c>
      <c r="AI48" s="2">
        <v>40000</v>
      </c>
      <c r="AJ48" s="11">
        <v>2500</v>
      </c>
      <c r="AK48" s="11" t="s">
        <v>714</v>
      </c>
    </row>
    <row r="49" spans="1:37">
      <c r="A49" s="10">
        <v>48</v>
      </c>
      <c r="B49" s="2" t="s">
        <v>37</v>
      </c>
      <c r="C49" s="2" t="s">
        <v>715</v>
      </c>
      <c r="D49" s="2" t="s">
        <v>39</v>
      </c>
      <c r="E49" s="2" t="s">
        <v>40</v>
      </c>
      <c r="F49" s="2" t="s">
        <v>716</v>
      </c>
      <c r="G49" s="2" t="s">
        <v>276</v>
      </c>
      <c r="H49" s="2" t="s">
        <v>717</v>
      </c>
      <c r="I49" s="2" t="s">
        <v>718</v>
      </c>
      <c r="J49" s="2" t="s">
        <v>718</v>
      </c>
      <c r="K49" s="2" t="s">
        <v>719</v>
      </c>
      <c r="L49" s="2" t="s">
        <v>720</v>
      </c>
      <c r="M49" s="2">
        <v>2018100</v>
      </c>
      <c r="N49" s="2">
        <v>2883000</v>
      </c>
      <c r="O49" s="2" t="s">
        <v>721</v>
      </c>
      <c r="P49" s="3">
        <v>45656</v>
      </c>
      <c r="Q49" s="2" t="s">
        <v>722</v>
      </c>
      <c r="R49" s="2" t="s">
        <v>723</v>
      </c>
      <c r="S49" s="2" t="s">
        <v>50</v>
      </c>
      <c r="T49" s="2" t="s">
        <v>724</v>
      </c>
      <c r="U49" s="2" t="s">
        <v>725</v>
      </c>
      <c r="V49" s="2" t="s">
        <v>300</v>
      </c>
      <c r="W49" s="3">
        <v>43830</v>
      </c>
      <c r="X49" s="2" t="s">
        <v>726</v>
      </c>
      <c r="Y49" s="2" t="s">
        <v>338</v>
      </c>
      <c r="Z49" s="2" t="s">
        <v>727</v>
      </c>
      <c r="AA49" s="2">
        <v>6</v>
      </c>
      <c r="AB49" s="2" t="s">
        <v>106</v>
      </c>
      <c r="AC49" s="2" t="s">
        <v>728</v>
      </c>
      <c r="AD49" s="3">
        <v>43830</v>
      </c>
      <c r="AE49" s="2" t="s">
        <v>729</v>
      </c>
      <c r="AF49" s="2">
        <v>2018099.9999999998</v>
      </c>
      <c r="AG49" s="2">
        <v>50453</v>
      </c>
      <c r="AH49" s="2" t="s">
        <v>730</v>
      </c>
      <c r="AI49" s="2">
        <v>54056</v>
      </c>
      <c r="AJ49" s="11">
        <v>3603</v>
      </c>
      <c r="AK49" s="11" t="s">
        <v>731</v>
      </c>
    </row>
    <row r="50" spans="1:37">
      <c r="A50" s="10">
        <v>49</v>
      </c>
      <c r="B50" s="2" t="s">
        <v>37</v>
      </c>
      <c r="C50" s="2" t="s">
        <v>732</v>
      </c>
      <c r="D50" s="2" t="s">
        <v>39</v>
      </c>
      <c r="E50" s="2" t="s">
        <v>40</v>
      </c>
      <c r="F50" s="2" t="s">
        <v>733</v>
      </c>
      <c r="G50" s="2" t="s">
        <v>62</v>
      </c>
      <c r="H50" s="2" t="s">
        <v>734</v>
      </c>
      <c r="I50" s="2" t="s">
        <v>51</v>
      </c>
      <c r="J50" s="2" t="s">
        <v>735</v>
      </c>
      <c r="K50" s="2" t="s">
        <v>51</v>
      </c>
      <c r="L50" s="2" t="s">
        <v>736</v>
      </c>
      <c r="M50" s="2">
        <v>1666500</v>
      </c>
      <c r="N50" s="2">
        <v>2525000</v>
      </c>
      <c r="O50" s="2" t="s">
        <v>737</v>
      </c>
      <c r="P50" s="3">
        <v>45656</v>
      </c>
      <c r="Q50" s="2" t="s">
        <v>738</v>
      </c>
      <c r="R50" s="2" t="s">
        <v>739</v>
      </c>
      <c r="S50" s="2" t="s">
        <v>69</v>
      </c>
      <c r="T50" s="2" t="s">
        <v>740</v>
      </c>
      <c r="U50" s="2" t="s">
        <v>741</v>
      </c>
      <c r="V50" s="2" t="s">
        <v>72</v>
      </c>
      <c r="W50" s="3">
        <v>44196</v>
      </c>
      <c r="X50" s="2" t="s">
        <v>337</v>
      </c>
      <c r="Y50" s="2" t="s">
        <v>338</v>
      </c>
      <c r="Z50" s="2" t="s">
        <v>742</v>
      </c>
      <c r="AA50" s="2">
        <v>5</v>
      </c>
      <c r="AB50" s="2" t="s">
        <v>106</v>
      </c>
      <c r="AC50" s="2" t="s">
        <v>743</v>
      </c>
      <c r="AD50" s="3">
        <v>44196</v>
      </c>
      <c r="AE50" s="2" t="s">
        <v>58</v>
      </c>
      <c r="AF50" s="2">
        <v>1893750</v>
      </c>
      <c r="AG50" s="2">
        <v>37875</v>
      </c>
      <c r="AH50" s="2" t="s">
        <v>744</v>
      </c>
      <c r="AI50" s="2">
        <v>40400</v>
      </c>
      <c r="AJ50" s="11">
        <v>2525</v>
      </c>
      <c r="AK50" s="11" t="s">
        <v>745</v>
      </c>
    </row>
    <row r="51" spans="1:37">
      <c r="A51" s="10">
        <v>50</v>
      </c>
      <c r="B51" s="2" t="s">
        <v>37</v>
      </c>
      <c r="C51" s="2" t="s">
        <v>746</v>
      </c>
      <c r="D51" s="2" t="s">
        <v>39</v>
      </c>
      <c r="E51" s="2" t="s">
        <v>40</v>
      </c>
      <c r="F51" s="2" t="s">
        <v>703</v>
      </c>
      <c r="G51" s="2" t="s">
        <v>42</v>
      </c>
      <c r="H51" s="2" t="s">
        <v>747</v>
      </c>
      <c r="I51" s="2" t="s">
        <v>748</v>
      </c>
      <c r="J51" s="2" t="s">
        <v>749</v>
      </c>
      <c r="K51" s="2" t="s">
        <v>748</v>
      </c>
      <c r="L51" s="2" t="s">
        <v>750</v>
      </c>
      <c r="M51" s="2">
        <v>1340000</v>
      </c>
      <c r="N51" s="2">
        <v>1675000</v>
      </c>
      <c r="O51" s="2" t="s">
        <v>751</v>
      </c>
      <c r="P51" s="3">
        <v>45656</v>
      </c>
      <c r="Q51" s="2" t="s">
        <v>752</v>
      </c>
      <c r="R51" s="2" t="s">
        <v>753</v>
      </c>
      <c r="S51" s="2" t="s">
        <v>69</v>
      </c>
      <c r="T51" s="2" t="s">
        <v>754</v>
      </c>
      <c r="U51" s="2" t="s">
        <v>253</v>
      </c>
      <c r="V51" s="2" t="s">
        <v>300</v>
      </c>
      <c r="W51" s="3">
        <v>44561</v>
      </c>
      <c r="X51" s="2" t="s">
        <v>88</v>
      </c>
      <c r="Y51" s="2" t="s">
        <v>392</v>
      </c>
      <c r="Z51" s="2" t="s">
        <v>755</v>
      </c>
      <c r="AA51" s="2">
        <v>5</v>
      </c>
      <c r="AB51" s="2" t="s">
        <v>90</v>
      </c>
      <c r="AC51" s="2" t="s">
        <v>756</v>
      </c>
      <c r="AD51" s="3">
        <v>44561</v>
      </c>
      <c r="AE51" s="2" t="s">
        <v>77</v>
      </c>
      <c r="AF51" s="2">
        <v>1340000</v>
      </c>
      <c r="AG51" s="2">
        <v>20100</v>
      </c>
      <c r="AH51" s="2" t="s">
        <v>757</v>
      </c>
      <c r="AI51" s="2">
        <v>21356</v>
      </c>
      <c r="AJ51" s="11">
        <v>1256</v>
      </c>
      <c r="AK51" s="11" t="s">
        <v>758</v>
      </c>
    </row>
    <row r="52" spans="1:37">
      <c r="A52" s="10">
        <v>51</v>
      </c>
      <c r="B52" s="2" t="s">
        <v>37</v>
      </c>
      <c r="C52" s="2" t="s">
        <v>759</v>
      </c>
      <c r="D52" s="2" t="s">
        <v>39</v>
      </c>
      <c r="E52" s="2" t="s">
        <v>40</v>
      </c>
      <c r="F52" s="2" t="s">
        <v>760</v>
      </c>
      <c r="G52" s="2" t="s">
        <v>42</v>
      </c>
      <c r="H52" s="2" t="s">
        <v>761</v>
      </c>
      <c r="I52" s="2" t="s">
        <v>51</v>
      </c>
      <c r="J52" s="2" t="s">
        <v>762</v>
      </c>
      <c r="K52" s="2" t="s">
        <v>51</v>
      </c>
      <c r="L52" s="2" t="s">
        <v>763</v>
      </c>
      <c r="M52" s="2">
        <v>1330000</v>
      </c>
      <c r="N52" s="2">
        <v>1900000</v>
      </c>
      <c r="O52" s="2" t="s">
        <v>764</v>
      </c>
      <c r="P52" s="3">
        <v>45656</v>
      </c>
      <c r="Q52" s="2" t="s">
        <v>765</v>
      </c>
      <c r="R52" s="2" t="s">
        <v>766</v>
      </c>
      <c r="S52" s="2" t="s">
        <v>69</v>
      </c>
      <c r="T52" s="2" t="s">
        <v>767</v>
      </c>
      <c r="U52" s="2" t="s">
        <v>657</v>
      </c>
      <c r="V52" s="2" t="s">
        <v>286</v>
      </c>
      <c r="W52" s="3">
        <v>44565</v>
      </c>
      <c r="X52" s="2" t="s">
        <v>73</v>
      </c>
      <c r="Y52" s="2" t="s">
        <v>318</v>
      </c>
      <c r="Z52" s="2" t="s">
        <v>768</v>
      </c>
      <c r="AA52" s="2">
        <v>5</v>
      </c>
      <c r="AB52" s="2" t="s">
        <v>90</v>
      </c>
      <c r="AC52" s="2" t="s">
        <v>769</v>
      </c>
      <c r="AD52" s="3">
        <v>44561</v>
      </c>
      <c r="AE52" s="2" t="s">
        <v>77</v>
      </c>
      <c r="AF52" s="2">
        <v>1520000</v>
      </c>
      <c r="AG52" s="2">
        <v>22800</v>
      </c>
      <c r="AH52" s="2" t="s">
        <v>770</v>
      </c>
      <c r="AI52" s="2">
        <v>24225</v>
      </c>
      <c r="AJ52" s="11">
        <v>1425</v>
      </c>
      <c r="AK52" s="11" t="s">
        <v>771</v>
      </c>
    </row>
    <row r="53" spans="1:37" hidden="1">
      <c r="A53" s="10">
        <v>52</v>
      </c>
      <c r="B53" s="2" t="s">
        <v>37</v>
      </c>
      <c r="C53" s="2" t="s">
        <v>772</v>
      </c>
      <c r="D53" s="2" t="s">
        <v>39</v>
      </c>
      <c r="E53" s="2" t="s">
        <v>40</v>
      </c>
      <c r="F53" s="2" t="s">
        <v>773</v>
      </c>
      <c r="G53" s="2" t="s">
        <v>276</v>
      </c>
      <c r="H53" s="2" t="s">
        <v>774</v>
      </c>
      <c r="I53" s="2" t="s">
        <v>775</v>
      </c>
      <c r="J53" s="2" t="s">
        <v>775</v>
      </c>
      <c r="K53" s="2" t="s">
        <v>775</v>
      </c>
      <c r="L53" s="2" t="s">
        <v>776</v>
      </c>
      <c r="M53" s="2">
        <v>1820000</v>
      </c>
      <c r="N53" s="2">
        <v>2800000</v>
      </c>
      <c r="O53" s="2" t="s">
        <v>777</v>
      </c>
      <c r="P53" s="3">
        <v>45809</v>
      </c>
      <c r="Q53" s="2" t="s">
        <v>778</v>
      </c>
      <c r="R53" s="2" t="s">
        <v>779</v>
      </c>
      <c r="S53" s="2" t="s">
        <v>69</v>
      </c>
      <c r="T53" s="2" t="s">
        <v>780</v>
      </c>
      <c r="U53" s="2" t="s">
        <v>781</v>
      </c>
      <c r="V53" s="2" t="s">
        <v>286</v>
      </c>
      <c r="W53" s="3">
        <v>44866</v>
      </c>
      <c r="X53" s="2" t="s">
        <v>73</v>
      </c>
      <c r="Y53" s="3">
        <v>46398</v>
      </c>
      <c r="Z53" s="2" t="s">
        <v>782</v>
      </c>
      <c r="AA53" s="2">
        <v>5</v>
      </c>
      <c r="AB53" s="2" t="s">
        <v>90</v>
      </c>
      <c r="AC53" s="2" t="s">
        <v>783</v>
      </c>
      <c r="AD53" s="3">
        <v>44571</v>
      </c>
      <c r="AE53" s="2" t="s">
        <v>77</v>
      </c>
      <c r="AF53" s="2">
        <v>2240000</v>
      </c>
      <c r="AG53" s="2">
        <v>33600</v>
      </c>
      <c r="AH53" s="2" t="s">
        <v>784</v>
      </c>
      <c r="AI53" s="5">
        <v>33600</v>
      </c>
      <c r="AJ53" s="11">
        <v>0</v>
      </c>
      <c r="AK53" s="11"/>
    </row>
    <row r="54" spans="1:37" hidden="1">
      <c r="A54" s="10">
        <v>53</v>
      </c>
      <c r="B54" s="2" t="s">
        <v>37</v>
      </c>
      <c r="C54" s="2" t="s">
        <v>785</v>
      </c>
      <c r="D54" s="2" t="s">
        <v>39</v>
      </c>
      <c r="E54" s="2" t="s">
        <v>40</v>
      </c>
      <c r="F54" s="2" t="s">
        <v>786</v>
      </c>
      <c r="G54" s="2" t="s">
        <v>42</v>
      </c>
      <c r="H54" s="2" t="s">
        <v>787</v>
      </c>
      <c r="I54" s="2" t="s">
        <v>788</v>
      </c>
      <c r="J54" s="2" t="s">
        <v>789</v>
      </c>
      <c r="K54" s="2" t="s">
        <v>788</v>
      </c>
      <c r="L54" s="2" t="s">
        <v>790</v>
      </c>
      <c r="M54" s="2">
        <v>1984000</v>
      </c>
      <c r="N54" s="2">
        <v>3200000</v>
      </c>
      <c r="O54" s="2" t="s">
        <v>791</v>
      </c>
      <c r="P54" s="3">
        <v>45809</v>
      </c>
      <c r="Q54" s="2" t="s">
        <v>792</v>
      </c>
      <c r="R54" s="2" t="s">
        <v>793</v>
      </c>
      <c r="S54" s="2" t="s">
        <v>69</v>
      </c>
      <c r="T54" s="2" t="s">
        <v>794</v>
      </c>
      <c r="U54" s="2" t="s">
        <v>549</v>
      </c>
      <c r="V54" s="2" t="s">
        <v>391</v>
      </c>
      <c r="W54" s="3">
        <v>44835</v>
      </c>
      <c r="X54" s="2" t="s">
        <v>73</v>
      </c>
      <c r="Y54" s="3">
        <v>46398</v>
      </c>
      <c r="Z54" s="2" t="s">
        <v>795</v>
      </c>
      <c r="AA54" s="2">
        <v>5</v>
      </c>
      <c r="AB54" s="2" t="s">
        <v>90</v>
      </c>
      <c r="AC54" s="2" t="s">
        <v>796</v>
      </c>
      <c r="AD54" s="3">
        <v>44571</v>
      </c>
      <c r="AE54" s="2" t="s">
        <v>77</v>
      </c>
      <c r="AF54" s="2">
        <v>2560000</v>
      </c>
      <c r="AG54" s="2">
        <v>38400</v>
      </c>
      <c r="AH54" s="2" t="s">
        <v>797</v>
      </c>
      <c r="AI54" s="2">
        <v>38400</v>
      </c>
      <c r="AJ54" s="11">
        <v>0</v>
      </c>
      <c r="AK54" s="11"/>
    </row>
    <row r="55" spans="1:37" hidden="1">
      <c r="A55" s="10">
        <v>54</v>
      </c>
      <c r="B55" s="2" t="s">
        <v>37</v>
      </c>
      <c r="C55" s="2" t="s">
        <v>798</v>
      </c>
      <c r="D55" s="2" t="s">
        <v>39</v>
      </c>
      <c r="E55" s="2" t="s">
        <v>40</v>
      </c>
      <c r="F55" s="2" t="s">
        <v>799</v>
      </c>
      <c r="G55" s="2" t="s">
        <v>62</v>
      </c>
      <c r="H55" s="2" t="s">
        <v>800</v>
      </c>
      <c r="I55" s="2"/>
      <c r="J55" s="2">
        <v>3452940863</v>
      </c>
      <c r="K55" s="2">
        <v>3063555105</v>
      </c>
      <c r="L55" s="2" t="s">
        <v>801</v>
      </c>
      <c r="M55" s="2">
        <v>2625000</v>
      </c>
      <c r="N55" s="2">
        <v>3500000</v>
      </c>
      <c r="O55" s="2" t="s">
        <v>802</v>
      </c>
      <c r="P55" s="3">
        <v>45809</v>
      </c>
      <c r="Q55" s="2" t="s">
        <v>803</v>
      </c>
      <c r="R55" s="2">
        <v>7032677</v>
      </c>
      <c r="S55" s="2" t="s">
        <v>69</v>
      </c>
      <c r="T55" s="2" t="s">
        <v>804</v>
      </c>
      <c r="U55" s="2" t="s">
        <v>805</v>
      </c>
      <c r="V55" s="2">
        <v>2018</v>
      </c>
      <c r="W55" s="3">
        <v>44531</v>
      </c>
      <c r="X55" s="2" t="s">
        <v>220</v>
      </c>
      <c r="Y55" s="3">
        <v>46033</v>
      </c>
      <c r="Z55" s="2" t="s">
        <v>806</v>
      </c>
      <c r="AA55" s="2">
        <v>5</v>
      </c>
      <c r="AB55" s="2" t="s">
        <v>106</v>
      </c>
      <c r="AC55" s="2" t="s">
        <v>807</v>
      </c>
      <c r="AD55" s="3">
        <v>44207</v>
      </c>
      <c r="AE55" s="2" t="s">
        <v>58</v>
      </c>
      <c r="AF55" s="2">
        <v>2625000</v>
      </c>
      <c r="AG55" s="2">
        <v>52500</v>
      </c>
      <c r="AH55" s="2" t="s">
        <v>808</v>
      </c>
      <c r="AI55" s="2">
        <v>52500</v>
      </c>
      <c r="AJ55" s="11">
        <v>0</v>
      </c>
      <c r="AK55" s="11"/>
    </row>
    <row r="56" spans="1:37">
      <c r="A56" s="10">
        <v>55</v>
      </c>
      <c r="B56" s="2" t="s">
        <v>37</v>
      </c>
      <c r="C56" s="2" t="s">
        <v>809</v>
      </c>
      <c r="D56" s="2" t="s">
        <v>39</v>
      </c>
      <c r="E56" s="2" t="s">
        <v>40</v>
      </c>
      <c r="F56" s="2" t="s">
        <v>810</v>
      </c>
      <c r="G56" s="2" t="s">
        <v>811</v>
      </c>
      <c r="H56" s="2" t="s">
        <v>812</v>
      </c>
      <c r="I56" s="2" t="s">
        <v>813</v>
      </c>
      <c r="J56" s="2" t="s">
        <v>814</v>
      </c>
      <c r="K56" s="2" t="s">
        <v>813</v>
      </c>
      <c r="L56" s="2" t="s">
        <v>815</v>
      </c>
      <c r="M56" s="2">
        <v>1280000</v>
      </c>
      <c r="N56" s="2">
        <v>1600000</v>
      </c>
      <c r="O56" s="2" t="s">
        <v>816</v>
      </c>
      <c r="P56" s="3">
        <v>45656</v>
      </c>
      <c r="Q56" s="2" t="s">
        <v>817</v>
      </c>
      <c r="R56" s="2" t="s">
        <v>818</v>
      </c>
      <c r="S56" s="2" t="s">
        <v>69</v>
      </c>
      <c r="T56" s="2" t="s">
        <v>819</v>
      </c>
      <c r="U56" s="2" t="s">
        <v>820</v>
      </c>
      <c r="V56" s="2" t="s">
        <v>72</v>
      </c>
      <c r="W56" s="3">
        <v>44561</v>
      </c>
      <c r="X56" s="2" t="s">
        <v>88</v>
      </c>
      <c r="Y56" s="2" t="s">
        <v>821</v>
      </c>
      <c r="Z56" s="2" t="s">
        <v>822</v>
      </c>
      <c r="AA56" s="2">
        <v>7</v>
      </c>
      <c r="AB56" s="2" t="s">
        <v>75</v>
      </c>
      <c r="AC56" s="2" t="s">
        <v>823</v>
      </c>
      <c r="AD56" s="3">
        <v>44561</v>
      </c>
      <c r="AE56" s="2" t="s">
        <v>77</v>
      </c>
      <c r="AF56" s="2">
        <v>1280000</v>
      </c>
      <c r="AG56" s="2">
        <v>19200</v>
      </c>
      <c r="AH56" s="2" t="s">
        <v>824</v>
      </c>
      <c r="AI56" s="2">
        <v>20400</v>
      </c>
      <c r="AJ56" s="11">
        <v>1200</v>
      </c>
      <c r="AK56" s="11" t="s">
        <v>825</v>
      </c>
    </row>
    <row r="57" spans="1:37">
      <c r="A57" s="10">
        <v>56</v>
      </c>
      <c r="B57" s="2" t="s">
        <v>37</v>
      </c>
      <c r="C57" s="2" t="s">
        <v>826</v>
      </c>
      <c r="D57" s="2" t="s">
        <v>39</v>
      </c>
      <c r="E57" s="2" t="s">
        <v>40</v>
      </c>
      <c r="F57" s="2" t="s">
        <v>827</v>
      </c>
      <c r="G57" s="2" t="s">
        <v>112</v>
      </c>
      <c r="H57" s="2" t="s">
        <v>828</v>
      </c>
      <c r="I57" s="2" t="s">
        <v>829</v>
      </c>
      <c r="J57" s="2" t="s">
        <v>51</v>
      </c>
      <c r="K57" s="2" t="s">
        <v>830</v>
      </c>
      <c r="L57" s="2" t="s">
        <v>831</v>
      </c>
      <c r="M57" s="2">
        <v>1500000</v>
      </c>
      <c r="N57" s="2">
        <v>2000000</v>
      </c>
      <c r="O57" s="2" t="s">
        <v>832</v>
      </c>
      <c r="P57" s="3">
        <v>45656</v>
      </c>
      <c r="Q57" s="2" t="s">
        <v>833</v>
      </c>
      <c r="R57" s="2" t="s">
        <v>834</v>
      </c>
      <c r="S57" s="2" t="s">
        <v>69</v>
      </c>
      <c r="T57" s="2" t="s">
        <v>835</v>
      </c>
      <c r="U57" s="2" t="s">
        <v>836</v>
      </c>
      <c r="V57" s="2" t="s">
        <v>365</v>
      </c>
      <c r="W57" s="3">
        <v>44196</v>
      </c>
      <c r="X57" s="2" t="s">
        <v>337</v>
      </c>
      <c r="Y57" s="2" t="s">
        <v>392</v>
      </c>
      <c r="Z57" s="2" t="s">
        <v>837</v>
      </c>
      <c r="AA57" s="2">
        <v>6</v>
      </c>
      <c r="AB57" s="2" t="s">
        <v>90</v>
      </c>
      <c r="AC57" s="2" t="s">
        <v>838</v>
      </c>
      <c r="AD57" s="3">
        <v>44196</v>
      </c>
      <c r="AE57" s="2" t="s">
        <v>108</v>
      </c>
      <c r="AF57" s="2">
        <v>1500000</v>
      </c>
      <c r="AG57" s="2">
        <v>26250</v>
      </c>
      <c r="AH57" s="2" t="s">
        <v>839</v>
      </c>
      <c r="AI57" s="2">
        <v>28000</v>
      </c>
      <c r="AJ57" s="11">
        <v>1750</v>
      </c>
      <c r="AK57" s="11" t="s">
        <v>840</v>
      </c>
    </row>
    <row r="58" spans="1:37">
      <c r="A58" s="10">
        <v>57</v>
      </c>
      <c r="B58" s="2" t="s">
        <v>37</v>
      </c>
      <c r="C58" s="2" t="s">
        <v>841</v>
      </c>
      <c r="D58" s="2" t="s">
        <v>39</v>
      </c>
      <c r="E58" s="2" t="s">
        <v>40</v>
      </c>
      <c r="F58" s="2" t="s">
        <v>842</v>
      </c>
      <c r="G58" s="2" t="s">
        <v>276</v>
      </c>
      <c r="H58" s="2" t="s">
        <v>843</v>
      </c>
      <c r="I58" s="2" t="s">
        <v>51</v>
      </c>
      <c r="J58" s="2" t="s">
        <v>844</v>
      </c>
      <c r="K58" s="2" t="s">
        <v>51</v>
      </c>
      <c r="L58" s="2" t="s">
        <v>845</v>
      </c>
      <c r="M58" s="2">
        <v>1275000</v>
      </c>
      <c r="N58" s="2">
        <v>1700000</v>
      </c>
      <c r="O58" s="2" t="s">
        <v>846</v>
      </c>
      <c r="P58" s="3">
        <v>45656</v>
      </c>
      <c r="Q58" s="2" t="s">
        <v>847</v>
      </c>
      <c r="R58" s="2" t="s">
        <v>848</v>
      </c>
      <c r="S58" s="2" t="s">
        <v>69</v>
      </c>
      <c r="T58" s="2" t="s">
        <v>849</v>
      </c>
      <c r="U58" s="2" t="s">
        <v>850</v>
      </c>
      <c r="V58" s="2" t="s">
        <v>72</v>
      </c>
      <c r="W58" s="3">
        <v>44561</v>
      </c>
      <c r="X58" s="2" t="s">
        <v>88</v>
      </c>
      <c r="Y58" s="2" t="s">
        <v>392</v>
      </c>
      <c r="Z58" s="2" t="s">
        <v>851</v>
      </c>
      <c r="AA58" s="2">
        <v>5</v>
      </c>
      <c r="AB58" s="2" t="s">
        <v>90</v>
      </c>
      <c r="AC58" s="2" t="s">
        <v>852</v>
      </c>
      <c r="AD58" s="3">
        <v>44561</v>
      </c>
      <c r="AE58" s="2" t="s">
        <v>77</v>
      </c>
      <c r="AF58" s="2">
        <v>1360000</v>
      </c>
      <c r="AG58" s="2">
        <v>20400</v>
      </c>
      <c r="AH58" s="2" t="s">
        <v>853</v>
      </c>
      <c r="AI58" s="2">
        <v>21675</v>
      </c>
      <c r="AJ58" s="11">
        <v>1275</v>
      </c>
      <c r="AK58" s="11" t="s">
        <v>854</v>
      </c>
    </row>
    <row r="59" spans="1:37">
      <c r="A59" s="10">
        <v>58</v>
      </c>
      <c r="B59" s="2" t="s">
        <v>37</v>
      </c>
      <c r="C59" s="2" t="s">
        <v>855</v>
      </c>
      <c r="D59" s="2" t="s">
        <v>39</v>
      </c>
      <c r="E59" s="2" t="s">
        <v>40</v>
      </c>
      <c r="F59" s="2" t="s">
        <v>856</v>
      </c>
      <c r="G59" s="2" t="s">
        <v>497</v>
      </c>
      <c r="H59" s="2" t="s">
        <v>857</v>
      </c>
      <c r="I59" s="2" t="s">
        <v>51</v>
      </c>
      <c r="J59" s="2" t="s">
        <v>858</v>
      </c>
      <c r="K59" s="2" t="s">
        <v>51</v>
      </c>
      <c r="L59" s="2" t="s">
        <v>859</v>
      </c>
      <c r="M59" s="2">
        <v>1269800</v>
      </c>
      <c r="N59" s="2">
        <v>1814000</v>
      </c>
      <c r="O59" s="2" t="s">
        <v>860</v>
      </c>
      <c r="P59" s="3">
        <v>45656</v>
      </c>
      <c r="Q59" s="2" t="s">
        <v>861</v>
      </c>
      <c r="R59" s="2" t="s">
        <v>862</v>
      </c>
      <c r="S59" s="2" t="s">
        <v>50</v>
      </c>
      <c r="T59" s="2" t="s">
        <v>51</v>
      </c>
      <c r="U59" s="2" t="s">
        <v>863</v>
      </c>
      <c r="V59" s="2" t="s">
        <v>286</v>
      </c>
      <c r="W59" s="3">
        <v>44561</v>
      </c>
      <c r="X59" s="2" t="s">
        <v>88</v>
      </c>
      <c r="Y59" s="2" t="s">
        <v>392</v>
      </c>
      <c r="Z59" s="2" t="s">
        <v>864</v>
      </c>
      <c r="AA59" s="2">
        <v>5</v>
      </c>
      <c r="AB59" s="2" t="s">
        <v>75</v>
      </c>
      <c r="AC59" s="2" t="s">
        <v>865</v>
      </c>
      <c r="AD59" s="3">
        <v>44561</v>
      </c>
      <c r="AE59" s="2" t="s">
        <v>58</v>
      </c>
      <c r="AF59" s="2">
        <v>1451200</v>
      </c>
      <c r="AG59" s="2">
        <v>29024</v>
      </c>
      <c r="AH59" s="2" t="s">
        <v>866</v>
      </c>
      <c r="AI59" s="2">
        <v>30838</v>
      </c>
      <c r="AJ59" s="11">
        <v>1814</v>
      </c>
      <c r="AK59" s="11" t="s">
        <v>867</v>
      </c>
    </row>
    <row r="60" spans="1:37" hidden="1">
      <c r="A60" s="10">
        <v>59</v>
      </c>
      <c r="B60" s="2" t="s">
        <v>37</v>
      </c>
      <c r="C60" s="2" t="s">
        <v>868</v>
      </c>
      <c r="D60" s="2" t="s">
        <v>39</v>
      </c>
      <c r="E60" s="2" t="s">
        <v>40</v>
      </c>
      <c r="F60" s="2" t="s">
        <v>869</v>
      </c>
      <c r="G60" s="2" t="s">
        <v>276</v>
      </c>
      <c r="H60" s="2" t="s">
        <v>870</v>
      </c>
      <c r="I60" s="2">
        <v>3008440011</v>
      </c>
      <c r="J60" s="2" t="s">
        <v>871</v>
      </c>
      <c r="K60" s="2" t="s">
        <v>872</v>
      </c>
      <c r="L60" s="2" t="s">
        <v>873</v>
      </c>
      <c r="M60" s="2">
        <v>3801000</v>
      </c>
      <c r="N60" s="2">
        <v>5430000</v>
      </c>
      <c r="O60" s="2" t="s">
        <v>874</v>
      </c>
      <c r="P60" s="3">
        <v>45809</v>
      </c>
      <c r="Q60" s="2" t="s">
        <v>875</v>
      </c>
      <c r="R60" s="2" t="s">
        <v>876</v>
      </c>
      <c r="S60" s="2" t="s">
        <v>50</v>
      </c>
      <c r="T60" s="2"/>
      <c r="U60" s="2" t="s">
        <v>877</v>
      </c>
      <c r="V60" s="2">
        <v>2020</v>
      </c>
      <c r="W60" s="3">
        <v>44074</v>
      </c>
      <c r="X60" s="2" t="s">
        <v>220</v>
      </c>
      <c r="Y60" s="3">
        <v>46033</v>
      </c>
      <c r="Z60" s="2" t="s">
        <v>878</v>
      </c>
      <c r="AA60" s="2">
        <v>5</v>
      </c>
      <c r="AB60" s="2" t="s">
        <v>879</v>
      </c>
      <c r="AC60" s="2"/>
      <c r="AD60" s="2"/>
      <c r="AE60" s="2" t="s">
        <v>77</v>
      </c>
      <c r="AF60" s="2">
        <v>4072500</v>
      </c>
      <c r="AG60" s="2">
        <v>61088</v>
      </c>
      <c r="AH60" s="2" t="s">
        <v>880</v>
      </c>
      <c r="AI60" s="2">
        <v>61088</v>
      </c>
      <c r="AJ60" s="11">
        <v>0</v>
      </c>
      <c r="AK60" s="11"/>
    </row>
    <row r="61" spans="1:37">
      <c r="A61" s="10">
        <v>60</v>
      </c>
      <c r="B61" s="2" t="s">
        <v>37</v>
      </c>
      <c r="C61" s="2" t="s">
        <v>881</v>
      </c>
      <c r="D61" s="2" t="s">
        <v>39</v>
      </c>
      <c r="E61" s="2" t="s">
        <v>40</v>
      </c>
      <c r="F61" s="2" t="s">
        <v>882</v>
      </c>
      <c r="G61" s="2" t="s">
        <v>276</v>
      </c>
      <c r="H61" s="2" t="s">
        <v>883</v>
      </c>
      <c r="I61" s="2" t="s">
        <v>51</v>
      </c>
      <c r="J61" s="2" t="s">
        <v>884</v>
      </c>
      <c r="K61" s="2" t="s">
        <v>51</v>
      </c>
      <c r="L61" s="2" t="s">
        <v>885</v>
      </c>
      <c r="M61" s="2">
        <v>1245000</v>
      </c>
      <c r="N61" s="2">
        <v>2075000</v>
      </c>
      <c r="O61" s="2" t="s">
        <v>886</v>
      </c>
      <c r="P61" s="3">
        <v>45656</v>
      </c>
      <c r="Q61" s="2" t="s">
        <v>887</v>
      </c>
      <c r="R61" s="2" t="s">
        <v>888</v>
      </c>
      <c r="S61" s="2" t="s">
        <v>69</v>
      </c>
      <c r="T61" s="2" t="s">
        <v>889</v>
      </c>
      <c r="U61" s="2" t="s">
        <v>890</v>
      </c>
      <c r="V61" s="2" t="s">
        <v>336</v>
      </c>
      <c r="W61" s="3">
        <v>44565</v>
      </c>
      <c r="X61" s="2" t="s">
        <v>73</v>
      </c>
      <c r="Y61" s="2" t="s">
        <v>318</v>
      </c>
      <c r="Z61" s="2" t="s">
        <v>891</v>
      </c>
      <c r="AA61" s="2">
        <v>5</v>
      </c>
      <c r="AB61" s="2" t="s">
        <v>90</v>
      </c>
      <c r="AC61" s="2" t="s">
        <v>892</v>
      </c>
      <c r="AD61" s="3">
        <v>44561</v>
      </c>
      <c r="AE61" s="2" t="s">
        <v>77</v>
      </c>
      <c r="AF61" s="2">
        <v>1660000</v>
      </c>
      <c r="AG61" s="2">
        <v>24900</v>
      </c>
      <c r="AH61" s="2" t="s">
        <v>893</v>
      </c>
      <c r="AI61" s="2">
        <v>26456</v>
      </c>
      <c r="AJ61" s="11">
        <v>1556</v>
      </c>
      <c r="AK61" s="11" t="s">
        <v>894</v>
      </c>
    </row>
    <row r="62" spans="1:37">
      <c r="A62" s="10">
        <v>61</v>
      </c>
      <c r="B62" s="2" t="s">
        <v>37</v>
      </c>
      <c r="C62" s="2" t="s">
        <v>895</v>
      </c>
      <c r="D62" s="2" t="s">
        <v>39</v>
      </c>
      <c r="E62" s="2" t="s">
        <v>40</v>
      </c>
      <c r="F62" s="2" t="s">
        <v>896</v>
      </c>
      <c r="G62" s="2" t="s">
        <v>42</v>
      </c>
      <c r="H62" s="2" t="s">
        <v>897</v>
      </c>
      <c r="I62" s="2" t="s">
        <v>898</v>
      </c>
      <c r="J62" s="2" t="s">
        <v>899</v>
      </c>
      <c r="K62" s="2" t="s">
        <v>900</v>
      </c>
      <c r="L62" s="2" t="s">
        <v>901</v>
      </c>
      <c r="M62" s="2">
        <v>1237500</v>
      </c>
      <c r="N62" s="2">
        <v>1650000</v>
      </c>
      <c r="O62" s="2" t="s">
        <v>902</v>
      </c>
      <c r="P62" s="3">
        <v>45656</v>
      </c>
      <c r="Q62" s="2" t="s">
        <v>903</v>
      </c>
      <c r="R62" s="2" t="s">
        <v>904</v>
      </c>
      <c r="S62" s="2" t="s">
        <v>69</v>
      </c>
      <c r="T62" s="2" t="s">
        <v>905</v>
      </c>
      <c r="U62" s="2" t="s">
        <v>657</v>
      </c>
      <c r="V62" s="2" t="s">
        <v>72</v>
      </c>
      <c r="W62" s="3">
        <v>44565</v>
      </c>
      <c r="X62" s="2" t="s">
        <v>73</v>
      </c>
      <c r="Y62" s="2" t="s">
        <v>318</v>
      </c>
      <c r="Z62" s="2" t="s">
        <v>906</v>
      </c>
      <c r="AA62" s="2">
        <v>5</v>
      </c>
      <c r="AB62" s="2" t="s">
        <v>90</v>
      </c>
      <c r="AC62" s="2" t="s">
        <v>907</v>
      </c>
      <c r="AD62" s="3">
        <v>44561</v>
      </c>
      <c r="AE62" s="2" t="s">
        <v>77</v>
      </c>
      <c r="AF62" s="2">
        <v>1320000</v>
      </c>
      <c r="AG62" s="2">
        <v>19800</v>
      </c>
      <c r="AH62" s="2" t="s">
        <v>908</v>
      </c>
      <c r="AI62" s="2">
        <v>21038</v>
      </c>
      <c r="AJ62" s="11">
        <v>1238</v>
      </c>
      <c r="AK62" s="11" t="s">
        <v>909</v>
      </c>
    </row>
    <row r="63" spans="1:37">
      <c r="A63" s="10">
        <v>62</v>
      </c>
      <c r="B63" s="2" t="s">
        <v>37</v>
      </c>
      <c r="C63" s="2" t="s">
        <v>910</v>
      </c>
      <c r="D63" s="2" t="s">
        <v>39</v>
      </c>
      <c r="E63" s="2" t="s">
        <v>40</v>
      </c>
      <c r="F63" s="2" t="s">
        <v>911</v>
      </c>
      <c r="G63" s="2" t="s">
        <v>62</v>
      </c>
      <c r="H63" s="2" t="s">
        <v>912</v>
      </c>
      <c r="I63" s="2" t="s">
        <v>913</v>
      </c>
      <c r="J63" s="2" t="s">
        <v>913</v>
      </c>
      <c r="K63" s="2" t="s">
        <v>328</v>
      </c>
      <c r="L63" s="2" t="s">
        <v>914</v>
      </c>
      <c r="M63" s="2">
        <v>1225000</v>
      </c>
      <c r="N63" s="2">
        <v>1750000</v>
      </c>
      <c r="O63" s="2" t="s">
        <v>915</v>
      </c>
      <c r="P63" s="3">
        <v>45656</v>
      </c>
      <c r="Q63" s="2" t="s">
        <v>916</v>
      </c>
      <c r="R63" s="2" t="s">
        <v>917</v>
      </c>
      <c r="S63" s="2" t="s">
        <v>69</v>
      </c>
      <c r="T63" s="2" t="s">
        <v>918</v>
      </c>
      <c r="U63" s="2" t="s">
        <v>919</v>
      </c>
      <c r="V63" s="2" t="s">
        <v>336</v>
      </c>
      <c r="W63" s="3">
        <v>44561</v>
      </c>
      <c r="X63" s="2" t="s">
        <v>88</v>
      </c>
      <c r="Y63" s="2" t="s">
        <v>392</v>
      </c>
      <c r="Z63" s="2" t="s">
        <v>920</v>
      </c>
      <c r="AA63" s="2">
        <v>5</v>
      </c>
      <c r="AB63" s="2" t="s">
        <v>75</v>
      </c>
      <c r="AC63" s="2" t="s">
        <v>921</v>
      </c>
      <c r="AD63" s="3">
        <v>44561</v>
      </c>
      <c r="AE63" s="2" t="s">
        <v>77</v>
      </c>
      <c r="AF63" s="2">
        <v>1400000</v>
      </c>
      <c r="AG63" s="2">
        <v>21000</v>
      </c>
      <c r="AH63" s="2" t="s">
        <v>922</v>
      </c>
      <c r="AI63" s="2">
        <v>22313</v>
      </c>
      <c r="AJ63" s="11">
        <v>1313</v>
      </c>
      <c r="AK63" s="11" t="s">
        <v>923</v>
      </c>
    </row>
    <row r="64" spans="1:37" hidden="1">
      <c r="A64" s="10">
        <v>63</v>
      </c>
      <c r="B64" s="2" t="s">
        <v>37</v>
      </c>
      <c r="C64" s="2" t="s">
        <v>924</v>
      </c>
      <c r="D64" s="2" t="s">
        <v>39</v>
      </c>
      <c r="E64" s="2" t="s">
        <v>40</v>
      </c>
      <c r="F64" s="2" t="s">
        <v>925</v>
      </c>
      <c r="G64" s="2" t="s">
        <v>276</v>
      </c>
      <c r="H64" s="2" t="s">
        <v>926</v>
      </c>
      <c r="I64" s="2">
        <v>3008404903</v>
      </c>
      <c r="J64" s="2">
        <v>3008404903</v>
      </c>
      <c r="K64" s="2">
        <v>3008404903</v>
      </c>
      <c r="L64" s="2" t="s">
        <v>927</v>
      </c>
      <c r="M64" s="2">
        <v>3801000</v>
      </c>
      <c r="N64" s="2">
        <v>5430000</v>
      </c>
      <c r="O64" s="2" t="s">
        <v>928</v>
      </c>
      <c r="P64" s="3">
        <v>45839</v>
      </c>
      <c r="Q64" s="2">
        <v>340055</v>
      </c>
      <c r="R64" s="2" t="s">
        <v>929</v>
      </c>
      <c r="S64" s="2" t="s">
        <v>50</v>
      </c>
      <c r="T64" s="2"/>
      <c r="U64" s="2" t="s">
        <v>930</v>
      </c>
      <c r="V64" s="2">
        <v>2020</v>
      </c>
      <c r="W64" s="3">
        <v>44102</v>
      </c>
      <c r="X64" s="2" t="s">
        <v>931</v>
      </c>
      <c r="Y64" s="3">
        <v>46043</v>
      </c>
      <c r="Z64" s="2" t="s">
        <v>932</v>
      </c>
      <c r="AA64" s="2">
        <v>5</v>
      </c>
      <c r="AB64" s="2" t="s">
        <v>879</v>
      </c>
      <c r="AC64" s="2"/>
      <c r="AD64" s="2"/>
      <c r="AE64" s="2" t="s">
        <v>77</v>
      </c>
      <c r="AF64" s="2">
        <v>4072500</v>
      </c>
      <c r="AG64" s="2">
        <v>61088</v>
      </c>
      <c r="AH64" s="2" t="s">
        <v>933</v>
      </c>
      <c r="AI64" s="2">
        <v>61088</v>
      </c>
      <c r="AJ64" s="11">
        <v>0</v>
      </c>
      <c r="AK64" s="11"/>
    </row>
    <row r="65" spans="1:37" hidden="1">
      <c r="A65" s="10">
        <v>64</v>
      </c>
      <c r="B65" s="2" t="s">
        <v>37</v>
      </c>
      <c r="C65" s="2" t="s">
        <v>934</v>
      </c>
      <c r="D65" s="2" t="s">
        <v>39</v>
      </c>
      <c r="E65" s="2" t="s">
        <v>40</v>
      </c>
      <c r="F65" s="2" t="s">
        <v>935</v>
      </c>
      <c r="G65" s="2" t="s">
        <v>276</v>
      </c>
      <c r="H65" s="2" t="s">
        <v>936</v>
      </c>
      <c r="I65" s="2"/>
      <c r="J65" s="2" t="s">
        <v>937</v>
      </c>
      <c r="K65" s="2">
        <v>3218451964</v>
      </c>
      <c r="L65" s="2" t="s">
        <v>938</v>
      </c>
      <c r="M65" s="2">
        <v>4072500</v>
      </c>
      <c r="N65" s="2">
        <v>5430000</v>
      </c>
      <c r="O65" s="2" t="s">
        <v>939</v>
      </c>
      <c r="P65" s="3">
        <v>45839</v>
      </c>
      <c r="Q65" s="2" t="s">
        <v>940</v>
      </c>
      <c r="R65" s="2" t="s">
        <v>941</v>
      </c>
      <c r="S65" s="2" t="s">
        <v>50</v>
      </c>
      <c r="T65" s="2"/>
      <c r="U65" s="2" t="s">
        <v>877</v>
      </c>
      <c r="V65" s="2">
        <v>2020</v>
      </c>
      <c r="W65" s="3">
        <v>44067</v>
      </c>
      <c r="X65" s="2" t="s">
        <v>931</v>
      </c>
      <c r="Y65" s="3">
        <v>46043</v>
      </c>
      <c r="Z65" s="2" t="s">
        <v>942</v>
      </c>
      <c r="AA65" s="2">
        <v>5</v>
      </c>
      <c r="AB65" s="2" t="s">
        <v>879</v>
      </c>
      <c r="AC65" s="2"/>
      <c r="AD65" s="2"/>
      <c r="AE65" s="2" t="s">
        <v>77</v>
      </c>
      <c r="AF65" s="2">
        <v>4072500</v>
      </c>
      <c r="AG65" s="2">
        <v>61088</v>
      </c>
      <c r="AH65" s="2" t="s">
        <v>943</v>
      </c>
      <c r="AI65" s="2">
        <v>61088</v>
      </c>
      <c r="AJ65" s="11">
        <v>0</v>
      </c>
      <c r="AK65" s="11"/>
    </row>
    <row r="66" spans="1:37">
      <c r="A66" s="10">
        <v>65</v>
      </c>
      <c r="B66" s="2" t="s">
        <v>37</v>
      </c>
      <c r="C66" s="2" t="s">
        <v>944</v>
      </c>
      <c r="D66" s="2" t="s">
        <v>39</v>
      </c>
      <c r="E66" s="2" t="s">
        <v>40</v>
      </c>
      <c r="F66" s="2" t="s">
        <v>945</v>
      </c>
      <c r="G66" s="2" t="s">
        <v>42</v>
      </c>
      <c r="H66" s="2" t="s">
        <v>946</v>
      </c>
      <c r="I66" s="2" t="s">
        <v>947</v>
      </c>
      <c r="J66" s="2" t="s">
        <v>948</v>
      </c>
      <c r="K66" s="2" t="s">
        <v>947</v>
      </c>
      <c r="L66" s="2" t="s">
        <v>949</v>
      </c>
      <c r="M66" s="2">
        <v>1220000</v>
      </c>
      <c r="N66" s="2">
        <v>1525000</v>
      </c>
      <c r="O66" s="2" t="s">
        <v>950</v>
      </c>
      <c r="P66" s="3">
        <v>45656</v>
      </c>
      <c r="Q66" s="2" t="s">
        <v>951</v>
      </c>
      <c r="R66" s="2" t="s">
        <v>952</v>
      </c>
      <c r="S66" s="2" t="s">
        <v>69</v>
      </c>
      <c r="T66" s="2" t="s">
        <v>953</v>
      </c>
      <c r="U66" s="2" t="s">
        <v>253</v>
      </c>
      <c r="V66" s="2" t="s">
        <v>72</v>
      </c>
      <c r="W66" s="3">
        <v>44565</v>
      </c>
      <c r="X66" s="2" t="s">
        <v>73</v>
      </c>
      <c r="Y66" s="2" t="s">
        <v>318</v>
      </c>
      <c r="Z66" s="2" t="s">
        <v>954</v>
      </c>
      <c r="AA66" s="2">
        <v>5</v>
      </c>
      <c r="AB66" s="2" t="s">
        <v>90</v>
      </c>
      <c r="AC66" s="2" t="s">
        <v>955</v>
      </c>
      <c r="AD66" s="3">
        <v>44561</v>
      </c>
      <c r="AE66" s="2" t="s">
        <v>77</v>
      </c>
      <c r="AF66" s="2">
        <v>1220000</v>
      </c>
      <c r="AG66" s="2">
        <v>18300</v>
      </c>
      <c r="AH66" s="2" t="s">
        <v>956</v>
      </c>
      <c r="AI66" s="2">
        <v>19444</v>
      </c>
      <c r="AJ66" s="11">
        <v>1144</v>
      </c>
      <c r="AK66" s="11" t="s">
        <v>957</v>
      </c>
    </row>
    <row r="67" spans="1:37">
      <c r="A67" s="10">
        <v>66</v>
      </c>
      <c r="B67" s="2" t="s">
        <v>37</v>
      </c>
      <c r="C67" s="2" t="s">
        <v>958</v>
      </c>
      <c r="D67" s="2" t="s">
        <v>39</v>
      </c>
      <c r="E67" s="2" t="s">
        <v>40</v>
      </c>
      <c r="F67" s="2" t="s">
        <v>959</v>
      </c>
      <c r="G67" s="2" t="s">
        <v>62</v>
      </c>
      <c r="H67" s="2" t="s">
        <v>960</v>
      </c>
      <c r="I67" s="2" t="s">
        <v>961</v>
      </c>
      <c r="J67" s="2" t="s">
        <v>962</v>
      </c>
      <c r="K67" s="2" t="s">
        <v>963</v>
      </c>
      <c r="L67" s="2" t="s">
        <v>964</v>
      </c>
      <c r="M67" s="2">
        <v>1190000</v>
      </c>
      <c r="N67" s="2">
        <v>1700000</v>
      </c>
      <c r="O67" s="2" t="s">
        <v>965</v>
      </c>
      <c r="P67" s="3">
        <v>45656</v>
      </c>
      <c r="Q67" s="2" t="s">
        <v>966</v>
      </c>
      <c r="R67" s="2" t="s">
        <v>967</v>
      </c>
      <c r="S67" s="2" t="s">
        <v>69</v>
      </c>
      <c r="T67" s="2" t="s">
        <v>968</v>
      </c>
      <c r="U67" s="2" t="s">
        <v>969</v>
      </c>
      <c r="V67" s="2" t="s">
        <v>336</v>
      </c>
      <c r="W67" s="3">
        <v>44561</v>
      </c>
      <c r="X67" s="2" t="s">
        <v>88</v>
      </c>
      <c r="Y67" s="2" t="s">
        <v>392</v>
      </c>
      <c r="Z67" s="2" t="s">
        <v>970</v>
      </c>
      <c r="AA67" s="2">
        <v>5</v>
      </c>
      <c r="AB67" s="2" t="s">
        <v>90</v>
      </c>
      <c r="AC67" s="2" t="s">
        <v>971</v>
      </c>
      <c r="AD67" s="3">
        <v>44561</v>
      </c>
      <c r="AE67" s="2" t="s">
        <v>77</v>
      </c>
      <c r="AF67" s="2">
        <v>1360000</v>
      </c>
      <c r="AG67" s="2">
        <v>20400</v>
      </c>
      <c r="AH67" s="2" t="s">
        <v>972</v>
      </c>
      <c r="AI67" s="2">
        <v>21675</v>
      </c>
      <c r="AJ67" s="11">
        <v>1275</v>
      </c>
      <c r="AK67" s="11" t="s">
        <v>973</v>
      </c>
    </row>
    <row r="68" spans="1:37" hidden="1">
      <c r="A68" s="10">
        <v>67</v>
      </c>
      <c r="B68" s="2" t="s">
        <v>37</v>
      </c>
      <c r="C68" s="2" t="s">
        <v>974</v>
      </c>
      <c r="D68" s="2" t="s">
        <v>39</v>
      </c>
      <c r="E68" s="2" t="s">
        <v>40</v>
      </c>
      <c r="F68" s="2" t="s">
        <v>975</v>
      </c>
      <c r="G68" s="2" t="s">
        <v>276</v>
      </c>
      <c r="H68" s="2" t="s">
        <v>976</v>
      </c>
      <c r="I68" s="2" t="s">
        <v>977</v>
      </c>
      <c r="J68" s="2" t="s">
        <v>977</v>
      </c>
      <c r="K68" s="2" t="s">
        <v>977</v>
      </c>
      <c r="L68" s="2" t="s">
        <v>978</v>
      </c>
      <c r="M68" s="2">
        <v>885000</v>
      </c>
      <c r="N68" s="2">
        <v>1475000</v>
      </c>
      <c r="O68" s="2" t="s">
        <v>979</v>
      </c>
      <c r="P68" s="3">
        <v>45870</v>
      </c>
      <c r="Q68" s="2" t="s">
        <v>980</v>
      </c>
      <c r="R68" s="2" t="s">
        <v>981</v>
      </c>
      <c r="S68" s="2" t="s">
        <v>50</v>
      </c>
      <c r="T68" s="2" t="s">
        <v>51</v>
      </c>
      <c r="U68" s="2" t="s">
        <v>982</v>
      </c>
      <c r="V68" s="2" t="s">
        <v>53</v>
      </c>
      <c r="W68" s="3">
        <v>44735</v>
      </c>
      <c r="X68" s="2" t="s">
        <v>54</v>
      </c>
      <c r="Y68" s="3">
        <v>46763</v>
      </c>
      <c r="Z68" s="2" t="s">
        <v>983</v>
      </c>
      <c r="AA68" s="2">
        <v>5</v>
      </c>
      <c r="AB68" s="2" t="s">
        <v>160</v>
      </c>
      <c r="AC68" s="2" t="s">
        <v>984</v>
      </c>
      <c r="AD68" s="3">
        <v>44935</v>
      </c>
      <c r="AE68" s="2" t="s">
        <v>58</v>
      </c>
      <c r="AF68" s="2">
        <v>1253750</v>
      </c>
      <c r="AG68" s="2">
        <v>25075</v>
      </c>
      <c r="AH68" s="2" t="s">
        <v>985</v>
      </c>
      <c r="AI68" s="2">
        <v>25075</v>
      </c>
      <c r="AJ68" s="11">
        <v>0</v>
      </c>
      <c r="AK68" s="11"/>
    </row>
    <row r="69" spans="1:37">
      <c r="A69" s="10">
        <v>68</v>
      </c>
      <c r="B69" s="2" t="s">
        <v>37</v>
      </c>
      <c r="C69" s="2" t="s">
        <v>986</v>
      </c>
      <c r="D69" s="2" t="s">
        <v>39</v>
      </c>
      <c r="E69" s="2" t="s">
        <v>40</v>
      </c>
      <c r="F69" s="2" t="s">
        <v>987</v>
      </c>
      <c r="G69" s="2" t="s">
        <v>62</v>
      </c>
      <c r="H69" s="2" t="s">
        <v>988</v>
      </c>
      <c r="I69" s="2" t="s">
        <v>989</v>
      </c>
      <c r="J69" s="2" t="s">
        <v>989</v>
      </c>
      <c r="K69" s="2" t="s">
        <v>989</v>
      </c>
      <c r="L69" s="2" t="s">
        <v>990</v>
      </c>
      <c r="M69" s="2">
        <v>1160000</v>
      </c>
      <c r="N69" s="2">
        <v>1450000</v>
      </c>
      <c r="O69" s="2" t="s">
        <v>991</v>
      </c>
      <c r="P69" s="3">
        <v>45656</v>
      </c>
      <c r="Q69" s="2" t="s">
        <v>992</v>
      </c>
      <c r="R69" s="2" t="s">
        <v>993</v>
      </c>
      <c r="S69" s="2" t="s">
        <v>69</v>
      </c>
      <c r="T69" s="2" t="s">
        <v>994</v>
      </c>
      <c r="U69" s="2" t="s">
        <v>253</v>
      </c>
      <c r="V69" s="2" t="s">
        <v>391</v>
      </c>
      <c r="W69" s="3">
        <v>44561</v>
      </c>
      <c r="X69" s="2" t="s">
        <v>88</v>
      </c>
      <c r="Y69" s="2" t="s">
        <v>821</v>
      </c>
      <c r="Z69" s="2" t="s">
        <v>995</v>
      </c>
      <c r="AA69" s="2">
        <v>7</v>
      </c>
      <c r="AB69" s="2" t="s">
        <v>75</v>
      </c>
      <c r="AC69" s="2" t="s">
        <v>996</v>
      </c>
      <c r="AD69" s="3">
        <v>44560</v>
      </c>
      <c r="AE69" s="2" t="s">
        <v>77</v>
      </c>
      <c r="AF69" s="2">
        <v>1160000</v>
      </c>
      <c r="AG69" s="2">
        <v>17400</v>
      </c>
      <c r="AH69" s="2" t="s">
        <v>997</v>
      </c>
      <c r="AI69" s="2">
        <v>18488</v>
      </c>
      <c r="AJ69" s="11">
        <v>1088</v>
      </c>
      <c r="AK69" s="11" t="s">
        <v>998</v>
      </c>
    </row>
    <row r="70" spans="1:37" hidden="1">
      <c r="A70" s="10">
        <v>69</v>
      </c>
      <c r="B70" s="2" t="s">
        <v>37</v>
      </c>
      <c r="C70" s="2" t="s">
        <v>999</v>
      </c>
      <c r="D70" s="2" t="s">
        <v>39</v>
      </c>
      <c r="E70" s="2" t="s">
        <v>40</v>
      </c>
      <c r="F70" s="2" t="s">
        <v>1000</v>
      </c>
      <c r="G70" s="2" t="s">
        <v>62</v>
      </c>
      <c r="H70" s="2" t="s">
        <v>1001</v>
      </c>
      <c r="I70" s="2" t="s">
        <v>51</v>
      </c>
      <c r="J70" s="2" t="s">
        <v>1002</v>
      </c>
      <c r="K70" s="2" t="s">
        <v>51</v>
      </c>
      <c r="L70" s="2" t="s">
        <v>1003</v>
      </c>
      <c r="M70" s="2">
        <v>1890000</v>
      </c>
      <c r="N70" s="2">
        <v>2700000</v>
      </c>
      <c r="O70" s="2" t="s">
        <v>1004</v>
      </c>
      <c r="P70" s="3">
        <v>45870</v>
      </c>
      <c r="Q70" s="2" t="s">
        <v>1005</v>
      </c>
      <c r="R70" s="2" t="s">
        <v>1006</v>
      </c>
      <c r="S70" s="2" t="s">
        <v>69</v>
      </c>
      <c r="T70" s="2" t="s">
        <v>1007</v>
      </c>
      <c r="U70" s="2" t="s">
        <v>87</v>
      </c>
      <c r="V70" s="2" t="s">
        <v>286</v>
      </c>
      <c r="W70" s="3">
        <v>45536</v>
      </c>
      <c r="X70" s="2" t="s">
        <v>209</v>
      </c>
      <c r="Y70" s="3">
        <v>47129</v>
      </c>
      <c r="Z70" s="2" t="s">
        <v>1008</v>
      </c>
      <c r="AA70" s="2">
        <v>5</v>
      </c>
      <c r="AB70" s="2" t="s">
        <v>160</v>
      </c>
      <c r="AC70" s="2" t="s">
        <v>1009</v>
      </c>
      <c r="AD70" s="3">
        <v>45299</v>
      </c>
      <c r="AE70" s="2" t="s">
        <v>108</v>
      </c>
      <c r="AF70" s="2">
        <v>2430000</v>
      </c>
      <c r="AG70" s="2">
        <v>42525</v>
      </c>
      <c r="AH70" s="2" t="s">
        <v>1010</v>
      </c>
      <c r="AI70" s="2">
        <v>42525</v>
      </c>
      <c r="AJ70" s="11">
        <v>0</v>
      </c>
      <c r="AK70" s="11"/>
    </row>
    <row r="71" spans="1:37">
      <c r="A71" s="10">
        <v>70</v>
      </c>
      <c r="B71" s="2" t="s">
        <v>37</v>
      </c>
      <c r="C71" s="2" t="s">
        <v>1011</v>
      </c>
      <c r="D71" s="2" t="s">
        <v>39</v>
      </c>
      <c r="E71" s="2" t="s">
        <v>40</v>
      </c>
      <c r="F71" s="2" t="s">
        <v>1012</v>
      </c>
      <c r="G71" s="2" t="s">
        <v>62</v>
      </c>
      <c r="H71" s="2" t="s">
        <v>1013</v>
      </c>
      <c r="I71" s="2" t="s">
        <v>51</v>
      </c>
      <c r="J71" s="2" t="s">
        <v>1014</v>
      </c>
      <c r="K71" s="2" t="s">
        <v>51</v>
      </c>
      <c r="L71" s="2" t="s">
        <v>1015</v>
      </c>
      <c r="M71" s="2">
        <v>1105000</v>
      </c>
      <c r="N71" s="2">
        <v>1700000</v>
      </c>
      <c r="O71" s="2" t="s">
        <v>1016</v>
      </c>
      <c r="P71" s="3">
        <v>45656</v>
      </c>
      <c r="Q71" s="2" t="s">
        <v>1017</v>
      </c>
      <c r="R71" s="2" t="s">
        <v>1018</v>
      </c>
      <c r="S71" s="2" t="s">
        <v>69</v>
      </c>
      <c r="T71" s="2" t="s">
        <v>1019</v>
      </c>
      <c r="U71" s="2" t="s">
        <v>133</v>
      </c>
      <c r="V71" s="2" t="s">
        <v>300</v>
      </c>
      <c r="W71" s="3">
        <v>44561</v>
      </c>
      <c r="X71" s="2" t="s">
        <v>88</v>
      </c>
      <c r="Y71" s="2" t="s">
        <v>821</v>
      </c>
      <c r="Z71" s="2" t="s">
        <v>1020</v>
      </c>
      <c r="AA71" s="2">
        <v>7</v>
      </c>
      <c r="AB71" s="2" t="s">
        <v>90</v>
      </c>
      <c r="AC71" s="2" t="s">
        <v>1021</v>
      </c>
      <c r="AD71" s="3">
        <v>44561</v>
      </c>
      <c r="AE71" s="2" t="s">
        <v>77</v>
      </c>
      <c r="AF71" s="2">
        <v>1360000</v>
      </c>
      <c r="AG71" s="2">
        <v>20400</v>
      </c>
      <c r="AH71" s="2" t="s">
        <v>1022</v>
      </c>
      <c r="AI71" s="2">
        <v>21675</v>
      </c>
      <c r="AJ71" s="11">
        <v>1275</v>
      </c>
      <c r="AK71" s="11" t="s">
        <v>1023</v>
      </c>
    </row>
    <row r="72" spans="1:37">
      <c r="A72" s="10">
        <v>71</v>
      </c>
      <c r="B72" s="2" t="s">
        <v>37</v>
      </c>
      <c r="C72" s="2" t="s">
        <v>1024</v>
      </c>
      <c r="D72" s="2" t="s">
        <v>39</v>
      </c>
      <c r="E72" s="2" t="s">
        <v>40</v>
      </c>
      <c r="F72" s="2" t="s">
        <v>1025</v>
      </c>
      <c r="G72" s="2" t="s">
        <v>112</v>
      </c>
      <c r="H72" s="2" t="s">
        <v>1026</v>
      </c>
      <c r="I72" s="2">
        <v>3349877107</v>
      </c>
      <c r="J72" s="2"/>
      <c r="K72" s="2">
        <v>518736877</v>
      </c>
      <c r="L72" s="2" t="s">
        <v>1027</v>
      </c>
      <c r="M72" s="2">
        <v>1337200</v>
      </c>
      <c r="N72" s="2">
        <v>3343000</v>
      </c>
      <c r="O72" s="2" t="s">
        <v>1028</v>
      </c>
      <c r="P72" s="3">
        <v>45656</v>
      </c>
      <c r="Q72" s="2" t="s">
        <v>1029</v>
      </c>
      <c r="R72" s="2">
        <v>6047462</v>
      </c>
      <c r="S72" s="2" t="s">
        <v>50</v>
      </c>
      <c r="T72" s="2" t="s">
        <v>51</v>
      </c>
      <c r="U72" s="2" t="s">
        <v>1030</v>
      </c>
      <c r="V72" s="2">
        <v>2020</v>
      </c>
      <c r="W72" s="3">
        <v>44200</v>
      </c>
      <c r="X72" s="2" t="s">
        <v>337</v>
      </c>
      <c r="Y72" s="2" t="s">
        <v>338</v>
      </c>
      <c r="Z72" s="2" t="s">
        <v>1031</v>
      </c>
      <c r="AA72" s="2">
        <v>5</v>
      </c>
      <c r="AB72" s="2" t="s">
        <v>106</v>
      </c>
      <c r="AC72" s="2" t="s">
        <v>1032</v>
      </c>
      <c r="AD72" s="3">
        <v>44196</v>
      </c>
      <c r="AE72" s="2" t="s">
        <v>58</v>
      </c>
      <c r="AF72" s="2">
        <v>2507250</v>
      </c>
      <c r="AG72" s="2">
        <v>50145</v>
      </c>
      <c r="AH72" s="2" t="s">
        <v>1033</v>
      </c>
      <c r="AI72" s="2">
        <v>53488</v>
      </c>
      <c r="AJ72" s="11">
        <v>3343</v>
      </c>
      <c r="AK72" s="11" t="s">
        <v>1034</v>
      </c>
    </row>
    <row r="73" spans="1:37" hidden="1">
      <c r="A73" s="10">
        <v>72</v>
      </c>
      <c r="B73" s="2" t="s">
        <v>37</v>
      </c>
      <c r="C73" s="2" t="s">
        <v>1035</v>
      </c>
      <c r="D73" s="2" t="s">
        <v>39</v>
      </c>
      <c r="E73" s="2" t="s">
        <v>40</v>
      </c>
      <c r="F73" s="2" t="s">
        <v>1036</v>
      </c>
      <c r="G73" s="2" t="s">
        <v>276</v>
      </c>
      <c r="H73" s="2" t="s">
        <v>1037</v>
      </c>
      <c r="I73" s="2" t="s">
        <v>51</v>
      </c>
      <c r="J73" s="2" t="s">
        <v>1038</v>
      </c>
      <c r="K73" s="2" t="s">
        <v>51</v>
      </c>
      <c r="L73" s="2" t="s">
        <v>1039</v>
      </c>
      <c r="M73" s="2">
        <v>776700</v>
      </c>
      <c r="N73" s="2">
        <v>2589000</v>
      </c>
      <c r="O73" s="2" t="s">
        <v>1040</v>
      </c>
      <c r="P73" s="3">
        <v>45901</v>
      </c>
      <c r="Q73" s="2" t="s">
        <v>1041</v>
      </c>
      <c r="R73" s="2" t="s">
        <v>1042</v>
      </c>
      <c r="S73" s="2" t="s">
        <v>50</v>
      </c>
      <c r="T73" s="2" t="s">
        <v>51</v>
      </c>
      <c r="U73" s="2" t="s">
        <v>1043</v>
      </c>
      <c r="V73" s="2" t="s">
        <v>286</v>
      </c>
      <c r="W73" s="3">
        <v>44461</v>
      </c>
      <c r="X73" s="2" t="s">
        <v>287</v>
      </c>
      <c r="Y73" s="3">
        <v>46408</v>
      </c>
      <c r="Z73" s="2" t="s">
        <v>1044</v>
      </c>
      <c r="AA73" s="2">
        <v>5</v>
      </c>
      <c r="AB73" s="2" t="s">
        <v>90</v>
      </c>
      <c r="AC73" s="2" t="s">
        <v>1045</v>
      </c>
      <c r="AD73" s="3">
        <v>44572</v>
      </c>
      <c r="AE73" s="2" t="s">
        <v>58</v>
      </c>
      <c r="AF73" s="2">
        <v>2071200</v>
      </c>
      <c r="AG73" s="2">
        <v>41424</v>
      </c>
      <c r="AH73" s="2" t="s">
        <v>1046</v>
      </c>
      <c r="AI73" s="2">
        <v>41424</v>
      </c>
      <c r="AJ73" s="11">
        <v>0</v>
      </c>
      <c r="AK73" s="11"/>
    </row>
    <row r="74" spans="1:37">
      <c r="A74" s="10">
        <v>73</v>
      </c>
      <c r="B74" s="2" t="s">
        <v>37</v>
      </c>
      <c r="C74" s="2" t="s">
        <v>1047</v>
      </c>
      <c r="D74" s="2" t="s">
        <v>39</v>
      </c>
      <c r="E74" s="2" t="s">
        <v>40</v>
      </c>
      <c r="F74" s="2" t="s">
        <v>1048</v>
      </c>
      <c r="G74" s="2" t="s">
        <v>62</v>
      </c>
      <c r="H74" s="2" t="s">
        <v>1049</v>
      </c>
      <c r="I74" s="2" t="s">
        <v>1050</v>
      </c>
      <c r="J74" s="2" t="s">
        <v>1051</v>
      </c>
      <c r="K74" s="2" t="s">
        <v>328</v>
      </c>
      <c r="L74" s="2" t="s">
        <v>1052</v>
      </c>
      <c r="M74" s="2">
        <v>1061500</v>
      </c>
      <c r="N74" s="2">
        <v>1930000</v>
      </c>
      <c r="O74" s="2" t="s">
        <v>1053</v>
      </c>
      <c r="P74" s="3">
        <v>45656</v>
      </c>
      <c r="Q74" s="2" t="s">
        <v>1054</v>
      </c>
      <c r="R74" s="2" t="s">
        <v>1055</v>
      </c>
      <c r="S74" s="2" t="s">
        <v>69</v>
      </c>
      <c r="T74" s="2" t="s">
        <v>1056</v>
      </c>
      <c r="U74" s="2" t="s">
        <v>133</v>
      </c>
      <c r="V74" s="2" t="s">
        <v>286</v>
      </c>
      <c r="W74" s="3">
        <v>44561</v>
      </c>
      <c r="X74" s="2" t="s">
        <v>88</v>
      </c>
      <c r="Y74" s="2" t="s">
        <v>821</v>
      </c>
      <c r="Z74" s="2" t="s">
        <v>1057</v>
      </c>
      <c r="AA74" s="2">
        <v>7</v>
      </c>
      <c r="AB74" s="2" t="s">
        <v>75</v>
      </c>
      <c r="AC74" s="2" t="s">
        <v>1058</v>
      </c>
      <c r="AD74" s="3">
        <v>44561</v>
      </c>
      <c r="AE74" s="2" t="s">
        <v>77</v>
      </c>
      <c r="AF74" s="2">
        <v>1544000</v>
      </c>
      <c r="AG74" s="2">
        <v>23160</v>
      </c>
      <c r="AH74" s="2" t="s">
        <v>1059</v>
      </c>
      <c r="AI74" s="2">
        <v>24608</v>
      </c>
      <c r="AJ74" s="11">
        <v>1448</v>
      </c>
      <c r="AK74" s="11" t="s">
        <v>1060</v>
      </c>
    </row>
    <row r="75" spans="1:37">
      <c r="A75" s="10">
        <v>74</v>
      </c>
      <c r="B75" s="2" t="s">
        <v>37</v>
      </c>
      <c r="C75" s="2" t="s">
        <v>1061</v>
      </c>
      <c r="D75" s="2" t="s">
        <v>39</v>
      </c>
      <c r="E75" s="2" t="s">
        <v>40</v>
      </c>
      <c r="F75" s="2" t="s">
        <v>1062</v>
      </c>
      <c r="G75" s="2" t="s">
        <v>62</v>
      </c>
      <c r="H75" s="2" t="s">
        <v>1063</v>
      </c>
      <c r="I75" s="2" t="s">
        <v>51</v>
      </c>
      <c r="J75" s="2" t="s">
        <v>1064</v>
      </c>
      <c r="K75" s="2" t="s">
        <v>51</v>
      </c>
      <c r="L75" s="2" t="s">
        <v>1065</v>
      </c>
      <c r="M75" s="2">
        <v>1050000</v>
      </c>
      <c r="N75" s="2">
        <v>1500000</v>
      </c>
      <c r="O75" s="2" t="s">
        <v>1066</v>
      </c>
      <c r="P75" s="3">
        <v>45656</v>
      </c>
      <c r="Q75" s="2" t="s">
        <v>1067</v>
      </c>
      <c r="R75" s="2" t="s">
        <v>1068</v>
      </c>
      <c r="S75" s="2" t="s">
        <v>69</v>
      </c>
      <c r="T75" s="2" t="s">
        <v>1069</v>
      </c>
      <c r="U75" s="2" t="s">
        <v>1070</v>
      </c>
      <c r="V75" s="2" t="s">
        <v>365</v>
      </c>
      <c r="W75" s="3">
        <v>44561</v>
      </c>
      <c r="X75" s="2" t="s">
        <v>88</v>
      </c>
      <c r="Y75" s="2" t="s">
        <v>392</v>
      </c>
      <c r="Z75" s="2" t="s">
        <v>1071</v>
      </c>
      <c r="AA75" s="2">
        <v>5</v>
      </c>
      <c r="AB75" s="2" t="s">
        <v>90</v>
      </c>
      <c r="AC75" s="2" t="s">
        <v>1072</v>
      </c>
      <c r="AD75" s="3">
        <v>44561</v>
      </c>
      <c r="AE75" s="2" t="s">
        <v>77</v>
      </c>
      <c r="AF75" s="2">
        <v>1200000</v>
      </c>
      <c r="AG75" s="2">
        <v>18000</v>
      </c>
      <c r="AH75" s="2" t="s">
        <v>1073</v>
      </c>
      <c r="AI75" s="2">
        <v>19125</v>
      </c>
      <c r="AJ75" s="11">
        <v>1125</v>
      </c>
      <c r="AK75" s="11" t="s">
        <v>1074</v>
      </c>
    </row>
    <row r="76" spans="1:37">
      <c r="A76" s="10">
        <v>75</v>
      </c>
      <c r="B76" s="2" t="s">
        <v>37</v>
      </c>
      <c r="C76" s="2" t="s">
        <v>1075</v>
      </c>
      <c r="D76" s="2" t="s">
        <v>39</v>
      </c>
      <c r="E76" s="2" t="s">
        <v>40</v>
      </c>
      <c r="F76" s="2" t="s">
        <v>1076</v>
      </c>
      <c r="G76" s="2" t="s">
        <v>62</v>
      </c>
      <c r="H76" s="2" t="s">
        <v>1077</v>
      </c>
      <c r="I76" s="2" t="s">
        <v>1078</v>
      </c>
      <c r="J76" s="2" t="s">
        <v>1079</v>
      </c>
      <c r="K76" s="2" t="s">
        <v>1080</v>
      </c>
      <c r="L76" s="2" t="s">
        <v>1081</v>
      </c>
      <c r="M76" s="2">
        <v>1260000</v>
      </c>
      <c r="N76" s="2">
        <v>1800000</v>
      </c>
      <c r="O76" s="2" t="s">
        <v>1082</v>
      </c>
      <c r="P76" s="3">
        <v>45656</v>
      </c>
      <c r="Q76" s="2" t="s">
        <v>1083</v>
      </c>
      <c r="R76" s="2" t="s">
        <v>1084</v>
      </c>
      <c r="S76" s="2" t="s">
        <v>69</v>
      </c>
      <c r="T76" s="2" t="s">
        <v>51</v>
      </c>
      <c r="U76" s="2" t="s">
        <v>710</v>
      </c>
      <c r="V76" s="2" t="s">
        <v>336</v>
      </c>
      <c r="W76" s="3">
        <v>44196</v>
      </c>
      <c r="X76" s="2" t="s">
        <v>337</v>
      </c>
      <c r="Y76" s="2" t="s">
        <v>338</v>
      </c>
      <c r="Z76" s="2" t="s">
        <v>1085</v>
      </c>
      <c r="AA76" s="2">
        <v>5</v>
      </c>
      <c r="AB76" s="2" t="s">
        <v>106</v>
      </c>
      <c r="AC76" s="2" t="s">
        <v>1086</v>
      </c>
      <c r="AD76" s="3">
        <v>44196</v>
      </c>
      <c r="AE76" s="2" t="s">
        <v>58</v>
      </c>
      <c r="AF76" s="2">
        <v>1350000</v>
      </c>
      <c r="AG76" s="2">
        <v>27000</v>
      </c>
      <c r="AH76" s="2" t="s">
        <v>1087</v>
      </c>
      <c r="AI76" s="2">
        <v>28800</v>
      </c>
      <c r="AJ76" s="11">
        <v>1800</v>
      </c>
      <c r="AK76" s="11" t="s">
        <v>1088</v>
      </c>
    </row>
    <row r="77" spans="1:37" hidden="1">
      <c r="A77" s="10">
        <v>76</v>
      </c>
      <c r="B77" s="2" t="s">
        <v>37</v>
      </c>
      <c r="C77" s="2" t="s">
        <v>1089</v>
      </c>
      <c r="D77" s="2" t="s">
        <v>39</v>
      </c>
      <c r="E77" s="2" t="s">
        <v>40</v>
      </c>
      <c r="F77" s="2" t="s">
        <v>1090</v>
      </c>
      <c r="G77" s="2" t="s">
        <v>276</v>
      </c>
      <c r="H77" s="2" t="s">
        <v>1091</v>
      </c>
      <c r="I77" s="2" t="s">
        <v>1092</v>
      </c>
      <c r="J77" s="2" t="s">
        <v>1093</v>
      </c>
      <c r="K77" s="2" t="s">
        <v>1094</v>
      </c>
      <c r="L77" s="2" t="s">
        <v>1095</v>
      </c>
      <c r="M77" s="2">
        <v>934500</v>
      </c>
      <c r="N77" s="2">
        <v>1335000</v>
      </c>
      <c r="O77" s="2" t="s">
        <v>1096</v>
      </c>
      <c r="P77" s="3">
        <v>45901</v>
      </c>
      <c r="Q77" s="2" t="s">
        <v>1097</v>
      </c>
      <c r="R77" s="2" t="s">
        <v>1098</v>
      </c>
      <c r="S77" s="2" t="s">
        <v>50</v>
      </c>
      <c r="T77" s="2" t="s">
        <v>51</v>
      </c>
      <c r="U77" s="2" t="s">
        <v>285</v>
      </c>
      <c r="V77" s="2" t="s">
        <v>286</v>
      </c>
      <c r="W77" s="3">
        <v>44453</v>
      </c>
      <c r="X77" s="2" t="s">
        <v>287</v>
      </c>
      <c r="Y77" s="3">
        <v>46408</v>
      </c>
      <c r="Z77" s="2" t="s">
        <v>1099</v>
      </c>
      <c r="AA77" s="2">
        <v>5</v>
      </c>
      <c r="AB77" s="2" t="s">
        <v>90</v>
      </c>
      <c r="AC77" s="2" t="s">
        <v>1100</v>
      </c>
      <c r="AD77" s="3">
        <v>44571</v>
      </c>
      <c r="AE77" s="2" t="s">
        <v>58</v>
      </c>
      <c r="AF77" s="2">
        <v>1068000</v>
      </c>
      <c r="AG77" s="2">
        <v>21360</v>
      </c>
      <c r="AH77" s="2" t="s">
        <v>1101</v>
      </c>
      <c r="AI77" s="2">
        <v>21360</v>
      </c>
      <c r="AJ77" s="11">
        <v>0</v>
      </c>
      <c r="AK77" s="11"/>
    </row>
    <row r="78" spans="1:37" hidden="1">
      <c r="A78" s="10">
        <v>77</v>
      </c>
      <c r="B78" s="2" t="s">
        <v>37</v>
      </c>
      <c r="C78" s="2" t="s">
        <v>1102</v>
      </c>
      <c r="D78" s="2" t="s">
        <v>39</v>
      </c>
      <c r="E78" s="2" t="s">
        <v>40</v>
      </c>
      <c r="F78" s="2" t="s">
        <v>1103</v>
      </c>
      <c r="G78" s="2" t="s">
        <v>1104</v>
      </c>
      <c r="H78" s="2" t="s">
        <v>1105</v>
      </c>
      <c r="I78" s="2" t="s">
        <v>1106</v>
      </c>
      <c r="J78" s="2" t="s">
        <v>1106</v>
      </c>
      <c r="K78" s="2" t="s">
        <v>1106</v>
      </c>
      <c r="L78" s="2" t="s">
        <v>1107</v>
      </c>
      <c r="M78" s="2">
        <v>984000</v>
      </c>
      <c r="N78" s="2">
        <v>1640000</v>
      </c>
      <c r="O78" s="2" t="s">
        <v>1108</v>
      </c>
      <c r="P78" s="3">
        <v>45901</v>
      </c>
      <c r="Q78" s="2" t="s">
        <v>1109</v>
      </c>
      <c r="R78" s="2" t="s">
        <v>1110</v>
      </c>
      <c r="S78" s="2" t="s">
        <v>50</v>
      </c>
      <c r="T78" s="2" t="s">
        <v>51</v>
      </c>
      <c r="U78" s="2" t="s">
        <v>1111</v>
      </c>
      <c r="V78" s="2" t="s">
        <v>286</v>
      </c>
      <c r="W78" s="3">
        <v>44347</v>
      </c>
      <c r="X78" s="2" t="s">
        <v>287</v>
      </c>
      <c r="Y78" s="3">
        <v>46408</v>
      </c>
      <c r="Z78" s="2" t="s">
        <v>1112</v>
      </c>
      <c r="AA78" s="2">
        <v>5</v>
      </c>
      <c r="AB78" s="2" t="s">
        <v>56</v>
      </c>
      <c r="AC78" s="2" t="s">
        <v>1113</v>
      </c>
      <c r="AD78" s="3">
        <v>44571</v>
      </c>
      <c r="AE78" s="2" t="s">
        <v>58</v>
      </c>
      <c r="AF78" s="2">
        <v>1312000</v>
      </c>
      <c r="AG78" s="2">
        <v>26240</v>
      </c>
      <c r="AH78" s="2" t="s">
        <v>1114</v>
      </c>
      <c r="AI78" s="2">
        <v>26240</v>
      </c>
      <c r="AJ78" s="11">
        <v>0</v>
      </c>
      <c r="AK78" s="11"/>
    </row>
    <row r="79" spans="1:37">
      <c r="A79" s="10">
        <v>78</v>
      </c>
      <c r="B79" s="2" t="s">
        <v>37</v>
      </c>
      <c r="C79" s="2" t="s">
        <v>1115</v>
      </c>
      <c r="D79" s="2" t="s">
        <v>39</v>
      </c>
      <c r="E79" s="2" t="s">
        <v>40</v>
      </c>
      <c r="F79" s="2" t="s">
        <v>1116</v>
      </c>
      <c r="G79" s="2" t="s">
        <v>112</v>
      </c>
      <c r="H79" s="2" t="s">
        <v>1117</v>
      </c>
      <c r="I79" s="2" t="s">
        <v>1118</v>
      </c>
      <c r="J79" s="2" t="s">
        <v>51</v>
      </c>
      <c r="K79" s="2" t="s">
        <v>1119</v>
      </c>
      <c r="L79" s="2" t="s">
        <v>1120</v>
      </c>
      <c r="M79" s="2">
        <v>1235000</v>
      </c>
      <c r="N79" s="2">
        <v>1900000</v>
      </c>
      <c r="O79" s="2" t="s">
        <v>1121</v>
      </c>
      <c r="P79" s="3">
        <v>45656</v>
      </c>
      <c r="Q79" s="2" t="s">
        <v>1122</v>
      </c>
      <c r="R79" s="2" t="s">
        <v>1123</v>
      </c>
      <c r="S79" s="2" t="s">
        <v>69</v>
      </c>
      <c r="T79" s="2" t="s">
        <v>1124</v>
      </c>
      <c r="U79" s="2" t="s">
        <v>1125</v>
      </c>
      <c r="V79" s="2" t="s">
        <v>1126</v>
      </c>
      <c r="W79" s="3">
        <v>44196</v>
      </c>
      <c r="X79" s="2" t="s">
        <v>337</v>
      </c>
      <c r="Y79" s="2" t="s">
        <v>338</v>
      </c>
      <c r="Z79" s="2" t="s">
        <v>1127</v>
      </c>
      <c r="AA79" s="2">
        <v>5</v>
      </c>
      <c r="AB79" s="2" t="s">
        <v>90</v>
      </c>
      <c r="AC79" s="2" t="s">
        <v>1128</v>
      </c>
      <c r="AD79" s="3">
        <v>44196</v>
      </c>
      <c r="AE79" s="2" t="s">
        <v>58</v>
      </c>
      <c r="AF79" s="2">
        <v>1425000</v>
      </c>
      <c r="AG79" s="2">
        <v>28500</v>
      </c>
      <c r="AH79" s="2" t="s">
        <v>1129</v>
      </c>
      <c r="AI79" s="2">
        <v>30400</v>
      </c>
      <c r="AJ79" s="11">
        <v>1900</v>
      </c>
      <c r="AK79" s="11" t="s">
        <v>1130</v>
      </c>
    </row>
    <row r="80" spans="1:37" hidden="1">
      <c r="A80" s="10">
        <v>79</v>
      </c>
      <c r="B80" s="2" t="s">
        <v>37</v>
      </c>
      <c r="C80" s="2" t="s">
        <v>1131</v>
      </c>
      <c r="D80" s="2" t="s">
        <v>39</v>
      </c>
      <c r="E80" s="2" t="s">
        <v>40</v>
      </c>
      <c r="F80" s="2" t="s">
        <v>1132</v>
      </c>
      <c r="G80" s="2" t="s">
        <v>497</v>
      </c>
      <c r="H80" s="2" t="s">
        <v>1133</v>
      </c>
      <c r="I80" s="2" t="s">
        <v>1134</v>
      </c>
      <c r="J80" s="2" t="s">
        <v>1134</v>
      </c>
      <c r="K80" s="2" t="s">
        <v>328</v>
      </c>
      <c r="L80" s="2" t="s">
        <v>1135</v>
      </c>
      <c r="M80" s="2">
        <v>1068000</v>
      </c>
      <c r="N80" s="2">
        <v>1335000</v>
      </c>
      <c r="O80" s="2" t="s">
        <v>1136</v>
      </c>
      <c r="P80" s="3">
        <v>45901</v>
      </c>
      <c r="Q80" s="2" t="s">
        <v>1137</v>
      </c>
      <c r="R80" s="2" t="s">
        <v>1138</v>
      </c>
      <c r="S80" s="2" t="s">
        <v>50</v>
      </c>
      <c r="T80" s="2" t="s">
        <v>51</v>
      </c>
      <c r="U80" s="2" t="s">
        <v>1139</v>
      </c>
      <c r="V80" s="2" t="s">
        <v>286</v>
      </c>
      <c r="W80" s="3">
        <v>44408</v>
      </c>
      <c r="X80" s="2" t="s">
        <v>287</v>
      </c>
      <c r="Y80" s="3">
        <v>46408</v>
      </c>
      <c r="Z80" s="2" t="s">
        <v>1140</v>
      </c>
      <c r="AA80" s="2">
        <v>5</v>
      </c>
      <c r="AB80" s="2" t="s">
        <v>75</v>
      </c>
      <c r="AC80" s="2" t="s">
        <v>1141</v>
      </c>
      <c r="AD80" s="3">
        <v>44568</v>
      </c>
      <c r="AE80" s="2" t="s">
        <v>58</v>
      </c>
      <c r="AF80" s="2">
        <v>1068000</v>
      </c>
      <c r="AG80" s="2">
        <v>21360</v>
      </c>
      <c r="AH80" s="2" t="s">
        <v>1142</v>
      </c>
      <c r="AI80" s="2">
        <v>21360</v>
      </c>
      <c r="AJ80" s="11">
        <v>0</v>
      </c>
      <c r="AK80" s="11"/>
    </row>
    <row r="81" spans="1:37">
      <c r="A81" s="10">
        <v>80</v>
      </c>
      <c r="B81" s="2" t="s">
        <v>37</v>
      </c>
      <c r="C81" s="2" t="s">
        <v>1143</v>
      </c>
      <c r="D81" s="2" t="s">
        <v>39</v>
      </c>
      <c r="E81" s="2" t="s">
        <v>40</v>
      </c>
      <c r="F81" s="2" t="s">
        <v>1144</v>
      </c>
      <c r="G81" s="2" t="s">
        <v>112</v>
      </c>
      <c r="H81" s="2" t="s">
        <v>1145</v>
      </c>
      <c r="I81" s="2" t="s">
        <v>51</v>
      </c>
      <c r="J81" s="2" t="s">
        <v>1146</v>
      </c>
      <c r="K81" s="2" t="s">
        <v>51</v>
      </c>
      <c r="L81" s="2" t="s">
        <v>1147</v>
      </c>
      <c r="M81" s="2">
        <v>876300</v>
      </c>
      <c r="N81" s="2">
        <v>1270000</v>
      </c>
      <c r="O81" s="2" t="s">
        <v>1148</v>
      </c>
      <c r="P81" s="3">
        <v>45656</v>
      </c>
      <c r="Q81" s="2" t="s">
        <v>1149</v>
      </c>
      <c r="R81" s="2" t="s">
        <v>1150</v>
      </c>
      <c r="S81" s="2" t="s">
        <v>69</v>
      </c>
      <c r="T81" s="2" t="s">
        <v>1151</v>
      </c>
      <c r="U81" s="2" t="s">
        <v>1152</v>
      </c>
      <c r="V81" s="2" t="s">
        <v>286</v>
      </c>
      <c r="W81" s="3">
        <v>44565</v>
      </c>
      <c r="X81" s="2" t="s">
        <v>73</v>
      </c>
      <c r="Y81" s="2" t="s">
        <v>318</v>
      </c>
      <c r="Z81" s="2" t="s">
        <v>1153</v>
      </c>
      <c r="AA81" s="2">
        <v>5</v>
      </c>
      <c r="AB81" s="2" t="s">
        <v>75</v>
      </c>
      <c r="AC81" s="2" t="s">
        <v>1154</v>
      </c>
      <c r="AD81" s="3">
        <v>44561</v>
      </c>
      <c r="AE81" s="2" t="s">
        <v>77</v>
      </c>
      <c r="AF81" s="2">
        <v>1016000</v>
      </c>
      <c r="AG81" s="2">
        <v>15240</v>
      </c>
      <c r="AH81" s="2" t="s">
        <v>1155</v>
      </c>
      <c r="AI81" s="2">
        <v>16193</v>
      </c>
      <c r="AJ81" s="11">
        <v>953</v>
      </c>
      <c r="AK81" s="11" t="s">
        <v>1156</v>
      </c>
    </row>
    <row r="82" spans="1:37">
      <c r="A82" s="10">
        <v>81</v>
      </c>
      <c r="B82" s="2" t="s">
        <v>37</v>
      </c>
      <c r="C82" s="2" t="s">
        <v>1157</v>
      </c>
      <c r="D82" s="2" t="s">
        <v>39</v>
      </c>
      <c r="E82" s="2" t="s">
        <v>40</v>
      </c>
      <c r="F82" s="2" t="s">
        <v>1158</v>
      </c>
      <c r="G82" s="2" t="s">
        <v>62</v>
      </c>
      <c r="H82" s="2" t="s">
        <v>1159</v>
      </c>
      <c r="I82" s="2" t="s">
        <v>1160</v>
      </c>
      <c r="J82" s="2" t="s">
        <v>1160</v>
      </c>
      <c r="K82" s="2" t="s">
        <v>328</v>
      </c>
      <c r="L82" s="2" t="s">
        <v>1161</v>
      </c>
      <c r="M82" s="2">
        <v>875000</v>
      </c>
      <c r="N82" s="2">
        <v>1250000</v>
      </c>
      <c r="O82" s="2" t="s">
        <v>1162</v>
      </c>
      <c r="P82" s="3">
        <v>45656</v>
      </c>
      <c r="Q82" s="2" t="s">
        <v>1163</v>
      </c>
      <c r="R82" s="2" t="s">
        <v>1164</v>
      </c>
      <c r="S82" s="2" t="s">
        <v>69</v>
      </c>
      <c r="T82" s="2" t="s">
        <v>1165</v>
      </c>
      <c r="U82" s="2" t="s">
        <v>1166</v>
      </c>
      <c r="V82" s="2" t="s">
        <v>336</v>
      </c>
      <c r="W82" s="3">
        <v>44561</v>
      </c>
      <c r="X82" s="2" t="s">
        <v>88</v>
      </c>
      <c r="Y82" s="2" t="s">
        <v>338</v>
      </c>
      <c r="Z82" s="2" t="s">
        <v>1167</v>
      </c>
      <c r="AA82" s="2">
        <v>4</v>
      </c>
      <c r="AB82" s="2" t="s">
        <v>75</v>
      </c>
      <c r="AC82" s="2" t="s">
        <v>1168</v>
      </c>
      <c r="AD82" s="3">
        <v>44561</v>
      </c>
      <c r="AE82" s="2" t="s">
        <v>77</v>
      </c>
      <c r="AF82" s="2">
        <v>1000000</v>
      </c>
      <c r="AG82" s="2">
        <v>15000</v>
      </c>
      <c r="AH82" s="2" t="s">
        <v>1169</v>
      </c>
      <c r="AI82" s="2">
        <v>15938</v>
      </c>
      <c r="AJ82" s="11">
        <v>938</v>
      </c>
      <c r="AK82" s="11" t="s">
        <v>1170</v>
      </c>
    </row>
    <row r="83" spans="1:37">
      <c r="A83" s="10">
        <v>82</v>
      </c>
      <c r="B83" s="2" t="s">
        <v>37</v>
      </c>
      <c r="C83" s="2" t="s">
        <v>1171</v>
      </c>
      <c r="D83" s="2" t="s">
        <v>39</v>
      </c>
      <c r="E83" s="2" t="s">
        <v>40</v>
      </c>
      <c r="F83" s="2" t="s">
        <v>1172</v>
      </c>
      <c r="G83" s="2" t="s">
        <v>276</v>
      </c>
      <c r="H83" s="2" t="s">
        <v>1173</v>
      </c>
      <c r="I83" s="2" t="s">
        <v>1174</v>
      </c>
      <c r="J83" s="2" t="s">
        <v>1174</v>
      </c>
      <c r="K83" s="2" t="s">
        <v>1174</v>
      </c>
      <c r="L83" s="2" t="s">
        <v>1175</v>
      </c>
      <c r="M83" s="2">
        <v>602000</v>
      </c>
      <c r="N83" s="2">
        <v>1400000</v>
      </c>
      <c r="O83" s="2" t="s">
        <v>1176</v>
      </c>
      <c r="P83" s="3">
        <v>45656</v>
      </c>
      <c r="Q83" s="2" t="s">
        <v>1177</v>
      </c>
      <c r="R83" s="2" t="s">
        <v>1178</v>
      </c>
      <c r="S83" s="2" t="s">
        <v>69</v>
      </c>
      <c r="T83" s="2" t="s">
        <v>1179</v>
      </c>
      <c r="U83" s="2" t="s">
        <v>253</v>
      </c>
      <c r="V83" s="2" t="s">
        <v>300</v>
      </c>
      <c r="W83" s="3">
        <v>44565</v>
      </c>
      <c r="X83" s="2" t="s">
        <v>73</v>
      </c>
      <c r="Y83" s="2" t="s">
        <v>318</v>
      </c>
      <c r="Z83" s="2" t="s">
        <v>1180</v>
      </c>
      <c r="AA83" s="2">
        <v>5</v>
      </c>
      <c r="AB83" s="2" t="s">
        <v>90</v>
      </c>
      <c r="AC83" s="2" t="s">
        <v>1181</v>
      </c>
      <c r="AD83" s="3">
        <v>44561</v>
      </c>
      <c r="AE83" s="2" t="s">
        <v>77</v>
      </c>
      <c r="AF83" s="2">
        <v>1120000</v>
      </c>
      <c r="AG83" s="2">
        <v>16800</v>
      </c>
      <c r="AH83" s="2" t="s">
        <v>1182</v>
      </c>
      <c r="AI83" s="2">
        <v>17850</v>
      </c>
      <c r="AJ83" s="11">
        <v>1050</v>
      </c>
      <c r="AK83" s="11" t="s">
        <v>1183</v>
      </c>
    </row>
    <row r="84" spans="1:37" hidden="1">
      <c r="A84" s="10">
        <v>83</v>
      </c>
      <c r="B84" s="2" t="s">
        <v>37</v>
      </c>
      <c r="C84" s="2" t="s">
        <v>1184</v>
      </c>
      <c r="D84" s="2" t="s">
        <v>39</v>
      </c>
      <c r="E84" s="2" t="s">
        <v>40</v>
      </c>
      <c r="F84" s="2" t="s">
        <v>1185</v>
      </c>
      <c r="G84" s="2" t="s">
        <v>62</v>
      </c>
      <c r="H84" s="2" t="s">
        <v>1186</v>
      </c>
      <c r="I84" s="2" t="s">
        <v>1187</v>
      </c>
      <c r="J84" s="2" t="s">
        <v>1188</v>
      </c>
      <c r="K84" s="2" t="s">
        <v>1189</v>
      </c>
      <c r="L84" s="2" t="s">
        <v>1190</v>
      </c>
      <c r="M84" s="2">
        <v>1828400</v>
      </c>
      <c r="N84" s="2">
        <v>2612000</v>
      </c>
      <c r="O84" s="2" t="s">
        <v>1191</v>
      </c>
      <c r="P84" s="3">
        <v>45655</v>
      </c>
      <c r="Q84" s="2" t="s">
        <v>1192</v>
      </c>
      <c r="R84" s="2" t="s">
        <v>1193</v>
      </c>
      <c r="S84" s="2" t="s">
        <v>50</v>
      </c>
      <c r="T84" s="2" t="s">
        <v>51</v>
      </c>
      <c r="U84" s="2" t="s">
        <v>285</v>
      </c>
      <c r="V84" s="2" t="s">
        <v>1194</v>
      </c>
      <c r="W84" s="3">
        <v>45290</v>
      </c>
      <c r="X84" s="2" t="s">
        <v>1195</v>
      </c>
      <c r="Y84" s="2" t="s">
        <v>392</v>
      </c>
      <c r="Z84" s="2" t="s">
        <v>1196</v>
      </c>
      <c r="AA84" s="2">
        <v>3</v>
      </c>
      <c r="AB84" s="2" t="s">
        <v>160</v>
      </c>
      <c r="AC84" s="2" t="s">
        <v>1197</v>
      </c>
      <c r="AD84" s="3">
        <v>45290</v>
      </c>
      <c r="AE84" s="2" t="s">
        <v>108</v>
      </c>
      <c r="AF84" s="2">
        <v>2350800</v>
      </c>
      <c r="AG84" s="2">
        <v>41139</v>
      </c>
      <c r="AH84" s="2" t="s">
        <v>1198</v>
      </c>
      <c r="AI84" s="2">
        <v>41139</v>
      </c>
      <c r="AJ84" s="11">
        <v>0</v>
      </c>
      <c r="AK84" s="11"/>
    </row>
    <row r="85" spans="1:37" hidden="1">
      <c r="A85" s="10">
        <v>84</v>
      </c>
      <c r="B85" s="2" t="s">
        <v>37</v>
      </c>
      <c r="C85" s="2" t="s">
        <v>1199</v>
      </c>
      <c r="D85" s="2" t="s">
        <v>39</v>
      </c>
      <c r="E85" s="2" t="s">
        <v>40</v>
      </c>
      <c r="F85" s="2" t="s">
        <v>1200</v>
      </c>
      <c r="G85" s="2" t="s">
        <v>62</v>
      </c>
      <c r="H85" s="2" t="s">
        <v>1201</v>
      </c>
      <c r="I85" s="2" t="s">
        <v>1202</v>
      </c>
      <c r="J85" s="2" t="s">
        <v>1203</v>
      </c>
      <c r="K85" s="2" t="s">
        <v>1204</v>
      </c>
      <c r="L85" s="2" t="s">
        <v>1205</v>
      </c>
      <c r="M85" s="2">
        <v>1836750</v>
      </c>
      <c r="N85" s="2">
        <v>2449000</v>
      </c>
      <c r="O85" s="2" t="s">
        <v>1206</v>
      </c>
      <c r="P85" s="3">
        <v>45901</v>
      </c>
      <c r="Q85" s="2" t="s">
        <v>1207</v>
      </c>
      <c r="R85" s="2" t="s">
        <v>1208</v>
      </c>
      <c r="S85" s="2" t="s">
        <v>50</v>
      </c>
      <c r="T85" s="2" t="s">
        <v>51</v>
      </c>
      <c r="U85" s="2" t="s">
        <v>1043</v>
      </c>
      <c r="V85" s="2" t="s">
        <v>286</v>
      </c>
      <c r="W85" s="3">
        <v>44316</v>
      </c>
      <c r="X85" s="2" t="s">
        <v>73</v>
      </c>
      <c r="Y85" s="3">
        <v>46398</v>
      </c>
      <c r="Z85" s="2" t="s">
        <v>1209</v>
      </c>
      <c r="AA85" s="2">
        <v>5</v>
      </c>
      <c r="AB85" s="2" t="s">
        <v>90</v>
      </c>
      <c r="AC85" s="2" t="s">
        <v>1210</v>
      </c>
      <c r="AD85" s="3">
        <v>44571</v>
      </c>
      <c r="AE85" s="2" t="s">
        <v>58</v>
      </c>
      <c r="AF85" s="2">
        <v>1959200</v>
      </c>
      <c r="AG85" s="2">
        <v>39184</v>
      </c>
      <c r="AH85" s="2" t="s">
        <v>1211</v>
      </c>
      <c r="AI85" s="2">
        <v>39184</v>
      </c>
      <c r="AJ85" s="11">
        <v>0</v>
      </c>
      <c r="AK85" s="11"/>
    </row>
    <row r="86" spans="1:37" hidden="1">
      <c r="A86" s="10">
        <v>85</v>
      </c>
      <c r="B86" s="2" t="s">
        <v>37</v>
      </c>
      <c r="C86" s="2" t="s">
        <v>1212</v>
      </c>
      <c r="D86" s="2" t="s">
        <v>39</v>
      </c>
      <c r="E86" s="2" t="s">
        <v>40</v>
      </c>
      <c r="F86" s="2" t="s">
        <v>1213</v>
      </c>
      <c r="G86" s="2" t="s">
        <v>62</v>
      </c>
      <c r="H86" s="2" t="s">
        <v>1214</v>
      </c>
      <c r="I86" s="2" t="s">
        <v>1215</v>
      </c>
      <c r="J86" s="2" t="s">
        <v>1215</v>
      </c>
      <c r="K86" s="2" t="s">
        <v>328</v>
      </c>
      <c r="L86" s="2" t="s">
        <v>1216</v>
      </c>
      <c r="M86" s="2">
        <v>2478000</v>
      </c>
      <c r="N86" s="2">
        <v>3540000</v>
      </c>
      <c r="O86" s="2" t="s">
        <v>1217</v>
      </c>
      <c r="P86" s="3">
        <v>45655</v>
      </c>
      <c r="Q86" s="2" t="s">
        <v>1218</v>
      </c>
      <c r="R86" s="4" t="s">
        <v>1219</v>
      </c>
      <c r="S86" s="2" t="s">
        <v>69</v>
      </c>
      <c r="T86" s="2" t="s">
        <v>1220</v>
      </c>
      <c r="U86" s="2" t="s">
        <v>1221</v>
      </c>
      <c r="V86" s="2" t="s">
        <v>72</v>
      </c>
      <c r="W86" s="3">
        <v>45290</v>
      </c>
      <c r="X86" s="2" t="s">
        <v>1195</v>
      </c>
      <c r="Y86" s="2" t="s">
        <v>392</v>
      </c>
      <c r="Z86" s="2" t="s">
        <v>1222</v>
      </c>
      <c r="AA86" s="2">
        <v>3</v>
      </c>
      <c r="AB86" s="2" t="s">
        <v>160</v>
      </c>
      <c r="AC86" s="2" t="s">
        <v>1223</v>
      </c>
      <c r="AD86" s="3">
        <v>45290</v>
      </c>
      <c r="AE86" s="2" t="s">
        <v>108</v>
      </c>
      <c r="AF86" s="2">
        <v>3186000</v>
      </c>
      <c r="AG86" s="2">
        <v>55755</v>
      </c>
      <c r="AH86" s="2" t="s">
        <v>1224</v>
      </c>
      <c r="AI86" s="2">
        <v>55755</v>
      </c>
      <c r="AJ86" s="11">
        <v>0</v>
      </c>
      <c r="AK86" s="11"/>
    </row>
    <row r="87" spans="1:37" hidden="1">
      <c r="A87" s="10">
        <v>86</v>
      </c>
      <c r="B87" s="2" t="s">
        <v>37</v>
      </c>
      <c r="C87" s="2" t="s">
        <v>1225</v>
      </c>
      <c r="D87" s="2" t="s">
        <v>39</v>
      </c>
      <c r="E87" s="2" t="s">
        <v>40</v>
      </c>
      <c r="F87" s="2" t="s">
        <v>1226</v>
      </c>
      <c r="G87" s="2" t="s">
        <v>62</v>
      </c>
      <c r="H87" s="2" t="s">
        <v>1227</v>
      </c>
      <c r="I87" s="2" t="s">
        <v>51</v>
      </c>
      <c r="J87" s="2" t="s">
        <v>1228</v>
      </c>
      <c r="K87" s="2" t="s">
        <v>51</v>
      </c>
      <c r="L87" s="2" t="s">
        <v>1229</v>
      </c>
      <c r="M87" s="2">
        <v>2784000</v>
      </c>
      <c r="N87" s="2">
        <v>4350000</v>
      </c>
      <c r="O87" s="2" t="s">
        <v>1230</v>
      </c>
      <c r="P87" s="3">
        <v>45655</v>
      </c>
      <c r="Q87" s="2" t="s">
        <v>1231</v>
      </c>
      <c r="R87" s="2" t="s">
        <v>1232</v>
      </c>
      <c r="S87" s="2" t="s">
        <v>69</v>
      </c>
      <c r="T87" s="2" t="s">
        <v>1233</v>
      </c>
      <c r="U87" s="2" t="s">
        <v>1234</v>
      </c>
      <c r="V87" s="2" t="s">
        <v>391</v>
      </c>
      <c r="W87" s="3">
        <v>45290</v>
      </c>
      <c r="X87" s="2" t="s">
        <v>1195</v>
      </c>
      <c r="Y87" s="2" t="s">
        <v>392</v>
      </c>
      <c r="Z87" s="2" t="s">
        <v>1235</v>
      </c>
      <c r="AA87" s="2">
        <v>3</v>
      </c>
      <c r="AB87" s="2" t="s">
        <v>160</v>
      </c>
      <c r="AC87" s="2" t="s">
        <v>1236</v>
      </c>
      <c r="AD87" s="3">
        <v>45290</v>
      </c>
      <c r="AE87" s="2" t="s">
        <v>108</v>
      </c>
      <c r="AF87" s="2">
        <v>3915000</v>
      </c>
      <c r="AG87" s="2">
        <v>68513</v>
      </c>
      <c r="AH87" s="2" t="s">
        <v>1237</v>
      </c>
      <c r="AI87" s="2">
        <v>68513</v>
      </c>
      <c r="AJ87" s="11">
        <v>0</v>
      </c>
      <c r="AK87" s="11"/>
    </row>
    <row r="88" spans="1:37" hidden="1">
      <c r="A88" s="10">
        <v>87</v>
      </c>
      <c r="B88" s="2" t="s">
        <v>37</v>
      </c>
      <c r="C88" s="2" t="s">
        <v>1238</v>
      </c>
      <c r="D88" s="2" t="s">
        <v>39</v>
      </c>
      <c r="E88" s="2" t="s">
        <v>40</v>
      </c>
      <c r="F88" s="2" t="s">
        <v>1239</v>
      </c>
      <c r="G88" s="2" t="s">
        <v>497</v>
      </c>
      <c r="H88" s="2" t="s">
        <v>1240</v>
      </c>
      <c r="I88" s="2" t="s">
        <v>1241</v>
      </c>
      <c r="J88" s="2" t="s">
        <v>1242</v>
      </c>
      <c r="K88" s="2" t="s">
        <v>1241</v>
      </c>
      <c r="L88" s="2" t="s">
        <v>1243</v>
      </c>
      <c r="M88" s="2">
        <v>1870000</v>
      </c>
      <c r="N88" s="2">
        <v>3400000</v>
      </c>
      <c r="O88" s="2" t="s">
        <v>1244</v>
      </c>
      <c r="P88" s="3">
        <v>45655</v>
      </c>
      <c r="Q88" s="2" t="s">
        <v>1245</v>
      </c>
      <c r="R88" s="2" t="s">
        <v>1246</v>
      </c>
      <c r="S88" s="2" t="s">
        <v>69</v>
      </c>
      <c r="T88" s="2" t="s">
        <v>51</v>
      </c>
      <c r="U88" s="2" t="s">
        <v>1247</v>
      </c>
      <c r="V88" s="2" t="s">
        <v>286</v>
      </c>
      <c r="W88" s="3">
        <v>45290</v>
      </c>
      <c r="X88" s="2" t="s">
        <v>1195</v>
      </c>
      <c r="Y88" s="2" t="s">
        <v>392</v>
      </c>
      <c r="Z88" s="2" t="s">
        <v>1248</v>
      </c>
      <c r="AA88" s="2">
        <v>3</v>
      </c>
      <c r="AB88" s="2" t="s">
        <v>160</v>
      </c>
      <c r="AC88" s="2" t="s">
        <v>1249</v>
      </c>
      <c r="AD88" s="3">
        <v>45290</v>
      </c>
      <c r="AE88" s="2" t="s">
        <v>108</v>
      </c>
      <c r="AF88" s="2">
        <v>3060000</v>
      </c>
      <c r="AG88" s="2">
        <v>53550</v>
      </c>
      <c r="AH88" s="2" t="s">
        <v>1250</v>
      </c>
      <c r="AI88" s="2">
        <v>53550</v>
      </c>
      <c r="AJ88" s="11">
        <v>0</v>
      </c>
      <c r="AK88" s="11"/>
    </row>
    <row r="89" spans="1:37" hidden="1">
      <c r="A89" s="10">
        <v>88</v>
      </c>
      <c r="B89" s="2" t="s">
        <v>37</v>
      </c>
      <c r="C89" s="2" t="s">
        <v>1251</v>
      </c>
      <c r="D89" s="2" t="s">
        <v>39</v>
      </c>
      <c r="E89" s="2" t="s">
        <v>40</v>
      </c>
      <c r="F89" s="2" t="s">
        <v>1252</v>
      </c>
      <c r="G89" s="2" t="s">
        <v>497</v>
      </c>
      <c r="H89" s="2" t="s">
        <v>1253</v>
      </c>
      <c r="I89" s="2" t="s">
        <v>1254</v>
      </c>
      <c r="J89" s="2" t="s">
        <v>1255</v>
      </c>
      <c r="K89" s="2" t="s">
        <v>1254</v>
      </c>
      <c r="L89" s="2" t="s">
        <v>1256</v>
      </c>
      <c r="M89" s="2">
        <v>2400000</v>
      </c>
      <c r="N89" s="2">
        <v>4800000</v>
      </c>
      <c r="O89" s="2" t="s">
        <v>1244</v>
      </c>
      <c r="P89" s="3">
        <v>45655</v>
      </c>
      <c r="Q89" s="2" t="s">
        <v>1257</v>
      </c>
      <c r="R89" s="2" t="s">
        <v>1258</v>
      </c>
      <c r="S89" s="2" t="s">
        <v>69</v>
      </c>
      <c r="T89" s="2" t="s">
        <v>51</v>
      </c>
      <c r="U89" s="2" t="s">
        <v>1234</v>
      </c>
      <c r="V89" s="2" t="s">
        <v>72</v>
      </c>
      <c r="W89" s="3">
        <v>45290</v>
      </c>
      <c r="X89" s="2" t="s">
        <v>1195</v>
      </c>
      <c r="Y89" s="2" t="s">
        <v>392</v>
      </c>
      <c r="Z89" s="2" t="s">
        <v>1259</v>
      </c>
      <c r="AA89" s="2">
        <v>3</v>
      </c>
      <c r="AB89" s="2" t="s">
        <v>160</v>
      </c>
      <c r="AC89" s="2" t="s">
        <v>1260</v>
      </c>
      <c r="AD89" s="3">
        <v>45290</v>
      </c>
      <c r="AE89" s="2" t="s">
        <v>108</v>
      </c>
      <c r="AF89" s="2">
        <v>4320000</v>
      </c>
      <c r="AG89" s="2">
        <v>75600</v>
      </c>
      <c r="AH89" s="2" t="s">
        <v>1261</v>
      </c>
      <c r="AI89" s="2">
        <v>75600</v>
      </c>
      <c r="AJ89" s="11">
        <v>0</v>
      </c>
      <c r="AK89" s="11"/>
    </row>
    <row r="90" spans="1:37" hidden="1">
      <c r="A90" s="10">
        <v>89</v>
      </c>
      <c r="B90" s="2" t="s">
        <v>37</v>
      </c>
      <c r="C90" s="2" t="s">
        <v>1262</v>
      </c>
      <c r="D90" s="2" t="s">
        <v>39</v>
      </c>
      <c r="E90" s="2" t="s">
        <v>40</v>
      </c>
      <c r="F90" s="2" t="s">
        <v>1263</v>
      </c>
      <c r="G90" s="2" t="s">
        <v>62</v>
      </c>
      <c r="H90" s="2" t="s">
        <v>1264</v>
      </c>
      <c r="I90" s="2" t="s">
        <v>1265</v>
      </c>
      <c r="J90" s="2" t="s">
        <v>1266</v>
      </c>
      <c r="K90" s="2" t="s">
        <v>1265</v>
      </c>
      <c r="L90" s="2" t="s">
        <v>1267</v>
      </c>
      <c r="M90" s="2">
        <v>2970000</v>
      </c>
      <c r="N90" s="2">
        <v>4950000</v>
      </c>
      <c r="O90" s="2" t="s">
        <v>1268</v>
      </c>
      <c r="P90" s="3">
        <v>45655</v>
      </c>
      <c r="Q90" s="2" t="s">
        <v>1269</v>
      </c>
      <c r="R90" s="2" t="s">
        <v>1270</v>
      </c>
      <c r="S90" s="2" t="s">
        <v>69</v>
      </c>
      <c r="T90" s="2" t="s">
        <v>1271</v>
      </c>
      <c r="U90" s="2" t="s">
        <v>1272</v>
      </c>
      <c r="V90" s="2" t="s">
        <v>286</v>
      </c>
      <c r="W90" s="3">
        <v>45290</v>
      </c>
      <c r="X90" s="2" t="s">
        <v>1195</v>
      </c>
      <c r="Y90" s="2" t="s">
        <v>392</v>
      </c>
      <c r="Z90" s="2" t="s">
        <v>1273</v>
      </c>
      <c r="AA90" s="2">
        <v>3</v>
      </c>
      <c r="AB90" s="2" t="s">
        <v>160</v>
      </c>
      <c r="AC90" s="2" t="s">
        <v>1274</v>
      </c>
      <c r="AD90" s="3">
        <v>45290</v>
      </c>
      <c r="AE90" s="2" t="s">
        <v>108</v>
      </c>
      <c r="AF90" s="2">
        <v>4455000</v>
      </c>
      <c r="AG90" s="2">
        <v>77963</v>
      </c>
      <c r="AH90" s="2" t="s">
        <v>1275</v>
      </c>
      <c r="AI90" s="2">
        <v>77963</v>
      </c>
      <c r="AJ90" s="11">
        <v>0</v>
      </c>
      <c r="AK90" s="11"/>
    </row>
    <row r="91" spans="1:37" hidden="1">
      <c r="A91" s="10">
        <v>90</v>
      </c>
      <c r="B91" s="2" t="s">
        <v>37</v>
      </c>
      <c r="C91" s="2" t="s">
        <v>1276</v>
      </c>
      <c r="D91" s="2" t="s">
        <v>39</v>
      </c>
      <c r="E91" s="2" t="s">
        <v>40</v>
      </c>
      <c r="F91" s="2" t="s">
        <v>1277</v>
      </c>
      <c r="G91" s="2" t="s">
        <v>62</v>
      </c>
      <c r="H91" s="2" t="s">
        <v>1278</v>
      </c>
      <c r="I91" s="2" t="s">
        <v>1279</v>
      </c>
      <c r="J91" s="2" t="s">
        <v>1280</v>
      </c>
      <c r="K91" s="2" t="s">
        <v>1279</v>
      </c>
      <c r="L91" s="2" t="s">
        <v>1281</v>
      </c>
      <c r="M91" s="2">
        <v>2992500</v>
      </c>
      <c r="N91" s="2">
        <v>4750000</v>
      </c>
      <c r="O91" s="2" t="s">
        <v>1282</v>
      </c>
      <c r="P91" s="3">
        <v>45901</v>
      </c>
      <c r="Q91" s="2" t="s">
        <v>1283</v>
      </c>
      <c r="R91" s="2" t="s">
        <v>1284</v>
      </c>
      <c r="S91" s="2" t="s">
        <v>69</v>
      </c>
      <c r="T91" s="2" t="s">
        <v>1285</v>
      </c>
      <c r="U91" s="2" t="s">
        <v>1286</v>
      </c>
      <c r="V91" s="2" t="s">
        <v>1194</v>
      </c>
      <c r="W91" s="3">
        <v>45597</v>
      </c>
      <c r="X91" s="2" t="s">
        <v>209</v>
      </c>
      <c r="Y91" s="3">
        <v>46398</v>
      </c>
      <c r="Z91" s="2" t="s">
        <v>1287</v>
      </c>
      <c r="AA91" s="2">
        <v>3</v>
      </c>
      <c r="AB91" s="2" t="s">
        <v>160</v>
      </c>
      <c r="AC91" s="2" t="s">
        <v>1288</v>
      </c>
      <c r="AD91" s="3">
        <v>45301</v>
      </c>
      <c r="AE91" s="2" t="s">
        <v>108</v>
      </c>
      <c r="AF91" s="2">
        <v>4275000</v>
      </c>
      <c r="AG91" s="2">
        <v>74813</v>
      </c>
      <c r="AH91" s="2" t="s">
        <v>1289</v>
      </c>
      <c r="AI91" s="2">
        <v>74813</v>
      </c>
      <c r="AJ91" s="11">
        <v>0</v>
      </c>
      <c r="AK91" s="11"/>
    </row>
    <row r="92" spans="1:37" hidden="1">
      <c r="A92" s="10">
        <v>91</v>
      </c>
      <c r="B92" s="2" t="s">
        <v>37</v>
      </c>
      <c r="C92" s="2" t="s">
        <v>1290</v>
      </c>
      <c r="D92" s="2" t="s">
        <v>39</v>
      </c>
      <c r="E92" s="2" t="s">
        <v>40</v>
      </c>
      <c r="F92" s="2" t="s">
        <v>1291</v>
      </c>
      <c r="G92" s="2" t="s">
        <v>62</v>
      </c>
      <c r="H92" s="2" t="s">
        <v>1292</v>
      </c>
      <c r="I92" s="2" t="s">
        <v>51</v>
      </c>
      <c r="J92" s="2" t="s">
        <v>51</v>
      </c>
      <c r="K92" s="2" t="s">
        <v>51</v>
      </c>
      <c r="L92" s="2" t="s">
        <v>1293</v>
      </c>
      <c r="M92" s="2">
        <v>2976000</v>
      </c>
      <c r="N92" s="2">
        <v>4800000</v>
      </c>
      <c r="O92" s="2" t="s">
        <v>1294</v>
      </c>
      <c r="P92" s="3">
        <v>45655</v>
      </c>
      <c r="Q92" s="2" t="s">
        <v>1295</v>
      </c>
      <c r="R92" s="2" t="s">
        <v>1296</v>
      </c>
      <c r="S92" s="2" t="s">
        <v>69</v>
      </c>
      <c r="T92" s="2" t="s">
        <v>1297</v>
      </c>
      <c r="U92" s="2" t="s">
        <v>1298</v>
      </c>
      <c r="V92" s="2" t="s">
        <v>53</v>
      </c>
      <c r="W92" s="3">
        <v>45290</v>
      </c>
      <c r="X92" s="2" t="s">
        <v>1195</v>
      </c>
      <c r="Y92" s="2" t="s">
        <v>392</v>
      </c>
      <c r="Z92" s="2" t="s">
        <v>1299</v>
      </c>
      <c r="AA92" s="2">
        <v>3</v>
      </c>
      <c r="AB92" s="2" t="s">
        <v>160</v>
      </c>
      <c r="AC92" s="2" t="s">
        <v>1300</v>
      </c>
      <c r="AD92" s="3">
        <v>45290</v>
      </c>
      <c r="AE92" s="2" t="s">
        <v>108</v>
      </c>
      <c r="AF92" s="2">
        <v>4320000</v>
      </c>
      <c r="AG92" s="2">
        <v>75600</v>
      </c>
      <c r="AH92" s="2" t="s">
        <v>1301</v>
      </c>
      <c r="AI92" s="2">
        <v>75600</v>
      </c>
      <c r="AJ92" s="11">
        <v>0</v>
      </c>
      <c r="AK92" s="11"/>
    </row>
    <row r="93" spans="1:37" hidden="1">
      <c r="A93" s="10">
        <v>92</v>
      </c>
      <c r="B93" s="2" t="s">
        <v>37</v>
      </c>
      <c r="C93" s="2" t="s">
        <v>1302</v>
      </c>
      <c r="D93" s="2" t="s">
        <v>39</v>
      </c>
      <c r="E93" s="2" t="s">
        <v>40</v>
      </c>
      <c r="F93" s="2" t="s">
        <v>1303</v>
      </c>
      <c r="G93" s="2" t="s">
        <v>42</v>
      </c>
      <c r="H93" s="2" t="s">
        <v>1304</v>
      </c>
      <c r="I93" s="2" t="s">
        <v>1305</v>
      </c>
      <c r="J93" s="2" t="s">
        <v>1306</v>
      </c>
      <c r="K93" s="2" t="s">
        <v>1305</v>
      </c>
      <c r="L93" s="2" t="s">
        <v>1307</v>
      </c>
      <c r="M93" s="2">
        <v>2275000</v>
      </c>
      <c r="N93" s="2">
        <v>3500000</v>
      </c>
      <c r="O93" s="2" t="s">
        <v>1308</v>
      </c>
      <c r="P93" s="3">
        <v>45901</v>
      </c>
      <c r="Q93" s="2" t="s">
        <v>1309</v>
      </c>
      <c r="R93" s="2" t="s">
        <v>1310</v>
      </c>
      <c r="S93" s="2" t="s">
        <v>69</v>
      </c>
      <c r="T93" s="2" t="s">
        <v>1311</v>
      </c>
      <c r="U93" s="2" t="s">
        <v>1247</v>
      </c>
      <c r="V93" s="2" t="s">
        <v>521</v>
      </c>
      <c r="W93" s="3">
        <v>45566</v>
      </c>
      <c r="X93" s="2" t="s">
        <v>209</v>
      </c>
      <c r="Y93" s="3">
        <v>46398</v>
      </c>
      <c r="Z93" s="2" t="s">
        <v>1312</v>
      </c>
      <c r="AA93" s="2">
        <v>3</v>
      </c>
      <c r="AB93" s="2" t="s">
        <v>160</v>
      </c>
      <c r="AC93" s="2" t="s">
        <v>1313</v>
      </c>
      <c r="AD93" s="3">
        <v>45301</v>
      </c>
      <c r="AE93" s="2" t="s">
        <v>108</v>
      </c>
      <c r="AF93" s="2">
        <v>3150000</v>
      </c>
      <c r="AG93" s="2">
        <v>55125</v>
      </c>
      <c r="AH93" s="2" t="s">
        <v>1314</v>
      </c>
      <c r="AI93" s="2">
        <v>55125</v>
      </c>
      <c r="AJ93" s="11">
        <v>0</v>
      </c>
      <c r="AK93" s="11"/>
    </row>
    <row r="94" spans="1:37" hidden="1">
      <c r="A94" s="10">
        <v>93</v>
      </c>
      <c r="B94" s="2" t="s">
        <v>37</v>
      </c>
      <c r="C94" s="2" t="s">
        <v>1315</v>
      </c>
      <c r="D94" s="2" t="s">
        <v>39</v>
      </c>
      <c r="E94" s="2" t="s">
        <v>40</v>
      </c>
      <c r="F94" s="2" t="s">
        <v>1316</v>
      </c>
      <c r="G94" s="2" t="s">
        <v>62</v>
      </c>
      <c r="H94" s="2" t="s">
        <v>1317</v>
      </c>
      <c r="I94" s="2" t="s">
        <v>1318</v>
      </c>
      <c r="J94" s="2" t="s">
        <v>1319</v>
      </c>
      <c r="K94" s="2" t="s">
        <v>1320</v>
      </c>
      <c r="L94" s="2" t="s">
        <v>1321</v>
      </c>
      <c r="M94" s="2">
        <v>2477580</v>
      </c>
      <c r="N94" s="2">
        <v>4858000</v>
      </c>
      <c r="O94" s="2" t="s">
        <v>1322</v>
      </c>
      <c r="P94" s="3">
        <v>45655</v>
      </c>
      <c r="Q94" s="2" t="s">
        <v>1323</v>
      </c>
      <c r="R94" s="2" t="s">
        <v>1324</v>
      </c>
      <c r="S94" s="2" t="s">
        <v>50</v>
      </c>
      <c r="T94" s="2" t="s">
        <v>51</v>
      </c>
      <c r="U94" s="2" t="s">
        <v>1325</v>
      </c>
      <c r="V94" s="2" t="s">
        <v>1194</v>
      </c>
      <c r="W94" s="3">
        <v>45290</v>
      </c>
      <c r="X94" s="2" t="s">
        <v>1195</v>
      </c>
      <c r="Y94" s="2" t="s">
        <v>392</v>
      </c>
      <c r="Z94" s="2" t="s">
        <v>1326</v>
      </c>
      <c r="AA94" s="2">
        <v>3</v>
      </c>
      <c r="AB94" s="2" t="s">
        <v>160</v>
      </c>
      <c r="AC94" s="2" t="s">
        <v>1327</v>
      </c>
      <c r="AD94" s="3">
        <v>45290</v>
      </c>
      <c r="AE94" s="2" t="s">
        <v>108</v>
      </c>
      <c r="AF94" s="2">
        <v>4372200</v>
      </c>
      <c r="AG94" s="2">
        <v>76514</v>
      </c>
      <c r="AH94" s="2" t="s">
        <v>1328</v>
      </c>
      <c r="AI94" s="2">
        <v>76514</v>
      </c>
      <c r="AJ94" s="11">
        <v>0</v>
      </c>
      <c r="AK94" s="11"/>
    </row>
    <row r="95" spans="1:37" hidden="1">
      <c r="A95" s="10">
        <v>94</v>
      </c>
      <c r="B95" s="2" t="s">
        <v>37</v>
      </c>
      <c r="C95" s="2" t="s">
        <v>1329</v>
      </c>
      <c r="D95" s="2" t="s">
        <v>39</v>
      </c>
      <c r="E95" s="2" t="s">
        <v>40</v>
      </c>
      <c r="F95" s="2" t="s">
        <v>1330</v>
      </c>
      <c r="G95" s="2" t="s">
        <v>62</v>
      </c>
      <c r="H95" s="2" t="s">
        <v>1331</v>
      </c>
      <c r="I95" s="2" t="s">
        <v>1332</v>
      </c>
      <c r="J95" s="2" t="s">
        <v>1332</v>
      </c>
      <c r="K95" s="2" t="s">
        <v>328</v>
      </c>
      <c r="L95" s="2" t="s">
        <v>1333</v>
      </c>
      <c r="M95" s="2">
        <v>2765000</v>
      </c>
      <c r="N95" s="2">
        <v>3950000</v>
      </c>
      <c r="O95" s="2" t="s">
        <v>1334</v>
      </c>
      <c r="P95" s="3">
        <v>45655</v>
      </c>
      <c r="Q95" s="2" t="s">
        <v>1335</v>
      </c>
      <c r="R95" s="2" t="s">
        <v>1336</v>
      </c>
      <c r="S95" s="2" t="s">
        <v>69</v>
      </c>
      <c r="T95" s="2" t="s">
        <v>1337</v>
      </c>
      <c r="U95" s="2" t="s">
        <v>1338</v>
      </c>
      <c r="V95" s="2" t="s">
        <v>300</v>
      </c>
      <c r="W95" s="3">
        <v>45290</v>
      </c>
      <c r="X95" s="2" t="s">
        <v>1195</v>
      </c>
      <c r="Y95" s="2" t="s">
        <v>392</v>
      </c>
      <c r="Z95" s="2" t="s">
        <v>1339</v>
      </c>
      <c r="AA95" s="2">
        <v>3</v>
      </c>
      <c r="AB95" s="2" t="s">
        <v>160</v>
      </c>
      <c r="AC95" s="2" t="s">
        <v>1340</v>
      </c>
      <c r="AD95" s="3">
        <v>45290</v>
      </c>
      <c r="AE95" s="2" t="s">
        <v>108</v>
      </c>
      <c r="AF95" s="2">
        <v>3555000</v>
      </c>
      <c r="AG95" s="2">
        <v>62213</v>
      </c>
      <c r="AH95" s="2" t="s">
        <v>1341</v>
      </c>
      <c r="AI95" s="2">
        <v>62213</v>
      </c>
      <c r="AJ95" s="11">
        <v>0</v>
      </c>
      <c r="AK95" s="11"/>
    </row>
    <row r="96" spans="1:37" hidden="1">
      <c r="A96" s="10">
        <v>95</v>
      </c>
      <c r="B96" s="2" t="s">
        <v>37</v>
      </c>
      <c r="C96" s="2" t="s">
        <v>1342</v>
      </c>
      <c r="D96" s="2" t="s">
        <v>39</v>
      </c>
      <c r="E96" s="2" t="s">
        <v>40</v>
      </c>
      <c r="F96" s="2" t="s">
        <v>1343</v>
      </c>
      <c r="G96" s="2" t="s">
        <v>62</v>
      </c>
      <c r="H96" s="2" t="s">
        <v>1344</v>
      </c>
      <c r="I96" s="2" t="s">
        <v>1345</v>
      </c>
      <c r="J96" s="2" t="s">
        <v>1345</v>
      </c>
      <c r="K96" s="2" t="s">
        <v>328</v>
      </c>
      <c r="L96" s="2" t="s">
        <v>1346</v>
      </c>
      <c r="M96" s="2">
        <v>1519000</v>
      </c>
      <c r="N96" s="2">
        <v>2170000</v>
      </c>
      <c r="O96" s="2" t="s">
        <v>1347</v>
      </c>
      <c r="P96" s="3">
        <v>45655</v>
      </c>
      <c r="Q96" s="2" t="s">
        <v>1348</v>
      </c>
      <c r="R96" s="2" t="s">
        <v>1349</v>
      </c>
      <c r="S96" s="2" t="s">
        <v>69</v>
      </c>
      <c r="T96" s="2" t="s">
        <v>1350</v>
      </c>
      <c r="U96" s="2" t="s">
        <v>1166</v>
      </c>
      <c r="V96" s="2" t="s">
        <v>72</v>
      </c>
      <c r="W96" s="3">
        <v>45290</v>
      </c>
      <c r="X96" s="2" t="s">
        <v>1195</v>
      </c>
      <c r="Y96" s="2" t="s">
        <v>821</v>
      </c>
      <c r="Z96" s="2" t="s">
        <v>1351</v>
      </c>
      <c r="AA96" s="2">
        <v>5</v>
      </c>
      <c r="AB96" s="2" t="s">
        <v>160</v>
      </c>
      <c r="AC96" s="2" t="s">
        <v>1352</v>
      </c>
      <c r="AD96" s="3">
        <v>45290</v>
      </c>
      <c r="AE96" s="2" t="s">
        <v>108</v>
      </c>
      <c r="AF96" s="2">
        <v>1953000</v>
      </c>
      <c r="AG96" s="2">
        <v>34178</v>
      </c>
      <c r="AH96" s="2" t="s">
        <v>1353</v>
      </c>
      <c r="AI96" s="2">
        <v>34178</v>
      </c>
      <c r="AJ96" s="11">
        <v>0</v>
      </c>
      <c r="AK96" s="11"/>
    </row>
    <row r="97" spans="1:37">
      <c r="A97" s="10">
        <v>96</v>
      </c>
      <c r="B97" s="2" t="s">
        <v>37</v>
      </c>
      <c r="C97" s="2" t="s">
        <v>1354</v>
      </c>
      <c r="D97" s="2" t="s">
        <v>39</v>
      </c>
      <c r="E97" s="2" t="s">
        <v>40</v>
      </c>
      <c r="F97" s="2" t="s">
        <v>1355</v>
      </c>
      <c r="G97" s="2" t="s">
        <v>112</v>
      </c>
      <c r="H97" s="2" t="s">
        <v>1356</v>
      </c>
      <c r="I97" s="2" t="s">
        <v>1357</v>
      </c>
      <c r="J97" s="2" t="s">
        <v>51</v>
      </c>
      <c r="K97" s="2" t="s">
        <v>1358</v>
      </c>
      <c r="L97" s="2" t="s">
        <v>1359</v>
      </c>
      <c r="M97" s="2">
        <v>1018680</v>
      </c>
      <c r="N97" s="2">
        <v>1306000</v>
      </c>
      <c r="O97" s="2" t="s">
        <v>1360</v>
      </c>
      <c r="P97" s="3">
        <v>45655</v>
      </c>
      <c r="Q97" s="2" t="s">
        <v>1361</v>
      </c>
      <c r="R97" s="2" t="s">
        <v>1362</v>
      </c>
      <c r="S97" s="2" t="s">
        <v>50</v>
      </c>
      <c r="T97" s="2" t="s">
        <v>51</v>
      </c>
      <c r="U97" s="2" t="s">
        <v>982</v>
      </c>
      <c r="V97" s="2" t="s">
        <v>53</v>
      </c>
      <c r="W97" s="3">
        <v>44651</v>
      </c>
      <c r="X97" s="2" t="s">
        <v>54</v>
      </c>
      <c r="Y97" s="2" t="s">
        <v>1363</v>
      </c>
      <c r="Z97" s="2" t="s">
        <v>1364</v>
      </c>
      <c r="AA97" s="2">
        <v>7</v>
      </c>
      <c r="AB97" s="2" t="s">
        <v>90</v>
      </c>
      <c r="AC97" s="2" t="s">
        <v>1365</v>
      </c>
      <c r="AD97" s="3">
        <v>44925</v>
      </c>
      <c r="AE97" s="2" t="s">
        <v>58</v>
      </c>
      <c r="AF97" s="2">
        <v>1110100</v>
      </c>
      <c r="AG97" s="2">
        <v>22202</v>
      </c>
      <c r="AH97" s="2" t="s">
        <v>1366</v>
      </c>
      <c r="AI97" s="2">
        <v>23508</v>
      </c>
      <c r="AJ97" s="11">
        <v>1306</v>
      </c>
      <c r="AK97" s="11" t="s">
        <v>1367</v>
      </c>
    </row>
    <row r="98" spans="1:37">
      <c r="A98" s="10">
        <v>97</v>
      </c>
      <c r="B98" s="2" t="s">
        <v>37</v>
      </c>
      <c r="C98" s="2" t="s">
        <v>1368</v>
      </c>
      <c r="D98" s="2" t="s">
        <v>39</v>
      </c>
      <c r="E98" s="2" t="s">
        <v>40</v>
      </c>
      <c r="F98" s="2" t="s">
        <v>1369</v>
      </c>
      <c r="G98" s="2" t="s">
        <v>62</v>
      </c>
      <c r="H98" s="2" t="s">
        <v>1370</v>
      </c>
      <c r="I98" s="2" t="s">
        <v>1371</v>
      </c>
      <c r="J98" s="2" t="s">
        <v>1372</v>
      </c>
      <c r="K98" s="2" t="s">
        <v>1373</v>
      </c>
      <c r="L98" s="2" t="s">
        <v>1374</v>
      </c>
      <c r="M98" s="2">
        <v>1213100</v>
      </c>
      <c r="N98" s="2">
        <v>1733000</v>
      </c>
      <c r="O98" s="2" t="s">
        <v>1375</v>
      </c>
      <c r="P98" s="3">
        <v>45655</v>
      </c>
      <c r="Q98" s="2" t="s">
        <v>1376</v>
      </c>
      <c r="R98" s="2" t="s">
        <v>1377</v>
      </c>
      <c r="S98" s="2" t="s">
        <v>50</v>
      </c>
      <c r="T98" s="2" t="s">
        <v>51</v>
      </c>
      <c r="U98" s="2" t="s">
        <v>285</v>
      </c>
      <c r="V98" s="2" t="s">
        <v>53</v>
      </c>
      <c r="W98" s="3">
        <v>44735</v>
      </c>
      <c r="X98" s="2" t="s">
        <v>237</v>
      </c>
      <c r="Y98" s="2" t="s">
        <v>238</v>
      </c>
      <c r="Z98" s="2" t="s">
        <v>1378</v>
      </c>
      <c r="AA98" s="2">
        <v>5</v>
      </c>
      <c r="AB98" s="2" t="s">
        <v>160</v>
      </c>
      <c r="AC98" s="2" t="s">
        <v>1379</v>
      </c>
      <c r="AD98" s="3">
        <v>44922</v>
      </c>
      <c r="AE98" s="2" t="s">
        <v>58</v>
      </c>
      <c r="AF98" s="2">
        <v>1473050</v>
      </c>
      <c r="AG98" s="2">
        <v>29461</v>
      </c>
      <c r="AH98" s="2" t="s">
        <v>1380</v>
      </c>
      <c r="AI98" s="2">
        <v>31194</v>
      </c>
      <c r="AJ98" s="11">
        <v>1733</v>
      </c>
      <c r="AK98" s="11" t="s">
        <v>1381</v>
      </c>
    </row>
    <row r="99" spans="1:37">
      <c r="A99" s="10">
        <v>98</v>
      </c>
      <c r="B99" s="2" t="s">
        <v>37</v>
      </c>
      <c r="C99" s="2" t="s">
        <v>1382</v>
      </c>
      <c r="D99" s="2" t="s">
        <v>39</v>
      </c>
      <c r="E99" s="2" t="s">
        <v>40</v>
      </c>
      <c r="F99" s="2" t="s">
        <v>1383</v>
      </c>
      <c r="G99" s="2" t="s">
        <v>62</v>
      </c>
      <c r="H99" s="2" t="s">
        <v>1384</v>
      </c>
      <c r="I99" s="2" t="s">
        <v>51</v>
      </c>
      <c r="J99" s="2" t="s">
        <v>1385</v>
      </c>
      <c r="K99" s="2" t="s">
        <v>51</v>
      </c>
      <c r="L99" s="2" t="s">
        <v>1386</v>
      </c>
      <c r="M99" s="2">
        <v>6634000</v>
      </c>
      <c r="N99" s="2">
        <v>13268000</v>
      </c>
      <c r="O99" s="2" t="s">
        <v>1387</v>
      </c>
      <c r="P99" s="3">
        <v>45655</v>
      </c>
      <c r="Q99" s="2" t="s">
        <v>1388</v>
      </c>
      <c r="R99" s="2" t="s">
        <v>1389</v>
      </c>
      <c r="S99" s="2" t="s">
        <v>266</v>
      </c>
      <c r="T99" s="2" t="s">
        <v>51</v>
      </c>
      <c r="U99" s="2" t="s">
        <v>1390</v>
      </c>
      <c r="V99" s="2" t="s">
        <v>53</v>
      </c>
      <c r="W99" s="3">
        <v>44831</v>
      </c>
      <c r="X99" s="2" t="s">
        <v>237</v>
      </c>
      <c r="Y99" s="2" t="s">
        <v>821</v>
      </c>
      <c r="Z99" s="2" t="s">
        <v>1391</v>
      </c>
      <c r="AA99" s="2">
        <v>6</v>
      </c>
      <c r="AB99" s="2" t="s">
        <v>106</v>
      </c>
      <c r="AC99" s="2" t="s">
        <v>1392</v>
      </c>
      <c r="AD99" s="3">
        <v>44910</v>
      </c>
      <c r="AE99" s="2" t="s">
        <v>271</v>
      </c>
      <c r="AF99" s="2">
        <v>11277800</v>
      </c>
      <c r="AG99" s="2">
        <v>157889</v>
      </c>
      <c r="AH99" s="2" t="s">
        <v>1393</v>
      </c>
      <c r="AI99" s="2">
        <v>167177</v>
      </c>
      <c r="AJ99" s="11">
        <v>9288</v>
      </c>
      <c r="AK99" s="11" t="s">
        <v>1394</v>
      </c>
    </row>
    <row r="100" spans="1:37" hidden="1">
      <c r="A100" s="10">
        <v>99</v>
      </c>
      <c r="B100" s="2" t="s">
        <v>37</v>
      </c>
      <c r="C100" s="2" t="s">
        <v>1395</v>
      </c>
      <c r="D100" s="2" t="s">
        <v>39</v>
      </c>
      <c r="E100" s="2" t="s">
        <v>40</v>
      </c>
      <c r="F100" s="2" t="s">
        <v>1396</v>
      </c>
      <c r="G100" s="2" t="s">
        <v>276</v>
      </c>
      <c r="H100" s="2" t="s">
        <v>1397</v>
      </c>
      <c r="I100" s="2" t="s">
        <v>1398</v>
      </c>
      <c r="J100" s="2" t="s">
        <v>1398</v>
      </c>
      <c r="K100" s="2" t="s">
        <v>1398</v>
      </c>
      <c r="L100" s="2" t="s">
        <v>1399</v>
      </c>
      <c r="M100" s="2">
        <v>885500</v>
      </c>
      <c r="N100" s="2">
        <v>1610000</v>
      </c>
      <c r="O100" s="2" t="s">
        <v>1400</v>
      </c>
      <c r="P100" s="3">
        <v>45931</v>
      </c>
      <c r="Q100" s="2" t="s">
        <v>1401</v>
      </c>
      <c r="R100" s="2" t="s">
        <v>1402</v>
      </c>
      <c r="S100" s="2" t="s">
        <v>50</v>
      </c>
      <c r="T100" s="2" t="s">
        <v>51</v>
      </c>
      <c r="U100" s="2" t="s">
        <v>1403</v>
      </c>
      <c r="V100" s="2" t="s">
        <v>53</v>
      </c>
      <c r="W100" s="3">
        <v>44463</v>
      </c>
      <c r="X100" s="2" t="s">
        <v>287</v>
      </c>
      <c r="Y100" s="3">
        <v>46408</v>
      </c>
      <c r="Z100" s="2" t="s">
        <v>1404</v>
      </c>
      <c r="AA100" s="2">
        <v>5</v>
      </c>
      <c r="AB100" s="2" t="s">
        <v>90</v>
      </c>
      <c r="AC100" s="2" t="s">
        <v>1405</v>
      </c>
      <c r="AD100" s="3">
        <v>44572</v>
      </c>
      <c r="AE100" s="2" t="s">
        <v>58</v>
      </c>
      <c r="AF100" s="2">
        <v>1288000</v>
      </c>
      <c r="AG100" s="2">
        <v>25760</v>
      </c>
      <c r="AH100" s="2" t="s">
        <v>1406</v>
      </c>
      <c r="AI100" s="2">
        <v>25760</v>
      </c>
      <c r="AJ100" s="11">
        <v>0</v>
      </c>
      <c r="AK100" s="11"/>
    </row>
    <row r="101" spans="1:37" hidden="1">
      <c r="A101" s="10">
        <v>100</v>
      </c>
      <c r="B101" s="2" t="s">
        <v>37</v>
      </c>
      <c r="C101" s="2" t="s">
        <v>1407</v>
      </c>
      <c r="D101" s="2" t="s">
        <v>39</v>
      </c>
      <c r="E101" s="2" t="s">
        <v>40</v>
      </c>
      <c r="F101" s="2" t="s">
        <v>773</v>
      </c>
      <c r="G101" s="2" t="s">
        <v>276</v>
      </c>
      <c r="H101" s="2" t="s">
        <v>1408</v>
      </c>
      <c r="I101" s="2" t="s">
        <v>1409</v>
      </c>
      <c r="J101" s="2" t="s">
        <v>1409</v>
      </c>
      <c r="K101" s="2" t="s">
        <v>1409</v>
      </c>
      <c r="L101" s="2" t="s">
        <v>1410</v>
      </c>
      <c r="M101" s="2">
        <v>912600</v>
      </c>
      <c r="N101" s="2">
        <v>1521000</v>
      </c>
      <c r="O101" s="2" t="s">
        <v>1411</v>
      </c>
      <c r="P101" s="3">
        <v>45931</v>
      </c>
      <c r="Q101" s="2" t="s">
        <v>1412</v>
      </c>
      <c r="R101" s="2" t="s">
        <v>1413</v>
      </c>
      <c r="S101" s="2" t="s">
        <v>50</v>
      </c>
      <c r="T101" s="2" t="s">
        <v>51</v>
      </c>
      <c r="U101" s="2" t="s">
        <v>133</v>
      </c>
      <c r="V101" s="2" t="s">
        <v>286</v>
      </c>
      <c r="W101" s="3">
        <v>44425</v>
      </c>
      <c r="X101" s="2" t="s">
        <v>1414</v>
      </c>
      <c r="Y101" s="3">
        <v>46421</v>
      </c>
      <c r="Z101" s="2" t="s">
        <v>1415</v>
      </c>
      <c r="AA101" s="2">
        <v>5</v>
      </c>
      <c r="AB101" s="2" t="s">
        <v>90</v>
      </c>
      <c r="AC101" s="2" t="s">
        <v>1416</v>
      </c>
      <c r="AD101" s="3">
        <v>44572</v>
      </c>
      <c r="AE101" s="2" t="s">
        <v>58</v>
      </c>
      <c r="AF101" s="2">
        <v>1216800</v>
      </c>
      <c r="AG101" s="2">
        <v>24336</v>
      </c>
      <c r="AH101" s="2" t="s">
        <v>1417</v>
      </c>
      <c r="AI101" s="2">
        <v>24336</v>
      </c>
      <c r="AJ101" s="11">
        <v>0</v>
      </c>
      <c r="AK101" s="11"/>
    </row>
    <row r="102" spans="1:37">
      <c r="A102" s="10">
        <v>101</v>
      </c>
      <c r="B102" s="2" t="s">
        <v>37</v>
      </c>
      <c r="C102" s="2" t="s">
        <v>1418</v>
      </c>
      <c r="D102" s="2" t="s">
        <v>39</v>
      </c>
      <c r="E102" s="2" t="s">
        <v>40</v>
      </c>
      <c r="F102" s="2" t="s">
        <v>1419</v>
      </c>
      <c r="G102" s="2" t="s">
        <v>1420</v>
      </c>
      <c r="H102" s="2" t="s">
        <v>1421</v>
      </c>
      <c r="I102" s="2" t="s">
        <v>1422</v>
      </c>
      <c r="J102" s="2" t="s">
        <v>1423</v>
      </c>
      <c r="K102" s="2" t="s">
        <v>1422</v>
      </c>
      <c r="L102" s="2" t="s">
        <v>1424</v>
      </c>
      <c r="M102" s="2">
        <v>1032500</v>
      </c>
      <c r="N102" s="2">
        <v>1475000</v>
      </c>
      <c r="O102" s="2" t="s">
        <v>1425</v>
      </c>
      <c r="P102" s="3">
        <v>45655</v>
      </c>
      <c r="Q102" s="2" t="s">
        <v>1426</v>
      </c>
      <c r="R102" s="2" t="s">
        <v>1427</v>
      </c>
      <c r="S102" s="2" t="s">
        <v>50</v>
      </c>
      <c r="T102" s="2" t="s">
        <v>51</v>
      </c>
      <c r="U102" s="2" t="s">
        <v>1152</v>
      </c>
      <c r="V102" s="2" t="s">
        <v>53</v>
      </c>
      <c r="W102" s="3">
        <v>44736</v>
      </c>
      <c r="X102" s="2" t="s">
        <v>237</v>
      </c>
      <c r="Y102" s="2" t="s">
        <v>392</v>
      </c>
      <c r="Z102" s="2" t="s">
        <v>1428</v>
      </c>
      <c r="AA102" s="2">
        <v>4</v>
      </c>
      <c r="AB102" s="2" t="s">
        <v>106</v>
      </c>
      <c r="AC102" s="2" t="s">
        <v>1429</v>
      </c>
      <c r="AD102" s="3">
        <v>44923</v>
      </c>
      <c r="AE102" s="2" t="s">
        <v>77</v>
      </c>
      <c r="AF102" s="2">
        <v>1253750</v>
      </c>
      <c r="AG102" s="2">
        <v>18806</v>
      </c>
      <c r="AH102" s="2" t="s">
        <v>1430</v>
      </c>
      <c r="AI102" s="2">
        <v>19913</v>
      </c>
      <c r="AJ102" s="11">
        <v>1107</v>
      </c>
      <c r="AK102" s="11" t="s">
        <v>1431</v>
      </c>
    </row>
    <row r="103" spans="1:37">
      <c r="A103" s="10">
        <v>102</v>
      </c>
      <c r="B103" s="2" t="s">
        <v>37</v>
      </c>
      <c r="C103" s="2" t="s">
        <v>1432</v>
      </c>
      <c r="D103" s="2" t="s">
        <v>39</v>
      </c>
      <c r="E103" s="2" t="s">
        <v>40</v>
      </c>
      <c r="F103" s="2" t="s">
        <v>1433</v>
      </c>
      <c r="G103" s="2" t="s">
        <v>62</v>
      </c>
      <c r="H103" s="2" t="s">
        <v>1434</v>
      </c>
      <c r="I103" s="2" t="s">
        <v>1435</v>
      </c>
      <c r="J103" s="2" t="s">
        <v>1435</v>
      </c>
      <c r="K103" s="2" t="s">
        <v>1435</v>
      </c>
      <c r="L103" s="2" t="s">
        <v>1436</v>
      </c>
      <c r="M103" s="2">
        <v>2240000</v>
      </c>
      <c r="N103" s="2">
        <v>3500000</v>
      </c>
      <c r="O103" s="2" t="s">
        <v>1437</v>
      </c>
      <c r="P103" s="3">
        <v>45655</v>
      </c>
      <c r="Q103" s="2" t="s">
        <v>1438</v>
      </c>
      <c r="R103" s="2" t="s">
        <v>1439</v>
      </c>
      <c r="S103" s="2" t="s">
        <v>69</v>
      </c>
      <c r="T103" s="2" t="s">
        <v>1440</v>
      </c>
      <c r="U103" s="2" t="s">
        <v>1441</v>
      </c>
      <c r="V103" s="2" t="s">
        <v>72</v>
      </c>
      <c r="W103" s="3">
        <v>44561</v>
      </c>
      <c r="X103" s="2" t="s">
        <v>88</v>
      </c>
      <c r="Y103" s="2" t="s">
        <v>392</v>
      </c>
      <c r="Z103" s="2" t="s">
        <v>1442</v>
      </c>
      <c r="AA103" s="2">
        <v>5</v>
      </c>
      <c r="AB103" s="2" t="s">
        <v>75</v>
      </c>
      <c r="AC103" s="2" t="s">
        <v>1443</v>
      </c>
      <c r="AD103" s="3">
        <v>44560</v>
      </c>
      <c r="AE103" s="2" t="s">
        <v>77</v>
      </c>
      <c r="AF103" s="2">
        <v>2800000</v>
      </c>
      <c r="AG103" s="2">
        <v>42000</v>
      </c>
      <c r="AH103" s="2" t="s">
        <v>1444</v>
      </c>
      <c r="AI103" s="2">
        <v>44625</v>
      </c>
      <c r="AJ103" s="11">
        <v>2625</v>
      </c>
      <c r="AK103" s="11" t="s">
        <v>1445</v>
      </c>
    </row>
    <row r="104" spans="1:37">
      <c r="A104" s="10">
        <v>103</v>
      </c>
      <c r="B104" s="2" t="s">
        <v>37</v>
      </c>
      <c r="C104" s="2" t="s">
        <v>1446</v>
      </c>
      <c r="D104" s="2" t="s">
        <v>39</v>
      </c>
      <c r="E104" s="2" t="s">
        <v>40</v>
      </c>
      <c r="F104" s="2" t="s">
        <v>1447</v>
      </c>
      <c r="G104" s="2" t="s">
        <v>276</v>
      </c>
      <c r="H104" s="2" t="s">
        <v>1448</v>
      </c>
      <c r="I104" s="2" t="s">
        <v>1449</v>
      </c>
      <c r="J104" s="2" t="s">
        <v>1449</v>
      </c>
      <c r="K104" s="2" t="s">
        <v>1449</v>
      </c>
      <c r="L104" s="2" t="s">
        <v>1450</v>
      </c>
      <c r="M104" s="2">
        <v>2170000</v>
      </c>
      <c r="N104" s="2">
        <v>3100000</v>
      </c>
      <c r="O104" s="2" t="s">
        <v>1451</v>
      </c>
      <c r="P104" s="3">
        <v>45655</v>
      </c>
      <c r="Q104" s="2" t="s">
        <v>1452</v>
      </c>
      <c r="R104" s="2" t="s">
        <v>1453</v>
      </c>
      <c r="S104" s="2" t="s">
        <v>69</v>
      </c>
      <c r="T104" s="2" t="s">
        <v>1454</v>
      </c>
      <c r="U104" s="2" t="s">
        <v>563</v>
      </c>
      <c r="V104" s="2" t="s">
        <v>391</v>
      </c>
      <c r="W104" s="3">
        <v>44561</v>
      </c>
      <c r="X104" s="2" t="s">
        <v>88</v>
      </c>
      <c r="Y104" s="2" t="s">
        <v>392</v>
      </c>
      <c r="Z104" s="2" t="s">
        <v>1455</v>
      </c>
      <c r="AA104" s="2">
        <v>5</v>
      </c>
      <c r="AB104" s="2" t="s">
        <v>90</v>
      </c>
      <c r="AC104" s="2" t="s">
        <v>1456</v>
      </c>
      <c r="AD104" s="3">
        <v>44560</v>
      </c>
      <c r="AE104" s="2" t="s">
        <v>77</v>
      </c>
      <c r="AF104" s="2">
        <v>2480000</v>
      </c>
      <c r="AG104" s="2">
        <v>37200</v>
      </c>
      <c r="AH104" s="2" t="s">
        <v>1457</v>
      </c>
      <c r="AI104" s="2">
        <v>39525</v>
      </c>
      <c r="AJ104" s="11">
        <v>2325</v>
      </c>
      <c r="AK104" s="11" t="s">
        <v>1458</v>
      </c>
    </row>
    <row r="105" spans="1:37">
      <c r="A105" s="10">
        <v>104</v>
      </c>
      <c r="B105" s="2" t="s">
        <v>37</v>
      </c>
      <c r="C105" s="2" t="s">
        <v>1459</v>
      </c>
      <c r="D105" s="2" t="s">
        <v>39</v>
      </c>
      <c r="E105" s="2" t="s">
        <v>40</v>
      </c>
      <c r="F105" s="2" t="s">
        <v>1460</v>
      </c>
      <c r="G105" s="2" t="s">
        <v>276</v>
      </c>
      <c r="H105" s="2" t="s">
        <v>1461</v>
      </c>
      <c r="I105" s="2" t="s">
        <v>1462</v>
      </c>
      <c r="J105" s="2" t="s">
        <v>1462</v>
      </c>
      <c r="K105" s="2" t="s">
        <v>1462</v>
      </c>
      <c r="L105" s="2" t="s">
        <v>1463</v>
      </c>
      <c r="M105" s="2">
        <v>2156000</v>
      </c>
      <c r="N105" s="2">
        <v>3850000</v>
      </c>
      <c r="O105" s="2" t="s">
        <v>1464</v>
      </c>
      <c r="P105" s="3">
        <v>45655</v>
      </c>
      <c r="Q105" s="2" t="s">
        <v>1465</v>
      </c>
      <c r="R105" s="2" t="s">
        <v>1466</v>
      </c>
      <c r="S105" s="2" t="s">
        <v>69</v>
      </c>
      <c r="T105" s="2" t="s">
        <v>1467</v>
      </c>
      <c r="U105" s="2" t="s">
        <v>535</v>
      </c>
      <c r="V105" s="2" t="s">
        <v>286</v>
      </c>
      <c r="W105" s="3">
        <v>44565</v>
      </c>
      <c r="X105" s="2" t="s">
        <v>73</v>
      </c>
      <c r="Y105" s="2" t="s">
        <v>318</v>
      </c>
      <c r="Z105" s="2" t="s">
        <v>1468</v>
      </c>
      <c r="AA105" s="2">
        <v>5</v>
      </c>
      <c r="AB105" s="2" t="s">
        <v>90</v>
      </c>
      <c r="AC105" s="2" t="s">
        <v>1469</v>
      </c>
      <c r="AD105" s="3">
        <v>44561</v>
      </c>
      <c r="AE105" s="2" t="s">
        <v>77</v>
      </c>
      <c r="AF105" s="2">
        <v>3080000</v>
      </c>
      <c r="AG105" s="2">
        <v>46200</v>
      </c>
      <c r="AH105" s="2" t="s">
        <v>1470</v>
      </c>
      <c r="AI105" s="2">
        <v>49088</v>
      </c>
      <c r="AJ105" s="11">
        <v>2888</v>
      </c>
      <c r="AK105" s="11" t="s">
        <v>1471</v>
      </c>
    </row>
    <row r="106" spans="1:37">
      <c r="A106" s="10">
        <v>105</v>
      </c>
      <c r="B106" s="2" t="s">
        <v>37</v>
      </c>
      <c r="C106" s="2" t="s">
        <v>1472</v>
      </c>
      <c r="D106" s="2" t="s">
        <v>39</v>
      </c>
      <c r="E106" s="2" t="s">
        <v>40</v>
      </c>
      <c r="F106" s="2" t="s">
        <v>1473</v>
      </c>
      <c r="G106" s="2" t="s">
        <v>62</v>
      </c>
      <c r="H106" s="2" t="s">
        <v>1474</v>
      </c>
      <c r="I106" s="2" t="s">
        <v>1475</v>
      </c>
      <c r="J106" s="2" t="s">
        <v>1475</v>
      </c>
      <c r="K106" s="2" t="s">
        <v>1475</v>
      </c>
      <c r="L106" s="2" t="s">
        <v>1476</v>
      </c>
      <c r="M106" s="2">
        <v>2152500</v>
      </c>
      <c r="N106" s="2">
        <v>3075000</v>
      </c>
      <c r="O106" s="2" t="s">
        <v>1477</v>
      </c>
      <c r="P106" s="3">
        <v>45655</v>
      </c>
      <c r="Q106" s="2" t="s">
        <v>1478</v>
      </c>
      <c r="R106" s="2" t="s">
        <v>1479</v>
      </c>
      <c r="S106" s="2" t="s">
        <v>69</v>
      </c>
      <c r="T106" s="2" t="s">
        <v>1480</v>
      </c>
      <c r="U106" s="2" t="s">
        <v>1481</v>
      </c>
      <c r="V106" s="2" t="s">
        <v>521</v>
      </c>
      <c r="W106" s="3">
        <v>44561</v>
      </c>
      <c r="X106" s="2" t="s">
        <v>88</v>
      </c>
      <c r="Y106" s="2" t="s">
        <v>392</v>
      </c>
      <c r="Z106" s="2" t="s">
        <v>1482</v>
      </c>
      <c r="AA106" s="2">
        <v>5</v>
      </c>
      <c r="AB106" s="2" t="s">
        <v>75</v>
      </c>
      <c r="AC106" s="2" t="s">
        <v>1483</v>
      </c>
      <c r="AD106" s="3">
        <v>44561</v>
      </c>
      <c r="AE106" s="2" t="s">
        <v>77</v>
      </c>
      <c r="AF106" s="2">
        <v>2460000</v>
      </c>
      <c r="AG106" s="2">
        <v>36900</v>
      </c>
      <c r="AH106" s="2" t="s">
        <v>1484</v>
      </c>
      <c r="AI106" s="2">
        <v>39206</v>
      </c>
      <c r="AJ106" s="11">
        <v>2306</v>
      </c>
      <c r="AK106" s="11" t="s">
        <v>1485</v>
      </c>
    </row>
    <row r="107" spans="1:37">
      <c r="A107" s="10">
        <v>106</v>
      </c>
      <c r="B107" s="2" t="s">
        <v>37</v>
      </c>
      <c r="C107" s="2" t="s">
        <v>1486</v>
      </c>
      <c r="D107" s="2" t="s">
        <v>39</v>
      </c>
      <c r="E107" s="2" t="s">
        <v>40</v>
      </c>
      <c r="F107" s="2" t="s">
        <v>1487</v>
      </c>
      <c r="G107" s="2" t="s">
        <v>62</v>
      </c>
      <c r="H107" s="2" t="s">
        <v>1488</v>
      </c>
      <c r="I107" s="2" t="s">
        <v>1489</v>
      </c>
      <c r="J107" s="2" t="s">
        <v>1489</v>
      </c>
      <c r="K107" s="2" t="s">
        <v>328</v>
      </c>
      <c r="L107" s="2" t="s">
        <v>1490</v>
      </c>
      <c r="M107" s="2">
        <v>2426250</v>
      </c>
      <c r="N107" s="2">
        <v>3235000</v>
      </c>
      <c r="O107" s="2" t="s">
        <v>1491</v>
      </c>
      <c r="P107" s="3">
        <v>45655</v>
      </c>
      <c r="Q107" s="2" t="s">
        <v>1492</v>
      </c>
      <c r="R107" s="2" t="s">
        <v>1493</v>
      </c>
      <c r="S107" s="2" t="s">
        <v>333</v>
      </c>
      <c r="T107" s="2" t="s">
        <v>51</v>
      </c>
      <c r="U107" s="2" t="s">
        <v>1494</v>
      </c>
      <c r="V107" s="2" t="s">
        <v>391</v>
      </c>
      <c r="W107" s="3">
        <v>44196</v>
      </c>
      <c r="X107" s="2" t="s">
        <v>337</v>
      </c>
      <c r="Y107" s="2" t="s">
        <v>392</v>
      </c>
      <c r="Z107" s="2" t="s">
        <v>1495</v>
      </c>
      <c r="AA107" s="2">
        <v>6</v>
      </c>
      <c r="AB107" s="2" t="s">
        <v>90</v>
      </c>
      <c r="AC107" s="2" t="s">
        <v>1496</v>
      </c>
      <c r="AD107" s="3">
        <v>44196</v>
      </c>
      <c r="AE107" s="2" t="s">
        <v>58</v>
      </c>
      <c r="AF107" s="2">
        <v>2426250</v>
      </c>
      <c r="AG107" s="2">
        <v>48525</v>
      </c>
      <c r="AH107" s="2" t="s">
        <v>1497</v>
      </c>
      <c r="AI107" s="2">
        <v>51760</v>
      </c>
      <c r="AJ107" s="11">
        <v>3235</v>
      </c>
      <c r="AK107" s="11" t="s">
        <v>1498</v>
      </c>
    </row>
    <row r="108" spans="1:37">
      <c r="A108" s="10">
        <v>107</v>
      </c>
      <c r="B108" s="2" t="s">
        <v>37</v>
      </c>
      <c r="C108" s="2" t="s">
        <v>1499</v>
      </c>
      <c r="D108" s="2" t="s">
        <v>39</v>
      </c>
      <c r="E108" s="2" t="s">
        <v>40</v>
      </c>
      <c r="F108" s="2" t="s">
        <v>1500</v>
      </c>
      <c r="G108" s="2" t="s">
        <v>62</v>
      </c>
      <c r="H108" s="2" t="s">
        <v>1501</v>
      </c>
      <c r="I108" s="2" t="s">
        <v>1502</v>
      </c>
      <c r="J108" s="2" t="s">
        <v>1502</v>
      </c>
      <c r="K108" s="2" t="s">
        <v>328</v>
      </c>
      <c r="L108" s="2" t="s">
        <v>1503</v>
      </c>
      <c r="M108" s="2">
        <v>2030000</v>
      </c>
      <c r="N108" s="2">
        <v>2900000</v>
      </c>
      <c r="O108" s="2" t="s">
        <v>1504</v>
      </c>
      <c r="P108" s="3">
        <v>45655</v>
      </c>
      <c r="Q108" s="2" t="s">
        <v>1505</v>
      </c>
      <c r="R108" s="2" t="s">
        <v>1506</v>
      </c>
      <c r="S108" s="2" t="s">
        <v>69</v>
      </c>
      <c r="T108" s="2" t="s">
        <v>1507</v>
      </c>
      <c r="U108" s="2" t="s">
        <v>1508</v>
      </c>
      <c r="V108" s="2" t="s">
        <v>286</v>
      </c>
      <c r="W108" s="3">
        <v>44561</v>
      </c>
      <c r="X108" s="2" t="s">
        <v>88</v>
      </c>
      <c r="Y108" s="2" t="s">
        <v>392</v>
      </c>
      <c r="Z108" s="2" t="s">
        <v>1509</v>
      </c>
      <c r="AA108" s="2">
        <v>5</v>
      </c>
      <c r="AB108" s="2" t="s">
        <v>75</v>
      </c>
      <c r="AC108" s="2" t="s">
        <v>1510</v>
      </c>
      <c r="AD108" s="3">
        <v>44560</v>
      </c>
      <c r="AE108" s="2" t="s">
        <v>77</v>
      </c>
      <c r="AF108" s="2">
        <v>2320000</v>
      </c>
      <c r="AG108" s="2">
        <v>34800</v>
      </c>
      <c r="AH108" s="2" t="s">
        <v>1511</v>
      </c>
      <c r="AI108" s="2">
        <v>36975</v>
      </c>
      <c r="AJ108" s="11">
        <v>2175</v>
      </c>
      <c r="AK108" s="11" t="s">
        <v>1512</v>
      </c>
    </row>
    <row r="109" spans="1:37">
      <c r="A109" s="10">
        <v>108</v>
      </c>
      <c r="B109" s="2" t="s">
        <v>37</v>
      </c>
      <c r="C109" s="2" t="s">
        <v>1513</v>
      </c>
      <c r="D109" s="2" t="s">
        <v>39</v>
      </c>
      <c r="E109" s="2" t="s">
        <v>40</v>
      </c>
      <c r="F109" s="2" t="s">
        <v>1514</v>
      </c>
      <c r="G109" s="2" t="s">
        <v>276</v>
      </c>
      <c r="H109" s="2" t="s">
        <v>1515</v>
      </c>
      <c r="I109" s="2" t="s">
        <v>1516</v>
      </c>
      <c r="J109" s="2" t="s">
        <v>1516</v>
      </c>
      <c r="K109" s="2" t="s">
        <v>1516</v>
      </c>
      <c r="L109" s="2" t="s">
        <v>1517</v>
      </c>
      <c r="M109" s="2">
        <v>2148750</v>
      </c>
      <c r="N109" s="2">
        <v>2865000</v>
      </c>
      <c r="O109" s="2" t="s">
        <v>1518</v>
      </c>
      <c r="P109" s="3">
        <v>45655</v>
      </c>
      <c r="Q109" s="2" t="s">
        <v>1519</v>
      </c>
      <c r="R109" s="2" t="s">
        <v>1520</v>
      </c>
      <c r="S109" s="2" t="s">
        <v>50</v>
      </c>
      <c r="T109" s="2" t="s">
        <v>51</v>
      </c>
      <c r="U109" s="2" t="s">
        <v>1521</v>
      </c>
      <c r="V109" s="2" t="s">
        <v>521</v>
      </c>
      <c r="W109" s="3">
        <v>44130</v>
      </c>
      <c r="X109" s="2" t="s">
        <v>337</v>
      </c>
      <c r="Y109" s="2" t="s">
        <v>338</v>
      </c>
      <c r="Z109" s="2" t="s">
        <v>1522</v>
      </c>
      <c r="AA109" s="2">
        <v>5</v>
      </c>
      <c r="AB109" s="2" t="s">
        <v>90</v>
      </c>
      <c r="AC109" s="2" t="s">
        <v>1523</v>
      </c>
      <c r="AD109" s="3">
        <v>44196</v>
      </c>
      <c r="AE109" s="2" t="s">
        <v>58</v>
      </c>
      <c r="AF109" s="2">
        <v>2148750</v>
      </c>
      <c r="AG109" s="2">
        <v>42975</v>
      </c>
      <c r="AH109" s="2" t="s">
        <v>1524</v>
      </c>
      <c r="AI109" s="2">
        <v>45840</v>
      </c>
      <c r="AJ109" s="11">
        <v>2865</v>
      </c>
      <c r="AK109" s="11" t="s">
        <v>1525</v>
      </c>
    </row>
    <row r="110" spans="1:37">
      <c r="A110" s="10">
        <v>109</v>
      </c>
      <c r="B110" s="2" t="s">
        <v>37</v>
      </c>
      <c r="C110" s="2" t="s">
        <v>1526</v>
      </c>
      <c r="D110" s="2" t="s">
        <v>39</v>
      </c>
      <c r="E110" s="2" t="s">
        <v>40</v>
      </c>
      <c r="F110" s="2" t="s">
        <v>1527</v>
      </c>
      <c r="G110" s="2" t="s">
        <v>62</v>
      </c>
      <c r="H110" s="2" t="s">
        <v>1528</v>
      </c>
      <c r="I110" s="2" t="s">
        <v>1529</v>
      </c>
      <c r="J110" s="2" t="s">
        <v>1529</v>
      </c>
      <c r="K110" s="2" t="s">
        <v>1530</v>
      </c>
      <c r="L110" s="2" t="s">
        <v>1531</v>
      </c>
      <c r="M110" s="2">
        <v>1576000</v>
      </c>
      <c r="N110" s="2">
        <v>1970000</v>
      </c>
      <c r="O110" s="2" t="s">
        <v>1532</v>
      </c>
      <c r="P110" s="3">
        <v>45655</v>
      </c>
      <c r="Q110" s="2" t="s">
        <v>1533</v>
      </c>
      <c r="R110" s="2" t="s">
        <v>1534</v>
      </c>
      <c r="S110" s="2" t="s">
        <v>69</v>
      </c>
      <c r="T110" s="2" t="s">
        <v>1535</v>
      </c>
      <c r="U110" s="2" t="s">
        <v>1166</v>
      </c>
      <c r="V110" s="2" t="s">
        <v>521</v>
      </c>
      <c r="W110" s="3">
        <v>44561</v>
      </c>
      <c r="X110" s="2" t="s">
        <v>88</v>
      </c>
      <c r="Y110" s="2" t="s">
        <v>392</v>
      </c>
      <c r="Z110" s="2" t="s">
        <v>1536</v>
      </c>
      <c r="AA110" s="2">
        <v>5</v>
      </c>
      <c r="AB110" s="2" t="s">
        <v>75</v>
      </c>
      <c r="AC110" s="2" t="s">
        <v>1537</v>
      </c>
      <c r="AD110" s="3">
        <v>44560</v>
      </c>
      <c r="AE110" s="2" t="s">
        <v>77</v>
      </c>
      <c r="AF110" s="2">
        <v>1576000</v>
      </c>
      <c r="AG110" s="2">
        <v>23640</v>
      </c>
      <c r="AH110" s="2" t="s">
        <v>1538</v>
      </c>
      <c r="AI110" s="2">
        <v>25118</v>
      </c>
      <c r="AJ110" s="11">
        <v>1478</v>
      </c>
      <c r="AK110" s="11" t="s">
        <v>1539</v>
      </c>
    </row>
    <row r="111" spans="1:37">
      <c r="A111" s="10">
        <v>110</v>
      </c>
      <c r="B111" s="2" t="s">
        <v>37</v>
      </c>
      <c r="C111" s="2" t="s">
        <v>1540</v>
      </c>
      <c r="D111" s="2" t="s">
        <v>39</v>
      </c>
      <c r="E111" s="2" t="s">
        <v>40</v>
      </c>
      <c r="F111" s="2" t="s">
        <v>1541</v>
      </c>
      <c r="G111" s="2" t="s">
        <v>62</v>
      </c>
      <c r="H111" s="2" t="s">
        <v>1542</v>
      </c>
      <c r="I111" s="2" t="s">
        <v>1543</v>
      </c>
      <c r="J111" s="2" t="s">
        <v>1543</v>
      </c>
      <c r="K111" s="2" t="s">
        <v>1544</v>
      </c>
      <c r="L111" s="2" t="s">
        <v>1545</v>
      </c>
      <c r="M111" s="2">
        <v>1400000</v>
      </c>
      <c r="N111" s="2">
        <v>2000000</v>
      </c>
      <c r="O111" s="2" t="s">
        <v>1546</v>
      </c>
      <c r="P111" s="3">
        <v>45655</v>
      </c>
      <c r="Q111" s="2" t="s">
        <v>1547</v>
      </c>
      <c r="R111" s="2" t="s">
        <v>1548</v>
      </c>
      <c r="S111" s="2" t="s">
        <v>69</v>
      </c>
      <c r="T111" s="2" t="s">
        <v>1549</v>
      </c>
      <c r="U111" s="2" t="s">
        <v>1550</v>
      </c>
      <c r="V111" s="2" t="s">
        <v>365</v>
      </c>
      <c r="W111" s="3">
        <v>44561</v>
      </c>
      <c r="X111" s="2" t="s">
        <v>88</v>
      </c>
      <c r="Y111" s="2" t="s">
        <v>392</v>
      </c>
      <c r="Z111" s="2" t="s">
        <v>1551</v>
      </c>
      <c r="AA111" s="2">
        <v>5</v>
      </c>
      <c r="AB111" s="2" t="s">
        <v>75</v>
      </c>
      <c r="AC111" s="2" t="s">
        <v>1552</v>
      </c>
      <c r="AD111" s="3">
        <v>44560</v>
      </c>
      <c r="AE111" s="2" t="s">
        <v>77</v>
      </c>
      <c r="AF111" s="2">
        <v>1600000</v>
      </c>
      <c r="AG111" s="2">
        <v>24000</v>
      </c>
      <c r="AH111" s="2" t="s">
        <v>1553</v>
      </c>
      <c r="AI111" s="2">
        <v>25500</v>
      </c>
      <c r="AJ111" s="11">
        <v>1500</v>
      </c>
      <c r="AK111" s="11" t="s">
        <v>1554</v>
      </c>
    </row>
    <row r="112" spans="1:37">
      <c r="A112" s="10">
        <v>111</v>
      </c>
      <c r="B112" s="2" t="s">
        <v>37</v>
      </c>
      <c r="C112" s="2" t="s">
        <v>1555</v>
      </c>
      <c r="D112" s="2" t="s">
        <v>39</v>
      </c>
      <c r="E112" s="2" t="s">
        <v>40</v>
      </c>
      <c r="F112" s="2" t="s">
        <v>1556</v>
      </c>
      <c r="G112" s="2" t="s">
        <v>1557</v>
      </c>
      <c r="H112" s="2" t="s">
        <v>1558</v>
      </c>
      <c r="I112" s="2" t="s">
        <v>1559</v>
      </c>
      <c r="J112" s="2" t="s">
        <v>51</v>
      </c>
      <c r="K112" s="2" t="s">
        <v>1560</v>
      </c>
      <c r="L112" s="2" t="s">
        <v>1561</v>
      </c>
      <c r="M112" s="2">
        <v>1640000</v>
      </c>
      <c r="N112" s="2">
        <v>2050000</v>
      </c>
      <c r="O112" s="2" t="s">
        <v>1562</v>
      </c>
      <c r="P112" s="3">
        <v>45655</v>
      </c>
      <c r="Q112" s="2" t="s">
        <v>1563</v>
      </c>
      <c r="R112" s="2" t="s">
        <v>1564</v>
      </c>
      <c r="S112" s="2" t="s">
        <v>69</v>
      </c>
      <c r="T112" s="2" t="s">
        <v>1565</v>
      </c>
      <c r="U112" s="2" t="s">
        <v>1566</v>
      </c>
      <c r="V112" s="2" t="s">
        <v>365</v>
      </c>
      <c r="W112" s="3">
        <v>44196</v>
      </c>
      <c r="X112" s="2" t="s">
        <v>337</v>
      </c>
      <c r="Y112" s="2" t="s">
        <v>338</v>
      </c>
      <c r="Z112" s="2" t="s">
        <v>1567</v>
      </c>
      <c r="AA112" s="2">
        <v>5</v>
      </c>
      <c r="AB112" s="2" t="s">
        <v>160</v>
      </c>
      <c r="AC112" s="2" t="s">
        <v>1568</v>
      </c>
      <c r="AD112" s="3">
        <v>44195</v>
      </c>
      <c r="AE112" s="2" t="s">
        <v>58</v>
      </c>
      <c r="AF112" s="2">
        <v>1537500</v>
      </c>
      <c r="AG112" s="2">
        <v>30750</v>
      </c>
      <c r="AH112" s="2" t="s">
        <v>1569</v>
      </c>
      <c r="AI112" s="2">
        <v>32800</v>
      </c>
      <c r="AJ112" s="11">
        <v>2050</v>
      </c>
      <c r="AK112" s="11" t="s">
        <v>1570</v>
      </c>
    </row>
    <row r="113" spans="1:37">
      <c r="A113" s="10">
        <v>112</v>
      </c>
      <c r="B113" s="2" t="s">
        <v>37</v>
      </c>
      <c r="C113" s="2" t="s">
        <v>1571</v>
      </c>
      <c r="D113" s="2" t="s">
        <v>39</v>
      </c>
      <c r="E113" s="2" t="s">
        <v>40</v>
      </c>
      <c r="F113" s="2" t="s">
        <v>1572</v>
      </c>
      <c r="G113" s="2" t="s">
        <v>276</v>
      </c>
      <c r="H113" s="2" t="s">
        <v>1573</v>
      </c>
      <c r="I113" s="2" t="s">
        <v>1574</v>
      </c>
      <c r="J113" s="2" t="s">
        <v>1575</v>
      </c>
      <c r="K113" s="2" t="s">
        <v>1576</v>
      </c>
      <c r="L113" s="2" t="s">
        <v>1577</v>
      </c>
      <c r="M113" s="2">
        <v>1537600</v>
      </c>
      <c r="N113" s="2">
        <v>1922000</v>
      </c>
      <c r="O113" s="2" t="s">
        <v>1578</v>
      </c>
      <c r="P113" s="3">
        <v>45655</v>
      </c>
      <c r="Q113" s="2" t="s">
        <v>1579</v>
      </c>
      <c r="R113" s="2" t="s">
        <v>1580</v>
      </c>
      <c r="S113" s="2" t="s">
        <v>50</v>
      </c>
      <c r="T113" s="2" t="s">
        <v>51</v>
      </c>
      <c r="U113" s="2" t="s">
        <v>1581</v>
      </c>
      <c r="V113" s="2" t="s">
        <v>521</v>
      </c>
      <c r="W113" s="3">
        <v>44085</v>
      </c>
      <c r="X113" s="2" t="s">
        <v>337</v>
      </c>
      <c r="Y113" s="2" t="s">
        <v>338</v>
      </c>
      <c r="Z113" s="2" t="s">
        <v>1582</v>
      </c>
      <c r="AA113" s="2">
        <v>5</v>
      </c>
      <c r="AB113" s="2" t="s">
        <v>106</v>
      </c>
      <c r="AC113" s="2" t="s">
        <v>1583</v>
      </c>
      <c r="AD113" s="3">
        <v>44196</v>
      </c>
      <c r="AE113" s="2" t="s">
        <v>58</v>
      </c>
      <c r="AF113" s="2">
        <v>1441500</v>
      </c>
      <c r="AG113" s="2">
        <v>28830</v>
      </c>
      <c r="AH113" s="2" t="s">
        <v>1584</v>
      </c>
      <c r="AI113" s="2">
        <v>30752</v>
      </c>
      <c r="AJ113" s="11">
        <v>1922</v>
      </c>
      <c r="AK113" s="11" t="s">
        <v>1585</v>
      </c>
    </row>
    <row r="114" spans="1:37">
      <c r="A114" s="10">
        <v>113</v>
      </c>
      <c r="B114" s="2" t="s">
        <v>37</v>
      </c>
      <c r="C114" s="2" t="s">
        <v>1586</v>
      </c>
      <c r="D114" s="2" t="s">
        <v>39</v>
      </c>
      <c r="E114" s="2" t="s">
        <v>40</v>
      </c>
      <c r="F114" s="2" t="s">
        <v>1587</v>
      </c>
      <c r="G114" s="2" t="s">
        <v>1557</v>
      </c>
      <c r="H114" s="2" t="s">
        <v>1588</v>
      </c>
      <c r="I114" s="2" t="s">
        <v>1589</v>
      </c>
      <c r="J114" s="2" t="s">
        <v>51</v>
      </c>
      <c r="K114" s="2" t="s">
        <v>328</v>
      </c>
      <c r="L114" s="2" t="s">
        <v>1590</v>
      </c>
      <c r="M114" s="2">
        <v>1216800</v>
      </c>
      <c r="N114" s="2">
        <v>1521000</v>
      </c>
      <c r="O114" s="2" t="s">
        <v>1591</v>
      </c>
      <c r="P114" s="3">
        <v>45655</v>
      </c>
      <c r="Q114" s="2" t="s">
        <v>1592</v>
      </c>
      <c r="R114" s="2" t="s">
        <v>1593</v>
      </c>
      <c r="S114" s="2" t="s">
        <v>50</v>
      </c>
      <c r="T114" s="2" t="s">
        <v>51</v>
      </c>
      <c r="U114" s="2" t="s">
        <v>133</v>
      </c>
      <c r="V114" s="2" t="s">
        <v>286</v>
      </c>
      <c r="W114" s="3">
        <v>44561</v>
      </c>
      <c r="X114" s="2" t="s">
        <v>88</v>
      </c>
      <c r="Y114" s="2" t="s">
        <v>392</v>
      </c>
      <c r="Z114" s="2" t="s">
        <v>1594</v>
      </c>
      <c r="AA114" s="2">
        <v>5</v>
      </c>
      <c r="AB114" s="2" t="s">
        <v>90</v>
      </c>
      <c r="AC114" s="2" t="s">
        <v>1595</v>
      </c>
      <c r="AD114" s="3">
        <v>44561</v>
      </c>
      <c r="AE114" s="2" t="s">
        <v>58</v>
      </c>
      <c r="AF114" s="2">
        <v>1216800</v>
      </c>
      <c r="AG114" s="2">
        <v>24336</v>
      </c>
      <c r="AH114" s="2" t="s">
        <v>1596</v>
      </c>
      <c r="AI114" s="2">
        <v>25857</v>
      </c>
      <c r="AJ114" s="11">
        <v>1521</v>
      </c>
      <c r="AK114" s="11" t="s">
        <v>1597</v>
      </c>
    </row>
    <row r="115" spans="1:37">
      <c r="A115" s="10">
        <v>114</v>
      </c>
      <c r="B115" s="2" t="s">
        <v>37</v>
      </c>
      <c r="C115" s="2" t="s">
        <v>1598</v>
      </c>
      <c r="D115" s="2" t="s">
        <v>39</v>
      </c>
      <c r="E115" s="2" t="s">
        <v>40</v>
      </c>
      <c r="F115" s="2" t="s">
        <v>1599</v>
      </c>
      <c r="G115" s="2" t="s">
        <v>62</v>
      </c>
      <c r="H115" s="2" t="s">
        <v>1600</v>
      </c>
      <c r="I115" s="2" t="s">
        <v>1601</v>
      </c>
      <c r="J115" s="2" t="s">
        <v>1601</v>
      </c>
      <c r="K115" s="2" t="s">
        <v>328</v>
      </c>
      <c r="L115" s="2" t="s">
        <v>1602</v>
      </c>
      <c r="M115" s="2">
        <v>1176000</v>
      </c>
      <c r="N115" s="2">
        <v>2800000</v>
      </c>
      <c r="O115" s="2" t="s">
        <v>1603</v>
      </c>
      <c r="P115" s="3">
        <v>45655</v>
      </c>
      <c r="Q115" s="2" t="s">
        <v>1604</v>
      </c>
      <c r="R115" s="2" t="s">
        <v>1605</v>
      </c>
      <c r="S115" s="2" t="s">
        <v>69</v>
      </c>
      <c r="T115" s="2" t="s">
        <v>1606</v>
      </c>
      <c r="U115" s="2" t="s">
        <v>591</v>
      </c>
      <c r="V115" s="2" t="s">
        <v>521</v>
      </c>
      <c r="W115" s="3">
        <v>44560</v>
      </c>
      <c r="X115" s="2" t="s">
        <v>88</v>
      </c>
      <c r="Y115" s="2" t="s">
        <v>392</v>
      </c>
      <c r="Z115" s="2" t="s">
        <v>1607</v>
      </c>
      <c r="AA115" s="2">
        <v>5</v>
      </c>
      <c r="AB115" s="2" t="s">
        <v>75</v>
      </c>
      <c r="AC115" s="2" t="s">
        <v>1608</v>
      </c>
      <c r="AD115" s="3">
        <v>44560</v>
      </c>
      <c r="AE115" s="2" t="s">
        <v>77</v>
      </c>
      <c r="AF115" s="2">
        <v>2240000</v>
      </c>
      <c r="AG115" s="2">
        <v>33600</v>
      </c>
      <c r="AH115" s="2" t="s">
        <v>1609</v>
      </c>
      <c r="AI115" s="2">
        <v>35700</v>
      </c>
      <c r="AJ115" s="11">
        <v>2100</v>
      </c>
      <c r="AK115" s="11" t="s">
        <v>1610</v>
      </c>
    </row>
    <row r="116" spans="1:37" hidden="1">
      <c r="A116" s="10">
        <v>115</v>
      </c>
      <c r="B116" s="2" t="s">
        <v>37</v>
      </c>
      <c r="C116" s="2" t="s">
        <v>1611</v>
      </c>
      <c r="D116" s="2" t="s">
        <v>39</v>
      </c>
      <c r="E116" s="2" t="s">
        <v>40</v>
      </c>
      <c r="F116" s="2" t="s">
        <v>1612</v>
      </c>
      <c r="G116" s="2" t="s">
        <v>62</v>
      </c>
      <c r="H116" s="2" t="s">
        <v>1613</v>
      </c>
      <c r="I116" s="2"/>
      <c r="J116" s="2">
        <v>3212781664</v>
      </c>
      <c r="K116" s="2"/>
      <c r="L116" s="2" t="s">
        <v>1614</v>
      </c>
      <c r="M116" s="2">
        <v>1859900</v>
      </c>
      <c r="N116" s="2">
        <v>2657000</v>
      </c>
      <c r="O116" s="2" t="s">
        <v>1615</v>
      </c>
      <c r="P116" s="3">
        <v>45931</v>
      </c>
      <c r="Q116" s="2">
        <v>542801</v>
      </c>
      <c r="R116" s="4" t="s">
        <v>1616</v>
      </c>
      <c r="S116" s="2" t="s">
        <v>50</v>
      </c>
      <c r="T116" s="2"/>
      <c r="U116" s="2" t="s">
        <v>1617</v>
      </c>
      <c r="V116" s="2">
        <v>2021</v>
      </c>
      <c r="W116" s="3">
        <v>43993</v>
      </c>
      <c r="X116" s="2" t="s">
        <v>931</v>
      </c>
      <c r="Y116" s="3">
        <v>46043</v>
      </c>
      <c r="Z116" s="2" t="s">
        <v>1618</v>
      </c>
      <c r="AA116" s="2">
        <v>5</v>
      </c>
      <c r="AB116" s="2" t="s">
        <v>106</v>
      </c>
      <c r="AC116" s="2" t="s">
        <v>1619</v>
      </c>
      <c r="AD116" s="3">
        <v>44197</v>
      </c>
      <c r="AE116" s="2" t="s">
        <v>58</v>
      </c>
      <c r="AF116" s="2">
        <v>1992750</v>
      </c>
      <c r="AG116" s="2">
        <v>39855</v>
      </c>
      <c r="AH116" s="2" t="s">
        <v>1620</v>
      </c>
      <c r="AI116" s="2">
        <v>39855</v>
      </c>
      <c r="AJ116" s="11">
        <v>0</v>
      </c>
      <c r="AK116" s="11"/>
    </row>
    <row r="117" spans="1:37">
      <c r="A117" s="10">
        <v>116</v>
      </c>
      <c r="B117" s="2" t="s">
        <v>37</v>
      </c>
      <c r="C117" s="2" t="s">
        <v>1621</v>
      </c>
      <c r="D117" s="2" t="s">
        <v>39</v>
      </c>
      <c r="E117" s="2" t="s">
        <v>40</v>
      </c>
      <c r="F117" s="2" t="s">
        <v>1622</v>
      </c>
      <c r="G117" s="2" t="s">
        <v>276</v>
      </c>
      <c r="H117" s="2" t="s">
        <v>1623</v>
      </c>
      <c r="I117" s="2" t="s">
        <v>1624</v>
      </c>
      <c r="J117" s="2" t="s">
        <v>1624</v>
      </c>
      <c r="K117" s="2" t="s">
        <v>1625</v>
      </c>
      <c r="L117" s="2" t="s">
        <v>1626</v>
      </c>
      <c r="M117" s="2">
        <v>1120000</v>
      </c>
      <c r="N117" s="2">
        <v>1400000</v>
      </c>
      <c r="O117" s="2" t="s">
        <v>1627</v>
      </c>
      <c r="P117" s="3">
        <v>45655</v>
      </c>
      <c r="Q117" s="2" t="s">
        <v>1628</v>
      </c>
      <c r="R117" s="2" t="s">
        <v>1629</v>
      </c>
      <c r="S117" s="2" t="s">
        <v>69</v>
      </c>
      <c r="T117" s="2" t="s">
        <v>1630</v>
      </c>
      <c r="U117" s="2" t="s">
        <v>253</v>
      </c>
      <c r="V117" s="2" t="s">
        <v>336</v>
      </c>
      <c r="W117" s="3">
        <v>44567</v>
      </c>
      <c r="X117" s="2" t="s">
        <v>73</v>
      </c>
      <c r="Y117" s="2" t="s">
        <v>318</v>
      </c>
      <c r="Z117" s="2" t="s">
        <v>1631</v>
      </c>
      <c r="AA117" s="2">
        <v>5</v>
      </c>
      <c r="AB117" s="2" t="s">
        <v>90</v>
      </c>
      <c r="AC117" s="2" t="s">
        <v>1632</v>
      </c>
      <c r="AD117" s="3">
        <v>44561</v>
      </c>
      <c r="AE117" s="2" t="s">
        <v>77</v>
      </c>
      <c r="AF117" s="2">
        <v>1120000</v>
      </c>
      <c r="AG117" s="2">
        <v>16800</v>
      </c>
      <c r="AH117" s="2" t="s">
        <v>1633</v>
      </c>
      <c r="AI117" s="2">
        <v>17850</v>
      </c>
      <c r="AJ117" s="11">
        <v>1050</v>
      </c>
      <c r="AK117" s="11" t="s">
        <v>1634</v>
      </c>
    </row>
    <row r="118" spans="1:37">
      <c r="A118" s="10">
        <v>117</v>
      </c>
      <c r="B118" s="2" t="s">
        <v>37</v>
      </c>
      <c r="C118" s="2" t="s">
        <v>1635</v>
      </c>
      <c r="D118" s="2" t="s">
        <v>39</v>
      </c>
      <c r="E118" s="2" t="s">
        <v>40</v>
      </c>
      <c r="F118" s="2" t="s">
        <v>1636</v>
      </c>
      <c r="G118" s="2" t="s">
        <v>276</v>
      </c>
      <c r="H118" s="2" t="s">
        <v>1637</v>
      </c>
      <c r="I118" s="2" t="s">
        <v>1638</v>
      </c>
      <c r="J118" s="2" t="s">
        <v>1639</v>
      </c>
      <c r="K118" s="2" t="s">
        <v>1640</v>
      </c>
      <c r="L118" s="2" t="s">
        <v>1641</v>
      </c>
      <c r="M118" s="2">
        <v>1259750</v>
      </c>
      <c r="N118" s="2">
        <v>2519500</v>
      </c>
      <c r="O118" s="2" t="s">
        <v>1642</v>
      </c>
      <c r="P118" s="3">
        <v>45655</v>
      </c>
      <c r="Q118" s="2" t="s">
        <v>1643</v>
      </c>
      <c r="R118" s="2" t="s">
        <v>1644</v>
      </c>
      <c r="S118" s="2" t="s">
        <v>50</v>
      </c>
      <c r="T118" s="2" t="s">
        <v>51</v>
      </c>
      <c r="U118" s="2" t="s">
        <v>1645</v>
      </c>
      <c r="V118" s="2" t="s">
        <v>521</v>
      </c>
      <c r="W118" s="3">
        <v>44120</v>
      </c>
      <c r="X118" s="2" t="s">
        <v>337</v>
      </c>
      <c r="Y118" s="2" t="s">
        <v>338</v>
      </c>
      <c r="Z118" s="2" t="s">
        <v>1646</v>
      </c>
      <c r="AA118" s="2">
        <v>5</v>
      </c>
      <c r="AB118" s="2" t="s">
        <v>90</v>
      </c>
      <c r="AC118" s="2" t="s">
        <v>1647</v>
      </c>
      <c r="AD118" s="3">
        <v>44195</v>
      </c>
      <c r="AE118" s="2" t="s">
        <v>58</v>
      </c>
      <c r="AF118" s="2">
        <v>1889625</v>
      </c>
      <c r="AG118" s="2">
        <v>37793</v>
      </c>
      <c r="AH118" s="2" t="s">
        <v>1648</v>
      </c>
      <c r="AI118" s="2">
        <v>40312</v>
      </c>
      <c r="AJ118" s="11">
        <v>2519</v>
      </c>
      <c r="AK118" s="11" t="s">
        <v>1649</v>
      </c>
    </row>
    <row r="119" spans="1:37">
      <c r="A119" s="10">
        <v>118</v>
      </c>
      <c r="B119" s="2" t="s">
        <v>37</v>
      </c>
      <c r="C119" s="2" t="s">
        <v>1650</v>
      </c>
      <c r="D119" s="2" t="s">
        <v>39</v>
      </c>
      <c r="E119" s="2" t="s">
        <v>40</v>
      </c>
      <c r="F119" s="2" t="s">
        <v>1651</v>
      </c>
      <c r="G119" s="2" t="s">
        <v>62</v>
      </c>
      <c r="H119" s="2" t="s">
        <v>1652</v>
      </c>
      <c r="I119" s="2" t="s">
        <v>1653</v>
      </c>
      <c r="J119" s="2" t="s">
        <v>1653</v>
      </c>
      <c r="K119" s="2" t="s">
        <v>328</v>
      </c>
      <c r="L119" s="2" t="s">
        <v>1654</v>
      </c>
      <c r="M119" s="2">
        <v>938000</v>
      </c>
      <c r="N119" s="2">
        <v>1340000</v>
      </c>
      <c r="O119" s="2" t="s">
        <v>1655</v>
      </c>
      <c r="P119" s="3">
        <v>45655</v>
      </c>
      <c r="Q119" s="2" t="s">
        <v>1656</v>
      </c>
      <c r="R119" s="2" t="s">
        <v>1657</v>
      </c>
      <c r="S119" s="2" t="s">
        <v>69</v>
      </c>
      <c r="T119" s="2" t="s">
        <v>1658</v>
      </c>
      <c r="U119" s="2" t="s">
        <v>1659</v>
      </c>
      <c r="V119" s="2" t="s">
        <v>391</v>
      </c>
      <c r="W119" s="3">
        <v>44561</v>
      </c>
      <c r="X119" s="2" t="s">
        <v>88</v>
      </c>
      <c r="Y119" s="2" t="s">
        <v>821</v>
      </c>
      <c r="Z119" s="2" t="s">
        <v>1660</v>
      </c>
      <c r="AA119" s="2">
        <v>7</v>
      </c>
      <c r="AB119" s="2" t="s">
        <v>75</v>
      </c>
      <c r="AC119" s="2" t="s">
        <v>1661</v>
      </c>
      <c r="AD119" s="3">
        <v>44560</v>
      </c>
      <c r="AE119" s="2" t="s">
        <v>77</v>
      </c>
      <c r="AF119" s="2">
        <v>1072000</v>
      </c>
      <c r="AG119" s="2">
        <v>16080</v>
      </c>
      <c r="AH119" s="2" t="s">
        <v>1662</v>
      </c>
      <c r="AI119" s="2">
        <v>17085</v>
      </c>
      <c r="AJ119" s="11">
        <v>1005</v>
      </c>
      <c r="AK119" s="11" t="s">
        <v>1663</v>
      </c>
    </row>
    <row r="120" spans="1:37">
      <c r="A120" s="10">
        <v>119</v>
      </c>
      <c r="B120" s="2" t="s">
        <v>37</v>
      </c>
      <c r="C120" s="2" t="s">
        <v>1664</v>
      </c>
      <c r="D120" s="2" t="s">
        <v>39</v>
      </c>
      <c r="E120" s="2" t="s">
        <v>40</v>
      </c>
      <c r="F120" s="2" t="s">
        <v>1665</v>
      </c>
      <c r="G120" s="2" t="s">
        <v>276</v>
      </c>
      <c r="H120" s="2" t="s">
        <v>1666</v>
      </c>
      <c r="I120" s="2" t="s">
        <v>1667</v>
      </c>
      <c r="J120" s="2" t="s">
        <v>1667</v>
      </c>
      <c r="K120" s="2" t="s">
        <v>1667</v>
      </c>
      <c r="L120" s="2" t="s">
        <v>1668</v>
      </c>
      <c r="M120" s="2">
        <v>859600</v>
      </c>
      <c r="N120" s="2">
        <v>2149000</v>
      </c>
      <c r="O120" s="2" t="s">
        <v>1669</v>
      </c>
      <c r="P120" s="3">
        <v>45655</v>
      </c>
      <c r="Q120" s="2" t="s">
        <v>1670</v>
      </c>
      <c r="R120" s="2" t="s">
        <v>1671</v>
      </c>
      <c r="S120" s="2" t="s">
        <v>69</v>
      </c>
      <c r="T120" s="2" t="s">
        <v>1672</v>
      </c>
      <c r="U120" s="2" t="s">
        <v>1673</v>
      </c>
      <c r="V120" s="2" t="s">
        <v>336</v>
      </c>
      <c r="W120" s="3">
        <v>44561</v>
      </c>
      <c r="X120" s="2" t="s">
        <v>88</v>
      </c>
      <c r="Y120" s="2" t="s">
        <v>392</v>
      </c>
      <c r="Z120" s="2" t="s">
        <v>1674</v>
      </c>
      <c r="AA120" s="2">
        <v>5</v>
      </c>
      <c r="AB120" s="2" t="s">
        <v>90</v>
      </c>
      <c r="AC120" s="2" t="s">
        <v>1675</v>
      </c>
      <c r="AD120" s="3">
        <v>44561</v>
      </c>
      <c r="AE120" s="2" t="s">
        <v>77</v>
      </c>
      <c r="AF120" s="2">
        <v>1719200</v>
      </c>
      <c r="AG120" s="2">
        <v>25788</v>
      </c>
      <c r="AH120" s="2" t="s">
        <v>1676</v>
      </c>
      <c r="AI120" s="2">
        <v>27400</v>
      </c>
      <c r="AJ120" s="11">
        <v>1612</v>
      </c>
      <c r="AK120" s="11" t="s">
        <v>1677</v>
      </c>
    </row>
    <row r="121" spans="1:37" hidden="1">
      <c r="A121" s="10">
        <v>120</v>
      </c>
      <c r="B121" s="2" t="s">
        <v>37</v>
      </c>
      <c r="C121" s="2" t="s">
        <v>1678</v>
      </c>
      <c r="D121" s="2" t="s">
        <v>39</v>
      </c>
      <c r="E121" s="2" t="s">
        <v>40</v>
      </c>
      <c r="F121" s="2" t="s">
        <v>1679</v>
      </c>
      <c r="G121" s="2" t="s">
        <v>1680</v>
      </c>
      <c r="H121" s="2" t="s">
        <v>1681</v>
      </c>
      <c r="I121" s="2">
        <v>492724751</v>
      </c>
      <c r="J121" s="2">
        <v>3219999751</v>
      </c>
      <c r="K121" s="2">
        <v>3219999751</v>
      </c>
      <c r="L121" s="2" t="s">
        <v>1682</v>
      </c>
      <c r="M121" s="2">
        <v>3801000</v>
      </c>
      <c r="N121" s="2">
        <v>5430000</v>
      </c>
      <c r="O121" s="2" t="s">
        <v>1683</v>
      </c>
      <c r="P121" s="3">
        <v>45931</v>
      </c>
      <c r="Q121" s="2" t="s">
        <v>1684</v>
      </c>
      <c r="R121" s="2" t="s">
        <v>1685</v>
      </c>
      <c r="S121" s="2" t="s">
        <v>50</v>
      </c>
      <c r="T121" s="2"/>
      <c r="U121" s="2" t="s">
        <v>877</v>
      </c>
      <c r="V121" s="2">
        <v>2021</v>
      </c>
      <c r="W121" s="3">
        <v>44104</v>
      </c>
      <c r="X121" s="2" t="s">
        <v>931</v>
      </c>
      <c r="Y121" s="3">
        <v>46408</v>
      </c>
      <c r="Z121" s="2" t="s">
        <v>1686</v>
      </c>
      <c r="AA121" s="2">
        <v>6</v>
      </c>
      <c r="AB121" s="2" t="s">
        <v>879</v>
      </c>
      <c r="AC121" s="2"/>
      <c r="AD121" s="2"/>
      <c r="AE121" s="2" t="s">
        <v>77</v>
      </c>
      <c r="AF121" s="2">
        <v>4072500</v>
      </c>
      <c r="AG121" s="2">
        <v>61088</v>
      </c>
      <c r="AH121" s="2" t="s">
        <v>1687</v>
      </c>
      <c r="AI121" s="2">
        <v>61088</v>
      </c>
      <c r="AJ121" s="11">
        <v>0</v>
      </c>
      <c r="AK121" s="11"/>
    </row>
    <row r="122" spans="1:37">
      <c r="A122" s="10">
        <v>121</v>
      </c>
      <c r="B122" s="2" t="s">
        <v>37</v>
      </c>
      <c r="C122" s="2" t="s">
        <v>1688</v>
      </c>
      <c r="D122" s="2" t="s">
        <v>39</v>
      </c>
      <c r="E122" s="2" t="s">
        <v>40</v>
      </c>
      <c r="F122" s="2" t="s">
        <v>1689</v>
      </c>
      <c r="G122" s="2" t="s">
        <v>497</v>
      </c>
      <c r="H122" s="2" t="s">
        <v>1690</v>
      </c>
      <c r="I122" s="2" t="s">
        <v>1691</v>
      </c>
      <c r="J122" s="2" t="s">
        <v>1691</v>
      </c>
      <c r="K122" s="2" t="s">
        <v>1692</v>
      </c>
      <c r="L122" s="2" t="s">
        <v>1693</v>
      </c>
      <c r="M122" s="2">
        <v>981000</v>
      </c>
      <c r="N122" s="2">
        <v>1308000</v>
      </c>
      <c r="O122" s="2" t="s">
        <v>1694</v>
      </c>
      <c r="P122" s="3">
        <v>45655</v>
      </c>
      <c r="Q122" s="2" t="s">
        <v>1695</v>
      </c>
      <c r="R122" s="2" t="s">
        <v>1696</v>
      </c>
      <c r="S122" s="2" t="s">
        <v>50</v>
      </c>
      <c r="T122" s="2" t="s">
        <v>51</v>
      </c>
      <c r="U122" s="2" t="s">
        <v>420</v>
      </c>
      <c r="V122" s="2" t="s">
        <v>300</v>
      </c>
      <c r="W122" s="3">
        <v>43829</v>
      </c>
      <c r="X122" s="2" t="s">
        <v>726</v>
      </c>
      <c r="Y122" s="2" t="s">
        <v>392</v>
      </c>
      <c r="Z122" s="2" t="s">
        <v>1697</v>
      </c>
      <c r="AA122" s="2">
        <v>7</v>
      </c>
      <c r="AB122" s="2" t="s">
        <v>90</v>
      </c>
      <c r="AC122" s="2" t="s">
        <v>1698</v>
      </c>
      <c r="AD122" s="3">
        <v>43829</v>
      </c>
      <c r="AE122" s="2" t="s">
        <v>729</v>
      </c>
      <c r="AF122" s="2">
        <v>915600</v>
      </c>
      <c r="AG122" s="2">
        <v>22890</v>
      </c>
      <c r="AH122" s="2" t="s">
        <v>1699</v>
      </c>
      <c r="AI122" s="2">
        <v>24525</v>
      </c>
      <c r="AJ122" s="11">
        <v>1635</v>
      </c>
      <c r="AK122" s="11" t="s">
        <v>1700</v>
      </c>
    </row>
    <row r="123" spans="1:37" hidden="1">
      <c r="A123" s="10">
        <v>122</v>
      </c>
      <c r="B123" s="2" t="s">
        <v>37</v>
      </c>
      <c r="C123" s="2" t="s">
        <v>1701</v>
      </c>
      <c r="D123" s="2" t="s">
        <v>39</v>
      </c>
      <c r="E123" s="2" t="s">
        <v>40</v>
      </c>
      <c r="F123" s="2" t="s">
        <v>1702</v>
      </c>
      <c r="G123" s="2" t="s">
        <v>42</v>
      </c>
      <c r="H123" s="2" t="s">
        <v>1703</v>
      </c>
      <c r="I123" s="2" t="s">
        <v>1704</v>
      </c>
      <c r="J123" s="2" t="s">
        <v>1705</v>
      </c>
      <c r="K123" s="2" t="s">
        <v>1704</v>
      </c>
      <c r="L123" s="2" t="s">
        <v>1706</v>
      </c>
      <c r="M123" s="2">
        <v>1794800</v>
      </c>
      <c r="N123" s="2">
        <v>2564000</v>
      </c>
      <c r="O123" s="2" t="s">
        <v>1707</v>
      </c>
      <c r="P123" s="3">
        <v>45931</v>
      </c>
      <c r="Q123" s="2" t="s">
        <v>1708</v>
      </c>
      <c r="R123" s="2" t="s">
        <v>1709</v>
      </c>
      <c r="S123" s="2" t="s">
        <v>50</v>
      </c>
      <c r="T123" s="2" t="s">
        <v>51</v>
      </c>
      <c r="U123" s="2" t="s">
        <v>253</v>
      </c>
      <c r="V123" s="2" t="s">
        <v>1194</v>
      </c>
      <c r="W123" s="3">
        <v>44939</v>
      </c>
      <c r="X123" s="2" t="s">
        <v>1710</v>
      </c>
      <c r="Y123" s="3">
        <v>46408</v>
      </c>
      <c r="Z123" s="2" t="s">
        <v>1711</v>
      </c>
      <c r="AA123" s="2">
        <v>4</v>
      </c>
      <c r="AB123" s="2" t="s">
        <v>75</v>
      </c>
      <c r="AC123" s="2" t="s">
        <v>1712</v>
      </c>
      <c r="AD123" s="3">
        <v>44937</v>
      </c>
      <c r="AE123" s="2" t="s">
        <v>108</v>
      </c>
      <c r="AF123" s="2">
        <v>2179400</v>
      </c>
      <c r="AG123" s="2">
        <v>38140</v>
      </c>
      <c r="AH123" s="2" t="s">
        <v>1713</v>
      </c>
      <c r="AI123" s="2">
        <v>38140</v>
      </c>
      <c r="AJ123" s="11">
        <v>0</v>
      </c>
      <c r="AK123" s="11"/>
    </row>
    <row r="124" spans="1:37">
      <c r="A124" s="10">
        <v>123</v>
      </c>
      <c r="B124" s="2" t="s">
        <v>37</v>
      </c>
      <c r="C124" s="2" t="s">
        <v>1714</v>
      </c>
      <c r="D124" s="2" t="s">
        <v>39</v>
      </c>
      <c r="E124" s="2" t="s">
        <v>40</v>
      </c>
      <c r="F124" s="2" t="s">
        <v>1715</v>
      </c>
      <c r="G124" s="2" t="s">
        <v>42</v>
      </c>
      <c r="H124" s="2" t="s">
        <v>1716</v>
      </c>
      <c r="I124" s="2" t="s">
        <v>1717</v>
      </c>
      <c r="J124" s="2" t="s">
        <v>1717</v>
      </c>
      <c r="K124" s="2" t="s">
        <v>1718</v>
      </c>
      <c r="L124" s="2" t="s">
        <v>1719</v>
      </c>
      <c r="M124" s="2">
        <v>875000</v>
      </c>
      <c r="N124" s="2">
        <v>1250000</v>
      </c>
      <c r="O124" s="2" t="s">
        <v>1720</v>
      </c>
      <c r="P124" s="3">
        <v>45655</v>
      </c>
      <c r="Q124" s="2" t="s">
        <v>1721</v>
      </c>
      <c r="R124" s="2" t="s">
        <v>1722</v>
      </c>
      <c r="S124" s="2" t="s">
        <v>69</v>
      </c>
      <c r="T124" s="2" t="s">
        <v>1723</v>
      </c>
      <c r="U124" s="2" t="s">
        <v>1724</v>
      </c>
      <c r="V124" s="2" t="s">
        <v>336</v>
      </c>
      <c r="W124" s="3">
        <v>43830</v>
      </c>
      <c r="X124" s="2" t="s">
        <v>726</v>
      </c>
      <c r="Y124" s="2" t="s">
        <v>392</v>
      </c>
      <c r="Z124" s="2" t="s">
        <v>1725</v>
      </c>
      <c r="AA124" s="2">
        <v>7</v>
      </c>
      <c r="AB124" s="2" t="s">
        <v>106</v>
      </c>
      <c r="AC124" s="2" t="s">
        <v>1726</v>
      </c>
      <c r="AD124" s="3">
        <v>43829</v>
      </c>
      <c r="AE124" s="2" t="s">
        <v>729</v>
      </c>
      <c r="AF124" s="2">
        <v>875000</v>
      </c>
      <c r="AG124" s="2">
        <v>21875</v>
      </c>
      <c r="AH124" s="2" t="s">
        <v>1727</v>
      </c>
      <c r="AI124" s="2">
        <v>23438</v>
      </c>
      <c r="AJ124" s="11">
        <v>1563</v>
      </c>
      <c r="AK124" s="11" t="s">
        <v>1728</v>
      </c>
    </row>
    <row r="125" spans="1:37">
      <c r="A125" s="10">
        <v>124</v>
      </c>
      <c r="B125" s="2" t="s">
        <v>37</v>
      </c>
      <c r="C125" s="2" t="s">
        <v>1729</v>
      </c>
      <c r="D125" s="2" t="s">
        <v>39</v>
      </c>
      <c r="E125" s="2" t="s">
        <v>40</v>
      </c>
      <c r="F125" s="2" t="s">
        <v>1730</v>
      </c>
      <c r="G125" s="2" t="s">
        <v>112</v>
      </c>
      <c r="H125" s="2" t="s">
        <v>1731</v>
      </c>
      <c r="I125" s="2" t="s">
        <v>1732</v>
      </c>
      <c r="J125" s="2" t="s">
        <v>51</v>
      </c>
      <c r="K125" s="2" t="s">
        <v>1733</v>
      </c>
      <c r="L125" s="2" t="s">
        <v>1734</v>
      </c>
      <c r="M125" s="2">
        <v>712000</v>
      </c>
      <c r="N125" s="2">
        <v>890000</v>
      </c>
      <c r="O125" s="2" t="s">
        <v>1735</v>
      </c>
      <c r="P125" s="3">
        <v>45655</v>
      </c>
      <c r="Q125" s="2" t="s">
        <v>1736</v>
      </c>
      <c r="R125" s="2" t="s">
        <v>1737</v>
      </c>
      <c r="S125" s="2" t="s">
        <v>69</v>
      </c>
      <c r="T125" s="2" t="s">
        <v>1738</v>
      </c>
      <c r="U125" s="2" t="s">
        <v>1739</v>
      </c>
      <c r="V125" s="2" t="s">
        <v>72</v>
      </c>
      <c r="W125" s="3">
        <v>44561</v>
      </c>
      <c r="X125" s="2" t="s">
        <v>88</v>
      </c>
      <c r="Y125" s="2" t="s">
        <v>392</v>
      </c>
      <c r="Z125" s="2" t="s">
        <v>1740</v>
      </c>
      <c r="AA125" s="2">
        <v>5</v>
      </c>
      <c r="AB125" s="2" t="s">
        <v>90</v>
      </c>
      <c r="AC125" s="2" t="s">
        <v>1741</v>
      </c>
      <c r="AD125" s="3">
        <v>44561</v>
      </c>
      <c r="AE125" s="2" t="s">
        <v>77</v>
      </c>
      <c r="AF125" s="2">
        <v>712000</v>
      </c>
      <c r="AG125" s="2">
        <v>10680</v>
      </c>
      <c r="AH125" s="2" t="s">
        <v>1742</v>
      </c>
      <c r="AI125" s="2">
        <v>11348</v>
      </c>
      <c r="AJ125" s="11">
        <v>668</v>
      </c>
      <c r="AK125" s="11" t="s">
        <v>1743</v>
      </c>
    </row>
    <row r="126" spans="1:37">
      <c r="A126" s="10">
        <v>125</v>
      </c>
      <c r="B126" s="2" t="s">
        <v>37</v>
      </c>
      <c r="C126" s="2" t="s">
        <v>1744</v>
      </c>
      <c r="D126" s="2" t="s">
        <v>39</v>
      </c>
      <c r="E126" s="2" t="s">
        <v>40</v>
      </c>
      <c r="F126" s="2" t="s">
        <v>1745</v>
      </c>
      <c r="G126" s="2" t="s">
        <v>1104</v>
      </c>
      <c r="H126" s="2" t="s">
        <v>1746</v>
      </c>
      <c r="I126" s="2" t="s">
        <v>1747</v>
      </c>
      <c r="J126" s="2" t="s">
        <v>1747</v>
      </c>
      <c r="K126" s="2" t="s">
        <v>1748</v>
      </c>
      <c r="L126" s="2" t="s">
        <v>1749</v>
      </c>
      <c r="M126" s="2">
        <v>1555500</v>
      </c>
      <c r="N126" s="2">
        <v>2074000</v>
      </c>
      <c r="O126" s="2" t="s">
        <v>1750</v>
      </c>
      <c r="P126" s="3">
        <v>45654</v>
      </c>
      <c r="Q126" s="2" t="s">
        <v>1751</v>
      </c>
      <c r="R126" s="2" t="s">
        <v>1752</v>
      </c>
      <c r="S126" s="2" t="s">
        <v>50</v>
      </c>
      <c r="T126" s="2" t="s">
        <v>51</v>
      </c>
      <c r="U126" s="2" t="s">
        <v>1753</v>
      </c>
      <c r="V126" s="2" t="s">
        <v>521</v>
      </c>
      <c r="W126" s="3">
        <v>44098</v>
      </c>
      <c r="X126" s="2" t="s">
        <v>337</v>
      </c>
      <c r="Y126" s="2" t="s">
        <v>338</v>
      </c>
      <c r="Z126" s="2" t="s">
        <v>1754</v>
      </c>
      <c r="AA126" s="2">
        <v>5</v>
      </c>
      <c r="AB126" s="2" t="s">
        <v>90</v>
      </c>
      <c r="AC126" s="2" t="s">
        <v>1755</v>
      </c>
      <c r="AD126" s="3">
        <v>44194</v>
      </c>
      <c r="AE126" s="2" t="s">
        <v>58</v>
      </c>
      <c r="AF126" s="2">
        <v>1555500</v>
      </c>
      <c r="AG126" s="2">
        <v>31110</v>
      </c>
      <c r="AH126" s="2" t="s">
        <v>1756</v>
      </c>
      <c r="AI126" s="2">
        <v>33184</v>
      </c>
      <c r="AJ126" s="11">
        <v>2074</v>
      </c>
      <c r="AK126" s="11" t="s">
        <v>1757</v>
      </c>
    </row>
    <row r="127" spans="1:37" hidden="1">
      <c r="A127" s="10">
        <v>126</v>
      </c>
      <c r="B127" s="2" t="s">
        <v>37</v>
      </c>
      <c r="C127" s="2" t="s">
        <v>1758</v>
      </c>
      <c r="D127" s="2" t="s">
        <v>39</v>
      </c>
      <c r="E127" s="2" t="s">
        <v>40</v>
      </c>
      <c r="F127" s="2" t="s">
        <v>1759</v>
      </c>
      <c r="G127" s="2" t="s">
        <v>62</v>
      </c>
      <c r="H127" s="2" t="s">
        <v>1760</v>
      </c>
      <c r="I127" s="2" t="s">
        <v>1761</v>
      </c>
      <c r="J127" s="2" t="s">
        <v>1761</v>
      </c>
      <c r="K127" s="2" t="s">
        <v>328</v>
      </c>
      <c r="L127" s="2" t="s">
        <v>1762</v>
      </c>
      <c r="M127" s="2">
        <v>1697500</v>
      </c>
      <c r="N127" s="2">
        <v>2425000</v>
      </c>
      <c r="O127" s="2" t="s">
        <v>1763</v>
      </c>
      <c r="P127" s="3">
        <v>45654</v>
      </c>
      <c r="Q127" s="2" t="s">
        <v>1764</v>
      </c>
      <c r="R127" s="2" t="s">
        <v>1765</v>
      </c>
      <c r="S127" s="2" t="s">
        <v>69</v>
      </c>
      <c r="T127" s="2" t="s">
        <v>1766</v>
      </c>
      <c r="U127" s="2" t="s">
        <v>1166</v>
      </c>
      <c r="V127" s="2" t="s">
        <v>300</v>
      </c>
      <c r="W127" s="3">
        <v>45290</v>
      </c>
      <c r="X127" s="2" t="s">
        <v>1195</v>
      </c>
      <c r="Y127" s="2" t="s">
        <v>821</v>
      </c>
      <c r="Z127" s="2" t="s">
        <v>1767</v>
      </c>
      <c r="AA127" s="2">
        <v>5</v>
      </c>
      <c r="AB127" s="2" t="s">
        <v>160</v>
      </c>
      <c r="AC127" s="2" t="s">
        <v>1768</v>
      </c>
      <c r="AD127" s="3">
        <v>45289</v>
      </c>
      <c r="AE127" s="2" t="s">
        <v>108</v>
      </c>
      <c r="AF127" s="2">
        <v>2182500</v>
      </c>
      <c r="AG127" s="2">
        <v>38194</v>
      </c>
      <c r="AH127" s="2" t="s">
        <v>1769</v>
      </c>
      <c r="AI127" s="2">
        <v>38194</v>
      </c>
      <c r="AJ127" s="11">
        <v>0</v>
      </c>
      <c r="AK127" s="11"/>
    </row>
    <row r="128" spans="1:37" hidden="1">
      <c r="A128" s="10">
        <v>127</v>
      </c>
      <c r="B128" s="2" t="s">
        <v>37</v>
      </c>
      <c r="C128" s="2" t="s">
        <v>1770</v>
      </c>
      <c r="D128" s="2" t="s">
        <v>39</v>
      </c>
      <c r="E128" s="2" t="s">
        <v>40</v>
      </c>
      <c r="F128" s="2" t="s">
        <v>1771</v>
      </c>
      <c r="G128" s="2" t="s">
        <v>62</v>
      </c>
      <c r="H128" s="2" t="s">
        <v>1772</v>
      </c>
      <c r="I128" s="2" t="s">
        <v>51</v>
      </c>
      <c r="J128" s="2" t="s">
        <v>51</v>
      </c>
      <c r="K128" s="2" t="s">
        <v>51</v>
      </c>
      <c r="L128" s="2" t="s">
        <v>1773</v>
      </c>
      <c r="M128" s="2">
        <v>1750000</v>
      </c>
      <c r="N128" s="2">
        <v>2500000</v>
      </c>
      <c r="O128" s="2" t="s">
        <v>1774</v>
      </c>
      <c r="P128" s="3">
        <v>45931</v>
      </c>
      <c r="Q128" s="2" t="s">
        <v>1775</v>
      </c>
      <c r="R128" s="2" t="s">
        <v>1776</v>
      </c>
      <c r="S128" s="2" t="s">
        <v>69</v>
      </c>
      <c r="T128" s="2" t="s">
        <v>1777</v>
      </c>
      <c r="U128" s="2" t="s">
        <v>1778</v>
      </c>
      <c r="V128" s="2" t="s">
        <v>300</v>
      </c>
      <c r="W128" s="3">
        <v>45314</v>
      </c>
      <c r="X128" s="2" t="s">
        <v>1779</v>
      </c>
      <c r="Y128" s="3">
        <v>47145</v>
      </c>
      <c r="Z128" s="2" t="s">
        <v>1780</v>
      </c>
      <c r="AA128" s="2">
        <v>5</v>
      </c>
      <c r="AB128" s="2" t="s">
        <v>160</v>
      </c>
      <c r="AC128" s="2" t="s">
        <v>1781</v>
      </c>
      <c r="AD128" s="3">
        <v>45302</v>
      </c>
      <c r="AE128" s="2" t="s">
        <v>108</v>
      </c>
      <c r="AF128" s="2">
        <v>2250000</v>
      </c>
      <c r="AG128" s="2">
        <v>39375</v>
      </c>
      <c r="AH128" s="2" t="s">
        <v>1782</v>
      </c>
      <c r="AI128" s="2">
        <v>39375</v>
      </c>
      <c r="AJ128" s="11">
        <v>0</v>
      </c>
      <c r="AK128" s="11"/>
    </row>
    <row r="129" spans="1:37" hidden="1">
      <c r="A129" s="10">
        <v>128</v>
      </c>
      <c r="B129" s="2" t="s">
        <v>37</v>
      </c>
      <c r="C129" s="2" t="s">
        <v>1783</v>
      </c>
      <c r="D129" s="2" t="s">
        <v>39</v>
      </c>
      <c r="E129" s="2" t="s">
        <v>40</v>
      </c>
      <c r="F129" s="2" t="s">
        <v>1784</v>
      </c>
      <c r="G129" s="2" t="s">
        <v>1557</v>
      </c>
      <c r="H129" s="2" t="s">
        <v>1785</v>
      </c>
      <c r="I129" s="2" t="s">
        <v>51</v>
      </c>
      <c r="J129" s="2" t="s">
        <v>1786</v>
      </c>
      <c r="K129" s="2" t="s">
        <v>51</v>
      </c>
      <c r="L129" s="2" t="s">
        <v>1787</v>
      </c>
      <c r="M129" s="2">
        <v>640000</v>
      </c>
      <c r="N129" s="2">
        <v>800000</v>
      </c>
      <c r="O129" s="2" t="s">
        <v>1788</v>
      </c>
      <c r="P129" s="3">
        <v>45962</v>
      </c>
      <c r="Q129" s="2" t="s">
        <v>1789</v>
      </c>
      <c r="R129" s="2" t="s">
        <v>1790</v>
      </c>
      <c r="S129" s="2" t="s">
        <v>69</v>
      </c>
      <c r="T129" s="2" t="s">
        <v>51</v>
      </c>
      <c r="U129" s="2" t="s">
        <v>1739</v>
      </c>
      <c r="V129" s="2" t="s">
        <v>336</v>
      </c>
      <c r="W129" s="3">
        <v>44575</v>
      </c>
      <c r="X129" s="2" t="s">
        <v>287</v>
      </c>
      <c r="Y129" s="3">
        <v>46408</v>
      </c>
      <c r="Z129" s="2" t="s">
        <v>1791</v>
      </c>
      <c r="AA129" s="2">
        <v>5</v>
      </c>
      <c r="AB129" s="2" t="s">
        <v>75</v>
      </c>
      <c r="AC129" s="2" t="s">
        <v>1792</v>
      </c>
      <c r="AD129" s="3">
        <v>44572</v>
      </c>
      <c r="AE129" s="2" t="s">
        <v>77</v>
      </c>
      <c r="AF129" s="2">
        <v>640000</v>
      </c>
      <c r="AG129" s="2">
        <v>9600</v>
      </c>
      <c r="AH129" s="2" t="s">
        <v>1793</v>
      </c>
      <c r="AI129" s="2">
        <v>9600</v>
      </c>
      <c r="AJ129" s="11">
        <v>0</v>
      </c>
      <c r="AK129" s="11"/>
    </row>
    <row r="130" spans="1:37" hidden="1">
      <c r="A130" s="10">
        <v>129</v>
      </c>
      <c r="B130" s="2" t="s">
        <v>37</v>
      </c>
      <c r="C130" s="2" t="s">
        <v>1794</v>
      </c>
      <c r="D130" s="2" t="s">
        <v>39</v>
      </c>
      <c r="E130" s="2" t="s">
        <v>40</v>
      </c>
      <c r="F130" s="2" t="s">
        <v>1795</v>
      </c>
      <c r="G130" s="2" t="s">
        <v>62</v>
      </c>
      <c r="H130" s="2" t="s">
        <v>1796</v>
      </c>
      <c r="I130" s="2" t="s">
        <v>51</v>
      </c>
      <c r="J130" s="2" t="s">
        <v>1797</v>
      </c>
      <c r="K130" s="2" t="s">
        <v>1798</v>
      </c>
      <c r="L130" s="2" t="s">
        <v>1799</v>
      </c>
      <c r="M130" s="2">
        <v>899000</v>
      </c>
      <c r="N130" s="2">
        <v>1450000</v>
      </c>
      <c r="O130" s="2" t="s">
        <v>1800</v>
      </c>
      <c r="P130" s="3">
        <v>45962</v>
      </c>
      <c r="Q130" s="2" t="s">
        <v>1801</v>
      </c>
      <c r="R130" s="2" t="s">
        <v>1802</v>
      </c>
      <c r="S130" s="2" t="s">
        <v>69</v>
      </c>
      <c r="T130" s="2" t="s">
        <v>1803</v>
      </c>
      <c r="U130" s="2" t="s">
        <v>253</v>
      </c>
      <c r="V130" s="2" t="s">
        <v>391</v>
      </c>
      <c r="W130" s="3">
        <v>44579</v>
      </c>
      <c r="X130" s="2" t="s">
        <v>287</v>
      </c>
      <c r="Y130" s="3">
        <v>46408</v>
      </c>
      <c r="Z130" s="2" t="s">
        <v>1804</v>
      </c>
      <c r="AA130" s="2">
        <v>5</v>
      </c>
      <c r="AB130" s="2" t="s">
        <v>90</v>
      </c>
      <c r="AC130" s="2" t="s">
        <v>1805</v>
      </c>
      <c r="AD130" s="3">
        <v>44578</v>
      </c>
      <c r="AE130" s="2" t="s">
        <v>77</v>
      </c>
      <c r="AF130" s="2">
        <v>1160000</v>
      </c>
      <c r="AG130" s="2">
        <v>17400</v>
      </c>
      <c r="AH130" s="2" t="s">
        <v>1806</v>
      </c>
      <c r="AI130" s="2">
        <v>17400</v>
      </c>
      <c r="AJ130" s="11">
        <v>0</v>
      </c>
      <c r="AK130" s="11"/>
    </row>
    <row r="131" spans="1:37" hidden="1">
      <c r="A131" s="10">
        <v>130</v>
      </c>
      <c r="B131" s="2" t="s">
        <v>37</v>
      </c>
      <c r="C131" s="2" t="s">
        <v>1807</v>
      </c>
      <c r="D131" s="2" t="s">
        <v>39</v>
      </c>
      <c r="E131" s="2" t="s">
        <v>40</v>
      </c>
      <c r="F131" s="2" t="s">
        <v>1808</v>
      </c>
      <c r="G131" s="2" t="s">
        <v>62</v>
      </c>
      <c r="H131" s="2" t="s">
        <v>1809</v>
      </c>
      <c r="I131" s="2" t="s">
        <v>51</v>
      </c>
      <c r="J131" s="2" t="s">
        <v>1810</v>
      </c>
      <c r="K131" s="2" t="s">
        <v>51</v>
      </c>
      <c r="L131" s="2" t="s">
        <v>1811</v>
      </c>
      <c r="M131" s="2">
        <v>2240000</v>
      </c>
      <c r="N131" s="2">
        <v>3200000</v>
      </c>
      <c r="O131" s="2" t="s">
        <v>1812</v>
      </c>
      <c r="P131" s="3">
        <v>45654</v>
      </c>
      <c r="Q131" s="2" t="s">
        <v>1813</v>
      </c>
      <c r="R131" s="2" t="s">
        <v>1814</v>
      </c>
      <c r="S131" s="2" t="s">
        <v>69</v>
      </c>
      <c r="T131" s="2" t="s">
        <v>1815</v>
      </c>
      <c r="U131" s="2" t="s">
        <v>1778</v>
      </c>
      <c r="V131" s="2" t="s">
        <v>286</v>
      </c>
      <c r="W131" s="3">
        <v>45290</v>
      </c>
      <c r="X131" s="2" t="s">
        <v>1195</v>
      </c>
      <c r="Y131" s="2" t="s">
        <v>392</v>
      </c>
      <c r="Z131" s="2" t="s">
        <v>1816</v>
      </c>
      <c r="AA131" s="2">
        <v>3</v>
      </c>
      <c r="AB131" s="2" t="s">
        <v>160</v>
      </c>
      <c r="AC131" s="2" t="s">
        <v>1817</v>
      </c>
      <c r="AD131" s="3">
        <v>45290</v>
      </c>
      <c r="AE131" s="2" t="s">
        <v>108</v>
      </c>
      <c r="AF131" s="2">
        <v>2880000</v>
      </c>
      <c r="AG131" s="2">
        <v>50400</v>
      </c>
      <c r="AH131" s="2" t="s">
        <v>1818</v>
      </c>
      <c r="AI131" s="2">
        <v>50400</v>
      </c>
      <c r="AJ131" s="11">
        <v>0</v>
      </c>
      <c r="AK131" s="11"/>
    </row>
    <row r="132" spans="1:37" hidden="1">
      <c r="A132" s="10">
        <v>131</v>
      </c>
      <c r="B132" s="2" t="s">
        <v>37</v>
      </c>
      <c r="C132" s="2" t="s">
        <v>1819</v>
      </c>
      <c r="D132" s="2" t="s">
        <v>39</v>
      </c>
      <c r="E132" s="2" t="s">
        <v>40</v>
      </c>
      <c r="F132" s="2" t="s">
        <v>1820</v>
      </c>
      <c r="G132" s="2" t="s">
        <v>42</v>
      </c>
      <c r="H132" s="2" t="s">
        <v>1821</v>
      </c>
      <c r="I132" s="2"/>
      <c r="J132" s="2">
        <v>3218440124</v>
      </c>
      <c r="K132" s="2">
        <v>418722623</v>
      </c>
      <c r="L132" s="2" t="s">
        <v>1822</v>
      </c>
      <c r="M132" s="2">
        <v>1305500</v>
      </c>
      <c r="N132" s="2">
        <v>1865000</v>
      </c>
      <c r="O132" s="2" t="s">
        <v>1823</v>
      </c>
      <c r="P132" s="3">
        <v>45962</v>
      </c>
      <c r="Q132" s="2">
        <v>166573</v>
      </c>
      <c r="R132" s="4" t="s">
        <v>1824</v>
      </c>
      <c r="S132" s="2" t="s">
        <v>50</v>
      </c>
      <c r="T132" s="2"/>
      <c r="U132" s="2" t="s">
        <v>350</v>
      </c>
      <c r="V132" s="2">
        <v>2021</v>
      </c>
      <c r="W132" s="3">
        <v>44074</v>
      </c>
      <c r="X132" s="2" t="s">
        <v>1825</v>
      </c>
      <c r="Y132" s="3">
        <v>46056</v>
      </c>
      <c r="Z132" s="2" t="s">
        <v>1826</v>
      </c>
      <c r="AA132" s="2">
        <v>5</v>
      </c>
      <c r="AB132" s="2" t="s">
        <v>75</v>
      </c>
      <c r="AC132" s="2" t="s">
        <v>1827</v>
      </c>
      <c r="AD132" s="3">
        <v>44208</v>
      </c>
      <c r="AE132" s="2" t="s">
        <v>58</v>
      </c>
      <c r="AF132" s="2">
        <v>1398750</v>
      </c>
      <c r="AG132" s="2">
        <v>27975</v>
      </c>
      <c r="AH132" s="2" t="s">
        <v>1828</v>
      </c>
      <c r="AI132" s="2">
        <v>27975</v>
      </c>
      <c r="AJ132" s="11">
        <v>0</v>
      </c>
      <c r="AK132" s="11"/>
    </row>
    <row r="133" spans="1:37">
      <c r="A133" s="10">
        <v>132</v>
      </c>
      <c r="B133" s="2" t="s">
        <v>37</v>
      </c>
      <c r="C133" s="2" t="s">
        <v>1829</v>
      </c>
      <c r="D133" s="2" t="s">
        <v>39</v>
      </c>
      <c r="E133" s="2" t="s">
        <v>40</v>
      </c>
      <c r="F133" s="2" t="s">
        <v>1830</v>
      </c>
      <c r="G133" s="2" t="s">
        <v>62</v>
      </c>
      <c r="H133" s="2" t="s">
        <v>1831</v>
      </c>
      <c r="I133" s="2" t="s">
        <v>1832</v>
      </c>
      <c r="J133" s="2" t="s">
        <v>1832</v>
      </c>
      <c r="K133" s="2" t="s">
        <v>1832</v>
      </c>
      <c r="L133" s="2" t="s">
        <v>1833</v>
      </c>
      <c r="M133" s="2">
        <v>1372000</v>
      </c>
      <c r="N133" s="2">
        <v>1960000</v>
      </c>
      <c r="O133" s="2" t="s">
        <v>1834</v>
      </c>
      <c r="P133" s="3">
        <v>45654</v>
      </c>
      <c r="Q133" s="2" t="s">
        <v>1835</v>
      </c>
      <c r="R133" s="2" t="s">
        <v>1836</v>
      </c>
      <c r="S133" s="2" t="s">
        <v>69</v>
      </c>
      <c r="T133" s="2" t="s">
        <v>1837</v>
      </c>
      <c r="U133" s="2" t="s">
        <v>1838</v>
      </c>
      <c r="V133" s="2" t="s">
        <v>521</v>
      </c>
      <c r="W133" s="3">
        <v>44560</v>
      </c>
      <c r="X133" s="2" t="s">
        <v>88</v>
      </c>
      <c r="Y133" s="2" t="s">
        <v>392</v>
      </c>
      <c r="Z133" s="2" t="s">
        <v>1839</v>
      </c>
      <c r="AA133" s="2">
        <v>5</v>
      </c>
      <c r="AB133" s="2" t="s">
        <v>75</v>
      </c>
      <c r="AC133" s="2" t="s">
        <v>1840</v>
      </c>
      <c r="AD133" s="3">
        <v>44559</v>
      </c>
      <c r="AE133" s="2" t="s">
        <v>77</v>
      </c>
      <c r="AF133" s="2">
        <v>1568000</v>
      </c>
      <c r="AG133" s="2">
        <v>23520</v>
      </c>
      <c r="AH133" s="2" t="s">
        <v>1841</v>
      </c>
      <c r="AI133" s="2">
        <v>24990</v>
      </c>
      <c r="AJ133" s="11">
        <v>1470</v>
      </c>
      <c r="AK133" s="11" t="s">
        <v>1842</v>
      </c>
    </row>
    <row r="134" spans="1:37" hidden="1">
      <c r="A134" s="10">
        <v>133</v>
      </c>
      <c r="B134" s="2" t="s">
        <v>37</v>
      </c>
      <c r="C134" s="2" t="s">
        <v>1843</v>
      </c>
      <c r="D134" s="2" t="s">
        <v>39</v>
      </c>
      <c r="E134" s="2" t="s">
        <v>40</v>
      </c>
      <c r="F134" s="2" t="s">
        <v>1844</v>
      </c>
      <c r="G134" s="2" t="s">
        <v>276</v>
      </c>
      <c r="H134" s="2" t="s">
        <v>1845</v>
      </c>
      <c r="I134" s="2" t="s">
        <v>1846</v>
      </c>
      <c r="J134" s="2" t="s">
        <v>1846</v>
      </c>
      <c r="K134" s="2" t="s">
        <v>1846</v>
      </c>
      <c r="L134" s="2" t="s">
        <v>1847</v>
      </c>
      <c r="M134" s="2">
        <v>1241250</v>
      </c>
      <c r="N134" s="2">
        <v>1655000</v>
      </c>
      <c r="O134" s="2" t="s">
        <v>1848</v>
      </c>
      <c r="P134" s="3">
        <v>45962</v>
      </c>
      <c r="Q134" s="2" t="s">
        <v>1849</v>
      </c>
      <c r="R134" s="2" t="s">
        <v>1850</v>
      </c>
      <c r="S134" s="2" t="s">
        <v>50</v>
      </c>
      <c r="T134" s="2" t="s">
        <v>51</v>
      </c>
      <c r="U134" s="2" t="s">
        <v>820</v>
      </c>
      <c r="V134" s="2" t="s">
        <v>286</v>
      </c>
      <c r="W134" s="3">
        <v>44417</v>
      </c>
      <c r="X134" s="2" t="s">
        <v>287</v>
      </c>
      <c r="Y134" s="3">
        <v>46408</v>
      </c>
      <c r="Z134" s="2" t="s">
        <v>1851</v>
      </c>
      <c r="AA134" s="2">
        <v>5</v>
      </c>
      <c r="AB134" s="2" t="s">
        <v>90</v>
      </c>
      <c r="AC134" s="2" t="s">
        <v>1852</v>
      </c>
      <c r="AD134" s="3">
        <v>44573</v>
      </c>
      <c r="AE134" s="2" t="s">
        <v>58</v>
      </c>
      <c r="AF134" s="2">
        <v>1324000</v>
      </c>
      <c r="AG134" s="2">
        <v>26480</v>
      </c>
      <c r="AH134" s="2" t="s">
        <v>1853</v>
      </c>
      <c r="AI134" s="2">
        <v>26480</v>
      </c>
      <c r="AJ134" s="11">
        <v>0</v>
      </c>
      <c r="AK134" s="11"/>
    </row>
    <row r="135" spans="1:37" hidden="1">
      <c r="A135" s="10">
        <v>134</v>
      </c>
      <c r="B135" s="2" t="s">
        <v>37</v>
      </c>
      <c r="C135" s="2" t="s">
        <v>1854</v>
      </c>
      <c r="D135" s="2" t="s">
        <v>39</v>
      </c>
      <c r="E135" s="2" t="s">
        <v>40</v>
      </c>
      <c r="F135" s="2" t="s">
        <v>1855</v>
      </c>
      <c r="G135" s="2" t="s">
        <v>1557</v>
      </c>
      <c r="H135" s="2" t="s">
        <v>1856</v>
      </c>
      <c r="I135" s="2" t="s">
        <v>1857</v>
      </c>
      <c r="J135" s="2" t="s">
        <v>51</v>
      </c>
      <c r="K135" s="2" t="s">
        <v>1858</v>
      </c>
      <c r="L135" s="2" t="s">
        <v>1859</v>
      </c>
      <c r="M135" s="2">
        <v>1295000</v>
      </c>
      <c r="N135" s="2">
        <v>1850000</v>
      </c>
      <c r="O135" s="2" t="s">
        <v>1860</v>
      </c>
      <c r="P135" s="3">
        <v>45962</v>
      </c>
      <c r="Q135" s="2" t="s">
        <v>1861</v>
      </c>
      <c r="R135" s="2" t="s">
        <v>1862</v>
      </c>
      <c r="S135" s="2" t="s">
        <v>69</v>
      </c>
      <c r="T135" s="2" t="s">
        <v>1863</v>
      </c>
      <c r="U135" s="2" t="s">
        <v>850</v>
      </c>
      <c r="V135" s="2" t="s">
        <v>72</v>
      </c>
      <c r="W135" s="3">
        <v>44575</v>
      </c>
      <c r="X135" s="2" t="s">
        <v>287</v>
      </c>
      <c r="Y135" s="3">
        <v>46408</v>
      </c>
      <c r="Z135" s="2" t="s">
        <v>1864</v>
      </c>
      <c r="AA135" s="2">
        <v>5</v>
      </c>
      <c r="AB135" s="2" t="s">
        <v>75</v>
      </c>
      <c r="AC135" s="2" t="s">
        <v>1865</v>
      </c>
      <c r="AD135" s="3">
        <v>44573</v>
      </c>
      <c r="AE135" s="2" t="s">
        <v>77</v>
      </c>
      <c r="AF135" s="2">
        <v>1480000</v>
      </c>
      <c r="AG135" s="2">
        <v>22200</v>
      </c>
      <c r="AH135" s="2" t="s">
        <v>1866</v>
      </c>
      <c r="AI135" s="2">
        <v>22200</v>
      </c>
      <c r="AJ135" s="11">
        <v>0</v>
      </c>
      <c r="AK135" s="11"/>
    </row>
    <row r="136" spans="1:37" hidden="1">
      <c r="A136" s="10">
        <v>135</v>
      </c>
      <c r="B136" s="2" t="s">
        <v>37</v>
      </c>
      <c r="C136" s="2" t="s">
        <v>1867</v>
      </c>
      <c r="D136" s="2" t="s">
        <v>39</v>
      </c>
      <c r="E136" s="2" t="s">
        <v>40</v>
      </c>
      <c r="F136" s="2" t="s">
        <v>1868</v>
      </c>
      <c r="G136" s="2" t="s">
        <v>62</v>
      </c>
      <c r="H136" s="2" t="s">
        <v>1869</v>
      </c>
      <c r="I136" s="2" t="s">
        <v>1870</v>
      </c>
      <c r="J136" s="2" t="s">
        <v>1870</v>
      </c>
      <c r="K136" s="2" t="s">
        <v>328</v>
      </c>
      <c r="L136" s="2" t="s">
        <v>1871</v>
      </c>
      <c r="M136" s="2">
        <v>1680000</v>
      </c>
      <c r="N136" s="2">
        <v>2400000</v>
      </c>
      <c r="O136" s="2" t="s">
        <v>1872</v>
      </c>
      <c r="P136" s="3">
        <v>45962</v>
      </c>
      <c r="Q136" s="2" t="s">
        <v>1873</v>
      </c>
      <c r="R136" s="2" t="s">
        <v>1874</v>
      </c>
      <c r="S136" s="2" t="s">
        <v>69</v>
      </c>
      <c r="T136" s="2" t="s">
        <v>1875</v>
      </c>
      <c r="U136" s="2" t="s">
        <v>578</v>
      </c>
      <c r="V136" s="2" t="s">
        <v>391</v>
      </c>
      <c r="W136" s="3">
        <v>44574</v>
      </c>
      <c r="X136" s="2" t="s">
        <v>287</v>
      </c>
      <c r="Y136" s="3">
        <v>46408</v>
      </c>
      <c r="Z136" s="2" t="s">
        <v>1876</v>
      </c>
      <c r="AA136" s="2">
        <v>5</v>
      </c>
      <c r="AB136" s="2" t="s">
        <v>90</v>
      </c>
      <c r="AC136" s="2" t="s">
        <v>1877</v>
      </c>
      <c r="AD136" s="3">
        <v>44573</v>
      </c>
      <c r="AE136" s="2" t="s">
        <v>77</v>
      </c>
      <c r="AF136" s="2">
        <v>1920000</v>
      </c>
      <c r="AG136" s="2">
        <v>28800</v>
      </c>
      <c r="AH136" s="2" t="s">
        <v>1878</v>
      </c>
      <c r="AI136" s="2">
        <v>28800</v>
      </c>
      <c r="AJ136" s="11">
        <v>0</v>
      </c>
      <c r="AK136" s="11"/>
    </row>
    <row r="137" spans="1:37" hidden="1">
      <c r="A137" s="10">
        <v>136</v>
      </c>
      <c r="B137" s="2" t="s">
        <v>37</v>
      </c>
      <c r="C137" s="2" t="s">
        <v>1879</v>
      </c>
      <c r="D137" s="2" t="s">
        <v>39</v>
      </c>
      <c r="E137" s="2" t="s">
        <v>40</v>
      </c>
      <c r="F137" s="2" t="s">
        <v>200</v>
      </c>
      <c r="G137" s="2" t="s">
        <v>62</v>
      </c>
      <c r="H137" s="2" t="s">
        <v>1880</v>
      </c>
      <c r="I137" s="2" t="s">
        <v>1881</v>
      </c>
      <c r="J137" s="2" t="s">
        <v>1881</v>
      </c>
      <c r="K137" s="2" t="s">
        <v>328</v>
      </c>
      <c r="L137" s="2" t="s">
        <v>1882</v>
      </c>
      <c r="M137" s="2">
        <v>2450000</v>
      </c>
      <c r="N137" s="2">
        <v>3500000</v>
      </c>
      <c r="O137" s="2" t="s">
        <v>1883</v>
      </c>
      <c r="P137" s="3">
        <v>45962</v>
      </c>
      <c r="Q137" s="2" t="s">
        <v>1884</v>
      </c>
      <c r="R137" s="2" t="s">
        <v>1885</v>
      </c>
      <c r="S137" s="2" t="s">
        <v>69</v>
      </c>
      <c r="T137" s="2" t="s">
        <v>1886</v>
      </c>
      <c r="U137" s="2" t="s">
        <v>1887</v>
      </c>
      <c r="V137" s="2" t="s">
        <v>72</v>
      </c>
      <c r="W137" s="3">
        <v>44575</v>
      </c>
      <c r="X137" s="2" t="s">
        <v>287</v>
      </c>
      <c r="Y137" s="3">
        <v>46408</v>
      </c>
      <c r="Z137" s="2" t="s">
        <v>1888</v>
      </c>
      <c r="AA137" s="2">
        <v>5</v>
      </c>
      <c r="AB137" s="2" t="s">
        <v>90</v>
      </c>
      <c r="AC137" s="2" t="s">
        <v>1889</v>
      </c>
      <c r="AD137" s="3">
        <v>44574</v>
      </c>
      <c r="AE137" s="2" t="s">
        <v>77</v>
      </c>
      <c r="AF137" s="2">
        <v>2800000</v>
      </c>
      <c r="AG137" s="2">
        <v>42000</v>
      </c>
      <c r="AH137" s="2" t="s">
        <v>1890</v>
      </c>
      <c r="AI137" s="2">
        <v>42000</v>
      </c>
      <c r="AJ137" s="11">
        <v>0</v>
      </c>
      <c r="AK137" s="11"/>
    </row>
    <row r="138" spans="1:37">
      <c r="A138" s="10">
        <v>137</v>
      </c>
      <c r="B138" s="2" t="s">
        <v>37</v>
      </c>
      <c r="C138" s="2" t="s">
        <v>1891</v>
      </c>
      <c r="D138" s="2" t="s">
        <v>39</v>
      </c>
      <c r="E138" s="2" t="s">
        <v>40</v>
      </c>
      <c r="F138" s="2" t="s">
        <v>1892</v>
      </c>
      <c r="G138" s="2" t="s">
        <v>497</v>
      </c>
      <c r="H138" s="2" t="s">
        <v>1893</v>
      </c>
      <c r="I138" s="2" t="s">
        <v>1894</v>
      </c>
      <c r="J138" s="2" t="s">
        <v>1894</v>
      </c>
      <c r="K138" s="2" t="s">
        <v>1894</v>
      </c>
      <c r="L138" s="2" t="s">
        <v>1895</v>
      </c>
      <c r="M138" s="2">
        <v>1399300</v>
      </c>
      <c r="N138" s="2">
        <v>1999000</v>
      </c>
      <c r="O138" s="2" t="s">
        <v>1896</v>
      </c>
      <c r="P138" s="3">
        <v>45654</v>
      </c>
      <c r="Q138" s="2" t="s">
        <v>1897</v>
      </c>
      <c r="R138" s="2" t="s">
        <v>1898</v>
      </c>
      <c r="S138" s="2" t="s">
        <v>50</v>
      </c>
      <c r="T138" s="2" t="s">
        <v>51</v>
      </c>
      <c r="U138" s="2" t="s">
        <v>1899</v>
      </c>
      <c r="V138" s="2" t="s">
        <v>521</v>
      </c>
      <c r="W138" s="3">
        <v>44089</v>
      </c>
      <c r="X138" s="2" t="s">
        <v>337</v>
      </c>
      <c r="Y138" s="2" t="s">
        <v>338</v>
      </c>
      <c r="Z138" s="2" t="s">
        <v>1900</v>
      </c>
      <c r="AA138" s="2">
        <v>5</v>
      </c>
      <c r="AB138" s="2" t="s">
        <v>106</v>
      </c>
      <c r="AC138" s="2" t="s">
        <v>1901</v>
      </c>
      <c r="AD138" s="3">
        <v>44182</v>
      </c>
      <c r="AE138" s="2" t="s">
        <v>58</v>
      </c>
      <c r="AF138" s="2">
        <v>1499250</v>
      </c>
      <c r="AG138" s="2">
        <v>29985</v>
      </c>
      <c r="AH138" s="2" t="s">
        <v>1902</v>
      </c>
      <c r="AI138" s="2">
        <v>31984</v>
      </c>
      <c r="AJ138" s="11">
        <v>1999</v>
      </c>
      <c r="AK138" s="11" t="s">
        <v>1903</v>
      </c>
    </row>
    <row r="139" spans="1:37" hidden="1">
      <c r="A139" s="10">
        <v>138</v>
      </c>
      <c r="B139" s="2" t="s">
        <v>37</v>
      </c>
      <c r="C139" s="2" t="s">
        <v>1904</v>
      </c>
      <c r="D139" s="2" t="s">
        <v>39</v>
      </c>
      <c r="E139" s="2" t="s">
        <v>40</v>
      </c>
      <c r="F139" s="2" t="s">
        <v>1905</v>
      </c>
      <c r="G139" s="2" t="s">
        <v>276</v>
      </c>
      <c r="H139" s="2" t="s">
        <v>1906</v>
      </c>
      <c r="I139" s="2" t="s">
        <v>1907</v>
      </c>
      <c r="J139" s="2" t="s">
        <v>1908</v>
      </c>
      <c r="K139" s="2" t="s">
        <v>51</v>
      </c>
      <c r="L139" s="2" t="s">
        <v>1909</v>
      </c>
      <c r="M139" s="2">
        <v>3689000</v>
      </c>
      <c r="N139" s="2">
        <v>5270000</v>
      </c>
      <c r="O139" s="2" t="s">
        <v>1910</v>
      </c>
      <c r="P139" s="3">
        <v>45962</v>
      </c>
      <c r="Q139" s="2" t="s">
        <v>1911</v>
      </c>
      <c r="R139" s="2" t="s">
        <v>1912</v>
      </c>
      <c r="S139" s="2" t="s">
        <v>50</v>
      </c>
      <c r="T139" s="2" t="s">
        <v>51</v>
      </c>
      <c r="U139" s="2" t="s">
        <v>930</v>
      </c>
      <c r="V139" s="2" t="s">
        <v>53</v>
      </c>
      <c r="W139" s="3">
        <v>44357</v>
      </c>
      <c r="X139" s="2" t="s">
        <v>287</v>
      </c>
      <c r="Y139" s="3">
        <v>46408</v>
      </c>
      <c r="Z139" s="2" t="s">
        <v>1913</v>
      </c>
      <c r="AA139" s="2">
        <v>5</v>
      </c>
      <c r="AB139" s="2" t="s">
        <v>75</v>
      </c>
      <c r="AC139" s="2" t="s">
        <v>1914</v>
      </c>
      <c r="AD139" s="3">
        <v>44573</v>
      </c>
      <c r="AE139" s="2" t="s">
        <v>58</v>
      </c>
      <c r="AF139" s="2">
        <v>4216000</v>
      </c>
      <c r="AG139" s="2">
        <v>84320</v>
      </c>
      <c r="AH139" s="2" t="s">
        <v>1915</v>
      </c>
      <c r="AI139" s="2">
        <v>84320</v>
      </c>
      <c r="AJ139" s="11">
        <v>0</v>
      </c>
      <c r="AK139" s="11"/>
    </row>
    <row r="140" spans="1:37">
      <c r="A140" s="10">
        <v>139</v>
      </c>
      <c r="B140" s="2" t="s">
        <v>37</v>
      </c>
      <c r="C140" s="2" t="s">
        <v>1916</v>
      </c>
      <c r="D140" s="2" t="s">
        <v>39</v>
      </c>
      <c r="E140" s="2" t="s">
        <v>40</v>
      </c>
      <c r="F140" s="2" t="s">
        <v>1917</v>
      </c>
      <c r="G140" s="2" t="s">
        <v>42</v>
      </c>
      <c r="H140" s="2" t="s">
        <v>1918</v>
      </c>
      <c r="I140" s="2" t="s">
        <v>51</v>
      </c>
      <c r="J140" s="2" t="s">
        <v>1919</v>
      </c>
      <c r="K140" s="2" t="s">
        <v>51</v>
      </c>
      <c r="L140" s="2" t="s">
        <v>1920</v>
      </c>
      <c r="M140" s="2">
        <v>1890000</v>
      </c>
      <c r="N140" s="2">
        <v>2700000</v>
      </c>
      <c r="O140" s="2" t="s">
        <v>1921</v>
      </c>
      <c r="P140" s="3">
        <v>45654</v>
      </c>
      <c r="Q140" s="2" t="s">
        <v>1922</v>
      </c>
      <c r="R140" s="2" t="s">
        <v>1923</v>
      </c>
      <c r="S140" s="2" t="s">
        <v>69</v>
      </c>
      <c r="T140" s="2" t="s">
        <v>1924</v>
      </c>
      <c r="U140" s="2" t="s">
        <v>236</v>
      </c>
      <c r="V140" s="2" t="s">
        <v>286</v>
      </c>
      <c r="W140" s="3">
        <v>44926</v>
      </c>
      <c r="X140" s="2" t="s">
        <v>237</v>
      </c>
      <c r="Y140" s="2" t="s">
        <v>238</v>
      </c>
      <c r="Z140" s="2" t="s">
        <v>1925</v>
      </c>
      <c r="AA140" s="2">
        <v>5</v>
      </c>
      <c r="AB140" s="2" t="s">
        <v>56</v>
      </c>
      <c r="AC140" s="2" t="s">
        <v>1926</v>
      </c>
      <c r="AD140" s="3">
        <v>44924</v>
      </c>
      <c r="AE140" s="2" t="s">
        <v>108</v>
      </c>
      <c r="AF140" s="2">
        <v>2295000</v>
      </c>
      <c r="AG140" s="2">
        <v>40163</v>
      </c>
      <c r="AH140" s="2" t="s">
        <v>1927</v>
      </c>
      <c r="AI140" s="2">
        <v>42525</v>
      </c>
      <c r="AJ140" s="11">
        <v>2362</v>
      </c>
      <c r="AK140" s="11" t="s">
        <v>1928</v>
      </c>
    </row>
    <row r="141" spans="1:37">
      <c r="A141" s="10">
        <v>140</v>
      </c>
      <c r="B141" s="2" t="s">
        <v>37</v>
      </c>
      <c r="C141" s="2" t="s">
        <v>1929</v>
      </c>
      <c r="D141" s="2" t="s">
        <v>39</v>
      </c>
      <c r="E141" s="2" t="s">
        <v>40</v>
      </c>
      <c r="F141" s="2" t="s">
        <v>1930</v>
      </c>
      <c r="G141" s="2" t="s">
        <v>42</v>
      </c>
      <c r="H141" s="2" t="s">
        <v>1931</v>
      </c>
      <c r="I141" s="2" t="s">
        <v>1932</v>
      </c>
      <c r="J141" s="2" t="s">
        <v>1933</v>
      </c>
      <c r="K141" s="2" t="s">
        <v>1934</v>
      </c>
      <c r="L141" s="2" t="s">
        <v>1935</v>
      </c>
      <c r="M141" s="2">
        <v>1961400</v>
      </c>
      <c r="N141" s="2">
        <v>2802000</v>
      </c>
      <c r="O141" s="2" t="s">
        <v>1936</v>
      </c>
      <c r="P141" s="3">
        <v>45654</v>
      </c>
      <c r="Q141" s="2" t="s">
        <v>1937</v>
      </c>
      <c r="R141" s="2" t="s">
        <v>1938</v>
      </c>
      <c r="S141" s="2" t="s">
        <v>50</v>
      </c>
      <c r="T141" s="2" t="s">
        <v>51</v>
      </c>
      <c r="U141" s="2" t="s">
        <v>1939</v>
      </c>
      <c r="V141" s="2" t="s">
        <v>53</v>
      </c>
      <c r="W141" s="3">
        <v>44926</v>
      </c>
      <c r="X141" s="2" t="s">
        <v>237</v>
      </c>
      <c r="Y141" s="2" t="s">
        <v>338</v>
      </c>
      <c r="Z141" s="2" t="s">
        <v>1940</v>
      </c>
      <c r="AA141" s="2">
        <v>3</v>
      </c>
      <c r="AB141" s="2" t="s">
        <v>56</v>
      </c>
      <c r="AC141" s="2" t="s">
        <v>1941</v>
      </c>
      <c r="AD141" s="3">
        <v>44924</v>
      </c>
      <c r="AE141" s="2" t="s">
        <v>108</v>
      </c>
      <c r="AF141" s="2">
        <v>2381700</v>
      </c>
      <c r="AG141" s="2">
        <v>41680</v>
      </c>
      <c r="AH141" s="2" t="s">
        <v>1942</v>
      </c>
      <c r="AI141" s="2">
        <v>44132</v>
      </c>
      <c r="AJ141" s="11">
        <v>2452</v>
      </c>
      <c r="AK141" s="11" t="s">
        <v>1943</v>
      </c>
    </row>
    <row r="142" spans="1:37">
      <c r="A142" s="10">
        <v>141</v>
      </c>
      <c r="B142" s="2" t="s">
        <v>37</v>
      </c>
      <c r="C142" s="2" t="s">
        <v>1944</v>
      </c>
      <c r="D142" s="2" t="s">
        <v>39</v>
      </c>
      <c r="E142" s="2" t="s">
        <v>40</v>
      </c>
      <c r="F142" s="2" t="s">
        <v>1945</v>
      </c>
      <c r="G142" s="2" t="s">
        <v>42</v>
      </c>
      <c r="H142" s="2" t="s">
        <v>1946</v>
      </c>
      <c r="I142" s="2" t="s">
        <v>1947</v>
      </c>
      <c r="J142" s="2" t="s">
        <v>1948</v>
      </c>
      <c r="K142" s="2" t="s">
        <v>1947</v>
      </c>
      <c r="L142" s="2" t="s">
        <v>1949</v>
      </c>
      <c r="M142" s="2">
        <v>1576250</v>
      </c>
      <c r="N142" s="2">
        <v>2425000</v>
      </c>
      <c r="O142" s="2" t="s">
        <v>1950</v>
      </c>
      <c r="P142" s="3">
        <v>45654</v>
      </c>
      <c r="Q142" s="2" t="s">
        <v>1951</v>
      </c>
      <c r="R142" s="2" t="s">
        <v>1952</v>
      </c>
      <c r="S142" s="2" t="s">
        <v>69</v>
      </c>
      <c r="T142" s="2" t="s">
        <v>1953</v>
      </c>
      <c r="U142" s="2" t="s">
        <v>435</v>
      </c>
      <c r="V142" s="2" t="s">
        <v>53</v>
      </c>
      <c r="W142" s="3">
        <v>44925</v>
      </c>
      <c r="X142" s="2" t="s">
        <v>237</v>
      </c>
      <c r="Y142" s="2" t="s">
        <v>238</v>
      </c>
      <c r="Z142" s="2" t="s">
        <v>1954</v>
      </c>
      <c r="AA142" s="2">
        <v>5</v>
      </c>
      <c r="AB142" s="2" t="s">
        <v>56</v>
      </c>
      <c r="AC142" s="2" t="s">
        <v>1955</v>
      </c>
      <c r="AD142" s="3">
        <v>44924</v>
      </c>
      <c r="AE142" s="2" t="s">
        <v>108</v>
      </c>
      <c r="AF142" s="2">
        <v>2061250</v>
      </c>
      <c r="AG142" s="2">
        <v>36072</v>
      </c>
      <c r="AH142" s="2" t="s">
        <v>1956</v>
      </c>
      <c r="AI142" s="2">
        <v>38194</v>
      </c>
      <c r="AJ142" s="11">
        <v>2122</v>
      </c>
      <c r="AK142" s="11" t="s">
        <v>1957</v>
      </c>
    </row>
    <row r="143" spans="1:37">
      <c r="A143" s="10">
        <v>142</v>
      </c>
      <c r="B143" s="2" t="s">
        <v>37</v>
      </c>
      <c r="C143" s="2" t="s">
        <v>1958</v>
      </c>
      <c r="D143" s="2" t="s">
        <v>39</v>
      </c>
      <c r="E143" s="2" t="s">
        <v>40</v>
      </c>
      <c r="F143" s="2" t="s">
        <v>1959</v>
      </c>
      <c r="G143" s="2" t="s">
        <v>42</v>
      </c>
      <c r="H143" s="2" t="s">
        <v>1960</v>
      </c>
      <c r="I143" s="2" t="s">
        <v>1961</v>
      </c>
      <c r="J143" s="2" t="s">
        <v>1962</v>
      </c>
      <c r="K143" s="2" t="s">
        <v>1961</v>
      </c>
      <c r="L143" s="2" t="s">
        <v>1963</v>
      </c>
      <c r="M143" s="2">
        <v>907200</v>
      </c>
      <c r="N143" s="2">
        <v>3024000</v>
      </c>
      <c r="O143" s="2" t="s">
        <v>1964</v>
      </c>
      <c r="P143" s="3">
        <v>45654</v>
      </c>
      <c r="Q143" s="2" t="s">
        <v>1965</v>
      </c>
      <c r="R143" s="2" t="s">
        <v>1966</v>
      </c>
      <c r="S143" s="2" t="s">
        <v>50</v>
      </c>
      <c r="T143" s="2" t="s">
        <v>51</v>
      </c>
      <c r="U143" s="2" t="s">
        <v>236</v>
      </c>
      <c r="V143" s="2" t="s">
        <v>53</v>
      </c>
      <c r="W143" s="3">
        <v>44924</v>
      </c>
      <c r="X143" s="2" t="s">
        <v>237</v>
      </c>
      <c r="Y143" s="2" t="s">
        <v>392</v>
      </c>
      <c r="Z143" s="2" t="s">
        <v>1967</v>
      </c>
      <c r="AA143" s="2">
        <v>4</v>
      </c>
      <c r="AB143" s="2" t="s">
        <v>56</v>
      </c>
      <c r="AC143" s="2" t="s">
        <v>1968</v>
      </c>
      <c r="AD143" s="3">
        <v>44921</v>
      </c>
      <c r="AE143" s="2" t="s">
        <v>108</v>
      </c>
      <c r="AF143" s="2">
        <v>2570400</v>
      </c>
      <c r="AG143" s="2">
        <v>44982</v>
      </c>
      <c r="AH143" s="2" t="s">
        <v>1969</v>
      </c>
      <c r="AI143" s="2">
        <v>47628</v>
      </c>
      <c r="AJ143" s="11">
        <v>2646</v>
      </c>
      <c r="AK143" s="11" t="s">
        <v>1970</v>
      </c>
    </row>
    <row r="144" spans="1:37">
      <c r="A144" s="10">
        <v>143</v>
      </c>
      <c r="B144" s="2" t="s">
        <v>37</v>
      </c>
      <c r="C144" s="2" t="s">
        <v>1971</v>
      </c>
      <c r="D144" s="2" t="s">
        <v>39</v>
      </c>
      <c r="E144" s="2" t="s">
        <v>40</v>
      </c>
      <c r="F144" s="2" t="s">
        <v>1972</v>
      </c>
      <c r="G144" s="2" t="s">
        <v>1557</v>
      </c>
      <c r="H144" s="2" t="s">
        <v>1973</v>
      </c>
      <c r="I144" s="2" t="s">
        <v>1974</v>
      </c>
      <c r="J144" s="2" t="s">
        <v>51</v>
      </c>
      <c r="K144" s="2" t="s">
        <v>1975</v>
      </c>
      <c r="L144" s="2" t="s">
        <v>1976</v>
      </c>
      <c r="M144" s="2">
        <v>2280000</v>
      </c>
      <c r="N144" s="2">
        <v>3800000</v>
      </c>
      <c r="O144" s="2" t="s">
        <v>1977</v>
      </c>
      <c r="P144" s="3">
        <v>45654</v>
      </c>
      <c r="Q144" s="2" t="s">
        <v>1978</v>
      </c>
      <c r="R144" s="2" t="s">
        <v>1979</v>
      </c>
      <c r="S144" s="2" t="s">
        <v>69</v>
      </c>
      <c r="T144" s="2" t="s">
        <v>1980</v>
      </c>
      <c r="U144" s="2" t="s">
        <v>535</v>
      </c>
      <c r="V144" s="2" t="s">
        <v>521</v>
      </c>
      <c r="W144" s="3">
        <v>44561</v>
      </c>
      <c r="X144" s="2" t="s">
        <v>88</v>
      </c>
      <c r="Y144" s="2" t="s">
        <v>392</v>
      </c>
      <c r="Z144" s="2" t="s">
        <v>1981</v>
      </c>
      <c r="AA144" s="2">
        <v>5</v>
      </c>
      <c r="AB144" s="2" t="s">
        <v>75</v>
      </c>
      <c r="AC144" s="2" t="s">
        <v>1982</v>
      </c>
      <c r="AD144" s="3">
        <v>44560</v>
      </c>
      <c r="AE144" s="2" t="s">
        <v>77</v>
      </c>
      <c r="AF144" s="2">
        <v>3040000</v>
      </c>
      <c r="AG144" s="2">
        <v>45600</v>
      </c>
      <c r="AH144" s="2" t="s">
        <v>1983</v>
      </c>
      <c r="AI144" s="2">
        <v>48450</v>
      </c>
      <c r="AJ144" s="11">
        <v>2850</v>
      </c>
      <c r="AK144" s="11" t="s">
        <v>1984</v>
      </c>
    </row>
    <row r="145" spans="1:37" hidden="1">
      <c r="A145" s="10">
        <v>144</v>
      </c>
      <c r="B145" s="2" t="s">
        <v>37</v>
      </c>
      <c r="C145" s="2" t="s">
        <v>1985</v>
      </c>
      <c r="D145" s="2" t="s">
        <v>39</v>
      </c>
      <c r="E145" s="2" t="s">
        <v>40</v>
      </c>
      <c r="F145" s="2" t="s">
        <v>1986</v>
      </c>
      <c r="G145" s="2" t="s">
        <v>1557</v>
      </c>
      <c r="H145" s="2" t="s">
        <v>1987</v>
      </c>
      <c r="I145" s="2" t="s">
        <v>51</v>
      </c>
      <c r="J145" s="2" t="s">
        <v>1988</v>
      </c>
      <c r="K145" s="2" t="s">
        <v>51</v>
      </c>
      <c r="L145" s="2" t="s">
        <v>1989</v>
      </c>
      <c r="M145" s="2">
        <v>1484000</v>
      </c>
      <c r="N145" s="2">
        <v>2120000</v>
      </c>
      <c r="O145" s="2" t="s">
        <v>1990</v>
      </c>
      <c r="P145" s="3">
        <v>45962</v>
      </c>
      <c r="Q145" s="2" t="s">
        <v>1991</v>
      </c>
      <c r="R145" s="2" t="s">
        <v>1992</v>
      </c>
      <c r="S145" s="2" t="s">
        <v>50</v>
      </c>
      <c r="T145" s="2" t="s">
        <v>51</v>
      </c>
      <c r="U145" s="2" t="s">
        <v>1993</v>
      </c>
      <c r="V145" s="2" t="s">
        <v>1194</v>
      </c>
      <c r="W145" s="3">
        <v>44662</v>
      </c>
      <c r="X145" s="2" t="s">
        <v>1710</v>
      </c>
      <c r="Y145" s="3">
        <v>46773</v>
      </c>
      <c r="Z145" s="2" t="s">
        <v>1994</v>
      </c>
      <c r="AA145" s="2">
        <v>5</v>
      </c>
      <c r="AB145" s="2" t="s">
        <v>56</v>
      </c>
      <c r="AC145" s="2" t="s">
        <v>1995</v>
      </c>
      <c r="AD145" s="3">
        <v>44938</v>
      </c>
      <c r="AE145" s="2" t="s">
        <v>58</v>
      </c>
      <c r="AF145" s="2">
        <v>1802000</v>
      </c>
      <c r="AG145" s="2">
        <v>36040</v>
      </c>
      <c r="AH145" s="2" t="s">
        <v>1996</v>
      </c>
      <c r="AI145" s="2">
        <v>36040</v>
      </c>
      <c r="AJ145" s="11">
        <v>0</v>
      </c>
      <c r="AK145" s="11"/>
    </row>
    <row r="146" spans="1:37">
      <c r="A146" s="10">
        <v>145</v>
      </c>
      <c r="B146" s="2" t="s">
        <v>37</v>
      </c>
      <c r="C146" s="2" t="s">
        <v>1997</v>
      </c>
      <c r="D146" s="2" t="s">
        <v>39</v>
      </c>
      <c r="E146" s="2" t="s">
        <v>40</v>
      </c>
      <c r="F146" s="2" t="s">
        <v>1998</v>
      </c>
      <c r="G146" s="2" t="s">
        <v>62</v>
      </c>
      <c r="H146" s="2" t="s">
        <v>1999</v>
      </c>
      <c r="I146" s="2" t="s">
        <v>2000</v>
      </c>
      <c r="J146" s="2" t="s">
        <v>2000</v>
      </c>
      <c r="K146" s="2" t="s">
        <v>328</v>
      </c>
      <c r="L146" s="2" t="s">
        <v>2001</v>
      </c>
      <c r="M146" s="2">
        <v>2100000</v>
      </c>
      <c r="N146" s="2">
        <v>3500000</v>
      </c>
      <c r="O146" s="2" t="s">
        <v>2002</v>
      </c>
      <c r="P146" s="3">
        <v>45654</v>
      </c>
      <c r="Q146" s="2" t="s">
        <v>2003</v>
      </c>
      <c r="R146" s="2" t="s">
        <v>2004</v>
      </c>
      <c r="S146" s="2" t="s">
        <v>69</v>
      </c>
      <c r="T146" s="2" t="s">
        <v>2005</v>
      </c>
      <c r="U146" s="2" t="s">
        <v>1441</v>
      </c>
      <c r="V146" s="2" t="s">
        <v>72</v>
      </c>
      <c r="W146" s="3">
        <v>44560</v>
      </c>
      <c r="X146" s="2" t="s">
        <v>88</v>
      </c>
      <c r="Y146" s="2" t="s">
        <v>392</v>
      </c>
      <c r="Z146" s="2" t="s">
        <v>2006</v>
      </c>
      <c r="AA146" s="2">
        <v>5</v>
      </c>
      <c r="AB146" s="2" t="s">
        <v>75</v>
      </c>
      <c r="AC146" s="2" t="s">
        <v>2007</v>
      </c>
      <c r="AD146" s="3">
        <v>44559</v>
      </c>
      <c r="AE146" s="2" t="s">
        <v>77</v>
      </c>
      <c r="AF146" s="2">
        <v>2800000</v>
      </c>
      <c r="AG146" s="2">
        <v>42000</v>
      </c>
      <c r="AH146" s="2" t="s">
        <v>2008</v>
      </c>
      <c r="AI146" s="2">
        <v>44625</v>
      </c>
      <c r="AJ146" s="11">
        <v>2625</v>
      </c>
      <c r="AK146" s="11" t="s">
        <v>2009</v>
      </c>
    </row>
    <row r="147" spans="1:37">
      <c r="A147" s="10">
        <v>146</v>
      </c>
      <c r="B147" s="2" t="s">
        <v>37</v>
      </c>
      <c r="C147" s="2" t="s">
        <v>2010</v>
      </c>
      <c r="D147" s="2" t="s">
        <v>39</v>
      </c>
      <c r="E147" s="2" t="s">
        <v>40</v>
      </c>
      <c r="F147" s="2" t="s">
        <v>2011</v>
      </c>
      <c r="G147" s="2" t="s">
        <v>497</v>
      </c>
      <c r="H147" s="2" t="s">
        <v>2012</v>
      </c>
      <c r="I147" s="2" t="s">
        <v>2013</v>
      </c>
      <c r="J147" s="2" t="s">
        <v>2013</v>
      </c>
      <c r="K147" s="2" t="s">
        <v>2013</v>
      </c>
      <c r="L147" s="2" t="s">
        <v>2014</v>
      </c>
      <c r="M147" s="2">
        <v>2076900</v>
      </c>
      <c r="N147" s="2">
        <v>2967000</v>
      </c>
      <c r="O147" s="2" t="s">
        <v>2015</v>
      </c>
      <c r="P147" s="3">
        <v>45654</v>
      </c>
      <c r="Q147" s="2" t="s">
        <v>2016</v>
      </c>
      <c r="R147" s="2" t="s">
        <v>2017</v>
      </c>
      <c r="S147" s="2" t="s">
        <v>50</v>
      </c>
      <c r="T147" s="2" t="s">
        <v>51</v>
      </c>
      <c r="U147" s="2" t="s">
        <v>208</v>
      </c>
      <c r="V147" s="2" t="s">
        <v>286</v>
      </c>
      <c r="W147" s="3">
        <v>44560</v>
      </c>
      <c r="X147" s="2" t="s">
        <v>88</v>
      </c>
      <c r="Y147" s="2" t="s">
        <v>392</v>
      </c>
      <c r="Z147" s="2" t="s">
        <v>2018</v>
      </c>
      <c r="AA147" s="2">
        <v>5</v>
      </c>
      <c r="AB147" s="2" t="s">
        <v>75</v>
      </c>
      <c r="AC147" s="2" t="s">
        <v>2019</v>
      </c>
      <c r="AD147" s="3">
        <v>44559</v>
      </c>
      <c r="AE147" s="2" t="s">
        <v>58</v>
      </c>
      <c r="AF147" s="2">
        <v>2373600</v>
      </c>
      <c r="AG147" s="2">
        <v>47472</v>
      </c>
      <c r="AH147" s="2" t="s">
        <v>2020</v>
      </c>
      <c r="AI147" s="2">
        <v>50439</v>
      </c>
      <c r="AJ147" s="11">
        <v>2967</v>
      </c>
      <c r="AK147" s="11" t="s">
        <v>2021</v>
      </c>
    </row>
    <row r="148" spans="1:37">
      <c r="A148" s="10">
        <v>147</v>
      </c>
      <c r="B148" s="2" t="s">
        <v>37</v>
      </c>
      <c r="C148" s="2" t="s">
        <v>2022</v>
      </c>
      <c r="D148" s="2" t="s">
        <v>39</v>
      </c>
      <c r="E148" s="2" t="s">
        <v>40</v>
      </c>
      <c r="F148" s="2" t="s">
        <v>2023</v>
      </c>
      <c r="G148" s="2" t="s">
        <v>62</v>
      </c>
      <c r="H148" s="2" t="s">
        <v>2024</v>
      </c>
      <c r="I148" s="2" t="s">
        <v>2025</v>
      </c>
      <c r="J148" s="2" t="s">
        <v>2025</v>
      </c>
      <c r="K148" s="2" t="s">
        <v>2025</v>
      </c>
      <c r="L148" s="2" t="s">
        <v>2026</v>
      </c>
      <c r="M148" s="2">
        <v>1561000</v>
      </c>
      <c r="N148" s="2">
        <v>2230000</v>
      </c>
      <c r="O148" s="2" t="s">
        <v>2027</v>
      </c>
      <c r="P148" s="3">
        <v>45654</v>
      </c>
      <c r="Q148" s="2" t="s">
        <v>2028</v>
      </c>
      <c r="R148" s="2" t="s">
        <v>2029</v>
      </c>
      <c r="S148" s="2" t="s">
        <v>69</v>
      </c>
      <c r="T148" s="2" t="s">
        <v>2030</v>
      </c>
      <c r="U148" s="2" t="s">
        <v>2031</v>
      </c>
      <c r="V148" s="2" t="s">
        <v>521</v>
      </c>
      <c r="W148" s="3">
        <v>44560</v>
      </c>
      <c r="X148" s="2" t="s">
        <v>88</v>
      </c>
      <c r="Y148" s="2" t="s">
        <v>392</v>
      </c>
      <c r="Z148" s="2" t="s">
        <v>2032</v>
      </c>
      <c r="AA148" s="2">
        <v>5</v>
      </c>
      <c r="AB148" s="2" t="s">
        <v>75</v>
      </c>
      <c r="AC148" s="2" t="s">
        <v>2033</v>
      </c>
      <c r="AD148" s="3">
        <v>44559</v>
      </c>
      <c r="AE148" s="2" t="s">
        <v>77</v>
      </c>
      <c r="AF148" s="2">
        <v>1784000</v>
      </c>
      <c r="AG148" s="2">
        <v>26760</v>
      </c>
      <c r="AH148" s="2" t="s">
        <v>2034</v>
      </c>
      <c r="AI148" s="2">
        <v>28433</v>
      </c>
      <c r="AJ148" s="11">
        <v>1673</v>
      </c>
      <c r="AK148" s="11" t="s">
        <v>2035</v>
      </c>
    </row>
    <row r="149" spans="1:37">
      <c r="A149" s="10">
        <v>148</v>
      </c>
      <c r="B149" s="2" t="s">
        <v>37</v>
      </c>
      <c r="C149" s="2" t="s">
        <v>2036</v>
      </c>
      <c r="D149" s="2" t="s">
        <v>39</v>
      </c>
      <c r="E149" s="2" t="s">
        <v>40</v>
      </c>
      <c r="F149" s="2" t="s">
        <v>2037</v>
      </c>
      <c r="G149" s="2" t="s">
        <v>112</v>
      </c>
      <c r="H149" s="2" t="s">
        <v>2038</v>
      </c>
      <c r="I149" s="2" t="s">
        <v>2039</v>
      </c>
      <c r="J149" s="2" t="s">
        <v>51</v>
      </c>
      <c r="K149" s="2" t="s">
        <v>328</v>
      </c>
      <c r="L149" s="2" t="s">
        <v>2040</v>
      </c>
      <c r="M149" s="2">
        <v>1470000</v>
      </c>
      <c r="N149" s="2">
        <v>2100000</v>
      </c>
      <c r="O149" s="2" t="s">
        <v>2041</v>
      </c>
      <c r="P149" s="3">
        <v>45654</v>
      </c>
      <c r="Q149" s="2" t="s">
        <v>2042</v>
      </c>
      <c r="R149" s="2" t="s">
        <v>2043</v>
      </c>
      <c r="S149" s="2" t="s">
        <v>69</v>
      </c>
      <c r="T149" s="2" t="s">
        <v>2044</v>
      </c>
      <c r="U149" s="2" t="s">
        <v>1550</v>
      </c>
      <c r="V149" s="2" t="s">
        <v>365</v>
      </c>
      <c r="W149" s="3">
        <v>44561</v>
      </c>
      <c r="X149" s="2" t="s">
        <v>88</v>
      </c>
      <c r="Y149" s="2" t="s">
        <v>392</v>
      </c>
      <c r="Z149" s="2" t="s">
        <v>2045</v>
      </c>
      <c r="AA149" s="2">
        <v>5</v>
      </c>
      <c r="AB149" s="2" t="s">
        <v>75</v>
      </c>
      <c r="AC149" s="2" t="s">
        <v>2046</v>
      </c>
      <c r="AD149" s="3">
        <v>44560</v>
      </c>
      <c r="AE149" s="2" t="s">
        <v>77</v>
      </c>
      <c r="AF149" s="2">
        <v>1680000</v>
      </c>
      <c r="AG149" s="2">
        <v>25200</v>
      </c>
      <c r="AH149" s="2" t="s">
        <v>2047</v>
      </c>
      <c r="AI149" s="2">
        <v>26775</v>
      </c>
      <c r="AJ149" s="11">
        <v>1575</v>
      </c>
      <c r="AK149" s="11" t="s">
        <v>2048</v>
      </c>
    </row>
    <row r="150" spans="1:37">
      <c r="A150" s="10">
        <v>149</v>
      </c>
      <c r="B150" s="2" t="s">
        <v>37</v>
      </c>
      <c r="C150" s="2" t="s">
        <v>2049</v>
      </c>
      <c r="D150" s="2" t="s">
        <v>39</v>
      </c>
      <c r="E150" s="2" t="s">
        <v>40</v>
      </c>
      <c r="F150" s="2" t="s">
        <v>2050</v>
      </c>
      <c r="G150" s="2" t="s">
        <v>62</v>
      </c>
      <c r="H150" s="2" t="s">
        <v>2051</v>
      </c>
      <c r="I150" s="2" t="s">
        <v>2052</v>
      </c>
      <c r="J150" s="2" t="s">
        <v>2052</v>
      </c>
      <c r="K150" s="2" t="s">
        <v>2052</v>
      </c>
      <c r="L150" s="2" t="s">
        <v>2053</v>
      </c>
      <c r="M150" s="2">
        <v>1387500</v>
      </c>
      <c r="N150" s="2">
        <v>1850000</v>
      </c>
      <c r="O150" s="2" t="s">
        <v>2054</v>
      </c>
      <c r="P150" s="3">
        <v>45654</v>
      </c>
      <c r="Q150" s="2" t="s">
        <v>2055</v>
      </c>
      <c r="R150" s="2" t="s">
        <v>2056</v>
      </c>
      <c r="S150" s="2" t="s">
        <v>69</v>
      </c>
      <c r="T150" s="2" t="s">
        <v>2057</v>
      </c>
      <c r="U150" s="2" t="s">
        <v>2058</v>
      </c>
      <c r="V150" s="2" t="s">
        <v>286</v>
      </c>
      <c r="W150" s="3">
        <v>44561</v>
      </c>
      <c r="X150" s="2" t="s">
        <v>88</v>
      </c>
      <c r="Y150" s="2" t="s">
        <v>392</v>
      </c>
      <c r="Z150" s="2" t="s">
        <v>2059</v>
      </c>
      <c r="AA150" s="2">
        <v>5</v>
      </c>
      <c r="AB150" s="2" t="s">
        <v>75</v>
      </c>
      <c r="AC150" s="2" t="s">
        <v>2060</v>
      </c>
      <c r="AD150" s="3">
        <v>44559</v>
      </c>
      <c r="AE150" s="2" t="s">
        <v>77</v>
      </c>
      <c r="AF150" s="2">
        <v>1480000</v>
      </c>
      <c r="AG150" s="2">
        <v>22200</v>
      </c>
      <c r="AH150" s="2" t="s">
        <v>2061</v>
      </c>
      <c r="AI150" s="2">
        <v>23588</v>
      </c>
      <c r="AJ150" s="11">
        <v>1388</v>
      </c>
      <c r="AK150" s="11" t="s">
        <v>2062</v>
      </c>
    </row>
    <row r="151" spans="1:37">
      <c r="A151" s="10">
        <v>150</v>
      </c>
      <c r="B151" s="2" t="s">
        <v>37</v>
      </c>
      <c r="C151" s="2" t="s">
        <v>2063</v>
      </c>
      <c r="D151" s="2" t="s">
        <v>39</v>
      </c>
      <c r="E151" s="2" t="s">
        <v>40</v>
      </c>
      <c r="F151" s="2" t="s">
        <v>2064</v>
      </c>
      <c r="G151" s="2" t="s">
        <v>112</v>
      </c>
      <c r="H151" s="2" t="s">
        <v>2065</v>
      </c>
      <c r="I151" s="2" t="s">
        <v>2066</v>
      </c>
      <c r="J151" s="2" t="s">
        <v>51</v>
      </c>
      <c r="K151" s="2" t="s">
        <v>2067</v>
      </c>
      <c r="L151" s="2" t="s">
        <v>2068</v>
      </c>
      <c r="M151" s="2">
        <v>1330000</v>
      </c>
      <c r="N151" s="2">
        <v>1900000</v>
      </c>
      <c r="O151" s="2" t="s">
        <v>2069</v>
      </c>
      <c r="P151" s="3">
        <v>45654</v>
      </c>
      <c r="Q151" s="2" t="s">
        <v>2070</v>
      </c>
      <c r="R151" s="2" t="s">
        <v>2071</v>
      </c>
      <c r="S151" s="2" t="s">
        <v>69</v>
      </c>
      <c r="T151" s="2" t="s">
        <v>2072</v>
      </c>
      <c r="U151" s="2" t="s">
        <v>2073</v>
      </c>
      <c r="V151" s="2" t="s">
        <v>72</v>
      </c>
      <c r="W151" s="3">
        <v>44559</v>
      </c>
      <c r="X151" s="2" t="s">
        <v>88</v>
      </c>
      <c r="Y151" s="2" t="s">
        <v>392</v>
      </c>
      <c r="Z151" s="2" t="s">
        <v>2074</v>
      </c>
      <c r="AA151" s="2">
        <v>5</v>
      </c>
      <c r="AB151" s="2" t="s">
        <v>75</v>
      </c>
      <c r="AC151" s="2" t="s">
        <v>2075</v>
      </c>
      <c r="AD151" s="3">
        <v>44559</v>
      </c>
      <c r="AE151" s="2" t="s">
        <v>77</v>
      </c>
      <c r="AF151" s="2">
        <v>1520000</v>
      </c>
      <c r="AG151" s="2">
        <v>22800</v>
      </c>
      <c r="AH151" s="2" t="s">
        <v>2076</v>
      </c>
      <c r="AI151" s="2">
        <v>24225</v>
      </c>
      <c r="AJ151" s="11">
        <v>1425</v>
      </c>
      <c r="AK151" s="11" t="s">
        <v>2077</v>
      </c>
    </row>
    <row r="152" spans="1:37">
      <c r="A152" s="10">
        <v>151</v>
      </c>
      <c r="B152" s="2" t="s">
        <v>37</v>
      </c>
      <c r="C152" s="2" t="s">
        <v>2078</v>
      </c>
      <c r="D152" s="2" t="s">
        <v>39</v>
      </c>
      <c r="E152" s="2" t="s">
        <v>40</v>
      </c>
      <c r="F152" s="2" t="s">
        <v>2079</v>
      </c>
      <c r="G152" s="2" t="s">
        <v>276</v>
      </c>
      <c r="H152" s="2" t="s">
        <v>2080</v>
      </c>
      <c r="I152" s="2" t="s">
        <v>2081</v>
      </c>
      <c r="J152" s="2" t="s">
        <v>2081</v>
      </c>
      <c r="K152" s="2" t="s">
        <v>2081</v>
      </c>
      <c r="L152" s="2" t="s">
        <v>2082</v>
      </c>
      <c r="M152" s="2">
        <v>1192500</v>
      </c>
      <c r="N152" s="2">
        <v>1590000</v>
      </c>
      <c r="O152" s="2" t="s">
        <v>2083</v>
      </c>
      <c r="P152" s="3">
        <v>45654</v>
      </c>
      <c r="Q152" s="2" t="s">
        <v>2084</v>
      </c>
      <c r="R152" s="2" t="s">
        <v>2085</v>
      </c>
      <c r="S152" s="2" t="s">
        <v>69</v>
      </c>
      <c r="T152" s="2" t="s">
        <v>2086</v>
      </c>
      <c r="U152" s="2" t="s">
        <v>253</v>
      </c>
      <c r="V152" s="2" t="s">
        <v>391</v>
      </c>
      <c r="W152" s="3">
        <v>44561</v>
      </c>
      <c r="X152" s="2" t="s">
        <v>88</v>
      </c>
      <c r="Y152" s="2" t="s">
        <v>392</v>
      </c>
      <c r="Z152" s="2" t="s">
        <v>2087</v>
      </c>
      <c r="AA152" s="2">
        <v>5</v>
      </c>
      <c r="AB152" s="2" t="s">
        <v>90</v>
      </c>
      <c r="AC152" s="2" t="s">
        <v>2088</v>
      </c>
      <c r="AD152" s="3">
        <v>44560</v>
      </c>
      <c r="AE152" s="2" t="s">
        <v>77</v>
      </c>
      <c r="AF152" s="2">
        <v>1272000</v>
      </c>
      <c r="AG152" s="2">
        <v>19080</v>
      </c>
      <c r="AH152" s="2" t="s">
        <v>2089</v>
      </c>
      <c r="AI152" s="2">
        <v>20273</v>
      </c>
      <c r="AJ152" s="11">
        <v>1193</v>
      </c>
      <c r="AK152" s="11" t="s">
        <v>2090</v>
      </c>
    </row>
    <row r="153" spans="1:37">
      <c r="A153" s="10">
        <v>152</v>
      </c>
      <c r="B153" s="2" t="s">
        <v>37</v>
      </c>
      <c r="C153" s="2" t="s">
        <v>2091</v>
      </c>
      <c r="D153" s="2" t="s">
        <v>39</v>
      </c>
      <c r="E153" s="2" t="s">
        <v>40</v>
      </c>
      <c r="F153" s="2" t="s">
        <v>2092</v>
      </c>
      <c r="G153" s="2" t="s">
        <v>2093</v>
      </c>
      <c r="H153" s="2" t="s">
        <v>2094</v>
      </c>
      <c r="I153" s="2" t="s">
        <v>2095</v>
      </c>
      <c r="J153" s="2" t="s">
        <v>2095</v>
      </c>
      <c r="K153" s="2" t="s">
        <v>2095</v>
      </c>
      <c r="L153" s="2" t="s">
        <v>2096</v>
      </c>
      <c r="M153" s="2">
        <v>966000</v>
      </c>
      <c r="N153" s="2">
        <v>1610000</v>
      </c>
      <c r="O153" s="2" t="s">
        <v>2097</v>
      </c>
      <c r="P153" s="3">
        <v>45654</v>
      </c>
      <c r="Q153" s="2" t="s">
        <v>2098</v>
      </c>
      <c r="R153" s="2" t="s">
        <v>2099</v>
      </c>
      <c r="S153" s="2" t="s">
        <v>50</v>
      </c>
      <c r="T153" s="2" t="s">
        <v>51</v>
      </c>
      <c r="U153" s="2" t="s">
        <v>2100</v>
      </c>
      <c r="V153" s="2" t="s">
        <v>286</v>
      </c>
      <c r="W153" s="3">
        <v>44438</v>
      </c>
      <c r="X153" s="2" t="s">
        <v>73</v>
      </c>
      <c r="Y153" s="2" t="s">
        <v>318</v>
      </c>
      <c r="Z153" s="2" t="s">
        <v>2101</v>
      </c>
      <c r="AA153" s="2">
        <v>5</v>
      </c>
      <c r="AB153" s="2" t="s">
        <v>90</v>
      </c>
      <c r="AC153" s="2" t="s">
        <v>2102</v>
      </c>
      <c r="AD153" s="3">
        <v>44559</v>
      </c>
      <c r="AE153" s="2" t="s">
        <v>58</v>
      </c>
      <c r="AF153" s="2">
        <v>1288000</v>
      </c>
      <c r="AG153" s="2">
        <v>25760</v>
      </c>
      <c r="AH153" s="2" t="s">
        <v>2103</v>
      </c>
      <c r="AI153" s="2">
        <v>27370</v>
      </c>
      <c r="AJ153" s="11">
        <v>1610</v>
      </c>
      <c r="AK153" s="11" t="s">
        <v>2104</v>
      </c>
    </row>
    <row r="154" spans="1:37">
      <c r="A154" s="10">
        <v>153</v>
      </c>
      <c r="B154" s="2" t="s">
        <v>37</v>
      </c>
      <c r="C154" s="2" t="s">
        <v>2105</v>
      </c>
      <c r="D154" s="2" t="s">
        <v>39</v>
      </c>
      <c r="E154" s="2" t="s">
        <v>40</v>
      </c>
      <c r="F154" s="2" t="s">
        <v>2106</v>
      </c>
      <c r="G154" s="2" t="s">
        <v>648</v>
      </c>
      <c r="H154" s="2" t="s">
        <v>2107</v>
      </c>
      <c r="I154" s="2" t="s">
        <v>2108</v>
      </c>
      <c r="J154" s="2" t="s">
        <v>2108</v>
      </c>
      <c r="K154" s="2" t="s">
        <v>2108</v>
      </c>
      <c r="L154" s="2" t="s">
        <v>2109</v>
      </c>
      <c r="M154" s="2">
        <v>1143100</v>
      </c>
      <c r="N154" s="2">
        <v>1633000</v>
      </c>
      <c r="O154" s="2" t="s">
        <v>2110</v>
      </c>
      <c r="P154" s="3">
        <v>45654</v>
      </c>
      <c r="Q154" s="2" t="s">
        <v>2111</v>
      </c>
      <c r="R154" s="2" t="s">
        <v>2112</v>
      </c>
      <c r="S154" s="2" t="s">
        <v>50</v>
      </c>
      <c r="T154" s="2" t="s">
        <v>51</v>
      </c>
      <c r="U154" s="2" t="s">
        <v>2113</v>
      </c>
      <c r="V154" s="2" t="s">
        <v>521</v>
      </c>
      <c r="W154" s="3">
        <v>44146</v>
      </c>
      <c r="X154" s="2" t="s">
        <v>337</v>
      </c>
      <c r="Y154" s="2" t="s">
        <v>338</v>
      </c>
      <c r="Z154" s="2" t="s">
        <v>2114</v>
      </c>
      <c r="AA154" s="2">
        <v>5</v>
      </c>
      <c r="AB154" s="2" t="s">
        <v>90</v>
      </c>
      <c r="AC154" s="2" t="s">
        <v>2115</v>
      </c>
      <c r="AD154" s="3">
        <v>44195</v>
      </c>
      <c r="AE154" s="2" t="s">
        <v>58</v>
      </c>
      <c r="AF154" s="2">
        <v>1224750</v>
      </c>
      <c r="AG154" s="2">
        <v>24495</v>
      </c>
      <c r="AH154" s="2" t="s">
        <v>2116</v>
      </c>
      <c r="AI154" s="2">
        <v>26128</v>
      </c>
      <c r="AJ154" s="11">
        <v>1633</v>
      </c>
      <c r="AK154" s="11" t="s">
        <v>2117</v>
      </c>
    </row>
    <row r="155" spans="1:37">
      <c r="A155" s="10">
        <v>154</v>
      </c>
      <c r="B155" s="2" t="s">
        <v>37</v>
      </c>
      <c r="C155" s="2" t="s">
        <v>2118</v>
      </c>
      <c r="D155" s="2" t="s">
        <v>39</v>
      </c>
      <c r="E155" s="2" t="s">
        <v>40</v>
      </c>
      <c r="F155" s="2" t="s">
        <v>2119</v>
      </c>
      <c r="G155" s="2" t="s">
        <v>2120</v>
      </c>
      <c r="H155" s="2" t="s">
        <v>2121</v>
      </c>
      <c r="I155" s="2" t="s">
        <v>51</v>
      </c>
      <c r="J155" s="2" t="s">
        <v>2122</v>
      </c>
      <c r="K155" s="2" t="s">
        <v>51</v>
      </c>
      <c r="L155" s="2" t="s">
        <v>2123</v>
      </c>
      <c r="M155" s="2">
        <v>2145000</v>
      </c>
      <c r="N155" s="2">
        <v>3300000</v>
      </c>
      <c r="O155" s="2" t="s">
        <v>2124</v>
      </c>
      <c r="P155" s="3">
        <v>45653</v>
      </c>
      <c r="Q155" s="2" t="s">
        <v>2125</v>
      </c>
      <c r="R155" s="2" t="s">
        <v>2126</v>
      </c>
      <c r="S155" s="2" t="s">
        <v>69</v>
      </c>
      <c r="T155" s="2" t="s">
        <v>2127</v>
      </c>
      <c r="U155" s="2" t="s">
        <v>2128</v>
      </c>
      <c r="V155" s="2" t="s">
        <v>72</v>
      </c>
      <c r="W155" s="3">
        <v>44559</v>
      </c>
      <c r="X155" s="2" t="s">
        <v>88</v>
      </c>
      <c r="Y155" s="2" t="s">
        <v>392</v>
      </c>
      <c r="Z155" s="2" t="s">
        <v>2129</v>
      </c>
      <c r="AA155" s="2">
        <v>5</v>
      </c>
      <c r="AB155" s="2" t="s">
        <v>90</v>
      </c>
      <c r="AC155" s="2" t="s">
        <v>2130</v>
      </c>
      <c r="AD155" s="3">
        <v>44557</v>
      </c>
      <c r="AE155" s="2" t="s">
        <v>77</v>
      </c>
      <c r="AF155" s="2">
        <v>2640000</v>
      </c>
      <c r="AG155" s="2">
        <v>39600</v>
      </c>
      <c r="AH155" s="2" t="s">
        <v>2131</v>
      </c>
      <c r="AI155" s="2">
        <v>42075</v>
      </c>
      <c r="AJ155" s="11">
        <v>2475</v>
      </c>
      <c r="AK155" s="11" t="s">
        <v>2132</v>
      </c>
    </row>
    <row r="156" spans="1:37" hidden="1">
      <c r="A156" s="10">
        <v>155</v>
      </c>
      <c r="B156" s="2" t="s">
        <v>37</v>
      </c>
      <c r="C156" s="2" t="s">
        <v>2133</v>
      </c>
      <c r="D156" s="2" t="s">
        <v>39</v>
      </c>
      <c r="E156" s="2" t="s">
        <v>40</v>
      </c>
      <c r="F156" s="2" t="s">
        <v>2134</v>
      </c>
      <c r="G156" s="2" t="s">
        <v>62</v>
      </c>
      <c r="H156" s="2" t="s">
        <v>2135</v>
      </c>
      <c r="I156" s="2" t="s">
        <v>2136</v>
      </c>
      <c r="J156" s="2" t="s">
        <v>2136</v>
      </c>
      <c r="K156" s="2" t="s">
        <v>2136</v>
      </c>
      <c r="L156" s="2" t="s">
        <v>2137</v>
      </c>
      <c r="M156" s="2">
        <v>2345000</v>
      </c>
      <c r="N156" s="2">
        <v>3350000</v>
      </c>
      <c r="O156" s="2" t="s">
        <v>2138</v>
      </c>
      <c r="P156" s="3">
        <v>45653</v>
      </c>
      <c r="Q156" s="2" t="s">
        <v>2139</v>
      </c>
      <c r="R156" s="2" t="s">
        <v>2140</v>
      </c>
      <c r="S156" s="2" t="s">
        <v>69</v>
      </c>
      <c r="T156" s="2" t="s">
        <v>2141</v>
      </c>
      <c r="U156" s="2" t="s">
        <v>1338</v>
      </c>
      <c r="V156" s="2" t="s">
        <v>391</v>
      </c>
      <c r="W156" s="3">
        <v>45289</v>
      </c>
      <c r="X156" s="2" t="s">
        <v>1195</v>
      </c>
      <c r="Y156" s="2" t="s">
        <v>392</v>
      </c>
      <c r="Z156" s="2" t="s">
        <v>2142</v>
      </c>
      <c r="AA156" s="2">
        <v>3</v>
      </c>
      <c r="AB156" s="2" t="s">
        <v>160</v>
      </c>
      <c r="AC156" s="2" t="s">
        <v>2143</v>
      </c>
      <c r="AD156" s="3">
        <v>45288</v>
      </c>
      <c r="AE156" s="2" t="s">
        <v>108</v>
      </c>
      <c r="AF156" s="2">
        <v>3015000</v>
      </c>
      <c r="AG156" s="2">
        <v>52763</v>
      </c>
      <c r="AH156" s="2" t="s">
        <v>2144</v>
      </c>
      <c r="AI156" s="2">
        <v>52763</v>
      </c>
      <c r="AJ156" s="11">
        <v>0</v>
      </c>
      <c r="AK156" s="11"/>
    </row>
    <row r="157" spans="1:37" hidden="1">
      <c r="A157" s="10">
        <v>156</v>
      </c>
      <c r="B157" s="2" t="s">
        <v>37</v>
      </c>
      <c r="C157" s="2" t="s">
        <v>2145</v>
      </c>
      <c r="D157" s="2" t="s">
        <v>39</v>
      </c>
      <c r="E157" s="2" t="s">
        <v>40</v>
      </c>
      <c r="F157" s="2" t="s">
        <v>2146</v>
      </c>
      <c r="G157" s="2" t="s">
        <v>42</v>
      </c>
      <c r="H157" s="2" t="s">
        <v>2147</v>
      </c>
      <c r="I157" s="2" t="s">
        <v>2148</v>
      </c>
      <c r="J157" s="2" t="s">
        <v>2149</v>
      </c>
      <c r="K157" s="2" t="s">
        <v>2148</v>
      </c>
      <c r="L157" s="2" t="s">
        <v>2150</v>
      </c>
      <c r="M157" s="2">
        <v>1041300</v>
      </c>
      <c r="N157" s="2">
        <v>1335000</v>
      </c>
      <c r="O157" s="2" t="s">
        <v>2151</v>
      </c>
      <c r="P157" s="3">
        <v>45992</v>
      </c>
      <c r="Q157" s="2" t="s">
        <v>2152</v>
      </c>
      <c r="R157" s="2" t="s">
        <v>2153</v>
      </c>
      <c r="S157" s="2" t="s">
        <v>50</v>
      </c>
      <c r="T157" s="2" t="s">
        <v>51</v>
      </c>
      <c r="U157" s="2" t="s">
        <v>285</v>
      </c>
      <c r="V157" s="2" t="s">
        <v>286</v>
      </c>
      <c r="W157" s="3">
        <v>44469</v>
      </c>
      <c r="X157" s="2" t="s">
        <v>287</v>
      </c>
      <c r="Y157" s="3">
        <v>46408</v>
      </c>
      <c r="Z157" s="2" t="s">
        <v>2154</v>
      </c>
      <c r="AA157" s="2">
        <v>5</v>
      </c>
      <c r="AB157" s="2" t="s">
        <v>90</v>
      </c>
      <c r="AC157" s="2" t="s">
        <v>2155</v>
      </c>
      <c r="AD157" s="3">
        <v>44574</v>
      </c>
      <c r="AE157" s="2" t="s">
        <v>58</v>
      </c>
      <c r="AF157" s="2">
        <v>1068000</v>
      </c>
      <c r="AG157" s="2">
        <v>21360</v>
      </c>
      <c r="AH157" s="2" t="s">
        <v>2156</v>
      </c>
      <c r="AI157" s="2">
        <v>21360</v>
      </c>
      <c r="AJ157" s="11">
        <v>0</v>
      </c>
      <c r="AK157" s="11"/>
    </row>
    <row r="158" spans="1:37" hidden="1">
      <c r="A158" s="10">
        <v>157</v>
      </c>
      <c r="B158" s="2" t="s">
        <v>37</v>
      </c>
      <c r="C158" s="2" t="s">
        <v>2157</v>
      </c>
      <c r="D158" s="2" t="s">
        <v>39</v>
      </c>
      <c r="E158" s="2" t="s">
        <v>40</v>
      </c>
      <c r="F158" s="2" t="s">
        <v>2158</v>
      </c>
      <c r="G158" s="2" t="s">
        <v>62</v>
      </c>
      <c r="H158" s="2" t="s">
        <v>2159</v>
      </c>
      <c r="I158" s="2" t="s">
        <v>2160</v>
      </c>
      <c r="J158" s="2" t="s">
        <v>2160</v>
      </c>
      <c r="K158" s="2" t="s">
        <v>2161</v>
      </c>
      <c r="L158" s="2" t="s">
        <v>2162</v>
      </c>
      <c r="M158" s="2">
        <v>1722500</v>
      </c>
      <c r="N158" s="2">
        <v>2650000</v>
      </c>
      <c r="O158" s="2" t="s">
        <v>2163</v>
      </c>
      <c r="P158" s="3">
        <v>45653</v>
      </c>
      <c r="Q158" s="2" t="s">
        <v>2164</v>
      </c>
      <c r="R158" s="2" t="s">
        <v>2165</v>
      </c>
      <c r="S158" s="2" t="s">
        <v>69</v>
      </c>
      <c r="T158" s="2" t="s">
        <v>2166</v>
      </c>
      <c r="U158" s="2" t="s">
        <v>133</v>
      </c>
      <c r="V158" s="2" t="s">
        <v>286</v>
      </c>
      <c r="W158" s="3">
        <v>45289</v>
      </c>
      <c r="X158" s="2" t="s">
        <v>1195</v>
      </c>
      <c r="Y158" s="2" t="s">
        <v>821</v>
      </c>
      <c r="Z158" s="2" t="s">
        <v>2167</v>
      </c>
      <c r="AA158" s="2">
        <v>5</v>
      </c>
      <c r="AB158" s="2" t="s">
        <v>160</v>
      </c>
      <c r="AC158" s="2" t="s">
        <v>2168</v>
      </c>
      <c r="AD158" s="3">
        <v>45288</v>
      </c>
      <c r="AE158" s="2" t="s">
        <v>108</v>
      </c>
      <c r="AF158" s="2">
        <v>2385000</v>
      </c>
      <c r="AG158" s="2">
        <v>41738</v>
      </c>
      <c r="AH158" s="2" t="s">
        <v>2169</v>
      </c>
      <c r="AI158" s="2">
        <v>41738</v>
      </c>
      <c r="AJ158" s="11">
        <v>0</v>
      </c>
      <c r="AK158" s="11"/>
    </row>
    <row r="159" spans="1:37">
      <c r="A159" s="10">
        <v>158</v>
      </c>
      <c r="B159" s="2" t="s">
        <v>37</v>
      </c>
      <c r="C159" s="2" t="s">
        <v>2170</v>
      </c>
      <c r="D159" s="2" t="s">
        <v>39</v>
      </c>
      <c r="E159" s="2" t="s">
        <v>40</v>
      </c>
      <c r="F159" s="2" t="s">
        <v>2171</v>
      </c>
      <c r="G159" s="2" t="s">
        <v>276</v>
      </c>
      <c r="H159" s="2" t="s">
        <v>2172</v>
      </c>
      <c r="I159" s="2" t="s">
        <v>2173</v>
      </c>
      <c r="J159" s="2" t="s">
        <v>2173</v>
      </c>
      <c r="K159" s="2" t="s">
        <v>2173</v>
      </c>
      <c r="L159" s="2" t="s">
        <v>2174</v>
      </c>
      <c r="M159" s="2">
        <v>760000</v>
      </c>
      <c r="N159" s="2">
        <v>950000</v>
      </c>
      <c r="O159" s="2" t="s">
        <v>2175</v>
      </c>
      <c r="P159" s="3">
        <v>45653</v>
      </c>
      <c r="Q159" s="2" t="s">
        <v>2176</v>
      </c>
      <c r="R159" s="2" t="s">
        <v>2177</v>
      </c>
      <c r="S159" s="2" t="s">
        <v>69</v>
      </c>
      <c r="T159" s="2" t="s">
        <v>2178</v>
      </c>
      <c r="U159" s="2" t="s">
        <v>2179</v>
      </c>
      <c r="V159" s="2" t="s">
        <v>72</v>
      </c>
      <c r="W159" s="3">
        <v>44561</v>
      </c>
      <c r="X159" s="2" t="s">
        <v>88</v>
      </c>
      <c r="Y159" s="2" t="s">
        <v>392</v>
      </c>
      <c r="Z159" s="2" t="s">
        <v>2180</v>
      </c>
      <c r="AA159" s="2">
        <v>5</v>
      </c>
      <c r="AB159" s="2" t="s">
        <v>90</v>
      </c>
      <c r="AC159" s="2" t="s">
        <v>2181</v>
      </c>
      <c r="AD159" s="3">
        <v>44559</v>
      </c>
      <c r="AE159" s="2" t="s">
        <v>77</v>
      </c>
      <c r="AF159" s="2">
        <v>760000</v>
      </c>
      <c r="AG159" s="2">
        <v>11400</v>
      </c>
      <c r="AH159" s="2" t="s">
        <v>2182</v>
      </c>
      <c r="AI159" s="2">
        <v>12113</v>
      </c>
      <c r="AJ159" s="11">
        <v>713</v>
      </c>
      <c r="AK159" s="11" t="s">
        <v>2183</v>
      </c>
    </row>
    <row r="160" spans="1:37">
      <c r="A160" s="10">
        <v>159</v>
      </c>
      <c r="B160" s="2" t="s">
        <v>37</v>
      </c>
      <c r="C160" s="2" t="s">
        <v>2184</v>
      </c>
      <c r="D160" s="2" t="s">
        <v>39</v>
      </c>
      <c r="E160" s="2" t="s">
        <v>40</v>
      </c>
      <c r="F160" s="2" t="s">
        <v>2185</v>
      </c>
      <c r="G160" s="2" t="s">
        <v>2186</v>
      </c>
      <c r="H160" s="2" t="s">
        <v>2187</v>
      </c>
      <c r="I160" s="2" t="s">
        <v>51</v>
      </c>
      <c r="J160" s="2" t="s">
        <v>2188</v>
      </c>
      <c r="K160" s="2" t="s">
        <v>51</v>
      </c>
      <c r="L160" s="2" t="s">
        <v>2189</v>
      </c>
      <c r="M160" s="2">
        <v>965340</v>
      </c>
      <c r="N160" s="2">
        <v>1608900</v>
      </c>
      <c r="O160" s="2" t="s">
        <v>2190</v>
      </c>
      <c r="P160" s="3">
        <v>45653</v>
      </c>
      <c r="Q160" s="2" t="s">
        <v>2191</v>
      </c>
      <c r="R160" s="2" t="s">
        <v>2192</v>
      </c>
      <c r="S160" s="2" t="s">
        <v>50</v>
      </c>
      <c r="T160" s="2" t="s">
        <v>51</v>
      </c>
      <c r="U160" s="2" t="s">
        <v>1403</v>
      </c>
      <c r="V160" s="2" t="s">
        <v>286</v>
      </c>
      <c r="W160" s="3">
        <v>44379</v>
      </c>
      <c r="X160" s="2" t="s">
        <v>88</v>
      </c>
      <c r="Y160" s="2" t="s">
        <v>392</v>
      </c>
      <c r="Z160" s="2" t="s">
        <v>2193</v>
      </c>
      <c r="AA160" s="2">
        <v>5</v>
      </c>
      <c r="AB160" s="2" t="s">
        <v>90</v>
      </c>
      <c r="AC160" s="2" t="s">
        <v>2194</v>
      </c>
      <c r="AD160" s="3">
        <v>44546</v>
      </c>
      <c r="AE160" s="2" t="s">
        <v>58</v>
      </c>
      <c r="AF160" s="2">
        <v>1287120</v>
      </c>
      <c r="AG160" s="2">
        <v>25743</v>
      </c>
      <c r="AH160" s="2" t="s">
        <v>2195</v>
      </c>
      <c r="AI160" s="2">
        <v>27351</v>
      </c>
      <c r="AJ160" s="11">
        <v>1608</v>
      </c>
      <c r="AK160" s="11" t="s">
        <v>2196</v>
      </c>
    </row>
    <row r="161" spans="1:37">
      <c r="A161" s="10">
        <v>160</v>
      </c>
      <c r="B161" s="2" t="s">
        <v>37</v>
      </c>
      <c r="C161" s="2" t="s">
        <v>2197</v>
      </c>
      <c r="D161" s="2" t="s">
        <v>39</v>
      </c>
      <c r="E161" s="2" t="s">
        <v>40</v>
      </c>
      <c r="F161" s="2" t="s">
        <v>2198</v>
      </c>
      <c r="G161" s="2" t="s">
        <v>62</v>
      </c>
      <c r="H161" s="2" t="s">
        <v>2199</v>
      </c>
      <c r="I161" s="2" t="s">
        <v>51</v>
      </c>
      <c r="J161" s="2" t="s">
        <v>2200</v>
      </c>
      <c r="K161" s="2" t="s">
        <v>51</v>
      </c>
      <c r="L161" s="2" t="s">
        <v>2201</v>
      </c>
      <c r="M161" s="2">
        <v>1062300</v>
      </c>
      <c r="N161" s="2">
        <v>3541000</v>
      </c>
      <c r="O161" s="2" t="s">
        <v>2202</v>
      </c>
      <c r="P161" s="3">
        <v>45653</v>
      </c>
      <c r="Q161" s="2" t="s">
        <v>2203</v>
      </c>
      <c r="R161" s="2" t="s">
        <v>2204</v>
      </c>
      <c r="S161" s="2" t="s">
        <v>50</v>
      </c>
      <c r="T161" s="2" t="s">
        <v>51</v>
      </c>
      <c r="U161" s="2" t="s">
        <v>563</v>
      </c>
      <c r="V161" s="2" t="s">
        <v>53</v>
      </c>
      <c r="W161" s="3">
        <v>44629</v>
      </c>
      <c r="X161" s="2" t="s">
        <v>54</v>
      </c>
      <c r="Y161" s="2" t="s">
        <v>221</v>
      </c>
      <c r="Z161" s="2" t="s">
        <v>2205</v>
      </c>
      <c r="AA161" s="2">
        <v>3</v>
      </c>
      <c r="AB161" s="2" t="s">
        <v>90</v>
      </c>
      <c r="AC161" s="2" t="s">
        <v>2206</v>
      </c>
      <c r="AD161" s="3">
        <v>44922</v>
      </c>
      <c r="AE161" s="2" t="s">
        <v>58</v>
      </c>
      <c r="AF161" s="2">
        <v>3009850</v>
      </c>
      <c r="AG161" s="2">
        <v>60197</v>
      </c>
      <c r="AH161" s="2" t="s">
        <v>2207</v>
      </c>
      <c r="AI161" s="2">
        <v>63738</v>
      </c>
      <c r="AJ161" s="11">
        <v>3541</v>
      </c>
      <c r="AK161" s="11" t="s">
        <v>2208</v>
      </c>
    </row>
    <row r="162" spans="1:37" hidden="1">
      <c r="A162" s="10">
        <v>161</v>
      </c>
      <c r="B162" s="2" t="s">
        <v>37</v>
      </c>
      <c r="C162" s="2" t="s">
        <v>2209</v>
      </c>
      <c r="D162" s="2" t="s">
        <v>39</v>
      </c>
      <c r="E162" s="2" t="s">
        <v>40</v>
      </c>
      <c r="F162" s="2" t="s">
        <v>2210</v>
      </c>
      <c r="G162" s="2" t="s">
        <v>276</v>
      </c>
      <c r="H162" s="2" t="s">
        <v>2211</v>
      </c>
      <c r="I162" s="2" t="s">
        <v>2212</v>
      </c>
      <c r="J162" s="2" t="s">
        <v>2212</v>
      </c>
      <c r="K162" s="2" t="s">
        <v>2212</v>
      </c>
      <c r="L162" s="2" t="s">
        <v>2213</v>
      </c>
      <c r="M162" s="2">
        <v>1288000</v>
      </c>
      <c r="N162" s="2">
        <v>1610000</v>
      </c>
      <c r="O162" s="2" t="s">
        <v>2214</v>
      </c>
      <c r="P162" s="3">
        <v>45992</v>
      </c>
      <c r="Q162" s="2" t="s">
        <v>2215</v>
      </c>
      <c r="R162" s="2" t="s">
        <v>2216</v>
      </c>
      <c r="S162" s="2" t="s">
        <v>50</v>
      </c>
      <c r="T162" s="2" t="s">
        <v>51</v>
      </c>
      <c r="U162" s="2" t="s">
        <v>2217</v>
      </c>
      <c r="V162" s="2" t="s">
        <v>286</v>
      </c>
      <c r="W162" s="3">
        <v>44461</v>
      </c>
      <c r="X162" s="2" t="s">
        <v>1414</v>
      </c>
      <c r="Y162" s="3">
        <v>46421</v>
      </c>
      <c r="Z162" s="2" t="s">
        <v>2218</v>
      </c>
      <c r="AA162" s="2">
        <v>5</v>
      </c>
      <c r="AB162" s="2" t="s">
        <v>90</v>
      </c>
      <c r="AC162" s="2" t="s">
        <v>2219</v>
      </c>
      <c r="AD162" s="3">
        <v>44574</v>
      </c>
      <c r="AE162" s="2" t="s">
        <v>58</v>
      </c>
      <c r="AF162" s="2">
        <v>1288000</v>
      </c>
      <c r="AG162" s="2">
        <v>25760</v>
      </c>
      <c r="AH162" s="2" t="s">
        <v>2220</v>
      </c>
      <c r="AI162" s="2">
        <v>25760</v>
      </c>
      <c r="AJ162" s="11">
        <v>0</v>
      </c>
      <c r="AK162" s="11"/>
    </row>
    <row r="163" spans="1:37" hidden="1">
      <c r="A163" s="10">
        <v>162</v>
      </c>
      <c r="B163" s="2" t="s">
        <v>37</v>
      </c>
      <c r="C163" s="2" t="s">
        <v>2221</v>
      </c>
      <c r="D163" s="2" t="s">
        <v>39</v>
      </c>
      <c r="E163" s="2" t="s">
        <v>40</v>
      </c>
      <c r="F163" s="2" t="s">
        <v>2222</v>
      </c>
      <c r="G163" s="2" t="s">
        <v>62</v>
      </c>
      <c r="H163" s="2" t="s">
        <v>2223</v>
      </c>
      <c r="I163" s="2" t="s">
        <v>2224</v>
      </c>
      <c r="J163" s="2" t="s">
        <v>2224</v>
      </c>
      <c r="K163" s="2" t="s">
        <v>328</v>
      </c>
      <c r="L163" s="2" t="s">
        <v>2225</v>
      </c>
      <c r="M163" s="2">
        <v>1280000</v>
      </c>
      <c r="N163" s="2">
        <v>1600000</v>
      </c>
      <c r="O163" s="2" t="s">
        <v>2226</v>
      </c>
      <c r="P163" s="3">
        <v>45992</v>
      </c>
      <c r="Q163" s="2" t="s">
        <v>2227</v>
      </c>
      <c r="R163" s="2" t="s">
        <v>2228</v>
      </c>
      <c r="S163" s="2" t="s">
        <v>69</v>
      </c>
      <c r="T163" s="2" t="s">
        <v>2229</v>
      </c>
      <c r="U163" s="2" t="s">
        <v>1166</v>
      </c>
      <c r="V163" s="2" t="s">
        <v>72</v>
      </c>
      <c r="W163" s="3">
        <v>44575</v>
      </c>
      <c r="X163" s="2" t="s">
        <v>287</v>
      </c>
      <c r="Y163" s="3">
        <v>47139</v>
      </c>
      <c r="Z163" s="2" t="s">
        <v>2230</v>
      </c>
      <c r="AA163" s="2">
        <v>7</v>
      </c>
      <c r="AB163" s="2" t="s">
        <v>90</v>
      </c>
      <c r="AC163" s="2" t="s">
        <v>2231</v>
      </c>
      <c r="AD163" s="3">
        <v>44575</v>
      </c>
      <c r="AE163" s="2" t="s">
        <v>77</v>
      </c>
      <c r="AF163" s="2">
        <v>1280000</v>
      </c>
      <c r="AG163" s="2">
        <v>19200</v>
      </c>
      <c r="AH163" s="2" t="s">
        <v>2232</v>
      </c>
      <c r="AI163" s="2">
        <v>19200</v>
      </c>
      <c r="AJ163" s="11">
        <v>0</v>
      </c>
      <c r="AK163" s="11"/>
    </row>
    <row r="164" spans="1:37" hidden="1">
      <c r="A164" s="10">
        <v>163</v>
      </c>
      <c r="B164" s="2" t="s">
        <v>37</v>
      </c>
      <c r="C164" s="2" t="s">
        <v>2233</v>
      </c>
      <c r="D164" s="2" t="s">
        <v>39</v>
      </c>
      <c r="E164" s="2" t="s">
        <v>40</v>
      </c>
      <c r="F164" s="2" t="s">
        <v>2234</v>
      </c>
      <c r="G164" s="2" t="s">
        <v>42</v>
      </c>
      <c r="H164" s="2" t="s">
        <v>2235</v>
      </c>
      <c r="I164" s="2" t="s">
        <v>2236</v>
      </c>
      <c r="J164" s="2" t="s">
        <v>2237</v>
      </c>
      <c r="K164" s="2" t="s">
        <v>2236</v>
      </c>
      <c r="L164" s="2" t="s">
        <v>2238</v>
      </c>
      <c r="M164" s="2">
        <v>1351500</v>
      </c>
      <c r="N164" s="2">
        <v>2703000</v>
      </c>
      <c r="O164" s="2" t="s">
        <v>2239</v>
      </c>
      <c r="P164" s="3">
        <v>45992</v>
      </c>
      <c r="Q164" s="2" t="s">
        <v>2240</v>
      </c>
      <c r="R164" s="2" t="s">
        <v>2241</v>
      </c>
      <c r="S164" s="2" t="s">
        <v>50</v>
      </c>
      <c r="T164" s="2" t="s">
        <v>51</v>
      </c>
      <c r="U164" s="2" t="s">
        <v>781</v>
      </c>
      <c r="V164" s="2" t="s">
        <v>53</v>
      </c>
      <c r="W164" s="3">
        <v>44510</v>
      </c>
      <c r="X164" s="2" t="s">
        <v>287</v>
      </c>
      <c r="Y164" s="3">
        <v>46043</v>
      </c>
      <c r="Z164" s="2" t="s">
        <v>2242</v>
      </c>
      <c r="AA164" s="2">
        <v>4</v>
      </c>
      <c r="AB164" s="2" t="s">
        <v>90</v>
      </c>
      <c r="AC164" s="2" t="s">
        <v>2243</v>
      </c>
      <c r="AD164" s="3">
        <v>44574</v>
      </c>
      <c r="AE164" s="2" t="s">
        <v>58</v>
      </c>
      <c r="AF164" s="2">
        <v>2162400</v>
      </c>
      <c r="AG164" s="2">
        <v>43248</v>
      </c>
      <c r="AH164" s="2" t="s">
        <v>2244</v>
      </c>
      <c r="AI164" s="2">
        <v>43248</v>
      </c>
      <c r="AJ164" s="11">
        <v>0</v>
      </c>
      <c r="AK164" s="11"/>
    </row>
    <row r="165" spans="1:37">
      <c r="A165" s="10">
        <v>164</v>
      </c>
      <c r="B165" s="2" t="s">
        <v>37</v>
      </c>
      <c r="C165" s="2" t="s">
        <v>2245</v>
      </c>
      <c r="D165" s="2" t="s">
        <v>39</v>
      </c>
      <c r="E165" s="2" t="s">
        <v>40</v>
      </c>
      <c r="F165" s="2" t="s">
        <v>2246</v>
      </c>
      <c r="G165" s="2" t="s">
        <v>112</v>
      </c>
      <c r="H165" s="2" t="s">
        <v>2247</v>
      </c>
      <c r="I165" s="2" t="s">
        <v>2248</v>
      </c>
      <c r="J165" s="2" t="s">
        <v>2249</v>
      </c>
      <c r="K165" s="2" t="s">
        <v>2250</v>
      </c>
      <c r="L165" s="2" t="s">
        <v>2251</v>
      </c>
      <c r="M165" s="2">
        <v>2854500</v>
      </c>
      <c r="N165" s="2">
        <v>5190000</v>
      </c>
      <c r="O165" s="2" t="s">
        <v>2252</v>
      </c>
      <c r="P165" s="3">
        <v>45653</v>
      </c>
      <c r="Q165" s="2" t="s">
        <v>2253</v>
      </c>
      <c r="R165" s="2" t="s">
        <v>2254</v>
      </c>
      <c r="S165" s="2" t="s">
        <v>50</v>
      </c>
      <c r="T165" s="2" t="s">
        <v>51</v>
      </c>
      <c r="U165" s="2" t="s">
        <v>2255</v>
      </c>
      <c r="V165" s="2" t="s">
        <v>286</v>
      </c>
      <c r="W165" s="3">
        <v>44559</v>
      </c>
      <c r="X165" s="2" t="s">
        <v>88</v>
      </c>
      <c r="Y165" s="2" t="s">
        <v>338</v>
      </c>
      <c r="Z165" s="2" t="s">
        <v>2256</v>
      </c>
      <c r="AA165" s="2">
        <v>4</v>
      </c>
      <c r="AB165" s="2" t="s">
        <v>51</v>
      </c>
      <c r="AC165" s="2" t="s">
        <v>51</v>
      </c>
      <c r="AD165" s="2"/>
      <c r="AE165" s="2" t="s">
        <v>58</v>
      </c>
      <c r="AF165" s="2">
        <v>4152000</v>
      </c>
      <c r="AG165" s="2">
        <v>83040</v>
      </c>
      <c r="AH165" s="2" t="s">
        <v>2257</v>
      </c>
      <c r="AI165" s="2">
        <v>88230</v>
      </c>
      <c r="AJ165" s="11">
        <v>5190</v>
      </c>
      <c r="AK165" s="11" t="s">
        <v>2258</v>
      </c>
    </row>
    <row r="166" spans="1:37">
      <c r="A166" s="10">
        <v>165</v>
      </c>
      <c r="B166" s="2" t="s">
        <v>37</v>
      </c>
      <c r="C166" s="2" t="s">
        <v>2259</v>
      </c>
      <c r="D166" s="2" t="s">
        <v>39</v>
      </c>
      <c r="E166" s="2" t="s">
        <v>40</v>
      </c>
      <c r="F166" s="2" t="s">
        <v>2260</v>
      </c>
      <c r="G166" s="2" t="s">
        <v>276</v>
      </c>
      <c r="H166" s="2" t="s">
        <v>2261</v>
      </c>
      <c r="I166" s="2" t="s">
        <v>2262</v>
      </c>
      <c r="J166" s="2" t="s">
        <v>2262</v>
      </c>
      <c r="K166" s="2" t="s">
        <v>2262</v>
      </c>
      <c r="L166" s="2" t="s">
        <v>2263</v>
      </c>
      <c r="M166" s="2">
        <v>2625000</v>
      </c>
      <c r="N166" s="2">
        <v>3750000</v>
      </c>
      <c r="O166" s="2" t="s">
        <v>2264</v>
      </c>
      <c r="P166" s="3">
        <v>45653</v>
      </c>
      <c r="Q166" s="2" t="s">
        <v>2265</v>
      </c>
      <c r="R166" s="2" t="s">
        <v>2266</v>
      </c>
      <c r="S166" s="2" t="s">
        <v>69</v>
      </c>
      <c r="T166" s="2" t="s">
        <v>2267</v>
      </c>
      <c r="U166" s="2" t="s">
        <v>549</v>
      </c>
      <c r="V166" s="2" t="s">
        <v>72</v>
      </c>
      <c r="W166" s="3">
        <v>44561</v>
      </c>
      <c r="X166" s="2" t="s">
        <v>88</v>
      </c>
      <c r="Y166" s="2" t="s">
        <v>392</v>
      </c>
      <c r="Z166" s="2" t="s">
        <v>2268</v>
      </c>
      <c r="AA166" s="2">
        <v>5</v>
      </c>
      <c r="AB166" s="2" t="s">
        <v>90</v>
      </c>
      <c r="AC166" s="2" t="s">
        <v>2269</v>
      </c>
      <c r="AD166" s="3">
        <v>44560</v>
      </c>
      <c r="AE166" s="2" t="s">
        <v>77</v>
      </c>
      <c r="AF166" s="2">
        <v>3000000</v>
      </c>
      <c r="AG166" s="2">
        <v>45000</v>
      </c>
      <c r="AH166" s="2" t="s">
        <v>2270</v>
      </c>
      <c r="AI166" s="2">
        <v>47813</v>
      </c>
      <c r="AJ166" s="11">
        <v>2813</v>
      </c>
      <c r="AK166" s="11" t="s">
        <v>2271</v>
      </c>
    </row>
    <row r="167" spans="1:37" hidden="1">
      <c r="A167" s="10">
        <v>166</v>
      </c>
      <c r="B167" s="2" t="s">
        <v>37</v>
      </c>
      <c r="C167" s="2" t="s">
        <v>2272</v>
      </c>
      <c r="D167" s="2" t="s">
        <v>39</v>
      </c>
      <c r="E167" s="2" t="s">
        <v>40</v>
      </c>
      <c r="F167" s="2" t="s">
        <v>2273</v>
      </c>
      <c r="G167" s="2" t="s">
        <v>62</v>
      </c>
      <c r="H167" s="2" t="s">
        <v>2274</v>
      </c>
      <c r="I167" s="2" t="s">
        <v>51</v>
      </c>
      <c r="J167" s="2" t="s">
        <v>51</v>
      </c>
      <c r="K167" s="2" t="s">
        <v>51</v>
      </c>
      <c r="L167" s="2" t="s">
        <v>2275</v>
      </c>
      <c r="M167" s="2">
        <v>1661520</v>
      </c>
      <c r="N167" s="2">
        <v>2967000</v>
      </c>
      <c r="O167" s="2" t="s">
        <v>2276</v>
      </c>
      <c r="P167" s="3">
        <v>45992</v>
      </c>
      <c r="Q167" s="2" t="s">
        <v>2277</v>
      </c>
      <c r="R167" s="2" t="s">
        <v>2278</v>
      </c>
      <c r="S167" s="2" t="s">
        <v>50</v>
      </c>
      <c r="T167" s="2" t="s">
        <v>51</v>
      </c>
      <c r="U167" s="2" t="s">
        <v>2279</v>
      </c>
      <c r="V167" s="2" t="s">
        <v>286</v>
      </c>
      <c r="W167" s="3">
        <v>44544</v>
      </c>
      <c r="X167" s="2" t="s">
        <v>287</v>
      </c>
      <c r="Y167" s="3">
        <v>46408</v>
      </c>
      <c r="Z167" s="2" t="s">
        <v>2280</v>
      </c>
      <c r="AA167" s="2">
        <v>5</v>
      </c>
      <c r="AB167" s="2" t="s">
        <v>90</v>
      </c>
      <c r="AC167" s="2" t="s">
        <v>2281</v>
      </c>
      <c r="AD167" s="3">
        <v>44564</v>
      </c>
      <c r="AE167" s="2" t="s">
        <v>58</v>
      </c>
      <c r="AF167" s="2">
        <v>2373600</v>
      </c>
      <c r="AG167" s="2">
        <v>47472</v>
      </c>
      <c r="AH167" s="2" t="s">
        <v>2282</v>
      </c>
      <c r="AI167" s="2">
        <v>47472</v>
      </c>
      <c r="AJ167" s="11">
        <v>0</v>
      </c>
      <c r="AK167" s="11"/>
    </row>
    <row r="168" spans="1:37">
      <c r="A168" s="10">
        <v>167</v>
      </c>
      <c r="B168" s="2" t="s">
        <v>37</v>
      </c>
      <c r="C168" s="2" t="s">
        <v>2283</v>
      </c>
      <c r="D168" s="2" t="s">
        <v>39</v>
      </c>
      <c r="E168" s="2" t="s">
        <v>40</v>
      </c>
      <c r="F168" s="2" t="s">
        <v>2284</v>
      </c>
      <c r="G168" s="2" t="s">
        <v>112</v>
      </c>
      <c r="H168" s="2" t="s">
        <v>2285</v>
      </c>
      <c r="I168" s="2" t="s">
        <v>2286</v>
      </c>
      <c r="J168" s="2" t="s">
        <v>51</v>
      </c>
      <c r="K168" s="2" t="s">
        <v>328</v>
      </c>
      <c r="L168" s="2" t="s">
        <v>2287</v>
      </c>
      <c r="M168" s="2">
        <v>1855000</v>
      </c>
      <c r="N168" s="2">
        <v>2650000</v>
      </c>
      <c r="O168" s="2" t="s">
        <v>2288</v>
      </c>
      <c r="P168" s="3">
        <v>45653</v>
      </c>
      <c r="Q168" s="2" t="s">
        <v>2289</v>
      </c>
      <c r="R168" s="2" t="s">
        <v>2290</v>
      </c>
      <c r="S168" s="2" t="s">
        <v>50</v>
      </c>
      <c r="T168" s="2" t="s">
        <v>51</v>
      </c>
      <c r="U168" s="2" t="s">
        <v>2291</v>
      </c>
      <c r="V168" s="2" t="s">
        <v>286</v>
      </c>
      <c r="W168" s="3">
        <v>44377</v>
      </c>
      <c r="X168" s="2" t="s">
        <v>73</v>
      </c>
      <c r="Y168" s="2" t="s">
        <v>318</v>
      </c>
      <c r="Z168" s="2" t="s">
        <v>2292</v>
      </c>
      <c r="AA168" s="2">
        <v>5</v>
      </c>
      <c r="AB168" s="2" t="s">
        <v>75</v>
      </c>
      <c r="AC168" s="2" t="s">
        <v>2293</v>
      </c>
      <c r="AD168" s="3">
        <v>44558</v>
      </c>
      <c r="AE168" s="2" t="s">
        <v>58</v>
      </c>
      <c r="AF168" s="2">
        <v>2120000</v>
      </c>
      <c r="AG168" s="2">
        <v>42400</v>
      </c>
      <c r="AH168" s="2" t="s">
        <v>2294</v>
      </c>
      <c r="AI168" s="2">
        <v>45050</v>
      </c>
      <c r="AJ168" s="11">
        <v>2650</v>
      </c>
      <c r="AK168" s="11" t="s">
        <v>2295</v>
      </c>
    </row>
    <row r="169" spans="1:37">
      <c r="A169" s="10">
        <v>168</v>
      </c>
      <c r="B169" s="2" t="s">
        <v>37</v>
      </c>
      <c r="C169" s="2" t="s">
        <v>2296</v>
      </c>
      <c r="D169" s="2" t="s">
        <v>39</v>
      </c>
      <c r="E169" s="2" t="s">
        <v>40</v>
      </c>
      <c r="F169" s="2" t="s">
        <v>2297</v>
      </c>
      <c r="G169" s="2" t="s">
        <v>1557</v>
      </c>
      <c r="H169" s="2" t="s">
        <v>2298</v>
      </c>
      <c r="I169" s="2" t="s">
        <v>2299</v>
      </c>
      <c r="J169" s="2" t="s">
        <v>2299</v>
      </c>
      <c r="K169" s="2" t="s">
        <v>2299</v>
      </c>
      <c r="L169" s="2" t="s">
        <v>2300</v>
      </c>
      <c r="M169" s="2">
        <v>2250000</v>
      </c>
      <c r="N169" s="2">
        <v>3000000</v>
      </c>
      <c r="O169" s="2" t="s">
        <v>2301</v>
      </c>
      <c r="P169" s="3">
        <v>45653</v>
      </c>
      <c r="Q169" s="2" t="s">
        <v>2302</v>
      </c>
      <c r="R169" s="2" t="s">
        <v>2303</v>
      </c>
      <c r="S169" s="2" t="s">
        <v>69</v>
      </c>
      <c r="T169" s="2" t="s">
        <v>2304</v>
      </c>
      <c r="U169" s="2" t="s">
        <v>2305</v>
      </c>
      <c r="V169" s="2" t="s">
        <v>300</v>
      </c>
      <c r="W169" s="3">
        <v>44194</v>
      </c>
      <c r="X169" s="2" t="s">
        <v>337</v>
      </c>
      <c r="Y169" s="2" t="s">
        <v>338</v>
      </c>
      <c r="Z169" s="2" t="s">
        <v>2306</v>
      </c>
      <c r="AA169" s="2">
        <v>5</v>
      </c>
      <c r="AB169" s="2" t="s">
        <v>160</v>
      </c>
      <c r="AC169" s="2" t="s">
        <v>2307</v>
      </c>
      <c r="AD169" s="3">
        <v>44193</v>
      </c>
      <c r="AE169" s="2" t="s">
        <v>58</v>
      </c>
      <c r="AF169" s="2">
        <v>2250000</v>
      </c>
      <c r="AG169" s="2">
        <v>45000</v>
      </c>
      <c r="AH169" s="2" t="s">
        <v>2308</v>
      </c>
      <c r="AI169" s="2">
        <v>48000</v>
      </c>
      <c r="AJ169" s="11">
        <v>3000</v>
      </c>
      <c r="AK169" s="11" t="s">
        <v>2309</v>
      </c>
    </row>
    <row r="170" spans="1:37" hidden="1">
      <c r="A170" s="10">
        <v>169</v>
      </c>
      <c r="B170" s="2" t="s">
        <v>37</v>
      </c>
      <c r="C170" s="2" t="s">
        <v>2310</v>
      </c>
      <c r="D170" s="2" t="s">
        <v>39</v>
      </c>
      <c r="E170" s="2" t="s">
        <v>40</v>
      </c>
      <c r="F170" s="2" t="s">
        <v>2311</v>
      </c>
      <c r="G170" s="2" t="s">
        <v>276</v>
      </c>
      <c r="H170" s="2" t="s">
        <v>2312</v>
      </c>
      <c r="I170" s="2" t="s">
        <v>2313</v>
      </c>
      <c r="J170" s="2" t="s">
        <v>2313</v>
      </c>
      <c r="K170" s="2" t="s">
        <v>2314</v>
      </c>
      <c r="L170" s="2" t="s">
        <v>2315</v>
      </c>
      <c r="M170" s="2">
        <v>2016000</v>
      </c>
      <c r="N170" s="2">
        <v>2880000</v>
      </c>
      <c r="O170" s="2" t="s">
        <v>2316</v>
      </c>
      <c r="P170" s="3">
        <v>45992</v>
      </c>
      <c r="Q170" s="2" t="s">
        <v>2317</v>
      </c>
      <c r="R170" s="2" t="s">
        <v>2318</v>
      </c>
      <c r="S170" s="2" t="s">
        <v>69</v>
      </c>
      <c r="T170" s="2" t="s">
        <v>2319</v>
      </c>
      <c r="U170" s="2" t="s">
        <v>208</v>
      </c>
      <c r="V170" s="2" t="s">
        <v>286</v>
      </c>
      <c r="W170" s="3">
        <v>44575</v>
      </c>
      <c r="X170" s="2" t="s">
        <v>287</v>
      </c>
      <c r="Y170" s="3">
        <v>46408</v>
      </c>
      <c r="Z170" s="2" t="s">
        <v>2320</v>
      </c>
      <c r="AA170" s="2">
        <v>5</v>
      </c>
      <c r="AB170" s="2" t="s">
        <v>75</v>
      </c>
      <c r="AC170" s="2" t="s">
        <v>2321</v>
      </c>
      <c r="AD170" s="3">
        <v>44575</v>
      </c>
      <c r="AE170" s="2" t="s">
        <v>77</v>
      </c>
      <c r="AF170" s="2">
        <v>2304000</v>
      </c>
      <c r="AG170" s="2">
        <v>34560</v>
      </c>
      <c r="AH170" s="2" t="s">
        <v>2322</v>
      </c>
      <c r="AI170" s="2">
        <v>34560</v>
      </c>
      <c r="AJ170" s="11">
        <v>0</v>
      </c>
      <c r="AK170" s="11"/>
    </row>
    <row r="171" spans="1:37" hidden="1">
      <c r="A171" s="10">
        <v>170</v>
      </c>
      <c r="B171" s="2" t="s">
        <v>37</v>
      </c>
      <c r="C171" s="2" t="s">
        <v>2323</v>
      </c>
      <c r="D171" s="2" t="s">
        <v>39</v>
      </c>
      <c r="E171" s="2" t="s">
        <v>40</v>
      </c>
      <c r="F171" s="2" t="s">
        <v>2324</v>
      </c>
      <c r="G171" s="2" t="s">
        <v>42</v>
      </c>
      <c r="H171" s="2" t="s">
        <v>2325</v>
      </c>
      <c r="I171" s="2" t="s">
        <v>2326</v>
      </c>
      <c r="J171" s="2" t="s">
        <v>51</v>
      </c>
      <c r="K171" s="2" t="s">
        <v>1080</v>
      </c>
      <c r="L171" s="2" t="s">
        <v>2327</v>
      </c>
      <c r="M171" s="2">
        <v>2030000</v>
      </c>
      <c r="N171" s="2">
        <v>2900000</v>
      </c>
      <c r="O171" s="2" t="s">
        <v>2328</v>
      </c>
      <c r="P171" s="3">
        <v>45992</v>
      </c>
      <c r="Q171" s="2" t="s">
        <v>2329</v>
      </c>
      <c r="R171" s="2" t="s">
        <v>2330</v>
      </c>
      <c r="S171" s="2" t="s">
        <v>69</v>
      </c>
      <c r="T171" s="2" t="s">
        <v>2331</v>
      </c>
      <c r="U171" s="2" t="s">
        <v>2128</v>
      </c>
      <c r="V171" s="2" t="s">
        <v>336</v>
      </c>
      <c r="W171" s="3">
        <v>44579</v>
      </c>
      <c r="X171" s="2" t="s">
        <v>287</v>
      </c>
      <c r="Y171" s="3">
        <v>46408</v>
      </c>
      <c r="Z171" s="2" t="s">
        <v>2332</v>
      </c>
      <c r="AA171" s="2">
        <v>5</v>
      </c>
      <c r="AB171" s="2" t="s">
        <v>90</v>
      </c>
      <c r="AC171" s="2" t="s">
        <v>2333</v>
      </c>
      <c r="AD171" s="3">
        <v>44575</v>
      </c>
      <c r="AE171" s="2" t="s">
        <v>77</v>
      </c>
      <c r="AF171" s="2">
        <v>2320000</v>
      </c>
      <c r="AG171" s="2">
        <v>34800</v>
      </c>
      <c r="AH171" s="2" t="s">
        <v>2334</v>
      </c>
      <c r="AI171" s="2">
        <v>34800</v>
      </c>
      <c r="AJ171" s="11">
        <v>0</v>
      </c>
      <c r="AK171" s="11"/>
    </row>
    <row r="172" spans="1:37">
      <c r="A172" s="10">
        <v>171</v>
      </c>
      <c r="B172" s="2" t="s">
        <v>37</v>
      </c>
      <c r="C172" s="2" t="s">
        <v>2335</v>
      </c>
      <c r="D172" s="2" t="s">
        <v>39</v>
      </c>
      <c r="E172" s="2" t="s">
        <v>40</v>
      </c>
      <c r="F172" s="2" t="s">
        <v>2336</v>
      </c>
      <c r="G172" s="2" t="s">
        <v>308</v>
      </c>
      <c r="H172" s="2" t="s">
        <v>2337</v>
      </c>
      <c r="I172" s="2" t="s">
        <v>2338</v>
      </c>
      <c r="J172" s="2" t="s">
        <v>2339</v>
      </c>
      <c r="K172" s="2" t="s">
        <v>2340</v>
      </c>
      <c r="L172" s="2" t="s">
        <v>2341</v>
      </c>
      <c r="M172" s="2">
        <v>1844500</v>
      </c>
      <c r="N172" s="2">
        <v>2635000</v>
      </c>
      <c r="O172" s="2" t="s">
        <v>2342</v>
      </c>
      <c r="P172" s="3">
        <v>45653</v>
      </c>
      <c r="Q172" s="2" t="s">
        <v>2343</v>
      </c>
      <c r="R172" s="2" t="s">
        <v>2344</v>
      </c>
      <c r="S172" s="2" t="s">
        <v>69</v>
      </c>
      <c r="T172" s="2" t="s">
        <v>2345</v>
      </c>
      <c r="U172" s="2" t="s">
        <v>2346</v>
      </c>
      <c r="V172" s="2" t="s">
        <v>521</v>
      </c>
      <c r="W172" s="3">
        <v>44559</v>
      </c>
      <c r="X172" s="2" t="s">
        <v>88</v>
      </c>
      <c r="Y172" s="2" t="s">
        <v>392</v>
      </c>
      <c r="Z172" s="2" t="s">
        <v>2347</v>
      </c>
      <c r="AA172" s="2">
        <v>5</v>
      </c>
      <c r="AB172" s="2" t="s">
        <v>75</v>
      </c>
      <c r="AC172" s="2" t="s">
        <v>2348</v>
      </c>
      <c r="AD172" s="3">
        <v>44559</v>
      </c>
      <c r="AE172" s="2" t="s">
        <v>77</v>
      </c>
      <c r="AF172" s="2">
        <v>2108000</v>
      </c>
      <c r="AG172" s="2">
        <v>31620</v>
      </c>
      <c r="AH172" s="2" t="s">
        <v>2349</v>
      </c>
      <c r="AI172" s="2">
        <v>33596</v>
      </c>
      <c r="AJ172" s="11">
        <v>1976</v>
      </c>
      <c r="AK172" s="11" t="s">
        <v>2350</v>
      </c>
    </row>
    <row r="173" spans="1:37">
      <c r="A173" s="10">
        <v>172</v>
      </c>
      <c r="B173" s="2" t="s">
        <v>37</v>
      </c>
      <c r="C173" s="2" t="s">
        <v>2351</v>
      </c>
      <c r="D173" s="2" t="s">
        <v>39</v>
      </c>
      <c r="E173" s="2" t="s">
        <v>40</v>
      </c>
      <c r="F173" s="2" t="s">
        <v>2352</v>
      </c>
      <c r="G173" s="2" t="s">
        <v>276</v>
      </c>
      <c r="H173" s="2" t="s">
        <v>2353</v>
      </c>
      <c r="I173" s="2" t="s">
        <v>2354</v>
      </c>
      <c r="J173" s="2" t="s">
        <v>2354</v>
      </c>
      <c r="K173" s="2" t="s">
        <v>2355</v>
      </c>
      <c r="L173" s="2" t="s">
        <v>2356</v>
      </c>
      <c r="M173" s="2">
        <v>1600000</v>
      </c>
      <c r="N173" s="2">
        <v>2000000</v>
      </c>
      <c r="O173" s="2" t="s">
        <v>2357</v>
      </c>
      <c r="P173" s="3">
        <v>45653</v>
      </c>
      <c r="Q173" s="2" t="s">
        <v>2358</v>
      </c>
      <c r="R173" s="2" t="s">
        <v>2359</v>
      </c>
      <c r="S173" s="2" t="s">
        <v>69</v>
      </c>
      <c r="T173" s="2" t="s">
        <v>2360</v>
      </c>
      <c r="U173" s="2" t="s">
        <v>1939</v>
      </c>
      <c r="V173" s="2" t="s">
        <v>286</v>
      </c>
      <c r="W173" s="3">
        <v>44560</v>
      </c>
      <c r="X173" s="2" t="s">
        <v>88</v>
      </c>
      <c r="Y173" s="2" t="s">
        <v>392</v>
      </c>
      <c r="Z173" s="2" t="s">
        <v>2361</v>
      </c>
      <c r="AA173" s="2">
        <v>5</v>
      </c>
      <c r="AB173" s="2" t="s">
        <v>90</v>
      </c>
      <c r="AC173" s="2" t="s">
        <v>2362</v>
      </c>
      <c r="AD173" s="3">
        <v>44558</v>
      </c>
      <c r="AE173" s="2" t="s">
        <v>77</v>
      </c>
      <c r="AF173" s="2">
        <v>1600000</v>
      </c>
      <c r="AG173" s="2">
        <v>24000</v>
      </c>
      <c r="AH173" s="2" t="s">
        <v>2363</v>
      </c>
      <c r="AI173" s="2">
        <v>25500</v>
      </c>
      <c r="AJ173" s="11">
        <v>1500</v>
      </c>
      <c r="AK173" s="11" t="s">
        <v>2364</v>
      </c>
    </row>
    <row r="174" spans="1:37">
      <c r="A174" s="10">
        <v>173</v>
      </c>
      <c r="B174" s="2" t="s">
        <v>37</v>
      </c>
      <c r="C174" s="2" t="s">
        <v>2365</v>
      </c>
      <c r="D174" s="2" t="s">
        <v>39</v>
      </c>
      <c r="E174" s="2" t="s">
        <v>40</v>
      </c>
      <c r="F174" s="2" t="s">
        <v>2366</v>
      </c>
      <c r="G174" s="2" t="s">
        <v>112</v>
      </c>
      <c r="H174" s="2" t="s">
        <v>2367</v>
      </c>
      <c r="I174" s="2" t="s">
        <v>51</v>
      </c>
      <c r="J174" s="2" t="s">
        <v>2368</v>
      </c>
      <c r="K174" s="2" t="s">
        <v>51</v>
      </c>
      <c r="L174" s="2" t="s">
        <v>2369</v>
      </c>
      <c r="M174" s="2">
        <v>1460000</v>
      </c>
      <c r="N174" s="2">
        <v>1825000</v>
      </c>
      <c r="O174" s="2" t="s">
        <v>2370</v>
      </c>
      <c r="P174" s="3">
        <v>45653</v>
      </c>
      <c r="Q174" s="2" t="s">
        <v>2371</v>
      </c>
      <c r="R174" s="2" t="s">
        <v>2372</v>
      </c>
      <c r="S174" s="2" t="s">
        <v>69</v>
      </c>
      <c r="T174" s="2" t="s">
        <v>2373</v>
      </c>
      <c r="U174" s="2" t="s">
        <v>2374</v>
      </c>
      <c r="V174" s="2" t="s">
        <v>391</v>
      </c>
      <c r="W174" s="3">
        <v>44559</v>
      </c>
      <c r="X174" s="2" t="s">
        <v>88</v>
      </c>
      <c r="Y174" s="2" t="s">
        <v>392</v>
      </c>
      <c r="Z174" s="2" t="s">
        <v>2375</v>
      </c>
      <c r="AA174" s="2">
        <v>5</v>
      </c>
      <c r="AB174" s="2" t="s">
        <v>75</v>
      </c>
      <c r="AC174" s="2" t="s">
        <v>2376</v>
      </c>
      <c r="AD174" s="3">
        <v>44558</v>
      </c>
      <c r="AE174" s="2" t="s">
        <v>77</v>
      </c>
      <c r="AF174" s="2">
        <v>1460000</v>
      </c>
      <c r="AG174" s="2">
        <v>21900</v>
      </c>
      <c r="AH174" s="2" t="s">
        <v>2377</v>
      </c>
      <c r="AI174" s="2">
        <v>23269</v>
      </c>
      <c r="AJ174" s="11">
        <v>1369</v>
      </c>
      <c r="AK174" s="11" t="s">
        <v>2378</v>
      </c>
    </row>
    <row r="175" spans="1:37">
      <c r="A175" s="10">
        <v>174</v>
      </c>
      <c r="B175" s="2" t="s">
        <v>37</v>
      </c>
      <c r="C175" s="2" t="s">
        <v>2379</v>
      </c>
      <c r="D175" s="2" t="s">
        <v>39</v>
      </c>
      <c r="E175" s="2" t="s">
        <v>40</v>
      </c>
      <c r="F175" s="2" t="s">
        <v>2380</v>
      </c>
      <c r="G175" s="2" t="s">
        <v>112</v>
      </c>
      <c r="H175" s="2" t="s">
        <v>2381</v>
      </c>
      <c r="I175" s="2" t="s">
        <v>2382</v>
      </c>
      <c r="J175" s="2" t="s">
        <v>2382</v>
      </c>
      <c r="K175" s="2" t="s">
        <v>2383</v>
      </c>
      <c r="L175" s="2" t="s">
        <v>2384</v>
      </c>
      <c r="M175" s="2">
        <v>1100000</v>
      </c>
      <c r="N175" s="2">
        <v>2500000</v>
      </c>
      <c r="O175" s="2" t="s">
        <v>2385</v>
      </c>
      <c r="P175" s="3">
        <v>45653</v>
      </c>
      <c r="Q175" s="2" t="s">
        <v>2386</v>
      </c>
      <c r="R175" s="2" t="s">
        <v>2387</v>
      </c>
      <c r="S175" s="2" t="s">
        <v>69</v>
      </c>
      <c r="T175" s="2" t="s">
        <v>2388</v>
      </c>
      <c r="U175" s="2" t="s">
        <v>2389</v>
      </c>
      <c r="V175" s="2" t="s">
        <v>72</v>
      </c>
      <c r="W175" s="3">
        <v>44559</v>
      </c>
      <c r="X175" s="2" t="s">
        <v>88</v>
      </c>
      <c r="Y175" s="2" t="s">
        <v>392</v>
      </c>
      <c r="Z175" s="2" t="s">
        <v>2390</v>
      </c>
      <c r="AA175" s="2">
        <v>5</v>
      </c>
      <c r="AB175" s="2" t="s">
        <v>75</v>
      </c>
      <c r="AC175" s="2" t="s">
        <v>2391</v>
      </c>
      <c r="AD175" s="3">
        <v>44558</v>
      </c>
      <c r="AE175" s="2" t="s">
        <v>77</v>
      </c>
      <c r="AF175" s="2">
        <v>2000000</v>
      </c>
      <c r="AG175" s="2">
        <v>30000</v>
      </c>
      <c r="AH175" s="2" t="s">
        <v>2392</v>
      </c>
      <c r="AI175" s="2">
        <v>31875</v>
      </c>
      <c r="AJ175" s="11">
        <v>1875</v>
      </c>
      <c r="AK175" s="11" t="s">
        <v>2393</v>
      </c>
    </row>
    <row r="176" spans="1:37">
      <c r="A176" s="10">
        <v>175</v>
      </c>
      <c r="B176" s="2" t="s">
        <v>37</v>
      </c>
      <c r="C176" s="2" t="s">
        <v>2394</v>
      </c>
      <c r="D176" s="2" t="s">
        <v>39</v>
      </c>
      <c r="E176" s="2" t="s">
        <v>40</v>
      </c>
      <c r="F176" s="2" t="s">
        <v>2395</v>
      </c>
      <c r="G176" s="2" t="s">
        <v>62</v>
      </c>
      <c r="H176" s="2" t="s">
        <v>2396</v>
      </c>
      <c r="I176" s="2" t="s">
        <v>2397</v>
      </c>
      <c r="J176" s="2" t="s">
        <v>2397</v>
      </c>
      <c r="K176" s="2" t="s">
        <v>328</v>
      </c>
      <c r="L176" s="2" t="s">
        <v>2398</v>
      </c>
      <c r="M176" s="2">
        <v>1077300</v>
      </c>
      <c r="N176" s="2">
        <v>1539000</v>
      </c>
      <c r="O176" s="2" t="s">
        <v>2399</v>
      </c>
      <c r="P176" s="3">
        <v>45653</v>
      </c>
      <c r="Q176" s="2" t="s">
        <v>2400</v>
      </c>
      <c r="R176" s="2" t="s">
        <v>2401</v>
      </c>
      <c r="S176" s="2" t="s">
        <v>50</v>
      </c>
      <c r="T176" s="2" t="s">
        <v>51</v>
      </c>
      <c r="U176" s="2" t="s">
        <v>863</v>
      </c>
      <c r="V176" s="2" t="s">
        <v>286</v>
      </c>
      <c r="W176" s="3">
        <v>44560</v>
      </c>
      <c r="X176" s="2" t="s">
        <v>88</v>
      </c>
      <c r="Y176" s="2" t="s">
        <v>392</v>
      </c>
      <c r="Z176" s="2" t="s">
        <v>2402</v>
      </c>
      <c r="AA176" s="2">
        <v>5</v>
      </c>
      <c r="AB176" s="2" t="s">
        <v>75</v>
      </c>
      <c r="AC176" s="2" t="s">
        <v>2403</v>
      </c>
      <c r="AD176" s="3">
        <v>44558</v>
      </c>
      <c r="AE176" s="2" t="s">
        <v>58</v>
      </c>
      <c r="AF176" s="2">
        <v>1231200</v>
      </c>
      <c r="AG176" s="2">
        <v>24624</v>
      </c>
      <c r="AH176" s="2" t="s">
        <v>2404</v>
      </c>
      <c r="AI176" s="2">
        <v>26163</v>
      </c>
      <c r="AJ176" s="11">
        <v>1539</v>
      </c>
      <c r="AK176" s="11" t="s">
        <v>2405</v>
      </c>
    </row>
    <row r="177" spans="1:37">
      <c r="A177" s="10">
        <v>176</v>
      </c>
      <c r="B177" s="2" t="s">
        <v>37</v>
      </c>
      <c r="C177" s="2" t="s">
        <v>2406</v>
      </c>
      <c r="D177" s="2" t="s">
        <v>39</v>
      </c>
      <c r="E177" s="2" t="s">
        <v>40</v>
      </c>
      <c r="F177" s="2" t="s">
        <v>2407</v>
      </c>
      <c r="G177" s="2" t="s">
        <v>1557</v>
      </c>
      <c r="H177" s="2" t="s">
        <v>2408</v>
      </c>
      <c r="I177" s="2" t="s">
        <v>2409</v>
      </c>
      <c r="J177" s="2" t="s">
        <v>51</v>
      </c>
      <c r="K177" s="2" t="s">
        <v>2410</v>
      </c>
      <c r="L177" s="2" t="s">
        <v>2411</v>
      </c>
      <c r="M177" s="2">
        <v>1050000</v>
      </c>
      <c r="N177" s="2">
        <v>1400000</v>
      </c>
      <c r="O177" s="2" t="s">
        <v>2412</v>
      </c>
      <c r="P177" s="3">
        <v>45653</v>
      </c>
      <c r="Q177" s="2" t="s">
        <v>2413</v>
      </c>
      <c r="R177" s="2" t="s">
        <v>2414</v>
      </c>
      <c r="S177" s="2" t="s">
        <v>69</v>
      </c>
      <c r="T177" s="2" t="s">
        <v>2415</v>
      </c>
      <c r="U177" s="2" t="s">
        <v>285</v>
      </c>
      <c r="V177" s="2" t="s">
        <v>300</v>
      </c>
      <c r="W177" s="3">
        <v>44559</v>
      </c>
      <c r="X177" s="2" t="s">
        <v>88</v>
      </c>
      <c r="Y177" s="2" t="s">
        <v>821</v>
      </c>
      <c r="Z177" s="2" t="s">
        <v>2416</v>
      </c>
      <c r="AA177" s="2">
        <v>7</v>
      </c>
      <c r="AB177" s="2" t="s">
        <v>75</v>
      </c>
      <c r="AC177" s="2" t="s">
        <v>2417</v>
      </c>
      <c r="AD177" s="3">
        <v>44558</v>
      </c>
      <c r="AE177" s="2" t="s">
        <v>77</v>
      </c>
      <c r="AF177" s="2">
        <v>1120000</v>
      </c>
      <c r="AG177" s="2">
        <v>16800</v>
      </c>
      <c r="AH177" s="2" t="s">
        <v>2418</v>
      </c>
      <c r="AI177" s="2">
        <v>17850</v>
      </c>
      <c r="AJ177" s="11">
        <v>1050</v>
      </c>
      <c r="AK177" s="11" t="s">
        <v>2419</v>
      </c>
    </row>
    <row r="178" spans="1:37" hidden="1">
      <c r="A178" s="10">
        <v>177</v>
      </c>
      <c r="B178" s="2" t="s">
        <v>37</v>
      </c>
      <c r="C178" s="2" t="s">
        <v>2420</v>
      </c>
      <c r="D178" s="2" t="s">
        <v>39</v>
      </c>
      <c r="E178" s="2" t="s">
        <v>40</v>
      </c>
      <c r="F178" s="2" t="s">
        <v>2421</v>
      </c>
      <c r="G178" s="2" t="s">
        <v>276</v>
      </c>
      <c r="H178" s="2" t="s">
        <v>2422</v>
      </c>
      <c r="I178" s="2" t="s">
        <v>2423</v>
      </c>
      <c r="J178" s="2" t="s">
        <v>2423</v>
      </c>
      <c r="K178" s="2" t="s">
        <v>2423</v>
      </c>
      <c r="L178" s="2" t="s">
        <v>2424</v>
      </c>
      <c r="M178" s="2">
        <v>556500</v>
      </c>
      <c r="N178" s="2">
        <v>1113000</v>
      </c>
      <c r="O178" s="2" t="s">
        <v>2425</v>
      </c>
      <c r="P178" s="3">
        <v>45670</v>
      </c>
      <c r="Q178" s="2" t="s">
        <v>2426</v>
      </c>
      <c r="R178" s="2" t="s">
        <v>2427</v>
      </c>
      <c r="S178" s="2" t="s">
        <v>50</v>
      </c>
      <c r="T178" s="2" t="s">
        <v>51</v>
      </c>
      <c r="U178" s="2" t="s">
        <v>285</v>
      </c>
      <c r="V178" s="2" t="s">
        <v>286</v>
      </c>
      <c r="W178" s="3">
        <v>44438</v>
      </c>
      <c r="X178" s="2" t="s">
        <v>2428</v>
      </c>
      <c r="Y178" s="3">
        <v>46414</v>
      </c>
      <c r="Z178" s="2" t="s">
        <v>2429</v>
      </c>
      <c r="AA178" s="2">
        <v>5</v>
      </c>
      <c r="AB178" s="2" t="s">
        <v>90</v>
      </c>
      <c r="AC178" s="2" t="s">
        <v>2430</v>
      </c>
      <c r="AD178" s="3">
        <v>44578</v>
      </c>
      <c r="AE178" s="2" t="s">
        <v>58</v>
      </c>
      <c r="AF178" s="2">
        <v>890400</v>
      </c>
      <c r="AG178" s="2">
        <v>17808</v>
      </c>
      <c r="AH178" s="2" t="s">
        <v>2431</v>
      </c>
      <c r="AI178" s="2">
        <v>17808</v>
      </c>
      <c r="AJ178" s="11">
        <v>0</v>
      </c>
      <c r="AK178" s="11"/>
    </row>
    <row r="179" spans="1:37">
      <c r="A179" s="10">
        <v>178</v>
      </c>
      <c r="B179" s="2" t="s">
        <v>37</v>
      </c>
      <c r="C179" s="2" t="s">
        <v>2432</v>
      </c>
      <c r="D179" s="2" t="s">
        <v>39</v>
      </c>
      <c r="E179" s="2" t="s">
        <v>40</v>
      </c>
      <c r="F179" s="2" t="s">
        <v>2433</v>
      </c>
      <c r="G179" s="2" t="s">
        <v>62</v>
      </c>
      <c r="H179" s="2" t="s">
        <v>2434</v>
      </c>
      <c r="I179" s="2" t="s">
        <v>2435</v>
      </c>
      <c r="J179" s="2" t="s">
        <v>2435</v>
      </c>
      <c r="K179" s="2" t="s">
        <v>2436</v>
      </c>
      <c r="L179" s="2" t="s">
        <v>2437</v>
      </c>
      <c r="M179" s="2">
        <v>1146400</v>
      </c>
      <c r="N179" s="2">
        <v>1433000</v>
      </c>
      <c r="O179" s="2" t="s">
        <v>2438</v>
      </c>
      <c r="P179" s="3">
        <v>45653</v>
      </c>
      <c r="Q179" s="2" t="s">
        <v>2439</v>
      </c>
      <c r="R179" s="2" t="s">
        <v>2440</v>
      </c>
      <c r="S179" s="2" t="s">
        <v>50</v>
      </c>
      <c r="T179" s="2" t="s">
        <v>51</v>
      </c>
      <c r="U179" s="2" t="s">
        <v>2441</v>
      </c>
      <c r="V179" s="2" t="s">
        <v>286</v>
      </c>
      <c r="W179" s="3">
        <v>44194</v>
      </c>
      <c r="X179" s="2" t="s">
        <v>337</v>
      </c>
      <c r="Y179" s="2" t="s">
        <v>238</v>
      </c>
      <c r="Z179" s="2" t="s">
        <v>2442</v>
      </c>
      <c r="AA179" s="2">
        <v>7</v>
      </c>
      <c r="AB179" s="2" t="s">
        <v>106</v>
      </c>
      <c r="AC179" s="2" t="s">
        <v>2443</v>
      </c>
      <c r="AD179" s="3">
        <v>44193</v>
      </c>
      <c r="AE179" s="2" t="s">
        <v>58</v>
      </c>
      <c r="AF179" s="2">
        <v>1074750</v>
      </c>
      <c r="AG179" s="2">
        <v>21495</v>
      </c>
      <c r="AH179" s="2" t="s">
        <v>2444</v>
      </c>
      <c r="AI179" s="2">
        <v>22928</v>
      </c>
      <c r="AJ179" s="11">
        <v>1433</v>
      </c>
      <c r="AK179" s="11" t="s">
        <v>2445</v>
      </c>
    </row>
    <row r="180" spans="1:37">
      <c r="A180" s="10">
        <v>179</v>
      </c>
      <c r="B180" s="2" t="s">
        <v>37</v>
      </c>
      <c r="C180" s="2" t="s">
        <v>2446</v>
      </c>
      <c r="D180" s="2" t="s">
        <v>39</v>
      </c>
      <c r="E180" s="2" t="s">
        <v>40</v>
      </c>
      <c r="F180" s="2" t="s">
        <v>2447</v>
      </c>
      <c r="G180" s="2" t="s">
        <v>276</v>
      </c>
      <c r="H180" s="2" t="s">
        <v>2448</v>
      </c>
      <c r="I180" s="2" t="s">
        <v>2449</v>
      </c>
      <c r="J180" s="2" t="s">
        <v>2449</v>
      </c>
      <c r="K180" s="2" t="s">
        <v>2450</v>
      </c>
      <c r="L180" s="2" t="s">
        <v>2451</v>
      </c>
      <c r="M180" s="2">
        <v>978000</v>
      </c>
      <c r="N180" s="2">
        <v>1630000</v>
      </c>
      <c r="O180" s="2" t="s">
        <v>2452</v>
      </c>
      <c r="P180" s="3">
        <v>45653</v>
      </c>
      <c r="Q180" s="2" t="s">
        <v>2453</v>
      </c>
      <c r="R180" s="2" t="s">
        <v>2454</v>
      </c>
      <c r="S180" s="2" t="s">
        <v>69</v>
      </c>
      <c r="T180" s="2" t="s">
        <v>2455</v>
      </c>
      <c r="U180" s="2" t="s">
        <v>133</v>
      </c>
      <c r="V180" s="2" t="s">
        <v>521</v>
      </c>
      <c r="W180" s="3">
        <v>44561</v>
      </c>
      <c r="X180" s="2" t="s">
        <v>88</v>
      </c>
      <c r="Y180" s="2" t="s">
        <v>821</v>
      </c>
      <c r="Z180" s="2" t="s">
        <v>2456</v>
      </c>
      <c r="AA180" s="2">
        <v>7</v>
      </c>
      <c r="AB180" s="2" t="s">
        <v>90</v>
      </c>
      <c r="AC180" s="2" t="s">
        <v>2457</v>
      </c>
      <c r="AD180" s="3">
        <v>44560</v>
      </c>
      <c r="AE180" s="2" t="s">
        <v>77</v>
      </c>
      <c r="AF180" s="2">
        <v>1304000</v>
      </c>
      <c r="AG180" s="2">
        <v>19560</v>
      </c>
      <c r="AH180" s="2" t="s">
        <v>2458</v>
      </c>
      <c r="AI180" s="2">
        <v>20783</v>
      </c>
      <c r="AJ180" s="11">
        <v>1223</v>
      </c>
      <c r="AK180" s="11" t="s">
        <v>2459</v>
      </c>
    </row>
    <row r="181" spans="1:37">
      <c r="A181" s="10">
        <v>180</v>
      </c>
      <c r="B181" s="2" t="s">
        <v>37</v>
      </c>
      <c r="C181" s="2" t="s">
        <v>2460</v>
      </c>
      <c r="D181" s="2" t="s">
        <v>39</v>
      </c>
      <c r="E181" s="2" t="s">
        <v>40</v>
      </c>
      <c r="F181" s="2" t="s">
        <v>2461</v>
      </c>
      <c r="G181" s="2" t="s">
        <v>2093</v>
      </c>
      <c r="H181" s="2" t="s">
        <v>2462</v>
      </c>
      <c r="I181" s="2" t="s">
        <v>2463</v>
      </c>
      <c r="J181" s="2" t="s">
        <v>2463</v>
      </c>
      <c r="K181" s="2" t="s">
        <v>2463</v>
      </c>
      <c r="L181" s="2" t="s">
        <v>2464</v>
      </c>
      <c r="M181" s="2">
        <v>966000</v>
      </c>
      <c r="N181" s="2">
        <v>1610000</v>
      </c>
      <c r="O181" s="2" t="s">
        <v>2465</v>
      </c>
      <c r="P181" s="3">
        <v>45653</v>
      </c>
      <c r="Q181" s="2" t="s">
        <v>2466</v>
      </c>
      <c r="R181" s="2" t="s">
        <v>2467</v>
      </c>
      <c r="S181" s="2" t="s">
        <v>50</v>
      </c>
      <c r="T181" s="2" t="s">
        <v>51</v>
      </c>
      <c r="U181" s="2" t="s">
        <v>253</v>
      </c>
      <c r="V181" s="2" t="s">
        <v>286</v>
      </c>
      <c r="W181" s="3">
        <v>44434</v>
      </c>
      <c r="X181" s="2" t="s">
        <v>73</v>
      </c>
      <c r="Y181" s="2" t="s">
        <v>318</v>
      </c>
      <c r="Z181" s="2" t="s">
        <v>2468</v>
      </c>
      <c r="AA181" s="2">
        <v>5</v>
      </c>
      <c r="AB181" s="2" t="s">
        <v>90</v>
      </c>
      <c r="AC181" s="2" t="s">
        <v>2469</v>
      </c>
      <c r="AD181" s="3">
        <v>44559</v>
      </c>
      <c r="AE181" s="2" t="s">
        <v>58</v>
      </c>
      <c r="AF181" s="2">
        <v>1288000</v>
      </c>
      <c r="AG181" s="2">
        <v>25760</v>
      </c>
      <c r="AH181" s="2" t="s">
        <v>2470</v>
      </c>
      <c r="AI181" s="2">
        <v>27370</v>
      </c>
      <c r="AJ181" s="11">
        <v>1610</v>
      </c>
      <c r="AK181" s="11" t="s">
        <v>2471</v>
      </c>
    </row>
    <row r="182" spans="1:37">
      <c r="A182" s="10">
        <v>181</v>
      </c>
      <c r="B182" s="2" t="s">
        <v>37</v>
      </c>
      <c r="C182" s="2" t="s">
        <v>2472</v>
      </c>
      <c r="D182" s="2" t="s">
        <v>39</v>
      </c>
      <c r="E182" s="2" t="s">
        <v>40</v>
      </c>
      <c r="F182" s="2" t="s">
        <v>2473</v>
      </c>
      <c r="G182" s="2" t="s">
        <v>276</v>
      </c>
      <c r="H182" s="2" t="s">
        <v>2474</v>
      </c>
      <c r="I182" s="2" t="s">
        <v>2475</v>
      </c>
      <c r="J182" s="2" t="s">
        <v>2475</v>
      </c>
      <c r="K182" s="2" t="s">
        <v>2475</v>
      </c>
      <c r="L182" s="2" t="s">
        <v>2476</v>
      </c>
      <c r="M182" s="2">
        <v>1750000</v>
      </c>
      <c r="N182" s="2">
        <v>2500000</v>
      </c>
      <c r="O182" s="2" t="s">
        <v>2477</v>
      </c>
      <c r="P182" s="3">
        <v>45652</v>
      </c>
      <c r="Q182" s="2" t="s">
        <v>2478</v>
      </c>
      <c r="R182" s="2" t="s">
        <v>2479</v>
      </c>
      <c r="S182" s="2" t="s">
        <v>69</v>
      </c>
      <c r="T182" s="2" t="s">
        <v>2480</v>
      </c>
      <c r="U182" s="2" t="s">
        <v>208</v>
      </c>
      <c r="V182" s="2" t="s">
        <v>300</v>
      </c>
      <c r="W182" s="3">
        <v>44560</v>
      </c>
      <c r="X182" s="2" t="s">
        <v>88</v>
      </c>
      <c r="Y182" s="2" t="s">
        <v>392</v>
      </c>
      <c r="Z182" s="2" t="s">
        <v>2481</v>
      </c>
      <c r="AA182" s="2">
        <v>5</v>
      </c>
      <c r="AB182" s="2" t="s">
        <v>90</v>
      </c>
      <c r="AC182" s="2" t="s">
        <v>2482</v>
      </c>
      <c r="AD182" s="3">
        <v>44557</v>
      </c>
      <c r="AE182" s="2" t="s">
        <v>77</v>
      </c>
      <c r="AF182" s="2">
        <v>2000000</v>
      </c>
      <c r="AG182" s="2">
        <v>30000</v>
      </c>
      <c r="AH182" s="2" t="s">
        <v>2483</v>
      </c>
      <c r="AI182" s="2">
        <v>31875</v>
      </c>
      <c r="AJ182" s="11">
        <v>1875</v>
      </c>
      <c r="AK182" s="11" t="s">
        <v>2484</v>
      </c>
    </row>
    <row r="183" spans="1:37" hidden="1">
      <c r="A183" s="10">
        <v>182</v>
      </c>
      <c r="B183" s="2" t="s">
        <v>37</v>
      </c>
      <c r="C183" s="2" t="s">
        <v>2485</v>
      </c>
      <c r="D183" s="2" t="s">
        <v>39</v>
      </c>
      <c r="E183" s="2" t="s">
        <v>40</v>
      </c>
      <c r="F183" s="2" t="s">
        <v>2486</v>
      </c>
      <c r="G183" s="2" t="s">
        <v>276</v>
      </c>
      <c r="H183" s="2" t="s">
        <v>2487</v>
      </c>
      <c r="I183" s="2" t="s">
        <v>2488</v>
      </c>
      <c r="J183" s="2" t="s">
        <v>2488</v>
      </c>
      <c r="K183" s="2" t="s">
        <v>2488</v>
      </c>
      <c r="L183" s="2" t="s">
        <v>2489</v>
      </c>
      <c r="M183" s="2">
        <v>1180000</v>
      </c>
      <c r="N183" s="2">
        <v>1475000</v>
      </c>
      <c r="O183" s="2" t="s">
        <v>2490</v>
      </c>
      <c r="P183" s="3">
        <v>45670</v>
      </c>
      <c r="Q183" s="2" t="s">
        <v>2491</v>
      </c>
      <c r="R183" s="2" t="s">
        <v>2492</v>
      </c>
      <c r="S183" s="2" t="s">
        <v>50</v>
      </c>
      <c r="T183" s="2" t="s">
        <v>2493</v>
      </c>
      <c r="U183" s="2" t="s">
        <v>2494</v>
      </c>
      <c r="V183" s="2" t="s">
        <v>391</v>
      </c>
      <c r="W183" s="3">
        <v>44588</v>
      </c>
      <c r="X183" s="2" t="s">
        <v>2428</v>
      </c>
      <c r="Y183" s="3">
        <v>47145</v>
      </c>
      <c r="Z183" s="2" t="s">
        <v>2495</v>
      </c>
      <c r="AA183" s="2">
        <v>7</v>
      </c>
      <c r="AB183" s="2" t="s">
        <v>75</v>
      </c>
      <c r="AC183" s="2" t="s">
        <v>2496</v>
      </c>
      <c r="AD183" s="3">
        <v>44581</v>
      </c>
      <c r="AE183" s="2" t="s">
        <v>77</v>
      </c>
      <c r="AF183" s="2">
        <v>1180000</v>
      </c>
      <c r="AG183" s="2">
        <v>17700</v>
      </c>
      <c r="AH183" s="2" t="s">
        <v>2497</v>
      </c>
      <c r="AI183" s="2">
        <v>17700</v>
      </c>
      <c r="AJ183" s="11">
        <v>0</v>
      </c>
      <c r="AK183" s="11"/>
    </row>
    <row r="184" spans="1:37" hidden="1">
      <c r="A184" s="10">
        <v>183</v>
      </c>
      <c r="B184" s="2" t="s">
        <v>37</v>
      </c>
      <c r="C184" s="2" t="s">
        <v>2498</v>
      </c>
      <c r="D184" s="2" t="s">
        <v>39</v>
      </c>
      <c r="E184" s="2" t="s">
        <v>40</v>
      </c>
      <c r="F184" s="2" t="s">
        <v>2499</v>
      </c>
      <c r="G184" s="2" t="s">
        <v>62</v>
      </c>
      <c r="H184" s="2" t="s">
        <v>2500</v>
      </c>
      <c r="I184" s="2" t="s">
        <v>51</v>
      </c>
      <c r="J184" s="2" t="s">
        <v>2501</v>
      </c>
      <c r="K184" s="2" t="s">
        <v>51</v>
      </c>
      <c r="L184" s="2" t="s">
        <v>2502</v>
      </c>
      <c r="M184" s="2">
        <v>783250</v>
      </c>
      <c r="N184" s="2">
        <v>1205000</v>
      </c>
      <c r="O184" s="2" t="s">
        <v>2503</v>
      </c>
      <c r="P184" s="3">
        <v>45652</v>
      </c>
      <c r="Q184" s="2" t="s">
        <v>2504</v>
      </c>
      <c r="R184" s="2" t="s">
        <v>2505</v>
      </c>
      <c r="S184" s="2" t="s">
        <v>69</v>
      </c>
      <c r="T184" s="2" t="s">
        <v>2506</v>
      </c>
      <c r="U184" s="2" t="s">
        <v>2179</v>
      </c>
      <c r="V184" s="2" t="s">
        <v>391</v>
      </c>
      <c r="W184" s="3">
        <v>45288</v>
      </c>
      <c r="X184" s="2" t="s">
        <v>1195</v>
      </c>
      <c r="Y184" s="2" t="s">
        <v>392</v>
      </c>
      <c r="Z184" s="2" t="s">
        <v>2507</v>
      </c>
      <c r="AA184" s="2">
        <v>3</v>
      </c>
      <c r="AB184" s="2" t="s">
        <v>90</v>
      </c>
      <c r="AC184" s="2" t="s">
        <v>2508</v>
      </c>
      <c r="AD184" s="3">
        <v>45287</v>
      </c>
      <c r="AE184" s="2" t="s">
        <v>108</v>
      </c>
      <c r="AF184" s="2">
        <v>1084500</v>
      </c>
      <c r="AG184" s="2">
        <v>18979</v>
      </c>
      <c r="AH184" s="2" t="s">
        <v>2509</v>
      </c>
      <c r="AI184" s="2">
        <v>18979</v>
      </c>
      <c r="AJ184" s="11">
        <v>0</v>
      </c>
      <c r="AK184" s="11"/>
    </row>
    <row r="185" spans="1:37" hidden="1">
      <c r="A185" s="10">
        <v>184</v>
      </c>
      <c r="B185" s="2" t="s">
        <v>37</v>
      </c>
      <c r="C185" s="2" t="s">
        <v>2510</v>
      </c>
      <c r="D185" s="2" t="s">
        <v>39</v>
      </c>
      <c r="E185" s="2" t="s">
        <v>40</v>
      </c>
      <c r="F185" s="2" t="s">
        <v>2511</v>
      </c>
      <c r="G185" s="2" t="s">
        <v>62</v>
      </c>
      <c r="H185" s="2" t="s">
        <v>2512</v>
      </c>
      <c r="I185" s="2" t="s">
        <v>51</v>
      </c>
      <c r="J185" s="2" t="s">
        <v>2513</v>
      </c>
      <c r="K185" s="2" t="s">
        <v>51</v>
      </c>
      <c r="L185" s="2" t="s">
        <v>2514</v>
      </c>
      <c r="M185" s="2">
        <v>2762500</v>
      </c>
      <c r="N185" s="2">
        <v>4250000</v>
      </c>
      <c r="O185" s="2" t="s">
        <v>2515</v>
      </c>
      <c r="P185" s="3">
        <v>45652</v>
      </c>
      <c r="Q185" s="2" t="s">
        <v>2516</v>
      </c>
      <c r="R185" s="2" t="s">
        <v>2517</v>
      </c>
      <c r="S185" s="2" t="s">
        <v>69</v>
      </c>
      <c r="T185" s="2" t="s">
        <v>2518</v>
      </c>
      <c r="U185" s="2" t="s">
        <v>364</v>
      </c>
      <c r="V185" s="2" t="s">
        <v>300</v>
      </c>
      <c r="W185" s="3">
        <v>45288</v>
      </c>
      <c r="X185" s="2" t="s">
        <v>1195</v>
      </c>
      <c r="Y185" s="2" t="s">
        <v>392</v>
      </c>
      <c r="Z185" s="2" t="s">
        <v>2519</v>
      </c>
      <c r="AA185" s="2">
        <v>3</v>
      </c>
      <c r="AB185" s="2" t="s">
        <v>160</v>
      </c>
      <c r="AC185" s="2" t="s">
        <v>2520</v>
      </c>
      <c r="AD185" s="3">
        <v>45287</v>
      </c>
      <c r="AE185" s="2" t="s">
        <v>108</v>
      </c>
      <c r="AF185" s="2">
        <v>3825000</v>
      </c>
      <c r="AG185" s="2">
        <v>66938</v>
      </c>
      <c r="AH185" s="2" t="s">
        <v>2521</v>
      </c>
      <c r="AI185" s="2">
        <v>66938</v>
      </c>
      <c r="AJ185" s="11">
        <v>0</v>
      </c>
      <c r="AK185" s="11"/>
    </row>
    <row r="186" spans="1:37" hidden="1">
      <c r="A186" s="10">
        <v>185</v>
      </c>
      <c r="B186" s="2" t="s">
        <v>37</v>
      </c>
      <c r="C186" s="2" t="s">
        <v>2522</v>
      </c>
      <c r="D186" s="2" t="s">
        <v>39</v>
      </c>
      <c r="E186" s="2" t="s">
        <v>40</v>
      </c>
      <c r="F186" s="2" t="s">
        <v>2523</v>
      </c>
      <c r="G186" s="2" t="s">
        <v>62</v>
      </c>
      <c r="H186" s="2" t="s">
        <v>2524</v>
      </c>
      <c r="I186" s="2" t="s">
        <v>51</v>
      </c>
      <c r="J186" s="2" t="s">
        <v>2525</v>
      </c>
      <c r="K186" s="2" t="s">
        <v>51</v>
      </c>
      <c r="L186" s="2" t="s">
        <v>2526</v>
      </c>
      <c r="M186" s="2">
        <v>1567200</v>
      </c>
      <c r="N186" s="2">
        <v>2612000</v>
      </c>
      <c r="O186" s="2" t="s">
        <v>2527</v>
      </c>
      <c r="P186" s="3">
        <v>45652</v>
      </c>
      <c r="Q186" s="2" t="s">
        <v>2528</v>
      </c>
      <c r="R186" s="2" t="s">
        <v>2529</v>
      </c>
      <c r="S186" s="2" t="s">
        <v>50</v>
      </c>
      <c r="T186" s="2" t="s">
        <v>51</v>
      </c>
      <c r="U186" s="2" t="s">
        <v>285</v>
      </c>
      <c r="V186" s="2" t="s">
        <v>1194</v>
      </c>
      <c r="W186" s="3">
        <v>45288</v>
      </c>
      <c r="X186" s="2" t="s">
        <v>1195</v>
      </c>
      <c r="Y186" s="2" t="s">
        <v>821</v>
      </c>
      <c r="Z186" s="2" t="s">
        <v>2530</v>
      </c>
      <c r="AA186" s="2">
        <v>5</v>
      </c>
      <c r="AB186" s="2" t="s">
        <v>160</v>
      </c>
      <c r="AC186" s="2" t="s">
        <v>2531</v>
      </c>
      <c r="AD186" s="3">
        <v>45287</v>
      </c>
      <c r="AE186" s="2" t="s">
        <v>108</v>
      </c>
      <c r="AF186" s="2">
        <v>2350800</v>
      </c>
      <c r="AG186" s="2">
        <v>41139</v>
      </c>
      <c r="AH186" s="2" t="s">
        <v>2532</v>
      </c>
      <c r="AI186" s="2">
        <v>41139</v>
      </c>
      <c r="AJ186" s="11">
        <v>0</v>
      </c>
      <c r="AK186" s="11"/>
    </row>
    <row r="187" spans="1:37" hidden="1">
      <c r="A187" s="10">
        <v>186</v>
      </c>
      <c r="B187" s="2" t="s">
        <v>37</v>
      </c>
      <c r="C187" s="2" t="s">
        <v>2533</v>
      </c>
      <c r="D187" s="2" t="s">
        <v>39</v>
      </c>
      <c r="E187" s="2" t="s">
        <v>40</v>
      </c>
      <c r="F187" s="2" t="s">
        <v>2534</v>
      </c>
      <c r="G187" s="2" t="s">
        <v>276</v>
      </c>
      <c r="H187" s="2" t="s">
        <v>2535</v>
      </c>
      <c r="I187" s="2" t="s">
        <v>2536</v>
      </c>
      <c r="J187" s="2" t="s">
        <v>2536</v>
      </c>
      <c r="K187" s="2" t="s">
        <v>2536</v>
      </c>
      <c r="L187" s="2" t="s">
        <v>2537</v>
      </c>
      <c r="M187" s="2">
        <v>1351500</v>
      </c>
      <c r="N187" s="2">
        <v>2703000</v>
      </c>
      <c r="O187" s="2" t="s">
        <v>2538</v>
      </c>
      <c r="P187" s="3">
        <v>45670</v>
      </c>
      <c r="Q187" s="2" t="s">
        <v>2539</v>
      </c>
      <c r="R187" s="2" t="s">
        <v>2540</v>
      </c>
      <c r="S187" s="2" t="s">
        <v>50</v>
      </c>
      <c r="T187" s="2" t="s">
        <v>51</v>
      </c>
      <c r="U187" s="2" t="s">
        <v>1508</v>
      </c>
      <c r="V187" s="2" t="s">
        <v>286</v>
      </c>
      <c r="W187" s="3">
        <v>44456</v>
      </c>
      <c r="X187" s="2" t="s">
        <v>1414</v>
      </c>
      <c r="Y187" s="3">
        <v>47152</v>
      </c>
      <c r="Z187" s="2" t="s">
        <v>2541</v>
      </c>
      <c r="AA187" s="2">
        <v>7</v>
      </c>
      <c r="AB187" s="2" t="s">
        <v>90</v>
      </c>
      <c r="AC187" s="2" t="s">
        <v>2542</v>
      </c>
      <c r="AD187" s="3">
        <v>44575</v>
      </c>
      <c r="AE187" s="2" t="s">
        <v>58</v>
      </c>
      <c r="AF187" s="2">
        <v>2162400</v>
      </c>
      <c r="AG187" s="2">
        <v>43248</v>
      </c>
      <c r="AH187" s="2" t="s">
        <v>2543</v>
      </c>
      <c r="AI187" s="2">
        <v>43248</v>
      </c>
      <c r="AJ187" s="11">
        <v>0</v>
      </c>
      <c r="AK187" s="11"/>
    </row>
    <row r="188" spans="1:37" hidden="1">
      <c r="A188" s="10">
        <v>187</v>
      </c>
      <c r="B188" s="2" t="s">
        <v>37</v>
      </c>
      <c r="C188" s="2" t="s">
        <v>2544</v>
      </c>
      <c r="D188" s="2" t="s">
        <v>39</v>
      </c>
      <c r="E188" s="2" t="s">
        <v>40</v>
      </c>
      <c r="F188" s="2" t="s">
        <v>2545</v>
      </c>
      <c r="G188" s="2" t="s">
        <v>276</v>
      </c>
      <c r="H188" s="2" t="s">
        <v>2546</v>
      </c>
      <c r="I188" s="2" t="s">
        <v>2547</v>
      </c>
      <c r="J188" s="2" t="s">
        <v>2547</v>
      </c>
      <c r="K188" s="2" t="s">
        <v>2547</v>
      </c>
      <c r="L188" s="2" t="s">
        <v>2548</v>
      </c>
      <c r="M188" s="2">
        <v>1357500</v>
      </c>
      <c r="N188" s="2">
        <v>1810000</v>
      </c>
      <c r="O188" s="2" t="s">
        <v>2549</v>
      </c>
      <c r="P188" s="3">
        <v>45670</v>
      </c>
      <c r="Q188" s="2" t="s">
        <v>2550</v>
      </c>
      <c r="R188" s="2" t="s">
        <v>2551</v>
      </c>
      <c r="S188" s="2" t="s">
        <v>69</v>
      </c>
      <c r="T188" s="2" t="s">
        <v>2552</v>
      </c>
      <c r="U188" s="2" t="s">
        <v>2374</v>
      </c>
      <c r="V188" s="2" t="s">
        <v>391</v>
      </c>
      <c r="W188" s="3">
        <v>44578</v>
      </c>
      <c r="X188" s="2" t="s">
        <v>287</v>
      </c>
      <c r="Y188" s="3">
        <v>47139</v>
      </c>
      <c r="Z188" s="2" t="s">
        <v>2553</v>
      </c>
      <c r="AA188" s="2">
        <v>7</v>
      </c>
      <c r="AB188" s="2" t="s">
        <v>75</v>
      </c>
      <c r="AC188" s="2" t="s">
        <v>2554</v>
      </c>
      <c r="AD188" s="3">
        <v>44575</v>
      </c>
      <c r="AE188" s="2" t="s">
        <v>77</v>
      </c>
      <c r="AF188" s="2">
        <v>1448000</v>
      </c>
      <c r="AG188" s="2">
        <v>21720</v>
      </c>
      <c r="AH188" s="2" t="s">
        <v>2555</v>
      </c>
      <c r="AI188" s="2">
        <v>21720</v>
      </c>
      <c r="AJ188" s="11">
        <v>0</v>
      </c>
      <c r="AK188" s="11"/>
    </row>
    <row r="189" spans="1:37" hidden="1">
      <c r="A189" s="10">
        <v>188</v>
      </c>
      <c r="B189" s="2" t="s">
        <v>37</v>
      </c>
      <c r="C189" s="2" t="s">
        <v>2556</v>
      </c>
      <c r="D189" s="2" t="s">
        <v>39</v>
      </c>
      <c r="E189" s="2" t="s">
        <v>40</v>
      </c>
      <c r="F189" s="2" t="s">
        <v>2557</v>
      </c>
      <c r="G189" s="2" t="s">
        <v>276</v>
      </c>
      <c r="H189" s="2" t="s">
        <v>2558</v>
      </c>
      <c r="I189" s="2" t="s">
        <v>2559</v>
      </c>
      <c r="J189" s="2" t="s">
        <v>2559</v>
      </c>
      <c r="K189" s="2" t="s">
        <v>2560</v>
      </c>
      <c r="L189" s="2" t="s">
        <v>2561</v>
      </c>
      <c r="M189" s="2">
        <v>1650000</v>
      </c>
      <c r="N189" s="2">
        <v>2200000</v>
      </c>
      <c r="O189" s="2" t="s">
        <v>2562</v>
      </c>
      <c r="P189" s="3">
        <v>45670</v>
      </c>
      <c r="Q189" s="2" t="s">
        <v>2563</v>
      </c>
      <c r="R189" s="2" t="s">
        <v>2564</v>
      </c>
      <c r="S189" s="2" t="s">
        <v>69</v>
      </c>
      <c r="T189" s="2" t="s">
        <v>2565</v>
      </c>
      <c r="U189" s="2" t="s">
        <v>2031</v>
      </c>
      <c r="V189" s="2" t="s">
        <v>286</v>
      </c>
      <c r="W189" s="3">
        <v>44578</v>
      </c>
      <c r="X189" s="2" t="s">
        <v>287</v>
      </c>
      <c r="Y189" s="3">
        <v>46408</v>
      </c>
      <c r="Z189" s="2" t="s">
        <v>2566</v>
      </c>
      <c r="AA189" s="2">
        <v>5</v>
      </c>
      <c r="AB189" s="2" t="s">
        <v>75</v>
      </c>
      <c r="AC189" s="2" t="s">
        <v>2567</v>
      </c>
      <c r="AD189" s="3">
        <v>44575</v>
      </c>
      <c r="AE189" s="2" t="s">
        <v>77</v>
      </c>
      <c r="AF189" s="2">
        <v>1760000</v>
      </c>
      <c r="AG189" s="2">
        <v>26400</v>
      </c>
      <c r="AH189" s="2" t="s">
        <v>2568</v>
      </c>
      <c r="AI189" s="2">
        <v>26400</v>
      </c>
      <c r="AJ189" s="11">
        <v>0</v>
      </c>
      <c r="AK189" s="11"/>
    </row>
    <row r="190" spans="1:37" hidden="1">
      <c r="A190" s="10">
        <v>189</v>
      </c>
      <c r="B190" s="2" t="s">
        <v>37</v>
      </c>
      <c r="C190" s="2" t="s">
        <v>2569</v>
      </c>
      <c r="D190" s="2" t="s">
        <v>39</v>
      </c>
      <c r="E190" s="2" t="s">
        <v>40</v>
      </c>
      <c r="F190" s="2" t="s">
        <v>2570</v>
      </c>
      <c r="G190" s="2" t="s">
        <v>276</v>
      </c>
      <c r="H190" s="2" t="s">
        <v>2571</v>
      </c>
      <c r="I190" s="2" t="s">
        <v>51</v>
      </c>
      <c r="J190" s="2" t="s">
        <v>2572</v>
      </c>
      <c r="K190" s="2" t="s">
        <v>51</v>
      </c>
      <c r="L190" s="2" t="s">
        <v>2573</v>
      </c>
      <c r="M190" s="2">
        <v>2061500</v>
      </c>
      <c r="N190" s="2">
        <v>5425000</v>
      </c>
      <c r="O190" s="2" t="s">
        <v>2574</v>
      </c>
      <c r="P190" s="3">
        <v>45670</v>
      </c>
      <c r="Q190" s="2" t="s">
        <v>2575</v>
      </c>
      <c r="R190" s="2" t="s">
        <v>2576</v>
      </c>
      <c r="S190" s="2" t="s">
        <v>69</v>
      </c>
      <c r="T190" s="2" t="s">
        <v>51</v>
      </c>
      <c r="U190" s="2" t="s">
        <v>930</v>
      </c>
      <c r="V190" s="2" t="s">
        <v>286</v>
      </c>
      <c r="W190" s="3">
        <v>44575</v>
      </c>
      <c r="X190" s="2" t="s">
        <v>287</v>
      </c>
      <c r="Y190" s="3">
        <v>46408</v>
      </c>
      <c r="Z190" s="2" t="s">
        <v>2577</v>
      </c>
      <c r="AA190" s="2">
        <v>5</v>
      </c>
      <c r="AB190" s="2" t="s">
        <v>75</v>
      </c>
      <c r="AC190" s="2" t="s">
        <v>2578</v>
      </c>
      <c r="AD190" s="3">
        <v>44574</v>
      </c>
      <c r="AE190" s="2" t="s">
        <v>77</v>
      </c>
      <c r="AF190" s="2">
        <v>4340000</v>
      </c>
      <c r="AG190" s="2">
        <v>65100</v>
      </c>
      <c r="AH190" s="2" t="s">
        <v>2579</v>
      </c>
      <c r="AI190" s="2">
        <v>65100</v>
      </c>
      <c r="AJ190" s="11">
        <v>0</v>
      </c>
      <c r="AK190" s="11"/>
    </row>
    <row r="191" spans="1:37">
      <c r="A191" s="10">
        <v>190</v>
      </c>
      <c r="B191" s="2" t="s">
        <v>37</v>
      </c>
      <c r="C191" s="2" t="s">
        <v>2580</v>
      </c>
      <c r="D191" s="2" t="s">
        <v>39</v>
      </c>
      <c r="E191" s="2" t="s">
        <v>40</v>
      </c>
      <c r="F191" s="2" t="s">
        <v>2581</v>
      </c>
      <c r="G191" s="2" t="s">
        <v>1104</v>
      </c>
      <c r="H191" s="2" t="s">
        <v>2582</v>
      </c>
      <c r="I191" s="2" t="s">
        <v>2583</v>
      </c>
      <c r="J191" s="2" t="s">
        <v>2584</v>
      </c>
      <c r="K191" s="2" t="s">
        <v>2585</v>
      </c>
      <c r="L191" s="2" t="s">
        <v>2586</v>
      </c>
      <c r="M191" s="2">
        <v>1710100</v>
      </c>
      <c r="N191" s="2">
        <v>2443000</v>
      </c>
      <c r="O191" s="2" t="s">
        <v>2587</v>
      </c>
      <c r="P191" s="3">
        <v>45652</v>
      </c>
      <c r="Q191" s="2" t="s">
        <v>2588</v>
      </c>
      <c r="R191" s="2" t="s">
        <v>2589</v>
      </c>
      <c r="S191" s="2" t="s">
        <v>50</v>
      </c>
      <c r="T191" s="2" t="s">
        <v>51</v>
      </c>
      <c r="U191" s="2" t="s">
        <v>1247</v>
      </c>
      <c r="V191" s="2" t="s">
        <v>286</v>
      </c>
      <c r="W191" s="3">
        <v>44560</v>
      </c>
      <c r="X191" s="2" t="s">
        <v>88</v>
      </c>
      <c r="Y191" s="2" t="s">
        <v>392</v>
      </c>
      <c r="Z191" s="2" t="s">
        <v>2590</v>
      </c>
      <c r="AA191" s="2">
        <v>5</v>
      </c>
      <c r="AB191" s="2" t="s">
        <v>90</v>
      </c>
      <c r="AC191" s="2" t="s">
        <v>2591</v>
      </c>
      <c r="AD191" s="3">
        <v>44557</v>
      </c>
      <c r="AE191" s="2" t="s">
        <v>58</v>
      </c>
      <c r="AF191" s="2">
        <v>1954400</v>
      </c>
      <c r="AG191" s="2">
        <v>39088</v>
      </c>
      <c r="AH191" s="2" t="s">
        <v>2592</v>
      </c>
      <c r="AI191" s="2">
        <v>41531</v>
      </c>
      <c r="AJ191" s="11">
        <v>2443</v>
      </c>
      <c r="AK191" s="11" t="s">
        <v>2593</v>
      </c>
    </row>
    <row r="192" spans="1:37" hidden="1">
      <c r="A192" s="10">
        <v>191</v>
      </c>
      <c r="B192" s="2" t="s">
        <v>37</v>
      </c>
      <c r="C192" s="2" t="s">
        <v>2594</v>
      </c>
      <c r="D192" s="2" t="s">
        <v>39</v>
      </c>
      <c r="E192" s="2" t="s">
        <v>40</v>
      </c>
      <c r="F192" s="2" t="s">
        <v>2595</v>
      </c>
      <c r="G192" s="2" t="s">
        <v>62</v>
      </c>
      <c r="H192" s="2" t="s">
        <v>2596</v>
      </c>
      <c r="I192" s="2" t="s">
        <v>51</v>
      </c>
      <c r="J192" s="2" t="s">
        <v>2597</v>
      </c>
      <c r="K192" s="2" t="s">
        <v>51</v>
      </c>
      <c r="L192" s="2" t="s">
        <v>2598</v>
      </c>
      <c r="M192" s="2">
        <v>2327500</v>
      </c>
      <c r="N192" s="2">
        <v>3325000</v>
      </c>
      <c r="O192" s="2" t="s">
        <v>2599</v>
      </c>
      <c r="P192" s="3">
        <v>45670</v>
      </c>
      <c r="Q192" s="2" t="s">
        <v>2600</v>
      </c>
      <c r="R192" s="2" t="s">
        <v>2601</v>
      </c>
      <c r="S192" s="2" t="s">
        <v>69</v>
      </c>
      <c r="T192" s="2" t="s">
        <v>2602</v>
      </c>
      <c r="U192" s="2" t="s">
        <v>549</v>
      </c>
      <c r="V192" s="2" t="s">
        <v>391</v>
      </c>
      <c r="W192" s="3">
        <v>44579</v>
      </c>
      <c r="X192" s="2" t="s">
        <v>287</v>
      </c>
      <c r="Y192" s="3">
        <v>46408</v>
      </c>
      <c r="Z192" s="2" t="s">
        <v>2603</v>
      </c>
      <c r="AA192" s="2">
        <v>5</v>
      </c>
      <c r="AB192" s="2" t="s">
        <v>90</v>
      </c>
      <c r="AC192" s="2" t="s">
        <v>2604</v>
      </c>
      <c r="AD192" s="3">
        <v>44579</v>
      </c>
      <c r="AE192" s="2" t="s">
        <v>77</v>
      </c>
      <c r="AF192" s="2">
        <v>2660000</v>
      </c>
      <c r="AG192" s="2">
        <v>39900</v>
      </c>
      <c r="AH192" s="2" t="s">
        <v>2605</v>
      </c>
      <c r="AI192" s="2">
        <v>39900</v>
      </c>
      <c r="AJ192" s="11">
        <v>0</v>
      </c>
      <c r="AK192" s="11"/>
    </row>
    <row r="193" spans="1:37">
      <c r="A193" s="10">
        <v>192</v>
      </c>
      <c r="B193" s="2" t="s">
        <v>37</v>
      </c>
      <c r="C193" s="2" t="s">
        <v>2606</v>
      </c>
      <c r="D193" s="2" t="s">
        <v>39</v>
      </c>
      <c r="E193" s="2" t="s">
        <v>40</v>
      </c>
      <c r="F193" s="2" t="s">
        <v>2607</v>
      </c>
      <c r="G193" s="2" t="s">
        <v>42</v>
      </c>
      <c r="H193" s="2" t="s">
        <v>2608</v>
      </c>
      <c r="I193" s="2" t="s">
        <v>51</v>
      </c>
      <c r="J193" s="2" t="s">
        <v>2609</v>
      </c>
      <c r="K193" s="2" t="s">
        <v>51</v>
      </c>
      <c r="L193" s="2" t="s">
        <v>2610</v>
      </c>
      <c r="M193" s="2">
        <v>1425000</v>
      </c>
      <c r="N193" s="2">
        <v>1900000</v>
      </c>
      <c r="O193" s="2" t="s">
        <v>2611</v>
      </c>
      <c r="P193" s="3">
        <v>45652</v>
      </c>
      <c r="Q193" s="2" t="s">
        <v>2612</v>
      </c>
      <c r="R193" s="2" t="s">
        <v>2613</v>
      </c>
      <c r="S193" s="2" t="s">
        <v>69</v>
      </c>
      <c r="T193" s="2" t="s">
        <v>2614</v>
      </c>
      <c r="U193" s="2" t="s">
        <v>253</v>
      </c>
      <c r="V193" s="2" t="s">
        <v>521</v>
      </c>
      <c r="W193" s="3">
        <v>44559</v>
      </c>
      <c r="X193" s="2" t="s">
        <v>88</v>
      </c>
      <c r="Y193" s="2" t="s">
        <v>392</v>
      </c>
      <c r="Z193" s="2" t="s">
        <v>2615</v>
      </c>
      <c r="AA193" s="2">
        <v>5</v>
      </c>
      <c r="AB193" s="2" t="s">
        <v>75</v>
      </c>
      <c r="AC193" s="2" t="s">
        <v>2616</v>
      </c>
      <c r="AD193" s="3">
        <v>44557</v>
      </c>
      <c r="AE193" s="2" t="s">
        <v>77</v>
      </c>
      <c r="AF193" s="2">
        <v>1520000</v>
      </c>
      <c r="AG193" s="2">
        <v>22800</v>
      </c>
      <c r="AH193" s="2" t="s">
        <v>2617</v>
      </c>
      <c r="AI193" s="2">
        <v>24225</v>
      </c>
      <c r="AJ193" s="11">
        <v>1425</v>
      </c>
      <c r="AK193" s="11" t="s">
        <v>2618</v>
      </c>
    </row>
    <row r="194" spans="1:37" hidden="1">
      <c r="A194" s="10">
        <v>193</v>
      </c>
      <c r="B194" s="2" t="s">
        <v>37</v>
      </c>
      <c r="C194" s="2" t="s">
        <v>2619</v>
      </c>
      <c r="D194" s="2" t="s">
        <v>39</v>
      </c>
      <c r="E194" s="2" t="s">
        <v>40</v>
      </c>
      <c r="F194" s="2" t="s">
        <v>2620</v>
      </c>
      <c r="G194" s="2" t="s">
        <v>112</v>
      </c>
      <c r="H194" s="2" t="s">
        <v>2621</v>
      </c>
      <c r="I194" s="2">
        <v>3005013748</v>
      </c>
      <c r="J194" s="2"/>
      <c r="K194" s="2">
        <v>512110889</v>
      </c>
      <c r="L194" s="2" t="s">
        <v>2622</v>
      </c>
      <c r="M194" s="2">
        <v>2949750</v>
      </c>
      <c r="N194" s="2">
        <v>3933000</v>
      </c>
      <c r="O194" s="2" t="s">
        <v>2623</v>
      </c>
      <c r="P194" s="3">
        <v>45670</v>
      </c>
      <c r="Q194" s="2" t="s">
        <v>2624</v>
      </c>
      <c r="R194" s="2">
        <v>7046052</v>
      </c>
      <c r="S194" s="2" t="s">
        <v>50</v>
      </c>
      <c r="T194" s="2"/>
      <c r="U194" s="2" t="s">
        <v>2625</v>
      </c>
      <c r="V194" s="2">
        <v>2021</v>
      </c>
      <c r="W194" s="3">
        <v>44215</v>
      </c>
      <c r="X194" s="2" t="s">
        <v>931</v>
      </c>
      <c r="Y194" s="3">
        <v>46043</v>
      </c>
      <c r="Z194" s="2" t="s">
        <v>2626</v>
      </c>
      <c r="AA194" s="2">
        <v>5</v>
      </c>
      <c r="AB194" s="2" t="s">
        <v>106</v>
      </c>
      <c r="AC194" s="2" t="s">
        <v>2627</v>
      </c>
      <c r="AD194" s="3">
        <v>44210</v>
      </c>
      <c r="AE194" s="2" t="s">
        <v>58</v>
      </c>
      <c r="AF194" s="2">
        <v>2949750</v>
      </c>
      <c r="AG194" s="2">
        <v>58995</v>
      </c>
      <c r="AH194" s="2" t="s">
        <v>2628</v>
      </c>
      <c r="AI194" s="2">
        <v>58995</v>
      </c>
      <c r="AJ194" s="11">
        <v>0</v>
      </c>
      <c r="AK194" s="11"/>
    </row>
    <row r="195" spans="1:37" hidden="1">
      <c r="A195" s="10">
        <v>194</v>
      </c>
      <c r="B195" s="2" t="s">
        <v>37</v>
      </c>
      <c r="C195" s="2" t="s">
        <v>2629</v>
      </c>
      <c r="D195" s="2" t="s">
        <v>39</v>
      </c>
      <c r="E195" s="2" t="s">
        <v>40</v>
      </c>
      <c r="F195" s="2" t="s">
        <v>2630</v>
      </c>
      <c r="G195" s="2" t="s">
        <v>276</v>
      </c>
      <c r="H195" s="2" t="s">
        <v>2631</v>
      </c>
      <c r="I195" s="2" t="s">
        <v>51</v>
      </c>
      <c r="J195" s="2" t="s">
        <v>2632</v>
      </c>
      <c r="K195" s="2" t="s">
        <v>51</v>
      </c>
      <c r="L195" s="2" t="s">
        <v>2633</v>
      </c>
      <c r="M195" s="2">
        <v>2704000</v>
      </c>
      <c r="N195" s="2">
        <v>3380000</v>
      </c>
      <c r="O195" s="2" t="s">
        <v>2634</v>
      </c>
      <c r="P195" s="3">
        <v>45670</v>
      </c>
      <c r="Q195" s="2" t="s">
        <v>2635</v>
      </c>
      <c r="R195" s="2" t="s">
        <v>2636</v>
      </c>
      <c r="S195" s="2" t="s">
        <v>50</v>
      </c>
      <c r="T195" s="2" t="s">
        <v>51</v>
      </c>
      <c r="U195" s="2" t="s">
        <v>2637</v>
      </c>
      <c r="V195" s="2" t="s">
        <v>286</v>
      </c>
      <c r="W195" s="3">
        <v>44461</v>
      </c>
      <c r="X195" s="2" t="s">
        <v>1414</v>
      </c>
      <c r="Y195" s="3">
        <v>46056</v>
      </c>
      <c r="Z195" s="2" t="s">
        <v>2638</v>
      </c>
      <c r="AA195" s="2">
        <v>4</v>
      </c>
      <c r="AB195" s="2" t="s">
        <v>90</v>
      </c>
      <c r="AC195" s="2" t="s">
        <v>2639</v>
      </c>
      <c r="AD195" s="3">
        <v>44575</v>
      </c>
      <c r="AE195" s="2" t="s">
        <v>58</v>
      </c>
      <c r="AF195" s="2">
        <v>2704000</v>
      </c>
      <c r="AG195" s="2">
        <v>54080</v>
      </c>
      <c r="AH195" s="2" t="s">
        <v>2640</v>
      </c>
      <c r="AI195" s="2">
        <v>54080</v>
      </c>
      <c r="AJ195" s="11">
        <v>0</v>
      </c>
      <c r="AK195" s="11"/>
    </row>
    <row r="196" spans="1:37">
      <c r="A196" s="10">
        <v>195</v>
      </c>
      <c r="B196" s="2" t="s">
        <v>37</v>
      </c>
      <c r="C196" s="2" t="s">
        <v>2641</v>
      </c>
      <c r="D196" s="2" t="s">
        <v>39</v>
      </c>
      <c r="E196" s="2" t="s">
        <v>40</v>
      </c>
      <c r="F196" s="2" t="s">
        <v>2642</v>
      </c>
      <c r="G196" s="2" t="s">
        <v>62</v>
      </c>
      <c r="H196" s="2" t="s">
        <v>2643</v>
      </c>
      <c r="I196" s="2" t="s">
        <v>51</v>
      </c>
      <c r="J196" s="2" t="s">
        <v>2644</v>
      </c>
      <c r="K196" s="2" t="s">
        <v>51</v>
      </c>
      <c r="L196" s="2" t="s">
        <v>2645</v>
      </c>
      <c r="M196" s="2">
        <v>1527500</v>
      </c>
      <c r="N196" s="2">
        <v>2350000</v>
      </c>
      <c r="O196" s="2" t="s">
        <v>2646</v>
      </c>
      <c r="P196" s="3">
        <v>45652</v>
      </c>
      <c r="Q196" s="2" t="s">
        <v>2647</v>
      </c>
      <c r="R196" s="2" t="s">
        <v>2648</v>
      </c>
      <c r="S196" s="2" t="s">
        <v>69</v>
      </c>
      <c r="T196" s="2" t="s">
        <v>2649</v>
      </c>
      <c r="U196" s="2" t="s">
        <v>578</v>
      </c>
      <c r="V196" s="2" t="s">
        <v>72</v>
      </c>
      <c r="W196" s="3">
        <v>44559</v>
      </c>
      <c r="X196" s="2" t="s">
        <v>88</v>
      </c>
      <c r="Y196" s="2" t="s">
        <v>392</v>
      </c>
      <c r="Z196" s="2" t="s">
        <v>2650</v>
      </c>
      <c r="AA196" s="2">
        <v>5</v>
      </c>
      <c r="AB196" s="2" t="s">
        <v>75</v>
      </c>
      <c r="AC196" s="2" t="s">
        <v>2651</v>
      </c>
      <c r="AD196" s="3">
        <v>44558</v>
      </c>
      <c r="AE196" s="2" t="s">
        <v>77</v>
      </c>
      <c r="AF196" s="2">
        <v>1880000</v>
      </c>
      <c r="AG196" s="2">
        <v>28200</v>
      </c>
      <c r="AH196" s="2" t="s">
        <v>2652</v>
      </c>
      <c r="AI196" s="2">
        <v>29963</v>
      </c>
      <c r="AJ196" s="11">
        <v>1763</v>
      </c>
      <c r="AK196" s="11" t="s">
        <v>2653</v>
      </c>
    </row>
    <row r="197" spans="1:37">
      <c r="A197" s="10">
        <v>196</v>
      </c>
      <c r="B197" s="2" t="s">
        <v>37</v>
      </c>
      <c r="C197" s="2" t="s">
        <v>2654</v>
      </c>
      <c r="D197" s="2" t="s">
        <v>39</v>
      </c>
      <c r="E197" s="2" t="s">
        <v>40</v>
      </c>
      <c r="F197" s="2" t="s">
        <v>2655</v>
      </c>
      <c r="G197" s="2" t="s">
        <v>2093</v>
      </c>
      <c r="H197" s="2" t="s">
        <v>2656</v>
      </c>
      <c r="I197" s="2" t="s">
        <v>2657</v>
      </c>
      <c r="J197" s="2" t="s">
        <v>2657</v>
      </c>
      <c r="K197" s="2" t="s">
        <v>2657</v>
      </c>
      <c r="L197" s="2" t="s">
        <v>2658</v>
      </c>
      <c r="M197" s="2">
        <v>2340000</v>
      </c>
      <c r="N197" s="2">
        <v>3600000</v>
      </c>
      <c r="O197" s="2" t="s">
        <v>2659</v>
      </c>
      <c r="P197" s="3">
        <v>45652</v>
      </c>
      <c r="Q197" s="2" t="s">
        <v>2660</v>
      </c>
      <c r="R197" s="2" t="s">
        <v>2661</v>
      </c>
      <c r="S197" s="2" t="s">
        <v>69</v>
      </c>
      <c r="T197" s="2" t="s">
        <v>2662</v>
      </c>
      <c r="U197" s="2" t="s">
        <v>535</v>
      </c>
      <c r="V197" s="2" t="s">
        <v>72</v>
      </c>
      <c r="W197" s="3">
        <v>44560</v>
      </c>
      <c r="X197" s="2" t="s">
        <v>88</v>
      </c>
      <c r="Y197" s="2" t="s">
        <v>392</v>
      </c>
      <c r="Z197" s="2" t="s">
        <v>2663</v>
      </c>
      <c r="AA197" s="2">
        <v>5</v>
      </c>
      <c r="AB197" s="2" t="s">
        <v>75</v>
      </c>
      <c r="AC197" s="2" t="s">
        <v>2664</v>
      </c>
      <c r="AD197" s="3">
        <v>44558</v>
      </c>
      <c r="AE197" s="2" t="s">
        <v>77</v>
      </c>
      <c r="AF197" s="2">
        <v>2880000</v>
      </c>
      <c r="AG197" s="2">
        <v>43200</v>
      </c>
      <c r="AH197" s="2" t="s">
        <v>2665</v>
      </c>
      <c r="AI197" s="2">
        <v>45900</v>
      </c>
      <c r="AJ197" s="11">
        <v>2700</v>
      </c>
      <c r="AK197" s="11" t="s">
        <v>2666</v>
      </c>
    </row>
    <row r="198" spans="1:37">
      <c r="A198" s="10">
        <v>197</v>
      </c>
      <c r="B198" s="2" t="s">
        <v>37</v>
      </c>
      <c r="C198" s="2" t="s">
        <v>2667</v>
      </c>
      <c r="D198" s="2" t="s">
        <v>39</v>
      </c>
      <c r="E198" s="2" t="s">
        <v>40</v>
      </c>
      <c r="F198" s="2" t="s">
        <v>2668</v>
      </c>
      <c r="G198" s="2" t="s">
        <v>62</v>
      </c>
      <c r="H198" s="2" t="s">
        <v>2669</v>
      </c>
      <c r="I198" s="2" t="s">
        <v>2670</v>
      </c>
      <c r="J198" s="2" t="s">
        <v>2670</v>
      </c>
      <c r="K198" s="2" t="s">
        <v>328</v>
      </c>
      <c r="L198" s="2" t="s">
        <v>2671</v>
      </c>
      <c r="M198" s="2">
        <v>1834000</v>
      </c>
      <c r="N198" s="2">
        <v>2620000</v>
      </c>
      <c r="O198" s="2" t="s">
        <v>2672</v>
      </c>
      <c r="P198" s="3">
        <v>45652</v>
      </c>
      <c r="Q198" s="2" t="s">
        <v>2673</v>
      </c>
      <c r="R198" s="2" t="s">
        <v>2674</v>
      </c>
      <c r="S198" s="2" t="s">
        <v>69</v>
      </c>
      <c r="T198" s="2" t="s">
        <v>2675</v>
      </c>
      <c r="U198" s="2" t="s">
        <v>505</v>
      </c>
      <c r="V198" s="2" t="s">
        <v>336</v>
      </c>
      <c r="W198" s="3">
        <v>44559</v>
      </c>
      <c r="X198" s="2" t="s">
        <v>88</v>
      </c>
      <c r="Y198" s="2" t="s">
        <v>392</v>
      </c>
      <c r="Z198" s="2" t="s">
        <v>2676</v>
      </c>
      <c r="AA198" s="2">
        <v>5</v>
      </c>
      <c r="AB198" s="2" t="s">
        <v>75</v>
      </c>
      <c r="AC198" s="2" t="s">
        <v>2677</v>
      </c>
      <c r="AD198" s="3">
        <v>44558</v>
      </c>
      <c r="AE198" s="2" t="s">
        <v>77</v>
      </c>
      <c r="AF198" s="2">
        <v>2096000</v>
      </c>
      <c r="AG198" s="2">
        <v>31440</v>
      </c>
      <c r="AH198" s="2" t="s">
        <v>2678</v>
      </c>
      <c r="AI198" s="2">
        <v>33405</v>
      </c>
      <c r="AJ198" s="11">
        <v>1965</v>
      </c>
      <c r="AK198" s="11" t="s">
        <v>2679</v>
      </c>
    </row>
    <row r="199" spans="1:37">
      <c r="A199" s="10">
        <v>198</v>
      </c>
      <c r="B199" s="2" t="s">
        <v>37</v>
      </c>
      <c r="C199" s="2" t="s">
        <v>2680</v>
      </c>
      <c r="D199" s="2" t="s">
        <v>39</v>
      </c>
      <c r="E199" s="2" t="s">
        <v>40</v>
      </c>
      <c r="F199" s="2" t="s">
        <v>2681</v>
      </c>
      <c r="G199" s="2" t="s">
        <v>42</v>
      </c>
      <c r="H199" s="2" t="s">
        <v>2682</v>
      </c>
      <c r="I199" s="2" t="s">
        <v>2683</v>
      </c>
      <c r="J199" s="2" t="s">
        <v>2684</v>
      </c>
      <c r="K199" s="2" t="s">
        <v>2683</v>
      </c>
      <c r="L199" s="2" t="s">
        <v>2685</v>
      </c>
      <c r="M199" s="2">
        <v>1530000</v>
      </c>
      <c r="N199" s="2">
        <v>2550000</v>
      </c>
      <c r="O199" s="2" t="s">
        <v>2686</v>
      </c>
      <c r="P199" s="3">
        <v>45652</v>
      </c>
      <c r="Q199" s="2" t="s">
        <v>2687</v>
      </c>
      <c r="R199" s="2" t="s">
        <v>2688</v>
      </c>
      <c r="S199" s="2" t="s">
        <v>69</v>
      </c>
      <c r="T199" s="2" t="s">
        <v>2689</v>
      </c>
      <c r="U199" s="2" t="s">
        <v>578</v>
      </c>
      <c r="V199" s="2" t="s">
        <v>72</v>
      </c>
      <c r="W199" s="3">
        <v>44558</v>
      </c>
      <c r="X199" s="2" t="s">
        <v>88</v>
      </c>
      <c r="Y199" s="2" t="s">
        <v>392</v>
      </c>
      <c r="Z199" s="2" t="s">
        <v>2690</v>
      </c>
      <c r="AA199" s="2">
        <v>5</v>
      </c>
      <c r="AB199" s="2" t="s">
        <v>90</v>
      </c>
      <c r="AC199" s="2" t="s">
        <v>2691</v>
      </c>
      <c r="AD199" s="3">
        <v>44557</v>
      </c>
      <c r="AE199" s="2" t="s">
        <v>77</v>
      </c>
      <c r="AF199" s="2">
        <v>2040000</v>
      </c>
      <c r="AG199" s="2">
        <v>30600</v>
      </c>
      <c r="AH199" s="2" t="s">
        <v>2692</v>
      </c>
      <c r="AI199" s="2">
        <v>32513</v>
      </c>
      <c r="AJ199" s="11">
        <v>1913</v>
      </c>
      <c r="AK199" s="11" t="s">
        <v>2693</v>
      </c>
    </row>
    <row r="200" spans="1:37">
      <c r="A200" s="10">
        <v>199</v>
      </c>
      <c r="B200" s="2" t="s">
        <v>37</v>
      </c>
      <c r="C200" s="2" t="s">
        <v>2694</v>
      </c>
      <c r="D200" s="2" t="s">
        <v>39</v>
      </c>
      <c r="E200" s="2" t="s">
        <v>40</v>
      </c>
      <c r="F200" s="2" t="s">
        <v>2695</v>
      </c>
      <c r="G200" s="2" t="s">
        <v>62</v>
      </c>
      <c r="H200" s="2" t="s">
        <v>2696</v>
      </c>
      <c r="I200" s="2" t="s">
        <v>2697</v>
      </c>
      <c r="J200" s="2" t="s">
        <v>2697</v>
      </c>
      <c r="K200" s="2" t="s">
        <v>51</v>
      </c>
      <c r="L200" s="2" t="s">
        <v>2698</v>
      </c>
      <c r="M200" s="2">
        <v>1200000</v>
      </c>
      <c r="N200" s="2">
        <v>1500000</v>
      </c>
      <c r="O200" s="2" t="s">
        <v>2699</v>
      </c>
      <c r="P200" s="3">
        <v>45652</v>
      </c>
      <c r="Q200" s="2" t="s">
        <v>2700</v>
      </c>
      <c r="R200" s="2" t="s">
        <v>2701</v>
      </c>
      <c r="S200" s="2" t="s">
        <v>69</v>
      </c>
      <c r="T200" s="2" t="s">
        <v>2702</v>
      </c>
      <c r="U200" s="2" t="s">
        <v>377</v>
      </c>
      <c r="V200" s="2" t="s">
        <v>286</v>
      </c>
      <c r="W200" s="3">
        <v>44559</v>
      </c>
      <c r="X200" s="2" t="s">
        <v>88</v>
      </c>
      <c r="Y200" s="2" t="s">
        <v>392</v>
      </c>
      <c r="Z200" s="2" t="s">
        <v>2703</v>
      </c>
      <c r="AA200" s="2">
        <v>5</v>
      </c>
      <c r="AB200" s="2" t="s">
        <v>75</v>
      </c>
      <c r="AC200" s="2" t="s">
        <v>2704</v>
      </c>
      <c r="AD200" s="3">
        <v>44558</v>
      </c>
      <c r="AE200" s="2" t="s">
        <v>77</v>
      </c>
      <c r="AF200" s="2">
        <v>1200000</v>
      </c>
      <c r="AG200" s="2">
        <v>18000</v>
      </c>
      <c r="AH200" s="2" t="s">
        <v>2705</v>
      </c>
      <c r="AI200" s="2">
        <v>19125</v>
      </c>
      <c r="AJ200" s="11">
        <v>1125</v>
      </c>
      <c r="AK200" s="11" t="s">
        <v>2706</v>
      </c>
    </row>
    <row r="201" spans="1:37">
      <c r="A201" s="10">
        <v>200</v>
      </c>
      <c r="B201" s="2" t="s">
        <v>37</v>
      </c>
      <c r="C201" s="2" t="s">
        <v>2707</v>
      </c>
      <c r="D201" s="2" t="s">
        <v>39</v>
      </c>
      <c r="E201" s="2" t="s">
        <v>40</v>
      </c>
      <c r="F201" s="2" t="s">
        <v>2708</v>
      </c>
      <c r="G201" s="2" t="s">
        <v>62</v>
      </c>
      <c r="H201" s="2" t="s">
        <v>2709</v>
      </c>
      <c r="I201" s="2" t="s">
        <v>2710</v>
      </c>
      <c r="J201" s="2" t="s">
        <v>2711</v>
      </c>
      <c r="K201" s="2" t="s">
        <v>2712</v>
      </c>
      <c r="L201" s="2" t="s">
        <v>2713</v>
      </c>
      <c r="M201" s="2">
        <v>1290300</v>
      </c>
      <c r="N201" s="2">
        <v>1518000</v>
      </c>
      <c r="O201" s="2" t="s">
        <v>2714</v>
      </c>
      <c r="P201" s="3">
        <v>45652</v>
      </c>
      <c r="Q201" s="2" t="s">
        <v>2715</v>
      </c>
      <c r="R201" s="2" t="s">
        <v>2716</v>
      </c>
      <c r="S201" s="2" t="s">
        <v>50</v>
      </c>
      <c r="T201" s="2" t="s">
        <v>51</v>
      </c>
      <c r="U201" s="2" t="s">
        <v>2717</v>
      </c>
      <c r="V201" s="2" t="s">
        <v>300</v>
      </c>
      <c r="W201" s="3">
        <v>43829</v>
      </c>
      <c r="X201" s="2" t="s">
        <v>726</v>
      </c>
      <c r="Y201" s="2" t="s">
        <v>392</v>
      </c>
      <c r="Z201" s="2" t="s">
        <v>2718</v>
      </c>
      <c r="AA201" s="2">
        <v>7</v>
      </c>
      <c r="AB201" s="2" t="s">
        <v>90</v>
      </c>
      <c r="AC201" s="2" t="s">
        <v>2719</v>
      </c>
      <c r="AD201" s="3">
        <v>43827</v>
      </c>
      <c r="AE201" s="2" t="s">
        <v>729</v>
      </c>
      <c r="AF201" s="2">
        <v>1062600</v>
      </c>
      <c r="AG201" s="2">
        <v>26565</v>
      </c>
      <c r="AH201" s="2" t="s">
        <v>2720</v>
      </c>
      <c r="AI201" s="2">
        <v>28463</v>
      </c>
      <c r="AJ201" s="11">
        <v>1898</v>
      </c>
      <c r="AK201" s="11" t="s">
        <v>2721</v>
      </c>
    </row>
    <row r="202" spans="1:37" hidden="1">
      <c r="A202" s="10">
        <v>201</v>
      </c>
      <c r="B202" s="2" t="s">
        <v>37</v>
      </c>
      <c r="C202" s="2" t="s">
        <v>2722</v>
      </c>
      <c r="D202" s="2" t="s">
        <v>39</v>
      </c>
      <c r="E202" s="2" t="s">
        <v>40</v>
      </c>
      <c r="F202" s="2" t="s">
        <v>2723</v>
      </c>
      <c r="G202" s="2" t="s">
        <v>276</v>
      </c>
      <c r="H202" s="2" t="s">
        <v>2724</v>
      </c>
      <c r="I202" s="2">
        <v>3008498982</v>
      </c>
      <c r="J202" s="2">
        <v>3008498982</v>
      </c>
      <c r="K202" s="2">
        <v>3008498982</v>
      </c>
      <c r="L202" s="2" t="s">
        <v>2725</v>
      </c>
      <c r="M202" s="2">
        <v>1306400</v>
      </c>
      <c r="N202" s="2">
        <v>1633000</v>
      </c>
      <c r="O202" s="2" t="s">
        <v>2726</v>
      </c>
      <c r="P202" s="3">
        <v>45671</v>
      </c>
      <c r="Q202" s="2">
        <v>147728</v>
      </c>
      <c r="R202" s="4" t="s">
        <v>2727</v>
      </c>
      <c r="S202" s="2" t="s">
        <v>50</v>
      </c>
      <c r="T202" s="2"/>
      <c r="U202" s="2" t="s">
        <v>285</v>
      </c>
      <c r="V202" s="2">
        <v>2021</v>
      </c>
      <c r="W202" s="3">
        <v>44215</v>
      </c>
      <c r="X202" s="2" t="s">
        <v>931</v>
      </c>
      <c r="Y202" s="3">
        <v>46043</v>
      </c>
      <c r="Z202" s="2" t="s">
        <v>2728</v>
      </c>
      <c r="AA202" s="2">
        <v>5</v>
      </c>
      <c r="AB202" s="2" t="s">
        <v>90</v>
      </c>
      <c r="AC202" s="2" t="s">
        <v>2729</v>
      </c>
      <c r="AD202" s="3">
        <v>44211</v>
      </c>
      <c r="AE202" s="2" t="s">
        <v>58</v>
      </c>
      <c r="AF202" s="2">
        <v>1224750</v>
      </c>
      <c r="AG202" s="2">
        <v>24495</v>
      </c>
      <c r="AH202" s="2" t="s">
        <v>2730</v>
      </c>
      <c r="AI202" s="2">
        <v>24495</v>
      </c>
      <c r="AJ202" s="11">
        <v>0</v>
      </c>
      <c r="AK202" s="11"/>
    </row>
    <row r="203" spans="1:37">
      <c r="A203" s="10">
        <v>202</v>
      </c>
      <c r="B203" s="2" t="s">
        <v>37</v>
      </c>
      <c r="C203" s="2" t="s">
        <v>2731</v>
      </c>
      <c r="D203" s="2" t="s">
        <v>39</v>
      </c>
      <c r="E203" s="2" t="s">
        <v>40</v>
      </c>
      <c r="F203" s="2" t="s">
        <v>2732</v>
      </c>
      <c r="G203" s="2" t="s">
        <v>1104</v>
      </c>
      <c r="H203" s="2" t="s">
        <v>2733</v>
      </c>
      <c r="I203" s="2" t="s">
        <v>2734</v>
      </c>
      <c r="J203" s="2" t="s">
        <v>2734</v>
      </c>
      <c r="K203" s="2" t="s">
        <v>2734</v>
      </c>
      <c r="L203" s="2" t="s">
        <v>2735</v>
      </c>
      <c r="M203" s="2">
        <v>975000</v>
      </c>
      <c r="N203" s="2">
        <v>1500000</v>
      </c>
      <c r="O203" s="2" t="s">
        <v>2736</v>
      </c>
      <c r="P203" s="3">
        <v>45652</v>
      </c>
      <c r="Q203" s="2" t="s">
        <v>2737</v>
      </c>
      <c r="R203" s="2" t="s">
        <v>2738</v>
      </c>
      <c r="S203" s="2" t="s">
        <v>69</v>
      </c>
      <c r="T203" s="2" t="s">
        <v>2739</v>
      </c>
      <c r="U203" s="2" t="s">
        <v>120</v>
      </c>
      <c r="V203" s="2" t="s">
        <v>521</v>
      </c>
      <c r="W203" s="3">
        <v>44561</v>
      </c>
      <c r="X203" s="2" t="s">
        <v>88</v>
      </c>
      <c r="Y203" s="2" t="s">
        <v>238</v>
      </c>
      <c r="Z203" s="2" t="s">
        <v>2740</v>
      </c>
      <c r="AA203" s="2">
        <v>6</v>
      </c>
      <c r="AB203" s="2" t="s">
        <v>90</v>
      </c>
      <c r="AC203" s="2" t="s">
        <v>51</v>
      </c>
      <c r="AD203" s="3">
        <v>44558</v>
      </c>
      <c r="AE203" s="2" t="s">
        <v>77</v>
      </c>
      <c r="AF203" s="2">
        <v>1200000</v>
      </c>
      <c r="AG203" s="2">
        <v>18000</v>
      </c>
      <c r="AH203" s="2" t="s">
        <v>2741</v>
      </c>
      <c r="AI203" s="2">
        <v>19125</v>
      </c>
      <c r="AJ203" s="11">
        <v>1125</v>
      </c>
      <c r="AK203" s="11" t="s">
        <v>2742</v>
      </c>
    </row>
    <row r="204" spans="1:37">
      <c r="A204" s="10">
        <v>203</v>
      </c>
      <c r="B204" s="2" t="s">
        <v>37</v>
      </c>
      <c r="C204" s="2" t="s">
        <v>2743</v>
      </c>
      <c r="D204" s="2" t="s">
        <v>39</v>
      </c>
      <c r="E204" s="2" t="s">
        <v>40</v>
      </c>
      <c r="F204" s="2" t="s">
        <v>2744</v>
      </c>
      <c r="G204" s="2" t="s">
        <v>276</v>
      </c>
      <c r="H204" s="2" t="s">
        <v>2745</v>
      </c>
      <c r="I204" s="2" t="s">
        <v>2746</v>
      </c>
      <c r="J204" s="2" t="s">
        <v>2746</v>
      </c>
      <c r="K204" s="2" t="s">
        <v>2746</v>
      </c>
      <c r="L204" s="2" t="s">
        <v>2747</v>
      </c>
      <c r="M204" s="2">
        <v>934500</v>
      </c>
      <c r="N204" s="2">
        <v>1335000</v>
      </c>
      <c r="O204" s="2" t="s">
        <v>2748</v>
      </c>
      <c r="P204" s="3">
        <v>45652</v>
      </c>
      <c r="Q204" s="2" t="s">
        <v>2749</v>
      </c>
      <c r="R204" s="2" t="s">
        <v>2750</v>
      </c>
      <c r="S204" s="2" t="s">
        <v>50</v>
      </c>
      <c r="T204" s="2" t="s">
        <v>51</v>
      </c>
      <c r="U204" s="2" t="s">
        <v>285</v>
      </c>
      <c r="V204" s="2" t="s">
        <v>286</v>
      </c>
      <c r="W204" s="3">
        <v>44440</v>
      </c>
      <c r="X204" s="2" t="s">
        <v>73</v>
      </c>
      <c r="Y204" s="2" t="s">
        <v>318</v>
      </c>
      <c r="Z204" s="2" t="s">
        <v>2751</v>
      </c>
      <c r="AA204" s="2">
        <v>5</v>
      </c>
      <c r="AB204" s="2" t="s">
        <v>90</v>
      </c>
      <c r="AC204" s="2" t="s">
        <v>2752</v>
      </c>
      <c r="AD204" s="3">
        <v>44558</v>
      </c>
      <c r="AE204" s="2" t="s">
        <v>58</v>
      </c>
      <c r="AF204" s="2">
        <v>1068000</v>
      </c>
      <c r="AG204" s="2">
        <v>21360</v>
      </c>
      <c r="AH204" s="2" t="s">
        <v>2753</v>
      </c>
      <c r="AI204" s="2">
        <v>22695</v>
      </c>
      <c r="AJ204" s="11">
        <v>1335</v>
      </c>
      <c r="AK204" s="11" t="s">
        <v>2754</v>
      </c>
    </row>
    <row r="205" spans="1:37" hidden="1">
      <c r="A205" s="10">
        <v>204</v>
      </c>
      <c r="B205" s="2" t="s">
        <v>37</v>
      </c>
      <c r="C205" s="2" t="s">
        <v>2755</v>
      </c>
      <c r="D205" s="2" t="s">
        <v>39</v>
      </c>
      <c r="E205" s="2" t="s">
        <v>40</v>
      </c>
      <c r="F205" s="2" t="s">
        <v>2756</v>
      </c>
      <c r="G205" s="2" t="s">
        <v>112</v>
      </c>
      <c r="H205" s="2" t="s">
        <v>2757</v>
      </c>
      <c r="I205" s="2">
        <v>3005959159</v>
      </c>
      <c r="J205" s="2"/>
      <c r="K205" s="2">
        <v>5190855017</v>
      </c>
      <c r="L205" s="2" t="s">
        <v>2758</v>
      </c>
      <c r="M205" s="2">
        <v>1440000</v>
      </c>
      <c r="N205" s="2">
        <v>1800000</v>
      </c>
      <c r="O205" s="2" t="s">
        <v>2759</v>
      </c>
      <c r="P205" s="3">
        <v>45671</v>
      </c>
      <c r="Q205" s="2">
        <v>126684</v>
      </c>
      <c r="R205" s="4" t="s">
        <v>2760</v>
      </c>
      <c r="S205" s="2" t="s">
        <v>69</v>
      </c>
      <c r="T205" s="2" t="s">
        <v>2761</v>
      </c>
      <c r="U205" s="2" t="s">
        <v>350</v>
      </c>
      <c r="V205" s="2">
        <v>2018</v>
      </c>
      <c r="W205" s="3">
        <v>44214</v>
      </c>
      <c r="X205" s="2" t="s">
        <v>931</v>
      </c>
      <c r="Y205" s="3">
        <v>46773</v>
      </c>
      <c r="Z205" s="2" t="s">
        <v>2762</v>
      </c>
      <c r="AA205" s="2">
        <v>7</v>
      </c>
      <c r="AB205" s="2" t="s">
        <v>106</v>
      </c>
      <c r="AC205" s="2" t="s">
        <v>2763</v>
      </c>
      <c r="AD205" s="3">
        <v>44211</v>
      </c>
      <c r="AE205" s="2" t="s">
        <v>58</v>
      </c>
      <c r="AF205" s="2">
        <v>1350000</v>
      </c>
      <c r="AG205" s="2">
        <v>27000</v>
      </c>
      <c r="AH205" s="2" t="s">
        <v>2764</v>
      </c>
      <c r="AI205" s="2">
        <v>27000</v>
      </c>
      <c r="AJ205" s="11">
        <v>0</v>
      </c>
      <c r="AK205" s="11"/>
    </row>
    <row r="206" spans="1:37">
      <c r="A206" s="10">
        <v>205</v>
      </c>
      <c r="B206" s="2" t="s">
        <v>37</v>
      </c>
      <c r="C206" s="2" t="s">
        <v>2765</v>
      </c>
      <c r="D206" s="2" t="s">
        <v>39</v>
      </c>
      <c r="E206" s="2" t="s">
        <v>40</v>
      </c>
      <c r="F206" s="2" t="s">
        <v>2766</v>
      </c>
      <c r="G206" s="2" t="s">
        <v>42</v>
      </c>
      <c r="H206" s="2" t="s">
        <v>2767</v>
      </c>
      <c r="I206" s="2" t="s">
        <v>2768</v>
      </c>
      <c r="J206" s="2" t="s">
        <v>2769</v>
      </c>
      <c r="K206" s="2" t="s">
        <v>2768</v>
      </c>
      <c r="L206" s="2" t="s">
        <v>2770</v>
      </c>
      <c r="M206" s="2">
        <v>805000</v>
      </c>
      <c r="N206" s="2">
        <v>1150000</v>
      </c>
      <c r="O206" s="2" t="s">
        <v>2771</v>
      </c>
      <c r="P206" s="3">
        <v>45652</v>
      </c>
      <c r="Q206" s="2" t="s">
        <v>2772</v>
      </c>
      <c r="R206" s="2" t="s">
        <v>2773</v>
      </c>
      <c r="S206" s="2" t="s">
        <v>69</v>
      </c>
      <c r="T206" s="2" t="s">
        <v>2774</v>
      </c>
      <c r="U206" s="2" t="s">
        <v>820</v>
      </c>
      <c r="V206" s="2" t="s">
        <v>365</v>
      </c>
      <c r="W206" s="3">
        <v>44558</v>
      </c>
      <c r="X206" s="2" t="s">
        <v>88</v>
      </c>
      <c r="Y206" s="2" t="s">
        <v>392</v>
      </c>
      <c r="Z206" s="2" t="s">
        <v>2775</v>
      </c>
      <c r="AA206" s="2">
        <v>5</v>
      </c>
      <c r="AB206" s="2" t="s">
        <v>75</v>
      </c>
      <c r="AC206" s="2" t="s">
        <v>2776</v>
      </c>
      <c r="AD206" s="3">
        <v>44557</v>
      </c>
      <c r="AE206" s="2" t="s">
        <v>77</v>
      </c>
      <c r="AF206" s="2">
        <v>920000</v>
      </c>
      <c r="AG206" s="2">
        <v>13800</v>
      </c>
      <c r="AH206" s="2" t="s">
        <v>2777</v>
      </c>
      <c r="AI206" s="2">
        <v>14663</v>
      </c>
      <c r="AJ206" s="11">
        <v>863</v>
      </c>
      <c r="AK206" s="11" t="s">
        <v>2778</v>
      </c>
    </row>
    <row r="207" spans="1:37">
      <c r="A207" s="10">
        <v>206</v>
      </c>
      <c r="B207" s="2" t="s">
        <v>37</v>
      </c>
      <c r="C207" s="2" t="s">
        <v>2779</v>
      </c>
      <c r="D207" s="2" t="s">
        <v>39</v>
      </c>
      <c r="E207" s="2" t="s">
        <v>40</v>
      </c>
      <c r="F207" s="2" t="s">
        <v>2106</v>
      </c>
      <c r="G207" s="2" t="s">
        <v>276</v>
      </c>
      <c r="H207" s="2" t="s">
        <v>2780</v>
      </c>
      <c r="I207" s="2" t="s">
        <v>2781</v>
      </c>
      <c r="J207" s="2" t="s">
        <v>2781</v>
      </c>
      <c r="K207" s="2" t="s">
        <v>2781</v>
      </c>
      <c r="L207" s="2" t="s">
        <v>2782</v>
      </c>
      <c r="M207" s="2">
        <v>1032500</v>
      </c>
      <c r="N207" s="2">
        <v>1475000</v>
      </c>
      <c r="O207" s="2" t="s">
        <v>2783</v>
      </c>
      <c r="P207" s="3">
        <v>45651</v>
      </c>
      <c r="Q207" s="2" t="s">
        <v>2784</v>
      </c>
      <c r="R207" s="2" t="s">
        <v>2785</v>
      </c>
      <c r="S207" s="2" t="s">
        <v>50</v>
      </c>
      <c r="T207" s="2" t="s">
        <v>51</v>
      </c>
      <c r="U207" s="2" t="s">
        <v>982</v>
      </c>
      <c r="V207" s="2" t="s">
        <v>53</v>
      </c>
      <c r="W207" s="3">
        <v>44727</v>
      </c>
      <c r="X207" s="2" t="s">
        <v>237</v>
      </c>
      <c r="Y207" s="2" t="s">
        <v>238</v>
      </c>
      <c r="Z207" s="2" t="s">
        <v>2786</v>
      </c>
      <c r="AA207" s="2">
        <v>5</v>
      </c>
      <c r="AB207" s="2" t="s">
        <v>160</v>
      </c>
      <c r="AC207" s="2" t="s">
        <v>2787</v>
      </c>
      <c r="AD207" s="3">
        <v>44921</v>
      </c>
      <c r="AE207" s="2" t="s">
        <v>58</v>
      </c>
      <c r="AF207" s="2">
        <v>1253750</v>
      </c>
      <c r="AG207" s="2">
        <v>25075</v>
      </c>
      <c r="AH207" s="2" t="s">
        <v>2788</v>
      </c>
      <c r="AI207" s="2">
        <v>26550</v>
      </c>
      <c r="AJ207" s="11">
        <v>1475</v>
      </c>
      <c r="AK207" s="11" t="s">
        <v>2789</v>
      </c>
    </row>
    <row r="208" spans="1:37">
      <c r="A208" s="10">
        <v>207</v>
      </c>
      <c r="B208" s="2" t="s">
        <v>37</v>
      </c>
      <c r="C208" s="2" t="s">
        <v>2790</v>
      </c>
      <c r="D208" s="2" t="s">
        <v>39</v>
      </c>
      <c r="E208" s="2" t="s">
        <v>40</v>
      </c>
      <c r="F208" s="2" t="s">
        <v>2791</v>
      </c>
      <c r="G208" s="2" t="s">
        <v>276</v>
      </c>
      <c r="H208" s="2" t="s">
        <v>2792</v>
      </c>
      <c r="I208" s="2" t="s">
        <v>2793</v>
      </c>
      <c r="J208" s="2" t="s">
        <v>2793</v>
      </c>
      <c r="K208" s="2" t="s">
        <v>2793</v>
      </c>
      <c r="L208" s="2" t="s">
        <v>2794</v>
      </c>
      <c r="M208" s="2">
        <v>3801000</v>
      </c>
      <c r="N208" s="2">
        <v>5430000</v>
      </c>
      <c r="O208" s="2" t="s">
        <v>2795</v>
      </c>
      <c r="P208" s="3">
        <v>45649</v>
      </c>
      <c r="Q208" s="2" t="s">
        <v>2796</v>
      </c>
      <c r="R208" s="2" t="s">
        <v>2797</v>
      </c>
      <c r="S208" s="2" t="s">
        <v>50</v>
      </c>
      <c r="T208" s="2" t="s">
        <v>51</v>
      </c>
      <c r="U208" s="2" t="s">
        <v>930</v>
      </c>
      <c r="V208" s="2" t="s">
        <v>521</v>
      </c>
      <c r="W208" s="3">
        <v>44067</v>
      </c>
      <c r="X208" s="2" t="s">
        <v>337</v>
      </c>
      <c r="Y208" s="2" t="s">
        <v>338</v>
      </c>
      <c r="Z208" s="2" t="s">
        <v>2798</v>
      </c>
      <c r="AA208" s="2">
        <v>5</v>
      </c>
      <c r="AB208" s="2" t="s">
        <v>51</v>
      </c>
      <c r="AC208" s="2" t="s">
        <v>51</v>
      </c>
      <c r="AD208" s="2"/>
      <c r="AE208" s="2" t="s">
        <v>77</v>
      </c>
      <c r="AF208" s="2">
        <v>4072500</v>
      </c>
      <c r="AG208" s="2">
        <v>61088</v>
      </c>
      <c r="AH208" s="2" t="s">
        <v>2799</v>
      </c>
      <c r="AI208" s="2">
        <v>65160</v>
      </c>
      <c r="AJ208" s="11">
        <v>4072</v>
      </c>
      <c r="AK208" s="11" t="s">
        <v>2800</v>
      </c>
    </row>
    <row r="209" spans="1:37" hidden="1">
      <c r="A209" s="10">
        <v>208</v>
      </c>
      <c r="B209" s="2" t="s">
        <v>37</v>
      </c>
      <c r="C209" s="2" t="s">
        <v>2801</v>
      </c>
      <c r="D209" s="2" t="s">
        <v>39</v>
      </c>
      <c r="E209" s="2" t="s">
        <v>40</v>
      </c>
      <c r="F209" s="2" t="s">
        <v>2802</v>
      </c>
      <c r="G209" s="2" t="s">
        <v>62</v>
      </c>
      <c r="H209" s="2" t="s">
        <v>2803</v>
      </c>
      <c r="I209" s="2"/>
      <c r="J209" s="2">
        <v>3002939263</v>
      </c>
      <c r="K209" s="2"/>
      <c r="L209" s="2" t="s">
        <v>2804</v>
      </c>
      <c r="M209" s="2">
        <v>2152280</v>
      </c>
      <c r="N209" s="2">
        <v>4139000</v>
      </c>
      <c r="O209" s="2" t="s">
        <v>2805</v>
      </c>
      <c r="P209" s="3">
        <v>45671</v>
      </c>
      <c r="Q209" s="2">
        <v>6916314</v>
      </c>
      <c r="R209" s="2" t="s">
        <v>2806</v>
      </c>
      <c r="S209" s="2" t="s">
        <v>50</v>
      </c>
      <c r="T209" s="2"/>
      <c r="U209" s="2" t="s">
        <v>535</v>
      </c>
      <c r="V209" s="2">
        <v>2021</v>
      </c>
      <c r="W209" s="3">
        <v>44179</v>
      </c>
      <c r="X209" s="2" t="s">
        <v>1825</v>
      </c>
      <c r="Y209" s="3">
        <v>46056</v>
      </c>
      <c r="Z209" s="2" t="s">
        <v>2807</v>
      </c>
      <c r="AA209" s="2">
        <v>5</v>
      </c>
      <c r="AB209" s="2" t="s">
        <v>106</v>
      </c>
      <c r="AC209" s="2" t="s">
        <v>2808</v>
      </c>
      <c r="AD209" s="3">
        <v>44209</v>
      </c>
      <c r="AE209" s="2" t="s">
        <v>58</v>
      </c>
      <c r="AF209" s="2">
        <v>3104250</v>
      </c>
      <c r="AG209" s="2">
        <v>62085</v>
      </c>
      <c r="AH209" s="2" t="s">
        <v>2809</v>
      </c>
      <c r="AI209" s="2">
        <v>62085</v>
      </c>
      <c r="AJ209" s="11">
        <v>0</v>
      </c>
      <c r="AK209" s="11"/>
    </row>
    <row r="210" spans="1:37" hidden="1">
      <c r="A210" s="10">
        <v>209</v>
      </c>
      <c r="B210" s="2" t="s">
        <v>37</v>
      </c>
      <c r="C210" s="2" t="s">
        <v>2810</v>
      </c>
      <c r="D210" s="2" t="s">
        <v>39</v>
      </c>
      <c r="E210" s="2" t="s">
        <v>40</v>
      </c>
      <c r="F210" s="2" t="s">
        <v>2811</v>
      </c>
      <c r="G210" s="2" t="s">
        <v>62</v>
      </c>
      <c r="H210" s="2" t="s">
        <v>2812</v>
      </c>
      <c r="I210" s="2" t="s">
        <v>51</v>
      </c>
      <c r="J210" s="2" t="s">
        <v>2813</v>
      </c>
      <c r="K210" s="2" t="s">
        <v>51</v>
      </c>
      <c r="L210" s="2" t="s">
        <v>2814</v>
      </c>
      <c r="M210" s="2">
        <v>1890000</v>
      </c>
      <c r="N210" s="2">
        <v>2700000</v>
      </c>
      <c r="O210" s="2" t="s">
        <v>2815</v>
      </c>
      <c r="P210" s="3">
        <v>45671</v>
      </c>
      <c r="Q210" s="2" t="s">
        <v>2816</v>
      </c>
      <c r="R210" s="2" t="s">
        <v>2817</v>
      </c>
      <c r="S210" s="2" t="s">
        <v>69</v>
      </c>
      <c r="T210" s="2" t="s">
        <v>2818</v>
      </c>
      <c r="U210" s="2" t="s">
        <v>2128</v>
      </c>
      <c r="V210" s="2" t="s">
        <v>391</v>
      </c>
      <c r="W210" s="3">
        <v>44579</v>
      </c>
      <c r="X210" s="2" t="s">
        <v>287</v>
      </c>
      <c r="Y210" s="3">
        <v>46408</v>
      </c>
      <c r="Z210" s="2" t="s">
        <v>2819</v>
      </c>
      <c r="AA210" s="2">
        <v>5</v>
      </c>
      <c r="AB210" s="2" t="s">
        <v>90</v>
      </c>
      <c r="AC210" s="2" t="s">
        <v>2820</v>
      </c>
      <c r="AD210" s="3">
        <v>44579</v>
      </c>
      <c r="AE210" s="2" t="s">
        <v>77</v>
      </c>
      <c r="AF210" s="2">
        <v>2160000</v>
      </c>
      <c r="AG210" s="2">
        <v>32400</v>
      </c>
      <c r="AH210" s="2" t="s">
        <v>2821</v>
      </c>
      <c r="AI210" s="2">
        <v>32400</v>
      </c>
      <c r="AJ210" s="11">
        <v>0</v>
      </c>
      <c r="AK210" s="11"/>
    </row>
    <row r="211" spans="1:37">
      <c r="A211" s="10">
        <v>210</v>
      </c>
      <c r="B211" s="2" t="s">
        <v>37</v>
      </c>
      <c r="C211" s="2" t="s">
        <v>2822</v>
      </c>
      <c r="D211" s="2" t="s">
        <v>39</v>
      </c>
      <c r="E211" s="2" t="s">
        <v>40</v>
      </c>
      <c r="F211" s="2" t="s">
        <v>2823</v>
      </c>
      <c r="G211" s="2" t="s">
        <v>62</v>
      </c>
      <c r="H211" s="2" t="s">
        <v>2824</v>
      </c>
      <c r="I211" s="2" t="s">
        <v>51</v>
      </c>
      <c r="J211" s="2" t="s">
        <v>2825</v>
      </c>
      <c r="K211" s="2" t="s">
        <v>51</v>
      </c>
      <c r="L211" s="2" t="s">
        <v>2826</v>
      </c>
      <c r="M211" s="2">
        <v>2600000</v>
      </c>
      <c r="N211" s="2">
        <v>4000000</v>
      </c>
      <c r="O211" s="2" t="s">
        <v>2827</v>
      </c>
      <c r="P211" s="3">
        <v>45649</v>
      </c>
      <c r="Q211" s="2" t="s">
        <v>2828</v>
      </c>
      <c r="R211" s="2" t="s">
        <v>2829</v>
      </c>
      <c r="S211" s="2" t="s">
        <v>69</v>
      </c>
      <c r="T211" s="2" t="s">
        <v>2830</v>
      </c>
      <c r="U211" s="2" t="s">
        <v>1441</v>
      </c>
      <c r="V211" s="2" t="s">
        <v>286</v>
      </c>
      <c r="W211" s="3">
        <v>44559</v>
      </c>
      <c r="X211" s="2" t="s">
        <v>88</v>
      </c>
      <c r="Y211" s="2" t="s">
        <v>392</v>
      </c>
      <c r="Z211" s="2" t="s">
        <v>2831</v>
      </c>
      <c r="AA211" s="2">
        <v>5</v>
      </c>
      <c r="AB211" s="2" t="s">
        <v>75</v>
      </c>
      <c r="AC211" s="2" t="s">
        <v>2832</v>
      </c>
      <c r="AD211" s="3">
        <v>44558</v>
      </c>
      <c r="AE211" s="2" t="s">
        <v>77</v>
      </c>
      <c r="AF211" s="2">
        <v>3200000</v>
      </c>
      <c r="AG211" s="2">
        <v>48000</v>
      </c>
      <c r="AH211" s="2" t="s">
        <v>2833</v>
      </c>
      <c r="AI211" s="2">
        <v>51000</v>
      </c>
      <c r="AJ211" s="11">
        <v>3000</v>
      </c>
      <c r="AK211" s="11" t="s">
        <v>2834</v>
      </c>
    </row>
    <row r="212" spans="1:37">
      <c r="A212" s="10">
        <v>211</v>
      </c>
      <c r="B212" s="2" t="s">
        <v>37</v>
      </c>
      <c r="C212" s="2" t="s">
        <v>2835</v>
      </c>
      <c r="D212" s="2" t="s">
        <v>39</v>
      </c>
      <c r="E212" s="2" t="s">
        <v>40</v>
      </c>
      <c r="F212" s="2" t="s">
        <v>2836</v>
      </c>
      <c r="G212" s="2" t="s">
        <v>276</v>
      </c>
      <c r="H212" s="2" t="s">
        <v>2837</v>
      </c>
      <c r="I212" s="2" t="s">
        <v>2838</v>
      </c>
      <c r="J212" s="2" t="s">
        <v>2838</v>
      </c>
      <c r="K212" s="2" t="s">
        <v>2838</v>
      </c>
      <c r="L212" s="2" t="s">
        <v>2839</v>
      </c>
      <c r="M212" s="2">
        <v>2520000</v>
      </c>
      <c r="N212" s="2">
        <v>3600000</v>
      </c>
      <c r="O212" s="2" t="s">
        <v>2840</v>
      </c>
      <c r="P212" s="3">
        <v>45649</v>
      </c>
      <c r="Q212" s="2" t="s">
        <v>2841</v>
      </c>
      <c r="R212" s="2" t="s">
        <v>2842</v>
      </c>
      <c r="S212" s="2" t="s">
        <v>69</v>
      </c>
      <c r="T212" s="2" t="s">
        <v>2843</v>
      </c>
      <c r="U212" s="2" t="s">
        <v>2844</v>
      </c>
      <c r="V212" s="2" t="s">
        <v>72</v>
      </c>
      <c r="W212" s="3">
        <v>44558</v>
      </c>
      <c r="X212" s="2" t="s">
        <v>88</v>
      </c>
      <c r="Y212" s="2" t="s">
        <v>392</v>
      </c>
      <c r="Z212" s="2" t="s">
        <v>2845</v>
      </c>
      <c r="AA212" s="2">
        <v>5</v>
      </c>
      <c r="AB212" s="2" t="s">
        <v>90</v>
      </c>
      <c r="AC212" s="2" t="s">
        <v>2846</v>
      </c>
      <c r="AD212" s="3">
        <v>44558</v>
      </c>
      <c r="AE212" s="2" t="s">
        <v>77</v>
      </c>
      <c r="AF212" s="2">
        <v>2880000</v>
      </c>
      <c r="AG212" s="2">
        <v>43200</v>
      </c>
      <c r="AH212" s="2" t="s">
        <v>2847</v>
      </c>
      <c r="AI212" s="2">
        <v>45900</v>
      </c>
      <c r="AJ212" s="11">
        <v>2700</v>
      </c>
      <c r="AK212" s="11" t="s">
        <v>2848</v>
      </c>
    </row>
    <row r="213" spans="1:37">
      <c r="A213" s="10">
        <v>212</v>
      </c>
      <c r="B213" s="2" t="s">
        <v>37</v>
      </c>
      <c r="C213" s="2" t="s">
        <v>2849</v>
      </c>
      <c r="D213" s="2" t="s">
        <v>39</v>
      </c>
      <c r="E213" s="2" t="s">
        <v>40</v>
      </c>
      <c r="F213" s="2" t="s">
        <v>2850</v>
      </c>
      <c r="G213" s="2" t="s">
        <v>42</v>
      </c>
      <c r="H213" s="2" t="s">
        <v>2851</v>
      </c>
      <c r="I213" s="2" t="s">
        <v>51</v>
      </c>
      <c r="J213" s="2" t="s">
        <v>2852</v>
      </c>
      <c r="K213" s="2" t="s">
        <v>51</v>
      </c>
      <c r="L213" s="2" t="s">
        <v>2853</v>
      </c>
      <c r="M213" s="2">
        <v>2047500</v>
      </c>
      <c r="N213" s="2">
        <v>3150000</v>
      </c>
      <c r="O213" s="2" t="s">
        <v>2854</v>
      </c>
      <c r="P213" s="3">
        <v>45649</v>
      </c>
      <c r="Q213" s="2" t="s">
        <v>2855</v>
      </c>
      <c r="R213" s="2" t="s">
        <v>2856</v>
      </c>
      <c r="S213" s="2" t="s">
        <v>69</v>
      </c>
      <c r="T213" s="2" t="s">
        <v>2857</v>
      </c>
      <c r="U213" s="2" t="s">
        <v>683</v>
      </c>
      <c r="V213" s="2" t="s">
        <v>336</v>
      </c>
      <c r="W213" s="3">
        <v>44558</v>
      </c>
      <c r="X213" s="2" t="s">
        <v>88</v>
      </c>
      <c r="Y213" s="2" t="s">
        <v>338</v>
      </c>
      <c r="Z213" s="2" t="s">
        <v>2858</v>
      </c>
      <c r="AA213" s="2">
        <v>4</v>
      </c>
      <c r="AB213" s="2" t="s">
        <v>75</v>
      </c>
      <c r="AC213" s="2" t="s">
        <v>2859</v>
      </c>
      <c r="AD213" s="3">
        <v>44557</v>
      </c>
      <c r="AE213" s="2" t="s">
        <v>77</v>
      </c>
      <c r="AF213" s="2">
        <v>2520000</v>
      </c>
      <c r="AG213" s="2">
        <v>37800</v>
      </c>
      <c r="AH213" s="2" t="s">
        <v>2860</v>
      </c>
      <c r="AI213" s="2">
        <v>40163</v>
      </c>
      <c r="AJ213" s="11">
        <v>2363</v>
      </c>
      <c r="AK213" s="11" t="s">
        <v>2861</v>
      </c>
    </row>
    <row r="214" spans="1:37">
      <c r="A214" s="10">
        <v>213</v>
      </c>
      <c r="B214" s="2" t="s">
        <v>37</v>
      </c>
      <c r="C214" s="2" t="s">
        <v>2862</v>
      </c>
      <c r="D214" s="2" t="s">
        <v>39</v>
      </c>
      <c r="E214" s="2" t="s">
        <v>40</v>
      </c>
      <c r="F214" s="2" t="s">
        <v>2863</v>
      </c>
      <c r="G214" s="2" t="s">
        <v>62</v>
      </c>
      <c r="H214" s="2" t="s">
        <v>2864</v>
      </c>
      <c r="I214" s="2" t="s">
        <v>2865</v>
      </c>
      <c r="J214" s="2" t="s">
        <v>2865</v>
      </c>
      <c r="K214" s="2" t="s">
        <v>328</v>
      </c>
      <c r="L214" s="2" t="s">
        <v>2866</v>
      </c>
      <c r="M214" s="2">
        <v>1520000</v>
      </c>
      <c r="N214" s="2">
        <v>1900000</v>
      </c>
      <c r="O214" s="2" t="s">
        <v>2867</v>
      </c>
      <c r="P214" s="3">
        <v>45649</v>
      </c>
      <c r="Q214" s="2" t="s">
        <v>2868</v>
      </c>
      <c r="R214" s="2" t="s">
        <v>2869</v>
      </c>
      <c r="S214" s="2" t="s">
        <v>69</v>
      </c>
      <c r="T214" s="2" t="s">
        <v>2870</v>
      </c>
      <c r="U214" s="2" t="s">
        <v>377</v>
      </c>
      <c r="V214" s="2" t="s">
        <v>286</v>
      </c>
      <c r="W214" s="3">
        <v>44558</v>
      </c>
      <c r="X214" s="2" t="s">
        <v>88</v>
      </c>
      <c r="Y214" s="2" t="s">
        <v>392</v>
      </c>
      <c r="Z214" s="2" t="s">
        <v>2871</v>
      </c>
      <c r="AA214" s="2">
        <v>5</v>
      </c>
      <c r="AB214" s="2" t="s">
        <v>90</v>
      </c>
      <c r="AC214" s="2" t="s">
        <v>2872</v>
      </c>
      <c r="AD214" s="3">
        <v>44557</v>
      </c>
      <c r="AE214" s="2" t="s">
        <v>77</v>
      </c>
      <c r="AF214" s="2">
        <v>1520000</v>
      </c>
      <c r="AG214" s="2">
        <v>22800</v>
      </c>
      <c r="AH214" s="2" t="s">
        <v>2873</v>
      </c>
      <c r="AI214" s="2">
        <v>24225</v>
      </c>
      <c r="AJ214" s="11">
        <v>1425</v>
      </c>
      <c r="AK214" s="11" t="s">
        <v>2874</v>
      </c>
    </row>
    <row r="215" spans="1:37">
      <c r="A215" s="10">
        <v>214</v>
      </c>
      <c r="B215" s="2" t="s">
        <v>37</v>
      </c>
      <c r="C215" s="2" t="s">
        <v>2875</v>
      </c>
      <c r="D215" s="2" t="s">
        <v>39</v>
      </c>
      <c r="E215" s="2" t="s">
        <v>40</v>
      </c>
      <c r="F215" s="2" t="s">
        <v>2876</v>
      </c>
      <c r="G215" s="2" t="s">
        <v>2877</v>
      </c>
      <c r="H215" s="2" t="s">
        <v>2878</v>
      </c>
      <c r="I215" s="2" t="s">
        <v>2879</v>
      </c>
      <c r="J215" s="2" t="s">
        <v>2880</v>
      </c>
      <c r="K215" s="2" t="s">
        <v>2881</v>
      </c>
      <c r="L215" s="2" t="s">
        <v>2882</v>
      </c>
      <c r="M215" s="2">
        <v>1555500</v>
      </c>
      <c r="N215" s="2">
        <v>2074000</v>
      </c>
      <c r="O215" s="2" t="s">
        <v>2883</v>
      </c>
      <c r="P215" s="3">
        <v>45649</v>
      </c>
      <c r="Q215" s="2" t="s">
        <v>2884</v>
      </c>
      <c r="R215" s="2" t="s">
        <v>2885</v>
      </c>
      <c r="S215" s="2" t="s">
        <v>50</v>
      </c>
      <c r="T215" s="2" t="s">
        <v>51</v>
      </c>
      <c r="U215" s="2" t="s">
        <v>2886</v>
      </c>
      <c r="V215" s="2" t="s">
        <v>521</v>
      </c>
      <c r="W215" s="3">
        <v>44082</v>
      </c>
      <c r="X215" s="2" t="s">
        <v>337</v>
      </c>
      <c r="Y215" s="2" t="s">
        <v>338</v>
      </c>
      <c r="Z215" s="2" t="s">
        <v>2887</v>
      </c>
      <c r="AA215" s="2">
        <v>5</v>
      </c>
      <c r="AB215" s="2" t="s">
        <v>75</v>
      </c>
      <c r="AC215" s="2" t="s">
        <v>2888</v>
      </c>
      <c r="AD215" s="3">
        <v>44189</v>
      </c>
      <c r="AE215" s="2" t="s">
        <v>58</v>
      </c>
      <c r="AF215" s="2">
        <v>1555500</v>
      </c>
      <c r="AG215" s="2">
        <v>31110</v>
      </c>
      <c r="AH215" s="2" t="s">
        <v>2889</v>
      </c>
      <c r="AI215" s="2">
        <v>33184</v>
      </c>
      <c r="AJ215" s="11">
        <v>2074</v>
      </c>
      <c r="AK215" s="11" t="s">
        <v>2890</v>
      </c>
    </row>
    <row r="216" spans="1:37" hidden="1">
      <c r="A216" s="10">
        <v>215</v>
      </c>
      <c r="B216" s="2" t="s">
        <v>37</v>
      </c>
      <c r="C216" s="2" t="s">
        <v>2891</v>
      </c>
      <c r="D216" s="2" t="s">
        <v>39</v>
      </c>
      <c r="E216" s="2" t="s">
        <v>40</v>
      </c>
      <c r="F216" s="2" t="s">
        <v>2892</v>
      </c>
      <c r="G216" s="2" t="s">
        <v>276</v>
      </c>
      <c r="H216" s="2" t="s">
        <v>2893</v>
      </c>
      <c r="I216" s="2" t="s">
        <v>2894</v>
      </c>
      <c r="J216" s="2" t="s">
        <v>2895</v>
      </c>
      <c r="K216" s="2" t="s">
        <v>2894</v>
      </c>
      <c r="L216" s="2" t="s">
        <v>2896</v>
      </c>
      <c r="M216" s="2">
        <v>2924000</v>
      </c>
      <c r="N216" s="2">
        <v>4300000</v>
      </c>
      <c r="O216" s="2" t="s">
        <v>2897</v>
      </c>
      <c r="P216" s="3">
        <v>45671</v>
      </c>
      <c r="Q216" s="2" t="s">
        <v>2898</v>
      </c>
      <c r="R216" s="2" t="s">
        <v>2899</v>
      </c>
      <c r="S216" s="2" t="s">
        <v>69</v>
      </c>
      <c r="T216" s="2" t="s">
        <v>2900</v>
      </c>
      <c r="U216" s="2" t="s">
        <v>2901</v>
      </c>
      <c r="V216" s="2" t="s">
        <v>300</v>
      </c>
      <c r="W216" s="3">
        <v>44581</v>
      </c>
      <c r="X216" s="2" t="s">
        <v>287</v>
      </c>
      <c r="Y216" s="3">
        <v>46408</v>
      </c>
      <c r="Z216" s="2" t="s">
        <v>2902</v>
      </c>
      <c r="AA216" s="2">
        <v>5</v>
      </c>
      <c r="AB216" s="2" t="s">
        <v>75</v>
      </c>
      <c r="AC216" s="2" t="s">
        <v>2903</v>
      </c>
      <c r="AD216" s="3">
        <v>44576</v>
      </c>
      <c r="AE216" s="2" t="s">
        <v>77</v>
      </c>
      <c r="AF216" s="2">
        <v>3440000</v>
      </c>
      <c r="AG216" s="2">
        <v>51600</v>
      </c>
      <c r="AH216" s="2" t="s">
        <v>2904</v>
      </c>
      <c r="AI216" s="2">
        <v>51600</v>
      </c>
      <c r="AJ216" s="11">
        <v>0</v>
      </c>
      <c r="AK216" s="11"/>
    </row>
    <row r="217" spans="1:37" hidden="1">
      <c r="A217" s="10">
        <v>216</v>
      </c>
      <c r="B217" s="2" t="s">
        <v>37</v>
      </c>
      <c r="C217" s="2" t="s">
        <v>2905</v>
      </c>
      <c r="D217" s="2" t="s">
        <v>39</v>
      </c>
      <c r="E217" s="2" t="s">
        <v>40</v>
      </c>
      <c r="F217" s="2" t="s">
        <v>2906</v>
      </c>
      <c r="G217" s="2" t="s">
        <v>62</v>
      </c>
      <c r="H217" s="2" t="s">
        <v>2907</v>
      </c>
      <c r="I217" s="2" t="s">
        <v>2908</v>
      </c>
      <c r="J217" s="2" t="s">
        <v>2909</v>
      </c>
      <c r="K217" s="2" t="s">
        <v>2910</v>
      </c>
      <c r="L217" s="2" t="s">
        <v>2911</v>
      </c>
      <c r="M217" s="2">
        <v>1365000</v>
      </c>
      <c r="N217" s="2">
        <v>1950000</v>
      </c>
      <c r="O217" s="2" t="s">
        <v>2912</v>
      </c>
      <c r="P217" s="3">
        <v>45671</v>
      </c>
      <c r="Q217" s="2" t="s">
        <v>2913</v>
      </c>
      <c r="R217" s="2" t="s">
        <v>2914</v>
      </c>
      <c r="S217" s="2" t="s">
        <v>69</v>
      </c>
      <c r="T217" s="2" t="s">
        <v>2915</v>
      </c>
      <c r="U217" s="2" t="s">
        <v>253</v>
      </c>
      <c r="V217" s="2" t="s">
        <v>391</v>
      </c>
      <c r="W217" s="3">
        <v>45308</v>
      </c>
      <c r="X217" s="2" t="s">
        <v>2916</v>
      </c>
      <c r="Y217" s="3">
        <v>46408</v>
      </c>
      <c r="Z217" s="2" t="s">
        <v>2917</v>
      </c>
      <c r="AA217" s="2">
        <v>3</v>
      </c>
      <c r="AB217" s="2" t="s">
        <v>160</v>
      </c>
      <c r="AC217" s="2" t="s">
        <v>2918</v>
      </c>
      <c r="AD217" s="3">
        <v>45306</v>
      </c>
      <c r="AE217" s="2" t="s">
        <v>108</v>
      </c>
      <c r="AF217" s="2">
        <v>1755000</v>
      </c>
      <c r="AG217" s="2">
        <v>30713</v>
      </c>
      <c r="AH217" s="2" t="s">
        <v>2919</v>
      </c>
      <c r="AI217" s="2">
        <v>30713</v>
      </c>
      <c r="AJ217" s="11">
        <v>0</v>
      </c>
      <c r="AK217" s="11"/>
    </row>
    <row r="218" spans="1:37">
      <c r="A218" s="10">
        <v>217</v>
      </c>
      <c r="B218" s="2" t="s">
        <v>37</v>
      </c>
      <c r="C218" s="2" t="s">
        <v>2920</v>
      </c>
      <c r="D218" s="2" t="s">
        <v>39</v>
      </c>
      <c r="E218" s="2" t="s">
        <v>40</v>
      </c>
      <c r="F218" s="2" t="s">
        <v>2921</v>
      </c>
      <c r="G218" s="2" t="s">
        <v>62</v>
      </c>
      <c r="H218" s="2" t="s">
        <v>2922</v>
      </c>
      <c r="I218" s="2" t="s">
        <v>2923</v>
      </c>
      <c r="J218" s="2" t="s">
        <v>2924</v>
      </c>
      <c r="K218" s="2" t="s">
        <v>328</v>
      </c>
      <c r="L218" s="2" t="s">
        <v>2925</v>
      </c>
      <c r="M218" s="2">
        <v>1247440</v>
      </c>
      <c r="N218" s="2">
        <v>4024000</v>
      </c>
      <c r="O218" s="2" t="s">
        <v>2926</v>
      </c>
      <c r="P218" s="3">
        <v>45649</v>
      </c>
      <c r="Q218" s="2" t="s">
        <v>2927</v>
      </c>
      <c r="R218" s="2" t="s">
        <v>2928</v>
      </c>
      <c r="S218" s="2" t="s">
        <v>50</v>
      </c>
      <c r="T218" s="2" t="s">
        <v>51</v>
      </c>
      <c r="U218" s="2" t="s">
        <v>1234</v>
      </c>
      <c r="V218" s="2" t="s">
        <v>286</v>
      </c>
      <c r="W218" s="3">
        <v>44448</v>
      </c>
      <c r="X218" s="2" t="s">
        <v>88</v>
      </c>
      <c r="Y218" s="2" t="s">
        <v>392</v>
      </c>
      <c r="Z218" s="2" t="s">
        <v>2929</v>
      </c>
      <c r="AA218" s="2">
        <v>5</v>
      </c>
      <c r="AB218" s="2" t="s">
        <v>90</v>
      </c>
      <c r="AC218" s="2" t="s">
        <v>2930</v>
      </c>
      <c r="AD218" s="3">
        <v>44554</v>
      </c>
      <c r="AE218" s="2" t="s">
        <v>58</v>
      </c>
      <c r="AF218" s="2">
        <v>3219200</v>
      </c>
      <c r="AG218" s="2">
        <v>64384</v>
      </c>
      <c r="AH218" s="2" t="s">
        <v>2931</v>
      </c>
      <c r="AI218" s="2">
        <v>68408</v>
      </c>
      <c r="AJ218" s="11">
        <v>4024</v>
      </c>
      <c r="AK218" s="11" t="s">
        <v>2932</v>
      </c>
    </row>
    <row r="219" spans="1:37">
      <c r="A219" s="10">
        <v>218</v>
      </c>
      <c r="B219" s="2" t="s">
        <v>37</v>
      </c>
      <c r="C219" s="2" t="s">
        <v>2933</v>
      </c>
      <c r="D219" s="2" t="s">
        <v>39</v>
      </c>
      <c r="E219" s="2" t="s">
        <v>40</v>
      </c>
      <c r="F219" s="2" t="s">
        <v>2934</v>
      </c>
      <c r="G219" s="2" t="s">
        <v>2093</v>
      </c>
      <c r="H219" s="2" t="s">
        <v>2935</v>
      </c>
      <c r="I219" s="2" t="s">
        <v>51</v>
      </c>
      <c r="J219" s="2" t="s">
        <v>2936</v>
      </c>
      <c r="K219" s="2" t="s">
        <v>51</v>
      </c>
      <c r="L219" s="2" t="s">
        <v>2937</v>
      </c>
      <c r="M219" s="2">
        <v>1176000</v>
      </c>
      <c r="N219" s="2">
        <v>1680000</v>
      </c>
      <c r="O219" s="2" t="s">
        <v>2938</v>
      </c>
      <c r="P219" s="3">
        <v>45649</v>
      </c>
      <c r="Q219" s="2" t="s">
        <v>2939</v>
      </c>
      <c r="R219" s="2" t="s">
        <v>2940</v>
      </c>
      <c r="S219" s="2" t="s">
        <v>69</v>
      </c>
      <c r="T219" s="2" t="s">
        <v>2941</v>
      </c>
      <c r="U219" s="2" t="s">
        <v>253</v>
      </c>
      <c r="V219" s="2" t="s">
        <v>300</v>
      </c>
      <c r="W219" s="3">
        <v>44559</v>
      </c>
      <c r="X219" s="2" t="s">
        <v>88</v>
      </c>
      <c r="Y219" s="2" t="s">
        <v>392</v>
      </c>
      <c r="Z219" s="2" t="s">
        <v>2942</v>
      </c>
      <c r="AA219" s="2">
        <v>5</v>
      </c>
      <c r="AB219" s="2" t="s">
        <v>75</v>
      </c>
      <c r="AC219" s="2" t="s">
        <v>2943</v>
      </c>
      <c r="AD219" s="3">
        <v>44557</v>
      </c>
      <c r="AE219" s="2" t="s">
        <v>77</v>
      </c>
      <c r="AF219" s="2">
        <v>1344000</v>
      </c>
      <c r="AG219" s="2">
        <v>20160</v>
      </c>
      <c r="AH219" s="2" t="s">
        <v>2944</v>
      </c>
      <c r="AI219" s="2">
        <v>21420</v>
      </c>
      <c r="AJ219" s="11">
        <v>1260</v>
      </c>
      <c r="AK219" s="11" t="s">
        <v>2945</v>
      </c>
    </row>
    <row r="220" spans="1:37">
      <c r="A220" s="10">
        <v>219</v>
      </c>
      <c r="B220" s="2" t="s">
        <v>37</v>
      </c>
      <c r="C220" s="2" t="s">
        <v>2946</v>
      </c>
      <c r="D220" s="2" t="s">
        <v>39</v>
      </c>
      <c r="E220" s="2" t="s">
        <v>40</v>
      </c>
      <c r="F220" s="2" t="s">
        <v>2947</v>
      </c>
      <c r="G220" s="2" t="s">
        <v>62</v>
      </c>
      <c r="H220" s="2" t="s">
        <v>2948</v>
      </c>
      <c r="I220" s="2" t="s">
        <v>2949</v>
      </c>
      <c r="J220" s="2" t="s">
        <v>2950</v>
      </c>
      <c r="K220" s="2" t="s">
        <v>51</v>
      </c>
      <c r="L220" s="2" t="s">
        <v>2951</v>
      </c>
      <c r="M220" s="2">
        <v>1140750</v>
      </c>
      <c r="N220" s="2">
        <v>1521000</v>
      </c>
      <c r="O220" s="2" t="s">
        <v>2952</v>
      </c>
      <c r="P220" s="3">
        <v>45649</v>
      </c>
      <c r="Q220" s="2" t="s">
        <v>2953</v>
      </c>
      <c r="R220" s="2" t="s">
        <v>2954</v>
      </c>
      <c r="S220" s="2" t="s">
        <v>50</v>
      </c>
      <c r="T220" s="2" t="s">
        <v>51</v>
      </c>
      <c r="U220" s="2" t="s">
        <v>133</v>
      </c>
      <c r="V220" s="2" t="s">
        <v>286</v>
      </c>
      <c r="W220" s="3">
        <v>44433</v>
      </c>
      <c r="X220" s="2" t="s">
        <v>88</v>
      </c>
      <c r="Y220" s="2" t="s">
        <v>392</v>
      </c>
      <c r="Z220" s="2" t="s">
        <v>2955</v>
      </c>
      <c r="AA220" s="2">
        <v>5</v>
      </c>
      <c r="AB220" s="2" t="s">
        <v>90</v>
      </c>
      <c r="AC220" s="2" t="s">
        <v>2956</v>
      </c>
      <c r="AD220" s="3">
        <v>44553</v>
      </c>
      <c r="AE220" s="2" t="s">
        <v>58</v>
      </c>
      <c r="AF220" s="2">
        <v>1216800</v>
      </c>
      <c r="AG220" s="2">
        <v>24336</v>
      </c>
      <c r="AH220" s="2" t="s">
        <v>2957</v>
      </c>
      <c r="AI220" s="2">
        <v>25857</v>
      </c>
      <c r="AJ220" s="11">
        <v>1521</v>
      </c>
      <c r="AK220" s="11" t="s">
        <v>2958</v>
      </c>
    </row>
    <row r="221" spans="1:37" hidden="1">
      <c r="A221" s="10">
        <v>220</v>
      </c>
      <c r="B221" s="2" t="s">
        <v>37</v>
      </c>
      <c r="C221" s="2" t="s">
        <v>2959</v>
      </c>
      <c r="D221" s="2" t="s">
        <v>39</v>
      </c>
      <c r="E221" s="2" t="s">
        <v>40</v>
      </c>
      <c r="F221" s="2" t="s">
        <v>2960</v>
      </c>
      <c r="G221" s="2" t="s">
        <v>584</v>
      </c>
      <c r="H221" s="2" t="s">
        <v>2961</v>
      </c>
      <c r="I221" s="2" t="s">
        <v>51</v>
      </c>
      <c r="J221" s="2" t="s">
        <v>2962</v>
      </c>
      <c r="K221" s="2" t="s">
        <v>51</v>
      </c>
      <c r="L221" s="2" t="s">
        <v>2963</v>
      </c>
      <c r="M221" s="2">
        <v>2931175</v>
      </c>
      <c r="N221" s="2">
        <v>4509500</v>
      </c>
      <c r="O221" s="2" t="s">
        <v>2964</v>
      </c>
      <c r="P221" s="3">
        <v>45672</v>
      </c>
      <c r="Q221" s="2" t="s">
        <v>2965</v>
      </c>
      <c r="R221" s="2" t="s">
        <v>2966</v>
      </c>
      <c r="S221" s="2" t="s">
        <v>50</v>
      </c>
      <c r="T221" s="2" t="s">
        <v>51</v>
      </c>
      <c r="U221" s="2" t="s">
        <v>267</v>
      </c>
      <c r="V221" s="2" t="s">
        <v>53</v>
      </c>
      <c r="W221" s="3">
        <v>44944</v>
      </c>
      <c r="X221" s="2" t="s">
        <v>1710</v>
      </c>
      <c r="Y221" s="3">
        <v>46043</v>
      </c>
      <c r="Z221" s="2" t="s">
        <v>2967</v>
      </c>
      <c r="AA221" s="2">
        <v>3</v>
      </c>
      <c r="AB221" s="2" t="s">
        <v>160</v>
      </c>
      <c r="AC221" s="2" t="s">
        <v>2968</v>
      </c>
      <c r="AD221" s="3">
        <v>44942</v>
      </c>
      <c r="AE221" s="2" t="s">
        <v>108</v>
      </c>
      <c r="AF221" s="2">
        <v>3833075</v>
      </c>
      <c r="AG221" s="2">
        <v>67079</v>
      </c>
      <c r="AH221" s="2" t="s">
        <v>2969</v>
      </c>
      <c r="AI221" s="2">
        <v>67079</v>
      </c>
      <c r="AJ221" s="11">
        <v>0</v>
      </c>
      <c r="AK221" s="11"/>
    </row>
    <row r="222" spans="1:37">
      <c r="A222" s="10">
        <v>221</v>
      </c>
      <c r="B222" s="2" t="s">
        <v>37</v>
      </c>
      <c r="C222" s="2" t="s">
        <v>2970</v>
      </c>
      <c r="D222" s="2" t="s">
        <v>39</v>
      </c>
      <c r="E222" s="2" t="s">
        <v>40</v>
      </c>
      <c r="F222" s="2" t="s">
        <v>2971</v>
      </c>
      <c r="G222" s="2" t="s">
        <v>276</v>
      </c>
      <c r="H222" s="2" t="s">
        <v>2972</v>
      </c>
      <c r="I222" s="2" t="s">
        <v>2973</v>
      </c>
      <c r="J222" s="2" t="s">
        <v>2973</v>
      </c>
      <c r="K222" s="2" t="s">
        <v>2973</v>
      </c>
      <c r="L222" s="2" t="s">
        <v>2974</v>
      </c>
      <c r="M222" s="2">
        <v>1134750</v>
      </c>
      <c r="N222" s="2">
        <v>1335000</v>
      </c>
      <c r="O222" s="2" t="s">
        <v>2975</v>
      </c>
      <c r="P222" s="3">
        <v>45649</v>
      </c>
      <c r="Q222" s="2" t="s">
        <v>2976</v>
      </c>
      <c r="R222" s="2" t="s">
        <v>2977</v>
      </c>
      <c r="S222" s="2" t="s">
        <v>50</v>
      </c>
      <c r="T222" s="2" t="s">
        <v>51</v>
      </c>
      <c r="U222" s="2" t="s">
        <v>285</v>
      </c>
      <c r="V222" s="2" t="s">
        <v>286</v>
      </c>
      <c r="W222" s="3">
        <v>44438</v>
      </c>
      <c r="X222" s="2" t="s">
        <v>73</v>
      </c>
      <c r="Y222" s="2" t="s">
        <v>318</v>
      </c>
      <c r="Z222" s="2" t="s">
        <v>2978</v>
      </c>
      <c r="AA222" s="2">
        <v>5</v>
      </c>
      <c r="AB222" s="2" t="s">
        <v>90</v>
      </c>
      <c r="AC222" s="2" t="s">
        <v>2979</v>
      </c>
      <c r="AD222" s="3">
        <v>44554</v>
      </c>
      <c r="AE222" s="2" t="s">
        <v>58</v>
      </c>
      <c r="AF222" s="2">
        <v>1068000</v>
      </c>
      <c r="AG222" s="2">
        <v>21360</v>
      </c>
      <c r="AH222" s="2" t="s">
        <v>2980</v>
      </c>
      <c r="AI222" s="2">
        <v>22695</v>
      </c>
      <c r="AJ222" s="11">
        <v>1335</v>
      </c>
      <c r="AK222" s="11" t="s">
        <v>2981</v>
      </c>
    </row>
    <row r="223" spans="1:37">
      <c r="A223" s="10">
        <v>222</v>
      </c>
      <c r="B223" s="2" t="s">
        <v>37</v>
      </c>
      <c r="C223" s="2" t="s">
        <v>2982</v>
      </c>
      <c r="D223" s="2" t="s">
        <v>39</v>
      </c>
      <c r="E223" s="2" t="s">
        <v>40</v>
      </c>
      <c r="F223" s="2" t="s">
        <v>2983</v>
      </c>
      <c r="G223" s="2" t="s">
        <v>497</v>
      </c>
      <c r="H223" s="2" t="s">
        <v>2984</v>
      </c>
      <c r="I223" s="2" t="s">
        <v>2985</v>
      </c>
      <c r="J223" s="2" t="s">
        <v>2985</v>
      </c>
      <c r="K223" s="2" t="s">
        <v>2985</v>
      </c>
      <c r="L223" s="2" t="s">
        <v>2986</v>
      </c>
      <c r="M223" s="2">
        <v>1040000</v>
      </c>
      <c r="N223" s="2">
        <v>1300000</v>
      </c>
      <c r="O223" s="2" t="s">
        <v>2987</v>
      </c>
      <c r="P223" s="3">
        <v>45649</v>
      </c>
      <c r="Q223" s="2" t="s">
        <v>2988</v>
      </c>
      <c r="R223" s="2" t="s">
        <v>2989</v>
      </c>
      <c r="S223" s="2" t="s">
        <v>69</v>
      </c>
      <c r="T223" s="2" t="s">
        <v>2990</v>
      </c>
      <c r="U223" s="2" t="s">
        <v>2991</v>
      </c>
      <c r="V223" s="2" t="s">
        <v>336</v>
      </c>
      <c r="W223" s="3">
        <v>44559</v>
      </c>
      <c r="X223" s="2" t="s">
        <v>88</v>
      </c>
      <c r="Y223" s="2" t="s">
        <v>392</v>
      </c>
      <c r="Z223" s="2" t="s">
        <v>2992</v>
      </c>
      <c r="AA223" s="2">
        <v>5</v>
      </c>
      <c r="AB223" s="2" t="s">
        <v>75</v>
      </c>
      <c r="AC223" s="2" t="s">
        <v>2993</v>
      </c>
      <c r="AD223" s="3">
        <v>44554</v>
      </c>
      <c r="AE223" s="2" t="s">
        <v>77</v>
      </c>
      <c r="AF223" s="2">
        <v>1040000</v>
      </c>
      <c r="AG223" s="2">
        <v>15600</v>
      </c>
      <c r="AH223" s="2" t="s">
        <v>2994</v>
      </c>
      <c r="AI223" s="2">
        <v>16575</v>
      </c>
      <c r="AJ223" s="11">
        <v>975</v>
      </c>
      <c r="AK223" s="11" t="s">
        <v>2995</v>
      </c>
    </row>
    <row r="224" spans="1:37">
      <c r="A224" s="10">
        <v>223</v>
      </c>
      <c r="B224" s="2" t="s">
        <v>37</v>
      </c>
      <c r="C224" s="2" t="s">
        <v>2996</v>
      </c>
      <c r="D224" s="2" t="s">
        <v>39</v>
      </c>
      <c r="E224" s="2" t="s">
        <v>40</v>
      </c>
      <c r="F224" s="2" t="s">
        <v>2997</v>
      </c>
      <c r="G224" s="2" t="s">
        <v>62</v>
      </c>
      <c r="H224" s="2" t="s">
        <v>2998</v>
      </c>
      <c r="I224" s="2" t="s">
        <v>2999</v>
      </c>
      <c r="J224" s="2" t="s">
        <v>2999</v>
      </c>
      <c r="K224" s="2" t="s">
        <v>3000</v>
      </c>
      <c r="L224" s="2" t="s">
        <v>3001</v>
      </c>
      <c r="M224" s="2">
        <v>867750</v>
      </c>
      <c r="N224" s="2">
        <v>1335000</v>
      </c>
      <c r="O224" s="2" t="s">
        <v>3002</v>
      </c>
      <c r="P224" s="3">
        <v>45649</v>
      </c>
      <c r="Q224" s="2" t="s">
        <v>3003</v>
      </c>
      <c r="R224" s="2" t="s">
        <v>3004</v>
      </c>
      <c r="S224" s="2" t="s">
        <v>50</v>
      </c>
      <c r="T224" s="2" t="s">
        <v>51</v>
      </c>
      <c r="U224" s="2" t="s">
        <v>285</v>
      </c>
      <c r="V224" s="2" t="s">
        <v>286</v>
      </c>
      <c r="W224" s="3">
        <v>44434</v>
      </c>
      <c r="X224" s="2" t="s">
        <v>73</v>
      </c>
      <c r="Y224" s="2" t="s">
        <v>318</v>
      </c>
      <c r="Z224" s="2" t="s">
        <v>3005</v>
      </c>
      <c r="AA224" s="2">
        <v>5</v>
      </c>
      <c r="AB224" s="2" t="s">
        <v>90</v>
      </c>
      <c r="AC224" s="2" t="s">
        <v>3006</v>
      </c>
      <c r="AD224" s="3">
        <v>44554</v>
      </c>
      <c r="AE224" s="2" t="s">
        <v>58</v>
      </c>
      <c r="AF224" s="2">
        <v>1068000</v>
      </c>
      <c r="AG224" s="2">
        <v>21360</v>
      </c>
      <c r="AH224" s="2" t="s">
        <v>3007</v>
      </c>
      <c r="AI224" s="2">
        <v>22695</v>
      </c>
      <c r="AJ224" s="11">
        <v>1335</v>
      </c>
      <c r="AK224" s="11" t="s">
        <v>3008</v>
      </c>
    </row>
    <row r="225" spans="1:37">
      <c r="A225" s="10">
        <v>224</v>
      </c>
      <c r="B225" s="2" t="s">
        <v>37</v>
      </c>
      <c r="C225" s="2" t="s">
        <v>3009</v>
      </c>
      <c r="D225" s="2" t="s">
        <v>39</v>
      </c>
      <c r="E225" s="2" t="s">
        <v>40</v>
      </c>
      <c r="F225" s="2" t="s">
        <v>3010</v>
      </c>
      <c r="G225" s="2" t="s">
        <v>62</v>
      </c>
      <c r="H225" s="2" t="s">
        <v>3011</v>
      </c>
      <c r="I225" s="2" t="s">
        <v>3012</v>
      </c>
      <c r="J225" s="2" t="s">
        <v>3012</v>
      </c>
      <c r="K225" s="2" t="s">
        <v>3012</v>
      </c>
      <c r="L225" s="2" t="s">
        <v>3013</v>
      </c>
      <c r="M225" s="2">
        <v>825600</v>
      </c>
      <c r="N225" s="2">
        <v>1720000</v>
      </c>
      <c r="O225" s="2" t="s">
        <v>3014</v>
      </c>
      <c r="P225" s="3">
        <v>45649</v>
      </c>
      <c r="Q225" s="2" t="s">
        <v>3015</v>
      </c>
      <c r="R225" s="2" t="s">
        <v>3016</v>
      </c>
      <c r="S225" s="2" t="s">
        <v>69</v>
      </c>
      <c r="T225" s="2" t="s">
        <v>3017</v>
      </c>
      <c r="U225" s="2" t="s">
        <v>377</v>
      </c>
      <c r="V225" s="2" t="s">
        <v>521</v>
      </c>
      <c r="W225" s="3">
        <v>44558</v>
      </c>
      <c r="X225" s="2" t="s">
        <v>88</v>
      </c>
      <c r="Y225" s="2" t="s">
        <v>821</v>
      </c>
      <c r="Z225" s="2" t="s">
        <v>3018</v>
      </c>
      <c r="AA225" s="2">
        <v>7</v>
      </c>
      <c r="AB225" s="2" t="s">
        <v>75</v>
      </c>
      <c r="AC225" s="2" t="s">
        <v>3019</v>
      </c>
      <c r="AD225" s="3">
        <v>44554</v>
      </c>
      <c r="AE225" s="2" t="s">
        <v>77</v>
      </c>
      <c r="AF225" s="2">
        <v>1376000</v>
      </c>
      <c r="AG225" s="2">
        <v>20640</v>
      </c>
      <c r="AH225" s="2" t="s">
        <v>3020</v>
      </c>
      <c r="AI225" s="2">
        <v>21930</v>
      </c>
      <c r="AJ225" s="11">
        <v>1290</v>
      </c>
      <c r="AK225" s="11" t="s">
        <v>3021</v>
      </c>
    </row>
    <row r="226" spans="1:37" hidden="1">
      <c r="A226" s="10">
        <v>225</v>
      </c>
      <c r="B226" s="2" t="s">
        <v>37</v>
      </c>
      <c r="C226" s="2" t="s">
        <v>3022</v>
      </c>
      <c r="D226" s="2" t="s">
        <v>39</v>
      </c>
      <c r="E226" s="2" t="s">
        <v>40</v>
      </c>
      <c r="F226" s="2" t="s">
        <v>3023</v>
      </c>
      <c r="G226" s="2" t="s">
        <v>112</v>
      </c>
      <c r="H226" s="2" t="s">
        <v>3024</v>
      </c>
      <c r="I226" s="2" t="s">
        <v>51</v>
      </c>
      <c r="J226" s="2" t="s">
        <v>3025</v>
      </c>
      <c r="K226" s="2" t="s">
        <v>51</v>
      </c>
      <c r="L226" s="2" t="s">
        <v>3026</v>
      </c>
      <c r="M226" s="2">
        <v>1470000</v>
      </c>
      <c r="N226" s="2">
        <v>2100000</v>
      </c>
      <c r="O226" s="2" t="s">
        <v>3027</v>
      </c>
      <c r="P226" s="3">
        <v>45672</v>
      </c>
      <c r="Q226" s="2" t="s">
        <v>3028</v>
      </c>
      <c r="R226" s="2" t="s">
        <v>3029</v>
      </c>
      <c r="S226" s="2" t="s">
        <v>69</v>
      </c>
      <c r="T226" s="2" t="s">
        <v>51</v>
      </c>
      <c r="U226" s="2" t="s">
        <v>236</v>
      </c>
      <c r="V226" s="2" t="s">
        <v>72</v>
      </c>
      <c r="W226" s="3">
        <v>44943</v>
      </c>
      <c r="X226" s="2" t="s">
        <v>1710</v>
      </c>
      <c r="Y226" s="3">
        <v>46043</v>
      </c>
      <c r="Z226" s="2" t="s">
        <v>3030</v>
      </c>
      <c r="AA226" s="2">
        <v>3</v>
      </c>
      <c r="AB226" s="2" t="s">
        <v>106</v>
      </c>
      <c r="AC226" s="2" t="s">
        <v>3031</v>
      </c>
      <c r="AD226" s="3">
        <v>44942</v>
      </c>
      <c r="AE226" s="2" t="s">
        <v>108</v>
      </c>
      <c r="AF226" s="2">
        <v>1785000</v>
      </c>
      <c r="AG226" s="2">
        <v>31238</v>
      </c>
      <c r="AH226" s="2" t="s">
        <v>3032</v>
      </c>
      <c r="AI226" s="2">
        <v>31238</v>
      </c>
      <c r="AJ226" s="11">
        <v>0</v>
      </c>
      <c r="AK226" s="11"/>
    </row>
    <row r="227" spans="1:37" hidden="1">
      <c r="A227" s="10">
        <v>226</v>
      </c>
      <c r="B227" s="2" t="s">
        <v>37</v>
      </c>
      <c r="C227" s="2" t="s">
        <v>3033</v>
      </c>
      <c r="D227" s="2" t="s">
        <v>39</v>
      </c>
      <c r="E227" s="2" t="s">
        <v>40</v>
      </c>
      <c r="F227" s="2" t="s">
        <v>3034</v>
      </c>
      <c r="G227" s="2" t="s">
        <v>62</v>
      </c>
      <c r="H227" s="2" t="s">
        <v>3035</v>
      </c>
      <c r="I227" s="2" t="s">
        <v>3036</v>
      </c>
      <c r="J227" s="2" t="s">
        <v>3037</v>
      </c>
      <c r="K227" s="2" t="s">
        <v>3036</v>
      </c>
      <c r="L227" s="2" t="s">
        <v>3038</v>
      </c>
      <c r="M227" s="2">
        <v>1501500</v>
      </c>
      <c r="N227" s="2">
        <v>2310000</v>
      </c>
      <c r="O227" s="2" t="s">
        <v>3039</v>
      </c>
      <c r="P227" s="3">
        <v>45672</v>
      </c>
      <c r="Q227" s="2" t="s">
        <v>3040</v>
      </c>
      <c r="R227" s="2" t="s">
        <v>3041</v>
      </c>
      <c r="S227" s="2" t="s">
        <v>69</v>
      </c>
      <c r="T227" s="2" t="s">
        <v>3042</v>
      </c>
      <c r="U227" s="2" t="s">
        <v>133</v>
      </c>
      <c r="V227" s="2" t="s">
        <v>300</v>
      </c>
      <c r="W227" s="3">
        <v>45308</v>
      </c>
      <c r="X227" s="2" t="s">
        <v>2916</v>
      </c>
      <c r="Y227" s="3">
        <v>47139</v>
      </c>
      <c r="Z227" s="2" t="s">
        <v>3043</v>
      </c>
      <c r="AA227" s="2">
        <v>5</v>
      </c>
      <c r="AB227" s="2" t="s">
        <v>160</v>
      </c>
      <c r="AC227" s="2" t="s">
        <v>3044</v>
      </c>
      <c r="AD227" s="3">
        <v>45307</v>
      </c>
      <c r="AE227" s="2" t="s">
        <v>108</v>
      </c>
      <c r="AF227" s="2">
        <v>2079000</v>
      </c>
      <c r="AG227" s="2">
        <v>36383</v>
      </c>
      <c r="AH227" s="2" t="s">
        <v>3045</v>
      </c>
      <c r="AI227" s="2">
        <v>36383</v>
      </c>
      <c r="AJ227" s="11">
        <v>0</v>
      </c>
      <c r="AK227" s="11"/>
    </row>
    <row r="228" spans="1:37" hidden="1">
      <c r="A228" s="10">
        <v>227</v>
      </c>
      <c r="B228" s="2" t="s">
        <v>37</v>
      </c>
      <c r="C228" s="2" t="s">
        <v>3046</v>
      </c>
      <c r="D228" s="2" t="s">
        <v>39</v>
      </c>
      <c r="E228" s="2" t="s">
        <v>40</v>
      </c>
      <c r="F228" s="2" t="s">
        <v>3047</v>
      </c>
      <c r="G228" s="2" t="s">
        <v>112</v>
      </c>
      <c r="H228" s="2" t="s">
        <v>3048</v>
      </c>
      <c r="I228" s="2" t="s">
        <v>3049</v>
      </c>
      <c r="J228" s="2" t="s">
        <v>51</v>
      </c>
      <c r="K228" s="2" t="s">
        <v>328</v>
      </c>
      <c r="L228" s="2" t="s">
        <v>3050</v>
      </c>
      <c r="M228" s="2">
        <v>1925000</v>
      </c>
      <c r="N228" s="2">
        <v>3500000</v>
      </c>
      <c r="O228" s="2" t="s">
        <v>3051</v>
      </c>
      <c r="P228" s="3">
        <v>45672</v>
      </c>
      <c r="Q228" s="2" t="s">
        <v>3052</v>
      </c>
      <c r="R228" s="2" t="s">
        <v>3053</v>
      </c>
      <c r="S228" s="2" t="s">
        <v>69</v>
      </c>
      <c r="T228" s="2" t="s">
        <v>3054</v>
      </c>
      <c r="U228" s="2" t="s">
        <v>2128</v>
      </c>
      <c r="V228" s="2" t="s">
        <v>365</v>
      </c>
      <c r="W228" s="3">
        <v>45308</v>
      </c>
      <c r="X228" s="2" t="s">
        <v>2916</v>
      </c>
      <c r="Y228" s="3">
        <v>46043</v>
      </c>
      <c r="Z228" s="2" t="s">
        <v>3055</v>
      </c>
      <c r="AA228" s="2">
        <v>2</v>
      </c>
      <c r="AB228" s="2" t="s">
        <v>160</v>
      </c>
      <c r="AC228" s="2" t="s">
        <v>3056</v>
      </c>
      <c r="AD228" s="3">
        <v>45307</v>
      </c>
      <c r="AE228" s="2" t="s">
        <v>108</v>
      </c>
      <c r="AF228" s="2">
        <v>3150000</v>
      </c>
      <c r="AG228" s="2">
        <v>55125</v>
      </c>
      <c r="AH228" s="2" t="s">
        <v>3057</v>
      </c>
      <c r="AI228" s="2">
        <v>55125</v>
      </c>
      <c r="AJ228" s="11">
        <v>0</v>
      </c>
      <c r="AK228" s="11"/>
    </row>
    <row r="229" spans="1:37">
      <c r="A229" s="10">
        <v>228</v>
      </c>
      <c r="B229" s="2" t="s">
        <v>37</v>
      </c>
      <c r="C229" s="2" t="s">
        <v>3058</v>
      </c>
      <c r="D229" s="2" t="s">
        <v>39</v>
      </c>
      <c r="E229" s="2" t="s">
        <v>40</v>
      </c>
      <c r="F229" s="2" t="s">
        <v>3059</v>
      </c>
      <c r="G229" s="2" t="s">
        <v>42</v>
      </c>
      <c r="H229" s="2" t="s">
        <v>3060</v>
      </c>
      <c r="I229" s="2" t="s">
        <v>3061</v>
      </c>
      <c r="J229" s="2" t="s">
        <v>3062</v>
      </c>
      <c r="K229" s="2" t="s">
        <v>3063</v>
      </c>
      <c r="L229" s="2" t="s">
        <v>3064</v>
      </c>
      <c r="M229" s="2">
        <v>827500</v>
      </c>
      <c r="N229" s="2">
        <v>1655000</v>
      </c>
      <c r="O229" s="2" t="s">
        <v>3065</v>
      </c>
      <c r="P229" s="3">
        <v>45649</v>
      </c>
      <c r="Q229" s="2" t="s">
        <v>3066</v>
      </c>
      <c r="R229" s="2" t="s">
        <v>3067</v>
      </c>
      <c r="S229" s="2" t="s">
        <v>50</v>
      </c>
      <c r="T229" s="2" t="s">
        <v>51</v>
      </c>
      <c r="U229" s="2" t="s">
        <v>1166</v>
      </c>
      <c r="V229" s="2" t="s">
        <v>286</v>
      </c>
      <c r="W229" s="3">
        <v>44459</v>
      </c>
      <c r="X229" s="2" t="s">
        <v>73</v>
      </c>
      <c r="Y229" s="2" t="s">
        <v>318</v>
      </c>
      <c r="Z229" s="2" t="s">
        <v>3068</v>
      </c>
      <c r="AA229" s="2">
        <v>5</v>
      </c>
      <c r="AB229" s="2" t="s">
        <v>90</v>
      </c>
      <c r="AC229" s="2" t="s">
        <v>3069</v>
      </c>
      <c r="AD229" s="3">
        <v>44558</v>
      </c>
      <c r="AE229" s="2" t="s">
        <v>58</v>
      </c>
      <c r="AF229" s="2">
        <v>1324000</v>
      </c>
      <c r="AG229" s="2">
        <v>26480</v>
      </c>
      <c r="AH229" s="2" t="s">
        <v>3070</v>
      </c>
      <c r="AI229" s="2">
        <v>28135</v>
      </c>
      <c r="AJ229" s="11">
        <v>1655</v>
      </c>
      <c r="AK229" s="11" t="s">
        <v>3071</v>
      </c>
    </row>
    <row r="230" spans="1:37" hidden="1">
      <c r="A230" s="10">
        <v>229</v>
      </c>
      <c r="B230" s="2" t="s">
        <v>37</v>
      </c>
      <c r="C230" s="2" t="s">
        <v>3072</v>
      </c>
      <c r="D230" s="2" t="s">
        <v>39</v>
      </c>
      <c r="E230" s="2" t="s">
        <v>40</v>
      </c>
      <c r="F230" s="2" t="s">
        <v>3073</v>
      </c>
      <c r="G230" s="2" t="s">
        <v>276</v>
      </c>
      <c r="H230" s="2" t="s">
        <v>3074</v>
      </c>
      <c r="I230" s="2" t="s">
        <v>51</v>
      </c>
      <c r="J230" s="2" t="s">
        <v>3075</v>
      </c>
      <c r="K230" s="2" t="s">
        <v>3076</v>
      </c>
      <c r="L230" s="2" t="s">
        <v>3077</v>
      </c>
      <c r="M230" s="2">
        <v>3000000</v>
      </c>
      <c r="N230" s="2">
        <v>6000000</v>
      </c>
      <c r="O230" s="2" t="s">
        <v>3078</v>
      </c>
      <c r="P230" s="3">
        <v>45672</v>
      </c>
      <c r="Q230" s="2" t="s">
        <v>3079</v>
      </c>
      <c r="R230" s="2" t="s">
        <v>3080</v>
      </c>
      <c r="S230" s="2" t="s">
        <v>69</v>
      </c>
      <c r="T230" s="2" t="s">
        <v>3081</v>
      </c>
      <c r="U230" s="2" t="s">
        <v>406</v>
      </c>
      <c r="V230" s="2" t="s">
        <v>286</v>
      </c>
      <c r="W230" s="3">
        <v>45308</v>
      </c>
      <c r="X230" s="2" t="s">
        <v>2916</v>
      </c>
      <c r="Y230" s="3">
        <v>46408</v>
      </c>
      <c r="Z230" s="2" t="s">
        <v>3082</v>
      </c>
      <c r="AA230" s="2">
        <v>3</v>
      </c>
      <c r="AB230" s="2" t="s">
        <v>160</v>
      </c>
      <c r="AC230" s="2" t="s">
        <v>3083</v>
      </c>
      <c r="AD230" s="3">
        <v>45307</v>
      </c>
      <c r="AE230" s="2" t="s">
        <v>77</v>
      </c>
      <c r="AF230" s="2">
        <v>5400000</v>
      </c>
      <c r="AG230" s="2">
        <v>81000</v>
      </c>
      <c r="AH230" s="2" t="s">
        <v>3084</v>
      </c>
      <c r="AI230" s="2">
        <v>81000</v>
      </c>
      <c r="AJ230" s="11">
        <v>0</v>
      </c>
      <c r="AK230" s="11"/>
    </row>
    <row r="231" spans="1:37" hidden="1">
      <c r="A231" s="10">
        <v>230</v>
      </c>
      <c r="B231" s="2" t="s">
        <v>37</v>
      </c>
      <c r="C231" s="2" t="s">
        <v>3085</v>
      </c>
      <c r="D231" s="2" t="s">
        <v>39</v>
      </c>
      <c r="E231" s="2" t="s">
        <v>40</v>
      </c>
      <c r="F231" s="2" t="s">
        <v>3086</v>
      </c>
      <c r="G231" s="2" t="s">
        <v>112</v>
      </c>
      <c r="H231" s="2" t="s">
        <v>3087</v>
      </c>
      <c r="I231" s="2" t="s">
        <v>3088</v>
      </c>
      <c r="J231" s="2" t="s">
        <v>51</v>
      </c>
      <c r="K231" s="2" t="s">
        <v>328</v>
      </c>
      <c r="L231" s="2" t="s">
        <v>3089</v>
      </c>
      <c r="M231" s="2">
        <v>1828400</v>
      </c>
      <c r="N231" s="2">
        <v>2612000</v>
      </c>
      <c r="O231" s="2" t="s">
        <v>3090</v>
      </c>
      <c r="P231" s="3">
        <v>45672</v>
      </c>
      <c r="Q231" s="2" t="s">
        <v>3091</v>
      </c>
      <c r="R231" s="2" t="s">
        <v>3092</v>
      </c>
      <c r="S231" s="2" t="s">
        <v>50</v>
      </c>
      <c r="T231" s="2" t="s">
        <v>51</v>
      </c>
      <c r="U231" s="2" t="s">
        <v>285</v>
      </c>
      <c r="V231" s="2" t="s">
        <v>3093</v>
      </c>
      <c r="W231" s="3">
        <v>45308</v>
      </c>
      <c r="X231" s="2" t="s">
        <v>2916</v>
      </c>
      <c r="Y231" s="3">
        <v>47139</v>
      </c>
      <c r="Z231" s="2" t="s">
        <v>3094</v>
      </c>
      <c r="AA231" s="2">
        <v>5</v>
      </c>
      <c r="AB231" s="2" t="s">
        <v>160</v>
      </c>
      <c r="AC231" s="2" t="s">
        <v>3095</v>
      </c>
      <c r="AD231" s="3">
        <v>45307</v>
      </c>
      <c r="AE231" s="2" t="s">
        <v>108</v>
      </c>
      <c r="AF231" s="2">
        <v>2350800</v>
      </c>
      <c r="AG231" s="2">
        <v>41139</v>
      </c>
      <c r="AH231" s="2" t="s">
        <v>3096</v>
      </c>
      <c r="AI231" s="2">
        <v>41139</v>
      </c>
      <c r="AJ231" s="11">
        <v>0</v>
      </c>
      <c r="AK231" s="11"/>
    </row>
    <row r="232" spans="1:37">
      <c r="A232" s="10">
        <v>231</v>
      </c>
      <c r="B232" s="2" t="s">
        <v>37</v>
      </c>
      <c r="C232" s="2" t="s">
        <v>3097</v>
      </c>
      <c r="D232" s="2" t="s">
        <v>39</v>
      </c>
      <c r="E232" s="2" t="s">
        <v>40</v>
      </c>
      <c r="F232" s="2" t="s">
        <v>3098</v>
      </c>
      <c r="G232" s="2" t="s">
        <v>62</v>
      </c>
      <c r="H232" s="2" t="s">
        <v>3099</v>
      </c>
      <c r="I232" s="2" t="s">
        <v>3100</v>
      </c>
      <c r="J232" s="2" t="s">
        <v>3100</v>
      </c>
      <c r="K232" s="2" t="s">
        <v>328</v>
      </c>
      <c r="L232" s="2" t="s">
        <v>3101</v>
      </c>
      <c r="M232" s="2">
        <v>2480000</v>
      </c>
      <c r="N232" s="2">
        <v>3100000</v>
      </c>
      <c r="O232" s="2" t="s">
        <v>3102</v>
      </c>
      <c r="P232" s="3">
        <v>45648</v>
      </c>
      <c r="Q232" s="2" t="s">
        <v>3103</v>
      </c>
      <c r="R232" s="2" t="s">
        <v>3104</v>
      </c>
      <c r="S232" s="2" t="s">
        <v>333</v>
      </c>
      <c r="T232" s="2" t="s">
        <v>51</v>
      </c>
      <c r="U232" s="2" t="s">
        <v>3105</v>
      </c>
      <c r="V232" s="2" t="s">
        <v>72</v>
      </c>
      <c r="W232" s="3">
        <v>44195</v>
      </c>
      <c r="X232" s="2" t="s">
        <v>337</v>
      </c>
      <c r="Y232" s="2" t="s">
        <v>338</v>
      </c>
      <c r="Z232" s="2" t="s">
        <v>3106</v>
      </c>
      <c r="AA232" s="2">
        <v>5</v>
      </c>
      <c r="AB232" s="2" t="s">
        <v>106</v>
      </c>
      <c r="AC232" s="2" t="s">
        <v>3107</v>
      </c>
      <c r="AD232" s="3">
        <v>44188</v>
      </c>
      <c r="AE232" s="2" t="s">
        <v>58</v>
      </c>
      <c r="AF232" s="2">
        <v>2325000</v>
      </c>
      <c r="AG232" s="2">
        <v>46500</v>
      </c>
      <c r="AH232" s="2" t="s">
        <v>3108</v>
      </c>
      <c r="AI232" s="2">
        <v>49600</v>
      </c>
      <c r="AJ232" s="11">
        <v>3100</v>
      </c>
      <c r="AK232" s="11" t="s">
        <v>3109</v>
      </c>
    </row>
    <row r="233" spans="1:37">
      <c r="A233" s="10">
        <v>232</v>
      </c>
      <c r="B233" s="2" t="s">
        <v>37</v>
      </c>
      <c r="C233" s="2" t="s">
        <v>3110</v>
      </c>
      <c r="D233" s="2" t="s">
        <v>39</v>
      </c>
      <c r="E233" s="2" t="s">
        <v>40</v>
      </c>
      <c r="F233" s="2" t="s">
        <v>3111</v>
      </c>
      <c r="G233" s="2" t="s">
        <v>42</v>
      </c>
      <c r="H233" s="2" t="s">
        <v>3112</v>
      </c>
      <c r="I233" s="2" t="s">
        <v>3113</v>
      </c>
      <c r="J233" s="2" t="s">
        <v>3114</v>
      </c>
      <c r="K233" s="2" t="s">
        <v>3113</v>
      </c>
      <c r="L233" s="2" t="s">
        <v>3115</v>
      </c>
      <c r="M233" s="2">
        <v>1760500</v>
      </c>
      <c r="N233" s="2">
        <v>2515000</v>
      </c>
      <c r="O233" s="2" t="s">
        <v>3116</v>
      </c>
      <c r="P233" s="3">
        <v>45648</v>
      </c>
      <c r="Q233" s="2" t="s">
        <v>3117</v>
      </c>
      <c r="R233" s="2" t="s">
        <v>3118</v>
      </c>
      <c r="S233" s="2" t="s">
        <v>50</v>
      </c>
      <c r="T233" s="2" t="s">
        <v>51</v>
      </c>
      <c r="U233" s="2" t="s">
        <v>863</v>
      </c>
      <c r="V233" s="2" t="s">
        <v>53</v>
      </c>
      <c r="W233" s="3">
        <v>44923</v>
      </c>
      <c r="X233" s="2" t="s">
        <v>237</v>
      </c>
      <c r="Y233" s="2" t="s">
        <v>238</v>
      </c>
      <c r="Z233" s="2" t="s">
        <v>3119</v>
      </c>
      <c r="AA233" s="2">
        <v>5</v>
      </c>
      <c r="AB233" s="2" t="s">
        <v>56</v>
      </c>
      <c r="AC233" s="2" t="s">
        <v>3120</v>
      </c>
      <c r="AD233" s="3">
        <v>44918</v>
      </c>
      <c r="AE233" s="2" t="s">
        <v>108</v>
      </c>
      <c r="AF233" s="2">
        <v>2137750</v>
      </c>
      <c r="AG233" s="2">
        <v>37411</v>
      </c>
      <c r="AH233" s="2" t="s">
        <v>3121</v>
      </c>
      <c r="AI233" s="2">
        <v>39611</v>
      </c>
      <c r="AJ233" s="11">
        <v>2200</v>
      </c>
      <c r="AK233" s="11" t="s">
        <v>3122</v>
      </c>
    </row>
    <row r="234" spans="1:37">
      <c r="A234" s="10">
        <v>233</v>
      </c>
      <c r="B234" s="2" t="s">
        <v>37</v>
      </c>
      <c r="C234" s="2" t="s">
        <v>3123</v>
      </c>
      <c r="D234" s="2" t="s">
        <v>39</v>
      </c>
      <c r="E234" s="2" t="s">
        <v>40</v>
      </c>
      <c r="F234" s="2" t="s">
        <v>3124</v>
      </c>
      <c r="G234" s="2" t="s">
        <v>2186</v>
      </c>
      <c r="H234" s="2" t="s">
        <v>3125</v>
      </c>
      <c r="I234" s="2" t="s">
        <v>51</v>
      </c>
      <c r="J234" s="2" t="s">
        <v>3126</v>
      </c>
      <c r="K234" s="2" t="s">
        <v>51</v>
      </c>
      <c r="L234" s="2" t="s">
        <v>3127</v>
      </c>
      <c r="M234" s="2">
        <v>2278500</v>
      </c>
      <c r="N234" s="2">
        <v>3255000</v>
      </c>
      <c r="O234" s="2" t="s">
        <v>3128</v>
      </c>
      <c r="P234" s="3">
        <v>45648</v>
      </c>
      <c r="Q234" s="2" t="s">
        <v>3129</v>
      </c>
      <c r="R234" s="2" t="s">
        <v>3130</v>
      </c>
      <c r="S234" s="2" t="s">
        <v>50</v>
      </c>
      <c r="T234" s="2" t="s">
        <v>51</v>
      </c>
      <c r="U234" s="2" t="s">
        <v>3131</v>
      </c>
      <c r="V234" s="2" t="s">
        <v>286</v>
      </c>
      <c r="W234" s="3">
        <v>44559</v>
      </c>
      <c r="X234" s="2" t="s">
        <v>88</v>
      </c>
      <c r="Y234" s="2" t="s">
        <v>392</v>
      </c>
      <c r="Z234" s="2" t="s">
        <v>3132</v>
      </c>
      <c r="AA234" s="2">
        <v>5</v>
      </c>
      <c r="AB234" s="2" t="s">
        <v>75</v>
      </c>
      <c r="AC234" s="2" t="s">
        <v>3133</v>
      </c>
      <c r="AD234" s="3">
        <v>44553</v>
      </c>
      <c r="AE234" s="2" t="s">
        <v>58</v>
      </c>
      <c r="AF234" s="2">
        <v>2604000</v>
      </c>
      <c r="AG234" s="2">
        <v>52080</v>
      </c>
      <c r="AH234" s="2" t="s">
        <v>3134</v>
      </c>
      <c r="AI234" s="2">
        <v>55335</v>
      </c>
      <c r="AJ234" s="11">
        <v>3255</v>
      </c>
      <c r="AK234" s="11" t="s">
        <v>3135</v>
      </c>
    </row>
    <row r="235" spans="1:37">
      <c r="A235" s="10">
        <v>234</v>
      </c>
      <c r="B235" s="2" t="s">
        <v>37</v>
      </c>
      <c r="C235" s="2" t="s">
        <v>3136</v>
      </c>
      <c r="D235" s="2" t="s">
        <v>39</v>
      </c>
      <c r="E235" s="2" t="s">
        <v>40</v>
      </c>
      <c r="F235" s="2" t="s">
        <v>3137</v>
      </c>
      <c r="G235" s="2" t="s">
        <v>1557</v>
      </c>
      <c r="H235" s="2" t="s">
        <v>3138</v>
      </c>
      <c r="I235" s="2" t="s">
        <v>3139</v>
      </c>
      <c r="J235" s="2" t="s">
        <v>51</v>
      </c>
      <c r="K235" s="2" t="s">
        <v>3139</v>
      </c>
      <c r="L235" s="2" t="s">
        <v>3140</v>
      </c>
      <c r="M235" s="2">
        <v>2075500</v>
      </c>
      <c r="N235" s="2">
        <v>2965000</v>
      </c>
      <c r="O235" s="2" t="s">
        <v>3141</v>
      </c>
      <c r="P235" s="3">
        <v>45648</v>
      </c>
      <c r="Q235" s="2" t="s">
        <v>3142</v>
      </c>
      <c r="R235" s="2" t="s">
        <v>3143</v>
      </c>
      <c r="S235" s="2" t="s">
        <v>50</v>
      </c>
      <c r="T235" s="2" t="s">
        <v>51</v>
      </c>
      <c r="U235" s="2" t="s">
        <v>208</v>
      </c>
      <c r="V235" s="2" t="s">
        <v>286</v>
      </c>
      <c r="W235" s="3">
        <v>44559</v>
      </c>
      <c r="X235" s="2" t="s">
        <v>88</v>
      </c>
      <c r="Y235" s="2" t="s">
        <v>392</v>
      </c>
      <c r="Z235" s="2" t="s">
        <v>3144</v>
      </c>
      <c r="AA235" s="2">
        <v>5</v>
      </c>
      <c r="AB235" s="2" t="s">
        <v>90</v>
      </c>
      <c r="AC235" s="2" t="s">
        <v>3145</v>
      </c>
      <c r="AD235" s="3">
        <v>44558</v>
      </c>
      <c r="AE235" s="2" t="s">
        <v>58</v>
      </c>
      <c r="AF235" s="2">
        <v>2372000</v>
      </c>
      <c r="AG235" s="2">
        <v>47440</v>
      </c>
      <c r="AH235" s="2" t="s">
        <v>3146</v>
      </c>
      <c r="AI235" s="2">
        <v>50405</v>
      </c>
      <c r="AJ235" s="11">
        <v>2965</v>
      </c>
      <c r="AK235" s="11" t="s">
        <v>3147</v>
      </c>
    </row>
    <row r="236" spans="1:37" hidden="1">
      <c r="A236" s="10">
        <v>235</v>
      </c>
      <c r="B236" s="2" t="s">
        <v>37</v>
      </c>
      <c r="C236" s="2" t="s">
        <v>3148</v>
      </c>
      <c r="D236" s="2" t="s">
        <v>39</v>
      </c>
      <c r="E236" s="2" t="s">
        <v>40</v>
      </c>
      <c r="F236" s="2" t="s">
        <v>3149</v>
      </c>
      <c r="G236" s="2" t="s">
        <v>2186</v>
      </c>
      <c r="H236" s="2" t="s">
        <v>3150</v>
      </c>
      <c r="I236" s="2" t="s">
        <v>3151</v>
      </c>
      <c r="J236" s="2" t="s">
        <v>3151</v>
      </c>
      <c r="K236" s="2" t="s">
        <v>3151</v>
      </c>
      <c r="L236" s="2" t="s">
        <v>3152</v>
      </c>
      <c r="M236" s="2">
        <v>1473500</v>
      </c>
      <c r="N236" s="2">
        <v>2105000</v>
      </c>
      <c r="O236" s="2" t="s">
        <v>3153</v>
      </c>
      <c r="P236" s="3">
        <v>45673</v>
      </c>
      <c r="Q236" s="2" t="s">
        <v>3154</v>
      </c>
      <c r="R236" s="2" t="s">
        <v>3155</v>
      </c>
      <c r="S236" s="2" t="s">
        <v>50</v>
      </c>
      <c r="T236" s="2" t="s">
        <v>51</v>
      </c>
      <c r="U236" s="2" t="s">
        <v>2374</v>
      </c>
      <c r="V236" s="2" t="s">
        <v>53</v>
      </c>
      <c r="W236" s="3">
        <v>44587</v>
      </c>
      <c r="X236" s="2" t="s">
        <v>2428</v>
      </c>
      <c r="Y236" s="3">
        <v>46414</v>
      </c>
      <c r="Z236" s="2" t="s">
        <v>3156</v>
      </c>
      <c r="AA236" s="2">
        <v>5</v>
      </c>
      <c r="AB236" s="2" t="s">
        <v>75</v>
      </c>
      <c r="AC236" s="2" t="s">
        <v>3157</v>
      </c>
      <c r="AD236" s="3">
        <v>44578</v>
      </c>
      <c r="AE236" s="2" t="s">
        <v>58</v>
      </c>
      <c r="AF236" s="2">
        <v>1684000</v>
      </c>
      <c r="AG236" s="2">
        <v>33680</v>
      </c>
      <c r="AH236" s="2" t="s">
        <v>3158</v>
      </c>
      <c r="AI236" s="2">
        <v>33680</v>
      </c>
      <c r="AJ236" s="11">
        <v>0</v>
      </c>
      <c r="AK236" s="11"/>
    </row>
    <row r="237" spans="1:37" hidden="1">
      <c r="A237" s="10">
        <v>236</v>
      </c>
      <c r="B237" s="2" t="s">
        <v>37</v>
      </c>
      <c r="C237" s="2" t="s">
        <v>3159</v>
      </c>
      <c r="D237" s="2" t="s">
        <v>39</v>
      </c>
      <c r="E237" s="2" t="s">
        <v>40</v>
      </c>
      <c r="F237" s="2" t="s">
        <v>3160</v>
      </c>
      <c r="G237" s="2" t="s">
        <v>112</v>
      </c>
      <c r="H237" s="2" t="s">
        <v>3161</v>
      </c>
      <c r="I237" s="2" t="s">
        <v>3162</v>
      </c>
      <c r="J237" s="2" t="s">
        <v>51</v>
      </c>
      <c r="K237" s="2" t="s">
        <v>3163</v>
      </c>
      <c r="L237" s="2" t="s">
        <v>3164</v>
      </c>
      <c r="M237" s="2">
        <v>1509750</v>
      </c>
      <c r="N237" s="2">
        <v>2745000</v>
      </c>
      <c r="O237" s="2" t="s">
        <v>3165</v>
      </c>
      <c r="P237" s="3">
        <v>45673</v>
      </c>
      <c r="Q237" s="2" t="s">
        <v>3166</v>
      </c>
      <c r="R237" s="2" t="s">
        <v>3167</v>
      </c>
      <c r="S237" s="2" t="s">
        <v>50</v>
      </c>
      <c r="T237" s="2" t="s">
        <v>51</v>
      </c>
      <c r="U237" s="2" t="s">
        <v>3168</v>
      </c>
      <c r="V237" s="2" t="s">
        <v>53</v>
      </c>
      <c r="W237" s="3">
        <v>44586</v>
      </c>
      <c r="X237" s="2" t="s">
        <v>2428</v>
      </c>
      <c r="Y237" s="3">
        <v>46414</v>
      </c>
      <c r="Z237" s="2" t="s">
        <v>3169</v>
      </c>
      <c r="AA237" s="2">
        <v>5</v>
      </c>
      <c r="AB237" s="2" t="s">
        <v>75</v>
      </c>
      <c r="AC237" s="2" t="s">
        <v>3170</v>
      </c>
      <c r="AD237" s="3">
        <v>44578</v>
      </c>
      <c r="AE237" s="2" t="s">
        <v>58</v>
      </c>
      <c r="AF237" s="2">
        <v>2196000</v>
      </c>
      <c r="AG237" s="2">
        <v>43920</v>
      </c>
      <c r="AH237" s="2" t="s">
        <v>3171</v>
      </c>
      <c r="AI237" s="2">
        <v>43920</v>
      </c>
      <c r="AJ237" s="11">
        <v>0</v>
      </c>
      <c r="AK237" s="11"/>
    </row>
    <row r="238" spans="1:37" hidden="1">
      <c r="A238" s="10">
        <v>237</v>
      </c>
      <c r="B238" s="2" t="s">
        <v>37</v>
      </c>
      <c r="C238" s="2" t="s">
        <v>3172</v>
      </c>
      <c r="D238" s="2" t="s">
        <v>39</v>
      </c>
      <c r="E238" s="2" t="s">
        <v>40</v>
      </c>
      <c r="F238" s="2" t="s">
        <v>3173</v>
      </c>
      <c r="G238" s="2" t="s">
        <v>3174</v>
      </c>
      <c r="H238" s="2" t="s">
        <v>3175</v>
      </c>
      <c r="I238" s="2" t="s">
        <v>51</v>
      </c>
      <c r="J238" s="2" t="s">
        <v>3176</v>
      </c>
      <c r="K238" s="2" t="s">
        <v>51</v>
      </c>
      <c r="L238" s="2" t="s">
        <v>3177</v>
      </c>
      <c r="M238" s="2">
        <v>2068500</v>
      </c>
      <c r="N238" s="2">
        <v>2955000</v>
      </c>
      <c r="O238" s="2" t="s">
        <v>3178</v>
      </c>
      <c r="P238" s="3">
        <v>45673</v>
      </c>
      <c r="Q238" s="2" t="s">
        <v>3179</v>
      </c>
      <c r="R238" s="2" t="s">
        <v>3180</v>
      </c>
      <c r="S238" s="2" t="s">
        <v>50</v>
      </c>
      <c r="T238" s="2" t="s">
        <v>51</v>
      </c>
      <c r="U238" s="2" t="s">
        <v>208</v>
      </c>
      <c r="V238" s="2" t="s">
        <v>53</v>
      </c>
      <c r="W238" s="3">
        <v>44588</v>
      </c>
      <c r="X238" s="2" t="s">
        <v>2428</v>
      </c>
      <c r="Y238" s="3">
        <v>46414</v>
      </c>
      <c r="Z238" s="2" t="s">
        <v>3181</v>
      </c>
      <c r="AA238" s="2">
        <v>5</v>
      </c>
      <c r="AB238" s="2" t="s">
        <v>90</v>
      </c>
      <c r="AC238" s="2" t="s">
        <v>3182</v>
      </c>
      <c r="AD238" s="3">
        <v>44579</v>
      </c>
      <c r="AE238" s="2" t="s">
        <v>58</v>
      </c>
      <c r="AF238" s="2">
        <v>2364000</v>
      </c>
      <c r="AG238" s="2">
        <v>47280</v>
      </c>
      <c r="AH238" s="2" t="s">
        <v>3183</v>
      </c>
      <c r="AI238" s="2">
        <v>47280</v>
      </c>
      <c r="AJ238" s="11">
        <v>0</v>
      </c>
      <c r="AK238" s="11"/>
    </row>
    <row r="239" spans="1:37">
      <c r="A239" s="10">
        <v>238</v>
      </c>
      <c r="B239" s="2" t="s">
        <v>37</v>
      </c>
      <c r="C239" s="2" t="s">
        <v>3184</v>
      </c>
      <c r="D239" s="2" t="s">
        <v>39</v>
      </c>
      <c r="E239" s="2" t="s">
        <v>40</v>
      </c>
      <c r="F239" s="2" t="s">
        <v>3185</v>
      </c>
      <c r="G239" s="2" t="s">
        <v>276</v>
      </c>
      <c r="H239" s="2" t="s">
        <v>3186</v>
      </c>
      <c r="I239" s="2" t="s">
        <v>3187</v>
      </c>
      <c r="J239" s="2" t="s">
        <v>3187</v>
      </c>
      <c r="K239" s="2" t="s">
        <v>3187</v>
      </c>
      <c r="L239" s="2" t="s">
        <v>3188</v>
      </c>
      <c r="M239" s="2">
        <v>1249300</v>
      </c>
      <c r="N239" s="2">
        <v>1922000</v>
      </c>
      <c r="O239" s="2" t="s">
        <v>3189</v>
      </c>
      <c r="P239" s="3">
        <v>45648</v>
      </c>
      <c r="Q239" s="2" t="s">
        <v>3190</v>
      </c>
      <c r="R239" s="2" t="s">
        <v>3191</v>
      </c>
      <c r="S239" s="2" t="s">
        <v>50</v>
      </c>
      <c r="T239" s="2" t="s">
        <v>51</v>
      </c>
      <c r="U239" s="2" t="s">
        <v>3192</v>
      </c>
      <c r="V239" s="2" t="s">
        <v>521</v>
      </c>
      <c r="W239" s="3">
        <v>44069</v>
      </c>
      <c r="X239" s="2" t="s">
        <v>337</v>
      </c>
      <c r="Y239" s="2" t="s">
        <v>338</v>
      </c>
      <c r="Z239" s="2" t="s">
        <v>3193</v>
      </c>
      <c r="AA239" s="2">
        <v>5</v>
      </c>
      <c r="AB239" s="2" t="s">
        <v>90</v>
      </c>
      <c r="AC239" s="2" t="s">
        <v>3194</v>
      </c>
      <c r="AD239" s="3">
        <v>44188</v>
      </c>
      <c r="AE239" s="2" t="s">
        <v>58</v>
      </c>
      <c r="AF239" s="2">
        <v>1441500</v>
      </c>
      <c r="AG239" s="2">
        <v>28830</v>
      </c>
      <c r="AH239" s="2" t="s">
        <v>3195</v>
      </c>
      <c r="AI239" s="2">
        <v>30752</v>
      </c>
      <c r="AJ239" s="11">
        <v>1922</v>
      </c>
      <c r="AK239" s="11" t="s">
        <v>3196</v>
      </c>
    </row>
    <row r="240" spans="1:37" hidden="1">
      <c r="A240" s="10">
        <v>239</v>
      </c>
      <c r="B240" s="2" t="s">
        <v>37</v>
      </c>
      <c r="C240" s="2" t="s">
        <v>3197</v>
      </c>
      <c r="D240" s="2" t="s">
        <v>39</v>
      </c>
      <c r="E240" s="2" t="s">
        <v>40</v>
      </c>
      <c r="F240" s="2" t="s">
        <v>1000</v>
      </c>
      <c r="G240" s="2" t="s">
        <v>62</v>
      </c>
      <c r="H240" s="2" t="s">
        <v>3198</v>
      </c>
      <c r="I240" s="2" t="s">
        <v>51</v>
      </c>
      <c r="J240" s="2" t="s">
        <v>3199</v>
      </c>
      <c r="K240" s="2" t="s">
        <v>51</v>
      </c>
      <c r="L240" s="2" t="s">
        <v>3200</v>
      </c>
      <c r="M240" s="2">
        <v>2480000</v>
      </c>
      <c r="N240" s="2">
        <v>4960000</v>
      </c>
      <c r="O240" s="2" t="s">
        <v>3201</v>
      </c>
      <c r="P240" s="3">
        <v>45647</v>
      </c>
      <c r="Q240" s="2" t="s">
        <v>3202</v>
      </c>
      <c r="R240" s="2" t="s">
        <v>3203</v>
      </c>
      <c r="S240" s="2" t="s">
        <v>50</v>
      </c>
      <c r="T240" s="2" t="s">
        <v>51</v>
      </c>
      <c r="U240" s="2" t="s">
        <v>1286</v>
      </c>
      <c r="V240" s="2" t="s">
        <v>1194</v>
      </c>
      <c r="W240" s="3">
        <v>45287</v>
      </c>
      <c r="X240" s="2" t="s">
        <v>1195</v>
      </c>
      <c r="Y240" s="2" t="s">
        <v>392</v>
      </c>
      <c r="Z240" s="2" t="s">
        <v>3204</v>
      </c>
      <c r="AA240" s="2">
        <v>3</v>
      </c>
      <c r="AB240" s="2" t="s">
        <v>90</v>
      </c>
      <c r="AC240" s="2" t="s">
        <v>3205</v>
      </c>
      <c r="AD240" s="3">
        <v>45286</v>
      </c>
      <c r="AE240" s="2" t="s">
        <v>108</v>
      </c>
      <c r="AF240" s="2">
        <v>4464000</v>
      </c>
      <c r="AG240" s="2">
        <v>78120</v>
      </c>
      <c r="AH240" s="2" t="s">
        <v>3206</v>
      </c>
      <c r="AI240" s="2">
        <v>78120</v>
      </c>
      <c r="AJ240" s="11">
        <v>0</v>
      </c>
      <c r="AK240" s="11"/>
    </row>
    <row r="241" spans="1:37">
      <c r="A241" s="10">
        <v>240</v>
      </c>
      <c r="B241" s="2" t="s">
        <v>37</v>
      </c>
      <c r="C241" s="2" t="s">
        <v>3207</v>
      </c>
      <c r="D241" s="2" t="s">
        <v>39</v>
      </c>
      <c r="E241" s="2" t="s">
        <v>40</v>
      </c>
      <c r="F241" s="2" t="s">
        <v>3208</v>
      </c>
      <c r="G241" s="2" t="s">
        <v>112</v>
      </c>
      <c r="H241" s="2" t="s">
        <v>3209</v>
      </c>
      <c r="I241" s="2" t="s">
        <v>485</v>
      </c>
      <c r="J241" s="2" t="s">
        <v>3210</v>
      </c>
      <c r="K241" s="2" t="s">
        <v>3211</v>
      </c>
      <c r="L241" s="2" t="s">
        <v>3212</v>
      </c>
      <c r="M241" s="2">
        <v>3418700</v>
      </c>
      <c r="N241" s="2">
        <v>4022000</v>
      </c>
      <c r="O241" s="2" t="s">
        <v>3213</v>
      </c>
      <c r="P241" s="3">
        <v>45647</v>
      </c>
      <c r="Q241" s="2" t="s">
        <v>3214</v>
      </c>
      <c r="R241" s="2" t="s">
        <v>3215</v>
      </c>
      <c r="S241" s="2" t="s">
        <v>50</v>
      </c>
      <c r="T241" s="2" t="s">
        <v>3216</v>
      </c>
      <c r="U241" s="2" t="s">
        <v>535</v>
      </c>
      <c r="V241" s="2" t="s">
        <v>286</v>
      </c>
      <c r="W241" s="3">
        <v>44453</v>
      </c>
      <c r="X241" s="2" t="s">
        <v>88</v>
      </c>
      <c r="Y241" s="2" t="s">
        <v>238</v>
      </c>
      <c r="Z241" s="2" t="s">
        <v>3217</v>
      </c>
      <c r="AA241" s="2">
        <v>6</v>
      </c>
      <c r="AB241" s="2" t="s">
        <v>90</v>
      </c>
      <c r="AC241" s="2" t="s">
        <v>3218</v>
      </c>
      <c r="AD241" s="3">
        <v>44553</v>
      </c>
      <c r="AE241" s="2" t="s">
        <v>58</v>
      </c>
      <c r="AF241" s="2">
        <v>3217600</v>
      </c>
      <c r="AG241" s="2">
        <v>64352</v>
      </c>
      <c r="AH241" s="2" t="s">
        <v>3219</v>
      </c>
      <c r="AI241" s="5">
        <v>68374</v>
      </c>
      <c r="AJ241" s="11">
        <v>4022</v>
      </c>
      <c r="AK241" s="11" t="s">
        <v>3220</v>
      </c>
    </row>
    <row r="242" spans="1:37">
      <c r="A242" s="10">
        <v>241</v>
      </c>
      <c r="B242" s="2" t="s">
        <v>37</v>
      </c>
      <c r="C242" s="2" t="s">
        <v>3221</v>
      </c>
      <c r="D242" s="2" t="s">
        <v>39</v>
      </c>
      <c r="E242" s="2" t="s">
        <v>40</v>
      </c>
      <c r="F242" s="2" t="s">
        <v>3222</v>
      </c>
      <c r="G242" s="2" t="s">
        <v>3174</v>
      </c>
      <c r="H242" s="2" t="s">
        <v>3223</v>
      </c>
      <c r="I242" s="2" t="s">
        <v>3224</v>
      </c>
      <c r="J242" s="2" t="s">
        <v>3225</v>
      </c>
      <c r="K242" s="2" t="s">
        <v>3224</v>
      </c>
      <c r="L242" s="2" t="s">
        <v>3226</v>
      </c>
      <c r="M242" s="2">
        <v>1961500</v>
      </c>
      <c r="N242" s="2">
        <v>3923000</v>
      </c>
      <c r="O242" s="2" t="s">
        <v>3227</v>
      </c>
      <c r="P242" s="3">
        <v>45647</v>
      </c>
      <c r="Q242" s="2" t="s">
        <v>3228</v>
      </c>
      <c r="R242" s="2" t="s">
        <v>3229</v>
      </c>
      <c r="S242" s="2" t="s">
        <v>50</v>
      </c>
      <c r="T242" s="2" t="s">
        <v>51</v>
      </c>
      <c r="U242" s="2" t="s">
        <v>563</v>
      </c>
      <c r="V242" s="2" t="s">
        <v>286</v>
      </c>
      <c r="W242" s="3">
        <v>44560</v>
      </c>
      <c r="X242" s="2" t="s">
        <v>88</v>
      </c>
      <c r="Y242" s="2" t="s">
        <v>392</v>
      </c>
      <c r="Z242" s="2" t="s">
        <v>3230</v>
      </c>
      <c r="AA242" s="2">
        <v>5</v>
      </c>
      <c r="AB242" s="2" t="s">
        <v>75</v>
      </c>
      <c r="AC242" s="2" t="s">
        <v>3231</v>
      </c>
      <c r="AD242" s="3">
        <v>44552</v>
      </c>
      <c r="AE242" s="2" t="s">
        <v>58</v>
      </c>
      <c r="AF242" s="2">
        <v>3138400</v>
      </c>
      <c r="AG242" s="2">
        <v>62768</v>
      </c>
      <c r="AH242" s="2" t="s">
        <v>3232</v>
      </c>
      <c r="AI242" s="2">
        <v>66691</v>
      </c>
      <c r="AJ242" s="11">
        <v>3923</v>
      </c>
      <c r="AK242" s="11" t="s">
        <v>3233</v>
      </c>
    </row>
    <row r="243" spans="1:37">
      <c r="A243" s="10">
        <v>242</v>
      </c>
      <c r="B243" s="2" t="s">
        <v>37</v>
      </c>
      <c r="C243" s="2" t="s">
        <v>3234</v>
      </c>
      <c r="D243" s="2" t="s">
        <v>39</v>
      </c>
      <c r="E243" s="2" t="s">
        <v>40</v>
      </c>
      <c r="F243" s="2" t="s">
        <v>3235</v>
      </c>
      <c r="G243" s="2" t="s">
        <v>276</v>
      </c>
      <c r="H243" s="2" t="s">
        <v>3236</v>
      </c>
      <c r="I243" s="2" t="s">
        <v>3237</v>
      </c>
      <c r="J243" s="2" t="s">
        <v>3237</v>
      </c>
      <c r="K243" s="2" t="s">
        <v>3237</v>
      </c>
      <c r="L243" s="2" t="s">
        <v>3238</v>
      </c>
      <c r="M243" s="2">
        <v>1424000</v>
      </c>
      <c r="N243" s="2">
        <v>1780000</v>
      </c>
      <c r="O243" s="2" t="s">
        <v>3239</v>
      </c>
      <c r="P243" s="3">
        <v>45647</v>
      </c>
      <c r="Q243" s="2" t="s">
        <v>3240</v>
      </c>
      <c r="R243" s="2" t="s">
        <v>3241</v>
      </c>
      <c r="S243" s="2" t="s">
        <v>50</v>
      </c>
      <c r="T243" s="2" t="s">
        <v>51</v>
      </c>
      <c r="U243" s="2" t="s">
        <v>2374</v>
      </c>
      <c r="V243" s="2" t="s">
        <v>521</v>
      </c>
      <c r="W243" s="3">
        <v>44123</v>
      </c>
      <c r="X243" s="2" t="s">
        <v>337</v>
      </c>
      <c r="Y243" s="2" t="s">
        <v>338</v>
      </c>
      <c r="Z243" s="2" t="s">
        <v>3242</v>
      </c>
      <c r="AA243" s="2">
        <v>5</v>
      </c>
      <c r="AB243" s="2" t="s">
        <v>90</v>
      </c>
      <c r="AC243" s="2" t="s">
        <v>3243</v>
      </c>
      <c r="AD243" s="3">
        <v>44188</v>
      </c>
      <c r="AE243" s="2" t="s">
        <v>58</v>
      </c>
      <c r="AF243" s="2">
        <v>1335000</v>
      </c>
      <c r="AG243" s="2">
        <v>26700</v>
      </c>
      <c r="AH243" s="2" t="s">
        <v>3244</v>
      </c>
      <c r="AI243" s="2">
        <v>28480</v>
      </c>
      <c r="AJ243" s="11">
        <v>1780</v>
      </c>
      <c r="AK243" s="11" t="s">
        <v>3245</v>
      </c>
    </row>
    <row r="244" spans="1:37" hidden="1">
      <c r="A244" s="10">
        <v>243</v>
      </c>
      <c r="B244" s="2" t="s">
        <v>37</v>
      </c>
      <c r="C244" s="2" t="s">
        <v>3246</v>
      </c>
      <c r="D244" s="2" t="s">
        <v>39</v>
      </c>
      <c r="E244" s="2" t="s">
        <v>40</v>
      </c>
      <c r="F244" s="2" t="s">
        <v>3247</v>
      </c>
      <c r="G244" s="2" t="s">
        <v>42</v>
      </c>
      <c r="H244" s="2" t="s">
        <v>3248</v>
      </c>
      <c r="I244" s="2" t="s">
        <v>3249</v>
      </c>
      <c r="J244" s="2" t="s">
        <v>3250</v>
      </c>
      <c r="K244" s="2" t="s">
        <v>3249</v>
      </c>
      <c r="L244" s="2" t="s">
        <v>3251</v>
      </c>
      <c r="M244" s="2">
        <v>1470000</v>
      </c>
      <c r="N244" s="2">
        <v>2100000</v>
      </c>
      <c r="O244" s="2" t="s">
        <v>3252</v>
      </c>
      <c r="P244" s="3">
        <v>45673</v>
      </c>
      <c r="Q244" s="2" t="s">
        <v>3253</v>
      </c>
      <c r="R244" s="2" t="s">
        <v>3254</v>
      </c>
      <c r="S244" s="2" t="s">
        <v>69</v>
      </c>
      <c r="T244" s="2" t="s">
        <v>3255</v>
      </c>
      <c r="U244" s="2" t="s">
        <v>420</v>
      </c>
      <c r="V244" s="2" t="s">
        <v>53</v>
      </c>
      <c r="W244" s="3">
        <v>44944</v>
      </c>
      <c r="X244" s="2" t="s">
        <v>1710</v>
      </c>
      <c r="Y244" s="3">
        <v>46043</v>
      </c>
      <c r="Z244" s="2" t="s">
        <v>3256</v>
      </c>
      <c r="AA244" s="2">
        <v>3</v>
      </c>
      <c r="AB244" s="2" t="s">
        <v>75</v>
      </c>
      <c r="AC244" s="2" t="s">
        <v>3257</v>
      </c>
      <c r="AD244" s="3">
        <v>44943</v>
      </c>
      <c r="AE244" s="2" t="s">
        <v>108</v>
      </c>
      <c r="AF244" s="2">
        <v>1785000</v>
      </c>
      <c r="AG244" s="2">
        <v>31238</v>
      </c>
      <c r="AH244" s="2" t="s">
        <v>3258</v>
      </c>
      <c r="AI244" s="2">
        <v>31238</v>
      </c>
      <c r="AJ244" s="11">
        <v>0</v>
      </c>
      <c r="AK244" s="11"/>
    </row>
    <row r="245" spans="1:37">
      <c r="A245" s="10">
        <v>244</v>
      </c>
      <c r="B245" s="2" t="s">
        <v>37</v>
      </c>
      <c r="C245" s="2" t="s">
        <v>3259</v>
      </c>
      <c r="D245" s="2" t="s">
        <v>39</v>
      </c>
      <c r="E245" s="2" t="s">
        <v>40</v>
      </c>
      <c r="F245" s="2" t="s">
        <v>3260</v>
      </c>
      <c r="G245" s="2" t="s">
        <v>112</v>
      </c>
      <c r="H245" s="2" t="s">
        <v>3261</v>
      </c>
      <c r="I245" s="2" t="s">
        <v>51</v>
      </c>
      <c r="J245" s="2" t="s">
        <v>3262</v>
      </c>
      <c r="K245" s="2" t="s">
        <v>51</v>
      </c>
      <c r="L245" s="2" t="s">
        <v>3263</v>
      </c>
      <c r="M245" s="2">
        <v>1018600</v>
      </c>
      <c r="N245" s="2">
        <v>1852000</v>
      </c>
      <c r="O245" s="2" t="s">
        <v>3264</v>
      </c>
      <c r="P245" s="3">
        <v>45647</v>
      </c>
      <c r="Q245" s="2" t="s">
        <v>3265</v>
      </c>
      <c r="R245" s="2" t="s">
        <v>3266</v>
      </c>
      <c r="S245" s="2" t="s">
        <v>50</v>
      </c>
      <c r="T245" s="2" t="s">
        <v>51</v>
      </c>
      <c r="U245" s="2" t="s">
        <v>253</v>
      </c>
      <c r="V245" s="2" t="s">
        <v>286</v>
      </c>
      <c r="W245" s="3">
        <v>44558</v>
      </c>
      <c r="X245" s="2" t="s">
        <v>88</v>
      </c>
      <c r="Y245" s="2" t="s">
        <v>821</v>
      </c>
      <c r="Z245" s="2" t="s">
        <v>3267</v>
      </c>
      <c r="AA245" s="2">
        <v>7</v>
      </c>
      <c r="AB245" s="2" t="s">
        <v>90</v>
      </c>
      <c r="AC245" s="2" t="s">
        <v>3268</v>
      </c>
      <c r="AD245" s="3">
        <v>44553</v>
      </c>
      <c r="AE245" s="2" t="s">
        <v>58</v>
      </c>
      <c r="AF245" s="2">
        <v>1481600</v>
      </c>
      <c r="AG245" s="2">
        <v>29632</v>
      </c>
      <c r="AH245" s="2" t="s">
        <v>3269</v>
      </c>
      <c r="AI245" s="2">
        <v>31484</v>
      </c>
      <c r="AJ245" s="11">
        <v>1852</v>
      </c>
      <c r="AK245" s="11" t="s">
        <v>3270</v>
      </c>
    </row>
    <row r="246" spans="1:37">
      <c r="A246" s="10">
        <v>245</v>
      </c>
      <c r="B246" s="2" t="s">
        <v>37</v>
      </c>
      <c r="C246" s="2" t="s">
        <v>3271</v>
      </c>
      <c r="D246" s="2" t="s">
        <v>39</v>
      </c>
      <c r="E246" s="2" t="s">
        <v>40</v>
      </c>
      <c r="F246" s="2" t="s">
        <v>3272</v>
      </c>
      <c r="G246" s="2" t="s">
        <v>3273</v>
      </c>
      <c r="H246" s="2" t="s">
        <v>3274</v>
      </c>
      <c r="I246" s="2" t="s">
        <v>51</v>
      </c>
      <c r="J246" s="2" t="s">
        <v>3275</v>
      </c>
      <c r="K246" s="2" t="s">
        <v>51</v>
      </c>
      <c r="L246" s="2" t="s">
        <v>3276</v>
      </c>
      <c r="M246" s="2">
        <v>700000</v>
      </c>
      <c r="N246" s="2">
        <v>1000000</v>
      </c>
      <c r="O246" s="2" t="s">
        <v>3277</v>
      </c>
      <c r="P246" s="3">
        <v>45647</v>
      </c>
      <c r="Q246" s="2" t="s">
        <v>3278</v>
      </c>
      <c r="R246" s="2" t="s">
        <v>3279</v>
      </c>
      <c r="S246" s="2" t="s">
        <v>69</v>
      </c>
      <c r="T246" s="2" t="s">
        <v>51</v>
      </c>
      <c r="U246" s="2" t="s">
        <v>3280</v>
      </c>
      <c r="V246" s="2" t="s">
        <v>336</v>
      </c>
      <c r="W246" s="3">
        <v>44558</v>
      </c>
      <c r="X246" s="2" t="s">
        <v>88</v>
      </c>
      <c r="Y246" s="2" t="s">
        <v>338</v>
      </c>
      <c r="Z246" s="2" t="s">
        <v>3281</v>
      </c>
      <c r="AA246" s="2">
        <v>4</v>
      </c>
      <c r="AB246" s="2" t="s">
        <v>90</v>
      </c>
      <c r="AC246" s="2" t="s">
        <v>3282</v>
      </c>
      <c r="AD246" s="3">
        <v>44554</v>
      </c>
      <c r="AE246" s="2" t="s">
        <v>77</v>
      </c>
      <c r="AF246" s="2">
        <v>800000</v>
      </c>
      <c r="AG246" s="2">
        <v>12000</v>
      </c>
      <c r="AH246" s="2" t="s">
        <v>3283</v>
      </c>
      <c r="AI246" s="2">
        <v>12750</v>
      </c>
      <c r="AJ246" s="11">
        <v>750</v>
      </c>
      <c r="AK246" s="11" t="s">
        <v>3284</v>
      </c>
    </row>
    <row r="247" spans="1:37">
      <c r="A247" s="10">
        <v>246</v>
      </c>
      <c r="B247" s="2" t="s">
        <v>37</v>
      </c>
      <c r="C247" s="2" t="s">
        <v>3285</v>
      </c>
      <c r="D247" s="2" t="s">
        <v>39</v>
      </c>
      <c r="E247" s="2" t="s">
        <v>40</v>
      </c>
      <c r="F247" s="2" t="s">
        <v>3286</v>
      </c>
      <c r="G247" s="2" t="s">
        <v>276</v>
      </c>
      <c r="H247" s="2" t="s">
        <v>3287</v>
      </c>
      <c r="I247" s="2" t="s">
        <v>3288</v>
      </c>
      <c r="J247" s="2" t="s">
        <v>3288</v>
      </c>
      <c r="K247" s="2" t="s">
        <v>3288</v>
      </c>
      <c r="L247" s="2" t="s">
        <v>3289</v>
      </c>
      <c r="M247" s="2">
        <v>2042400</v>
      </c>
      <c r="N247" s="2">
        <v>2553000</v>
      </c>
      <c r="O247" s="2" t="s">
        <v>3290</v>
      </c>
      <c r="P247" s="3">
        <v>45646</v>
      </c>
      <c r="Q247" s="2" t="s">
        <v>3291</v>
      </c>
      <c r="R247" s="2" t="s">
        <v>3292</v>
      </c>
      <c r="S247" s="2" t="s">
        <v>50</v>
      </c>
      <c r="T247" s="2" t="s">
        <v>51</v>
      </c>
      <c r="U247" s="2" t="s">
        <v>3293</v>
      </c>
      <c r="V247" s="2" t="s">
        <v>286</v>
      </c>
      <c r="W247" s="3">
        <v>44461</v>
      </c>
      <c r="X247" s="2" t="s">
        <v>73</v>
      </c>
      <c r="Y247" s="2" t="s">
        <v>318</v>
      </c>
      <c r="Z247" s="2" t="s">
        <v>3294</v>
      </c>
      <c r="AA247" s="2">
        <v>5</v>
      </c>
      <c r="AB247" s="2" t="s">
        <v>90</v>
      </c>
      <c r="AC247" s="2" t="s">
        <v>3295</v>
      </c>
      <c r="AD247" s="3">
        <v>44552</v>
      </c>
      <c r="AE247" s="2" t="s">
        <v>58</v>
      </c>
      <c r="AF247" s="2">
        <v>2042400</v>
      </c>
      <c r="AG247" s="2">
        <v>40848</v>
      </c>
      <c r="AH247" s="2" t="s">
        <v>3296</v>
      </c>
      <c r="AI247" s="2">
        <v>43401</v>
      </c>
      <c r="AJ247" s="11">
        <v>2553</v>
      </c>
      <c r="AK247" s="11" t="s">
        <v>3297</v>
      </c>
    </row>
    <row r="248" spans="1:37">
      <c r="A248" s="10">
        <v>247</v>
      </c>
      <c r="B248" s="2" t="s">
        <v>37</v>
      </c>
      <c r="C248" s="2" t="s">
        <v>3298</v>
      </c>
      <c r="D248" s="2" t="s">
        <v>39</v>
      </c>
      <c r="E248" s="2" t="s">
        <v>40</v>
      </c>
      <c r="F248" s="2" t="s">
        <v>3299</v>
      </c>
      <c r="G248" s="2" t="s">
        <v>276</v>
      </c>
      <c r="H248" s="2" t="s">
        <v>3300</v>
      </c>
      <c r="I248" s="2" t="s">
        <v>3301</v>
      </c>
      <c r="J248" s="2" t="s">
        <v>3301</v>
      </c>
      <c r="K248" s="2" t="s">
        <v>3302</v>
      </c>
      <c r="L248" s="2" t="s">
        <v>3303</v>
      </c>
      <c r="M248" s="2">
        <v>1906450</v>
      </c>
      <c r="N248" s="2">
        <v>2933000</v>
      </c>
      <c r="O248" s="2" t="s">
        <v>3304</v>
      </c>
      <c r="P248" s="3">
        <v>45646</v>
      </c>
      <c r="Q248" s="2" t="s">
        <v>3305</v>
      </c>
      <c r="R248" s="2" t="s">
        <v>3306</v>
      </c>
      <c r="S248" s="2" t="s">
        <v>50</v>
      </c>
      <c r="T248" s="2" t="s">
        <v>51</v>
      </c>
      <c r="U248" s="2" t="s">
        <v>591</v>
      </c>
      <c r="V248" s="2" t="s">
        <v>286</v>
      </c>
      <c r="W248" s="3">
        <v>44466</v>
      </c>
      <c r="X248" s="2" t="s">
        <v>73</v>
      </c>
      <c r="Y248" s="2" t="s">
        <v>318</v>
      </c>
      <c r="Z248" s="2" t="s">
        <v>3307</v>
      </c>
      <c r="AA248" s="2">
        <v>5</v>
      </c>
      <c r="AB248" s="2" t="s">
        <v>90</v>
      </c>
      <c r="AC248" s="2" t="s">
        <v>3308</v>
      </c>
      <c r="AD248" s="3">
        <v>44554</v>
      </c>
      <c r="AE248" s="2" t="s">
        <v>58</v>
      </c>
      <c r="AF248" s="2">
        <v>2346400</v>
      </c>
      <c r="AG248" s="2">
        <v>46928</v>
      </c>
      <c r="AH248" s="2" t="s">
        <v>3309</v>
      </c>
      <c r="AI248" s="2">
        <v>49861</v>
      </c>
      <c r="AJ248" s="11">
        <v>2933</v>
      </c>
      <c r="AK248" s="11" t="s">
        <v>3310</v>
      </c>
    </row>
    <row r="249" spans="1:37">
      <c r="A249" s="10">
        <v>248</v>
      </c>
      <c r="B249" s="2" t="s">
        <v>37</v>
      </c>
      <c r="C249" s="2" t="s">
        <v>3311</v>
      </c>
      <c r="D249" s="2" t="s">
        <v>39</v>
      </c>
      <c r="E249" s="2" t="s">
        <v>40</v>
      </c>
      <c r="F249" s="2" t="s">
        <v>3312</v>
      </c>
      <c r="G249" s="2" t="s">
        <v>3273</v>
      </c>
      <c r="H249" s="2" t="s">
        <v>3313</v>
      </c>
      <c r="I249" s="2" t="s">
        <v>51</v>
      </c>
      <c r="J249" s="2" t="s">
        <v>3314</v>
      </c>
      <c r="K249" s="2" t="s">
        <v>51</v>
      </c>
      <c r="L249" s="2" t="s">
        <v>3315</v>
      </c>
      <c r="M249" s="2">
        <v>630000</v>
      </c>
      <c r="N249" s="2">
        <v>900000</v>
      </c>
      <c r="O249" s="2" t="s">
        <v>3316</v>
      </c>
      <c r="P249" s="3">
        <v>45645</v>
      </c>
      <c r="Q249" s="2" t="s">
        <v>3317</v>
      </c>
      <c r="R249" s="2" t="s">
        <v>3318</v>
      </c>
      <c r="S249" s="2" t="s">
        <v>69</v>
      </c>
      <c r="T249" s="2" t="s">
        <v>3319</v>
      </c>
      <c r="U249" s="2" t="s">
        <v>3280</v>
      </c>
      <c r="V249" s="2" t="s">
        <v>365</v>
      </c>
      <c r="W249" s="3">
        <v>44558</v>
      </c>
      <c r="X249" s="2" t="s">
        <v>88</v>
      </c>
      <c r="Y249" s="2" t="s">
        <v>392</v>
      </c>
      <c r="Z249" s="2" t="s">
        <v>3320</v>
      </c>
      <c r="AA249" s="2">
        <v>5</v>
      </c>
      <c r="AB249" s="2" t="s">
        <v>90</v>
      </c>
      <c r="AC249" s="2" t="s">
        <v>3321</v>
      </c>
      <c r="AD249" s="3">
        <v>44551</v>
      </c>
      <c r="AE249" s="2" t="s">
        <v>77</v>
      </c>
      <c r="AF249" s="2">
        <v>720000</v>
      </c>
      <c r="AG249" s="2">
        <v>10800</v>
      </c>
      <c r="AH249" s="2" t="s">
        <v>3322</v>
      </c>
      <c r="AI249" s="2">
        <v>11475</v>
      </c>
      <c r="AJ249" s="11">
        <v>675</v>
      </c>
      <c r="AK249" s="11" t="s">
        <v>3323</v>
      </c>
    </row>
    <row r="250" spans="1:37">
      <c r="A250" s="10">
        <v>249</v>
      </c>
      <c r="B250" s="2" t="s">
        <v>37</v>
      </c>
      <c r="C250" s="2" t="s">
        <v>3324</v>
      </c>
      <c r="D250" s="2" t="s">
        <v>39</v>
      </c>
      <c r="E250" s="2" t="s">
        <v>40</v>
      </c>
      <c r="F250" s="2" t="s">
        <v>3325</v>
      </c>
      <c r="G250" s="2" t="s">
        <v>42</v>
      </c>
      <c r="H250" s="2" t="s">
        <v>3326</v>
      </c>
      <c r="I250" s="2" t="s">
        <v>3327</v>
      </c>
      <c r="J250" s="2" t="s">
        <v>3328</v>
      </c>
      <c r="K250" s="2" t="s">
        <v>485</v>
      </c>
      <c r="L250" s="2" t="s">
        <v>3329</v>
      </c>
      <c r="M250" s="2">
        <v>1876225</v>
      </c>
      <c r="N250" s="2">
        <v>2886500</v>
      </c>
      <c r="O250" s="2" t="s">
        <v>3330</v>
      </c>
      <c r="P250" s="3">
        <v>45645</v>
      </c>
      <c r="Q250" s="2" t="s">
        <v>3331</v>
      </c>
      <c r="R250" s="2" t="s">
        <v>3332</v>
      </c>
      <c r="S250" s="2" t="s">
        <v>50</v>
      </c>
      <c r="T250" s="2" t="s">
        <v>51</v>
      </c>
      <c r="U250" s="2" t="s">
        <v>3333</v>
      </c>
      <c r="V250" s="2" t="s">
        <v>286</v>
      </c>
      <c r="W250" s="3">
        <v>44516</v>
      </c>
      <c r="X250" s="2" t="s">
        <v>73</v>
      </c>
      <c r="Y250" s="2" t="s">
        <v>221</v>
      </c>
      <c r="Z250" s="2" t="s">
        <v>3334</v>
      </c>
      <c r="AA250" s="2">
        <v>4</v>
      </c>
      <c r="AB250" s="2" t="s">
        <v>90</v>
      </c>
      <c r="AC250" s="2" t="s">
        <v>3335</v>
      </c>
      <c r="AD250" s="3">
        <v>44550</v>
      </c>
      <c r="AE250" s="2" t="s">
        <v>58</v>
      </c>
      <c r="AF250" s="2">
        <v>2309200</v>
      </c>
      <c r="AG250" s="2">
        <v>46184</v>
      </c>
      <c r="AH250" s="2" t="s">
        <v>3336</v>
      </c>
      <c r="AI250" s="2">
        <v>49071</v>
      </c>
      <c r="AJ250" s="11">
        <v>2887</v>
      </c>
      <c r="AK250" s="11" t="s">
        <v>3337</v>
      </c>
    </row>
    <row r="251" spans="1:37" hidden="1">
      <c r="A251" s="10">
        <v>250</v>
      </c>
      <c r="B251" s="2" t="s">
        <v>37</v>
      </c>
      <c r="C251" s="2" t="s">
        <v>3338</v>
      </c>
      <c r="D251" s="2" t="s">
        <v>39</v>
      </c>
      <c r="E251" s="2" t="s">
        <v>40</v>
      </c>
      <c r="F251" s="2" t="s">
        <v>3339</v>
      </c>
      <c r="G251" s="2" t="s">
        <v>3340</v>
      </c>
      <c r="H251" s="2" t="s">
        <v>3341</v>
      </c>
      <c r="I251" s="2" t="s">
        <v>3342</v>
      </c>
      <c r="J251" s="2" t="s">
        <v>3343</v>
      </c>
      <c r="K251" s="2" t="s">
        <v>3342</v>
      </c>
      <c r="L251" s="2" t="s">
        <v>3344</v>
      </c>
      <c r="M251" s="2">
        <v>1761000</v>
      </c>
      <c r="N251" s="2">
        <v>2935000</v>
      </c>
      <c r="O251" s="2" t="s">
        <v>3345</v>
      </c>
      <c r="P251" s="3">
        <v>45644</v>
      </c>
      <c r="Q251" s="2" t="s">
        <v>3346</v>
      </c>
      <c r="R251" s="2" t="s">
        <v>3347</v>
      </c>
      <c r="S251" s="2" t="s">
        <v>50</v>
      </c>
      <c r="T251" s="2" t="s">
        <v>51</v>
      </c>
      <c r="U251" s="2" t="s">
        <v>133</v>
      </c>
      <c r="V251" s="2" t="s">
        <v>1194</v>
      </c>
      <c r="W251" s="3">
        <v>45260</v>
      </c>
      <c r="X251" s="2" t="s">
        <v>1195</v>
      </c>
      <c r="Y251" s="2" t="s">
        <v>392</v>
      </c>
      <c r="Z251" s="2" t="s">
        <v>3348</v>
      </c>
      <c r="AA251" s="2">
        <v>3</v>
      </c>
      <c r="AB251" s="2" t="s">
        <v>90</v>
      </c>
      <c r="AC251" s="2" t="s">
        <v>3349</v>
      </c>
      <c r="AD251" s="3">
        <v>45286</v>
      </c>
      <c r="AE251" s="2" t="s">
        <v>58</v>
      </c>
      <c r="AF251" s="2">
        <v>2641500</v>
      </c>
      <c r="AG251" s="2">
        <v>52830</v>
      </c>
      <c r="AH251" s="2" t="s">
        <v>3350</v>
      </c>
      <c r="AI251" s="2">
        <v>52830</v>
      </c>
      <c r="AJ251" s="11">
        <v>0</v>
      </c>
      <c r="AK251" s="11"/>
    </row>
    <row r="252" spans="1:37" hidden="1">
      <c r="A252" s="10">
        <v>251</v>
      </c>
      <c r="B252" s="2" t="s">
        <v>37</v>
      </c>
      <c r="C252" s="2" t="s">
        <v>3351</v>
      </c>
      <c r="D252" s="2" t="s">
        <v>39</v>
      </c>
      <c r="E252" s="2" t="s">
        <v>40</v>
      </c>
      <c r="F252" s="2" t="s">
        <v>2791</v>
      </c>
      <c r="G252" s="2" t="s">
        <v>62</v>
      </c>
      <c r="H252" s="2" t="s">
        <v>3352</v>
      </c>
      <c r="I252" s="2" t="s">
        <v>3353</v>
      </c>
      <c r="J252" s="2" t="s">
        <v>3353</v>
      </c>
      <c r="K252" s="2" t="s">
        <v>328</v>
      </c>
      <c r="L252" s="2" t="s">
        <v>3354</v>
      </c>
      <c r="M252" s="2">
        <v>2275000</v>
      </c>
      <c r="N252" s="2">
        <v>3250000</v>
      </c>
      <c r="O252" s="2" t="s">
        <v>3355</v>
      </c>
      <c r="P252" s="3">
        <v>45673</v>
      </c>
      <c r="Q252" s="2" t="s">
        <v>3356</v>
      </c>
      <c r="R252" s="2" t="s">
        <v>3357</v>
      </c>
      <c r="S252" s="2" t="s">
        <v>69</v>
      </c>
      <c r="T252" s="2" t="s">
        <v>3358</v>
      </c>
      <c r="U252" s="2" t="s">
        <v>520</v>
      </c>
      <c r="V252" s="2" t="s">
        <v>365</v>
      </c>
      <c r="W252" s="3">
        <v>45313</v>
      </c>
      <c r="X252" s="2" t="s">
        <v>1779</v>
      </c>
      <c r="Y252" s="3">
        <v>46414</v>
      </c>
      <c r="Z252" s="2" t="s">
        <v>3359</v>
      </c>
      <c r="AA252" s="2">
        <v>3</v>
      </c>
      <c r="AB252" s="2" t="s">
        <v>160</v>
      </c>
      <c r="AC252" s="2" t="s">
        <v>3360</v>
      </c>
      <c r="AD252" s="3">
        <v>45308</v>
      </c>
      <c r="AE252" s="2" t="s">
        <v>108</v>
      </c>
      <c r="AF252" s="2">
        <v>2925000</v>
      </c>
      <c r="AG252" s="2">
        <v>51188</v>
      </c>
      <c r="AH252" s="2" t="s">
        <v>3361</v>
      </c>
      <c r="AI252" s="2">
        <v>51188</v>
      </c>
      <c r="AJ252" s="11">
        <v>0</v>
      </c>
      <c r="AK252" s="11"/>
    </row>
    <row r="253" spans="1:37">
      <c r="A253" s="10">
        <v>252</v>
      </c>
      <c r="B253" s="2" t="s">
        <v>37</v>
      </c>
      <c r="C253" s="2" t="s">
        <v>3362</v>
      </c>
      <c r="D253" s="2" t="s">
        <v>39</v>
      </c>
      <c r="E253" s="2" t="s">
        <v>40</v>
      </c>
      <c r="F253" s="2" t="s">
        <v>2380</v>
      </c>
      <c r="G253" s="2" t="s">
        <v>62</v>
      </c>
      <c r="H253" s="2" t="s">
        <v>3363</v>
      </c>
      <c r="I253" s="2" t="s">
        <v>3364</v>
      </c>
      <c r="J253" s="2" t="s">
        <v>3364</v>
      </c>
      <c r="K253" s="2" t="s">
        <v>328</v>
      </c>
      <c r="L253" s="2" t="s">
        <v>3365</v>
      </c>
      <c r="M253" s="2">
        <v>1360000</v>
      </c>
      <c r="N253" s="2">
        <v>1700000</v>
      </c>
      <c r="O253" s="2" t="s">
        <v>3366</v>
      </c>
      <c r="P253" s="3">
        <v>45640</v>
      </c>
      <c r="Q253" s="2" t="s">
        <v>3367</v>
      </c>
      <c r="R253" s="2" t="s">
        <v>3368</v>
      </c>
      <c r="S253" s="2" t="s">
        <v>69</v>
      </c>
      <c r="T253" s="2" t="s">
        <v>3369</v>
      </c>
      <c r="U253" s="2" t="s">
        <v>133</v>
      </c>
      <c r="V253" s="2" t="s">
        <v>300</v>
      </c>
      <c r="W253" s="3">
        <v>44560</v>
      </c>
      <c r="X253" s="2" t="s">
        <v>88</v>
      </c>
      <c r="Y253" s="2" t="s">
        <v>821</v>
      </c>
      <c r="Z253" s="2" t="s">
        <v>3370</v>
      </c>
      <c r="AA253" s="2">
        <v>7</v>
      </c>
      <c r="AB253" s="2" t="s">
        <v>90</v>
      </c>
      <c r="AC253" s="2" t="s">
        <v>3371</v>
      </c>
      <c r="AD253" s="3">
        <v>44559</v>
      </c>
      <c r="AE253" s="2" t="s">
        <v>77</v>
      </c>
      <c r="AF253" s="2">
        <v>1360000</v>
      </c>
      <c r="AG253" s="2">
        <v>20400</v>
      </c>
      <c r="AH253" s="2" t="s">
        <v>3372</v>
      </c>
      <c r="AI253" s="2">
        <v>21675</v>
      </c>
      <c r="AJ253" s="11">
        <v>1275</v>
      </c>
      <c r="AK253" s="11" t="s">
        <v>3373</v>
      </c>
    </row>
    <row r="254" spans="1:37">
      <c r="A254" s="10">
        <v>253</v>
      </c>
      <c r="B254" s="2" t="s">
        <v>37</v>
      </c>
      <c r="C254" s="2" t="s">
        <v>3374</v>
      </c>
      <c r="D254" s="2" t="s">
        <v>39</v>
      </c>
      <c r="E254" s="2" t="s">
        <v>40</v>
      </c>
      <c r="F254" s="2" t="s">
        <v>3375</v>
      </c>
      <c r="G254" s="2" t="s">
        <v>276</v>
      </c>
      <c r="H254" s="2" t="s">
        <v>3376</v>
      </c>
      <c r="I254" s="2" t="s">
        <v>3377</v>
      </c>
      <c r="J254" s="2" t="s">
        <v>3377</v>
      </c>
      <c r="K254" s="2" t="s">
        <v>3377</v>
      </c>
      <c r="L254" s="2" t="s">
        <v>3378</v>
      </c>
      <c r="M254" s="2">
        <v>3347400</v>
      </c>
      <c r="N254" s="2">
        <v>4782000</v>
      </c>
      <c r="O254" s="2" t="s">
        <v>3379</v>
      </c>
      <c r="P254" s="3">
        <v>45638</v>
      </c>
      <c r="Q254" s="2" t="s">
        <v>3380</v>
      </c>
      <c r="R254" s="2" t="s">
        <v>3381</v>
      </c>
      <c r="S254" s="2" t="s">
        <v>50</v>
      </c>
      <c r="T254" s="2" t="s">
        <v>51</v>
      </c>
      <c r="U254" s="2" t="s">
        <v>3382</v>
      </c>
      <c r="V254" s="2" t="s">
        <v>286</v>
      </c>
      <c r="W254" s="3">
        <v>44400</v>
      </c>
      <c r="X254" s="2" t="s">
        <v>287</v>
      </c>
      <c r="Y254" s="2" t="s">
        <v>3383</v>
      </c>
      <c r="Z254" s="2" t="s">
        <v>3384</v>
      </c>
      <c r="AA254" s="2">
        <v>5</v>
      </c>
      <c r="AB254" s="2" t="s">
        <v>75</v>
      </c>
      <c r="AC254" s="2" t="s">
        <v>3385</v>
      </c>
      <c r="AD254" s="3">
        <v>44544</v>
      </c>
      <c r="AE254" s="2" t="s">
        <v>108</v>
      </c>
      <c r="AF254" s="2">
        <v>3825600</v>
      </c>
      <c r="AG254" s="2">
        <v>66948</v>
      </c>
      <c r="AH254" s="2" t="s">
        <v>3386</v>
      </c>
      <c r="AI254" s="2">
        <v>71132</v>
      </c>
      <c r="AJ254" s="11">
        <v>4184</v>
      </c>
      <c r="AK254" s="11" t="s">
        <v>3387</v>
      </c>
    </row>
    <row r="255" spans="1:37">
      <c r="A255" s="10">
        <v>254</v>
      </c>
      <c r="B255" s="2" t="s">
        <v>37</v>
      </c>
      <c r="C255" s="2" t="s">
        <v>3388</v>
      </c>
      <c r="D255" s="2" t="s">
        <v>39</v>
      </c>
      <c r="E255" s="2" t="s">
        <v>40</v>
      </c>
      <c r="F255" s="2" t="s">
        <v>3389</v>
      </c>
      <c r="G255" s="2" t="s">
        <v>276</v>
      </c>
      <c r="H255" s="2" t="s">
        <v>3390</v>
      </c>
      <c r="I255" s="2" t="s">
        <v>3391</v>
      </c>
      <c r="J255" s="2" t="s">
        <v>3391</v>
      </c>
      <c r="K255" s="2" t="s">
        <v>3392</v>
      </c>
      <c r="L255" s="2" t="s">
        <v>3393</v>
      </c>
      <c r="M255" s="2">
        <v>1649250</v>
      </c>
      <c r="N255" s="2">
        <v>2199000</v>
      </c>
      <c r="O255" s="2" t="s">
        <v>3394</v>
      </c>
      <c r="P255" s="3">
        <v>45635</v>
      </c>
      <c r="Q255" s="2" t="s">
        <v>3395</v>
      </c>
      <c r="R255" s="2" t="s">
        <v>3396</v>
      </c>
      <c r="S255" s="2" t="s">
        <v>50</v>
      </c>
      <c r="T255" s="2" t="s">
        <v>3397</v>
      </c>
      <c r="U255" s="2" t="s">
        <v>3398</v>
      </c>
      <c r="V255" s="2" t="s">
        <v>286</v>
      </c>
      <c r="W255" s="3">
        <v>44273</v>
      </c>
      <c r="X255" s="2" t="s">
        <v>88</v>
      </c>
      <c r="Y255" s="2" t="s">
        <v>392</v>
      </c>
      <c r="Z255" s="2" t="s">
        <v>3399</v>
      </c>
      <c r="AA255" s="2">
        <v>5</v>
      </c>
      <c r="AB255" s="2" t="s">
        <v>90</v>
      </c>
      <c r="AC255" s="2" t="s">
        <v>3400</v>
      </c>
      <c r="AD255" s="3">
        <v>44541</v>
      </c>
      <c r="AE255" s="2" t="s">
        <v>58</v>
      </c>
      <c r="AF255" s="2">
        <v>1759200</v>
      </c>
      <c r="AG255" s="2">
        <v>35184</v>
      </c>
      <c r="AH255" s="2" t="s">
        <v>3401</v>
      </c>
      <c r="AI255" s="2">
        <v>37383</v>
      </c>
      <c r="AJ255" s="11">
        <v>2199</v>
      </c>
      <c r="AK255" s="11" t="s">
        <v>3402</v>
      </c>
    </row>
    <row r="256" spans="1:37" hidden="1">
      <c r="A256" s="10">
        <v>255</v>
      </c>
      <c r="B256" s="2" t="s">
        <v>37</v>
      </c>
      <c r="C256" s="2" t="s">
        <v>3403</v>
      </c>
      <c r="D256" s="2" t="s">
        <v>39</v>
      </c>
      <c r="E256" s="2" t="s">
        <v>40</v>
      </c>
      <c r="F256" s="2" t="s">
        <v>3404</v>
      </c>
      <c r="G256" s="2" t="s">
        <v>276</v>
      </c>
      <c r="H256" s="2" t="s">
        <v>3405</v>
      </c>
      <c r="I256" s="2" t="s">
        <v>51</v>
      </c>
      <c r="J256" s="2" t="s">
        <v>3406</v>
      </c>
      <c r="K256" s="2" t="s">
        <v>51</v>
      </c>
      <c r="L256" s="2" t="s">
        <v>3407</v>
      </c>
      <c r="M256" s="2">
        <v>3951200</v>
      </c>
      <c r="N256" s="2">
        <v>4939000</v>
      </c>
      <c r="O256" s="2" t="s">
        <v>3408</v>
      </c>
      <c r="P256" s="3">
        <v>45631</v>
      </c>
      <c r="Q256" s="2" t="s">
        <v>3409</v>
      </c>
      <c r="R256" s="4" t="s">
        <v>3410</v>
      </c>
      <c r="S256" s="2" t="s">
        <v>50</v>
      </c>
      <c r="T256" s="2" t="s">
        <v>51</v>
      </c>
      <c r="U256" s="2" t="s">
        <v>208</v>
      </c>
      <c r="V256" s="2" t="s">
        <v>1194</v>
      </c>
      <c r="W256" s="3">
        <v>45225</v>
      </c>
      <c r="X256" s="2" t="s">
        <v>1195</v>
      </c>
      <c r="Y256" s="2" t="s">
        <v>392</v>
      </c>
      <c r="Z256" s="2" t="s">
        <v>3411</v>
      </c>
      <c r="AA256" s="2">
        <v>3</v>
      </c>
      <c r="AB256" s="2" t="s">
        <v>106</v>
      </c>
      <c r="AC256" s="2" t="s">
        <v>3412</v>
      </c>
      <c r="AD256" s="3">
        <v>45266</v>
      </c>
      <c r="AE256" s="2" t="s">
        <v>77</v>
      </c>
      <c r="AF256" s="2">
        <v>4445100</v>
      </c>
      <c r="AG256" s="2">
        <v>66677</v>
      </c>
      <c r="AH256" s="2" t="s">
        <v>3413</v>
      </c>
      <c r="AI256" s="2">
        <v>66677</v>
      </c>
      <c r="AJ256" s="11">
        <v>0</v>
      </c>
      <c r="AK256" s="11"/>
    </row>
    <row r="257" spans="1:37">
      <c r="A257" s="10">
        <v>256</v>
      </c>
      <c r="B257" s="2" t="s">
        <v>37</v>
      </c>
      <c r="C257" s="2" t="s">
        <v>3414</v>
      </c>
      <c r="D257" s="2" t="s">
        <v>39</v>
      </c>
      <c r="E257" s="2" t="s">
        <v>40</v>
      </c>
      <c r="F257" s="2" t="s">
        <v>703</v>
      </c>
      <c r="G257" s="2" t="s">
        <v>276</v>
      </c>
      <c r="H257" s="2" t="s">
        <v>3415</v>
      </c>
      <c r="I257" s="2" t="s">
        <v>51</v>
      </c>
      <c r="J257" s="2" t="s">
        <v>3416</v>
      </c>
      <c r="K257" s="2" t="s">
        <v>51</v>
      </c>
      <c r="L257" s="2" t="s">
        <v>3417</v>
      </c>
      <c r="M257" s="2">
        <v>2321330</v>
      </c>
      <c r="N257" s="2">
        <v>4939000</v>
      </c>
      <c r="O257" s="2" t="s">
        <v>3418</v>
      </c>
      <c r="P257" s="3">
        <v>45630</v>
      </c>
      <c r="Q257" s="2" t="s">
        <v>3419</v>
      </c>
      <c r="R257" s="2" t="s">
        <v>3420</v>
      </c>
      <c r="S257" s="2" t="s">
        <v>50</v>
      </c>
      <c r="T257" s="2" t="s">
        <v>51</v>
      </c>
      <c r="U257" s="2" t="s">
        <v>208</v>
      </c>
      <c r="V257" s="2" t="s">
        <v>1194</v>
      </c>
      <c r="W257" s="3">
        <v>45154</v>
      </c>
      <c r="X257" s="2" t="s">
        <v>3421</v>
      </c>
      <c r="Y257" s="2" t="s">
        <v>3422</v>
      </c>
      <c r="Z257" s="2" t="s">
        <v>3423</v>
      </c>
      <c r="AA257" s="2">
        <v>3</v>
      </c>
      <c r="AB257" s="2" t="s">
        <v>90</v>
      </c>
      <c r="AC257" s="2" t="s">
        <v>3424</v>
      </c>
      <c r="AD257" s="3">
        <v>45265</v>
      </c>
      <c r="AE257" s="2" t="s">
        <v>58</v>
      </c>
      <c r="AF257" s="2">
        <v>4198150</v>
      </c>
      <c r="AG257" s="2">
        <v>83963</v>
      </c>
      <c r="AH257" s="2" t="s">
        <v>3425</v>
      </c>
      <c r="AI257" s="2">
        <v>88902</v>
      </c>
      <c r="AJ257" s="11">
        <v>4939</v>
      </c>
      <c r="AK257" s="11" t="s">
        <v>3426</v>
      </c>
    </row>
    <row r="258" spans="1:37" hidden="1">
      <c r="A258" s="10">
        <v>257</v>
      </c>
      <c r="B258" s="2" t="s">
        <v>37</v>
      </c>
      <c r="C258" s="2" t="s">
        <v>3427</v>
      </c>
      <c r="D258" s="2" t="s">
        <v>39</v>
      </c>
      <c r="E258" s="2" t="s">
        <v>40</v>
      </c>
      <c r="F258" s="2" t="s">
        <v>3428</v>
      </c>
      <c r="G258" s="2" t="s">
        <v>112</v>
      </c>
      <c r="H258" s="2" t="s">
        <v>3429</v>
      </c>
      <c r="I258" s="2" t="s">
        <v>51</v>
      </c>
      <c r="J258" s="2" t="s">
        <v>51</v>
      </c>
      <c r="K258" s="2" t="s">
        <v>51</v>
      </c>
      <c r="L258" s="2" t="s">
        <v>3430</v>
      </c>
      <c r="M258" s="2">
        <v>2489500</v>
      </c>
      <c r="N258" s="2">
        <v>3830000</v>
      </c>
      <c r="O258" s="2" t="s">
        <v>3431</v>
      </c>
      <c r="P258" s="3">
        <v>45687</v>
      </c>
      <c r="Q258" s="2" t="s">
        <v>3432</v>
      </c>
      <c r="R258" s="2" t="s">
        <v>3433</v>
      </c>
      <c r="S258" s="2" t="s">
        <v>69</v>
      </c>
      <c r="T258" s="2" t="s">
        <v>3434</v>
      </c>
      <c r="U258" s="2" t="s">
        <v>535</v>
      </c>
      <c r="V258" s="2" t="s">
        <v>391</v>
      </c>
      <c r="W258" s="3">
        <v>44957</v>
      </c>
      <c r="X258" s="2" t="s">
        <v>3435</v>
      </c>
      <c r="Y258" s="3">
        <v>46056</v>
      </c>
      <c r="Z258" s="2" t="s">
        <v>3436</v>
      </c>
      <c r="AA258" s="2">
        <v>3</v>
      </c>
      <c r="AB258" s="2" t="s">
        <v>106</v>
      </c>
      <c r="AC258" s="2" t="s">
        <v>3437</v>
      </c>
      <c r="AD258" s="3">
        <v>44957</v>
      </c>
      <c r="AE258" s="2" t="s">
        <v>108</v>
      </c>
      <c r="AF258" s="2">
        <v>3255500</v>
      </c>
      <c r="AG258" s="2">
        <v>56972</v>
      </c>
      <c r="AH258" s="2" t="s">
        <v>3438</v>
      </c>
      <c r="AI258" s="2">
        <v>56971</v>
      </c>
      <c r="AJ258" s="11">
        <v>-1</v>
      </c>
      <c r="AK258" s="11"/>
    </row>
    <row r="259" spans="1:37" hidden="1">
      <c r="A259" s="10">
        <v>258</v>
      </c>
      <c r="B259" s="2" t="s">
        <v>37</v>
      </c>
      <c r="C259" s="2" t="s">
        <v>3439</v>
      </c>
      <c r="D259" s="2" t="s">
        <v>39</v>
      </c>
      <c r="E259" s="2" t="s">
        <v>40</v>
      </c>
      <c r="F259" s="2" t="s">
        <v>3440</v>
      </c>
      <c r="G259" s="2" t="s">
        <v>62</v>
      </c>
      <c r="H259" s="2" t="s">
        <v>3441</v>
      </c>
      <c r="I259" s="2" t="s">
        <v>3442</v>
      </c>
      <c r="J259" s="2" t="s">
        <v>3442</v>
      </c>
      <c r="K259" s="2" t="s">
        <v>328</v>
      </c>
      <c r="L259" s="2" t="s">
        <v>3443</v>
      </c>
      <c r="M259" s="2">
        <v>1048000</v>
      </c>
      <c r="N259" s="2">
        <v>1310000</v>
      </c>
      <c r="O259" s="2" t="s">
        <v>3444</v>
      </c>
      <c r="P259" s="3">
        <v>45674</v>
      </c>
      <c r="Q259" s="2" t="s">
        <v>3445</v>
      </c>
      <c r="R259" s="2" t="s">
        <v>3446</v>
      </c>
      <c r="S259" s="2" t="s">
        <v>69</v>
      </c>
      <c r="T259" s="2" t="s">
        <v>3447</v>
      </c>
      <c r="U259" s="2" t="s">
        <v>1724</v>
      </c>
      <c r="V259" s="2" t="s">
        <v>336</v>
      </c>
      <c r="W259" s="3">
        <v>44581</v>
      </c>
      <c r="X259" s="2" t="s">
        <v>287</v>
      </c>
      <c r="Y259" s="3">
        <v>46408</v>
      </c>
      <c r="Z259" s="2" t="s">
        <v>3448</v>
      </c>
      <c r="AA259" s="2">
        <v>5</v>
      </c>
      <c r="AB259" s="2" t="s">
        <v>90</v>
      </c>
      <c r="AC259" s="2" t="s">
        <v>3449</v>
      </c>
      <c r="AD259" s="3">
        <v>44581</v>
      </c>
      <c r="AE259" s="2" t="s">
        <v>77</v>
      </c>
      <c r="AF259" s="2">
        <v>1048000</v>
      </c>
      <c r="AG259" s="2">
        <v>15720</v>
      </c>
      <c r="AH259" s="2" t="s">
        <v>3450</v>
      </c>
      <c r="AI259" s="2">
        <v>15720</v>
      </c>
      <c r="AJ259" s="11">
        <v>0</v>
      </c>
      <c r="AK259" s="11"/>
    </row>
    <row r="260" spans="1:37" hidden="1">
      <c r="A260" s="10">
        <v>259</v>
      </c>
      <c r="B260" s="2" t="s">
        <v>37</v>
      </c>
      <c r="C260" s="2" t="s">
        <v>3451</v>
      </c>
      <c r="D260" s="2" t="s">
        <v>39</v>
      </c>
      <c r="E260" s="2" t="s">
        <v>40</v>
      </c>
      <c r="F260" s="2" t="s">
        <v>3452</v>
      </c>
      <c r="G260" s="2" t="s">
        <v>1557</v>
      </c>
      <c r="H260" s="2" t="s">
        <v>3453</v>
      </c>
      <c r="I260" s="2" t="s">
        <v>3454</v>
      </c>
      <c r="J260" s="2" t="s">
        <v>51</v>
      </c>
      <c r="K260" s="2" t="s">
        <v>328</v>
      </c>
      <c r="L260" s="2" t="s">
        <v>3455</v>
      </c>
      <c r="M260" s="2">
        <v>1995800</v>
      </c>
      <c r="N260" s="2">
        <v>2935000</v>
      </c>
      <c r="O260" s="2" t="s">
        <v>3456</v>
      </c>
      <c r="P260" s="3">
        <v>45686</v>
      </c>
      <c r="Q260" s="2" t="s">
        <v>3457</v>
      </c>
      <c r="R260" s="2" t="s">
        <v>3458</v>
      </c>
      <c r="S260" s="2" t="s">
        <v>50</v>
      </c>
      <c r="T260" s="2" t="s">
        <v>51</v>
      </c>
      <c r="U260" s="2" t="s">
        <v>133</v>
      </c>
      <c r="V260" s="2" t="s">
        <v>3093</v>
      </c>
      <c r="W260" s="3">
        <v>45322</v>
      </c>
      <c r="X260" s="2" t="s">
        <v>3459</v>
      </c>
      <c r="Y260" s="3">
        <v>47152</v>
      </c>
      <c r="Z260" s="2" t="s">
        <v>3460</v>
      </c>
      <c r="AA260" s="2">
        <v>5</v>
      </c>
      <c r="AB260" s="2" t="s">
        <v>160</v>
      </c>
      <c r="AC260" s="2" t="s">
        <v>3461</v>
      </c>
      <c r="AD260" s="3">
        <v>45321</v>
      </c>
      <c r="AE260" s="2" t="s">
        <v>108</v>
      </c>
      <c r="AF260" s="2">
        <v>2641500</v>
      </c>
      <c r="AG260" s="2">
        <v>46227</v>
      </c>
      <c r="AH260" s="2" t="s">
        <v>3462</v>
      </c>
      <c r="AI260" s="2">
        <v>46226</v>
      </c>
      <c r="AJ260" s="11">
        <v>-1</v>
      </c>
      <c r="AK260" s="11"/>
    </row>
    <row r="261" spans="1:37" hidden="1">
      <c r="A261" s="10">
        <v>260</v>
      </c>
      <c r="B261" s="2" t="s">
        <v>37</v>
      </c>
      <c r="C261" s="2" t="s">
        <v>3463</v>
      </c>
      <c r="D261" s="2" t="s">
        <v>39</v>
      </c>
      <c r="E261" s="2" t="s">
        <v>40</v>
      </c>
      <c r="F261" s="2" t="s">
        <v>3464</v>
      </c>
      <c r="G261" s="2" t="s">
        <v>112</v>
      </c>
      <c r="H261" s="2" t="s">
        <v>3465</v>
      </c>
      <c r="I261" s="2" t="s">
        <v>3466</v>
      </c>
      <c r="J261" s="2" t="s">
        <v>3466</v>
      </c>
      <c r="K261" s="2" t="s">
        <v>3467</v>
      </c>
      <c r="L261" s="2" t="s">
        <v>3468</v>
      </c>
      <c r="M261" s="2">
        <v>2054500</v>
      </c>
      <c r="N261" s="2">
        <v>2935000</v>
      </c>
      <c r="O261" s="2" t="s">
        <v>3469</v>
      </c>
      <c r="P261" s="3">
        <v>45681</v>
      </c>
      <c r="Q261" s="2" t="s">
        <v>3470</v>
      </c>
      <c r="R261" s="2" t="s">
        <v>3471</v>
      </c>
      <c r="S261" s="2" t="s">
        <v>50</v>
      </c>
      <c r="T261" s="2" t="s">
        <v>51</v>
      </c>
      <c r="U261" s="2" t="s">
        <v>3472</v>
      </c>
      <c r="V261" s="2" t="s">
        <v>3093</v>
      </c>
      <c r="W261" s="3">
        <v>45320</v>
      </c>
      <c r="X261" s="2" t="s">
        <v>3459</v>
      </c>
      <c r="Y261" s="3">
        <v>46056</v>
      </c>
      <c r="Z261" s="2" t="s">
        <v>3473</v>
      </c>
      <c r="AA261" s="2">
        <v>2</v>
      </c>
      <c r="AB261" s="2" t="s">
        <v>106</v>
      </c>
      <c r="AC261" s="2" t="s">
        <v>3474</v>
      </c>
      <c r="AD261" s="3">
        <v>45316</v>
      </c>
      <c r="AE261" s="2" t="s">
        <v>108</v>
      </c>
      <c r="AF261" s="2">
        <v>2641500</v>
      </c>
      <c r="AG261" s="2">
        <v>46227</v>
      </c>
      <c r="AH261" s="2" t="s">
        <v>3475</v>
      </c>
      <c r="AI261" s="2">
        <v>46226</v>
      </c>
      <c r="AJ261" s="11">
        <v>-1</v>
      </c>
      <c r="AK261" s="11"/>
    </row>
    <row r="262" spans="1:37" hidden="1">
      <c r="A262" s="10">
        <v>261</v>
      </c>
      <c r="B262" s="2" t="s">
        <v>37</v>
      </c>
      <c r="C262" s="2" t="s">
        <v>3476</v>
      </c>
      <c r="D262" s="2" t="s">
        <v>39</v>
      </c>
      <c r="E262" s="2" t="s">
        <v>40</v>
      </c>
      <c r="F262" s="2" t="s">
        <v>3477</v>
      </c>
      <c r="G262" s="2" t="s">
        <v>276</v>
      </c>
      <c r="H262" s="2" t="s">
        <v>3478</v>
      </c>
      <c r="I262" s="2"/>
      <c r="J262" s="2">
        <v>3223131931</v>
      </c>
      <c r="K262" s="2"/>
      <c r="L262" s="2" t="s">
        <v>3479</v>
      </c>
      <c r="M262" s="2">
        <v>1306400</v>
      </c>
      <c r="N262" s="2">
        <v>1633000</v>
      </c>
      <c r="O262" s="2" t="s">
        <v>3480</v>
      </c>
      <c r="P262" s="3">
        <v>45674</v>
      </c>
      <c r="Q262" s="2">
        <v>149276</v>
      </c>
      <c r="R262" s="4" t="s">
        <v>3481</v>
      </c>
      <c r="S262" s="2" t="s">
        <v>50</v>
      </c>
      <c r="T262" s="2"/>
      <c r="U262" s="2" t="s">
        <v>2717</v>
      </c>
      <c r="V262" s="2">
        <v>2021</v>
      </c>
      <c r="W262" s="3">
        <v>44215</v>
      </c>
      <c r="X262" s="2" t="s">
        <v>931</v>
      </c>
      <c r="Y262" s="3">
        <v>46773</v>
      </c>
      <c r="Z262" s="2" t="s">
        <v>3482</v>
      </c>
      <c r="AA262" s="2">
        <v>7</v>
      </c>
      <c r="AB262" s="2" t="s">
        <v>90</v>
      </c>
      <c r="AC262" s="2" t="s">
        <v>3483</v>
      </c>
      <c r="AD262" s="3">
        <v>44215</v>
      </c>
      <c r="AE262" s="2" t="s">
        <v>58</v>
      </c>
      <c r="AF262" s="2">
        <v>1224750</v>
      </c>
      <c r="AG262" s="2">
        <v>24495</v>
      </c>
      <c r="AH262" s="2" t="s">
        <v>3484</v>
      </c>
      <c r="AI262" s="2">
        <v>24495</v>
      </c>
      <c r="AJ262" s="11">
        <v>0</v>
      </c>
      <c r="AK262" s="11"/>
    </row>
    <row r="263" spans="1:37" hidden="1">
      <c r="A263" s="10">
        <v>262</v>
      </c>
      <c r="B263" s="2" t="s">
        <v>37</v>
      </c>
      <c r="C263" s="2" t="s">
        <v>3485</v>
      </c>
      <c r="D263" s="2" t="s">
        <v>39</v>
      </c>
      <c r="E263" s="2" t="s">
        <v>40</v>
      </c>
      <c r="F263" s="2" t="s">
        <v>3486</v>
      </c>
      <c r="G263" s="2" t="s">
        <v>3487</v>
      </c>
      <c r="H263" s="2" t="s">
        <v>3488</v>
      </c>
      <c r="I263" s="2" t="s">
        <v>1080</v>
      </c>
      <c r="J263" s="2">
        <v>3008524488</v>
      </c>
      <c r="K263" s="2" t="s">
        <v>3489</v>
      </c>
      <c r="L263" s="2" t="s">
        <v>3490</v>
      </c>
      <c r="M263" s="2">
        <v>6432300</v>
      </c>
      <c r="N263" s="2">
        <v>9189000</v>
      </c>
      <c r="O263" s="2" t="s">
        <v>3491</v>
      </c>
      <c r="P263" s="3">
        <v>45681</v>
      </c>
      <c r="Q263" s="2" t="s">
        <v>3492</v>
      </c>
      <c r="R263" s="2">
        <v>1094304</v>
      </c>
      <c r="S263" s="2" t="s">
        <v>50</v>
      </c>
      <c r="T263" s="2"/>
      <c r="U263" s="2" t="s">
        <v>3493</v>
      </c>
      <c r="V263" s="2">
        <v>2021</v>
      </c>
      <c r="W263" s="3">
        <v>44071</v>
      </c>
      <c r="X263" s="2" t="s">
        <v>1825</v>
      </c>
      <c r="Y263" s="3">
        <v>46056</v>
      </c>
      <c r="Z263" s="2" t="s">
        <v>3494</v>
      </c>
      <c r="AA263" s="2">
        <v>5</v>
      </c>
      <c r="AB263" s="2" t="s">
        <v>75</v>
      </c>
      <c r="AC263" s="2" t="s">
        <v>3495</v>
      </c>
      <c r="AD263" s="3">
        <v>44221</v>
      </c>
      <c r="AE263" s="2" t="s">
        <v>77</v>
      </c>
      <c r="AF263" s="2">
        <v>6891750</v>
      </c>
      <c r="AG263" s="2">
        <v>103377</v>
      </c>
      <c r="AH263" s="2" t="s">
        <v>3496</v>
      </c>
      <c r="AI263" s="2">
        <v>103376</v>
      </c>
      <c r="AJ263" s="11">
        <v>-1</v>
      </c>
      <c r="AK263" s="11"/>
    </row>
    <row r="264" spans="1:37" hidden="1">
      <c r="A264" s="10">
        <v>263</v>
      </c>
      <c r="B264" s="2" t="s">
        <v>37</v>
      </c>
      <c r="C264" s="2" t="s">
        <v>3497</v>
      </c>
      <c r="D264" s="2" t="s">
        <v>39</v>
      </c>
      <c r="E264" s="2" t="s">
        <v>40</v>
      </c>
      <c r="F264" s="2" t="s">
        <v>3498</v>
      </c>
      <c r="G264" s="2" t="s">
        <v>112</v>
      </c>
      <c r="H264" s="2" t="s">
        <v>3499</v>
      </c>
      <c r="I264" s="2" t="s">
        <v>3500</v>
      </c>
      <c r="J264" s="2" t="s">
        <v>51</v>
      </c>
      <c r="K264" s="2" t="s">
        <v>3501</v>
      </c>
      <c r="L264" s="2" t="s">
        <v>3502</v>
      </c>
      <c r="M264" s="2">
        <v>665000</v>
      </c>
      <c r="N264" s="2">
        <v>950000</v>
      </c>
      <c r="O264" s="2" t="s">
        <v>3503</v>
      </c>
      <c r="P264" s="3">
        <v>45680</v>
      </c>
      <c r="Q264" s="2" t="s">
        <v>3504</v>
      </c>
      <c r="R264" s="2" t="s">
        <v>3505</v>
      </c>
      <c r="S264" s="2" t="s">
        <v>69</v>
      </c>
      <c r="T264" s="2" t="s">
        <v>3506</v>
      </c>
      <c r="U264" s="2" t="s">
        <v>3507</v>
      </c>
      <c r="V264" s="2" t="s">
        <v>72</v>
      </c>
      <c r="W264" s="3">
        <v>44951</v>
      </c>
      <c r="X264" s="2" t="s">
        <v>3508</v>
      </c>
      <c r="Y264" s="3">
        <v>46779</v>
      </c>
      <c r="Z264" s="2" t="s">
        <v>3509</v>
      </c>
      <c r="AA264" s="2">
        <v>5</v>
      </c>
      <c r="AB264" s="2" t="s">
        <v>106</v>
      </c>
      <c r="AC264" s="2" t="s">
        <v>3510</v>
      </c>
      <c r="AD264" s="3">
        <v>44950</v>
      </c>
      <c r="AE264" s="2" t="s">
        <v>108</v>
      </c>
      <c r="AF264" s="2">
        <v>807500</v>
      </c>
      <c r="AG264" s="2">
        <v>14132</v>
      </c>
      <c r="AH264" s="2" t="s">
        <v>3511</v>
      </c>
      <c r="AI264" s="2">
        <v>14131</v>
      </c>
      <c r="AJ264" s="11">
        <v>-1</v>
      </c>
      <c r="AK264" s="11"/>
    </row>
    <row r="265" spans="1:37" hidden="1">
      <c r="A265" s="10">
        <v>264</v>
      </c>
      <c r="B265" s="2" t="s">
        <v>37</v>
      </c>
      <c r="C265" s="2" t="s">
        <v>3512</v>
      </c>
      <c r="D265" s="2" t="s">
        <v>39</v>
      </c>
      <c r="E265" s="2" t="s">
        <v>40</v>
      </c>
      <c r="F265" s="2" t="s">
        <v>3513</v>
      </c>
      <c r="G265" s="2" t="s">
        <v>62</v>
      </c>
      <c r="H265" s="2" t="s">
        <v>3514</v>
      </c>
      <c r="I265" s="2" t="s">
        <v>51</v>
      </c>
      <c r="J265" s="2" t="s">
        <v>3515</v>
      </c>
      <c r="K265" s="2" t="s">
        <v>51</v>
      </c>
      <c r="L265" s="2" t="s">
        <v>3516</v>
      </c>
      <c r="M265" s="2">
        <v>1380000</v>
      </c>
      <c r="N265" s="2">
        <v>2300000</v>
      </c>
      <c r="O265" s="2" t="s">
        <v>3517</v>
      </c>
      <c r="P265" s="3">
        <v>45674</v>
      </c>
      <c r="Q265" s="2" t="s">
        <v>3518</v>
      </c>
      <c r="R265" s="2" t="s">
        <v>3519</v>
      </c>
      <c r="S265" s="2" t="s">
        <v>69</v>
      </c>
      <c r="T265" s="2" t="s">
        <v>3520</v>
      </c>
      <c r="U265" s="2" t="s">
        <v>87</v>
      </c>
      <c r="V265" s="2" t="s">
        <v>286</v>
      </c>
      <c r="W265" s="3">
        <v>44581</v>
      </c>
      <c r="X265" s="2" t="s">
        <v>287</v>
      </c>
      <c r="Y265" s="3">
        <v>46408</v>
      </c>
      <c r="Z265" s="2" t="s">
        <v>3521</v>
      </c>
      <c r="AA265" s="2">
        <v>5</v>
      </c>
      <c r="AB265" s="2" t="s">
        <v>90</v>
      </c>
      <c r="AC265" s="2" t="s">
        <v>3522</v>
      </c>
      <c r="AD265" s="3">
        <v>44580</v>
      </c>
      <c r="AE265" s="2" t="s">
        <v>77</v>
      </c>
      <c r="AF265" s="2">
        <v>1840000</v>
      </c>
      <c r="AG265" s="2">
        <v>27600</v>
      </c>
      <c r="AH265" s="2" t="s">
        <v>3523</v>
      </c>
      <c r="AI265" s="2">
        <v>27600</v>
      </c>
      <c r="AJ265" s="11">
        <v>0</v>
      </c>
      <c r="AK265" s="11"/>
    </row>
    <row r="266" spans="1:37" hidden="1">
      <c r="A266" s="10">
        <v>265</v>
      </c>
      <c r="B266" s="2" t="s">
        <v>37</v>
      </c>
      <c r="C266" s="2" t="s">
        <v>3524</v>
      </c>
      <c r="D266" s="2" t="s">
        <v>39</v>
      </c>
      <c r="E266" s="2" t="s">
        <v>40</v>
      </c>
      <c r="F266" s="2" t="s">
        <v>3525</v>
      </c>
      <c r="G266" s="2" t="s">
        <v>112</v>
      </c>
      <c r="H266" s="2" t="s">
        <v>3526</v>
      </c>
      <c r="I266" s="2" t="s">
        <v>3527</v>
      </c>
      <c r="J266" s="2" t="s">
        <v>51</v>
      </c>
      <c r="K266" s="2" t="s">
        <v>3528</v>
      </c>
      <c r="L266" s="2" t="s">
        <v>3529</v>
      </c>
      <c r="M266" s="2">
        <v>1400000</v>
      </c>
      <c r="N266" s="2">
        <v>3500000</v>
      </c>
      <c r="O266" s="2" t="s">
        <v>3530</v>
      </c>
      <c r="P266" s="3">
        <v>45674</v>
      </c>
      <c r="Q266" s="2" t="s">
        <v>3531</v>
      </c>
      <c r="R266" s="2" t="s">
        <v>3532</v>
      </c>
      <c r="S266" s="2" t="s">
        <v>69</v>
      </c>
      <c r="T266" s="2" t="s">
        <v>3533</v>
      </c>
      <c r="U266" s="2" t="s">
        <v>549</v>
      </c>
      <c r="V266" s="2" t="s">
        <v>72</v>
      </c>
      <c r="W266" s="3">
        <v>44580</v>
      </c>
      <c r="X266" s="2" t="s">
        <v>287</v>
      </c>
      <c r="Y266" s="3">
        <v>46408</v>
      </c>
      <c r="Z266" s="2" t="s">
        <v>3534</v>
      </c>
      <c r="AA266" s="2">
        <v>5</v>
      </c>
      <c r="AB266" s="2" t="s">
        <v>75</v>
      </c>
      <c r="AC266" s="2" t="s">
        <v>3535</v>
      </c>
      <c r="AD266" s="3">
        <v>44579</v>
      </c>
      <c r="AE266" s="2" t="s">
        <v>77</v>
      </c>
      <c r="AF266" s="2">
        <v>2800000</v>
      </c>
      <c r="AG266" s="2">
        <v>42000</v>
      </c>
      <c r="AH266" s="2" t="s">
        <v>3536</v>
      </c>
      <c r="AI266" s="2">
        <v>42000</v>
      </c>
      <c r="AJ266" s="11">
        <v>0</v>
      </c>
      <c r="AK266" s="11"/>
    </row>
    <row r="267" spans="1:37" hidden="1">
      <c r="A267" s="10">
        <v>266</v>
      </c>
      <c r="B267" s="2" t="s">
        <v>37</v>
      </c>
      <c r="C267" s="2" t="s">
        <v>3537</v>
      </c>
      <c r="D267" s="2" t="s">
        <v>39</v>
      </c>
      <c r="E267" s="2" t="s">
        <v>40</v>
      </c>
      <c r="F267" s="2" t="s">
        <v>3538</v>
      </c>
      <c r="G267" s="2" t="s">
        <v>1680</v>
      </c>
      <c r="H267" s="2" t="s">
        <v>3539</v>
      </c>
      <c r="I267" s="2"/>
      <c r="J267" s="2">
        <v>3344783217</v>
      </c>
      <c r="K267" s="2"/>
      <c r="L267" s="2" t="s">
        <v>3540</v>
      </c>
      <c r="M267" s="2">
        <v>1978080</v>
      </c>
      <c r="N267" s="2">
        <v>4121000</v>
      </c>
      <c r="O267" s="2" t="s">
        <v>3541</v>
      </c>
      <c r="P267" s="3">
        <v>45674</v>
      </c>
      <c r="Q267" s="2">
        <v>6916508</v>
      </c>
      <c r="R267" s="2" t="s">
        <v>3542</v>
      </c>
      <c r="S267" s="2" t="s">
        <v>50</v>
      </c>
      <c r="T267" s="2"/>
      <c r="U267" s="2" t="s">
        <v>3543</v>
      </c>
      <c r="V267" s="2">
        <v>2021</v>
      </c>
      <c r="W267" s="3">
        <v>44215</v>
      </c>
      <c r="X267" s="2" t="s">
        <v>931</v>
      </c>
      <c r="Y267" s="3">
        <v>46043</v>
      </c>
      <c r="Z267" s="2" t="s">
        <v>3544</v>
      </c>
      <c r="AA267" s="2">
        <v>5</v>
      </c>
      <c r="AB267" s="2" t="s">
        <v>106</v>
      </c>
      <c r="AC267" s="2" t="s">
        <v>3545</v>
      </c>
      <c r="AD267" s="3">
        <v>44214</v>
      </c>
      <c r="AE267" s="2" t="s">
        <v>58</v>
      </c>
      <c r="AF267" s="2">
        <v>3090750</v>
      </c>
      <c r="AG267" s="2">
        <v>61815</v>
      </c>
      <c r="AH267" s="2" t="s">
        <v>3546</v>
      </c>
      <c r="AI267" s="2">
        <v>61815</v>
      </c>
      <c r="AJ267" s="11">
        <v>0</v>
      </c>
      <c r="AK267" s="11"/>
    </row>
    <row r="268" spans="1:37" hidden="1">
      <c r="A268" s="10">
        <v>267</v>
      </c>
      <c r="B268" s="2" t="s">
        <v>37</v>
      </c>
      <c r="C268" s="2" t="s">
        <v>3547</v>
      </c>
      <c r="D268" s="2" t="s">
        <v>39</v>
      </c>
      <c r="E268" s="2" t="s">
        <v>40</v>
      </c>
      <c r="F268" s="2" t="s">
        <v>3548</v>
      </c>
      <c r="G268" s="2" t="s">
        <v>1557</v>
      </c>
      <c r="H268" s="2" t="s">
        <v>3549</v>
      </c>
      <c r="I268" s="2" t="s">
        <v>3550</v>
      </c>
      <c r="J268" s="2" t="s">
        <v>3551</v>
      </c>
      <c r="K268" s="2" t="s">
        <v>3552</v>
      </c>
      <c r="L268" s="2" t="s">
        <v>3553</v>
      </c>
      <c r="M268" s="2">
        <v>4074750</v>
      </c>
      <c r="N268" s="2">
        <v>5433000</v>
      </c>
      <c r="O268" s="2" t="s">
        <v>3554</v>
      </c>
      <c r="P268" s="3">
        <v>45677</v>
      </c>
      <c r="Q268" s="2">
        <v>341691</v>
      </c>
      <c r="R268" s="4" t="s">
        <v>3555</v>
      </c>
      <c r="S268" s="2" t="s">
        <v>50</v>
      </c>
      <c r="T268" s="2"/>
      <c r="U268" s="2" t="s">
        <v>877</v>
      </c>
      <c r="V268" s="2">
        <v>2021</v>
      </c>
      <c r="W268" s="3">
        <v>44225</v>
      </c>
      <c r="X268" s="2" t="s">
        <v>1825</v>
      </c>
      <c r="Y268" s="3">
        <v>46056</v>
      </c>
      <c r="Z268" s="2" t="s">
        <v>3556</v>
      </c>
      <c r="AA268" s="2">
        <v>5</v>
      </c>
      <c r="AB268" s="2" t="s">
        <v>879</v>
      </c>
      <c r="AC268" s="2"/>
      <c r="AD268" s="2"/>
      <c r="AE268" s="2" t="s">
        <v>77</v>
      </c>
      <c r="AF268" s="2">
        <v>4074750</v>
      </c>
      <c r="AG268" s="2">
        <v>61122</v>
      </c>
      <c r="AH268" s="2" t="s">
        <v>3557</v>
      </c>
      <c r="AI268" s="2">
        <v>61121</v>
      </c>
      <c r="AJ268" s="11">
        <v>-1</v>
      </c>
      <c r="AK268" s="11"/>
    </row>
    <row r="269" spans="1:37" hidden="1">
      <c r="A269" s="10">
        <v>268</v>
      </c>
      <c r="B269" s="2" t="s">
        <v>37</v>
      </c>
      <c r="C269" s="2" t="s">
        <v>3558</v>
      </c>
      <c r="D269" s="2" t="s">
        <v>39</v>
      </c>
      <c r="E269" s="2" t="s">
        <v>40</v>
      </c>
      <c r="F269" s="2" t="s">
        <v>3559</v>
      </c>
      <c r="G269" s="2" t="s">
        <v>112</v>
      </c>
      <c r="H269" s="2" t="s">
        <v>3560</v>
      </c>
      <c r="I269" s="2">
        <v>3218550136</v>
      </c>
      <c r="J269" s="2"/>
      <c r="K269" s="2">
        <v>0</v>
      </c>
      <c r="L269" s="2" t="s">
        <v>3561</v>
      </c>
      <c r="M269" s="2">
        <v>3259800</v>
      </c>
      <c r="N269" s="2">
        <v>5433000</v>
      </c>
      <c r="O269" s="2" t="s">
        <v>3562</v>
      </c>
      <c r="P269" s="3">
        <v>45676</v>
      </c>
      <c r="Q269" s="2" t="s">
        <v>3563</v>
      </c>
      <c r="R269" s="2">
        <v>508194</v>
      </c>
      <c r="S269" s="2" t="s">
        <v>50</v>
      </c>
      <c r="T269" s="2"/>
      <c r="U269" s="2" t="s">
        <v>877</v>
      </c>
      <c r="V269" s="2">
        <v>2021</v>
      </c>
      <c r="W269" s="3">
        <v>44124</v>
      </c>
      <c r="X269" s="2" t="s">
        <v>3564</v>
      </c>
      <c r="Y269" s="3">
        <v>46049</v>
      </c>
      <c r="Z269" s="2" t="s">
        <v>3565</v>
      </c>
      <c r="AA269" s="2">
        <v>5</v>
      </c>
      <c r="AB269" s="2" t="s">
        <v>879</v>
      </c>
      <c r="AC269" s="2"/>
      <c r="AD269" s="2"/>
      <c r="AE269" s="2" t="s">
        <v>77</v>
      </c>
      <c r="AF269" s="2">
        <v>4074750</v>
      </c>
      <c r="AG269" s="2">
        <v>61122</v>
      </c>
      <c r="AH269" s="2" t="s">
        <v>3566</v>
      </c>
      <c r="AI269" s="2">
        <v>61121</v>
      </c>
      <c r="AJ269" s="11">
        <v>-1</v>
      </c>
      <c r="AK269" s="11"/>
    </row>
    <row r="270" spans="1:37" hidden="1">
      <c r="A270" s="10">
        <v>269</v>
      </c>
      <c r="B270" s="2" t="s">
        <v>37</v>
      </c>
      <c r="C270" s="2" t="s">
        <v>3567</v>
      </c>
      <c r="D270" s="2" t="s">
        <v>39</v>
      </c>
      <c r="E270" s="2" t="s">
        <v>40</v>
      </c>
      <c r="F270" s="2" t="s">
        <v>3568</v>
      </c>
      <c r="G270" s="2" t="s">
        <v>42</v>
      </c>
      <c r="H270" s="2" t="s">
        <v>3569</v>
      </c>
      <c r="I270" s="2" t="s">
        <v>3570</v>
      </c>
      <c r="J270" s="2" t="s">
        <v>3571</v>
      </c>
      <c r="K270" s="2" t="s">
        <v>3570</v>
      </c>
      <c r="L270" s="2" t="s">
        <v>3572</v>
      </c>
      <c r="M270" s="2">
        <v>1527500</v>
      </c>
      <c r="N270" s="2">
        <v>2350000</v>
      </c>
      <c r="O270" s="2" t="s">
        <v>3573</v>
      </c>
      <c r="P270" s="3">
        <v>45675</v>
      </c>
      <c r="Q270" s="2" t="s">
        <v>3574</v>
      </c>
      <c r="R270" s="2" t="s">
        <v>3575</v>
      </c>
      <c r="S270" s="2" t="s">
        <v>69</v>
      </c>
      <c r="T270" s="2" t="s">
        <v>3576</v>
      </c>
      <c r="U270" s="2" t="s">
        <v>208</v>
      </c>
      <c r="V270" s="2" t="s">
        <v>365</v>
      </c>
      <c r="W270" s="3">
        <v>44946</v>
      </c>
      <c r="X270" s="2" t="s">
        <v>1710</v>
      </c>
      <c r="Y270" s="3">
        <v>46043</v>
      </c>
      <c r="Z270" s="2" t="s">
        <v>3577</v>
      </c>
      <c r="AA270" s="2">
        <v>3</v>
      </c>
      <c r="AB270" s="2" t="s">
        <v>160</v>
      </c>
      <c r="AC270" s="2" t="s">
        <v>3578</v>
      </c>
      <c r="AD270" s="3">
        <v>44945</v>
      </c>
      <c r="AE270" s="2" t="s">
        <v>108</v>
      </c>
      <c r="AF270" s="2">
        <v>1997500</v>
      </c>
      <c r="AG270" s="2">
        <v>34957</v>
      </c>
      <c r="AH270" s="2" t="s">
        <v>3579</v>
      </c>
      <c r="AI270" s="2">
        <v>34956</v>
      </c>
      <c r="AJ270" s="11">
        <v>-1</v>
      </c>
      <c r="AK270" s="11"/>
    </row>
    <row r="271" spans="1:37" hidden="1">
      <c r="A271" s="10">
        <v>270</v>
      </c>
      <c r="B271" s="2" t="s">
        <v>37</v>
      </c>
      <c r="C271" s="2" t="s">
        <v>3580</v>
      </c>
      <c r="D271" s="2" t="s">
        <v>39</v>
      </c>
      <c r="E271" s="2" t="s">
        <v>40</v>
      </c>
      <c r="F271" s="2" t="s">
        <v>3581</v>
      </c>
      <c r="G271" s="2" t="s">
        <v>62</v>
      </c>
      <c r="H271" s="2" t="s">
        <v>3582</v>
      </c>
      <c r="I271" s="2" t="s">
        <v>485</v>
      </c>
      <c r="J271" s="2" t="s">
        <v>3583</v>
      </c>
      <c r="K271" s="2" t="s">
        <v>485</v>
      </c>
      <c r="L271" s="2" t="s">
        <v>3584</v>
      </c>
      <c r="M271" s="2">
        <v>2546225</v>
      </c>
      <c r="N271" s="2">
        <v>4629500</v>
      </c>
      <c r="O271" s="2" t="s">
        <v>3585</v>
      </c>
      <c r="P271" s="3">
        <v>45674</v>
      </c>
      <c r="Q271" s="2" t="s">
        <v>3586</v>
      </c>
      <c r="R271" s="2" t="s">
        <v>3587</v>
      </c>
      <c r="S271" s="2" t="s">
        <v>50</v>
      </c>
      <c r="T271" s="2" t="s">
        <v>51</v>
      </c>
      <c r="U271" s="2" t="s">
        <v>3588</v>
      </c>
      <c r="V271" s="2" t="s">
        <v>53</v>
      </c>
      <c r="W271" s="3">
        <v>44439</v>
      </c>
      <c r="X271" s="2" t="s">
        <v>287</v>
      </c>
      <c r="Y271" s="3">
        <v>46408</v>
      </c>
      <c r="Z271" s="2" t="s">
        <v>3589</v>
      </c>
      <c r="AA271" s="2">
        <v>5</v>
      </c>
      <c r="AB271" s="2" t="s">
        <v>90</v>
      </c>
      <c r="AC271" s="2" t="s">
        <v>3590</v>
      </c>
      <c r="AD271" s="3">
        <v>44574</v>
      </c>
      <c r="AE271" s="2" t="s">
        <v>58</v>
      </c>
      <c r="AF271" s="2">
        <v>3703600</v>
      </c>
      <c r="AG271" s="2">
        <v>74072</v>
      </c>
      <c r="AH271" s="2" t="s">
        <v>3591</v>
      </c>
      <c r="AI271" s="2">
        <v>74072</v>
      </c>
      <c r="AJ271" s="11">
        <v>0</v>
      </c>
      <c r="AK271" s="11"/>
    </row>
    <row r="272" spans="1:37" hidden="1">
      <c r="A272" s="10">
        <v>271</v>
      </c>
      <c r="B272" s="2" t="s">
        <v>37</v>
      </c>
      <c r="C272" s="2" t="s">
        <v>3592</v>
      </c>
      <c r="D272" s="2" t="s">
        <v>39</v>
      </c>
      <c r="E272" s="2" t="s">
        <v>40</v>
      </c>
      <c r="F272" s="2" t="s">
        <v>3593</v>
      </c>
      <c r="G272" s="2" t="s">
        <v>62</v>
      </c>
      <c r="H272" s="2" t="s">
        <v>3594</v>
      </c>
      <c r="I272" s="2"/>
      <c r="J272" s="2"/>
      <c r="K272" s="2">
        <v>2135050786</v>
      </c>
      <c r="L272" s="2" t="s">
        <v>3595</v>
      </c>
      <c r="M272" s="2">
        <v>2157750</v>
      </c>
      <c r="N272" s="2">
        <v>2877000</v>
      </c>
      <c r="O272" s="2" t="s">
        <v>3596</v>
      </c>
      <c r="P272" s="3">
        <v>45675</v>
      </c>
      <c r="Q272" s="2" t="s">
        <v>3597</v>
      </c>
      <c r="R272" s="2" t="s">
        <v>3598</v>
      </c>
      <c r="S272" s="2" t="s">
        <v>50</v>
      </c>
      <c r="T272" s="2"/>
      <c r="U272" s="2" t="s">
        <v>1521</v>
      </c>
      <c r="V272" s="2">
        <v>2021</v>
      </c>
      <c r="W272" s="3">
        <v>44135</v>
      </c>
      <c r="X272" s="2" t="s">
        <v>1825</v>
      </c>
      <c r="Y272" s="3">
        <v>46056</v>
      </c>
      <c r="Z272" s="2" t="s">
        <v>3599</v>
      </c>
      <c r="AA272" s="2">
        <v>5</v>
      </c>
      <c r="AB272" s="2" t="s">
        <v>90</v>
      </c>
      <c r="AC272" s="2" t="s">
        <v>3600</v>
      </c>
      <c r="AD272" s="3">
        <v>44218</v>
      </c>
      <c r="AE272" s="2" t="s">
        <v>77</v>
      </c>
      <c r="AF272" s="2">
        <v>2157750</v>
      </c>
      <c r="AG272" s="2">
        <v>32367</v>
      </c>
      <c r="AH272" s="2" t="s">
        <v>3601</v>
      </c>
      <c r="AI272" s="2">
        <v>32366</v>
      </c>
      <c r="AJ272" s="11">
        <v>-1</v>
      </c>
      <c r="AK272" s="11"/>
    </row>
    <row r="273" spans="1:37" hidden="1">
      <c r="A273" s="10">
        <v>272</v>
      </c>
      <c r="B273" s="2" t="s">
        <v>37</v>
      </c>
      <c r="C273" s="2" t="s">
        <v>3602</v>
      </c>
      <c r="D273" s="2" t="s">
        <v>39</v>
      </c>
      <c r="E273" s="2" t="s">
        <v>40</v>
      </c>
      <c r="F273" s="2" t="s">
        <v>1291</v>
      </c>
      <c r="G273" s="2" t="s">
        <v>42</v>
      </c>
      <c r="H273" s="2" t="s">
        <v>3603</v>
      </c>
      <c r="I273" s="2" t="s">
        <v>3604</v>
      </c>
      <c r="J273" s="2" t="s">
        <v>3605</v>
      </c>
      <c r="K273" s="2" t="s">
        <v>3604</v>
      </c>
      <c r="L273" s="2" t="s">
        <v>3606</v>
      </c>
      <c r="M273" s="2">
        <v>2058000</v>
      </c>
      <c r="N273" s="2">
        <v>3430000</v>
      </c>
      <c r="O273" s="2" t="s">
        <v>3607</v>
      </c>
      <c r="P273" s="3">
        <v>45674</v>
      </c>
      <c r="Q273" s="2" t="s">
        <v>3608</v>
      </c>
      <c r="R273" s="2" t="s">
        <v>3609</v>
      </c>
      <c r="S273" s="2" t="s">
        <v>69</v>
      </c>
      <c r="T273" s="2" t="s">
        <v>3610</v>
      </c>
      <c r="U273" s="2" t="s">
        <v>267</v>
      </c>
      <c r="V273" s="2" t="s">
        <v>286</v>
      </c>
      <c r="W273" s="3">
        <v>44946</v>
      </c>
      <c r="X273" s="2" t="s">
        <v>1710</v>
      </c>
      <c r="Y273" s="3">
        <v>46043</v>
      </c>
      <c r="Z273" s="2" t="s">
        <v>3611</v>
      </c>
      <c r="AA273" s="2">
        <v>3</v>
      </c>
      <c r="AB273" s="2" t="s">
        <v>75</v>
      </c>
      <c r="AC273" s="2" t="s">
        <v>3612</v>
      </c>
      <c r="AD273" s="3">
        <v>44945</v>
      </c>
      <c r="AE273" s="2" t="s">
        <v>108</v>
      </c>
      <c r="AF273" s="2">
        <v>2915500</v>
      </c>
      <c r="AG273" s="2">
        <v>51022</v>
      </c>
      <c r="AH273" s="2" t="s">
        <v>3613</v>
      </c>
      <c r="AI273" s="2">
        <v>51021</v>
      </c>
      <c r="AJ273" s="11">
        <v>-1</v>
      </c>
      <c r="AK273" s="11"/>
    </row>
    <row r="274" spans="1:37" hidden="1">
      <c r="A274" s="10">
        <v>273</v>
      </c>
      <c r="B274" s="2" t="s">
        <v>37</v>
      </c>
      <c r="C274" s="2" t="s">
        <v>3614</v>
      </c>
      <c r="D274" s="2" t="s">
        <v>39</v>
      </c>
      <c r="E274" s="2" t="s">
        <v>40</v>
      </c>
      <c r="F274" s="2" t="s">
        <v>3615</v>
      </c>
      <c r="G274" s="2" t="s">
        <v>112</v>
      </c>
      <c r="H274" s="2" t="s">
        <v>3616</v>
      </c>
      <c r="I274" s="2" t="s">
        <v>3617</v>
      </c>
      <c r="J274" s="2" t="s">
        <v>3617</v>
      </c>
      <c r="K274" s="2" t="s">
        <v>3618</v>
      </c>
      <c r="L274" s="2" t="s">
        <v>3619</v>
      </c>
      <c r="M274" s="2">
        <v>1679400</v>
      </c>
      <c r="N274" s="2">
        <v>2799000</v>
      </c>
      <c r="O274" s="2" t="s">
        <v>3620</v>
      </c>
      <c r="P274" s="3">
        <v>45671</v>
      </c>
      <c r="Q274" s="2" t="s">
        <v>3621</v>
      </c>
      <c r="R274" s="2" t="s">
        <v>3622</v>
      </c>
      <c r="S274" s="2" t="s">
        <v>50</v>
      </c>
      <c r="T274" s="2" t="s">
        <v>51</v>
      </c>
      <c r="U274" s="2" t="s">
        <v>285</v>
      </c>
      <c r="V274" s="2" t="s">
        <v>3093</v>
      </c>
      <c r="W274" s="3">
        <v>45307</v>
      </c>
      <c r="X274" s="2" t="s">
        <v>2916</v>
      </c>
      <c r="Y274" s="3">
        <v>47139</v>
      </c>
      <c r="Z274" s="2" t="s">
        <v>3623</v>
      </c>
      <c r="AA274" s="2">
        <v>5</v>
      </c>
      <c r="AB274" s="2" t="s">
        <v>160</v>
      </c>
      <c r="AC274" s="2" t="s">
        <v>3624</v>
      </c>
      <c r="AD274" s="3">
        <v>45307</v>
      </c>
      <c r="AE274" s="2" t="s">
        <v>108</v>
      </c>
      <c r="AF274" s="2">
        <v>2519100</v>
      </c>
      <c r="AG274" s="2">
        <v>44085</v>
      </c>
      <c r="AH274" s="2" t="s">
        <v>3625</v>
      </c>
      <c r="AI274" s="2">
        <v>44084</v>
      </c>
      <c r="AJ274" s="11">
        <v>-1</v>
      </c>
      <c r="AK274" s="11"/>
    </row>
    <row r="275" spans="1:37" hidden="1">
      <c r="A275" s="10">
        <v>274</v>
      </c>
      <c r="B275" s="2" t="s">
        <v>37</v>
      </c>
      <c r="C275" s="2" t="s">
        <v>3626</v>
      </c>
      <c r="D275" s="2" t="s">
        <v>39</v>
      </c>
      <c r="E275" s="2" t="s">
        <v>40</v>
      </c>
      <c r="F275" s="2" t="s">
        <v>3627</v>
      </c>
      <c r="G275" s="2" t="s">
        <v>112</v>
      </c>
      <c r="H275" s="2" t="s">
        <v>3628</v>
      </c>
      <c r="I275" s="2">
        <v>3008502035</v>
      </c>
      <c r="J275" s="2"/>
      <c r="K275" s="2">
        <v>512226048</v>
      </c>
      <c r="L275" s="2" t="s">
        <v>3629</v>
      </c>
      <c r="M275" s="2">
        <v>4074750</v>
      </c>
      <c r="N275" s="2">
        <v>5433000</v>
      </c>
      <c r="O275" s="2" t="s">
        <v>3630</v>
      </c>
      <c r="P275" s="3">
        <v>45670</v>
      </c>
      <c r="Q275" s="2">
        <v>340795</v>
      </c>
      <c r="R275" s="2" t="s">
        <v>3631</v>
      </c>
      <c r="S275" s="2" t="s">
        <v>50</v>
      </c>
      <c r="T275" s="2"/>
      <c r="U275" s="2" t="s">
        <v>877</v>
      </c>
      <c r="V275" s="2">
        <v>2021</v>
      </c>
      <c r="W275" s="3">
        <v>44104</v>
      </c>
      <c r="X275" s="2" t="s">
        <v>931</v>
      </c>
      <c r="Y275" s="3">
        <v>46043</v>
      </c>
      <c r="Z275" s="2" t="s">
        <v>3632</v>
      </c>
      <c r="AA275" s="2">
        <v>5</v>
      </c>
      <c r="AB275" s="2" t="s">
        <v>879</v>
      </c>
      <c r="AC275" s="2"/>
      <c r="AD275" s="2"/>
      <c r="AE275" s="2" t="s">
        <v>77</v>
      </c>
      <c r="AF275" s="2">
        <v>4074750</v>
      </c>
      <c r="AG275" s="2">
        <v>61122</v>
      </c>
      <c r="AH275" s="2" t="s">
        <v>3633</v>
      </c>
      <c r="AI275" s="2">
        <v>61121</v>
      </c>
      <c r="AJ275" s="11">
        <v>-1</v>
      </c>
      <c r="AK275" s="11"/>
    </row>
    <row r="276" spans="1:37" hidden="1">
      <c r="A276" s="10">
        <v>275</v>
      </c>
      <c r="B276" s="2" t="s">
        <v>37</v>
      </c>
      <c r="C276" s="2" t="s">
        <v>3634</v>
      </c>
      <c r="D276" s="2" t="s">
        <v>39</v>
      </c>
      <c r="E276" s="2" t="s">
        <v>40</v>
      </c>
      <c r="F276" s="2" t="s">
        <v>3635</v>
      </c>
      <c r="G276" s="2" t="s">
        <v>42</v>
      </c>
      <c r="H276" s="2" t="s">
        <v>3636</v>
      </c>
      <c r="I276" s="2" t="s">
        <v>3637</v>
      </c>
      <c r="J276" s="2" t="s">
        <v>3638</v>
      </c>
      <c r="K276" s="2" t="s">
        <v>3637</v>
      </c>
      <c r="L276" s="2" t="s">
        <v>3639</v>
      </c>
      <c r="M276" s="2">
        <v>1625000</v>
      </c>
      <c r="N276" s="2">
        <v>2500000</v>
      </c>
      <c r="O276" s="2" t="s">
        <v>3640</v>
      </c>
      <c r="P276" s="3">
        <v>45674</v>
      </c>
      <c r="Q276" s="2" t="s">
        <v>3641</v>
      </c>
      <c r="R276" s="2" t="s">
        <v>3642</v>
      </c>
      <c r="S276" s="2" t="s">
        <v>69</v>
      </c>
      <c r="T276" s="2" t="s">
        <v>3643</v>
      </c>
      <c r="U276" s="2" t="s">
        <v>3644</v>
      </c>
      <c r="V276" s="2" t="s">
        <v>391</v>
      </c>
      <c r="W276" s="3">
        <v>44945</v>
      </c>
      <c r="X276" s="2" t="s">
        <v>1710</v>
      </c>
      <c r="Y276" s="3">
        <v>46043</v>
      </c>
      <c r="Z276" s="2" t="s">
        <v>3645</v>
      </c>
      <c r="AA276" s="2">
        <v>3</v>
      </c>
      <c r="AB276" s="2" t="s">
        <v>75</v>
      </c>
      <c r="AC276" s="2" t="s">
        <v>3646</v>
      </c>
      <c r="AD276" s="3">
        <v>44945</v>
      </c>
      <c r="AE276" s="2" t="s">
        <v>108</v>
      </c>
      <c r="AF276" s="2">
        <v>2125000</v>
      </c>
      <c r="AG276" s="2">
        <v>37188</v>
      </c>
      <c r="AH276" s="2" t="s">
        <v>3647</v>
      </c>
      <c r="AI276" s="2">
        <v>37188</v>
      </c>
      <c r="AJ276" s="11">
        <v>0</v>
      </c>
      <c r="AK276" s="11"/>
    </row>
    <row r="277" spans="1:37" hidden="1">
      <c r="A277" s="10">
        <v>276</v>
      </c>
      <c r="B277" s="2" t="s">
        <v>37</v>
      </c>
      <c r="C277" s="2" t="s">
        <v>3648</v>
      </c>
      <c r="D277" s="2" t="s">
        <v>39</v>
      </c>
      <c r="E277" s="2" t="s">
        <v>40</v>
      </c>
      <c r="F277" s="2" t="s">
        <v>3649</v>
      </c>
      <c r="G277" s="2" t="s">
        <v>2120</v>
      </c>
      <c r="H277" s="2" t="s">
        <v>3650</v>
      </c>
      <c r="I277" s="2"/>
      <c r="J277" s="2">
        <v>3005462786</v>
      </c>
      <c r="K277" s="2"/>
      <c r="L277" s="2" t="s">
        <v>3651</v>
      </c>
      <c r="M277" s="2">
        <v>2959800</v>
      </c>
      <c r="N277" s="2">
        <v>4933000</v>
      </c>
      <c r="O277" s="2" t="s">
        <v>3652</v>
      </c>
      <c r="P277" s="3">
        <v>45670</v>
      </c>
      <c r="Q277" s="2">
        <v>341363</v>
      </c>
      <c r="R277" s="2" t="s">
        <v>3653</v>
      </c>
      <c r="S277" s="2" t="s">
        <v>50</v>
      </c>
      <c r="T277" s="2"/>
      <c r="U277" s="2" t="s">
        <v>491</v>
      </c>
      <c r="V277" s="2">
        <v>2020</v>
      </c>
      <c r="W277" s="3">
        <v>44135</v>
      </c>
      <c r="X277" s="2" t="s">
        <v>931</v>
      </c>
      <c r="Y277" s="3">
        <v>46043</v>
      </c>
      <c r="Z277" s="2" t="s">
        <v>3654</v>
      </c>
      <c r="AA277" s="2">
        <v>5</v>
      </c>
      <c r="AB277" s="2" t="s">
        <v>879</v>
      </c>
      <c r="AC277" s="2"/>
      <c r="AD277" s="2"/>
      <c r="AE277" s="2" t="s">
        <v>77</v>
      </c>
      <c r="AF277" s="2">
        <v>3699750</v>
      </c>
      <c r="AG277" s="2">
        <v>55497</v>
      </c>
      <c r="AH277" s="2" t="s">
        <v>3655</v>
      </c>
      <c r="AI277" s="2">
        <v>55496</v>
      </c>
      <c r="AJ277" s="11">
        <v>-1</v>
      </c>
      <c r="AK277" s="11"/>
    </row>
    <row r="278" spans="1:37" hidden="1">
      <c r="A278" s="10">
        <v>277</v>
      </c>
      <c r="B278" s="2" t="s">
        <v>37</v>
      </c>
      <c r="C278" s="2" t="s">
        <v>3656</v>
      </c>
      <c r="D278" s="2" t="s">
        <v>39</v>
      </c>
      <c r="E278" s="2" t="s">
        <v>40</v>
      </c>
      <c r="F278" s="2" t="s">
        <v>3657</v>
      </c>
      <c r="G278" s="2" t="s">
        <v>112</v>
      </c>
      <c r="H278" s="2" t="s">
        <v>3658</v>
      </c>
      <c r="I278" s="2" t="s">
        <v>3659</v>
      </c>
      <c r="J278" s="2" t="s">
        <v>51</v>
      </c>
      <c r="K278" s="2" t="s">
        <v>3660</v>
      </c>
      <c r="L278" s="2" t="s">
        <v>3661</v>
      </c>
      <c r="M278" s="2">
        <v>1761000</v>
      </c>
      <c r="N278" s="2">
        <v>2935000</v>
      </c>
      <c r="O278" s="2" t="s">
        <v>3662</v>
      </c>
      <c r="P278" s="3">
        <v>45962</v>
      </c>
      <c r="Q278" s="2" t="s">
        <v>3663</v>
      </c>
      <c r="R278" s="2" t="s">
        <v>3664</v>
      </c>
      <c r="S278" s="2" t="s">
        <v>50</v>
      </c>
      <c r="T278" s="2" t="s">
        <v>51</v>
      </c>
      <c r="U278" s="2" t="s">
        <v>133</v>
      </c>
      <c r="V278" s="2" t="s">
        <v>3093</v>
      </c>
      <c r="W278" s="3">
        <v>45306</v>
      </c>
      <c r="X278" s="2" t="s">
        <v>2916</v>
      </c>
      <c r="Y278" s="3">
        <v>46408</v>
      </c>
      <c r="Z278" s="2" t="s">
        <v>3665</v>
      </c>
      <c r="AA278" s="2">
        <v>3</v>
      </c>
      <c r="AB278" s="2" t="s">
        <v>160</v>
      </c>
      <c r="AC278" s="2" t="s">
        <v>3666</v>
      </c>
      <c r="AD278" s="3">
        <v>45302</v>
      </c>
      <c r="AE278" s="2" t="s">
        <v>108</v>
      </c>
      <c r="AF278" s="2">
        <v>2641500</v>
      </c>
      <c r="AG278" s="2">
        <v>46227</v>
      </c>
      <c r="AH278" s="2" t="s">
        <v>3667</v>
      </c>
      <c r="AI278" s="2">
        <v>46226</v>
      </c>
      <c r="AJ278" s="11">
        <v>-1</v>
      </c>
      <c r="AK278" s="11"/>
    </row>
    <row r="279" spans="1:37" hidden="1">
      <c r="A279" s="10">
        <v>278</v>
      </c>
      <c r="B279" s="2" t="s">
        <v>37</v>
      </c>
      <c r="C279" s="2" t="s">
        <v>3668</v>
      </c>
      <c r="D279" s="2" t="s">
        <v>39</v>
      </c>
      <c r="E279" s="2" t="s">
        <v>40</v>
      </c>
      <c r="F279" s="2" t="s">
        <v>3669</v>
      </c>
      <c r="G279" s="2" t="s">
        <v>276</v>
      </c>
      <c r="H279" s="2" t="s">
        <v>3670</v>
      </c>
      <c r="I279" s="2" t="s">
        <v>51</v>
      </c>
      <c r="J279" s="2" t="s">
        <v>3671</v>
      </c>
      <c r="K279" s="2" t="s">
        <v>51</v>
      </c>
      <c r="L279" s="2" t="s">
        <v>3672</v>
      </c>
      <c r="M279" s="2">
        <v>1482000</v>
      </c>
      <c r="N279" s="2">
        <v>1976000</v>
      </c>
      <c r="O279" s="2" t="s">
        <v>3673</v>
      </c>
      <c r="P279" s="3">
        <v>45962</v>
      </c>
      <c r="Q279" s="2" t="s">
        <v>3674</v>
      </c>
      <c r="R279" s="2" t="s">
        <v>3675</v>
      </c>
      <c r="S279" s="2" t="s">
        <v>50</v>
      </c>
      <c r="T279" s="2" t="s">
        <v>51</v>
      </c>
      <c r="U279" s="2" t="s">
        <v>285</v>
      </c>
      <c r="V279" s="2" t="s">
        <v>53</v>
      </c>
      <c r="W279" s="3">
        <v>44753</v>
      </c>
      <c r="X279" s="2" t="s">
        <v>1710</v>
      </c>
      <c r="Y279" s="3">
        <v>46773</v>
      </c>
      <c r="Z279" s="2" t="s">
        <v>3676</v>
      </c>
      <c r="AA279" s="2">
        <v>5</v>
      </c>
      <c r="AB279" s="2" t="s">
        <v>106</v>
      </c>
      <c r="AC279" s="2" t="s">
        <v>3677</v>
      </c>
      <c r="AD279" s="3">
        <v>44938</v>
      </c>
      <c r="AE279" s="2" t="s">
        <v>271</v>
      </c>
      <c r="AF279" s="2">
        <v>1679600</v>
      </c>
      <c r="AG279" s="2">
        <v>23515</v>
      </c>
      <c r="AH279" s="2" t="s">
        <v>3678</v>
      </c>
      <c r="AI279" s="2">
        <v>23514</v>
      </c>
      <c r="AJ279" s="11">
        <v>-1</v>
      </c>
      <c r="AK279" s="11"/>
    </row>
    <row r="280" spans="1:37" hidden="1">
      <c r="A280" s="10">
        <v>279</v>
      </c>
      <c r="B280" s="2" t="s">
        <v>37</v>
      </c>
      <c r="C280" s="2" t="s">
        <v>3679</v>
      </c>
      <c r="D280" s="2" t="s">
        <v>39</v>
      </c>
      <c r="E280" s="2" t="s">
        <v>40</v>
      </c>
      <c r="F280" s="2" t="s">
        <v>3680</v>
      </c>
      <c r="G280" s="2" t="s">
        <v>62</v>
      </c>
      <c r="H280" s="2" t="s">
        <v>3681</v>
      </c>
      <c r="I280" s="2" t="s">
        <v>3682</v>
      </c>
      <c r="J280" s="2" t="s">
        <v>3682</v>
      </c>
      <c r="K280" s="2" t="s">
        <v>328</v>
      </c>
      <c r="L280" s="2" t="s">
        <v>3683</v>
      </c>
      <c r="M280" s="2">
        <v>2054500</v>
      </c>
      <c r="N280" s="2">
        <v>2935000</v>
      </c>
      <c r="O280" s="2" t="s">
        <v>3684</v>
      </c>
      <c r="P280" s="3">
        <v>45931</v>
      </c>
      <c r="Q280" s="2" t="s">
        <v>3685</v>
      </c>
      <c r="R280" s="2" t="s">
        <v>3686</v>
      </c>
      <c r="S280" s="2" t="s">
        <v>50</v>
      </c>
      <c r="T280" s="2" t="s">
        <v>51</v>
      </c>
      <c r="U280" s="2" t="s">
        <v>133</v>
      </c>
      <c r="V280" s="2" t="s">
        <v>3093</v>
      </c>
      <c r="W280" s="3">
        <v>45306</v>
      </c>
      <c r="X280" s="2" t="s">
        <v>2916</v>
      </c>
      <c r="Y280" s="3">
        <v>47139</v>
      </c>
      <c r="Z280" s="2" t="s">
        <v>3687</v>
      </c>
      <c r="AA280" s="2">
        <v>5</v>
      </c>
      <c r="AB280" s="2" t="s">
        <v>160</v>
      </c>
      <c r="AC280" s="2" t="s">
        <v>3688</v>
      </c>
      <c r="AD280" s="3">
        <v>45302</v>
      </c>
      <c r="AE280" s="2" t="s">
        <v>108</v>
      </c>
      <c r="AF280" s="2">
        <v>2641500</v>
      </c>
      <c r="AG280" s="2">
        <v>46227</v>
      </c>
      <c r="AH280" s="2" t="s">
        <v>3689</v>
      </c>
      <c r="AI280" s="2">
        <v>46226</v>
      </c>
      <c r="AJ280" s="11">
        <v>-1</v>
      </c>
      <c r="AK280" s="11"/>
    </row>
    <row r="281" spans="1:37" hidden="1">
      <c r="A281" s="10">
        <v>280</v>
      </c>
      <c r="B281" s="2" t="s">
        <v>37</v>
      </c>
      <c r="C281" s="2" t="s">
        <v>3690</v>
      </c>
      <c r="D281" s="2" t="s">
        <v>39</v>
      </c>
      <c r="E281" s="2" t="s">
        <v>40</v>
      </c>
      <c r="F281" s="2" t="s">
        <v>3691</v>
      </c>
      <c r="G281" s="2" t="s">
        <v>42</v>
      </c>
      <c r="H281" s="2" t="s">
        <v>3692</v>
      </c>
      <c r="I281" s="2" t="s">
        <v>51</v>
      </c>
      <c r="J281" s="2" t="s">
        <v>3693</v>
      </c>
      <c r="K281" s="2" t="s">
        <v>51</v>
      </c>
      <c r="L281" s="2" t="s">
        <v>3694</v>
      </c>
      <c r="M281" s="2">
        <v>1875000</v>
      </c>
      <c r="N281" s="2">
        <v>3125000</v>
      </c>
      <c r="O281" s="2" t="s">
        <v>3695</v>
      </c>
      <c r="P281" s="3">
        <v>45931</v>
      </c>
      <c r="Q281" s="2" t="s">
        <v>3696</v>
      </c>
      <c r="R281" s="2" t="s">
        <v>3697</v>
      </c>
      <c r="S281" s="2" t="s">
        <v>69</v>
      </c>
      <c r="T281" s="2" t="s">
        <v>51</v>
      </c>
      <c r="U281" s="2" t="s">
        <v>578</v>
      </c>
      <c r="V281" s="2" t="s">
        <v>300</v>
      </c>
      <c r="W281" s="3">
        <v>44939</v>
      </c>
      <c r="X281" s="2" t="s">
        <v>1710</v>
      </c>
      <c r="Y281" s="3">
        <v>46043</v>
      </c>
      <c r="Z281" s="2" t="s">
        <v>3698</v>
      </c>
      <c r="AA281" s="2">
        <v>3</v>
      </c>
      <c r="AB281" s="2" t="s">
        <v>75</v>
      </c>
      <c r="AC281" s="2" t="s">
        <v>3699</v>
      </c>
      <c r="AD281" s="3">
        <v>44938</v>
      </c>
      <c r="AE281" s="2" t="s">
        <v>108</v>
      </c>
      <c r="AF281" s="2">
        <v>2656250</v>
      </c>
      <c r="AG281" s="2">
        <v>46485</v>
      </c>
      <c r="AH281" s="2" t="s">
        <v>3700</v>
      </c>
      <c r="AI281" s="2">
        <v>46484</v>
      </c>
      <c r="AJ281" s="11">
        <v>-1</v>
      </c>
      <c r="AK281" s="11"/>
    </row>
    <row r="282" spans="1:37" hidden="1">
      <c r="A282" s="10">
        <v>281</v>
      </c>
      <c r="B282" s="2" t="s">
        <v>37</v>
      </c>
      <c r="C282" s="2" t="s">
        <v>3701</v>
      </c>
      <c r="D282" s="2" t="s">
        <v>39</v>
      </c>
      <c r="E282" s="2" t="s">
        <v>40</v>
      </c>
      <c r="F282" s="2" t="s">
        <v>3702</v>
      </c>
      <c r="G282" s="2" t="s">
        <v>112</v>
      </c>
      <c r="H282" s="2" t="s">
        <v>3703</v>
      </c>
      <c r="I282" s="2" t="s">
        <v>51</v>
      </c>
      <c r="J282" s="2" t="s">
        <v>3704</v>
      </c>
      <c r="K282" s="2" t="s">
        <v>51</v>
      </c>
      <c r="L282" s="2" t="s">
        <v>3705</v>
      </c>
      <c r="M282" s="2">
        <v>2985630</v>
      </c>
      <c r="N282" s="2">
        <v>4327000</v>
      </c>
      <c r="O282" s="2" t="s">
        <v>3706</v>
      </c>
      <c r="P282" s="3">
        <v>45901</v>
      </c>
      <c r="Q282" s="2" t="s">
        <v>3707</v>
      </c>
      <c r="R282" s="2" t="s">
        <v>3708</v>
      </c>
      <c r="S282" s="2" t="s">
        <v>266</v>
      </c>
      <c r="T282" s="2" t="s">
        <v>51</v>
      </c>
      <c r="U282" s="2" t="s">
        <v>3709</v>
      </c>
      <c r="V282" s="2" t="s">
        <v>286</v>
      </c>
      <c r="W282" s="3">
        <v>44487</v>
      </c>
      <c r="X282" s="2" t="s">
        <v>1414</v>
      </c>
      <c r="Y282" s="3">
        <v>46421</v>
      </c>
      <c r="Z282" s="2" t="s">
        <v>3710</v>
      </c>
      <c r="AA282" s="2">
        <v>5</v>
      </c>
      <c r="AB282" s="2" t="s">
        <v>90</v>
      </c>
      <c r="AC282" s="2" t="s">
        <v>51</v>
      </c>
      <c r="AD282" s="2"/>
      <c r="AE282" s="2" t="s">
        <v>271</v>
      </c>
      <c r="AF282" s="2">
        <v>3461600</v>
      </c>
      <c r="AG282" s="2">
        <v>48463</v>
      </c>
      <c r="AH282" s="2" t="s">
        <v>3711</v>
      </c>
      <c r="AI282" s="2">
        <v>48462</v>
      </c>
      <c r="AJ282" s="11">
        <v>-1</v>
      </c>
      <c r="AK282" s="11"/>
    </row>
    <row r="283" spans="1:37" hidden="1">
      <c r="A283" s="10">
        <v>282</v>
      </c>
      <c r="B283" s="2" t="s">
        <v>37</v>
      </c>
      <c r="C283" s="2" t="s">
        <v>3712</v>
      </c>
      <c r="D283" s="2" t="s">
        <v>39</v>
      </c>
      <c r="E283" s="2" t="s">
        <v>40</v>
      </c>
      <c r="F283" s="2" t="s">
        <v>3713</v>
      </c>
      <c r="G283" s="2" t="s">
        <v>112</v>
      </c>
      <c r="H283" s="2" t="s">
        <v>3714</v>
      </c>
      <c r="I283" s="2" t="s">
        <v>3715</v>
      </c>
      <c r="J283" s="2" t="s">
        <v>51</v>
      </c>
      <c r="K283" s="2" t="s">
        <v>328</v>
      </c>
      <c r="L283" s="2" t="s">
        <v>3716</v>
      </c>
      <c r="M283" s="2">
        <v>2642500</v>
      </c>
      <c r="N283" s="2">
        <v>3775000</v>
      </c>
      <c r="O283" s="2" t="s">
        <v>3717</v>
      </c>
      <c r="P283" s="3">
        <v>45778</v>
      </c>
      <c r="Q283" s="2" t="s">
        <v>3718</v>
      </c>
      <c r="R283" s="2" t="s">
        <v>3719</v>
      </c>
      <c r="S283" s="2" t="s">
        <v>69</v>
      </c>
      <c r="T283" s="2" t="s">
        <v>3720</v>
      </c>
      <c r="U283" s="2" t="s">
        <v>535</v>
      </c>
      <c r="V283" s="2" t="s">
        <v>391</v>
      </c>
      <c r="W283" s="3">
        <v>45200</v>
      </c>
      <c r="X283" s="2" t="s">
        <v>54</v>
      </c>
      <c r="Y283" s="3">
        <v>46033</v>
      </c>
      <c r="Z283" s="2" t="s">
        <v>3721</v>
      </c>
      <c r="AA283" s="2">
        <v>3</v>
      </c>
      <c r="AB283" s="2" t="s">
        <v>160</v>
      </c>
      <c r="AC283" s="2" t="s">
        <v>3722</v>
      </c>
      <c r="AD283" s="3">
        <v>44932</v>
      </c>
      <c r="AE283" s="2" t="s">
        <v>108</v>
      </c>
      <c r="AF283" s="2">
        <v>3208750</v>
      </c>
      <c r="AG283" s="2">
        <v>56154</v>
      </c>
      <c r="AH283" s="2" t="s">
        <v>3723</v>
      </c>
      <c r="AI283" s="2">
        <v>56153</v>
      </c>
      <c r="AJ283" s="11">
        <v>-1</v>
      </c>
      <c r="AK283" s="11"/>
    </row>
    <row r="284" spans="1:37" hidden="1">
      <c r="A284" s="10">
        <v>283</v>
      </c>
      <c r="B284" s="2" t="s">
        <v>37</v>
      </c>
      <c r="C284" s="2" t="s">
        <v>3724</v>
      </c>
      <c r="D284" s="2" t="s">
        <v>39</v>
      </c>
      <c r="E284" s="2" t="s">
        <v>40</v>
      </c>
      <c r="F284" s="2" t="s">
        <v>3725</v>
      </c>
      <c r="G284" s="2" t="s">
        <v>276</v>
      </c>
      <c r="H284" s="2" t="s">
        <v>3726</v>
      </c>
      <c r="I284" s="2">
        <v>3006666318</v>
      </c>
      <c r="J284" s="2">
        <v>3006666318</v>
      </c>
      <c r="K284" s="2">
        <v>3006666318</v>
      </c>
      <c r="L284" s="2" t="s">
        <v>3727</v>
      </c>
      <c r="M284" s="2">
        <v>3577980</v>
      </c>
      <c r="N284" s="2">
        <v>5111400</v>
      </c>
      <c r="O284" s="2" t="s">
        <v>3728</v>
      </c>
      <c r="P284" s="3">
        <v>45748</v>
      </c>
      <c r="Q284" s="2" t="s">
        <v>3729</v>
      </c>
      <c r="R284" s="2" t="s">
        <v>3730</v>
      </c>
      <c r="S284" s="2" t="s">
        <v>50</v>
      </c>
      <c r="T284" s="2"/>
      <c r="U284" s="2" t="s">
        <v>3731</v>
      </c>
      <c r="V284" s="2">
        <v>2020</v>
      </c>
      <c r="W284" s="3">
        <v>44155</v>
      </c>
      <c r="X284" s="2" t="s">
        <v>220</v>
      </c>
      <c r="Y284" s="3">
        <v>46033</v>
      </c>
      <c r="Z284" s="2" t="s">
        <v>3732</v>
      </c>
      <c r="AA284" s="2">
        <v>5</v>
      </c>
      <c r="AB284" s="2" t="s">
        <v>90</v>
      </c>
      <c r="AC284" s="2" t="s">
        <v>3733</v>
      </c>
      <c r="AD284" s="3">
        <v>44348</v>
      </c>
      <c r="AE284" s="2" t="s">
        <v>77</v>
      </c>
      <c r="AF284" s="2">
        <v>3833550</v>
      </c>
      <c r="AG284" s="2">
        <v>57504</v>
      </c>
      <c r="AH284" s="2" t="s">
        <v>3734</v>
      </c>
      <c r="AI284" s="2">
        <v>57503</v>
      </c>
      <c r="AJ284" s="11">
        <v>-1</v>
      </c>
      <c r="AK284" s="11"/>
    </row>
    <row r="285" spans="1:37" hidden="1">
      <c r="A285" s="10">
        <v>284</v>
      </c>
      <c r="B285" s="2" t="s">
        <v>37</v>
      </c>
      <c r="C285" s="2" t="s">
        <v>3735</v>
      </c>
      <c r="D285" s="2" t="s">
        <v>39</v>
      </c>
      <c r="E285" s="2" t="s">
        <v>40</v>
      </c>
      <c r="F285" s="2" t="s">
        <v>3736</v>
      </c>
      <c r="G285" s="2" t="s">
        <v>62</v>
      </c>
      <c r="H285" s="2" t="s">
        <v>3737</v>
      </c>
      <c r="I285" s="2" t="s">
        <v>3738</v>
      </c>
      <c r="J285" s="2" t="s">
        <v>3739</v>
      </c>
      <c r="K285" s="2" t="s">
        <v>3740</v>
      </c>
      <c r="L285" s="2" t="s">
        <v>3741</v>
      </c>
      <c r="M285" s="2">
        <v>1008000</v>
      </c>
      <c r="N285" s="2">
        <v>1440000</v>
      </c>
      <c r="O285" s="2" t="s">
        <v>3742</v>
      </c>
      <c r="P285" s="3">
        <v>45675</v>
      </c>
      <c r="Q285" s="2" t="s">
        <v>3743</v>
      </c>
      <c r="R285" s="2" t="s">
        <v>3744</v>
      </c>
      <c r="S285" s="2" t="s">
        <v>69</v>
      </c>
      <c r="T285" s="2" t="s">
        <v>3745</v>
      </c>
      <c r="U285" s="2" t="s">
        <v>420</v>
      </c>
      <c r="V285" s="2" t="s">
        <v>300</v>
      </c>
      <c r="W285" s="3">
        <v>44585</v>
      </c>
      <c r="X285" s="2" t="s">
        <v>2428</v>
      </c>
      <c r="Y285" s="3">
        <v>46414</v>
      </c>
      <c r="Z285" s="2" t="s">
        <v>3746</v>
      </c>
      <c r="AA285" s="2">
        <v>5</v>
      </c>
      <c r="AB285" s="2" t="s">
        <v>90</v>
      </c>
      <c r="AC285" s="2" t="s">
        <v>3747</v>
      </c>
      <c r="AD285" s="3">
        <v>44580</v>
      </c>
      <c r="AE285" s="2" t="s">
        <v>77</v>
      </c>
      <c r="AF285" s="2">
        <v>1152000</v>
      </c>
      <c r="AG285" s="2">
        <v>17280</v>
      </c>
      <c r="AH285" s="2" t="s">
        <v>3748</v>
      </c>
      <c r="AI285" s="2">
        <v>17280</v>
      </c>
      <c r="AJ285" s="11">
        <v>0</v>
      </c>
      <c r="AK285" s="11"/>
    </row>
    <row r="286" spans="1:37" hidden="1">
      <c r="A286" s="10">
        <v>285</v>
      </c>
      <c r="B286" s="2" t="s">
        <v>37</v>
      </c>
      <c r="C286" s="2" t="s">
        <v>3749</v>
      </c>
      <c r="D286" s="2" t="s">
        <v>39</v>
      </c>
      <c r="E286" s="2" t="s">
        <v>40</v>
      </c>
      <c r="F286" s="2" t="s">
        <v>3750</v>
      </c>
      <c r="G286" s="2" t="s">
        <v>648</v>
      </c>
      <c r="H286" s="2" t="s">
        <v>3751</v>
      </c>
      <c r="I286" s="2" t="s">
        <v>3752</v>
      </c>
      <c r="J286" s="2" t="s">
        <v>3752</v>
      </c>
      <c r="K286" s="2" t="s">
        <v>3753</v>
      </c>
      <c r="L286" s="2" t="s">
        <v>3754</v>
      </c>
      <c r="M286" s="2">
        <v>562500</v>
      </c>
      <c r="N286" s="2">
        <v>750000</v>
      </c>
      <c r="O286" s="2" t="s">
        <v>3755</v>
      </c>
      <c r="P286" s="3">
        <v>45687</v>
      </c>
      <c r="Q286" s="2" t="s">
        <v>3756</v>
      </c>
      <c r="R286" s="2" t="s">
        <v>3757</v>
      </c>
      <c r="S286" s="2" t="s">
        <v>69</v>
      </c>
      <c r="T286" s="2" t="s">
        <v>3758</v>
      </c>
      <c r="U286" s="2" t="s">
        <v>3507</v>
      </c>
      <c r="V286" s="2" t="s">
        <v>391</v>
      </c>
      <c r="W286" s="3">
        <v>44592</v>
      </c>
      <c r="X286" s="2" t="s">
        <v>1414</v>
      </c>
      <c r="Y286" s="3">
        <v>46421</v>
      </c>
      <c r="Z286" s="2" t="s">
        <v>3759</v>
      </c>
      <c r="AA286" s="2">
        <v>5</v>
      </c>
      <c r="AB286" s="2" t="s">
        <v>75</v>
      </c>
      <c r="AC286" s="2" t="s">
        <v>3760</v>
      </c>
      <c r="AD286" s="3">
        <v>44587</v>
      </c>
      <c r="AE286" s="2" t="s">
        <v>77</v>
      </c>
      <c r="AF286" s="2">
        <v>600000</v>
      </c>
      <c r="AG286" s="2">
        <v>9000</v>
      </c>
      <c r="AH286" s="2" t="s">
        <v>3761</v>
      </c>
      <c r="AI286" s="2">
        <v>9000</v>
      </c>
      <c r="AJ286" s="11">
        <v>0</v>
      </c>
      <c r="AK286" s="11"/>
    </row>
    <row r="287" spans="1:37" hidden="1">
      <c r="A287" s="10">
        <v>286</v>
      </c>
      <c r="B287" s="2" t="s">
        <v>37</v>
      </c>
      <c r="C287" s="2" t="s">
        <v>3762</v>
      </c>
      <c r="D287" s="2" t="s">
        <v>39</v>
      </c>
      <c r="E287" s="2" t="s">
        <v>40</v>
      </c>
      <c r="F287" s="2" t="s">
        <v>3763</v>
      </c>
      <c r="G287" s="2" t="s">
        <v>497</v>
      </c>
      <c r="H287" s="2" t="s">
        <v>3764</v>
      </c>
      <c r="I287" s="2" t="s">
        <v>51</v>
      </c>
      <c r="J287" s="2" t="s">
        <v>3765</v>
      </c>
      <c r="K287" s="2" t="s">
        <v>51</v>
      </c>
      <c r="L287" s="2" t="s">
        <v>3766</v>
      </c>
      <c r="M287" s="2">
        <v>1960000</v>
      </c>
      <c r="N287" s="2">
        <v>2800000</v>
      </c>
      <c r="O287" s="2" t="s">
        <v>3767</v>
      </c>
      <c r="P287" s="3">
        <v>45687</v>
      </c>
      <c r="Q287" s="2" t="s">
        <v>3768</v>
      </c>
      <c r="R287" s="2" t="s">
        <v>3769</v>
      </c>
      <c r="S287" s="2" t="s">
        <v>69</v>
      </c>
      <c r="T287" s="2" t="s">
        <v>51</v>
      </c>
      <c r="U287" s="2" t="s">
        <v>3770</v>
      </c>
      <c r="V287" s="2" t="s">
        <v>53</v>
      </c>
      <c r="W287" s="3">
        <v>45293</v>
      </c>
      <c r="X287" s="2" t="s">
        <v>3459</v>
      </c>
      <c r="Y287" s="3">
        <v>46421</v>
      </c>
      <c r="Z287" s="2" t="s">
        <v>3771</v>
      </c>
      <c r="AA287" s="2">
        <v>3</v>
      </c>
      <c r="AB287" s="2" t="s">
        <v>160</v>
      </c>
      <c r="AC287" s="2" t="s">
        <v>3772</v>
      </c>
      <c r="AD287" s="3">
        <v>45322</v>
      </c>
      <c r="AE287" s="2" t="s">
        <v>77</v>
      </c>
      <c r="AF287" s="2">
        <v>2520000</v>
      </c>
      <c r="AG287" s="2">
        <v>37800</v>
      </c>
      <c r="AH287" s="2" t="s">
        <v>3773</v>
      </c>
      <c r="AI287" s="2">
        <v>37800</v>
      </c>
      <c r="AJ287" s="11">
        <v>0</v>
      </c>
      <c r="AK287" s="11"/>
    </row>
    <row r="288" spans="1:37" hidden="1">
      <c r="A288" s="10">
        <v>287</v>
      </c>
      <c r="B288" s="2" t="s">
        <v>37</v>
      </c>
      <c r="C288" s="2" t="s">
        <v>3774</v>
      </c>
      <c r="D288" s="2" t="s">
        <v>39</v>
      </c>
      <c r="E288" s="2" t="s">
        <v>40</v>
      </c>
      <c r="F288" s="2" t="s">
        <v>3775</v>
      </c>
      <c r="G288" s="2" t="s">
        <v>62</v>
      </c>
      <c r="H288" s="2" t="s">
        <v>3776</v>
      </c>
      <c r="I288" s="2" t="s">
        <v>3777</v>
      </c>
      <c r="J288" s="2" t="s">
        <v>3778</v>
      </c>
      <c r="K288" s="2" t="s">
        <v>328</v>
      </c>
      <c r="L288" s="2" t="s">
        <v>3779</v>
      </c>
      <c r="M288" s="2">
        <v>2800000</v>
      </c>
      <c r="N288" s="2">
        <v>4000000</v>
      </c>
      <c r="O288" s="2" t="s">
        <v>3780</v>
      </c>
      <c r="P288" s="3">
        <v>45687</v>
      </c>
      <c r="Q288" s="2" t="s">
        <v>3781</v>
      </c>
      <c r="R288" s="2" t="s">
        <v>3782</v>
      </c>
      <c r="S288" s="2" t="s">
        <v>69</v>
      </c>
      <c r="T288" s="2" t="s">
        <v>3783</v>
      </c>
      <c r="U288" s="2" t="s">
        <v>781</v>
      </c>
      <c r="V288" s="2" t="s">
        <v>521</v>
      </c>
      <c r="W288" s="3">
        <v>45293</v>
      </c>
      <c r="X288" s="2" t="s">
        <v>3459</v>
      </c>
      <c r="Y288" s="3">
        <v>46421</v>
      </c>
      <c r="Z288" s="2" t="s">
        <v>3784</v>
      </c>
      <c r="AA288" s="2">
        <v>3</v>
      </c>
      <c r="AB288" s="2" t="s">
        <v>160</v>
      </c>
      <c r="AC288" s="2" t="s">
        <v>3785</v>
      </c>
      <c r="AD288" s="3">
        <v>45322</v>
      </c>
      <c r="AE288" s="2" t="s">
        <v>108</v>
      </c>
      <c r="AF288" s="2">
        <v>3600000</v>
      </c>
      <c r="AG288" s="2">
        <v>63000</v>
      </c>
      <c r="AH288" s="2" t="s">
        <v>3786</v>
      </c>
      <c r="AI288" s="2">
        <v>63000</v>
      </c>
      <c r="AJ288" s="11">
        <v>0</v>
      </c>
      <c r="AK288" s="11"/>
    </row>
    <row r="289" spans="1:37" hidden="1">
      <c r="A289" s="10">
        <v>288</v>
      </c>
      <c r="B289" s="2" t="s">
        <v>37</v>
      </c>
      <c r="C289" s="2" t="s">
        <v>3787</v>
      </c>
      <c r="D289" s="2" t="s">
        <v>39</v>
      </c>
      <c r="E289" s="2" t="s">
        <v>40</v>
      </c>
      <c r="F289" s="2" t="s">
        <v>3788</v>
      </c>
      <c r="G289" s="2" t="s">
        <v>112</v>
      </c>
      <c r="H289" s="2" t="s">
        <v>3789</v>
      </c>
      <c r="I289" s="2" t="s">
        <v>3790</v>
      </c>
      <c r="J289" s="2" t="s">
        <v>51</v>
      </c>
      <c r="K289" s="2" t="s">
        <v>328</v>
      </c>
      <c r="L289" s="2" t="s">
        <v>3791</v>
      </c>
      <c r="M289" s="2">
        <v>780000</v>
      </c>
      <c r="N289" s="2">
        <v>1200000</v>
      </c>
      <c r="O289" s="2" t="s">
        <v>3792</v>
      </c>
      <c r="P289" s="3">
        <v>45687</v>
      </c>
      <c r="Q289" s="2" t="s">
        <v>3793</v>
      </c>
      <c r="R289" s="2" t="s">
        <v>3794</v>
      </c>
      <c r="S289" s="2" t="s">
        <v>69</v>
      </c>
      <c r="T289" s="2" t="s">
        <v>3795</v>
      </c>
      <c r="U289" s="2" t="s">
        <v>2179</v>
      </c>
      <c r="V289" s="2" t="s">
        <v>300</v>
      </c>
      <c r="W289" s="3">
        <v>45322</v>
      </c>
      <c r="X289" s="2" t="s">
        <v>3459</v>
      </c>
      <c r="Y289" s="3">
        <v>46421</v>
      </c>
      <c r="Z289" s="2" t="s">
        <v>3796</v>
      </c>
      <c r="AA289" s="2">
        <v>3</v>
      </c>
      <c r="AB289" s="2" t="s">
        <v>160</v>
      </c>
      <c r="AC289" s="2" t="s">
        <v>3797</v>
      </c>
      <c r="AD289" s="3">
        <v>45322</v>
      </c>
      <c r="AE289" s="2" t="s">
        <v>108</v>
      </c>
      <c r="AF289" s="2">
        <v>1080000</v>
      </c>
      <c r="AG289" s="2">
        <v>18900</v>
      </c>
      <c r="AH289" s="2" t="s">
        <v>3798</v>
      </c>
      <c r="AI289" s="2">
        <v>18900</v>
      </c>
      <c r="AJ289" s="11">
        <v>0</v>
      </c>
      <c r="AK289" s="11"/>
    </row>
    <row r="290" spans="1:37" hidden="1">
      <c r="A290" s="10">
        <v>289</v>
      </c>
      <c r="B290" s="2" t="s">
        <v>37</v>
      </c>
      <c r="C290" s="2" t="s">
        <v>3799</v>
      </c>
      <c r="D290" s="2" t="s">
        <v>39</v>
      </c>
      <c r="E290" s="2" t="s">
        <v>40</v>
      </c>
      <c r="F290" s="2" t="s">
        <v>3800</v>
      </c>
      <c r="G290" s="2" t="s">
        <v>276</v>
      </c>
      <c r="H290" s="2" t="s">
        <v>3801</v>
      </c>
      <c r="I290" s="2" t="s">
        <v>3802</v>
      </c>
      <c r="J290" s="2" t="s">
        <v>3802</v>
      </c>
      <c r="K290" s="2" t="s">
        <v>3802</v>
      </c>
      <c r="L290" s="2" t="s">
        <v>3803</v>
      </c>
      <c r="M290" s="2">
        <v>1470000</v>
      </c>
      <c r="N290" s="2">
        <v>2100000</v>
      </c>
      <c r="O290" s="2" t="s">
        <v>3804</v>
      </c>
      <c r="P290" s="3">
        <v>45675</v>
      </c>
      <c r="Q290" s="2" t="s">
        <v>3805</v>
      </c>
      <c r="R290" s="2" t="s">
        <v>3806</v>
      </c>
      <c r="S290" s="2" t="s">
        <v>69</v>
      </c>
      <c r="T290" s="2" t="s">
        <v>3807</v>
      </c>
      <c r="U290" s="2" t="s">
        <v>3808</v>
      </c>
      <c r="V290" s="2" t="s">
        <v>365</v>
      </c>
      <c r="W290" s="3">
        <v>44581</v>
      </c>
      <c r="X290" s="2" t="s">
        <v>287</v>
      </c>
      <c r="Y290" s="3">
        <v>46408</v>
      </c>
      <c r="Z290" s="2" t="s">
        <v>3809</v>
      </c>
      <c r="AA290" s="2">
        <v>5</v>
      </c>
      <c r="AB290" s="2" t="s">
        <v>75</v>
      </c>
      <c r="AC290" s="2" t="s">
        <v>3810</v>
      </c>
      <c r="AD290" s="3">
        <v>44578</v>
      </c>
      <c r="AE290" s="2" t="s">
        <v>77</v>
      </c>
      <c r="AF290" s="2">
        <v>1680000</v>
      </c>
      <c r="AG290" s="2">
        <v>25200</v>
      </c>
      <c r="AH290" s="2" t="s">
        <v>3811</v>
      </c>
      <c r="AI290" s="2">
        <v>25200</v>
      </c>
      <c r="AJ290" s="11">
        <v>0</v>
      </c>
      <c r="AK290" s="11"/>
    </row>
    <row r="291" spans="1:37" hidden="1">
      <c r="A291" s="10">
        <v>290</v>
      </c>
      <c r="B291" s="2" t="s">
        <v>37</v>
      </c>
      <c r="C291" s="2" t="s">
        <v>3812</v>
      </c>
      <c r="D291" s="2" t="s">
        <v>39</v>
      </c>
      <c r="E291" s="2" t="s">
        <v>40</v>
      </c>
      <c r="F291" s="2" t="s">
        <v>3813</v>
      </c>
      <c r="G291" s="2" t="s">
        <v>3814</v>
      </c>
      <c r="H291" s="2" t="s">
        <v>3815</v>
      </c>
      <c r="I291" s="2" t="s">
        <v>3816</v>
      </c>
      <c r="J291" s="2" t="s">
        <v>3816</v>
      </c>
      <c r="K291" s="2" t="s">
        <v>3816</v>
      </c>
      <c r="L291" s="2" t="s">
        <v>3817</v>
      </c>
      <c r="M291" s="2">
        <v>1713900</v>
      </c>
      <c r="N291" s="2">
        <v>2955000</v>
      </c>
      <c r="O291" s="2" t="s">
        <v>3818</v>
      </c>
      <c r="P291" s="3">
        <v>45675</v>
      </c>
      <c r="Q291" s="2" t="s">
        <v>3819</v>
      </c>
      <c r="R291" s="2" t="s">
        <v>3820</v>
      </c>
      <c r="S291" s="2" t="s">
        <v>50</v>
      </c>
      <c r="T291" s="2" t="s">
        <v>51</v>
      </c>
      <c r="U291" s="2" t="s">
        <v>3821</v>
      </c>
      <c r="V291" s="2" t="s">
        <v>53</v>
      </c>
      <c r="W291" s="3">
        <v>44561</v>
      </c>
      <c r="X291" s="2" t="s">
        <v>1414</v>
      </c>
      <c r="Y291" s="3">
        <v>46421</v>
      </c>
      <c r="Z291" s="2" t="s">
        <v>3822</v>
      </c>
      <c r="AA291" s="2">
        <v>5</v>
      </c>
      <c r="AB291" s="2" t="s">
        <v>90</v>
      </c>
      <c r="AC291" s="2" t="s">
        <v>3823</v>
      </c>
      <c r="AD291" s="3">
        <v>44580</v>
      </c>
      <c r="AE291" s="2" t="s">
        <v>58</v>
      </c>
      <c r="AF291" s="2">
        <v>2364000</v>
      </c>
      <c r="AG291" s="2">
        <v>47280</v>
      </c>
      <c r="AH291" s="2" t="s">
        <v>3824</v>
      </c>
      <c r="AI291" s="2">
        <v>47280</v>
      </c>
      <c r="AJ291" s="11">
        <v>0</v>
      </c>
      <c r="AK291" s="11"/>
    </row>
    <row r="292" spans="1:37" hidden="1">
      <c r="A292" s="10">
        <v>291</v>
      </c>
      <c r="B292" s="2" t="s">
        <v>37</v>
      </c>
      <c r="C292" s="2" t="s">
        <v>3825</v>
      </c>
      <c r="D292" s="2" t="s">
        <v>39</v>
      </c>
      <c r="E292" s="2" t="s">
        <v>40</v>
      </c>
      <c r="F292" s="2" t="s">
        <v>3826</v>
      </c>
      <c r="G292" s="2" t="s">
        <v>62</v>
      </c>
      <c r="H292" s="2" t="s">
        <v>3827</v>
      </c>
      <c r="I292" s="2" t="s">
        <v>3828</v>
      </c>
      <c r="J292" s="2" t="s">
        <v>3829</v>
      </c>
      <c r="K292" s="2" t="s">
        <v>3830</v>
      </c>
      <c r="L292" s="2" t="s">
        <v>3831</v>
      </c>
      <c r="M292" s="2">
        <v>1738750</v>
      </c>
      <c r="N292" s="2">
        <v>2675000</v>
      </c>
      <c r="O292" s="2" t="s">
        <v>3832</v>
      </c>
      <c r="P292" s="3">
        <v>45675</v>
      </c>
      <c r="Q292" s="2" t="s">
        <v>3833</v>
      </c>
      <c r="R292" s="2" t="s">
        <v>3834</v>
      </c>
      <c r="S292" s="2" t="s">
        <v>69</v>
      </c>
      <c r="T292" s="2" t="s">
        <v>3835</v>
      </c>
      <c r="U292" s="2" t="s">
        <v>2389</v>
      </c>
      <c r="V292" s="2" t="s">
        <v>72</v>
      </c>
      <c r="W292" s="3">
        <v>44580</v>
      </c>
      <c r="X292" s="2" t="s">
        <v>287</v>
      </c>
      <c r="Y292" s="3">
        <v>46408</v>
      </c>
      <c r="Z292" s="2" t="s">
        <v>3836</v>
      </c>
      <c r="AA292" s="2">
        <v>5</v>
      </c>
      <c r="AB292" s="2" t="s">
        <v>90</v>
      </c>
      <c r="AC292" s="2" t="s">
        <v>3837</v>
      </c>
      <c r="AD292" s="3">
        <v>44580</v>
      </c>
      <c r="AE292" s="2" t="s">
        <v>77</v>
      </c>
      <c r="AF292" s="2">
        <v>2140000</v>
      </c>
      <c r="AG292" s="2">
        <v>32100</v>
      </c>
      <c r="AH292" s="2" t="s">
        <v>3838</v>
      </c>
      <c r="AI292" s="2">
        <v>32100</v>
      </c>
      <c r="AJ292" s="11">
        <v>0</v>
      </c>
      <c r="AK292" s="11"/>
    </row>
    <row r="293" spans="1:37" hidden="1">
      <c r="A293" s="10">
        <v>292</v>
      </c>
      <c r="B293" s="2" t="s">
        <v>37</v>
      </c>
      <c r="C293" s="2" t="s">
        <v>3839</v>
      </c>
      <c r="D293" s="2" t="s">
        <v>39</v>
      </c>
      <c r="E293" s="2" t="s">
        <v>40</v>
      </c>
      <c r="F293" s="2" t="s">
        <v>3840</v>
      </c>
      <c r="G293" s="2" t="s">
        <v>1557</v>
      </c>
      <c r="H293" s="2" t="s">
        <v>3841</v>
      </c>
      <c r="I293" s="2" t="s">
        <v>51</v>
      </c>
      <c r="J293" s="2" t="s">
        <v>3842</v>
      </c>
      <c r="K293" s="2" t="s">
        <v>51</v>
      </c>
      <c r="L293" s="2" t="s">
        <v>3843</v>
      </c>
      <c r="M293" s="2">
        <v>1440000</v>
      </c>
      <c r="N293" s="2">
        <v>4800000</v>
      </c>
      <c r="O293" s="2" t="s">
        <v>3844</v>
      </c>
      <c r="P293" s="3">
        <v>45687</v>
      </c>
      <c r="Q293" s="2" t="s">
        <v>3845</v>
      </c>
      <c r="R293" s="2" t="s">
        <v>3846</v>
      </c>
      <c r="S293" s="2" t="s">
        <v>69</v>
      </c>
      <c r="T293" s="2" t="s">
        <v>3847</v>
      </c>
      <c r="U293" s="2" t="s">
        <v>549</v>
      </c>
      <c r="V293" s="2" t="s">
        <v>72</v>
      </c>
      <c r="W293" s="3">
        <v>45322</v>
      </c>
      <c r="X293" s="2" t="s">
        <v>3459</v>
      </c>
      <c r="Y293" s="3">
        <v>46421</v>
      </c>
      <c r="Z293" s="2" t="s">
        <v>3848</v>
      </c>
      <c r="AA293" s="2">
        <v>3</v>
      </c>
      <c r="AB293" s="2" t="s">
        <v>160</v>
      </c>
      <c r="AC293" s="2" t="s">
        <v>3849</v>
      </c>
      <c r="AD293" s="3">
        <v>45322</v>
      </c>
      <c r="AE293" s="2" t="s">
        <v>108</v>
      </c>
      <c r="AF293" s="2">
        <v>4320000</v>
      </c>
      <c r="AG293" s="2">
        <v>75600</v>
      </c>
      <c r="AH293" s="2" t="s">
        <v>3850</v>
      </c>
      <c r="AI293" s="2">
        <v>75600</v>
      </c>
      <c r="AJ293" s="11">
        <v>0</v>
      </c>
      <c r="AK293" s="11"/>
    </row>
    <row r="294" spans="1:37" hidden="1">
      <c r="A294" s="10">
        <v>293</v>
      </c>
      <c r="B294" s="2" t="s">
        <v>37</v>
      </c>
      <c r="C294" s="2" t="s">
        <v>3851</v>
      </c>
      <c r="D294" s="2" t="s">
        <v>39</v>
      </c>
      <c r="E294" s="2" t="s">
        <v>40</v>
      </c>
      <c r="F294" s="2" t="s">
        <v>3852</v>
      </c>
      <c r="G294" s="2" t="s">
        <v>1557</v>
      </c>
      <c r="H294" s="2" t="s">
        <v>3853</v>
      </c>
      <c r="I294" s="2">
        <v>3335294817</v>
      </c>
      <c r="J294" s="2"/>
      <c r="K294" s="2">
        <v>515534817</v>
      </c>
      <c r="L294" s="2" t="s">
        <v>3854</v>
      </c>
      <c r="M294" s="2">
        <v>2400000</v>
      </c>
      <c r="N294" s="2">
        <v>3000000</v>
      </c>
      <c r="O294" s="2" t="s">
        <v>3855</v>
      </c>
      <c r="P294" s="3">
        <v>45675</v>
      </c>
      <c r="Q294" s="2">
        <v>509404</v>
      </c>
      <c r="R294" s="4" t="s">
        <v>3856</v>
      </c>
      <c r="S294" s="2" t="s">
        <v>69</v>
      </c>
      <c r="T294" s="2" t="s">
        <v>3857</v>
      </c>
      <c r="U294" s="2" t="s">
        <v>219</v>
      </c>
      <c r="V294" s="2">
        <v>2018</v>
      </c>
      <c r="W294" s="3">
        <v>44218</v>
      </c>
      <c r="X294" s="2" t="s">
        <v>931</v>
      </c>
      <c r="Y294" s="3">
        <v>46043</v>
      </c>
      <c r="Z294" s="2" t="s">
        <v>3858</v>
      </c>
      <c r="AA294" s="2">
        <v>5</v>
      </c>
      <c r="AB294" s="2" t="s">
        <v>90</v>
      </c>
      <c r="AC294" s="2" t="s">
        <v>3859</v>
      </c>
      <c r="AD294" s="3">
        <v>44216</v>
      </c>
      <c r="AE294" s="2" t="s">
        <v>58</v>
      </c>
      <c r="AF294" s="2">
        <v>2250000</v>
      </c>
      <c r="AG294" s="2">
        <v>45000</v>
      </c>
      <c r="AH294" s="2" t="s">
        <v>3860</v>
      </c>
      <c r="AI294" s="2">
        <v>45000</v>
      </c>
      <c r="AJ294" s="11">
        <v>0</v>
      </c>
      <c r="AK294" s="11"/>
    </row>
    <row r="295" spans="1:37" hidden="1">
      <c r="A295" s="10">
        <v>294</v>
      </c>
      <c r="B295" s="2" t="s">
        <v>37</v>
      </c>
      <c r="C295" s="2" t="s">
        <v>3861</v>
      </c>
      <c r="D295" s="2" t="s">
        <v>39</v>
      </c>
      <c r="E295" s="2" t="s">
        <v>40</v>
      </c>
      <c r="F295" s="2" t="s">
        <v>3862</v>
      </c>
      <c r="G295" s="2" t="s">
        <v>42</v>
      </c>
      <c r="H295" s="2" t="s">
        <v>3863</v>
      </c>
      <c r="I295" s="2" t="s">
        <v>3864</v>
      </c>
      <c r="J295" s="2" t="s">
        <v>3865</v>
      </c>
      <c r="K295" s="2" t="s">
        <v>3866</v>
      </c>
      <c r="L295" s="2" t="s">
        <v>3867</v>
      </c>
      <c r="M295" s="2">
        <v>1365000</v>
      </c>
      <c r="N295" s="2">
        <v>1950000</v>
      </c>
      <c r="O295" s="2" t="s">
        <v>3868</v>
      </c>
      <c r="P295" s="3">
        <v>45687</v>
      </c>
      <c r="Q295" s="2" t="s">
        <v>3869</v>
      </c>
      <c r="R295" s="2" t="s">
        <v>3870</v>
      </c>
      <c r="S295" s="2" t="s">
        <v>69</v>
      </c>
      <c r="T295" s="2" t="s">
        <v>3871</v>
      </c>
      <c r="U295" s="2" t="s">
        <v>1724</v>
      </c>
      <c r="V295" s="2" t="s">
        <v>521</v>
      </c>
      <c r="W295" s="3">
        <v>44563</v>
      </c>
      <c r="X295" s="2" t="s">
        <v>1414</v>
      </c>
      <c r="Y295" s="3">
        <v>46421</v>
      </c>
      <c r="Z295" s="2" t="s">
        <v>3872</v>
      </c>
      <c r="AA295" s="2">
        <v>5</v>
      </c>
      <c r="AB295" s="2" t="s">
        <v>75</v>
      </c>
      <c r="AC295" s="2" t="s">
        <v>3873</v>
      </c>
      <c r="AD295" s="3">
        <v>44592</v>
      </c>
      <c r="AE295" s="2" t="s">
        <v>77</v>
      </c>
      <c r="AF295" s="2">
        <v>1560000</v>
      </c>
      <c r="AG295" s="2">
        <v>23400</v>
      </c>
      <c r="AH295" s="2" t="s">
        <v>3874</v>
      </c>
      <c r="AI295" s="2">
        <v>23400</v>
      </c>
      <c r="AJ295" s="11">
        <v>0</v>
      </c>
      <c r="AK295" s="11"/>
    </row>
    <row r="296" spans="1:37" hidden="1">
      <c r="A296" s="10">
        <v>295</v>
      </c>
      <c r="B296" s="2" t="s">
        <v>37</v>
      </c>
      <c r="C296" s="2" t="s">
        <v>3875</v>
      </c>
      <c r="D296" s="2" t="s">
        <v>39</v>
      </c>
      <c r="E296" s="2" t="s">
        <v>40</v>
      </c>
      <c r="F296" s="2" t="s">
        <v>3876</v>
      </c>
      <c r="G296" s="2" t="s">
        <v>62</v>
      </c>
      <c r="H296" s="2" t="s">
        <v>3877</v>
      </c>
      <c r="I296" s="2" t="s">
        <v>51</v>
      </c>
      <c r="J296" s="2" t="s">
        <v>3878</v>
      </c>
      <c r="K296" s="2" t="s">
        <v>51</v>
      </c>
      <c r="L296" s="2" t="s">
        <v>3879</v>
      </c>
      <c r="M296" s="2">
        <v>2242000</v>
      </c>
      <c r="N296" s="2">
        <v>3800000</v>
      </c>
      <c r="O296" s="2" t="s">
        <v>3880</v>
      </c>
      <c r="P296" s="3">
        <v>45687</v>
      </c>
      <c r="Q296" s="2" t="s">
        <v>3881</v>
      </c>
      <c r="R296" s="2" t="s">
        <v>3882</v>
      </c>
      <c r="S296" s="2" t="s">
        <v>69</v>
      </c>
      <c r="T296" s="2" t="s">
        <v>3883</v>
      </c>
      <c r="U296" s="2" t="s">
        <v>465</v>
      </c>
      <c r="V296" s="2" t="s">
        <v>521</v>
      </c>
      <c r="W296" s="3">
        <v>44563</v>
      </c>
      <c r="X296" s="2" t="s">
        <v>1414</v>
      </c>
      <c r="Y296" s="3">
        <v>46421</v>
      </c>
      <c r="Z296" s="2" t="s">
        <v>3884</v>
      </c>
      <c r="AA296" s="2">
        <v>5</v>
      </c>
      <c r="AB296" s="2" t="s">
        <v>90</v>
      </c>
      <c r="AC296" s="2" t="s">
        <v>3885</v>
      </c>
      <c r="AD296" s="3">
        <v>44592</v>
      </c>
      <c r="AE296" s="2" t="s">
        <v>77</v>
      </c>
      <c r="AF296" s="2">
        <v>3040000</v>
      </c>
      <c r="AG296" s="2">
        <v>45600</v>
      </c>
      <c r="AH296" s="2" t="s">
        <v>3886</v>
      </c>
      <c r="AI296" s="2">
        <v>45600</v>
      </c>
      <c r="AJ296" s="11">
        <v>0</v>
      </c>
      <c r="AK296" s="11"/>
    </row>
    <row r="297" spans="1:37" hidden="1">
      <c r="A297" s="10">
        <v>296</v>
      </c>
      <c r="B297" s="2" t="s">
        <v>37</v>
      </c>
      <c r="C297" s="2" t="s">
        <v>3887</v>
      </c>
      <c r="D297" s="2" t="s">
        <v>39</v>
      </c>
      <c r="E297" s="2" t="s">
        <v>40</v>
      </c>
      <c r="F297" s="2" t="s">
        <v>3888</v>
      </c>
      <c r="G297" s="2" t="s">
        <v>276</v>
      </c>
      <c r="H297" s="2" t="s">
        <v>3889</v>
      </c>
      <c r="I297" s="2" t="s">
        <v>3890</v>
      </c>
      <c r="J297" s="2" t="s">
        <v>3890</v>
      </c>
      <c r="K297" s="2" t="s">
        <v>3890</v>
      </c>
      <c r="L297" s="2" t="s">
        <v>3891</v>
      </c>
      <c r="M297" s="2">
        <v>1820000</v>
      </c>
      <c r="N297" s="2">
        <v>2600000</v>
      </c>
      <c r="O297" s="2" t="s">
        <v>3892</v>
      </c>
      <c r="P297" s="3">
        <v>45687</v>
      </c>
      <c r="Q297" s="2" t="s">
        <v>3893</v>
      </c>
      <c r="R297" s="2" t="s">
        <v>3894</v>
      </c>
      <c r="S297" s="2" t="s">
        <v>69</v>
      </c>
      <c r="T297" s="2" t="s">
        <v>3895</v>
      </c>
      <c r="U297" s="2" t="s">
        <v>2389</v>
      </c>
      <c r="V297" s="2" t="s">
        <v>72</v>
      </c>
      <c r="W297" s="3">
        <v>44563</v>
      </c>
      <c r="X297" s="2" t="s">
        <v>1414</v>
      </c>
      <c r="Y297" s="3">
        <v>46421</v>
      </c>
      <c r="Z297" s="2" t="s">
        <v>3896</v>
      </c>
      <c r="AA297" s="2">
        <v>5</v>
      </c>
      <c r="AB297" s="2" t="s">
        <v>75</v>
      </c>
      <c r="AC297" s="2" t="s">
        <v>3897</v>
      </c>
      <c r="AD297" s="3">
        <v>44592</v>
      </c>
      <c r="AE297" s="2" t="s">
        <v>77</v>
      </c>
      <c r="AF297" s="2">
        <v>2080000</v>
      </c>
      <c r="AG297" s="2">
        <v>31200</v>
      </c>
      <c r="AH297" s="2" t="s">
        <v>3898</v>
      </c>
      <c r="AI297" s="2">
        <v>31200</v>
      </c>
      <c r="AJ297" s="11">
        <v>0</v>
      </c>
      <c r="AK297" s="11"/>
    </row>
    <row r="298" spans="1:37" hidden="1">
      <c r="A298" s="10">
        <v>297</v>
      </c>
      <c r="B298" s="2" t="s">
        <v>37</v>
      </c>
      <c r="C298" s="2" t="s">
        <v>3899</v>
      </c>
      <c r="D298" s="2" t="s">
        <v>39</v>
      </c>
      <c r="E298" s="2" t="s">
        <v>40</v>
      </c>
      <c r="F298" s="2" t="s">
        <v>3900</v>
      </c>
      <c r="G298" s="2" t="s">
        <v>276</v>
      </c>
      <c r="H298" s="2" t="s">
        <v>3901</v>
      </c>
      <c r="I298" s="2" t="s">
        <v>3902</v>
      </c>
      <c r="J298" s="2" t="s">
        <v>3902</v>
      </c>
      <c r="K298" s="2" t="s">
        <v>3902</v>
      </c>
      <c r="L298" s="2" t="s">
        <v>3903</v>
      </c>
      <c r="M298" s="2">
        <v>1580000</v>
      </c>
      <c r="N298" s="2">
        <v>1975000</v>
      </c>
      <c r="O298" s="2" t="s">
        <v>3904</v>
      </c>
      <c r="P298" s="3">
        <v>45687</v>
      </c>
      <c r="Q298" s="2" t="s">
        <v>3905</v>
      </c>
      <c r="R298" s="2" t="s">
        <v>3906</v>
      </c>
      <c r="S298" s="2" t="s">
        <v>50</v>
      </c>
      <c r="T298" s="2" t="s">
        <v>51</v>
      </c>
      <c r="U298" s="2" t="s">
        <v>253</v>
      </c>
      <c r="V298" s="2" t="s">
        <v>53</v>
      </c>
      <c r="W298" s="3">
        <v>44592</v>
      </c>
      <c r="X298" s="2" t="s">
        <v>1414</v>
      </c>
      <c r="Y298" s="3">
        <v>46421</v>
      </c>
      <c r="Z298" s="2" t="s">
        <v>3907</v>
      </c>
      <c r="AA298" s="2">
        <v>5</v>
      </c>
      <c r="AB298" s="2" t="s">
        <v>75</v>
      </c>
      <c r="AC298" s="2" t="s">
        <v>3908</v>
      </c>
      <c r="AD298" s="3">
        <v>44592</v>
      </c>
      <c r="AE298" s="2" t="s">
        <v>58</v>
      </c>
      <c r="AF298" s="2">
        <v>1580000</v>
      </c>
      <c r="AG298" s="2">
        <v>31600</v>
      </c>
      <c r="AH298" s="2" t="s">
        <v>3909</v>
      </c>
      <c r="AI298" s="2">
        <v>31600</v>
      </c>
      <c r="AJ298" s="11">
        <v>0</v>
      </c>
      <c r="AK298" s="11"/>
    </row>
    <row r="299" spans="1:37" hidden="1">
      <c r="A299" s="10">
        <v>298</v>
      </c>
      <c r="B299" s="2" t="s">
        <v>37</v>
      </c>
      <c r="C299" s="2" t="s">
        <v>3910</v>
      </c>
      <c r="D299" s="2" t="s">
        <v>39</v>
      </c>
      <c r="E299" s="2" t="s">
        <v>40</v>
      </c>
      <c r="F299" s="2" t="s">
        <v>3911</v>
      </c>
      <c r="G299" s="2" t="s">
        <v>648</v>
      </c>
      <c r="H299" s="2" t="s">
        <v>3912</v>
      </c>
      <c r="I299" s="2" t="s">
        <v>3913</v>
      </c>
      <c r="J299" s="2" t="s">
        <v>3914</v>
      </c>
      <c r="K299" s="2" t="s">
        <v>51</v>
      </c>
      <c r="L299" s="2" t="s">
        <v>3915</v>
      </c>
      <c r="M299" s="2">
        <v>1920000</v>
      </c>
      <c r="N299" s="2">
        <v>3200000</v>
      </c>
      <c r="O299" s="2" t="s">
        <v>3916</v>
      </c>
      <c r="P299" s="3">
        <v>45687</v>
      </c>
      <c r="Q299" s="2" t="s">
        <v>3917</v>
      </c>
      <c r="R299" s="2" t="s">
        <v>3918</v>
      </c>
      <c r="S299" s="2" t="s">
        <v>69</v>
      </c>
      <c r="T299" s="2" t="s">
        <v>3919</v>
      </c>
      <c r="U299" s="2" t="s">
        <v>535</v>
      </c>
      <c r="V299" s="2" t="s">
        <v>391</v>
      </c>
      <c r="W299" s="3">
        <v>44563</v>
      </c>
      <c r="X299" s="2" t="s">
        <v>1414</v>
      </c>
      <c r="Y299" s="3">
        <v>46421</v>
      </c>
      <c r="Z299" s="2" t="s">
        <v>3920</v>
      </c>
      <c r="AA299" s="2">
        <v>5</v>
      </c>
      <c r="AB299" s="2" t="s">
        <v>75</v>
      </c>
      <c r="AC299" s="2" t="s">
        <v>3921</v>
      </c>
      <c r="AD299" s="3">
        <v>44592</v>
      </c>
      <c r="AE299" s="2" t="s">
        <v>77</v>
      </c>
      <c r="AF299" s="2">
        <v>2560000</v>
      </c>
      <c r="AG299" s="2">
        <v>38400</v>
      </c>
      <c r="AH299" s="2" t="s">
        <v>3922</v>
      </c>
      <c r="AI299" s="2">
        <v>38400</v>
      </c>
      <c r="AJ299" s="11">
        <v>0</v>
      </c>
      <c r="AK299" s="11"/>
    </row>
    <row r="300" spans="1:37" hidden="1">
      <c r="A300" s="10">
        <v>299</v>
      </c>
      <c r="B300" s="2" t="s">
        <v>37</v>
      </c>
      <c r="C300" s="2" t="s">
        <v>3923</v>
      </c>
      <c r="D300" s="2" t="s">
        <v>39</v>
      </c>
      <c r="E300" s="2" t="s">
        <v>40</v>
      </c>
      <c r="F300" s="2" t="s">
        <v>3924</v>
      </c>
      <c r="G300" s="2" t="s">
        <v>112</v>
      </c>
      <c r="H300" s="2" t="s">
        <v>3925</v>
      </c>
      <c r="I300" s="2" t="s">
        <v>3926</v>
      </c>
      <c r="J300" s="2" t="s">
        <v>51</v>
      </c>
      <c r="K300" s="2" t="s">
        <v>3927</v>
      </c>
      <c r="L300" s="2" t="s">
        <v>3928</v>
      </c>
      <c r="M300" s="2">
        <v>1664000</v>
      </c>
      <c r="N300" s="2">
        <v>3200000</v>
      </c>
      <c r="O300" s="2" t="s">
        <v>3929</v>
      </c>
      <c r="P300" s="3">
        <v>45687</v>
      </c>
      <c r="Q300" s="2" t="s">
        <v>3930</v>
      </c>
      <c r="R300" s="2" t="s">
        <v>3931</v>
      </c>
      <c r="S300" s="2" t="s">
        <v>69</v>
      </c>
      <c r="T300" s="2" t="s">
        <v>3932</v>
      </c>
      <c r="U300" s="2" t="s">
        <v>3933</v>
      </c>
      <c r="V300" s="2" t="s">
        <v>521</v>
      </c>
      <c r="W300" s="3">
        <v>44957</v>
      </c>
      <c r="X300" s="2" t="s">
        <v>3435</v>
      </c>
      <c r="Y300" s="3">
        <v>46056</v>
      </c>
      <c r="Z300" s="2" t="s">
        <v>3934</v>
      </c>
      <c r="AA300" s="2">
        <v>3</v>
      </c>
      <c r="AB300" s="2" t="s">
        <v>106</v>
      </c>
      <c r="AC300" s="2" t="s">
        <v>3935</v>
      </c>
      <c r="AD300" s="3">
        <v>44957</v>
      </c>
      <c r="AE300" s="2" t="s">
        <v>108</v>
      </c>
      <c r="AF300" s="2">
        <v>2720000</v>
      </c>
      <c r="AG300" s="2">
        <v>47600</v>
      </c>
      <c r="AH300" s="2" t="s">
        <v>3936</v>
      </c>
      <c r="AI300" s="2">
        <v>47600</v>
      </c>
      <c r="AJ300" s="11">
        <v>0</v>
      </c>
      <c r="AK300" s="11"/>
    </row>
    <row r="301" spans="1:37" hidden="1">
      <c r="A301" s="10">
        <v>300</v>
      </c>
      <c r="B301" s="2" t="s">
        <v>37</v>
      </c>
      <c r="C301" s="2" t="s">
        <v>3937</v>
      </c>
      <c r="D301" s="2" t="s">
        <v>39</v>
      </c>
      <c r="E301" s="2" t="s">
        <v>40</v>
      </c>
      <c r="F301" s="2" t="s">
        <v>3938</v>
      </c>
      <c r="G301" s="2" t="s">
        <v>42</v>
      </c>
      <c r="H301" s="2" t="s">
        <v>3939</v>
      </c>
      <c r="I301" s="2" t="s">
        <v>51</v>
      </c>
      <c r="J301" s="2" t="s">
        <v>3940</v>
      </c>
      <c r="K301" s="2" t="s">
        <v>51</v>
      </c>
      <c r="L301" s="2" t="s">
        <v>3941</v>
      </c>
      <c r="M301" s="2">
        <v>680000</v>
      </c>
      <c r="N301" s="2">
        <v>1700000</v>
      </c>
      <c r="O301" s="2" t="s">
        <v>3942</v>
      </c>
      <c r="P301" s="3">
        <v>45675</v>
      </c>
      <c r="Q301" s="2" t="s">
        <v>3943</v>
      </c>
      <c r="R301" s="2" t="s">
        <v>3944</v>
      </c>
      <c r="S301" s="2" t="s">
        <v>69</v>
      </c>
      <c r="T301" s="2" t="s">
        <v>3945</v>
      </c>
      <c r="U301" s="2" t="s">
        <v>1166</v>
      </c>
      <c r="V301" s="2" t="s">
        <v>391</v>
      </c>
      <c r="W301" s="3">
        <v>44946</v>
      </c>
      <c r="X301" s="2" t="s">
        <v>1710</v>
      </c>
      <c r="Y301" s="3">
        <v>46773</v>
      </c>
      <c r="Z301" s="2" t="s">
        <v>3946</v>
      </c>
      <c r="AA301" s="2">
        <v>5</v>
      </c>
      <c r="AB301" s="2" t="s">
        <v>160</v>
      </c>
      <c r="AC301" s="2" t="s">
        <v>3947</v>
      </c>
      <c r="AD301" s="3">
        <v>44945</v>
      </c>
      <c r="AE301" s="2" t="s">
        <v>108</v>
      </c>
      <c r="AF301" s="2">
        <v>1445000</v>
      </c>
      <c r="AG301" s="2">
        <v>25288</v>
      </c>
      <c r="AH301" s="2" t="s">
        <v>3948</v>
      </c>
      <c r="AI301" s="2">
        <v>25288</v>
      </c>
      <c r="AJ301" s="11">
        <v>0</v>
      </c>
      <c r="AK301" s="11"/>
    </row>
    <row r="302" spans="1:37" hidden="1">
      <c r="A302" s="10">
        <v>301</v>
      </c>
      <c r="B302" s="2" t="s">
        <v>37</v>
      </c>
      <c r="C302" s="2" t="s">
        <v>3949</v>
      </c>
      <c r="D302" s="2" t="s">
        <v>39</v>
      </c>
      <c r="E302" s="2" t="s">
        <v>40</v>
      </c>
      <c r="F302" s="2" t="s">
        <v>3950</v>
      </c>
      <c r="G302" s="2" t="s">
        <v>42</v>
      </c>
      <c r="H302" s="2" t="s">
        <v>3951</v>
      </c>
      <c r="I302" s="2" t="s">
        <v>3952</v>
      </c>
      <c r="J302" s="2" t="s">
        <v>3953</v>
      </c>
      <c r="K302" s="2" t="s">
        <v>3952</v>
      </c>
      <c r="L302" s="2" t="s">
        <v>3954</v>
      </c>
      <c r="M302" s="2">
        <v>1590000</v>
      </c>
      <c r="N302" s="2">
        <v>2650000</v>
      </c>
      <c r="O302" s="2" t="s">
        <v>3955</v>
      </c>
      <c r="P302" s="3">
        <v>45687</v>
      </c>
      <c r="Q302" s="2" t="s">
        <v>3956</v>
      </c>
      <c r="R302" s="2" t="s">
        <v>3957</v>
      </c>
      <c r="S302" s="2" t="s">
        <v>69</v>
      </c>
      <c r="T302" s="2" t="s">
        <v>3958</v>
      </c>
      <c r="U302" s="2" t="s">
        <v>578</v>
      </c>
      <c r="V302" s="2" t="s">
        <v>391</v>
      </c>
      <c r="W302" s="3">
        <v>44957</v>
      </c>
      <c r="X302" s="2" t="s">
        <v>3435</v>
      </c>
      <c r="Y302" s="3">
        <v>46056</v>
      </c>
      <c r="Z302" s="2" t="s">
        <v>3959</v>
      </c>
      <c r="AA302" s="2">
        <v>3</v>
      </c>
      <c r="AB302" s="2" t="s">
        <v>90</v>
      </c>
      <c r="AC302" s="2" t="s">
        <v>3960</v>
      </c>
      <c r="AD302" s="3">
        <v>44957</v>
      </c>
      <c r="AE302" s="2" t="s">
        <v>108</v>
      </c>
      <c r="AF302" s="2">
        <v>2252500</v>
      </c>
      <c r="AG302" s="2">
        <v>39419</v>
      </c>
      <c r="AH302" s="2" t="s">
        <v>3961</v>
      </c>
      <c r="AI302" s="2">
        <v>39419</v>
      </c>
      <c r="AJ302" s="11">
        <v>0</v>
      </c>
      <c r="AK302" s="11"/>
    </row>
    <row r="303" spans="1:37" hidden="1">
      <c r="A303" s="10">
        <v>302</v>
      </c>
      <c r="B303" s="2" t="s">
        <v>37</v>
      </c>
      <c r="C303" s="2" t="s">
        <v>3962</v>
      </c>
      <c r="D303" s="2" t="s">
        <v>39</v>
      </c>
      <c r="E303" s="2" t="s">
        <v>40</v>
      </c>
      <c r="F303" s="2" t="s">
        <v>3963</v>
      </c>
      <c r="G303" s="2" t="s">
        <v>42</v>
      </c>
      <c r="H303" s="2" t="s">
        <v>3964</v>
      </c>
      <c r="I303" s="2" t="s">
        <v>51</v>
      </c>
      <c r="J303" s="2" t="s">
        <v>3965</v>
      </c>
      <c r="K303" s="2" t="s">
        <v>51</v>
      </c>
      <c r="L303" s="2" t="s">
        <v>3966</v>
      </c>
      <c r="M303" s="2">
        <v>2477920</v>
      </c>
      <c r="N303" s="2">
        <v>3644000</v>
      </c>
      <c r="O303" s="2" t="s">
        <v>3967</v>
      </c>
      <c r="P303" s="3">
        <v>45675</v>
      </c>
      <c r="Q303" s="2" t="s">
        <v>3968</v>
      </c>
      <c r="R303" s="2" t="s">
        <v>3969</v>
      </c>
      <c r="S303" s="2" t="s">
        <v>50</v>
      </c>
      <c r="T303" s="2" t="s">
        <v>51</v>
      </c>
      <c r="U303" s="2" t="s">
        <v>3970</v>
      </c>
      <c r="V303" s="2" t="s">
        <v>1194</v>
      </c>
      <c r="W303" s="3">
        <v>44952</v>
      </c>
      <c r="X303" s="2" t="s">
        <v>3508</v>
      </c>
      <c r="Y303" s="3">
        <v>46049</v>
      </c>
      <c r="Z303" s="2" t="s">
        <v>3971</v>
      </c>
      <c r="AA303" s="2">
        <v>3</v>
      </c>
      <c r="AB303" s="2" t="s">
        <v>75</v>
      </c>
      <c r="AC303" s="2" t="s">
        <v>3972</v>
      </c>
      <c r="AD303" s="3">
        <v>44945</v>
      </c>
      <c r="AE303" s="2" t="s">
        <v>108</v>
      </c>
      <c r="AF303" s="2">
        <v>3097400</v>
      </c>
      <c r="AG303" s="2">
        <v>54205</v>
      </c>
      <c r="AH303" s="2" t="s">
        <v>3973</v>
      </c>
      <c r="AI303" s="2">
        <v>54205</v>
      </c>
      <c r="AJ303" s="11">
        <v>0</v>
      </c>
      <c r="AK303" s="11"/>
    </row>
    <row r="304" spans="1:37" hidden="1">
      <c r="A304" s="10">
        <v>303</v>
      </c>
      <c r="B304" s="2" t="s">
        <v>37</v>
      </c>
      <c r="C304" s="2" t="s">
        <v>3974</v>
      </c>
      <c r="D304" s="2" t="s">
        <v>39</v>
      </c>
      <c r="E304" s="2" t="s">
        <v>40</v>
      </c>
      <c r="F304" s="2" t="s">
        <v>3975</v>
      </c>
      <c r="G304" s="2" t="s">
        <v>112</v>
      </c>
      <c r="H304" s="2" t="s">
        <v>3976</v>
      </c>
      <c r="I304" s="2" t="s">
        <v>51</v>
      </c>
      <c r="J304" s="2" t="s">
        <v>3977</v>
      </c>
      <c r="K304" s="2" t="s">
        <v>51</v>
      </c>
      <c r="L304" s="2" t="s">
        <v>3978</v>
      </c>
      <c r="M304" s="2">
        <v>2554500</v>
      </c>
      <c r="N304" s="2">
        <v>3930000</v>
      </c>
      <c r="O304" s="2" t="s">
        <v>3979</v>
      </c>
      <c r="P304" s="3">
        <v>45687</v>
      </c>
      <c r="Q304" s="2" t="s">
        <v>3980</v>
      </c>
      <c r="R304" s="2" t="s">
        <v>3981</v>
      </c>
      <c r="S304" s="2" t="s">
        <v>69</v>
      </c>
      <c r="T304" s="2" t="s">
        <v>3982</v>
      </c>
      <c r="U304" s="2" t="s">
        <v>535</v>
      </c>
      <c r="V304" s="2" t="s">
        <v>391</v>
      </c>
      <c r="W304" s="3">
        <v>44957</v>
      </c>
      <c r="X304" s="2" t="s">
        <v>3435</v>
      </c>
      <c r="Y304" s="3">
        <v>46056</v>
      </c>
      <c r="Z304" s="2" t="s">
        <v>3983</v>
      </c>
      <c r="AA304" s="2">
        <v>3</v>
      </c>
      <c r="AB304" s="2" t="s">
        <v>106</v>
      </c>
      <c r="AC304" s="2" t="s">
        <v>3984</v>
      </c>
      <c r="AD304" s="3">
        <v>44957</v>
      </c>
      <c r="AE304" s="2" t="s">
        <v>108</v>
      </c>
      <c r="AF304" s="2">
        <v>3340500</v>
      </c>
      <c r="AG304" s="2">
        <v>58459</v>
      </c>
      <c r="AH304" s="2" t="s">
        <v>3985</v>
      </c>
      <c r="AI304" s="2">
        <v>58459</v>
      </c>
      <c r="AJ304" s="11">
        <v>0</v>
      </c>
      <c r="AK304" s="11"/>
    </row>
    <row r="305" spans="1:37" hidden="1">
      <c r="A305" s="10">
        <v>304</v>
      </c>
      <c r="B305" s="2" t="s">
        <v>37</v>
      </c>
      <c r="C305" s="2" t="s">
        <v>3986</v>
      </c>
      <c r="D305" s="2" t="s">
        <v>39</v>
      </c>
      <c r="E305" s="2" t="s">
        <v>40</v>
      </c>
      <c r="F305" s="2" t="s">
        <v>3987</v>
      </c>
      <c r="G305" s="2" t="s">
        <v>62</v>
      </c>
      <c r="H305" s="2" t="s">
        <v>3988</v>
      </c>
      <c r="I305" s="2" t="s">
        <v>51</v>
      </c>
      <c r="J305" s="2" t="s">
        <v>3989</v>
      </c>
      <c r="K305" s="2" t="s">
        <v>3990</v>
      </c>
      <c r="L305" s="2" t="s">
        <v>3991</v>
      </c>
      <c r="M305" s="2">
        <v>700000</v>
      </c>
      <c r="N305" s="2">
        <v>1000000</v>
      </c>
      <c r="O305" s="2" t="s">
        <v>3992</v>
      </c>
      <c r="P305" s="3">
        <v>45687</v>
      </c>
      <c r="Q305" s="2" t="s">
        <v>3993</v>
      </c>
      <c r="R305" s="2" t="s">
        <v>3994</v>
      </c>
      <c r="S305" s="2" t="s">
        <v>69</v>
      </c>
      <c r="T305" s="2" t="s">
        <v>3995</v>
      </c>
      <c r="U305" s="2" t="s">
        <v>3996</v>
      </c>
      <c r="V305" s="2" t="s">
        <v>391</v>
      </c>
      <c r="W305" s="3">
        <v>44563</v>
      </c>
      <c r="X305" s="2" t="s">
        <v>1414</v>
      </c>
      <c r="Y305" s="3">
        <v>46421</v>
      </c>
      <c r="Z305" s="2" t="s">
        <v>3997</v>
      </c>
      <c r="AA305" s="2">
        <v>5</v>
      </c>
      <c r="AB305" s="2" t="s">
        <v>90</v>
      </c>
      <c r="AC305" s="2" t="s">
        <v>3998</v>
      </c>
      <c r="AD305" s="3">
        <v>44592</v>
      </c>
      <c r="AE305" s="2" t="s">
        <v>77</v>
      </c>
      <c r="AF305" s="2">
        <v>800000</v>
      </c>
      <c r="AG305" s="2">
        <v>12000</v>
      </c>
      <c r="AH305" s="2" t="s">
        <v>3999</v>
      </c>
      <c r="AI305" s="2">
        <v>12000</v>
      </c>
      <c r="AJ305" s="11">
        <v>0</v>
      </c>
      <c r="AK305" s="11"/>
    </row>
    <row r="306" spans="1:37" hidden="1">
      <c r="A306" s="10">
        <v>305</v>
      </c>
      <c r="B306" s="2" t="s">
        <v>37</v>
      </c>
      <c r="C306" s="2" t="s">
        <v>4000</v>
      </c>
      <c r="D306" s="2" t="s">
        <v>39</v>
      </c>
      <c r="E306" s="2" t="s">
        <v>40</v>
      </c>
      <c r="F306" s="2" t="s">
        <v>4001</v>
      </c>
      <c r="G306" s="2" t="s">
        <v>276</v>
      </c>
      <c r="H306" s="2" t="s">
        <v>4002</v>
      </c>
      <c r="I306" s="2" t="s">
        <v>4003</v>
      </c>
      <c r="J306" s="2" t="s">
        <v>4003</v>
      </c>
      <c r="K306" s="2" t="s">
        <v>4003</v>
      </c>
      <c r="L306" s="2" t="s">
        <v>4004</v>
      </c>
      <c r="M306" s="2">
        <v>2660000</v>
      </c>
      <c r="N306" s="2">
        <v>3800000</v>
      </c>
      <c r="O306" s="2" t="s">
        <v>4005</v>
      </c>
      <c r="P306" s="3">
        <v>45687</v>
      </c>
      <c r="Q306" s="2" t="s">
        <v>4006</v>
      </c>
      <c r="R306" s="2" t="s">
        <v>4007</v>
      </c>
      <c r="S306" s="2" t="s">
        <v>69</v>
      </c>
      <c r="T306" s="2" t="s">
        <v>4008</v>
      </c>
      <c r="U306" s="2" t="s">
        <v>549</v>
      </c>
      <c r="V306" s="2" t="s">
        <v>72</v>
      </c>
      <c r="W306" s="3">
        <v>44563</v>
      </c>
      <c r="X306" s="2" t="s">
        <v>1414</v>
      </c>
      <c r="Y306" s="3">
        <v>46421</v>
      </c>
      <c r="Z306" s="2" t="s">
        <v>4009</v>
      </c>
      <c r="AA306" s="2">
        <v>5</v>
      </c>
      <c r="AB306" s="2" t="s">
        <v>75</v>
      </c>
      <c r="AC306" s="2" t="s">
        <v>4010</v>
      </c>
      <c r="AD306" s="3">
        <v>44592</v>
      </c>
      <c r="AE306" s="2" t="s">
        <v>77</v>
      </c>
      <c r="AF306" s="2">
        <v>3040000</v>
      </c>
      <c r="AG306" s="2">
        <v>45600</v>
      </c>
      <c r="AH306" s="2" t="s">
        <v>4011</v>
      </c>
      <c r="AI306" s="2">
        <v>45600</v>
      </c>
      <c r="AJ306" s="11">
        <v>0</v>
      </c>
      <c r="AK306" s="11"/>
    </row>
    <row r="307" spans="1:37" hidden="1">
      <c r="A307" s="10">
        <v>306</v>
      </c>
      <c r="B307" s="2" t="s">
        <v>37</v>
      </c>
      <c r="C307" s="2" t="s">
        <v>4012</v>
      </c>
      <c r="D307" s="2" t="s">
        <v>39</v>
      </c>
      <c r="E307" s="2" t="s">
        <v>40</v>
      </c>
      <c r="F307" s="2" t="s">
        <v>4013</v>
      </c>
      <c r="G307" s="2" t="s">
        <v>42</v>
      </c>
      <c r="H307" s="2" t="s">
        <v>4014</v>
      </c>
      <c r="I307" s="2" t="s">
        <v>51</v>
      </c>
      <c r="J307" s="2" t="s">
        <v>4015</v>
      </c>
      <c r="K307" s="2" t="s">
        <v>51</v>
      </c>
      <c r="L307" s="2" t="s">
        <v>4016</v>
      </c>
      <c r="M307" s="2">
        <v>2133950</v>
      </c>
      <c r="N307" s="2">
        <v>3283000</v>
      </c>
      <c r="O307" s="2" t="s">
        <v>4017</v>
      </c>
      <c r="P307" s="3">
        <v>45687</v>
      </c>
      <c r="Q307" s="2" t="s">
        <v>4018</v>
      </c>
      <c r="R307" s="2" t="s">
        <v>4019</v>
      </c>
      <c r="S307" s="2" t="s">
        <v>50</v>
      </c>
      <c r="T307" s="2" t="s">
        <v>51</v>
      </c>
      <c r="U307" s="2" t="s">
        <v>563</v>
      </c>
      <c r="V307" s="2" t="s">
        <v>53</v>
      </c>
      <c r="W307" s="3">
        <v>44592</v>
      </c>
      <c r="X307" s="2" t="s">
        <v>1414</v>
      </c>
      <c r="Y307" s="3">
        <v>46421</v>
      </c>
      <c r="Z307" s="2" t="s">
        <v>4020</v>
      </c>
      <c r="AA307" s="2">
        <v>5</v>
      </c>
      <c r="AB307" s="2" t="s">
        <v>75</v>
      </c>
      <c r="AC307" s="2" t="s">
        <v>4021</v>
      </c>
      <c r="AD307" s="3">
        <v>44590</v>
      </c>
      <c r="AE307" s="2" t="s">
        <v>58</v>
      </c>
      <c r="AF307" s="2">
        <v>2626400</v>
      </c>
      <c r="AG307" s="2">
        <v>52528</v>
      </c>
      <c r="AH307" s="2" t="s">
        <v>4022</v>
      </c>
      <c r="AI307" s="2">
        <v>52528</v>
      </c>
      <c r="AJ307" s="11">
        <v>0</v>
      </c>
      <c r="AK307" s="11"/>
    </row>
    <row r="308" spans="1:37" hidden="1">
      <c r="A308" s="10">
        <v>307</v>
      </c>
      <c r="B308" s="2" t="s">
        <v>37</v>
      </c>
      <c r="C308" s="2" t="s">
        <v>4023</v>
      </c>
      <c r="D308" s="2" t="s">
        <v>39</v>
      </c>
      <c r="E308" s="2" t="s">
        <v>40</v>
      </c>
      <c r="F308" s="2" t="s">
        <v>4024</v>
      </c>
      <c r="G308" s="2" t="s">
        <v>276</v>
      </c>
      <c r="H308" s="2" t="s">
        <v>4025</v>
      </c>
      <c r="I308" s="2" t="s">
        <v>4026</v>
      </c>
      <c r="J308" s="2" t="s">
        <v>4026</v>
      </c>
      <c r="K308" s="2" t="s">
        <v>4026</v>
      </c>
      <c r="L308" s="2" t="s">
        <v>4027</v>
      </c>
      <c r="M308" s="2">
        <v>1989000</v>
      </c>
      <c r="N308" s="2">
        <v>3060000</v>
      </c>
      <c r="O308" s="2" t="s">
        <v>4028</v>
      </c>
      <c r="P308" s="3">
        <v>45687</v>
      </c>
      <c r="Q308" s="2" t="s">
        <v>4029</v>
      </c>
      <c r="R308" s="2" t="s">
        <v>4030</v>
      </c>
      <c r="S308" s="2" t="s">
        <v>69</v>
      </c>
      <c r="T308" s="2" t="s">
        <v>4031</v>
      </c>
      <c r="U308" s="2" t="s">
        <v>1272</v>
      </c>
      <c r="V308" s="2" t="s">
        <v>391</v>
      </c>
      <c r="W308" s="3">
        <v>44594</v>
      </c>
      <c r="X308" s="2" t="s">
        <v>1414</v>
      </c>
      <c r="Y308" s="3">
        <v>46421</v>
      </c>
      <c r="Z308" s="2" t="s">
        <v>4032</v>
      </c>
      <c r="AA308" s="2">
        <v>5</v>
      </c>
      <c r="AB308" s="2" t="s">
        <v>75</v>
      </c>
      <c r="AC308" s="2" t="s">
        <v>4033</v>
      </c>
      <c r="AD308" s="3">
        <v>44592</v>
      </c>
      <c r="AE308" s="2" t="s">
        <v>77</v>
      </c>
      <c r="AF308" s="2">
        <v>2448000</v>
      </c>
      <c r="AG308" s="2">
        <v>36720</v>
      </c>
      <c r="AH308" s="2" t="s">
        <v>4034</v>
      </c>
      <c r="AI308" s="2">
        <v>36720</v>
      </c>
      <c r="AJ308" s="11">
        <v>0</v>
      </c>
      <c r="AK308" s="11"/>
    </row>
    <row r="309" spans="1:37" hidden="1">
      <c r="A309" s="10">
        <v>308</v>
      </c>
      <c r="B309" s="2" t="s">
        <v>37</v>
      </c>
      <c r="C309" s="2" t="s">
        <v>4035</v>
      </c>
      <c r="D309" s="2" t="s">
        <v>39</v>
      </c>
      <c r="E309" s="2" t="s">
        <v>40</v>
      </c>
      <c r="F309" s="2" t="s">
        <v>4036</v>
      </c>
      <c r="G309" s="2" t="s">
        <v>276</v>
      </c>
      <c r="H309" s="2" t="s">
        <v>4037</v>
      </c>
      <c r="I309" s="2" t="s">
        <v>4038</v>
      </c>
      <c r="J309" s="2" t="s">
        <v>4038</v>
      </c>
      <c r="K309" s="2" t="s">
        <v>4038</v>
      </c>
      <c r="L309" s="2" t="s">
        <v>4039</v>
      </c>
      <c r="M309" s="2">
        <v>1960000</v>
      </c>
      <c r="N309" s="2">
        <v>2800000</v>
      </c>
      <c r="O309" s="2" t="s">
        <v>4040</v>
      </c>
      <c r="P309" s="3">
        <v>45687</v>
      </c>
      <c r="Q309" s="2" t="s">
        <v>4041</v>
      </c>
      <c r="R309" s="2" t="s">
        <v>4042</v>
      </c>
      <c r="S309" s="2" t="s">
        <v>69</v>
      </c>
      <c r="T309" s="2" t="s">
        <v>4043</v>
      </c>
      <c r="U309" s="2" t="s">
        <v>549</v>
      </c>
      <c r="V309" s="2" t="s">
        <v>391</v>
      </c>
      <c r="W309" s="3">
        <v>44652</v>
      </c>
      <c r="X309" s="2" t="s">
        <v>73</v>
      </c>
      <c r="Y309" s="3">
        <v>46398</v>
      </c>
      <c r="Z309" s="2" t="s">
        <v>4044</v>
      </c>
      <c r="AA309" s="2">
        <v>5</v>
      </c>
      <c r="AB309" s="2" t="s">
        <v>90</v>
      </c>
      <c r="AC309" s="2" t="s">
        <v>4045</v>
      </c>
      <c r="AD309" s="3">
        <v>44561</v>
      </c>
      <c r="AE309" s="2" t="s">
        <v>77</v>
      </c>
      <c r="AF309" s="2">
        <v>2240000</v>
      </c>
      <c r="AG309" s="2">
        <v>33600</v>
      </c>
      <c r="AH309" s="2" t="s">
        <v>4046</v>
      </c>
      <c r="AI309" s="2">
        <v>33600</v>
      </c>
      <c r="AJ309" s="11">
        <v>0</v>
      </c>
      <c r="AK309" s="11"/>
    </row>
    <row r="310" spans="1:37" hidden="1">
      <c r="A310" s="10">
        <v>309</v>
      </c>
      <c r="B310" s="2" t="s">
        <v>37</v>
      </c>
      <c r="C310" s="2" t="s">
        <v>4047</v>
      </c>
      <c r="D310" s="2" t="s">
        <v>39</v>
      </c>
      <c r="E310" s="2" t="s">
        <v>40</v>
      </c>
      <c r="F310" s="2" t="s">
        <v>4048</v>
      </c>
      <c r="G310" s="2" t="s">
        <v>276</v>
      </c>
      <c r="H310" s="2" t="s">
        <v>4049</v>
      </c>
      <c r="I310" s="2" t="s">
        <v>4050</v>
      </c>
      <c r="J310" s="2" t="s">
        <v>4050</v>
      </c>
      <c r="K310" s="2" t="s">
        <v>4050</v>
      </c>
      <c r="L310" s="2" t="s">
        <v>4051</v>
      </c>
      <c r="M310" s="2">
        <v>919200</v>
      </c>
      <c r="N310" s="2">
        <v>1149000</v>
      </c>
      <c r="O310" s="2" t="s">
        <v>4052</v>
      </c>
      <c r="P310" s="3">
        <v>45676</v>
      </c>
      <c r="Q310" s="2" t="s">
        <v>4053</v>
      </c>
      <c r="R310" s="2" t="s">
        <v>4054</v>
      </c>
      <c r="S310" s="2" t="s">
        <v>50</v>
      </c>
      <c r="T310" s="2" t="s">
        <v>51</v>
      </c>
      <c r="U310" s="2" t="s">
        <v>4055</v>
      </c>
      <c r="V310" s="2" t="s">
        <v>53</v>
      </c>
      <c r="W310" s="3">
        <v>44587</v>
      </c>
      <c r="X310" s="2" t="s">
        <v>2428</v>
      </c>
      <c r="Y310" s="3">
        <v>46414</v>
      </c>
      <c r="Z310" s="2" t="s">
        <v>4056</v>
      </c>
      <c r="AA310" s="2">
        <v>5</v>
      </c>
      <c r="AB310" s="2" t="s">
        <v>90</v>
      </c>
      <c r="AC310" s="2" t="s">
        <v>4057</v>
      </c>
      <c r="AD310" s="3">
        <v>44581</v>
      </c>
      <c r="AE310" s="2" t="s">
        <v>58</v>
      </c>
      <c r="AF310" s="2">
        <v>919200</v>
      </c>
      <c r="AG310" s="2">
        <v>18384</v>
      </c>
      <c r="AH310" s="2" t="s">
        <v>4058</v>
      </c>
      <c r="AI310" s="2">
        <v>18384</v>
      </c>
      <c r="AJ310" s="11">
        <v>0</v>
      </c>
      <c r="AK310" s="11"/>
    </row>
    <row r="311" spans="1:37" hidden="1">
      <c r="A311" s="10">
        <v>310</v>
      </c>
      <c r="B311" s="2" t="s">
        <v>37</v>
      </c>
      <c r="C311" s="2" t="s">
        <v>4059</v>
      </c>
      <c r="D311" s="2" t="s">
        <v>39</v>
      </c>
      <c r="E311" s="2" t="s">
        <v>40</v>
      </c>
      <c r="F311" s="2" t="s">
        <v>4060</v>
      </c>
      <c r="G311" s="2" t="s">
        <v>112</v>
      </c>
      <c r="H311" s="2" t="s">
        <v>4061</v>
      </c>
      <c r="I311" s="2" t="s">
        <v>4062</v>
      </c>
      <c r="J311" s="2" t="s">
        <v>51</v>
      </c>
      <c r="K311" s="2" t="s">
        <v>4063</v>
      </c>
      <c r="L311" s="2" t="s">
        <v>4064</v>
      </c>
      <c r="M311" s="2">
        <v>1841000</v>
      </c>
      <c r="N311" s="2">
        <v>2630000</v>
      </c>
      <c r="O311" s="2" t="s">
        <v>4065</v>
      </c>
      <c r="P311" s="3">
        <v>45687</v>
      </c>
      <c r="Q311" s="2" t="s">
        <v>4066</v>
      </c>
      <c r="R311" s="2" t="s">
        <v>4067</v>
      </c>
      <c r="S311" s="2" t="s">
        <v>69</v>
      </c>
      <c r="T311" s="2" t="s">
        <v>4068</v>
      </c>
      <c r="U311" s="2" t="s">
        <v>364</v>
      </c>
      <c r="V311" s="2" t="s">
        <v>391</v>
      </c>
      <c r="W311" s="3">
        <v>44592</v>
      </c>
      <c r="X311" s="2" t="s">
        <v>1414</v>
      </c>
      <c r="Y311" s="3">
        <v>46421</v>
      </c>
      <c r="Z311" s="2" t="s">
        <v>4069</v>
      </c>
      <c r="AA311" s="2">
        <v>5</v>
      </c>
      <c r="AB311" s="2" t="s">
        <v>75</v>
      </c>
      <c r="AC311" s="2" t="s">
        <v>4070</v>
      </c>
      <c r="AD311" s="3">
        <v>44592</v>
      </c>
      <c r="AE311" s="2" t="s">
        <v>77</v>
      </c>
      <c r="AF311" s="2">
        <v>2104000</v>
      </c>
      <c r="AG311" s="2">
        <v>31560</v>
      </c>
      <c r="AH311" s="2" t="s">
        <v>4071</v>
      </c>
      <c r="AI311" s="2">
        <v>31560</v>
      </c>
      <c r="AJ311" s="11">
        <v>0</v>
      </c>
      <c r="AK311" s="11"/>
    </row>
    <row r="312" spans="1:37" hidden="1">
      <c r="A312" s="10">
        <v>311</v>
      </c>
      <c r="B312" s="2" t="s">
        <v>37</v>
      </c>
      <c r="C312" s="2" t="s">
        <v>4072</v>
      </c>
      <c r="D312" s="2" t="s">
        <v>39</v>
      </c>
      <c r="E312" s="2" t="s">
        <v>40</v>
      </c>
      <c r="F312" s="2" t="s">
        <v>4073</v>
      </c>
      <c r="G312" s="2" t="s">
        <v>62</v>
      </c>
      <c r="H312" s="2" t="s">
        <v>4074</v>
      </c>
      <c r="I312" s="2" t="s">
        <v>4075</v>
      </c>
      <c r="J312" s="2" t="s">
        <v>4075</v>
      </c>
      <c r="K312" s="2" t="s">
        <v>4075</v>
      </c>
      <c r="L312" s="2" t="s">
        <v>4076</v>
      </c>
      <c r="M312" s="2">
        <v>1722000</v>
      </c>
      <c r="N312" s="2">
        <v>2870000</v>
      </c>
      <c r="O312" s="2" t="s">
        <v>4077</v>
      </c>
      <c r="P312" s="3">
        <v>45687</v>
      </c>
      <c r="Q312" s="2" t="s">
        <v>4078</v>
      </c>
      <c r="R312" s="2" t="s">
        <v>4079</v>
      </c>
      <c r="S312" s="2" t="s">
        <v>69</v>
      </c>
      <c r="T312" s="2" t="s">
        <v>4080</v>
      </c>
      <c r="U312" s="2" t="s">
        <v>4081</v>
      </c>
      <c r="V312" s="2" t="s">
        <v>300</v>
      </c>
      <c r="W312" s="3">
        <v>44592</v>
      </c>
      <c r="X312" s="2" t="s">
        <v>1414</v>
      </c>
      <c r="Y312" s="3">
        <v>46421</v>
      </c>
      <c r="Z312" s="2" t="s">
        <v>4082</v>
      </c>
      <c r="AA312" s="2">
        <v>5</v>
      </c>
      <c r="AB312" s="2" t="s">
        <v>75</v>
      </c>
      <c r="AC312" s="2" t="s">
        <v>4083</v>
      </c>
      <c r="AD312" s="3">
        <v>44592</v>
      </c>
      <c r="AE312" s="2" t="s">
        <v>77</v>
      </c>
      <c r="AF312" s="2">
        <v>2296000</v>
      </c>
      <c r="AG312" s="2">
        <v>34440</v>
      </c>
      <c r="AH312" s="2" t="s">
        <v>4084</v>
      </c>
      <c r="AI312" s="2">
        <v>34440</v>
      </c>
      <c r="AJ312" s="11">
        <v>0</v>
      </c>
      <c r="AK312" s="11"/>
    </row>
    <row r="313" spans="1:37" hidden="1">
      <c r="A313" s="10">
        <v>312</v>
      </c>
      <c r="B313" s="2" t="s">
        <v>37</v>
      </c>
      <c r="C313" s="2" t="s">
        <v>4085</v>
      </c>
      <c r="D313" s="2" t="s">
        <v>39</v>
      </c>
      <c r="E313" s="2" t="s">
        <v>40</v>
      </c>
      <c r="F313" s="2" t="s">
        <v>4086</v>
      </c>
      <c r="G313" s="2" t="s">
        <v>1557</v>
      </c>
      <c r="H313" s="2" t="s">
        <v>4087</v>
      </c>
      <c r="I313" s="2" t="s">
        <v>4088</v>
      </c>
      <c r="J313" s="2" t="s">
        <v>51</v>
      </c>
      <c r="K313" s="2" t="s">
        <v>4089</v>
      </c>
      <c r="L313" s="2" t="s">
        <v>4090</v>
      </c>
      <c r="M313" s="2">
        <v>1680000</v>
      </c>
      <c r="N313" s="2">
        <v>2100000</v>
      </c>
      <c r="O313" s="2" t="s">
        <v>4091</v>
      </c>
      <c r="P313" s="3">
        <v>45687</v>
      </c>
      <c r="Q313" s="2" t="s">
        <v>4092</v>
      </c>
      <c r="R313" s="2" t="s">
        <v>4093</v>
      </c>
      <c r="S313" s="2" t="s">
        <v>69</v>
      </c>
      <c r="T313" s="2" t="s">
        <v>4094</v>
      </c>
      <c r="U313" s="2" t="s">
        <v>236</v>
      </c>
      <c r="V313" s="2" t="s">
        <v>286</v>
      </c>
      <c r="W313" s="3">
        <v>44563</v>
      </c>
      <c r="X313" s="2" t="s">
        <v>1414</v>
      </c>
      <c r="Y313" s="3">
        <v>46421</v>
      </c>
      <c r="Z313" s="2" t="s">
        <v>4095</v>
      </c>
      <c r="AA313" s="2">
        <v>5</v>
      </c>
      <c r="AB313" s="2" t="s">
        <v>75</v>
      </c>
      <c r="AC313" s="2" t="s">
        <v>4096</v>
      </c>
      <c r="AD313" s="3">
        <v>44592</v>
      </c>
      <c r="AE313" s="2" t="s">
        <v>77</v>
      </c>
      <c r="AF313" s="2">
        <v>1680000</v>
      </c>
      <c r="AG313" s="2">
        <v>25200</v>
      </c>
      <c r="AH313" s="2" t="s">
        <v>4097</v>
      </c>
      <c r="AI313" s="2">
        <v>25200</v>
      </c>
      <c r="AJ313" s="11">
        <v>0</v>
      </c>
      <c r="AK313" s="11"/>
    </row>
    <row r="314" spans="1:37" hidden="1">
      <c r="A314" s="10">
        <v>313</v>
      </c>
      <c r="B314" s="2" t="s">
        <v>37</v>
      </c>
      <c r="C314" s="2" t="s">
        <v>4098</v>
      </c>
      <c r="D314" s="2" t="s">
        <v>39</v>
      </c>
      <c r="E314" s="2" t="s">
        <v>40</v>
      </c>
      <c r="F314" s="2" t="s">
        <v>4099</v>
      </c>
      <c r="G314" s="2" t="s">
        <v>276</v>
      </c>
      <c r="H314" s="2" t="s">
        <v>4100</v>
      </c>
      <c r="I314" s="2" t="s">
        <v>4101</v>
      </c>
      <c r="J314" s="2" t="s">
        <v>4101</v>
      </c>
      <c r="K314" s="2" t="s">
        <v>4101</v>
      </c>
      <c r="L314" s="2" t="s">
        <v>4102</v>
      </c>
      <c r="M314" s="2">
        <v>1158500</v>
      </c>
      <c r="N314" s="2">
        <v>1655000</v>
      </c>
      <c r="O314" s="2" t="s">
        <v>4103</v>
      </c>
      <c r="P314" s="3">
        <v>45676</v>
      </c>
      <c r="Q314" s="2" t="s">
        <v>4104</v>
      </c>
      <c r="R314" s="2" t="s">
        <v>4105</v>
      </c>
      <c r="S314" s="2" t="s">
        <v>50</v>
      </c>
      <c r="T314" s="2" t="s">
        <v>51</v>
      </c>
      <c r="U314" s="2" t="s">
        <v>4106</v>
      </c>
      <c r="V314" s="2" t="s">
        <v>286</v>
      </c>
      <c r="W314" s="3">
        <v>44456</v>
      </c>
      <c r="X314" s="2" t="s">
        <v>1414</v>
      </c>
      <c r="Y314" s="3">
        <v>47152</v>
      </c>
      <c r="Z314" s="2" t="s">
        <v>4107</v>
      </c>
      <c r="AA314" s="2">
        <v>7</v>
      </c>
      <c r="AB314" s="2" t="s">
        <v>90</v>
      </c>
      <c r="AC314" s="2" t="s">
        <v>4108</v>
      </c>
      <c r="AD314" s="3">
        <v>44581</v>
      </c>
      <c r="AE314" s="2" t="s">
        <v>58</v>
      </c>
      <c r="AF314" s="2">
        <v>1324000</v>
      </c>
      <c r="AG314" s="2">
        <v>26480</v>
      </c>
      <c r="AH314" s="2" t="s">
        <v>4109</v>
      </c>
      <c r="AI314" s="2">
        <v>26480</v>
      </c>
      <c r="AJ314" s="11">
        <v>0</v>
      </c>
      <c r="AK314" s="11"/>
    </row>
    <row r="315" spans="1:37" hidden="1">
      <c r="A315" s="10">
        <v>314</v>
      </c>
      <c r="B315" s="2" t="s">
        <v>37</v>
      </c>
      <c r="C315" s="2" t="s">
        <v>4110</v>
      </c>
      <c r="D315" s="2" t="s">
        <v>39</v>
      </c>
      <c r="E315" s="2" t="s">
        <v>40</v>
      </c>
      <c r="F315" s="2" t="s">
        <v>4111</v>
      </c>
      <c r="G315" s="2" t="s">
        <v>62</v>
      </c>
      <c r="H315" s="2" t="s">
        <v>4112</v>
      </c>
      <c r="I315" s="2" t="s">
        <v>51</v>
      </c>
      <c r="J315" s="2" t="s">
        <v>4113</v>
      </c>
      <c r="K315" s="2" t="s">
        <v>51</v>
      </c>
      <c r="L315" s="2" t="s">
        <v>4114</v>
      </c>
      <c r="M315" s="2">
        <v>1200000</v>
      </c>
      <c r="N315" s="2">
        <v>1500000</v>
      </c>
      <c r="O315" s="2" t="s">
        <v>4115</v>
      </c>
      <c r="P315" s="3">
        <v>45676</v>
      </c>
      <c r="Q315" s="2" t="s">
        <v>4116</v>
      </c>
      <c r="R315" s="2" t="s">
        <v>4117</v>
      </c>
      <c r="S315" s="2" t="s">
        <v>69</v>
      </c>
      <c r="T315" s="2" t="s">
        <v>4118</v>
      </c>
      <c r="U315" s="2" t="s">
        <v>420</v>
      </c>
      <c r="V315" s="2" t="s">
        <v>300</v>
      </c>
      <c r="W315" s="3">
        <v>44586</v>
      </c>
      <c r="X315" s="2" t="s">
        <v>2428</v>
      </c>
      <c r="Y315" s="3">
        <v>46414</v>
      </c>
      <c r="Z315" s="2" t="s">
        <v>4119</v>
      </c>
      <c r="AA315" s="2">
        <v>5</v>
      </c>
      <c r="AB315" s="2" t="s">
        <v>90</v>
      </c>
      <c r="AC315" s="2" t="s">
        <v>4120</v>
      </c>
      <c r="AD315" s="3">
        <v>44586</v>
      </c>
      <c r="AE315" s="2" t="s">
        <v>77</v>
      </c>
      <c r="AF315" s="2">
        <v>1200000</v>
      </c>
      <c r="AG315" s="2">
        <v>18000</v>
      </c>
      <c r="AH315" s="2" t="s">
        <v>4121</v>
      </c>
      <c r="AI315" s="2">
        <v>18000</v>
      </c>
      <c r="AJ315" s="11">
        <v>0</v>
      </c>
      <c r="AK315" s="11"/>
    </row>
    <row r="316" spans="1:37" hidden="1">
      <c r="A316" s="10">
        <v>315</v>
      </c>
      <c r="B316" s="2" t="s">
        <v>37</v>
      </c>
      <c r="C316" s="2" t="s">
        <v>4122</v>
      </c>
      <c r="D316" s="2" t="s">
        <v>39</v>
      </c>
      <c r="E316" s="2" t="s">
        <v>40</v>
      </c>
      <c r="F316" s="2" t="s">
        <v>4123</v>
      </c>
      <c r="G316" s="2" t="s">
        <v>276</v>
      </c>
      <c r="H316" s="2" t="s">
        <v>4124</v>
      </c>
      <c r="I316" s="2" t="s">
        <v>4125</v>
      </c>
      <c r="J316" s="2" t="s">
        <v>4125</v>
      </c>
      <c r="K316" s="2" t="s">
        <v>4125</v>
      </c>
      <c r="L316" s="2" t="s">
        <v>4126</v>
      </c>
      <c r="M316" s="2">
        <v>1278000</v>
      </c>
      <c r="N316" s="2">
        <v>1775000</v>
      </c>
      <c r="O316" s="2" t="s">
        <v>4127</v>
      </c>
      <c r="P316" s="3">
        <v>45676</v>
      </c>
      <c r="Q316" s="2" t="s">
        <v>4128</v>
      </c>
      <c r="R316" s="2" t="s">
        <v>4129</v>
      </c>
      <c r="S316" s="2" t="s">
        <v>69</v>
      </c>
      <c r="T316" s="2" t="s">
        <v>4130</v>
      </c>
      <c r="U316" s="2" t="s">
        <v>2374</v>
      </c>
      <c r="V316" s="2" t="s">
        <v>391</v>
      </c>
      <c r="W316" s="3">
        <v>44582</v>
      </c>
      <c r="X316" s="2" t="s">
        <v>287</v>
      </c>
      <c r="Y316" s="3">
        <v>47139</v>
      </c>
      <c r="Z316" s="2" t="s">
        <v>4131</v>
      </c>
      <c r="AA316" s="2">
        <v>7</v>
      </c>
      <c r="AB316" s="2" t="s">
        <v>90</v>
      </c>
      <c r="AC316" s="2" t="s">
        <v>4132</v>
      </c>
      <c r="AD316" s="3">
        <v>44581</v>
      </c>
      <c r="AE316" s="2" t="s">
        <v>77</v>
      </c>
      <c r="AF316" s="2">
        <v>1420000</v>
      </c>
      <c r="AG316" s="2">
        <v>21300</v>
      </c>
      <c r="AH316" s="2" t="s">
        <v>4133</v>
      </c>
      <c r="AI316" s="2">
        <v>21300</v>
      </c>
      <c r="AJ316" s="11">
        <v>0</v>
      </c>
      <c r="AK316" s="11"/>
    </row>
    <row r="317" spans="1:37" hidden="1">
      <c r="A317" s="10">
        <v>316</v>
      </c>
      <c r="B317" s="2" t="s">
        <v>37</v>
      </c>
      <c r="C317" s="2" t="s">
        <v>4134</v>
      </c>
      <c r="D317" s="2" t="s">
        <v>39</v>
      </c>
      <c r="E317" s="2" t="s">
        <v>40</v>
      </c>
      <c r="F317" s="2" t="s">
        <v>4135</v>
      </c>
      <c r="G317" s="2" t="s">
        <v>276</v>
      </c>
      <c r="H317" s="2" t="s">
        <v>4136</v>
      </c>
      <c r="I317" s="2" t="s">
        <v>4137</v>
      </c>
      <c r="J317" s="2" t="s">
        <v>4137</v>
      </c>
      <c r="K317" s="2" t="s">
        <v>4138</v>
      </c>
      <c r="L317" s="2" t="s">
        <v>4139</v>
      </c>
      <c r="M317" s="2">
        <v>1659000</v>
      </c>
      <c r="N317" s="2">
        <v>2370000</v>
      </c>
      <c r="O317" s="2" t="s">
        <v>4140</v>
      </c>
      <c r="P317" s="3">
        <v>45687</v>
      </c>
      <c r="Q317" s="2" t="s">
        <v>4141</v>
      </c>
      <c r="R317" s="2" t="s">
        <v>4142</v>
      </c>
      <c r="S317" s="2" t="s">
        <v>69</v>
      </c>
      <c r="T317" s="2" t="s">
        <v>4143</v>
      </c>
      <c r="U317" s="2" t="s">
        <v>505</v>
      </c>
      <c r="V317" s="2" t="s">
        <v>336</v>
      </c>
      <c r="W317" s="3">
        <v>44563</v>
      </c>
      <c r="X317" s="2" t="s">
        <v>1414</v>
      </c>
      <c r="Y317" s="3">
        <v>46421</v>
      </c>
      <c r="Z317" s="2" t="s">
        <v>4144</v>
      </c>
      <c r="AA317" s="2">
        <v>5</v>
      </c>
      <c r="AB317" s="2" t="s">
        <v>75</v>
      </c>
      <c r="AC317" s="2" t="s">
        <v>4145</v>
      </c>
      <c r="AD317" s="3">
        <v>44592</v>
      </c>
      <c r="AE317" s="2" t="s">
        <v>77</v>
      </c>
      <c r="AF317" s="2">
        <v>1896000</v>
      </c>
      <c r="AG317" s="2">
        <v>28440</v>
      </c>
      <c r="AH317" s="2" t="s">
        <v>4146</v>
      </c>
      <c r="AI317" s="2">
        <v>28440</v>
      </c>
      <c r="AJ317" s="11">
        <v>0</v>
      </c>
      <c r="AK317" s="11"/>
    </row>
    <row r="318" spans="1:37" hidden="1">
      <c r="A318" s="10">
        <v>317</v>
      </c>
      <c r="B318" s="2" t="s">
        <v>37</v>
      </c>
      <c r="C318" s="2" t="s">
        <v>4147</v>
      </c>
      <c r="D318" s="2" t="s">
        <v>39</v>
      </c>
      <c r="E318" s="2" t="s">
        <v>40</v>
      </c>
      <c r="F318" s="2" t="s">
        <v>4148</v>
      </c>
      <c r="G318" s="2" t="s">
        <v>62</v>
      </c>
      <c r="H318" s="2" t="s">
        <v>4149</v>
      </c>
      <c r="I318" s="2" t="s">
        <v>4150</v>
      </c>
      <c r="J318" s="2" t="s">
        <v>4151</v>
      </c>
      <c r="K318" s="2" t="s">
        <v>4150</v>
      </c>
      <c r="L318" s="2" t="s">
        <v>4152</v>
      </c>
      <c r="M318" s="2">
        <v>1632000</v>
      </c>
      <c r="N318" s="2">
        <v>2040000</v>
      </c>
      <c r="O318" s="2" t="s">
        <v>4153</v>
      </c>
      <c r="P318" s="3">
        <v>45687</v>
      </c>
      <c r="Q318" s="2" t="s">
        <v>4154</v>
      </c>
      <c r="R318" s="2" t="s">
        <v>4155</v>
      </c>
      <c r="S318" s="2" t="s">
        <v>69</v>
      </c>
      <c r="T318" s="2" t="s">
        <v>4156</v>
      </c>
      <c r="U318" s="2" t="s">
        <v>133</v>
      </c>
      <c r="V318" s="2" t="s">
        <v>286</v>
      </c>
      <c r="W318" s="3">
        <v>44563</v>
      </c>
      <c r="X318" s="2" t="s">
        <v>1414</v>
      </c>
      <c r="Y318" s="3">
        <v>46421</v>
      </c>
      <c r="Z318" s="2" t="s">
        <v>4157</v>
      </c>
      <c r="AA318" s="2">
        <v>5</v>
      </c>
      <c r="AB318" s="2" t="s">
        <v>75</v>
      </c>
      <c r="AC318" s="2" t="s">
        <v>4158</v>
      </c>
      <c r="AD318" s="3">
        <v>44592</v>
      </c>
      <c r="AE318" s="2" t="s">
        <v>77</v>
      </c>
      <c r="AF318" s="2">
        <v>1632000</v>
      </c>
      <c r="AG318" s="2">
        <v>24480</v>
      </c>
      <c r="AH318" s="2" t="s">
        <v>4159</v>
      </c>
      <c r="AI318" s="2">
        <v>24480</v>
      </c>
      <c r="AJ318" s="11">
        <v>0</v>
      </c>
      <c r="AK318" s="11"/>
    </row>
    <row r="319" spans="1:37" hidden="1">
      <c r="A319" s="10">
        <v>318</v>
      </c>
      <c r="B319" s="2" t="s">
        <v>37</v>
      </c>
      <c r="C319" s="2" t="s">
        <v>4160</v>
      </c>
      <c r="D319" s="2" t="s">
        <v>39</v>
      </c>
      <c r="E319" s="2" t="s">
        <v>40</v>
      </c>
      <c r="F319" s="2" t="s">
        <v>4161</v>
      </c>
      <c r="G319" s="2" t="s">
        <v>497</v>
      </c>
      <c r="H319" s="2" t="s">
        <v>4162</v>
      </c>
      <c r="I319" s="2" t="s">
        <v>4163</v>
      </c>
      <c r="J319" s="2" t="s">
        <v>4163</v>
      </c>
      <c r="K319" s="2" t="s">
        <v>4163</v>
      </c>
      <c r="L319" s="2" t="s">
        <v>4164</v>
      </c>
      <c r="M319" s="2">
        <v>1575000</v>
      </c>
      <c r="N319" s="2">
        <v>2250000</v>
      </c>
      <c r="O319" s="2" t="s">
        <v>4165</v>
      </c>
      <c r="P319" s="3">
        <v>45687</v>
      </c>
      <c r="Q319" s="2" t="s">
        <v>4166</v>
      </c>
      <c r="R319" s="2" t="s">
        <v>4167</v>
      </c>
      <c r="S319" s="2" t="s">
        <v>69</v>
      </c>
      <c r="T319" s="2" t="s">
        <v>4168</v>
      </c>
      <c r="U319" s="2" t="s">
        <v>2128</v>
      </c>
      <c r="V319" s="2" t="s">
        <v>365</v>
      </c>
      <c r="W319" s="3">
        <v>44592</v>
      </c>
      <c r="X319" s="2" t="s">
        <v>1414</v>
      </c>
      <c r="Y319" s="3">
        <v>46421</v>
      </c>
      <c r="Z319" s="2" t="s">
        <v>4169</v>
      </c>
      <c r="AA319" s="2">
        <v>5</v>
      </c>
      <c r="AB319" s="2" t="s">
        <v>90</v>
      </c>
      <c r="AC319" s="2" t="s">
        <v>4170</v>
      </c>
      <c r="AD319" s="3">
        <v>44592</v>
      </c>
      <c r="AE319" s="2" t="s">
        <v>77</v>
      </c>
      <c r="AF319" s="2">
        <v>1800000</v>
      </c>
      <c r="AG319" s="2">
        <v>27000</v>
      </c>
      <c r="AH319" s="2" t="s">
        <v>4171</v>
      </c>
      <c r="AI319" s="2">
        <v>27000</v>
      </c>
      <c r="AJ319" s="11">
        <v>0</v>
      </c>
      <c r="AK319" s="11"/>
    </row>
    <row r="320" spans="1:37" hidden="1">
      <c r="A320" s="10">
        <v>319</v>
      </c>
      <c r="B320" s="2" t="s">
        <v>37</v>
      </c>
      <c r="C320" s="2" t="s">
        <v>4172</v>
      </c>
      <c r="D320" s="2" t="s">
        <v>39</v>
      </c>
      <c r="E320" s="2" t="s">
        <v>40</v>
      </c>
      <c r="F320" s="2" t="s">
        <v>4173</v>
      </c>
      <c r="G320" s="2" t="s">
        <v>276</v>
      </c>
      <c r="H320" s="2" t="s">
        <v>4174</v>
      </c>
      <c r="I320" s="2" t="s">
        <v>4175</v>
      </c>
      <c r="J320" s="2" t="s">
        <v>4175</v>
      </c>
      <c r="K320" s="2" t="s">
        <v>4175</v>
      </c>
      <c r="L320" s="2" t="s">
        <v>4176</v>
      </c>
      <c r="M320" s="2">
        <v>1575000</v>
      </c>
      <c r="N320" s="2">
        <v>2250000</v>
      </c>
      <c r="O320" s="2" t="s">
        <v>4177</v>
      </c>
      <c r="P320" s="3">
        <v>45687</v>
      </c>
      <c r="Q320" s="2" t="s">
        <v>4178</v>
      </c>
      <c r="R320" s="2" t="s">
        <v>4179</v>
      </c>
      <c r="S320" s="2" t="s">
        <v>69</v>
      </c>
      <c r="T320" s="2" t="s">
        <v>4180</v>
      </c>
      <c r="U320" s="2" t="s">
        <v>1550</v>
      </c>
      <c r="V320" s="2" t="s">
        <v>391</v>
      </c>
      <c r="W320" s="3">
        <v>44592</v>
      </c>
      <c r="X320" s="2" t="s">
        <v>1414</v>
      </c>
      <c r="Y320" s="3">
        <v>46421</v>
      </c>
      <c r="Z320" s="2" t="s">
        <v>4181</v>
      </c>
      <c r="AA320" s="2">
        <v>5</v>
      </c>
      <c r="AB320" s="2" t="s">
        <v>90</v>
      </c>
      <c r="AC320" s="2" t="s">
        <v>4182</v>
      </c>
      <c r="AD320" s="3">
        <v>44592</v>
      </c>
      <c r="AE320" s="2" t="s">
        <v>77</v>
      </c>
      <c r="AF320" s="2">
        <v>1800000</v>
      </c>
      <c r="AG320" s="2">
        <v>27000</v>
      </c>
      <c r="AH320" s="2" t="s">
        <v>4183</v>
      </c>
      <c r="AI320" s="2">
        <v>27000</v>
      </c>
      <c r="AJ320" s="11">
        <v>0</v>
      </c>
      <c r="AK320" s="11"/>
    </row>
    <row r="321" spans="1:37" hidden="1">
      <c r="A321" s="10">
        <v>320</v>
      </c>
      <c r="B321" s="2" t="s">
        <v>37</v>
      </c>
      <c r="C321" s="2" t="s">
        <v>4184</v>
      </c>
      <c r="D321" s="2" t="s">
        <v>39</v>
      </c>
      <c r="E321" s="2" t="s">
        <v>40</v>
      </c>
      <c r="F321" s="2" t="s">
        <v>4185</v>
      </c>
      <c r="G321" s="2" t="s">
        <v>42</v>
      </c>
      <c r="H321" s="2" t="s">
        <v>4186</v>
      </c>
      <c r="I321" s="2" t="s">
        <v>4187</v>
      </c>
      <c r="J321" s="2" t="s">
        <v>4188</v>
      </c>
      <c r="K321" s="2" t="s">
        <v>4187</v>
      </c>
      <c r="L321" s="2" t="s">
        <v>4189</v>
      </c>
      <c r="M321" s="2">
        <v>1511250</v>
      </c>
      <c r="N321" s="2">
        <v>2325000</v>
      </c>
      <c r="O321" s="2" t="s">
        <v>4190</v>
      </c>
      <c r="P321" s="3">
        <v>45687</v>
      </c>
      <c r="Q321" s="2" t="s">
        <v>4191</v>
      </c>
      <c r="R321" s="2" t="s">
        <v>4192</v>
      </c>
      <c r="S321" s="2" t="s">
        <v>69</v>
      </c>
      <c r="T321" s="2" t="s">
        <v>4193</v>
      </c>
      <c r="U321" s="2" t="s">
        <v>4194</v>
      </c>
      <c r="V321" s="2" t="s">
        <v>72</v>
      </c>
      <c r="W321" s="3">
        <v>44563</v>
      </c>
      <c r="X321" s="2" t="s">
        <v>1414</v>
      </c>
      <c r="Y321" s="3">
        <v>46421</v>
      </c>
      <c r="Z321" s="2" t="s">
        <v>4195</v>
      </c>
      <c r="AA321" s="2">
        <v>5</v>
      </c>
      <c r="AB321" s="2" t="s">
        <v>90</v>
      </c>
      <c r="AC321" s="2" t="s">
        <v>4196</v>
      </c>
      <c r="AD321" s="3">
        <v>44592</v>
      </c>
      <c r="AE321" s="2" t="s">
        <v>77</v>
      </c>
      <c r="AF321" s="2">
        <v>1860000</v>
      </c>
      <c r="AG321" s="2">
        <v>27900</v>
      </c>
      <c r="AH321" s="2" t="s">
        <v>4197</v>
      </c>
      <c r="AI321" s="2">
        <v>27900</v>
      </c>
      <c r="AJ321" s="11">
        <v>0</v>
      </c>
      <c r="AK321" s="11"/>
    </row>
    <row r="322" spans="1:37" hidden="1">
      <c r="A322" s="10">
        <v>321</v>
      </c>
      <c r="B322" s="2" t="s">
        <v>37</v>
      </c>
      <c r="C322" s="2" t="s">
        <v>4198</v>
      </c>
      <c r="D322" s="2" t="s">
        <v>39</v>
      </c>
      <c r="E322" s="2" t="s">
        <v>40</v>
      </c>
      <c r="F322" s="2" t="s">
        <v>4199</v>
      </c>
      <c r="G322" s="2" t="s">
        <v>276</v>
      </c>
      <c r="H322" s="2" t="s">
        <v>4200</v>
      </c>
      <c r="I322" s="2" t="s">
        <v>4201</v>
      </c>
      <c r="J322" s="2" t="s">
        <v>4201</v>
      </c>
      <c r="K322" s="2" t="s">
        <v>4201</v>
      </c>
      <c r="L322" s="2" t="s">
        <v>4202</v>
      </c>
      <c r="M322" s="2">
        <v>1505000</v>
      </c>
      <c r="N322" s="2">
        <v>2150000</v>
      </c>
      <c r="O322" s="2" t="s">
        <v>4203</v>
      </c>
      <c r="P322" s="3">
        <v>45687</v>
      </c>
      <c r="Q322" s="2" t="s">
        <v>4204</v>
      </c>
      <c r="R322" s="2" t="s">
        <v>4205</v>
      </c>
      <c r="S322" s="2" t="s">
        <v>69</v>
      </c>
      <c r="T322" s="2" t="s">
        <v>4206</v>
      </c>
      <c r="U322" s="2" t="s">
        <v>87</v>
      </c>
      <c r="V322" s="2" t="s">
        <v>521</v>
      </c>
      <c r="W322" s="3">
        <v>44563</v>
      </c>
      <c r="X322" s="2" t="s">
        <v>1414</v>
      </c>
      <c r="Y322" s="3">
        <v>46421</v>
      </c>
      <c r="Z322" s="2" t="s">
        <v>4207</v>
      </c>
      <c r="AA322" s="2">
        <v>5</v>
      </c>
      <c r="AB322" s="2" t="s">
        <v>75</v>
      </c>
      <c r="AC322" s="2" t="s">
        <v>4208</v>
      </c>
      <c r="AD322" s="3">
        <v>44592</v>
      </c>
      <c r="AE322" s="2" t="s">
        <v>77</v>
      </c>
      <c r="AF322" s="2">
        <v>1720000</v>
      </c>
      <c r="AG322" s="2">
        <v>25800</v>
      </c>
      <c r="AH322" s="2" t="s">
        <v>4209</v>
      </c>
      <c r="AI322" s="2">
        <v>25800</v>
      </c>
      <c r="AJ322" s="11">
        <v>0</v>
      </c>
      <c r="AK322" s="11"/>
    </row>
    <row r="323" spans="1:37" hidden="1">
      <c r="A323" s="10">
        <v>322</v>
      </c>
      <c r="B323" s="2" t="s">
        <v>37</v>
      </c>
      <c r="C323" s="2" t="s">
        <v>4210</v>
      </c>
      <c r="D323" s="2" t="s">
        <v>39</v>
      </c>
      <c r="E323" s="2" t="s">
        <v>40</v>
      </c>
      <c r="F323" s="2" t="s">
        <v>4211</v>
      </c>
      <c r="G323" s="2" t="s">
        <v>276</v>
      </c>
      <c r="H323" s="2" t="s">
        <v>4212</v>
      </c>
      <c r="I323" s="2" t="s">
        <v>4213</v>
      </c>
      <c r="J323" s="2" t="s">
        <v>4213</v>
      </c>
      <c r="K323" s="2" t="s">
        <v>4214</v>
      </c>
      <c r="L323" s="2" t="s">
        <v>4215</v>
      </c>
      <c r="M323" s="2">
        <v>1481250</v>
      </c>
      <c r="N323" s="2">
        <v>1975000</v>
      </c>
      <c r="O323" s="2" t="s">
        <v>4216</v>
      </c>
      <c r="P323" s="3">
        <v>45687</v>
      </c>
      <c r="Q323" s="2" t="s">
        <v>4217</v>
      </c>
      <c r="R323" s="2" t="s">
        <v>4218</v>
      </c>
      <c r="S323" s="2" t="s">
        <v>50</v>
      </c>
      <c r="T323" s="2" t="s">
        <v>51</v>
      </c>
      <c r="U323" s="2" t="s">
        <v>2494</v>
      </c>
      <c r="V323" s="2" t="s">
        <v>53</v>
      </c>
      <c r="W323" s="3">
        <v>44563</v>
      </c>
      <c r="X323" s="2" t="s">
        <v>1414</v>
      </c>
      <c r="Y323" s="3">
        <v>46421</v>
      </c>
      <c r="Z323" s="2" t="s">
        <v>4219</v>
      </c>
      <c r="AA323" s="2">
        <v>5</v>
      </c>
      <c r="AB323" s="2" t="s">
        <v>90</v>
      </c>
      <c r="AC323" s="2" t="s">
        <v>4220</v>
      </c>
      <c r="AD323" s="3">
        <v>44592</v>
      </c>
      <c r="AE323" s="2" t="s">
        <v>58</v>
      </c>
      <c r="AF323" s="2">
        <v>1580000</v>
      </c>
      <c r="AG323" s="2">
        <v>31600</v>
      </c>
      <c r="AH323" s="2" t="s">
        <v>4221</v>
      </c>
      <c r="AI323" s="2">
        <v>31600</v>
      </c>
      <c r="AJ323" s="11">
        <v>0</v>
      </c>
      <c r="AK323" s="11"/>
    </row>
    <row r="324" spans="1:37" hidden="1">
      <c r="A324" s="10">
        <v>323</v>
      </c>
      <c r="B324" s="2" t="s">
        <v>37</v>
      </c>
      <c r="C324" s="2" t="s">
        <v>4222</v>
      </c>
      <c r="D324" s="2" t="s">
        <v>39</v>
      </c>
      <c r="E324" s="2" t="s">
        <v>40</v>
      </c>
      <c r="F324" s="2" t="s">
        <v>4223</v>
      </c>
      <c r="G324" s="2" t="s">
        <v>1557</v>
      </c>
      <c r="H324" s="2" t="s">
        <v>4224</v>
      </c>
      <c r="I324" s="2" t="s">
        <v>51</v>
      </c>
      <c r="J324" s="2" t="s">
        <v>4225</v>
      </c>
      <c r="K324" s="2" t="s">
        <v>51</v>
      </c>
      <c r="L324" s="2" t="s">
        <v>4226</v>
      </c>
      <c r="M324" s="2">
        <v>2962270</v>
      </c>
      <c r="N324" s="2">
        <v>6889000</v>
      </c>
      <c r="O324" s="2" t="s">
        <v>4227</v>
      </c>
      <c r="P324" s="3">
        <v>45676</v>
      </c>
      <c r="Q324" s="2" t="s">
        <v>4228</v>
      </c>
      <c r="R324" s="2" t="s">
        <v>4229</v>
      </c>
      <c r="S324" s="2" t="s">
        <v>50</v>
      </c>
      <c r="T324" s="2" t="s">
        <v>51</v>
      </c>
      <c r="U324" s="2" t="s">
        <v>4230</v>
      </c>
      <c r="V324" s="2" t="s">
        <v>1194</v>
      </c>
      <c r="W324" s="3">
        <v>44951</v>
      </c>
      <c r="X324" s="2" t="s">
        <v>3508</v>
      </c>
      <c r="Y324" s="3">
        <v>46049</v>
      </c>
      <c r="Z324" s="2" t="s">
        <v>4231</v>
      </c>
      <c r="AA324" s="2">
        <v>3</v>
      </c>
      <c r="AB324" s="2" t="s">
        <v>106</v>
      </c>
      <c r="AC324" s="2" t="s">
        <v>4232</v>
      </c>
      <c r="AD324" s="3">
        <v>44947</v>
      </c>
      <c r="AE324" s="2" t="s">
        <v>108</v>
      </c>
      <c r="AF324" s="2">
        <v>5855650</v>
      </c>
      <c r="AG324" s="2">
        <v>102474</v>
      </c>
      <c r="AH324" s="2" t="s">
        <v>4233</v>
      </c>
      <c r="AI324" s="2">
        <v>102474</v>
      </c>
      <c r="AJ324" s="11">
        <v>0</v>
      </c>
      <c r="AK324" s="11"/>
    </row>
    <row r="325" spans="1:37" hidden="1">
      <c r="A325" s="10">
        <v>324</v>
      </c>
      <c r="B325" s="2" t="s">
        <v>37</v>
      </c>
      <c r="C325" s="2" t="s">
        <v>4234</v>
      </c>
      <c r="D325" s="2" t="s">
        <v>39</v>
      </c>
      <c r="E325" s="2" t="s">
        <v>40</v>
      </c>
      <c r="F325" s="2" t="s">
        <v>4235</v>
      </c>
      <c r="G325" s="2" t="s">
        <v>62</v>
      </c>
      <c r="H325" s="2" t="s">
        <v>4236</v>
      </c>
      <c r="I325" s="2" t="s">
        <v>4237</v>
      </c>
      <c r="J325" s="2" t="s">
        <v>4237</v>
      </c>
      <c r="K325" s="2" t="s">
        <v>328</v>
      </c>
      <c r="L325" s="2" t="s">
        <v>4238</v>
      </c>
      <c r="M325" s="2">
        <v>1400000</v>
      </c>
      <c r="N325" s="2">
        <v>1750000</v>
      </c>
      <c r="O325" s="2" t="s">
        <v>4239</v>
      </c>
      <c r="P325" s="3">
        <v>45687</v>
      </c>
      <c r="Q325" s="2" t="s">
        <v>4240</v>
      </c>
      <c r="R325" s="2" t="s">
        <v>4241</v>
      </c>
      <c r="S325" s="2" t="s">
        <v>69</v>
      </c>
      <c r="T325" s="2" t="s">
        <v>4242</v>
      </c>
      <c r="U325" s="2" t="s">
        <v>236</v>
      </c>
      <c r="V325" s="2" t="s">
        <v>391</v>
      </c>
      <c r="W325" s="3">
        <v>44563</v>
      </c>
      <c r="X325" s="2" t="s">
        <v>1414</v>
      </c>
      <c r="Y325" s="3">
        <v>46421</v>
      </c>
      <c r="Z325" s="2" t="s">
        <v>4243</v>
      </c>
      <c r="AA325" s="2">
        <v>5</v>
      </c>
      <c r="AB325" s="2" t="s">
        <v>90</v>
      </c>
      <c r="AC325" s="2" t="s">
        <v>4244</v>
      </c>
      <c r="AD325" s="3">
        <v>44592</v>
      </c>
      <c r="AE325" s="2" t="s">
        <v>77</v>
      </c>
      <c r="AF325" s="2">
        <v>1400000</v>
      </c>
      <c r="AG325" s="2">
        <v>21000</v>
      </c>
      <c r="AH325" s="2" t="s">
        <v>4245</v>
      </c>
      <c r="AI325" s="2">
        <v>21000</v>
      </c>
      <c r="AJ325" s="11">
        <v>0</v>
      </c>
      <c r="AK325" s="11"/>
    </row>
    <row r="326" spans="1:37" hidden="1">
      <c r="A326" s="10">
        <v>325</v>
      </c>
      <c r="B326" s="2" t="s">
        <v>37</v>
      </c>
      <c r="C326" s="2" t="s">
        <v>4246</v>
      </c>
      <c r="D326" s="2" t="s">
        <v>39</v>
      </c>
      <c r="E326" s="2" t="s">
        <v>40</v>
      </c>
      <c r="F326" s="2" t="s">
        <v>4247</v>
      </c>
      <c r="G326" s="2" t="s">
        <v>42</v>
      </c>
      <c r="H326" s="2" t="s">
        <v>4248</v>
      </c>
      <c r="I326" s="2" t="s">
        <v>4249</v>
      </c>
      <c r="J326" s="2" t="s">
        <v>4250</v>
      </c>
      <c r="K326" s="2" t="s">
        <v>4251</v>
      </c>
      <c r="L326" s="2" t="s">
        <v>4252</v>
      </c>
      <c r="M326" s="2">
        <v>1400000</v>
      </c>
      <c r="N326" s="2">
        <v>1750000</v>
      </c>
      <c r="O326" s="2" t="s">
        <v>4253</v>
      </c>
      <c r="P326" s="3">
        <v>45687</v>
      </c>
      <c r="Q326" s="2" t="s">
        <v>4254</v>
      </c>
      <c r="R326" s="2" t="s">
        <v>4255</v>
      </c>
      <c r="S326" s="2" t="s">
        <v>69</v>
      </c>
      <c r="T326" s="2" t="s">
        <v>4256</v>
      </c>
      <c r="U326" s="2" t="s">
        <v>1724</v>
      </c>
      <c r="V326" s="2" t="s">
        <v>300</v>
      </c>
      <c r="W326" s="3">
        <v>44563</v>
      </c>
      <c r="X326" s="2" t="s">
        <v>1414</v>
      </c>
      <c r="Y326" s="3">
        <v>46421</v>
      </c>
      <c r="Z326" s="2" t="s">
        <v>4257</v>
      </c>
      <c r="AA326" s="2">
        <v>5</v>
      </c>
      <c r="AB326" s="2" t="s">
        <v>75</v>
      </c>
      <c r="AC326" s="2" t="s">
        <v>4258</v>
      </c>
      <c r="AD326" s="3">
        <v>44592</v>
      </c>
      <c r="AE326" s="2" t="s">
        <v>77</v>
      </c>
      <c r="AF326" s="2">
        <v>1400000</v>
      </c>
      <c r="AG326" s="2">
        <v>21000</v>
      </c>
      <c r="AH326" s="2" t="s">
        <v>4259</v>
      </c>
      <c r="AI326" s="2">
        <v>21000</v>
      </c>
      <c r="AJ326" s="11">
        <v>0</v>
      </c>
      <c r="AK326" s="11"/>
    </row>
    <row r="327" spans="1:37" hidden="1">
      <c r="A327" s="10">
        <v>326</v>
      </c>
      <c r="B327" s="2" t="s">
        <v>37</v>
      </c>
      <c r="C327" s="2" t="s">
        <v>4260</v>
      </c>
      <c r="D327" s="2" t="s">
        <v>39</v>
      </c>
      <c r="E327" s="2" t="s">
        <v>40</v>
      </c>
      <c r="F327" s="2" t="s">
        <v>4261</v>
      </c>
      <c r="G327" s="2" t="s">
        <v>276</v>
      </c>
      <c r="H327" s="2" t="s">
        <v>4262</v>
      </c>
      <c r="I327" s="2" t="s">
        <v>4263</v>
      </c>
      <c r="J327" s="2" t="s">
        <v>4263</v>
      </c>
      <c r="K327" s="2" t="s">
        <v>4263</v>
      </c>
      <c r="L327" s="2" t="s">
        <v>4264</v>
      </c>
      <c r="M327" s="2">
        <v>1382500</v>
      </c>
      <c r="N327" s="2">
        <v>1975000</v>
      </c>
      <c r="O327" s="2" t="s">
        <v>4265</v>
      </c>
      <c r="P327" s="3">
        <v>45687</v>
      </c>
      <c r="Q327" s="2" t="s">
        <v>4266</v>
      </c>
      <c r="R327" s="2" t="s">
        <v>4267</v>
      </c>
      <c r="S327" s="2" t="s">
        <v>50</v>
      </c>
      <c r="T327" s="2" t="s">
        <v>51</v>
      </c>
      <c r="U327" s="2" t="s">
        <v>253</v>
      </c>
      <c r="V327" s="2" t="s">
        <v>53</v>
      </c>
      <c r="W327" s="3">
        <v>44563</v>
      </c>
      <c r="X327" s="2" t="s">
        <v>1414</v>
      </c>
      <c r="Y327" s="3">
        <v>46421</v>
      </c>
      <c r="Z327" s="2" t="s">
        <v>4268</v>
      </c>
      <c r="AA327" s="2">
        <v>5</v>
      </c>
      <c r="AB327" s="2" t="s">
        <v>90</v>
      </c>
      <c r="AC327" s="2" t="s">
        <v>4269</v>
      </c>
      <c r="AD327" s="3">
        <v>44592</v>
      </c>
      <c r="AE327" s="2" t="s">
        <v>58</v>
      </c>
      <c r="AF327" s="2">
        <v>1580000</v>
      </c>
      <c r="AG327" s="2">
        <v>31600</v>
      </c>
      <c r="AH327" s="2" t="s">
        <v>4270</v>
      </c>
      <c r="AI327" s="2">
        <v>31600</v>
      </c>
      <c r="AJ327" s="11">
        <v>0</v>
      </c>
      <c r="AK327" s="11"/>
    </row>
    <row r="328" spans="1:37" hidden="1">
      <c r="A328" s="10">
        <v>327</v>
      </c>
      <c r="B328" s="2" t="s">
        <v>37</v>
      </c>
      <c r="C328" s="2" t="s">
        <v>4271</v>
      </c>
      <c r="D328" s="2" t="s">
        <v>39</v>
      </c>
      <c r="E328" s="2" t="s">
        <v>40</v>
      </c>
      <c r="F328" s="2" t="s">
        <v>4272</v>
      </c>
      <c r="G328" s="2" t="s">
        <v>112</v>
      </c>
      <c r="H328" s="2" t="s">
        <v>4273</v>
      </c>
      <c r="I328" s="2" t="s">
        <v>4274</v>
      </c>
      <c r="J328" s="2" t="s">
        <v>51</v>
      </c>
      <c r="K328" s="2" t="s">
        <v>328</v>
      </c>
      <c r="L328" s="2" t="s">
        <v>4275</v>
      </c>
      <c r="M328" s="2">
        <v>1443050</v>
      </c>
      <c r="N328" s="2">
        <v>3797500</v>
      </c>
      <c r="O328" s="2" t="s">
        <v>4276</v>
      </c>
      <c r="P328" s="3">
        <v>45676</v>
      </c>
      <c r="Q328" s="2" t="s">
        <v>4277</v>
      </c>
      <c r="R328" s="2" t="s">
        <v>4278</v>
      </c>
      <c r="S328" s="2" t="s">
        <v>50</v>
      </c>
      <c r="T328" s="2" t="s">
        <v>51</v>
      </c>
      <c r="U328" s="2" t="s">
        <v>4279</v>
      </c>
      <c r="V328" s="2" t="s">
        <v>1194</v>
      </c>
      <c r="W328" s="3">
        <v>44949</v>
      </c>
      <c r="X328" s="2" t="s">
        <v>3508</v>
      </c>
      <c r="Y328" s="3">
        <v>46049</v>
      </c>
      <c r="Z328" s="2" t="s">
        <v>4280</v>
      </c>
      <c r="AA328" s="2">
        <v>3</v>
      </c>
      <c r="AB328" s="2" t="s">
        <v>160</v>
      </c>
      <c r="AC328" s="2" t="s">
        <v>4281</v>
      </c>
      <c r="AD328" s="3">
        <v>44946</v>
      </c>
      <c r="AE328" s="2" t="s">
        <v>108</v>
      </c>
      <c r="AF328" s="2">
        <v>3227875</v>
      </c>
      <c r="AG328" s="2">
        <v>56488</v>
      </c>
      <c r="AH328" s="2" t="s">
        <v>4282</v>
      </c>
      <c r="AI328" s="2">
        <v>56488</v>
      </c>
      <c r="AJ328" s="11">
        <v>0</v>
      </c>
      <c r="AK328" s="11"/>
    </row>
    <row r="329" spans="1:37" hidden="1">
      <c r="A329" s="10">
        <v>328</v>
      </c>
      <c r="B329" s="2" t="s">
        <v>37</v>
      </c>
      <c r="C329" s="2" t="s">
        <v>4283</v>
      </c>
      <c r="D329" s="2" t="s">
        <v>39</v>
      </c>
      <c r="E329" s="2" t="s">
        <v>40</v>
      </c>
      <c r="F329" s="2" t="s">
        <v>4284</v>
      </c>
      <c r="G329" s="2" t="s">
        <v>62</v>
      </c>
      <c r="H329" s="2" t="s">
        <v>4285</v>
      </c>
      <c r="I329" s="2" t="s">
        <v>4286</v>
      </c>
      <c r="J329" s="2" t="s">
        <v>4286</v>
      </c>
      <c r="K329" s="2" t="s">
        <v>328</v>
      </c>
      <c r="L329" s="2" t="s">
        <v>4287</v>
      </c>
      <c r="M329" s="2">
        <v>1738000</v>
      </c>
      <c r="N329" s="2">
        <v>3160000</v>
      </c>
      <c r="O329" s="2" t="s">
        <v>4288</v>
      </c>
      <c r="P329" s="3">
        <v>45676</v>
      </c>
      <c r="Q329" s="2" t="s">
        <v>4289</v>
      </c>
      <c r="R329" s="2" t="s">
        <v>4290</v>
      </c>
      <c r="S329" s="2" t="s">
        <v>69</v>
      </c>
      <c r="T329" s="2" t="s">
        <v>4291</v>
      </c>
      <c r="U329" s="2" t="s">
        <v>578</v>
      </c>
      <c r="V329" s="2" t="s">
        <v>300</v>
      </c>
      <c r="W329" s="3">
        <v>44949</v>
      </c>
      <c r="X329" s="2" t="s">
        <v>3508</v>
      </c>
      <c r="Y329" s="3">
        <v>46049</v>
      </c>
      <c r="Z329" s="2" t="s">
        <v>4292</v>
      </c>
      <c r="AA329" s="2">
        <v>3</v>
      </c>
      <c r="AB329" s="2" t="s">
        <v>160</v>
      </c>
      <c r="AC329" s="2" t="s">
        <v>4293</v>
      </c>
      <c r="AD329" s="3">
        <v>44946</v>
      </c>
      <c r="AE329" s="2" t="s">
        <v>108</v>
      </c>
      <c r="AF329" s="2">
        <v>2686000</v>
      </c>
      <c r="AG329" s="2">
        <v>47005</v>
      </c>
      <c r="AH329" s="2" t="s">
        <v>4294</v>
      </c>
      <c r="AI329" s="2">
        <v>47005</v>
      </c>
      <c r="AJ329" s="11">
        <v>0</v>
      </c>
      <c r="AK329" s="11"/>
    </row>
    <row r="330" spans="1:37" hidden="1">
      <c r="A330" s="10">
        <v>329</v>
      </c>
      <c r="B330" s="2" t="s">
        <v>37</v>
      </c>
      <c r="C330" s="2" t="s">
        <v>4295</v>
      </c>
      <c r="D330" s="2" t="s">
        <v>39</v>
      </c>
      <c r="E330" s="2" t="s">
        <v>40</v>
      </c>
      <c r="F330" s="2" t="s">
        <v>4296</v>
      </c>
      <c r="G330" s="2" t="s">
        <v>497</v>
      </c>
      <c r="H330" s="2" t="s">
        <v>4297</v>
      </c>
      <c r="I330" s="2" t="s">
        <v>4298</v>
      </c>
      <c r="J330" s="2" t="s">
        <v>4298</v>
      </c>
      <c r="K330" s="2" t="s">
        <v>4298</v>
      </c>
      <c r="L330" s="2" t="s">
        <v>4299</v>
      </c>
      <c r="M330" s="2">
        <v>1300000</v>
      </c>
      <c r="N330" s="2">
        <v>2000000</v>
      </c>
      <c r="O330" s="2" t="s">
        <v>4300</v>
      </c>
      <c r="P330" s="3">
        <v>45687</v>
      </c>
      <c r="Q330" s="2" t="s">
        <v>4301</v>
      </c>
      <c r="R330" s="2" t="s">
        <v>4302</v>
      </c>
      <c r="S330" s="2" t="s">
        <v>69</v>
      </c>
      <c r="T330" s="2" t="s">
        <v>4303</v>
      </c>
      <c r="U330" s="2" t="s">
        <v>1550</v>
      </c>
      <c r="V330" s="2" t="s">
        <v>391</v>
      </c>
      <c r="W330" s="3">
        <v>44563</v>
      </c>
      <c r="X330" s="2" t="s">
        <v>1414</v>
      </c>
      <c r="Y330" s="3">
        <v>46421</v>
      </c>
      <c r="Z330" s="2" t="s">
        <v>4304</v>
      </c>
      <c r="AA330" s="2">
        <v>5</v>
      </c>
      <c r="AB330" s="2" t="s">
        <v>90</v>
      </c>
      <c r="AC330" s="2" t="s">
        <v>4305</v>
      </c>
      <c r="AD330" s="3">
        <v>44593</v>
      </c>
      <c r="AE330" s="2" t="s">
        <v>77</v>
      </c>
      <c r="AF330" s="2">
        <v>1600000</v>
      </c>
      <c r="AG330" s="2">
        <v>24000</v>
      </c>
      <c r="AH330" s="2" t="s">
        <v>4306</v>
      </c>
      <c r="AI330" s="2">
        <v>24000</v>
      </c>
      <c r="AJ330" s="11">
        <v>0</v>
      </c>
      <c r="AK330" s="11"/>
    </row>
    <row r="331" spans="1:37" hidden="1">
      <c r="A331" s="10">
        <v>330</v>
      </c>
      <c r="B331" s="2" t="s">
        <v>37</v>
      </c>
      <c r="C331" s="2" t="s">
        <v>4307</v>
      </c>
      <c r="D331" s="2" t="s">
        <v>39</v>
      </c>
      <c r="E331" s="2" t="s">
        <v>40</v>
      </c>
      <c r="F331" s="2" t="s">
        <v>4308</v>
      </c>
      <c r="G331" s="2" t="s">
        <v>497</v>
      </c>
      <c r="H331" s="2" t="s">
        <v>4309</v>
      </c>
      <c r="I331" s="2" t="s">
        <v>4310</v>
      </c>
      <c r="J331" s="2" t="s">
        <v>4310</v>
      </c>
      <c r="K331" s="2" t="s">
        <v>4310</v>
      </c>
      <c r="L331" s="2" t="s">
        <v>4311</v>
      </c>
      <c r="M331" s="2">
        <v>1237500</v>
      </c>
      <c r="N331" s="2">
        <v>1650000</v>
      </c>
      <c r="O331" s="2" t="s">
        <v>4312</v>
      </c>
      <c r="P331" s="3">
        <v>45687</v>
      </c>
      <c r="Q331" s="2" t="s">
        <v>4313</v>
      </c>
      <c r="R331" s="2" t="s">
        <v>4314</v>
      </c>
      <c r="S331" s="2" t="s">
        <v>69</v>
      </c>
      <c r="T331" s="2" t="s">
        <v>4315</v>
      </c>
      <c r="U331" s="2" t="s">
        <v>285</v>
      </c>
      <c r="V331" s="2" t="s">
        <v>521</v>
      </c>
      <c r="W331" s="3">
        <v>44592</v>
      </c>
      <c r="X331" s="2" t="s">
        <v>1414</v>
      </c>
      <c r="Y331" s="3">
        <v>47152</v>
      </c>
      <c r="Z331" s="2" t="s">
        <v>4316</v>
      </c>
      <c r="AA331" s="2">
        <v>7</v>
      </c>
      <c r="AB331" s="2" t="s">
        <v>90</v>
      </c>
      <c r="AC331" s="2" t="s">
        <v>4317</v>
      </c>
      <c r="AD331" s="3">
        <v>44592</v>
      </c>
      <c r="AE331" s="2" t="s">
        <v>77</v>
      </c>
      <c r="AF331" s="2">
        <v>1320000</v>
      </c>
      <c r="AG331" s="2">
        <v>19800</v>
      </c>
      <c r="AH331" s="2" t="s">
        <v>4318</v>
      </c>
      <c r="AI331" s="2">
        <v>19800</v>
      </c>
      <c r="AJ331" s="11">
        <v>0</v>
      </c>
      <c r="AK331" s="11"/>
    </row>
    <row r="332" spans="1:37" hidden="1">
      <c r="A332" s="10">
        <v>331</v>
      </c>
      <c r="B332" s="2" t="s">
        <v>37</v>
      </c>
      <c r="C332" s="2" t="s">
        <v>4319</v>
      </c>
      <c r="D332" s="2" t="s">
        <v>39</v>
      </c>
      <c r="E332" s="2" t="s">
        <v>40</v>
      </c>
      <c r="F332" s="2" t="s">
        <v>4320</v>
      </c>
      <c r="G332" s="2" t="s">
        <v>1557</v>
      </c>
      <c r="H332" s="2" t="s">
        <v>4321</v>
      </c>
      <c r="I332" s="2" t="s">
        <v>51</v>
      </c>
      <c r="J332" s="2" t="s">
        <v>4322</v>
      </c>
      <c r="K332" s="2" t="s">
        <v>51</v>
      </c>
      <c r="L332" s="2" t="s">
        <v>4323</v>
      </c>
      <c r="M332" s="2">
        <v>1300500</v>
      </c>
      <c r="N332" s="2">
        <v>1530000</v>
      </c>
      <c r="O332" s="2" t="s">
        <v>4324</v>
      </c>
      <c r="P332" s="3">
        <v>45676</v>
      </c>
      <c r="Q332" s="2" t="s">
        <v>4325</v>
      </c>
      <c r="R332" s="2" t="s">
        <v>4326</v>
      </c>
      <c r="S332" s="2" t="s">
        <v>50</v>
      </c>
      <c r="T332" s="2" t="s">
        <v>51</v>
      </c>
      <c r="U332" s="2" t="s">
        <v>2494</v>
      </c>
      <c r="V332" s="2" t="s">
        <v>53</v>
      </c>
      <c r="W332" s="3">
        <v>44496</v>
      </c>
      <c r="X332" s="2" t="s">
        <v>1414</v>
      </c>
      <c r="Y332" s="3">
        <v>46421</v>
      </c>
      <c r="Z332" s="2" t="s">
        <v>4327</v>
      </c>
      <c r="AA332" s="2">
        <v>5</v>
      </c>
      <c r="AB332" s="2" t="s">
        <v>90</v>
      </c>
      <c r="AC332" s="2" t="s">
        <v>4328</v>
      </c>
      <c r="AD332" s="3">
        <v>44587</v>
      </c>
      <c r="AE332" s="2" t="s">
        <v>58</v>
      </c>
      <c r="AF332" s="2">
        <v>1224000</v>
      </c>
      <c r="AG332" s="2">
        <v>24480</v>
      </c>
      <c r="AH332" s="2" t="s">
        <v>4329</v>
      </c>
      <c r="AI332" s="2">
        <v>24480</v>
      </c>
      <c r="AJ332" s="11">
        <v>0</v>
      </c>
      <c r="AK332" s="11"/>
    </row>
    <row r="333" spans="1:37" hidden="1">
      <c r="A333" s="10">
        <v>332</v>
      </c>
      <c r="B333" s="2" t="s">
        <v>37</v>
      </c>
      <c r="C333" s="2" t="s">
        <v>4330</v>
      </c>
      <c r="D333" s="2" t="s">
        <v>39</v>
      </c>
      <c r="E333" s="2" t="s">
        <v>40</v>
      </c>
      <c r="F333" s="2" t="s">
        <v>703</v>
      </c>
      <c r="G333" s="2" t="s">
        <v>276</v>
      </c>
      <c r="H333" s="2" t="s">
        <v>4331</v>
      </c>
      <c r="I333" s="2" t="s">
        <v>4332</v>
      </c>
      <c r="J333" s="2" t="s">
        <v>4332</v>
      </c>
      <c r="K333" s="2" t="s">
        <v>4332</v>
      </c>
      <c r="L333" s="2" t="s">
        <v>4333</v>
      </c>
      <c r="M333" s="2">
        <v>1120000</v>
      </c>
      <c r="N333" s="2">
        <v>1600000</v>
      </c>
      <c r="O333" s="2" t="s">
        <v>4334</v>
      </c>
      <c r="P333" s="3">
        <v>45687</v>
      </c>
      <c r="Q333" s="2" t="s">
        <v>4335</v>
      </c>
      <c r="R333" s="2" t="s">
        <v>4336</v>
      </c>
      <c r="S333" s="2" t="s">
        <v>69</v>
      </c>
      <c r="T333" s="2" t="s">
        <v>4337</v>
      </c>
      <c r="U333" s="2" t="s">
        <v>820</v>
      </c>
      <c r="V333" s="2" t="s">
        <v>72</v>
      </c>
      <c r="W333" s="3">
        <v>44563</v>
      </c>
      <c r="X333" s="2" t="s">
        <v>1414</v>
      </c>
      <c r="Y333" s="3">
        <v>46421</v>
      </c>
      <c r="Z333" s="2" t="s">
        <v>4338</v>
      </c>
      <c r="AA333" s="2">
        <v>5</v>
      </c>
      <c r="AB333" s="2" t="s">
        <v>75</v>
      </c>
      <c r="AC333" s="2" t="s">
        <v>4339</v>
      </c>
      <c r="AD333" s="3">
        <v>44592</v>
      </c>
      <c r="AE333" s="2" t="s">
        <v>77</v>
      </c>
      <c r="AF333" s="2">
        <v>1280000</v>
      </c>
      <c r="AG333" s="2">
        <v>19200</v>
      </c>
      <c r="AH333" s="2" t="s">
        <v>4340</v>
      </c>
      <c r="AI333" s="2">
        <v>19200</v>
      </c>
      <c r="AJ333" s="11">
        <v>0</v>
      </c>
      <c r="AK333" s="11"/>
    </row>
    <row r="334" spans="1:37" hidden="1">
      <c r="A334" s="10">
        <v>333</v>
      </c>
      <c r="B334" s="2" t="s">
        <v>37</v>
      </c>
      <c r="C334" s="2" t="s">
        <v>4341</v>
      </c>
      <c r="D334" s="2" t="s">
        <v>39</v>
      </c>
      <c r="E334" s="2" t="s">
        <v>40</v>
      </c>
      <c r="F334" s="2" t="s">
        <v>4342</v>
      </c>
      <c r="G334" s="2" t="s">
        <v>62</v>
      </c>
      <c r="H334" s="2" t="s">
        <v>4343</v>
      </c>
      <c r="I334" s="2" t="s">
        <v>4344</v>
      </c>
      <c r="J334" s="2" t="s">
        <v>4344</v>
      </c>
      <c r="K334" s="2" t="s">
        <v>328</v>
      </c>
      <c r="L334" s="2" t="s">
        <v>4345</v>
      </c>
      <c r="M334" s="2">
        <v>1052000</v>
      </c>
      <c r="N334" s="2">
        <v>1315000</v>
      </c>
      <c r="O334" s="2" t="s">
        <v>4346</v>
      </c>
      <c r="P334" s="3">
        <v>45687</v>
      </c>
      <c r="Q334" s="2" t="s">
        <v>4347</v>
      </c>
      <c r="R334" s="2" t="s">
        <v>4348</v>
      </c>
      <c r="S334" s="2" t="s">
        <v>69</v>
      </c>
      <c r="T334" s="2" t="s">
        <v>4349</v>
      </c>
      <c r="U334" s="2" t="s">
        <v>1166</v>
      </c>
      <c r="V334" s="2" t="s">
        <v>336</v>
      </c>
      <c r="W334" s="3">
        <v>44592</v>
      </c>
      <c r="X334" s="2" t="s">
        <v>1414</v>
      </c>
      <c r="Y334" s="3">
        <v>46421</v>
      </c>
      <c r="Z334" s="2" t="s">
        <v>4350</v>
      </c>
      <c r="AA334" s="2">
        <v>5</v>
      </c>
      <c r="AB334" s="2" t="s">
        <v>75</v>
      </c>
      <c r="AC334" s="2" t="s">
        <v>4351</v>
      </c>
      <c r="AD334" s="3">
        <v>44592</v>
      </c>
      <c r="AE334" s="2" t="s">
        <v>77</v>
      </c>
      <c r="AF334" s="2">
        <v>1052000</v>
      </c>
      <c r="AG334" s="2">
        <v>15780</v>
      </c>
      <c r="AH334" s="2" t="s">
        <v>4352</v>
      </c>
      <c r="AI334" s="2">
        <v>15780</v>
      </c>
      <c r="AJ334" s="11">
        <v>0</v>
      </c>
      <c r="AK334" s="11"/>
    </row>
    <row r="335" spans="1:37" hidden="1">
      <c r="A335" s="10">
        <v>334</v>
      </c>
      <c r="B335" s="2" t="s">
        <v>37</v>
      </c>
      <c r="C335" s="2" t="s">
        <v>4353</v>
      </c>
      <c r="D335" s="2" t="s">
        <v>39</v>
      </c>
      <c r="E335" s="2" t="s">
        <v>40</v>
      </c>
      <c r="F335" s="2" t="s">
        <v>4354</v>
      </c>
      <c r="G335" s="2" t="s">
        <v>62</v>
      </c>
      <c r="H335" s="2" t="s">
        <v>4355</v>
      </c>
      <c r="I335" s="2" t="s">
        <v>4356</v>
      </c>
      <c r="J335" s="2" t="s">
        <v>4356</v>
      </c>
      <c r="K335" s="2" t="s">
        <v>4357</v>
      </c>
      <c r="L335" s="2" t="s">
        <v>4358</v>
      </c>
      <c r="M335" s="2">
        <v>1050000</v>
      </c>
      <c r="N335" s="2">
        <v>1500000</v>
      </c>
      <c r="O335" s="2" t="s">
        <v>4359</v>
      </c>
      <c r="P335" s="3">
        <v>45687</v>
      </c>
      <c r="Q335" s="2" t="s">
        <v>4360</v>
      </c>
      <c r="R335" s="2" t="s">
        <v>4361</v>
      </c>
      <c r="S335" s="2" t="s">
        <v>69</v>
      </c>
      <c r="T335" s="2" t="s">
        <v>4362</v>
      </c>
      <c r="U335" s="2" t="s">
        <v>657</v>
      </c>
      <c r="V335" s="2" t="s">
        <v>391</v>
      </c>
      <c r="W335" s="3">
        <v>44563</v>
      </c>
      <c r="X335" s="2" t="s">
        <v>1414</v>
      </c>
      <c r="Y335" s="3">
        <v>46421</v>
      </c>
      <c r="Z335" s="2" t="s">
        <v>4363</v>
      </c>
      <c r="AA335" s="2">
        <v>5</v>
      </c>
      <c r="AB335" s="2" t="s">
        <v>90</v>
      </c>
      <c r="AC335" s="2" t="s">
        <v>4364</v>
      </c>
      <c r="AD335" s="3">
        <v>44592</v>
      </c>
      <c r="AE335" s="2" t="s">
        <v>77</v>
      </c>
      <c r="AF335" s="2">
        <v>1200000</v>
      </c>
      <c r="AG335" s="2">
        <v>18000</v>
      </c>
      <c r="AH335" s="2" t="s">
        <v>4365</v>
      </c>
      <c r="AI335" s="2">
        <v>18000</v>
      </c>
      <c r="AJ335" s="11">
        <v>0</v>
      </c>
      <c r="AK335" s="11"/>
    </row>
    <row r="336" spans="1:37" hidden="1">
      <c r="A336" s="10">
        <v>335</v>
      </c>
      <c r="B336" s="2" t="s">
        <v>37</v>
      </c>
      <c r="C336" s="2" t="s">
        <v>4366</v>
      </c>
      <c r="D336" s="2" t="s">
        <v>39</v>
      </c>
      <c r="E336" s="2" t="s">
        <v>40</v>
      </c>
      <c r="F336" s="2" t="s">
        <v>4367</v>
      </c>
      <c r="G336" s="2" t="s">
        <v>276</v>
      </c>
      <c r="H336" s="2" t="s">
        <v>4368</v>
      </c>
      <c r="I336" s="2" t="s">
        <v>4369</v>
      </c>
      <c r="J336" s="2" t="s">
        <v>4369</v>
      </c>
      <c r="K336" s="2" t="s">
        <v>4369</v>
      </c>
      <c r="L336" s="2" t="s">
        <v>4370</v>
      </c>
      <c r="M336" s="2">
        <v>1020000</v>
      </c>
      <c r="N336" s="2">
        <v>1500000</v>
      </c>
      <c r="O336" s="2" t="s">
        <v>4371</v>
      </c>
      <c r="P336" s="3">
        <v>45687</v>
      </c>
      <c r="Q336" s="2" t="s">
        <v>4372</v>
      </c>
      <c r="R336" s="2" t="s">
        <v>4373</v>
      </c>
      <c r="S336" s="2" t="s">
        <v>69</v>
      </c>
      <c r="T336" s="2" t="s">
        <v>4374</v>
      </c>
      <c r="U336" s="2" t="s">
        <v>285</v>
      </c>
      <c r="V336" s="2" t="s">
        <v>521</v>
      </c>
      <c r="W336" s="3">
        <v>44563</v>
      </c>
      <c r="X336" s="2" t="s">
        <v>1414</v>
      </c>
      <c r="Y336" s="3">
        <v>47152</v>
      </c>
      <c r="Z336" s="2" t="s">
        <v>4375</v>
      </c>
      <c r="AA336" s="2">
        <v>7</v>
      </c>
      <c r="AB336" s="2" t="s">
        <v>75</v>
      </c>
      <c r="AC336" s="2" t="s">
        <v>4376</v>
      </c>
      <c r="AD336" s="3">
        <v>44592</v>
      </c>
      <c r="AE336" s="2" t="s">
        <v>77</v>
      </c>
      <c r="AF336" s="2">
        <v>1200000</v>
      </c>
      <c r="AG336" s="2">
        <v>18000</v>
      </c>
      <c r="AH336" s="2" t="s">
        <v>4377</v>
      </c>
      <c r="AI336" s="2">
        <v>18000</v>
      </c>
      <c r="AJ336" s="11">
        <v>0</v>
      </c>
      <c r="AK336" s="11"/>
    </row>
    <row r="337" spans="1:37" hidden="1">
      <c r="A337" s="10">
        <v>336</v>
      </c>
      <c r="B337" s="2" t="s">
        <v>37</v>
      </c>
      <c r="C337" s="2" t="s">
        <v>4378</v>
      </c>
      <c r="D337" s="2" t="s">
        <v>39</v>
      </c>
      <c r="E337" s="2" t="s">
        <v>40</v>
      </c>
      <c r="F337" s="2" t="s">
        <v>4379</v>
      </c>
      <c r="G337" s="2" t="s">
        <v>276</v>
      </c>
      <c r="H337" s="2" t="s">
        <v>4380</v>
      </c>
      <c r="I337" s="2" t="s">
        <v>4381</v>
      </c>
      <c r="J337" s="2" t="s">
        <v>4381</v>
      </c>
      <c r="K337" s="2" t="s">
        <v>4382</v>
      </c>
      <c r="L337" s="2" t="s">
        <v>4383</v>
      </c>
      <c r="M337" s="2">
        <v>1150000</v>
      </c>
      <c r="N337" s="2">
        <v>2300000</v>
      </c>
      <c r="O337" s="2" t="s">
        <v>4384</v>
      </c>
      <c r="P337" s="3">
        <v>45677</v>
      </c>
      <c r="Q337" s="2">
        <v>312437</v>
      </c>
      <c r="R337" s="2" t="s">
        <v>4385</v>
      </c>
      <c r="S337" s="2" t="s">
        <v>69</v>
      </c>
      <c r="T337" s="2" t="s">
        <v>4386</v>
      </c>
      <c r="U337" s="2" t="s">
        <v>1272</v>
      </c>
      <c r="V337" s="2">
        <v>2015</v>
      </c>
      <c r="W337" s="3">
        <v>44221</v>
      </c>
      <c r="X337" s="2" t="s">
        <v>3564</v>
      </c>
      <c r="Y337" s="3">
        <v>46049</v>
      </c>
      <c r="Z337" s="2" t="s">
        <v>4387</v>
      </c>
      <c r="AA337" s="2">
        <v>5</v>
      </c>
      <c r="AB337" s="2" t="s">
        <v>90</v>
      </c>
      <c r="AC337" s="2" t="s">
        <v>4388</v>
      </c>
      <c r="AD337" s="3">
        <v>44218</v>
      </c>
      <c r="AE337" s="2" t="s">
        <v>58</v>
      </c>
      <c r="AF337" s="2">
        <v>1725000</v>
      </c>
      <c r="AG337" s="2">
        <v>34500</v>
      </c>
      <c r="AH337" s="2" t="s">
        <v>4389</v>
      </c>
      <c r="AI337" s="2">
        <v>34500</v>
      </c>
      <c r="AJ337" s="11">
        <v>0</v>
      </c>
      <c r="AK337" s="11"/>
    </row>
    <row r="338" spans="1:37" hidden="1">
      <c r="A338" s="10">
        <v>337</v>
      </c>
      <c r="B338" s="2" t="s">
        <v>37</v>
      </c>
      <c r="C338" s="2" t="s">
        <v>4390</v>
      </c>
      <c r="D338" s="2" t="s">
        <v>39</v>
      </c>
      <c r="E338" s="2" t="s">
        <v>40</v>
      </c>
      <c r="F338" s="2" t="s">
        <v>4391</v>
      </c>
      <c r="G338" s="2" t="s">
        <v>276</v>
      </c>
      <c r="H338" s="2" t="s">
        <v>4392</v>
      </c>
      <c r="I338" s="2">
        <v>3004226344</v>
      </c>
      <c r="J338" s="2">
        <v>3004226344</v>
      </c>
      <c r="K338" s="2">
        <v>111323111</v>
      </c>
      <c r="L338" s="2" t="s">
        <v>4393</v>
      </c>
      <c r="M338" s="2">
        <v>1146400</v>
      </c>
      <c r="N338" s="2">
        <v>1433000</v>
      </c>
      <c r="O338" s="2" t="s">
        <v>4394</v>
      </c>
      <c r="P338" s="3">
        <v>45677</v>
      </c>
      <c r="Q338" s="2">
        <v>152312</v>
      </c>
      <c r="R338" s="4" t="s">
        <v>4395</v>
      </c>
      <c r="S338" s="2" t="s">
        <v>50</v>
      </c>
      <c r="T338" s="2"/>
      <c r="U338" s="2" t="s">
        <v>2441</v>
      </c>
      <c r="V338" s="2">
        <v>2021</v>
      </c>
      <c r="W338" s="3">
        <v>44221</v>
      </c>
      <c r="X338" s="2" t="s">
        <v>3564</v>
      </c>
      <c r="Y338" s="3">
        <v>46779</v>
      </c>
      <c r="Z338" s="2" t="s">
        <v>4396</v>
      </c>
      <c r="AA338" s="2">
        <v>7</v>
      </c>
      <c r="AB338" s="2" t="s">
        <v>90</v>
      </c>
      <c r="AC338" s="2" t="s">
        <v>4397</v>
      </c>
      <c r="AD338" s="3">
        <v>44218</v>
      </c>
      <c r="AE338" s="2" t="s">
        <v>58</v>
      </c>
      <c r="AF338" s="2">
        <v>1074750</v>
      </c>
      <c r="AG338" s="2">
        <v>21495</v>
      </c>
      <c r="AH338" s="2" t="s">
        <v>4398</v>
      </c>
      <c r="AI338" s="2">
        <v>21495</v>
      </c>
      <c r="AJ338" s="11">
        <v>0</v>
      </c>
      <c r="AK338" s="11"/>
    </row>
    <row r="339" spans="1:37" hidden="1">
      <c r="A339" s="10">
        <v>338</v>
      </c>
      <c r="B339" s="2" t="s">
        <v>37</v>
      </c>
      <c r="C339" s="2" t="s">
        <v>4399</v>
      </c>
      <c r="D339" s="2" t="s">
        <v>39</v>
      </c>
      <c r="E339" s="2" t="s">
        <v>40</v>
      </c>
      <c r="F339" s="2" t="s">
        <v>4400</v>
      </c>
      <c r="G339" s="2" t="s">
        <v>42</v>
      </c>
      <c r="H339" s="2" t="s">
        <v>4401</v>
      </c>
      <c r="I339" s="2" t="s">
        <v>4402</v>
      </c>
      <c r="J339" s="2" t="s">
        <v>4403</v>
      </c>
      <c r="K339" s="2" t="s">
        <v>4404</v>
      </c>
      <c r="L339" s="2" t="s">
        <v>4405</v>
      </c>
      <c r="M339" s="2">
        <v>1012000</v>
      </c>
      <c r="N339" s="2">
        <v>2300000</v>
      </c>
      <c r="O339" s="2" t="s">
        <v>4406</v>
      </c>
      <c r="P339" s="3">
        <v>45687</v>
      </c>
      <c r="Q339" s="2" t="s">
        <v>4407</v>
      </c>
      <c r="R339" s="2" t="s">
        <v>4408</v>
      </c>
      <c r="S339" s="2" t="s">
        <v>69</v>
      </c>
      <c r="T339" s="2" t="s">
        <v>4409</v>
      </c>
      <c r="U339" s="2" t="s">
        <v>578</v>
      </c>
      <c r="V339" s="2" t="s">
        <v>72</v>
      </c>
      <c r="W339" s="3">
        <v>44563</v>
      </c>
      <c r="X339" s="2" t="s">
        <v>1414</v>
      </c>
      <c r="Y339" s="3">
        <v>46421</v>
      </c>
      <c r="Z339" s="2" t="s">
        <v>4410</v>
      </c>
      <c r="AA339" s="2">
        <v>5</v>
      </c>
      <c r="AB339" s="2" t="s">
        <v>75</v>
      </c>
      <c r="AC339" s="2" t="s">
        <v>4411</v>
      </c>
      <c r="AD339" s="3">
        <v>44592</v>
      </c>
      <c r="AE339" s="2" t="s">
        <v>77</v>
      </c>
      <c r="AF339" s="2">
        <v>1840000</v>
      </c>
      <c r="AG339" s="2">
        <v>27600</v>
      </c>
      <c r="AH339" s="2" t="s">
        <v>4412</v>
      </c>
      <c r="AI339" s="2">
        <v>27600</v>
      </c>
      <c r="AJ339" s="11">
        <v>0</v>
      </c>
      <c r="AK339" s="11"/>
    </row>
    <row r="340" spans="1:37" hidden="1">
      <c r="A340" s="10">
        <v>339</v>
      </c>
      <c r="B340" s="2" t="s">
        <v>37</v>
      </c>
      <c r="C340" s="2" t="s">
        <v>4413</v>
      </c>
      <c r="D340" s="2" t="s">
        <v>39</v>
      </c>
      <c r="E340" s="2" t="s">
        <v>40</v>
      </c>
      <c r="F340" s="2" t="s">
        <v>4414</v>
      </c>
      <c r="G340" s="2" t="s">
        <v>62</v>
      </c>
      <c r="H340" s="2" t="s">
        <v>4415</v>
      </c>
      <c r="I340" s="2" t="s">
        <v>51</v>
      </c>
      <c r="J340" s="2" t="s">
        <v>4416</v>
      </c>
      <c r="K340" s="2" t="s">
        <v>4417</v>
      </c>
      <c r="L340" s="2" t="s">
        <v>4418</v>
      </c>
      <c r="M340" s="2">
        <v>890400</v>
      </c>
      <c r="N340" s="2">
        <v>1113000</v>
      </c>
      <c r="O340" s="2" t="s">
        <v>4419</v>
      </c>
      <c r="P340" s="3">
        <v>45687</v>
      </c>
      <c r="Q340" s="2" t="s">
        <v>4420</v>
      </c>
      <c r="R340" s="2" t="s">
        <v>4421</v>
      </c>
      <c r="S340" s="2" t="s">
        <v>50</v>
      </c>
      <c r="T340" s="2" t="s">
        <v>51</v>
      </c>
      <c r="U340" s="2" t="s">
        <v>4422</v>
      </c>
      <c r="V340" s="2" t="s">
        <v>286</v>
      </c>
      <c r="W340" s="3">
        <v>44439</v>
      </c>
      <c r="X340" s="2" t="s">
        <v>1414</v>
      </c>
      <c r="Y340" s="3">
        <v>46421</v>
      </c>
      <c r="Z340" s="2" t="s">
        <v>4423</v>
      </c>
      <c r="AA340" s="2">
        <v>5</v>
      </c>
      <c r="AB340" s="2" t="s">
        <v>90</v>
      </c>
      <c r="AC340" s="2" t="s">
        <v>4424</v>
      </c>
      <c r="AD340" s="3">
        <v>44582</v>
      </c>
      <c r="AE340" s="2" t="s">
        <v>58</v>
      </c>
      <c r="AF340" s="2">
        <v>890400</v>
      </c>
      <c r="AG340" s="2">
        <v>17808</v>
      </c>
      <c r="AH340" s="2" t="s">
        <v>4425</v>
      </c>
      <c r="AI340" s="2">
        <v>17808</v>
      </c>
      <c r="AJ340" s="11">
        <v>0</v>
      </c>
      <c r="AK340" s="11"/>
    </row>
    <row r="341" spans="1:37" hidden="1">
      <c r="A341" s="10">
        <v>340</v>
      </c>
      <c r="B341" s="2" t="s">
        <v>37</v>
      </c>
      <c r="C341" s="2" t="s">
        <v>4426</v>
      </c>
      <c r="D341" s="2" t="s">
        <v>39</v>
      </c>
      <c r="E341" s="2" t="s">
        <v>40</v>
      </c>
      <c r="F341" s="2" t="s">
        <v>4427</v>
      </c>
      <c r="G341" s="2" t="s">
        <v>308</v>
      </c>
      <c r="H341" s="2" t="s">
        <v>4428</v>
      </c>
      <c r="I341" s="2" t="s">
        <v>4429</v>
      </c>
      <c r="J341" s="2" t="s">
        <v>4429</v>
      </c>
      <c r="K341" s="2" t="s">
        <v>4430</v>
      </c>
      <c r="L341" s="2" t="s">
        <v>4431</v>
      </c>
      <c r="M341" s="2">
        <v>720000</v>
      </c>
      <c r="N341" s="2">
        <v>1200000</v>
      </c>
      <c r="O341" s="2" t="s">
        <v>4432</v>
      </c>
      <c r="P341" s="3">
        <v>45687</v>
      </c>
      <c r="Q341" s="2" t="s">
        <v>4433</v>
      </c>
      <c r="R341" s="2" t="s">
        <v>4434</v>
      </c>
      <c r="S341" s="2" t="s">
        <v>69</v>
      </c>
      <c r="T341" s="2" t="s">
        <v>4435</v>
      </c>
      <c r="U341" s="2" t="s">
        <v>285</v>
      </c>
      <c r="V341" s="2" t="s">
        <v>521</v>
      </c>
      <c r="W341" s="3">
        <v>44563</v>
      </c>
      <c r="X341" s="2" t="s">
        <v>1414</v>
      </c>
      <c r="Y341" s="3">
        <v>47152</v>
      </c>
      <c r="Z341" s="2" t="s">
        <v>4436</v>
      </c>
      <c r="AA341" s="2">
        <v>7</v>
      </c>
      <c r="AB341" s="2" t="s">
        <v>90</v>
      </c>
      <c r="AC341" s="2" t="s">
        <v>4437</v>
      </c>
      <c r="AD341" s="3">
        <v>44592</v>
      </c>
      <c r="AE341" s="2" t="s">
        <v>77</v>
      </c>
      <c r="AF341" s="2">
        <v>960000</v>
      </c>
      <c r="AG341" s="2">
        <v>14400</v>
      </c>
      <c r="AH341" s="2" t="s">
        <v>4438</v>
      </c>
      <c r="AI341" s="2">
        <v>14400</v>
      </c>
      <c r="AJ341" s="11">
        <v>0</v>
      </c>
      <c r="AK341" s="11"/>
    </row>
    <row r="342" spans="1:37" hidden="1">
      <c r="A342" s="10">
        <v>341</v>
      </c>
      <c r="B342" s="2" t="s">
        <v>37</v>
      </c>
      <c r="C342" s="2" t="s">
        <v>4439</v>
      </c>
      <c r="D342" s="2" t="s">
        <v>39</v>
      </c>
      <c r="E342" s="2" t="s">
        <v>40</v>
      </c>
      <c r="F342" s="2" t="s">
        <v>4440</v>
      </c>
      <c r="G342" s="2" t="s">
        <v>276</v>
      </c>
      <c r="H342" s="2" t="s">
        <v>4441</v>
      </c>
      <c r="I342" s="2" t="s">
        <v>4442</v>
      </c>
      <c r="J342" s="2" t="s">
        <v>4442</v>
      </c>
      <c r="K342" s="2" t="s">
        <v>4442</v>
      </c>
      <c r="L342" s="2" t="s">
        <v>4443</v>
      </c>
      <c r="M342" s="2">
        <v>1260000</v>
      </c>
      <c r="N342" s="2">
        <v>2000000</v>
      </c>
      <c r="O342" s="2" t="s">
        <v>4444</v>
      </c>
      <c r="P342" s="3">
        <v>45677</v>
      </c>
      <c r="Q342" s="2" t="s">
        <v>4445</v>
      </c>
      <c r="R342" s="2" t="s">
        <v>4446</v>
      </c>
      <c r="S342" s="2" t="s">
        <v>69</v>
      </c>
      <c r="T342" s="2" t="s">
        <v>4447</v>
      </c>
      <c r="U342" s="2" t="s">
        <v>87</v>
      </c>
      <c r="V342" s="2" t="s">
        <v>286</v>
      </c>
      <c r="W342" s="3">
        <v>44586</v>
      </c>
      <c r="X342" s="2" t="s">
        <v>2428</v>
      </c>
      <c r="Y342" s="3">
        <v>47145</v>
      </c>
      <c r="Z342" s="2" t="s">
        <v>4448</v>
      </c>
      <c r="AA342" s="2">
        <v>7</v>
      </c>
      <c r="AB342" s="2" t="s">
        <v>90</v>
      </c>
      <c r="AC342" s="2" t="s">
        <v>4449</v>
      </c>
      <c r="AD342" s="3">
        <v>44582</v>
      </c>
      <c r="AE342" s="2" t="s">
        <v>77</v>
      </c>
      <c r="AF342" s="2">
        <v>1600000</v>
      </c>
      <c r="AG342" s="2">
        <v>24000</v>
      </c>
      <c r="AH342" s="2" t="s">
        <v>4450</v>
      </c>
      <c r="AI342" s="2">
        <v>24000</v>
      </c>
      <c r="AJ342" s="11">
        <v>0</v>
      </c>
      <c r="AK342" s="11"/>
    </row>
    <row r="343" spans="1:37" hidden="1">
      <c r="A343" s="10">
        <v>342</v>
      </c>
      <c r="B343" s="2" t="s">
        <v>37</v>
      </c>
      <c r="C343" s="2" t="s">
        <v>4451</v>
      </c>
      <c r="D343" s="2" t="s">
        <v>39</v>
      </c>
      <c r="E343" s="2" t="s">
        <v>40</v>
      </c>
      <c r="F343" s="2" t="s">
        <v>4452</v>
      </c>
      <c r="G343" s="2" t="s">
        <v>648</v>
      </c>
      <c r="H343" s="2" t="s">
        <v>4453</v>
      </c>
      <c r="I343" s="2" t="s">
        <v>51</v>
      </c>
      <c r="J343" s="2" t="s">
        <v>4454</v>
      </c>
      <c r="K343" s="2" t="s">
        <v>1080</v>
      </c>
      <c r="L343" s="2" t="s">
        <v>4455</v>
      </c>
      <c r="M343" s="2">
        <v>1302000</v>
      </c>
      <c r="N343" s="2">
        <v>1860000</v>
      </c>
      <c r="O343" s="2" t="s">
        <v>4456</v>
      </c>
      <c r="P343" s="3">
        <v>45677</v>
      </c>
      <c r="Q343" s="2" t="s">
        <v>4457</v>
      </c>
      <c r="R343" s="2" t="s">
        <v>4458</v>
      </c>
      <c r="S343" s="2" t="s">
        <v>69</v>
      </c>
      <c r="T343" s="2" t="s">
        <v>4459</v>
      </c>
      <c r="U343" s="2" t="s">
        <v>2374</v>
      </c>
      <c r="V343" s="2" t="s">
        <v>72</v>
      </c>
      <c r="W343" s="3">
        <v>44589</v>
      </c>
      <c r="X343" s="2" t="s">
        <v>1414</v>
      </c>
      <c r="Y343" s="3">
        <v>46421</v>
      </c>
      <c r="Z343" s="2" t="s">
        <v>4460</v>
      </c>
      <c r="AA343" s="2">
        <v>5</v>
      </c>
      <c r="AB343" s="2" t="s">
        <v>75</v>
      </c>
      <c r="AC343" s="2" t="s">
        <v>4461</v>
      </c>
      <c r="AD343" s="3">
        <v>44582</v>
      </c>
      <c r="AE343" s="2" t="s">
        <v>77</v>
      </c>
      <c r="AF343" s="2">
        <v>1488000</v>
      </c>
      <c r="AG343" s="2">
        <v>22320</v>
      </c>
      <c r="AH343" s="2" t="s">
        <v>4462</v>
      </c>
      <c r="AI343" s="2">
        <v>22320</v>
      </c>
      <c r="AJ343" s="11">
        <v>0</v>
      </c>
      <c r="AK343" s="11"/>
    </row>
    <row r="344" spans="1:37" hidden="1">
      <c r="A344" s="10">
        <v>343</v>
      </c>
      <c r="B344" s="2" t="s">
        <v>37</v>
      </c>
      <c r="C344" s="2" t="s">
        <v>4463</v>
      </c>
      <c r="D344" s="2" t="s">
        <v>39</v>
      </c>
      <c r="E344" s="2" t="s">
        <v>40</v>
      </c>
      <c r="F344" s="2" t="s">
        <v>4464</v>
      </c>
      <c r="G344" s="2" t="s">
        <v>62</v>
      </c>
      <c r="H344" s="2" t="s">
        <v>4465</v>
      </c>
      <c r="I344" s="2" t="s">
        <v>4466</v>
      </c>
      <c r="J344" s="2" t="s">
        <v>4466</v>
      </c>
      <c r="K344" s="2" t="s">
        <v>4467</v>
      </c>
      <c r="L344" s="2" t="s">
        <v>4468</v>
      </c>
      <c r="M344" s="2">
        <v>1520000</v>
      </c>
      <c r="N344" s="2">
        <v>1900000</v>
      </c>
      <c r="O344" s="2" t="s">
        <v>4469</v>
      </c>
      <c r="P344" s="3">
        <v>45677</v>
      </c>
      <c r="Q344" s="2" t="s">
        <v>4470</v>
      </c>
      <c r="R344" s="2" t="s">
        <v>4471</v>
      </c>
      <c r="S344" s="2" t="s">
        <v>69</v>
      </c>
      <c r="T344" s="2" t="s">
        <v>4472</v>
      </c>
      <c r="U344" s="2" t="s">
        <v>4473</v>
      </c>
      <c r="V344" s="2" t="s">
        <v>286</v>
      </c>
      <c r="W344" s="3">
        <v>44585</v>
      </c>
      <c r="X344" s="2" t="s">
        <v>2428</v>
      </c>
      <c r="Y344" s="3">
        <v>46414</v>
      </c>
      <c r="Z344" s="2" t="s">
        <v>4474</v>
      </c>
      <c r="AA344" s="2">
        <v>5</v>
      </c>
      <c r="AB344" s="2" t="s">
        <v>90</v>
      </c>
      <c r="AC344" s="2" t="s">
        <v>4475</v>
      </c>
      <c r="AD344" s="3">
        <v>44582</v>
      </c>
      <c r="AE344" s="2" t="s">
        <v>77</v>
      </c>
      <c r="AF344" s="2">
        <v>1520000</v>
      </c>
      <c r="AG344" s="2">
        <v>22800</v>
      </c>
      <c r="AH344" s="2" t="s">
        <v>4476</v>
      </c>
      <c r="AI344" s="2">
        <v>22800</v>
      </c>
      <c r="AJ344" s="11">
        <v>0</v>
      </c>
      <c r="AK344" s="11"/>
    </row>
    <row r="345" spans="1:37" hidden="1">
      <c r="A345" s="10">
        <v>344</v>
      </c>
      <c r="B345" s="2" t="s">
        <v>37</v>
      </c>
      <c r="C345" s="2" t="s">
        <v>4477</v>
      </c>
      <c r="D345" s="2" t="s">
        <v>39</v>
      </c>
      <c r="E345" s="2" t="s">
        <v>40</v>
      </c>
      <c r="F345" s="2" t="s">
        <v>4478</v>
      </c>
      <c r="G345" s="2" t="s">
        <v>497</v>
      </c>
      <c r="H345" s="2" t="s">
        <v>4479</v>
      </c>
      <c r="I345" s="2" t="s">
        <v>4480</v>
      </c>
      <c r="J345" s="2" t="s">
        <v>4480</v>
      </c>
      <c r="K345" s="2" t="s">
        <v>4480</v>
      </c>
      <c r="L345" s="2" t="s">
        <v>4481</v>
      </c>
      <c r="M345" s="2">
        <v>700000</v>
      </c>
      <c r="N345" s="2">
        <v>1000000</v>
      </c>
      <c r="O345" s="2" t="s">
        <v>4482</v>
      </c>
      <c r="P345" s="3">
        <v>45687</v>
      </c>
      <c r="Q345" s="2" t="s">
        <v>4483</v>
      </c>
      <c r="R345" s="2" t="s">
        <v>4484</v>
      </c>
      <c r="S345" s="2" t="s">
        <v>69</v>
      </c>
      <c r="T345" s="2" t="s">
        <v>4485</v>
      </c>
      <c r="U345" s="2" t="s">
        <v>2179</v>
      </c>
      <c r="V345" s="2" t="s">
        <v>72</v>
      </c>
      <c r="W345" s="3">
        <v>44563</v>
      </c>
      <c r="X345" s="2" t="s">
        <v>1414</v>
      </c>
      <c r="Y345" s="3">
        <v>46421</v>
      </c>
      <c r="Z345" s="2" t="s">
        <v>4486</v>
      </c>
      <c r="AA345" s="2">
        <v>5</v>
      </c>
      <c r="AB345" s="2" t="s">
        <v>90</v>
      </c>
      <c r="AC345" s="2" t="s">
        <v>4487</v>
      </c>
      <c r="AD345" s="3">
        <v>44592</v>
      </c>
      <c r="AE345" s="2" t="s">
        <v>77</v>
      </c>
      <c r="AF345" s="2">
        <v>800000</v>
      </c>
      <c r="AG345" s="2">
        <v>12000</v>
      </c>
      <c r="AH345" s="2" t="s">
        <v>4488</v>
      </c>
      <c r="AI345" s="2">
        <v>12000</v>
      </c>
      <c r="AJ345" s="11">
        <v>0</v>
      </c>
      <c r="AK345" s="11"/>
    </row>
    <row r="346" spans="1:37" hidden="1">
      <c r="A346" s="10">
        <v>345</v>
      </c>
      <c r="B346" s="2" t="s">
        <v>37</v>
      </c>
      <c r="C346" s="2" t="s">
        <v>4489</v>
      </c>
      <c r="D346" s="2" t="s">
        <v>39</v>
      </c>
      <c r="E346" s="2" t="s">
        <v>40</v>
      </c>
      <c r="F346" s="2" t="s">
        <v>4490</v>
      </c>
      <c r="G346" s="2" t="s">
        <v>2186</v>
      </c>
      <c r="H346" s="2" t="s">
        <v>4491</v>
      </c>
      <c r="I346" s="2" t="s">
        <v>4492</v>
      </c>
      <c r="J346" s="2" t="s">
        <v>4492</v>
      </c>
      <c r="K346" s="2" t="s">
        <v>4492</v>
      </c>
      <c r="L346" s="2" t="s">
        <v>4493</v>
      </c>
      <c r="M346" s="2">
        <v>665000</v>
      </c>
      <c r="N346" s="2">
        <v>950000</v>
      </c>
      <c r="O346" s="2" t="s">
        <v>4494</v>
      </c>
      <c r="P346" s="3">
        <v>45687</v>
      </c>
      <c r="Q346" s="2" t="s">
        <v>4495</v>
      </c>
      <c r="R346" s="2" t="s">
        <v>4496</v>
      </c>
      <c r="S346" s="2" t="s">
        <v>69</v>
      </c>
      <c r="T346" s="2" t="s">
        <v>4497</v>
      </c>
      <c r="U346" s="2" t="s">
        <v>2179</v>
      </c>
      <c r="V346" s="2" t="s">
        <v>391</v>
      </c>
      <c r="W346" s="3">
        <v>44592</v>
      </c>
      <c r="X346" s="2" t="s">
        <v>1414</v>
      </c>
      <c r="Y346" s="3">
        <v>47152</v>
      </c>
      <c r="Z346" s="2" t="s">
        <v>4498</v>
      </c>
      <c r="AA346" s="2">
        <v>7</v>
      </c>
      <c r="AB346" s="2" t="s">
        <v>75</v>
      </c>
      <c r="AC346" s="2" t="s">
        <v>4499</v>
      </c>
      <c r="AD346" s="3">
        <v>44592</v>
      </c>
      <c r="AE346" s="2" t="s">
        <v>77</v>
      </c>
      <c r="AF346" s="2">
        <v>760000</v>
      </c>
      <c r="AG346" s="2">
        <v>11400</v>
      </c>
      <c r="AH346" s="2" t="s">
        <v>4500</v>
      </c>
      <c r="AI346" s="2">
        <v>11400</v>
      </c>
      <c r="AJ346" s="11">
        <v>0</v>
      </c>
      <c r="AK346" s="11"/>
    </row>
    <row r="347" spans="1:37" hidden="1">
      <c r="A347" s="10">
        <v>346</v>
      </c>
      <c r="B347" s="2" t="s">
        <v>37</v>
      </c>
      <c r="C347" s="2" t="s">
        <v>4501</v>
      </c>
      <c r="D347" s="2" t="s">
        <v>39</v>
      </c>
      <c r="E347" s="2" t="s">
        <v>40</v>
      </c>
      <c r="F347" s="2" t="s">
        <v>4502</v>
      </c>
      <c r="G347" s="2" t="s">
        <v>112</v>
      </c>
      <c r="H347" s="2" t="s">
        <v>4503</v>
      </c>
      <c r="I347" s="2" t="s">
        <v>4504</v>
      </c>
      <c r="J347" s="2" t="s">
        <v>51</v>
      </c>
      <c r="K347" s="2" t="s">
        <v>4505</v>
      </c>
      <c r="L347" s="2" t="s">
        <v>4506</v>
      </c>
      <c r="M347" s="2">
        <v>985500</v>
      </c>
      <c r="N347" s="2">
        <v>1314000</v>
      </c>
      <c r="O347" s="2" t="s">
        <v>4507</v>
      </c>
      <c r="P347" s="3">
        <v>45687</v>
      </c>
      <c r="Q347" s="2" t="s">
        <v>4508</v>
      </c>
      <c r="R347" s="2" t="s">
        <v>4509</v>
      </c>
      <c r="S347" s="2" t="s">
        <v>50</v>
      </c>
      <c r="T347" s="2" t="s">
        <v>4510</v>
      </c>
      <c r="U347" s="2" t="s">
        <v>4511</v>
      </c>
      <c r="V347" s="2" t="s">
        <v>300</v>
      </c>
      <c r="W347" s="3">
        <v>43496</v>
      </c>
      <c r="X347" s="2" t="s">
        <v>4512</v>
      </c>
      <c r="Y347" s="3">
        <v>46056</v>
      </c>
      <c r="Z347" s="2" t="s">
        <v>4513</v>
      </c>
      <c r="AA347" s="2">
        <v>7</v>
      </c>
      <c r="AB347" s="2" t="s">
        <v>75</v>
      </c>
      <c r="AC347" s="2" t="s">
        <v>4514</v>
      </c>
      <c r="AD347" s="3">
        <v>43496</v>
      </c>
      <c r="AE347" s="2" t="s">
        <v>729</v>
      </c>
      <c r="AF347" s="2">
        <v>854100</v>
      </c>
      <c r="AG347" s="2">
        <v>21353</v>
      </c>
      <c r="AH347" s="2" t="s">
        <v>4515</v>
      </c>
      <c r="AI347" s="2">
        <v>21353</v>
      </c>
      <c r="AJ347" s="11">
        <v>0</v>
      </c>
      <c r="AK347" s="11"/>
    </row>
    <row r="348" spans="1:37" hidden="1">
      <c r="A348" s="10">
        <v>347</v>
      </c>
      <c r="B348" s="2" t="s">
        <v>37</v>
      </c>
      <c r="C348" s="2" t="s">
        <v>4516</v>
      </c>
      <c r="D348" s="2" t="s">
        <v>39</v>
      </c>
      <c r="E348" s="2" t="s">
        <v>40</v>
      </c>
      <c r="F348" s="2" t="s">
        <v>4517</v>
      </c>
      <c r="G348" s="2" t="s">
        <v>276</v>
      </c>
      <c r="H348" s="2" t="s">
        <v>4518</v>
      </c>
      <c r="I348" s="2" t="s">
        <v>4519</v>
      </c>
      <c r="J348" s="2" t="s">
        <v>4519</v>
      </c>
      <c r="K348" s="2" t="s">
        <v>4520</v>
      </c>
      <c r="L348" s="2" t="s">
        <v>4521</v>
      </c>
      <c r="M348" s="2">
        <v>1890000</v>
      </c>
      <c r="N348" s="2">
        <v>2700000</v>
      </c>
      <c r="O348" s="2" t="s">
        <v>4522</v>
      </c>
      <c r="P348" s="3">
        <v>45677</v>
      </c>
      <c r="Q348" s="2" t="s">
        <v>4523</v>
      </c>
      <c r="R348" s="2" t="s">
        <v>4524</v>
      </c>
      <c r="S348" s="2" t="s">
        <v>69</v>
      </c>
      <c r="T348" s="2" t="s">
        <v>4525</v>
      </c>
      <c r="U348" s="2" t="s">
        <v>505</v>
      </c>
      <c r="V348" s="2" t="s">
        <v>72</v>
      </c>
      <c r="W348" s="3">
        <v>44586</v>
      </c>
      <c r="X348" s="2" t="s">
        <v>2428</v>
      </c>
      <c r="Y348" s="3">
        <v>46414</v>
      </c>
      <c r="Z348" s="2" t="s">
        <v>4526</v>
      </c>
      <c r="AA348" s="2">
        <v>5</v>
      </c>
      <c r="AB348" s="2" t="s">
        <v>90</v>
      </c>
      <c r="AC348" s="2" t="s">
        <v>4527</v>
      </c>
      <c r="AD348" s="3">
        <v>44585</v>
      </c>
      <c r="AE348" s="2" t="s">
        <v>77</v>
      </c>
      <c r="AF348" s="2">
        <v>2160000</v>
      </c>
      <c r="AG348" s="2">
        <v>32400</v>
      </c>
      <c r="AH348" s="2" t="s">
        <v>4528</v>
      </c>
      <c r="AI348" s="2">
        <v>32400</v>
      </c>
      <c r="AJ348" s="11">
        <v>0</v>
      </c>
      <c r="AK348" s="11"/>
    </row>
    <row r="349" spans="1:37" hidden="1">
      <c r="A349" s="10">
        <v>348</v>
      </c>
      <c r="B349" s="2" t="s">
        <v>37</v>
      </c>
      <c r="C349" s="2" t="s">
        <v>4529</v>
      </c>
      <c r="D349" s="2" t="s">
        <v>39</v>
      </c>
      <c r="E349" s="2" t="s">
        <v>40</v>
      </c>
      <c r="F349" s="2" t="s">
        <v>4530</v>
      </c>
      <c r="G349" s="2" t="s">
        <v>112</v>
      </c>
      <c r="H349" s="2" t="s">
        <v>4531</v>
      </c>
      <c r="I349" s="2" t="s">
        <v>51</v>
      </c>
      <c r="J349" s="2" t="s">
        <v>4532</v>
      </c>
      <c r="K349" s="2" t="s">
        <v>51</v>
      </c>
      <c r="L349" s="2" t="s">
        <v>4533</v>
      </c>
      <c r="M349" s="2">
        <v>2208500</v>
      </c>
      <c r="N349" s="2">
        <v>4417000</v>
      </c>
      <c r="O349" s="2" t="s">
        <v>4534</v>
      </c>
      <c r="P349" s="3">
        <v>45677</v>
      </c>
      <c r="Q349" s="2" t="s">
        <v>4535</v>
      </c>
      <c r="R349" s="2" t="s">
        <v>4536</v>
      </c>
      <c r="S349" s="2" t="s">
        <v>50</v>
      </c>
      <c r="T349" s="2" t="s">
        <v>51</v>
      </c>
      <c r="U349" s="2" t="s">
        <v>535</v>
      </c>
      <c r="V349" s="2" t="s">
        <v>286</v>
      </c>
      <c r="W349" s="3">
        <v>44559</v>
      </c>
      <c r="X349" s="2" t="s">
        <v>1414</v>
      </c>
      <c r="Y349" s="3">
        <v>46421</v>
      </c>
      <c r="Z349" s="2" t="s">
        <v>4537</v>
      </c>
      <c r="AA349" s="2">
        <v>5</v>
      </c>
      <c r="AB349" s="2" t="s">
        <v>75</v>
      </c>
      <c r="AC349" s="2" t="s">
        <v>4538</v>
      </c>
      <c r="AD349" s="3">
        <v>44583</v>
      </c>
      <c r="AE349" s="2" t="s">
        <v>58</v>
      </c>
      <c r="AF349" s="2">
        <v>3533600</v>
      </c>
      <c r="AG349" s="2">
        <v>70672</v>
      </c>
      <c r="AH349" s="2" t="s">
        <v>4539</v>
      </c>
      <c r="AI349" s="2">
        <v>70672</v>
      </c>
      <c r="AJ349" s="11">
        <v>0</v>
      </c>
      <c r="AK349" s="11"/>
    </row>
    <row r="350" spans="1:37" hidden="1">
      <c r="A350" s="10">
        <v>349</v>
      </c>
      <c r="B350" s="2" t="s">
        <v>37</v>
      </c>
      <c r="C350" s="2" t="s">
        <v>4540</v>
      </c>
      <c r="D350" s="2" t="s">
        <v>39</v>
      </c>
      <c r="E350" s="2" t="s">
        <v>40</v>
      </c>
      <c r="F350" s="2" t="s">
        <v>4541</v>
      </c>
      <c r="G350" s="2" t="s">
        <v>276</v>
      </c>
      <c r="H350" s="2" t="s">
        <v>4542</v>
      </c>
      <c r="I350" s="2">
        <v>3233523163</v>
      </c>
      <c r="J350" s="2">
        <v>3233523163</v>
      </c>
      <c r="K350" s="2">
        <v>3233523163</v>
      </c>
      <c r="L350" s="2" t="s">
        <v>4543</v>
      </c>
      <c r="M350" s="2">
        <v>2678650</v>
      </c>
      <c r="N350" s="2">
        <v>4121000</v>
      </c>
      <c r="O350" s="2" t="s">
        <v>4544</v>
      </c>
      <c r="P350" s="3">
        <v>45686</v>
      </c>
      <c r="Q350" s="2">
        <v>6916525</v>
      </c>
      <c r="R350" s="4" t="s">
        <v>4545</v>
      </c>
      <c r="S350" s="2" t="s">
        <v>50</v>
      </c>
      <c r="T350" s="2"/>
      <c r="U350" s="2" t="s">
        <v>683</v>
      </c>
      <c r="V350" s="2">
        <v>2021</v>
      </c>
      <c r="W350" s="3">
        <v>44226</v>
      </c>
      <c r="X350" s="2" t="s">
        <v>1825</v>
      </c>
      <c r="Y350" s="3">
        <v>46056</v>
      </c>
      <c r="Z350" s="2" t="s">
        <v>4546</v>
      </c>
      <c r="AA350" s="2">
        <v>5</v>
      </c>
      <c r="AB350" s="2" t="s">
        <v>90</v>
      </c>
      <c r="AC350" s="2" t="s">
        <v>4547</v>
      </c>
      <c r="AD350" s="3">
        <v>44226</v>
      </c>
      <c r="AE350" s="2" t="s">
        <v>58</v>
      </c>
      <c r="AF350" s="2">
        <v>3090750</v>
      </c>
      <c r="AG350" s="2">
        <v>61815</v>
      </c>
      <c r="AH350" s="2" t="s">
        <v>4548</v>
      </c>
      <c r="AI350" s="2">
        <v>61815</v>
      </c>
      <c r="AJ350" s="11">
        <v>0</v>
      </c>
      <c r="AK350" s="11"/>
    </row>
    <row r="351" spans="1:37" hidden="1">
      <c r="A351" s="10">
        <v>350</v>
      </c>
      <c r="B351" s="2" t="s">
        <v>37</v>
      </c>
      <c r="C351" s="2" t="s">
        <v>4549</v>
      </c>
      <c r="D351" s="2" t="s">
        <v>39</v>
      </c>
      <c r="E351" s="2" t="s">
        <v>40</v>
      </c>
      <c r="F351" s="2" t="s">
        <v>4550</v>
      </c>
      <c r="G351" s="2" t="s">
        <v>276</v>
      </c>
      <c r="H351" s="2" t="s">
        <v>4551</v>
      </c>
      <c r="I351" s="2">
        <v>3214660656</v>
      </c>
      <c r="J351" s="2">
        <v>3214660656</v>
      </c>
      <c r="K351" s="2">
        <v>3214660656</v>
      </c>
      <c r="L351" s="2" t="s">
        <v>4552</v>
      </c>
      <c r="M351" s="2">
        <v>2450000</v>
      </c>
      <c r="N351" s="2">
        <v>3500000</v>
      </c>
      <c r="O351" s="2" t="s">
        <v>4544</v>
      </c>
      <c r="P351" s="3">
        <v>45686</v>
      </c>
      <c r="Q351" s="2">
        <v>56459</v>
      </c>
      <c r="R351" s="4" t="s">
        <v>4553</v>
      </c>
      <c r="S351" s="2" t="s">
        <v>69</v>
      </c>
      <c r="T351" s="2" t="s">
        <v>4554</v>
      </c>
      <c r="U351" s="2" t="s">
        <v>4555</v>
      </c>
      <c r="V351" s="2">
        <v>2019</v>
      </c>
      <c r="W351" s="3">
        <v>44226</v>
      </c>
      <c r="X351" s="2" t="s">
        <v>1825</v>
      </c>
      <c r="Y351" s="3">
        <v>46056</v>
      </c>
      <c r="Z351" s="2" t="s">
        <v>4556</v>
      </c>
      <c r="AA351" s="2">
        <v>5</v>
      </c>
      <c r="AB351" s="2" t="s">
        <v>90</v>
      </c>
      <c r="AC351" s="2" t="s">
        <v>4557</v>
      </c>
      <c r="AD351" s="3">
        <v>44226</v>
      </c>
      <c r="AE351" s="2" t="s">
        <v>58</v>
      </c>
      <c r="AF351" s="2">
        <v>2625000</v>
      </c>
      <c r="AG351" s="2">
        <v>52500</v>
      </c>
      <c r="AH351" s="2" t="s">
        <v>4558</v>
      </c>
      <c r="AI351" s="2">
        <v>52500</v>
      </c>
      <c r="AJ351" s="11">
        <v>0</v>
      </c>
      <c r="AK351" s="11"/>
    </row>
    <row r="352" spans="1:37" hidden="1">
      <c r="A352" s="10">
        <v>351</v>
      </c>
      <c r="B352" s="2" t="s">
        <v>37</v>
      </c>
      <c r="C352" s="2" t="s">
        <v>4559</v>
      </c>
      <c r="D352" s="2" t="s">
        <v>39</v>
      </c>
      <c r="E352" s="2" t="s">
        <v>40</v>
      </c>
      <c r="F352" s="2" t="s">
        <v>4560</v>
      </c>
      <c r="G352" s="2" t="s">
        <v>62</v>
      </c>
      <c r="H352" s="2" t="s">
        <v>4561</v>
      </c>
      <c r="I352" s="2">
        <v>3228436910</v>
      </c>
      <c r="J352" s="2">
        <v>3228436910</v>
      </c>
      <c r="K352" s="2">
        <v>0</v>
      </c>
      <c r="L352" s="2" t="s">
        <v>4562</v>
      </c>
      <c r="M352" s="2">
        <v>1690000</v>
      </c>
      <c r="N352" s="2">
        <v>2600000</v>
      </c>
      <c r="O352" s="2" t="s">
        <v>4563</v>
      </c>
      <c r="P352" s="3">
        <v>45686</v>
      </c>
      <c r="Q352" s="2">
        <v>7244107</v>
      </c>
      <c r="R352" s="4" t="s">
        <v>4564</v>
      </c>
      <c r="S352" s="2" t="s">
        <v>333</v>
      </c>
      <c r="T352" s="2" t="s">
        <v>4565</v>
      </c>
      <c r="U352" s="2" t="s">
        <v>4566</v>
      </c>
      <c r="V352" s="2">
        <v>2014</v>
      </c>
      <c r="W352" s="3">
        <v>44226</v>
      </c>
      <c r="X352" s="2" t="s">
        <v>1825</v>
      </c>
      <c r="Y352" s="3">
        <v>46056</v>
      </c>
      <c r="Z352" s="2" t="s">
        <v>4567</v>
      </c>
      <c r="AA352" s="2">
        <v>5</v>
      </c>
      <c r="AB352" s="2" t="s">
        <v>90</v>
      </c>
      <c r="AC352" s="2" t="s">
        <v>4568</v>
      </c>
      <c r="AD352" s="3">
        <v>44226</v>
      </c>
      <c r="AE352" s="2" t="s">
        <v>58</v>
      </c>
      <c r="AF352" s="2">
        <v>1950000</v>
      </c>
      <c r="AG352" s="2">
        <v>39000</v>
      </c>
      <c r="AH352" s="2" t="s">
        <v>4569</v>
      </c>
      <c r="AI352" s="2">
        <v>39000</v>
      </c>
      <c r="AJ352" s="11">
        <v>0</v>
      </c>
      <c r="AK352" s="11"/>
    </row>
    <row r="353" spans="1:37" hidden="1">
      <c r="A353" s="10">
        <v>352</v>
      </c>
      <c r="B353" s="2" t="s">
        <v>37</v>
      </c>
      <c r="C353" s="2" t="s">
        <v>4570</v>
      </c>
      <c r="D353" s="2" t="s">
        <v>39</v>
      </c>
      <c r="E353" s="2" t="s">
        <v>40</v>
      </c>
      <c r="F353" s="2" t="s">
        <v>4571</v>
      </c>
      <c r="G353" s="2" t="s">
        <v>62</v>
      </c>
      <c r="H353" s="2" t="s">
        <v>4572</v>
      </c>
      <c r="I353" s="2"/>
      <c r="J353" s="2">
        <v>3452007063</v>
      </c>
      <c r="K353" s="2"/>
      <c r="L353" s="2" t="s">
        <v>4573</v>
      </c>
      <c r="M353" s="2">
        <v>1490550</v>
      </c>
      <c r="N353" s="2">
        <v>2615000</v>
      </c>
      <c r="O353" s="2" t="s">
        <v>4574</v>
      </c>
      <c r="P353" s="3">
        <v>45686</v>
      </c>
      <c r="Q353" s="2" t="s">
        <v>4575</v>
      </c>
      <c r="R353" s="2" t="s">
        <v>4576</v>
      </c>
      <c r="S353" s="2" t="s">
        <v>69</v>
      </c>
      <c r="T353" s="2" t="s">
        <v>4577</v>
      </c>
      <c r="U353" s="2" t="s">
        <v>710</v>
      </c>
      <c r="V353" s="2">
        <v>2018</v>
      </c>
      <c r="W353" s="3">
        <v>44226</v>
      </c>
      <c r="X353" s="2" t="s">
        <v>1825</v>
      </c>
      <c r="Y353" s="3">
        <v>46056</v>
      </c>
      <c r="Z353" s="2" t="s">
        <v>4578</v>
      </c>
      <c r="AA353" s="2">
        <v>5</v>
      </c>
      <c r="AB353" s="2" t="s">
        <v>106</v>
      </c>
      <c r="AC353" s="2" t="s">
        <v>4579</v>
      </c>
      <c r="AD353" s="3">
        <v>44226</v>
      </c>
      <c r="AE353" s="2" t="s">
        <v>58</v>
      </c>
      <c r="AF353" s="2">
        <v>1961250</v>
      </c>
      <c r="AG353" s="2">
        <v>39225</v>
      </c>
      <c r="AH353" s="2" t="s">
        <v>4580</v>
      </c>
      <c r="AI353" s="2">
        <v>39225</v>
      </c>
      <c r="AJ353" s="11">
        <v>0</v>
      </c>
      <c r="AK353" s="11"/>
    </row>
    <row r="354" spans="1:37" hidden="1">
      <c r="A354" s="10">
        <v>353</v>
      </c>
      <c r="B354" s="2" t="s">
        <v>37</v>
      </c>
      <c r="C354" s="2" t="s">
        <v>4581</v>
      </c>
      <c r="D354" s="2" t="s">
        <v>39</v>
      </c>
      <c r="E354" s="2" t="s">
        <v>40</v>
      </c>
      <c r="F354" s="2" t="s">
        <v>2380</v>
      </c>
      <c r="G354" s="2" t="s">
        <v>276</v>
      </c>
      <c r="H354" s="2" t="s">
        <v>4582</v>
      </c>
      <c r="I354" s="2">
        <v>3344398088</v>
      </c>
      <c r="J354" s="2">
        <v>3344398088</v>
      </c>
      <c r="K354" s="2">
        <v>3344398088</v>
      </c>
      <c r="L354" s="2" t="s">
        <v>4583</v>
      </c>
      <c r="M354" s="2">
        <v>1038000</v>
      </c>
      <c r="N354" s="2">
        <v>1730000</v>
      </c>
      <c r="O354" s="2" t="s">
        <v>4584</v>
      </c>
      <c r="P354" s="3">
        <v>45686</v>
      </c>
      <c r="Q354" s="2">
        <v>209338</v>
      </c>
      <c r="R354" s="4" t="s">
        <v>4585</v>
      </c>
      <c r="S354" s="2" t="s">
        <v>50</v>
      </c>
      <c r="T354" s="2"/>
      <c r="U354" s="2" t="s">
        <v>253</v>
      </c>
      <c r="V354" s="2">
        <v>2021</v>
      </c>
      <c r="W354" s="3">
        <v>44226</v>
      </c>
      <c r="X354" s="2" t="s">
        <v>1825</v>
      </c>
      <c r="Y354" s="3">
        <v>46056</v>
      </c>
      <c r="Z354" s="2" t="s">
        <v>4586</v>
      </c>
      <c r="AA354" s="2">
        <v>5</v>
      </c>
      <c r="AB354" s="2" t="s">
        <v>90</v>
      </c>
      <c r="AC354" s="2" t="s">
        <v>4587</v>
      </c>
      <c r="AD354" s="3">
        <v>44226</v>
      </c>
      <c r="AE354" s="2" t="s">
        <v>58</v>
      </c>
      <c r="AF354" s="2">
        <v>1297500</v>
      </c>
      <c r="AG354" s="2">
        <v>25950</v>
      </c>
      <c r="AH354" s="2" t="s">
        <v>4588</v>
      </c>
      <c r="AI354" s="2">
        <v>25950</v>
      </c>
      <c r="AJ354" s="11">
        <v>0</v>
      </c>
      <c r="AK354" s="11"/>
    </row>
    <row r="355" spans="1:37" hidden="1">
      <c r="A355" s="10">
        <v>354</v>
      </c>
      <c r="B355" s="2" t="s">
        <v>37</v>
      </c>
      <c r="C355" s="2" t="s">
        <v>4589</v>
      </c>
      <c r="D355" s="2" t="s">
        <v>39</v>
      </c>
      <c r="E355" s="2" t="s">
        <v>40</v>
      </c>
      <c r="F355" s="2" t="s">
        <v>4590</v>
      </c>
      <c r="G355" s="2" t="s">
        <v>62</v>
      </c>
      <c r="H355" s="2" t="s">
        <v>4591</v>
      </c>
      <c r="I355" s="2" t="s">
        <v>51</v>
      </c>
      <c r="J355" s="2" t="s">
        <v>4592</v>
      </c>
      <c r="K355" s="2" t="s">
        <v>4593</v>
      </c>
      <c r="L355" s="2" t="s">
        <v>4594</v>
      </c>
      <c r="M355" s="2">
        <v>2769060</v>
      </c>
      <c r="N355" s="2">
        <v>4858000</v>
      </c>
      <c r="O355" s="2" t="s">
        <v>4595</v>
      </c>
      <c r="P355" s="3">
        <v>45685</v>
      </c>
      <c r="Q355" s="2" t="s">
        <v>4596</v>
      </c>
      <c r="R355" s="2" t="s">
        <v>4597</v>
      </c>
      <c r="S355" s="2" t="s">
        <v>50</v>
      </c>
      <c r="T355" s="2" t="s">
        <v>51</v>
      </c>
      <c r="U355" s="2" t="s">
        <v>208</v>
      </c>
      <c r="V355" s="2" t="s">
        <v>3093</v>
      </c>
      <c r="W355" s="3">
        <v>45597</v>
      </c>
      <c r="X355" s="2" t="s">
        <v>3459</v>
      </c>
      <c r="Y355" s="3">
        <v>46421</v>
      </c>
      <c r="Z355" s="2" t="s">
        <v>4598</v>
      </c>
      <c r="AA355" s="2">
        <v>3</v>
      </c>
      <c r="AB355" s="2" t="s">
        <v>106</v>
      </c>
      <c r="AC355" s="2" t="s">
        <v>4599</v>
      </c>
      <c r="AD355" s="3">
        <v>45316</v>
      </c>
      <c r="AE355" s="2" t="s">
        <v>58</v>
      </c>
      <c r="AF355" s="2">
        <v>4372200</v>
      </c>
      <c r="AG355" s="2">
        <v>87444</v>
      </c>
      <c r="AH355" s="2" t="s">
        <v>4600</v>
      </c>
      <c r="AI355" s="2">
        <v>87444</v>
      </c>
      <c r="AJ355" s="11">
        <v>0</v>
      </c>
      <c r="AK355" s="11"/>
    </row>
    <row r="356" spans="1:37" hidden="1">
      <c r="A356" s="10">
        <v>355</v>
      </c>
      <c r="B356" s="2" t="s">
        <v>37</v>
      </c>
      <c r="C356" s="2" t="s">
        <v>4601</v>
      </c>
      <c r="D356" s="2" t="s">
        <v>39</v>
      </c>
      <c r="E356" s="2" t="s">
        <v>40</v>
      </c>
      <c r="F356" s="2" t="s">
        <v>4602</v>
      </c>
      <c r="G356" s="2" t="s">
        <v>1557</v>
      </c>
      <c r="H356" s="2" t="s">
        <v>4603</v>
      </c>
      <c r="I356" s="2" t="s">
        <v>51</v>
      </c>
      <c r="J356" s="2" t="s">
        <v>4604</v>
      </c>
      <c r="K356" s="2" t="s">
        <v>51</v>
      </c>
      <c r="L356" s="2" t="s">
        <v>4605</v>
      </c>
      <c r="M356" s="2">
        <v>2947050</v>
      </c>
      <c r="N356" s="2">
        <v>7965000</v>
      </c>
      <c r="O356" s="2" t="s">
        <v>4606</v>
      </c>
      <c r="P356" s="3">
        <v>45685</v>
      </c>
      <c r="Q356" s="2" t="s">
        <v>4607</v>
      </c>
      <c r="R356" s="2" t="s">
        <v>4608</v>
      </c>
      <c r="S356" s="2" t="s">
        <v>50</v>
      </c>
      <c r="T356" s="2" t="s">
        <v>51</v>
      </c>
      <c r="U356" s="2" t="s">
        <v>491</v>
      </c>
      <c r="V356" s="2" t="s">
        <v>3093</v>
      </c>
      <c r="W356" s="3">
        <v>45320</v>
      </c>
      <c r="X356" s="2" t="s">
        <v>3459</v>
      </c>
      <c r="Y356" s="3">
        <v>46421</v>
      </c>
      <c r="Z356" s="2" t="s">
        <v>4609</v>
      </c>
      <c r="AA356" s="2">
        <v>3</v>
      </c>
      <c r="AB356" s="2" t="s">
        <v>879</v>
      </c>
      <c r="AC356" s="2" t="s">
        <v>51</v>
      </c>
      <c r="AD356" s="2"/>
      <c r="AE356" s="2" t="s">
        <v>108</v>
      </c>
      <c r="AF356" s="2">
        <v>7168500</v>
      </c>
      <c r="AG356" s="2">
        <v>125449</v>
      </c>
      <c r="AH356" s="2" t="s">
        <v>4610</v>
      </c>
      <c r="AI356" s="2">
        <v>125449</v>
      </c>
      <c r="AJ356" s="11">
        <v>0</v>
      </c>
      <c r="AK356" s="11"/>
    </row>
    <row r="357" spans="1:37" hidden="1">
      <c r="A357" s="10">
        <v>356</v>
      </c>
      <c r="B357" s="2" t="s">
        <v>37</v>
      </c>
      <c r="C357" s="2" t="s">
        <v>4611</v>
      </c>
      <c r="D357" s="2" t="s">
        <v>39</v>
      </c>
      <c r="E357" s="2" t="s">
        <v>40</v>
      </c>
      <c r="F357" s="2" t="s">
        <v>4612</v>
      </c>
      <c r="G357" s="2" t="s">
        <v>112</v>
      </c>
      <c r="H357" s="2" t="s">
        <v>4613</v>
      </c>
      <c r="I357" s="2" t="s">
        <v>4614</v>
      </c>
      <c r="J357" s="2" t="s">
        <v>51</v>
      </c>
      <c r="K357" s="2" t="s">
        <v>4615</v>
      </c>
      <c r="L357" s="2" t="s">
        <v>4616</v>
      </c>
      <c r="M357" s="2">
        <v>1567200</v>
      </c>
      <c r="N357" s="2">
        <v>2612000</v>
      </c>
      <c r="O357" s="2" t="s">
        <v>4617</v>
      </c>
      <c r="P357" s="3">
        <v>45685</v>
      </c>
      <c r="Q357" s="2" t="s">
        <v>4618</v>
      </c>
      <c r="R357" s="2" t="s">
        <v>4619</v>
      </c>
      <c r="S357" s="2" t="s">
        <v>50</v>
      </c>
      <c r="T357" s="2" t="s">
        <v>51</v>
      </c>
      <c r="U357" s="2" t="s">
        <v>4620</v>
      </c>
      <c r="V357" s="2" t="s">
        <v>3093</v>
      </c>
      <c r="W357" s="3">
        <v>45320</v>
      </c>
      <c r="X357" s="2" t="s">
        <v>3459</v>
      </c>
      <c r="Y357" s="3">
        <v>47152</v>
      </c>
      <c r="Z357" s="2" t="s">
        <v>4621</v>
      </c>
      <c r="AA357" s="2">
        <v>5</v>
      </c>
      <c r="AB357" s="2" t="s">
        <v>160</v>
      </c>
      <c r="AC357" s="2" t="s">
        <v>4622</v>
      </c>
      <c r="AD357" s="3">
        <v>45318</v>
      </c>
      <c r="AE357" s="2" t="s">
        <v>108</v>
      </c>
      <c r="AF357" s="2">
        <v>2350800</v>
      </c>
      <c r="AG357" s="2">
        <v>41139</v>
      </c>
      <c r="AH357" s="2" t="s">
        <v>4623</v>
      </c>
      <c r="AI357" s="2">
        <v>41139</v>
      </c>
      <c r="AJ357" s="11">
        <v>0</v>
      </c>
      <c r="AK357" s="11"/>
    </row>
    <row r="358" spans="1:37" hidden="1">
      <c r="A358" s="10">
        <v>357</v>
      </c>
      <c r="B358" s="2" t="s">
        <v>37</v>
      </c>
      <c r="C358" s="2" t="s">
        <v>4624</v>
      </c>
      <c r="D358" s="2" t="s">
        <v>39</v>
      </c>
      <c r="E358" s="2" t="s">
        <v>40</v>
      </c>
      <c r="F358" s="2" t="s">
        <v>4625</v>
      </c>
      <c r="G358" s="2" t="s">
        <v>112</v>
      </c>
      <c r="H358" s="2" t="s">
        <v>4626</v>
      </c>
      <c r="I358" s="2">
        <v>2111454</v>
      </c>
      <c r="J358" s="2"/>
      <c r="K358" s="2" t="s">
        <v>4627</v>
      </c>
      <c r="L358" s="2" t="s">
        <v>4628</v>
      </c>
      <c r="M358" s="2">
        <v>1948700</v>
      </c>
      <c r="N358" s="2">
        <v>2998000</v>
      </c>
      <c r="O358" s="2" t="s">
        <v>4629</v>
      </c>
      <c r="P358" s="3">
        <v>45678</v>
      </c>
      <c r="Q358" s="2" t="s">
        <v>4630</v>
      </c>
      <c r="R358" s="2">
        <v>9505363</v>
      </c>
      <c r="S358" s="2" t="s">
        <v>50</v>
      </c>
      <c r="T358" s="2"/>
      <c r="U358" s="2" t="s">
        <v>4631</v>
      </c>
      <c r="V358" s="2">
        <v>2021</v>
      </c>
      <c r="W358" s="3">
        <v>44226</v>
      </c>
      <c r="X358" s="2" t="s">
        <v>1825</v>
      </c>
      <c r="Y358" s="3">
        <v>46786</v>
      </c>
      <c r="Z358" s="2" t="s">
        <v>4632</v>
      </c>
      <c r="AA358" s="2">
        <v>7</v>
      </c>
      <c r="AB358" s="2" t="s">
        <v>90</v>
      </c>
      <c r="AC358" s="2" t="s">
        <v>4633</v>
      </c>
      <c r="AD358" s="3">
        <v>44218</v>
      </c>
      <c r="AE358" s="2" t="s">
        <v>58</v>
      </c>
      <c r="AF358" s="2">
        <v>2248500</v>
      </c>
      <c r="AG358" s="2">
        <v>44970</v>
      </c>
      <c r="AH358" s="2" t="s">
        <v>4634</v>
      </c>
      <c r="AI358" s="2">
        <v>44970</v>
      </c>
      <c r="AJ358" s="11">
        <v>0</v>
      </c>
      <c r="AK358" s="11"/>
    </row>
    <row r="359" spans="1:37" hidden="1">
      <c r="A359" s="10">
        <v>358</v>
      </c>
      <c r="B359" s="2" t="s">
        <v>37</v>
      </c>
      <c r="C359" s="2" t="s">
        <v>4635</v>
      </c>
      <c r="D359" s="2" t="s">
        <v>39</v>
      </c>
      <c r="E359" s="2" t="s">
        <v>40</v>
      </c>
      <c r="F359" s="2" t="s">
        <v>4636</v>
      </c>
      <c r="G359" s="2" t="s">
        <v>1557</v>
      </c>
      <c r="H359" s="2" t="s">
        <v>4637</v>
      </c>
      <c r="I359" s="2" t="s">
        <v>51</v>
      </c>
      <c r="J359" s="2" t="s">
        <v>4638</v>
      </c>
      <c r="K359" s="2" t="s">
        <v>51</v>
      </c>
      <c r="L359" s="2" t="s">
        <v>4639</v>
      </c>
      <c r="M359" s="2">
        <v>1828400</v>
      </c>
      <c r="N359" s="2">
        <v>2612000</v>
      </c>
      <c r="O359" s="2" t="s">
        <v>4640</v>
      </c>
      <c r="P359" s="3">
        <v>45685</v>
      </c>
      <c r="Q359" s="2" t="s">
        <v>4641</v>
      </c>
      <c r="R359" s="2" t="s">
        <v>4642</v>
      </c>
      <c r="S359" s="2" t="s">
        <v>50</v>
      </c>
      <c r="T359" s="2" t="s">
        <v>51</v>
      </c>
      <c r="U359" s="2" t="s">
        <v>285</v>
      </c>
      <c r="V359" s="2" t="s">
        <v>3093</v>
      </c>
      <c r="W359" s="3">
        <v>45321</v>
      </c>
      <c r="X359" s="2" t="s">
        <v>3459</v>
      </c>
      <c r="Y359" s="3">
        <v>47152</v>
      </c>
      <c r="Z359" s="2" t="s">
        <v>4643</v>
      </c>
      <c r="AA359" s="2">
        <v>5</v>
      </c>
      <c r="AB359" s="2" t="s">
        <v>160</v>
      </c>
      <c r="AC359" s="2" t="s">
        <v>4644</v>
      </c>
      <c r="AD359" s="3">
        <v>45320</v>
      </c>
      <c r="AE359" s="2" t="s">
        <v>108</v>
      </c>
      <c r="AF359" s="2">
        <v>2350800</v>
      </c>
      <c r="AG359" s="2">
        <v>41139</v>
      </c>
      <c r="AH359" s="2" t="s">
        <v>4645</v>
      </c>
      <c r="AI359" s="2">
        <v>41139</v>
      </c>
      <c r="AJ359" s="11">
        <v>0</v>
      </c>
      <c r="AK359" s="11"/>
    </row>
    <row r="360" spans="1:37" hidden="1">
      <c r="A360" s="10">
        <v>359</v>
      </c>
      <c r="B360" s="2" t="s">
        <v>37</v>
      </c>
      <c r="C360" s="2" t="s">
        <v>4646</v>
      </c>
      <c r="D360" s="2" t="s">
        <v>39</v>
      </c>
      <c r="E360" s="2" t="s">
        <v>40</v>
      </c>
      <c r="F360" s="2" t="s">
        <v>4647</v>
      </c>
      <c r="G360" s="2" t="s">
        <v>276</v>
      </c>
      <c r="H360" s="2" t="s">
        <v>4648</v>
      </c>
      <c r="I360" s="2">
        <v>3334974097</v>
      </c>
      <c r="J360" s="2">
        <v>3334974097</v>
      </c>
      <c r="K360" s="2">
        <v>3326234567</v>
      </c>
      <c r="L360" s="2" t="s">
        <v>4649</v>
      </c>
      <c r="M360" s="2">
        <v>2244750</v>
      </c>
      <c r="N360" s="2">
        <v>2993000</v>
      </c>
      <c r="O360" s="2" t="s">
        <v>4650</v>
      </c>
      <c r="P360" s="3">
        <v>45685</v>
      </c>
      <c r="Q360" s="2" t="s">
        <v>4651</v>
      </c>
      <c r="R360" s="2">
        <v>9506195</v>
      </c>
      <c r="S360" s="2" t="s">
        <v>50</v>
      </c>
      <c r="T360" s="2"/>
      <c r="U360" s="2" t="s">
        <v>591</v>
      </c>
      <c r="V360" s="2">
        <v>2021</v>
      </c>
      <c r="W360" s="3">
        <v>44226</v>
      </c>
      <c r="X360" s="2" t="s">
        <v>1825</v>
      </c>
      <c r="Y360" s="3">
        <v>46056</v>
      </c>
      <c r="Z360" s="2" t="s">
        <v>4652</v>
      </c>
      <c r="AA360" s="2">
        <v>5</v>
      </c>
      <c r="AB360" s="2" t="s">
        <v>160</v>
      </c>
      <c r="AC360" s="2" t="s">
        <v>4653</v>
      </c>
      <c r="AD360" s="3">
        <v>44225</v>
      </c>
      <c r="AE360" s="2" t="s">
        <v>58</v>
      </c>
      <c r="AF360" s="2">
        <v>2244750</v>
      </c>
      <c r="AG360" s="2">
        <v>44895</v>
      </c>
      <c r="AH360" s="2" t="s">
        <v>4654</v>
      </c>
      <c r="AI360" s="2">
        <v>44895</v>
      </c>
      <c r="AJ360" s="11">
        <v>0</v>
      </c>
      <c r="AK360" s="11"/>
    </row>
    <row r="361" spans="1:37" hidden="1">
      <c r="A361" s="10">
        <v>360</v>
      </c>
      <c r="B361" s="2" t="s">
        <v>37</v>
      </c>
      <c r="C361" s="2" t="s">
        <v>4655</v>
      </c>
      <c r="D361" s="2" t="s">
        <v>39</v>
      </c>
      <c r="E361" s="2" t="s">
        <v>40</v>
      </c>
      <c r="F361" s="2" t="s">
        <v>4656</v>
      </c>
      <c r="G361" s="2" t="s">
        <v>112</v>
      </c>
      <c r="H361" s="2" t="s">
        <v>4657</v>
      </c>
      <c r="I361" s="2" t="s">
        <v>485</v>
      </c>
      <c r="J361" s="2" t="s">
        <v>4658</v>
      </c>
      <c r="K361" s="2" t="s">
        <v>4659</v>
      </c>
      <c r="L361" s="2" t="s">
        <v>4660</v>
      </c>
      <c r="M361" s="2">
        <v>2580000</v>
      </c>
      <c r="N361" s="2">
        <v>4300000</v>
      </c>
      <c r="O361" s="2" t="s">
        <v>4661</v>
      </c>
      <c r="P361" s="3">
        <v>45678</v>
      </c>
      <c r="Q361" s="2" t="s">
        <v>4662</v>
      </c>
      <c r="R361" s="2" t="s">
        <v>4663</v>
      </c>
      <c r="S361" s="2" t="s">
        <v>69</v>
      </c>
      <c r="T361" s="2" t="s">
        <v>4664</v>
      </c>
      <c r="U361" s="2" t="s">
        <v>4665</v>
      </c>
      <c r="V361" s="2" t="s">
        <v>521</v>
      </c>
      <c r="W361" s="3">
        <v>45315</v>
      </c>
      <c r="X361" s="2" t="s">
        <v>1779</v>
      </c>
      <c r="Y361" s="3">
        <v>46414</v>
      </c>
      <c r="Z361" s="2" t="s">
        <v>4666</v>
      </c>
      <c r="AA361" s="2">
        <v>3</v>
      </c>
      <c r="AB361" s="2" t="s">
        <v>160</v>
      </c>
      <c r="AC361" s="2" t="s">
        <v>4667</v>
      </c>
      <c r="AD361" s="3">
        <v>45313</v>
      </c>
      <c r="AE361" s="2" t="s">
        <v>108</v>
      </c>
      <c r="AF361" s="2">
        <v>3870000</v>
      </c>
      <c r="AG361" s="2">
        <v>67725</v>
      </c>
      <c r="AH361" s="2" t="s">
        <v>4668</v>
      </c>
      <c r="AI361" s="2">
        <v>67725</v>
      </c>
      <c r="AJ361" s="11">
        <v>0</v>
      </c>
      <c r="AK361" s="11"/>
    </row>
    <row r="362" spans="1:37" hidden="1">
      <c r="A362" s="10">
        <v>361</v>
      </c>
      <c r="B362" s="2" t="s">
        <v>37</v>
      </c>
      <c r="C362" s="2" t="s">
        <v>4669</v>
      </c>
      <c r="D362" s="2" t="s">
        <v>39</v>
      </c>
      <c r="E362" s="2" t="s">
        <v>40</v>
      </c>
      <c r="F362" s="2" t="s">
        <v>4670</v>
      </c>
      <c r="G362" s="2" t="s">
        <v>112</v>
      </c>
      <c r="H362" s="2" t="s">
        <v>4671</v>
      </c>
      <c r="I362" s="2" t="s">
        <v>4672</v>
      </c>
      <c r="J362" s="2" t="s">
        <v>51</v>
      </c>
      <c r="K362" s="2" t="s">
        <v>328</v>
      </c>
      <c r="L362" s="2" t="s">
        <v>4673</v>
      </c>
      <c r="M362" s="2">
        <v>3000000</v>
      </c>
      <c r="N362" s="2">
        <v>5000000</v>
      </c>
      <c r="O362" s="2" t="s">
        <v>4674</v>
      </c>
      <c r="P362" s="3">
        <v>45678</v>
      </c>
      <c r="Q362" s="2" t="s">
        <v>4675</v>
      </c>
      <c r="R362" s="2" t="s">
        <v>4676</v>
      </c>
      <c r="S362" s="2" t="s">
        <v>69</v>
      </c>
      <c r="T362" s="2" t="s">
        <v>4677</v>
      </c>
      <c r="U362" s="2" t="s">
        <v>549</v>
      </c>
      <c r="V362" s="2" t="s">
        <v>72</v>
      </c>
      <c r="W362" s="3">
        <v>45314</v>
      </c>
      <c r="X362" s="2" t="s">
        <v>1779</v>
      </c>
      <c r="Y362" s="3">
        <v>46414</v>
      </c>
      <c r="Z362" s="2" t="s">
        <v>4678</v>
      </c>
      <c r="AA362" s="2">
        <v>3</v>
      </c>
      <c r="AB362" s="2" t="s">
        <v>160</v>
      </c>
      <c r="AC362" s="2" t="s">
        <v>4679</v>
      </c>
      <c r="AD362" s="3">
        <v>45313</v>
      </c>
      <c r="AE362" s="2" t="s">
        <v>108</v>
      </c>
      <c r="AF362" s="2">
        <v>4500000</v>
      </c>
      <c r="AG362" s="2">
        <v>78750</v>
      </c>
      <c r="AH362" s="2" t="s">
        <v>4680</v>
      </c>
      <c r="AI362" s="2">
        <v>78750</v>
      </c>
      <c r="AJ362" s="11">
        <v>0</v>
      </c>
      <c r="AK362" s="11"/>
    </row>
    <row r="363" spans="1:37" hidden="1">
      <c r="A363" s="10">
        <v>362</v>
      </c>
      <c r="B363" s="2" t="s">
        <v>37</v>
      </c>
      <c r="C363" s="2" t="s">
        <v>4681</v>
      </c>
      <c r="D363" s="2" t="s">
        <v>39</v>
      </c>
      <c r="E363" s="2" t="s">
        <v>40</v>
      </c>
      <c r="F363" s="2" t="s">
        <v>4682</v>
      </c>
      <c r="G363" s="2" t="s">
        <v>1557</v>
      </c>
      <c r="H363" s="2" t="s">
        <v>4683</v>
      </c>
      <c r="I363" s="2" t="s">
        <v>4684</v>
      </c>
      <c r="J363" s="2" t="s">
        <v>51</v>
      </c>
      <c r="K363" s="2" t="s">
        <v>4685</v>
      </c>
      <c r="L363" s="2" t="s">
        <v>4686</v>
      </c>
      <c r="M363" s="2">
        <v>2233450</v>
      </c>
      <c r="N363" s="2">
        <v>5877500</v>
      </c>
      <c r="O363" s="2" t="s">
        <v>4687</v>
      </c>
      <c r="P363" s="3">
        <v>45678</v>
      </c>
      <c r="Q363" s="2" t="s">
        <v>4688</v>
      </c>
      <c r="R363" s="2" t="s">
        <v>4689</v>
      </c>
      <c r="S363" s="2" t="s">
        <v>50</v>
      </c>
      <c r="T363" s="2" t="s">
        <v>51</v>
      </c>
      <c r="U363" s="2" t="s">
        <v>2389</v>
      </c>
      <c r="V363" s="2" t="s">
        <v>3093</v>
      </c>
      <c r="W363" s="3">
        <v>45314</v>
      </c>
      <c r="X363" s="2" t="s">
        <v>1779</v>
      </c>
      <c r="Y363" s="3">
        <v>46049</v>
      </c>
      <c r="Z363" s="2" t="s">
        <v>4690</v>
      </c>
      <c r="AA363" s="2">
        <v>2</v>
      </c>
      <c r="AB363" s="2" t="s">
        <v>160</v>
      </c>
      <c r="AC363" s="2" t="s">
        <v>4691</v>
      </c>
      <c r="AD363" s="3">
        <v>45310</v>
      </c>
      <c r="AE363" s="2" t="s">
        <v>108</v>
      </c>
      <c r="AF363" s="2">
        <v>5289750</v>
      </c>
      <c r="AG363" s="2">
        <v>92571</v>
      </c>
      <c r="AH363" s="2" t="s">
        <v>4692</v>
      </c>
      <c r="AI363" s="2">
        <v>92571</v>
      </c>
      <c r="AJ363" s="11">
        <v>0</v>
      </c>
      <c r="AK363" s="11"/>
    </row>
    <row r="364" spans="1:37" hidden="1">
      <c r="A364" s="10">
        <v>363</v>
      </c>
      <c r="B364" s="2" t="s">
        <v>37</v>
      </c>
      <c r="C364" s="2" t="s">
        <v>4693</v>
      </c>
      <c r="D364" s="2" t="s">
        <v>39</v>
      </c>
      <c r="E364" s="2" t="s">
        <v>40</v>
      </c>
      <c r="F364" s="2" t="s">
        <v>4694</v>
      </c>
      <c r="G364" s="2" t="s">
        <v>276</v>
      </c>
      <c r="H364" s="2" t="s">
        <v>4695</v>
      </c>
      <c r="I364" s="2" t="s">
        <v>4696</v>
      </c>
      <c r="J364" s="2" t="s">
        <v>4696</v>
      </c>
      <c r="K364" s="2" t="s">
        <v>4696</v>
      </c>
      <c r="L364" s="2" t="s">
        <v>4697</v>
      </c>
      <c r="M364" s="2">
        <v>2996000</v>
      </c>
      <c r="N364" s="2">
        <v>4280000</v>
      </c>
      <c r="O364" s="2" t="s">
        <v>4698</v>
      </c>
      <c r="P364" s="3">
        <v>45685</v>
      </c>
      <c r="Q364" s="2" t="s">
        <v>4699</v>
      </c>
      <c r="R364" s="2" t="s">
        <v>4700</v>
      </c>
      <c r="S364" s="2" t="s">
        <v>69</v>
      </c>
      <c r="T364" s="2" t="s">
        <v>4701</v>
      </c>
      <c r="U364" s="2" t="s">
        <v>549</v>
      </c>
      <c r="V364" s="2" t="s">
        <v>300</v>
      </c>
      <c r="W364" s="3">
        <v>44592</v>
      </c>
      <c r="X364" s="2" t="s">
        <v>1414</v>
      </c>
      <c r="Y364" s="3">
        <v>46421</v>
      </c>
      <c r="Z364" s="2" t="s">
        <v>4702</v>
      </c>
      <c r="AA364" s="2">
        <v>5</v>
      </c>
      <c r="AB364" s="2" t="s">
        <v>75</v>
      </c>
      <c r="AC364" s="2" t="s">
        <v>4703</v>
      </c>
      <c r="AD364" s="3">
        <v>44592</v>
      </c>
      <c r="AE364" s="2" t="s">
        <v>77</v>
      </c>
      <c r="AF364" s="2">
        <v>3424000</v>
      </c>
      <c r="AG364" s="2">
        <v>51360</v>
      </c>
      <c r="AH364" s="2" t="s">
        <v>4704</v>
      </c>
      <c r="AI364" s="2">
        <v>51360</v>
      </c>
      <c r="AJ364" s="11">
        <v>0</v>
      </c>
      <c r="AK364" s="11"/>
    </row>
    <row r="365" spans="1:37" hidden="1">
      <c r="A365" s="10">
        <v>364</v>
      </c>
      <c r="B365" s="2" t="s">
        <v>37</v>
      </c>
      <c r="C365" s="2" t="s">
        <v>4705</v>
      </c>
      <c r="D365" s="2" t="s">
        <v>39</v>
      </c>
      <c r="E365" s="2" t="s">
        <v>40</v>
      </c>
      <c r="F365" s="2" t="s">
        <v>4706</v>
      </c>
      <c r="G365" s="2" t="s">
        <v>276</v>
      </c>
      <c r="H365" s="2" t="s">
        <v>4707</v>
      </c>
      <c r="I365" s="2" t="s">
        <v>4708</v>
      </c>
      <c r="J365" s="2" t="s">
        <v>4709</v>
      </c>
      <c r="K365" s="2" t="s">
        <v>51</v>
      </c>
      <c r="L365" s="2" t="s">
        <v>4710</v>
      </c>
      <c r="M365" s="2">
        <v>2441600</v>
      </c>
      <c r="N365" s="2">
        <v>3488000</v>
      </c>
      <c r="O365" s="2" t="s">
        <v>4711</v>
      </c>
      <c r="P365" s="3">
        <v>45685</v>
      </c>
      <c r="Q365" s="2" t="s">
        <v>4712</v>
      </c>
      <c r="R365" s="2" t="s">
        <v>4713</v>
      </c>
      <c r="S365" s="2" t="s">
        <v>50</v>
      </c>
      <c r="T365" s="2" t="s">
        <v>51</v>
      </c>
      <c r="U365" s="2" t="s">
        <v>563</v>
      </c>
      <c r="V365" s="2" t="s">
        <v>53</v>
      </c>
      <c r="W365" s="3">
        <v>44563</v>
      </c>
      <c r="X365" s="2" t="s">
        <v>1414</v>
      </c>
      <c r="Y365" s="3">
        <v>46421</v>
      </c>
      <c r="Z365" s="2" t="s">
        <v>4714</v>
      </c>
      <c r="AA365" s="2">
        <v>5</v>
      </c>
      <c r="AB365" s="2" t="s">
        <v>75</v>
      </c>
      <c r="AC365" s="2" t="s">
        <v>4715</v>
      </c>
      <c r="AD365" s="3">
        <v>44590</v>
      </c>
      <c r="AE365" s="2" t="s">
        <v>58</v>
      </c>
      <c r="AF365" s="2">
        <v>2790400</v>
      </c>
      <c r="AG365" s="2">
        <v>55808</v>
      </c>
      <c r="AH365" s="2" t="s">
        <v>4716</v>
      </c>
      <c r="AI365" s="2">
        <v>55808</v>
      </c>
      <c r="AJ365" s="11">
        <v>0</v>
      </c>
      <c r="AK365" s="11"/>
    </row>
    <row r="366" spans="1:37" hidden="1">
      <c r="A366" s="10">
        <v>365</v>
      </c>
      <c r="B366" s="2" t="s">
        <v>37</v>
      </c>
      <c r="C366" s="2" t="s">
        <v>4717</v>
      </c>
      <c r="D366" s="2" t="s">
        <v>39</v>
      </c>
      <c r="E366" s="2" t="s">
        <v>40</v>
      </c>
      <c r="F366" s="2" t="s">
        <v>3160</v>
      </c>
      <c r="G366" s="2" t="s">
        <v>276</v>
      </c>
      <c r="H366" s="2" t="s">
        <v>4718</v>
      </c>
      <c r="I366" s="2" t="s">
        <v>485</v>
      </c>
      <c r="J366" s="2">
        <v>3214436131</v>
      </c>
      <c r="K366" s="2">
        <v>4237656810</v>
      </c>
      <c r="L366" s="2" t="s">
        <v>4719</v>
      </c>
      <c r="M366" s="2">
        <v>2850000</v>
      </c>
      <c r="N366" s="2">
        <v>3800000</v>
      </c>
      <c r="O366" s="2" t="s">
        <v>4720</v>
      </c>
      <c r="P366" s="3">
        <v>45685</v>
      </c>
      <c r="Q366" s="2" t="s">
        <v>4721</v>
      </c>
      <c r="R366" s="2" t="s">
        <v>4722</v>
      </c>
      <c r="S366" s="2" t="s">
        <v>69</v>
      </c>
      <c r="T366" s="2" t="s">
        <v>4723</v>
      </c>
      <c r="U366" s="2" t="s">
        <v>3543</v>
      </c>
      <c r="V366" s="2">
        <v>2018</v>
      </c>
      <c r="W366" s="3">
        <v>44226</v>
      </c>
      <c r="X366" s="2" t="s">
        <v>1825</v>
      </c>
      <c r="Y366" s="3">
        <v>46056</v>
      </c>
      <c r="Z366" s="2" t="s">
        <v>4724</v>
      </c>
      <c r="AA366" s="2">
        <v>5</v>
      </c>
      <c r="AB366" s="2" t="s">
        <v>90</v>
      </c>
      <c r="AC366" s="2" t="s">
        <v>4725</v>
      </c>
      <c r="AD366" s="3">
        <v>44226</v>
      </c>
      <c r="AE366" s="2" t="s">
        <v>58</v>
      </c>
      <c r="AF366" s="2">
        <v>2850000</v>
      </c>
      <c r="AG366" s="2">
        <v>57000</v>
      </c>
      <c r="AH366" s="2" t="s">
        <v>4726</v>
      </c>
      <c r="AI366" s="2">
        <v>57000</v>
      </c>
      <c r="AJ366" s="11">
        <v>0</v>
      </c>
      <c r="AK366" s="11"/>
    </row>
    <row r="367" spans="1:37" hidden="1">
      <c r="A367" s="10">
        <v>366</v>
      </c>
      <c r="B367" s="2" t="s">
        <v>37</v>
      </c>
      <c r="C367" s="2" t="s">
        <v>4727</v>
      </c>
      <c r="D367" s="2" t="s">
        <v>39</v>
      </c>
      <c r="E367" s="2" t="s">
        <v>40</v>
      </c>
      <c r="F367" s="2" t="s">
        <v>4728</v>
      </c>
      <c r="G367" s="2" t="s">
        <v>276</v>
      </c>
      <c r="H367" s="2" t="s">
        <v>4729</v>
      </c>
      <c r="I367" s="2">
        <v>3001939093</v>
      </c>
      <c r="J367" s="2">
        <v>3001939093</v>
      </c>
      <c r="K367" s="2">
        <v>3001939093</v>
      </c>
      <c r="L367" s="2" t="s">
        <v>4730</v>
      </c>
      <c r="M367" s="2">
        <v>2682550</v>
      </c>
      <c r="N367" s="2">
        <v>4127000</v>
      </c>
      <c r="O367" s="2" t="s">
        <v>4731</v>
      </c>
      <c r="P367" s="3">
        <v>45685</v>
      </c>
      <c r="Q367" s="4" t="s">
        <v>4732</v>
      </c>
      <c r="R367" s="4" t="s">
        <v>4733</v>
      </c>
      <c r="S367" s="2" t="s">
        <v>50</v>
      </c>
      <c r="T367" s="2"/>
      <c r="U367" s="2" t="s">
        <v>3543</v>
      </c>
      <c r="V367" s="2">
        <v>2021</v>
      </c>
      <c r="W367" s="3">
        <v>44151</v>
      </c>
      <c r="X367" s="2" t="s">
        <v>1825</v>
      </c>
      <c r="Y367" s="3">
        <v>46056</v>
      </c>
      <c r="Z367" s="2" t="s">
        <v>4734</v>
      </c>
      <c r="AA367" s="2">
        <v>5</v>
      </c>
      <c r="AB367" s="2" t="s">
        <v>90</v>
      </c>
      <c r="AC367" s="2" t="s">
        <v>4735</v>
      </c>
      <c r="AD367" s="3">
        <v>44225</v>
      </c>
      <c r="AE367" s="2" t="s">
        <v>58</v>
      </c>
      <c r="AF367" s="2">
        <v>3095250</v>
      </c>
      <c r="AG367" s="2">
        <v>61905</v>
      </c>
      <c r="AH367" s="2" t="s">
        <v>4736</v>
      </c>
      <c r="AI367" s="2">
        <v>61905</v>
      </c>
      <c r="AJ367" s="11">
        <v>0</v>
      </c>
      <c r="AK367" s="11"/>
    </row>
    <row r="368" spans="1:37" hidden="1">
      <c r="A368" s="10">
        <v>367</v>
      </c>
      <c r="B368" s="2" t="s">
        <v>37</v>
      </c>
      <c r="C368" s="2" t="s">
        <v>4737</v>
      </c>
      <c r="D368" s="2" t="s">
        <v>39</v>
      </c>
      <c r="E368" s="2" t="s">
        <v>40</v>
      </c>
      <c r="F368" s="2" t="s">
        <v>4738</v>
      </c>
      <c r="G368" s="2" t="s">
        <v>276</v>
      </c>
      <c r="H368" s="2" t="s">
        <v>4739</v>
      </c>
      <c r="I368" s="2" t="s">
        <v>4740</v>
      </c>
      <c r="J368" s="2" t="s">
        <v>4740</v>
      </c>
      <c r="K368" s="2" t="s">
        <v>4740</v>
      </c>
      <c r="L368" s="2" t="s">
        <v>4741</v>
      </c>
      <c r="M368" s="2">
        <v>1575000</v>
      </c>
      <c r="N368" s="2">
        <v>2250000</v>
      </c>
      <c r="O368" s="2" t="s">
        <v>4742</v>
      </c>
      <c r="P368" s="3">
        <v>45685</v>
      </c>
      <c r="Q368" s="2" t="s">
        <v>4743</v>
      </c>
      <c r="R368" s="2" t="s">
        <v>4744</v>
      </c>
      <c r="S368" s="2" t="s">
        <v>69</v>
      </c>
      <c r="T368" s="2" t="s">
        <v>4745</v>
      </c>
      <c r="U368" s="2" t="s">
        <v>578</v>
      </c>
      <c r="V368" s="2" t="s">
        <v>72</v>
      </c>
      <c r="W368" s="3">
        <v>44592</v>
      </c>
      <c r="X368" s="2" t="s">
        <v>1414</v>
      </c>
      <c r="Y368" s="3">
        <v>46421</v>
      </c>
      <c r="Z368" s="2" t="s">
        <v>4746</v>
      </c>
      <c r="AA368" s="2">
        <v>5</v>
      </c>
      <c r="AB368" s="2" t="s">
        <v>75</v>
      </c>
      <c r="AC368" s="2" t="s">
        <v>4747</v>
      </c>
      <c r="AD368" s="3">
        <v>44592</v>
      </c>
      <c r="AE368" s="2" t="s">
        <v>77</v>
      </c>
      <c r="AF368" s="2">
        <v>1800000</v>
      </c>
      <c r="AG368" s="2">
        <v>27000</v>
      </c>
      <c r="AH368" s="2" t="s">
        <v>4748</v>
      </c>
      <c r="AI368" s="2">
        <v>27000</v>
      </c>
      <c r="AJ368" s="11">
        <v>0</v>
      </c>
      <c r="AK368" s="11"/>
    </row>
    <row r="369" spans="1:37" hidden="1">
      <c r="A369" s="10">
        <v>368</v>
      </c>
      <c r="B369" s="2" t="s">
        <v>37</v>
      </c>
      <c r="C369" s="2" t="s">
        <v>4749</v>
      </c>
      <c r="D369" s="2" t="s">
        <v>39</v>
      </c>
      <c r="E369" s="2" t="s">
        <v>40</v>
      </c>
      <c r="F369" s="2" t="s">
        <v>4750</v>
      </c>
      <c r="G369" s="2" t="s">
        <v>42</v>
      </c>
      <c r="H369" s="2" t="s">
        <v>4751</v>
      </c>
      <c r="I369" s="2" t="s">
        <v>4752</v>
      </c>
      <c r="J369" s="2" t="s">
        <v>4752</v>
      </c>
      <c r="K369" s="2" t="s">
        <v>4752</v>
      </c>
      <c r="L369" s="2" t="s">
        <v>4753</v>
      </c>
      <c r="M369" s="2">
        <v>1946700</v>
      </c>
      <c r="N369" s="2">
        <v>3090000</v>
      </c>
      <c r="O369" s="2" t="s">
        <v>4754</v>
      </c>
      <c r="P369" s="3">
        <v>45679</v>
      </c>
      <c r="Q369" s="2" t="s">
        <v>4755</v>
      </c>
      <c r="R369" s="2" t="s">
        <v>4756</v>
      </c>
      <c r="S369" s="2" t="s">
        <v>69</v>
      </c>
      <c r="T369" s="2" t="s">
        <v>4757</v>
      </c>
      <c r="U369" s="2" t="s">
        <v>236</v>
      </c>
      <c r="V369" s="2" t="s">
        <v>286</v>
      </c>
      <c r="W369" s="3">
        <v>45315</v>
      </c>
      <c r="X369" s="2" t="s">
        <v>1779</v>
      </c>
      <c r="Y369" s="3">
        <v>47145</v>
      </c>
      <c r="Z369" s="2" t="s">
        <v>4758</v>
      </c>
      <c r="AA369" s="2">
        <v>5</v>
      </c>
      <c r="AB369" s="2" t="s">
        <v>160</v>
      </c>
      <c r="AC369" s="2" t="s">
        <v>4759</v>
      </c>
      <c r="AD369" s="3">
        <v>45315</v>
      </c>
      <c r="AE369" s="2" t="s">
        <v>77</v>
      </c>
      <c r="AF369" s="2">
        <v>2781000</v>
      </c>
      <c r="AG369" s="2">
        <v>41715</v>
      </c>
      <c r="AH369" s="2" t="s">
        <v>4760</v>
      </c>
      <c r="AI369" s="2">
        <v>41715</v>
      </c>
      <c r="AJ369" s="11">
        <v>0</v>
      </c>
      <c r="AK369" s="11"/>
    </row>
    <row r="370" spans="1:37" hidden="1">
      <c r="A370" s="10">
        <v>369</v>
      </c>
      <c r="B370" s="2" t="s">
        <v>37</v>
      </c>
      <c r="C370" s="2" t="s">
        <v>4761</v>
      </c>
      <c r="D370" s="2" t="s">
        <v>39</v>
      </c>
      <c r="E370" s="2" t="s">
        <v>40</v>
      </c>
      <c r="F370" s="2" t="s">
        <v>4762</v>
      </c>
      <c r="G370" s="2" t="s">
        <v>276</v>
      </c>
      <c r="H370" s="2" t="s">
        <v>4763</v>
      </c>
      <c r="I370" s="2" t="s">
        <v>4764</v>
      </c>
      <c r="J370" s="2" t="s">
        <v>4764</v>
      </c>
      <c r="K370" s="2" t="s">
        <v>4764</v>
      </c>
      <c r="L370" s="2" t="s">
        <v>4765</v>
      </c>
      <c r="M370" s="2">
        <v>1440000</v>
      </c>
      <c r="N370" s="2">
        <v>1800000</v>
      </c>
      <c r="O370" s="2" t="s">
        <v>4766</v>
      </c>
      <c r="P370" s="3">
        <v>45685</v>
      </c>
      <c r="Q370" s="2" t="s">
        <v>4767</v>
      </c>
      <c r="R370" s="2" t="s">
        <v>4768</v>
      </c>
      <c r="S370" s="2" t="s">
        <v>69</v>
      </c>
      <c r="T370" s="2" t="s">
        <v>4769</v>
      </c>
      <c r="U370" s="2" t="s">
        <v>253</v>
      </c>
      <c r="V370" s="2" t="s">
        <v>300</v>
      </c>
      <c r="W370" s="3">
        <v>44592</v>
      </c>
      <c r="X370" s="2" t="s">
        <v>1414</v>
      </c>
      <c r="Y370" s="3">
        <v>46421</v>
      </c>
      <c r="Z370" s="2" t="s">
        <v>4770</v>
      </c>
      <c r="AA370" s="2">
        <v>5</v>
      </c>
      <c r="AB370" s="2" t="s">
        <v>75</v>
      </c>
      <c r="AC370" s="2" t="s">
        <v>4771</v>
      </c>
      <c r="AD370" s="3">
        <v>44592</v>
      </c>
      <c r="AE370" s="2" t="s">
        <v>77</v>
      </c>
      <c r="AF370" s="2">
        <v>1440000</v>
      </c>
      <c r="AG370" s="2">
        <v>21600</v>
      </c>
      <c r="AH370" s="2" t="s">
        <v>4772</v>
      </c>
      <c r="AI370" s="2">
        <v>21600</v>
      </c>
      <c r="AJ370" s="11">
        <v>0</v>
      </c>
      <c r="AK370" s="11"/>
    </row>
    <row r="371" spans="1:37" hidden="1">
      <c r="A371" s="10">
        <v>370</v>
      </c>
      <c r="B371" s="2" t="s">
        <v>37</v>
      </c>
      <c r="C371" s="2" t="s">
        <v>4773</v>
      </c>
      <c r="D371" s="2" t="s">
        <v>39</v>
      </c>
      <c r="E371" s="2" t="s">
        <v>40</v>
      </c>
      <c r="F371" s="2" t="s">
        <v>4774</v>
      </c>
      <c r="G371" s="2" t="s">
        <v>62</v>
      </c>
      <c r="H371" s="2" t="s">
        <v>4775</v>
      </c>
      <c r="I371" s="2" t="s">
        <v>4776</v>
      </c>
      <c r="J371" s="2" t="s">
        <v>4777</v>
      </c>
      <c r="K371" s="2" t="s">
        <v>4776</v>
      </c>
      <c r="L371" s="2" t="s">
        <v>4778</v>
      </c>
      <c r="M371" s="2">
        <v>1358000</v>
      </c>
      <c r="N371" s="2">
        <v>1940000</v>
      </c>
      <c r="O371" s="2" t="s">
        <v>4779</v>
      </c>
      <c r="P371" s="3">
        <v>45685</v>
      </c>
      <c r="Q371" s="2" t="s">
        <v>4780</v>
      </c>
      <c r="R371" s="2" t="s">
        <v>4781</v>
      </c>
      <c r="S371" s="2" t="s">
        <v>69</v>
      </c>
      <c r="T371" s="2" t="s">
        <v>4782</v>
      </c>
      <c r="U371" s="2" t="s">
        <v>3644</v>
      </c>
      <c r="V371" s="2" t="s">
        <v>336</v>
      </c>
      <c r="W371" s="3">
        <v>44592</v>
      </c>
      <c r="X371" s="2" t="s">
        <v>1414</v>
      </c>
      <c r="Y371" s="3">
        <v>46421</v>
      </c>
      <c r="Z371" s="2" t="s">
        <v>4783</v>
      </c>
      <c r="AA371" s="2">
        <v>5</v>
      </c>
      <c r="AB371" s="2" t="s">
        <v>90</v>
      </c>
      <c r="AC371" s="2" t="s">
        <v>4784</v>
      </c>
      <c r="AD371" s="3">
        <v>44592</v>
      </c>
      <c r="AE371" s="2" t="s">
        <v>77</v>
      </c>
      <c r="AF371" s="2">
        <v>1552000</v>
      </c>
      <c r="AG371" s="2">
        <v>23280</v>
      </c>
      <c r="AH371" s="2" t="s">
        <v>4785</v>
      </c>
      <c r="AI371" s="2">
        <v>23280</v>
      </c>
      <c r="AJ371" s="11">
        <v>0</v>
      </c>
      <c r="AK371" s="11"/>
    </row>
    <row r="372" spans="1:37" hidden="1">
      <c r="A372" s="10">
        <v>371</v>
      </c>
      <c r="B372" s="2" t="s">
        <v>37</v>
      </c>
      <c r="C372" s="2" t="s">
        <v>4786</v>
      </c>
      <c r="D372" s="2" t="s">
        <v>39</v>
      </c>
      <c r="E372" s="2" t="s">
        <v>40</v>
      </c>
      <c r="F372" s="2" t="s">
        <v>4787</v>
      </c>
      <c r="G372" s="2" t="s">
        <v>497</v>
      </c>
      <c r="H372" s="2" t="s">
        <v>4788</v>
      </c>
      <c r="I372" s="2" t="s">
        <v>4789</v>
      </c>
      <c r="J372" s="2" t="s">
        <v>4790</v>
      </c>
      <c r="K372" s="2" t="s">
        <v>4789</v>
      </c>
      <c r="L372" s="2" t="s">
        <v>4791</v>
      </c>
      <c r="M372" s="2">
        <v>787500</v>
      </c>
      <c r="N372" s="2">
        <v>1050000</v>
      </c>
      <c r="O372" s="2" t="s">
        <v>4792</v>
      </c>
      <c r="P372" s="3">
        <v>45680</v>
      </c>
      <c r="Q372" s="2" t="s">
        <v>4793</v>
      </c>
      <c r="R372" s="2" t="s">
        <v>4794</v>
      </c>
      <c r="S372" s="2" t="s">
        <v>69</v>
      </c>
      <c r="T372" s="2" t="s">
        <v>4795</v>
      </c>
      <c r="U372" s="2" t="s">
        <v>4796</v>
      </c>
      <c r="V372" s="2" t="s">
        <v>286</v>
      </c>
      <c r="W372" s="3">
        <v>44587</v>
      </c>
      <c r="X372" s="2" t="s">
        <v>2428</v>
      </c>
      <c r="Y372" s="3">
        <v>46414</v>
      </c>
      <c r="Z372" s="2" t="s">
        <v>4797</v>
      </c>
      <c r="AA372" s="2">
        <v>5</v>
      </c>
      <c r="AB372" s="2" t="s">
        <v>75</v>
      </c>
      <c r="AC372" s="2" t="s">
        <v>4798</v>
      </c>
      <c r="AD372" s="3">
        <v>44585</v>
      </c>
      <c r="AE372" s="2" t="s">
        <v>77</v>
      </c>
      <c r="AF372" s="2">
        <v>840000</v>
      </c>
      <c r="AG372" s="2">
        <v>12600</v>
      </c>
      <c r="AH372" s="2" t="s">
        <v>4799</v>
      </c>
      <c r="AI372" s="2">
        <v>12600</v>
      </c>
      <c r="AJ372" s="11">
        <v>0</v>
      </c>
      <c r="AK372" s="11"/>
    </row>
    <row r="373" spans="1:37" hidden="1">
      <c r="A373" s="10">
        <v>372</v>
      </c>
      <c r="B373" s="2" t="s">
        <v>37</v>
      </c>
      <c r="C373" s="2" t="s">
        <v>4800</v>
      </c>
      <c r="D373" s="2" t="s">
        <v>39</v>
      </c>
      <c r="E373" s="2" t="s">
        <v>40</v>
      </c>
      <c r="F373" s="2" t="s">
        <v>4801</v>
      </c>
      <c r="G373" s="2" t="s">
        <v>276</v>
      </c>
      <c r="H373" s="2" t="s">
        <v>4802</v>
      </c>
      <c r="I373" s="2">
        <v>3009419546</v>
      </c>
      <c r="J373" s="2">
        <v>3009419546</v>
      </c>
      <c r="K373" s="2">
        <v>3009419546</v>
      </c>
      <c r="L373" s="2" t="s">
        <v>4803</v>
      </c>
      <c r="M373" s="2">
        <v>1384000</v>
      </c>
      <c r="N373" s="2">
        <v>1730000</v>
      </c>
      <c r="O373" s="2" t="s">
        <v>4804</v>
      </c>
      <c r="P373" s="3">
        <v>45685</v>
      </c>
      <c r="Q373" s="2">
        <v>209699</v>
      </c>
      <c r="R373" s="4" t="s">
        <v>4805</v>
      </c>
      <c r="S373" s="2" t="s">
        <v>50</v>
      </c>
      <c r="T373" s="2"/>
      <c r="U373" s="2" t="s">
        <v>4511</v>
      </c>
      <c r="V373" s="2">
        <v>2021</v>
      </c>
      <c r="W373" s="3">
        <v>44226</v>
      </c>
      <c r="X373" s="2" t="s">
        <v>1825</v>
      </c>
      <c r="Y373" s="3">
        <v>46056</v>
      </c>
      <c r="Z373" s="2" t="s">
        <v>4806</v>
      </c>
      <c r="AA373" s="2">
        <v>5</v>
      </c>
      <c r="AB373" s="2" t="s">
        <v>90</v>
      </c>
      <c r="AC373" s="2" t="s">
        <v>4807</v>
      </c>
      <c r="AD373" s="3">
        <v>44225</v>
      </c>
      <c r="AE373" s="2" t="s">
        <v>58</v>
      </c>
      <c r="AF373" s="2">
        <v>1297500</v>
      </c>
      <c r="AG373" s="2">
        <v>25950</v>
      </c>
      <c r="AH373" s="2" t="s">
        <v>4808</v>
      </c>
      <c r="AI373" s="2">
        <v>25950</v>
      </c>
      <c r="AJ373" s="11">
        <v>0</v>
      </c>
      <c r="AK373" s="11"/>
    </row>
    <row r="374" spans="1:37" hidden="1">
      <c r="A374" s="10">
        <v>373</v>
      </c>
      <c r="B374" s="2" t="s">
        <v>37</v>
      </c>
      <c r="C374" s="2" t="s">
        <v>4809</v>
      </c>
      <c r="D374" s="2" t="s">
        <v>39</v>
      </c>
      <c r="E374" s="2" t="s">
        <v>40</v>
      </c>
      <c r="F374" s="2" t="s">
        <v>4810</v>
      </c>
      <c r="G374" s="2" t="s">
        <v>276</v>
      </c>
      <c r="H374" s="2" t="s">
        <v>4811</v>
      </c>
      <c r="I374" s="2">
        <v>3214810396</v>
      </c>
      <c r="J374" s="2">
        <v>3214810396</v>
      </c>
      <c r="K374" s="2">
        <v>3214810396</v>
      </c>
      <c r="L374" s="2" t="s">
        <v>4812</v>
      </c>
      <c r="M374" s="2">
        <v>1146400</v>
      </c>
      <c r="N374" s="2">
        <v>1433000</v>
      </c>
      <c r="O374" s="2" t="s">
        <v>4813</v>
      </c>
      <c r="P374" s="3">
        <v>45685</v>
      </c>
      <c r="Q374" s="2">
        <v>153381</v>
      </c>
      <c r="R374" s="4" t="s">
        <v>4814</v>
      </c>
      <c r="S374" s="2" t="s">
        <v>50</v>
      </c>
      <c r="T374" s="2"/>
      <c r="U374" s="2" t="s">
        <v>285</v>
      </c>
      <c r="V374" s="2">
        <v>2021</v>
      </c>
      <c r="W374" s="3">
        <v>44226</v>
      </c>
      <c r="X374" s="2" t="s">
        <v>1825</v>
      </c>
      <c r="Y374" s="3">
        <v>46056</v>
      </c>
      <c r="Z374" s="2" t="s">
        <v>4815</v>
      </c>
      <c r="AA374" s="2">
        <v>5</v>
      </c>
      <c r="AB374" s="2" t="s">
        <v>90</v>
      </c>
      <c r="AC374" s="2" t="s">
        <v>4816</v>
      </c>
      <c r="AD374" s="3">
        <v>44226</v>
      </c>
      <c r="AE374" s="2" t="s">
        <v>58</v>
      </c>
      <c r="AF374" s="2">
        <v>1074750</v>
      </c>
      <c r="AG374" s="2">
        <v>21495</v>
      </c>
      <c r="AH374" s="2" t="s">
        <v>4817</v>
      </c>
      <c r="AI374" s="2">
        <v>21495</v>
      </c>
      <c r="AJ374" s="11">
        <v>0</v>
      </c>
      <c r="AK374" s="11"/>
    </row>
    <row r="375" spans="1:37" hidden="1">
      <c r="A375" s="10">
        <v>374</v>
      </c>
      <c r="B375" s="2" t="s">
        <v>37</v>
      </c>
      <c r="C375" s="2" t="s">
        <v>4818</v>
      </c>
      <c r="D375" s="2" t="s">
        <v>39</v>
      </c>
      <c r="E375" s="2" t="s">
        <v>40</v>
      </c>
      <c r="F375" s="2" t="s">
        <v>4819</v>
      </c>
      <c r="G375" s="2" t="s">
        <v>1557</v>
      </c>
      <c r="H375" s="2" t="s">
        <v>4820</v>
      </c>
      <c r="I375" s="2" t="s">
        <v>4821</v>
      </c>
      <c r="J375" s="2" t="s">
        <v>51</v>
      </c>
      <c r="K375" s="2" t="s">
        <v>328</v>
      </c>
      <c r="L375" s="2" t="s">
        <v>4822</v>
      </c>
      <c r="M375" s="2">
        <v>1055600</v>
      </c>
      <c r="N375" s="2">
        <v>1508000</v>
      </c>
      <c r="O375" s="2" t="s">
        <v>4823</v>
      </c>
      <c r="P375" s="3">
        <v>45680</v>
      </c>
      <c r="Q375" s="2" t="s">
        <v>4824</v>
      </c>
      <c r="R375" s="2" t="s">
        <v>4825</v>
      </c>
      <c r="S375" s="2" t="s">
        <v>50</v>
      </c>
      <c r="T375" s="2" t="s">
        <v>51</v>
      </c>
      <c r="U375" s="2" t="s">
        <v>285</v>
      </c>
      <c r="V375" s="2" t="s">
        <v>53</v>
      </c>
      <c r="W375" s="3">
        <v>44588</v>
      </c>
      <c r="X375" s="2" t="s">
        <v>2428</v>
      </c>
      <c r="Y375" s="3">
        <v>46414</v>
      </c>
      <c r="Z375" s="2" t="s">
        <v>4826</v>
      </c>
      <c r="AA375" s="2">
        <v>5</v>
      </c>
      <c r="AB375" s="2" t="s">
        <v>75</v>
      </c>
      <c r="AC375" s="2" t="s">
        <v>4827</v>
      </c>
      <c r="AD375" s="3">
        <v>44586</v>
      </c>
      <c r="AE375" s="2" t="s">
        <v>58</v>
      </c>
      <c r="AF375" s="2">
        <v>1206400</v>
      </c>
      <c r="AG375" s="2">
        <v>24128</v>
      </c>
      <c r="AH375" s="2" t="s">
        <v>4828</v>
      </c>
      <c r="AI375" s="2">
        <v>24128</v>
      </c>
      <c r="AJ375" s="11">
        <v>0</v>
      </c>
      <c r="AK375" s="11"/>
    </row>
    <row r="376" spans="1:37" hidden="1">
      <c r="A376" s="10">
        <v>375</v>
      </c>
      <c r="B376" s="2" t="s">
        <v>37</v>
      </c>
      <c r="C376" s="2" t="s">
        <v>4829</v>
      </c>
      <c r="D376" s="2" t="s">
        <v>39</v>
      </c>
      <c r="E376" s="2" t="s">
        <v>40</v>
      </c>
      <c r="F376" s="2" t="s">
        <v>4830</v>
      </c>
      <c r="G376" s="2" t="s">
        <v>276</v>
      </c>
      <c r="H376" s="2" t="s">
        <v>4831</v>
      </c>
      <c r="I376" s="2">
        <v>3248488766</v>
      </c>
      <c r="J376" s="2">
        <v>3248488766</v>
      </c>
      <c r="K376" s="2">
        <v>3248488766</v>
      </c>
      <c r="L376" s="2" t="s">
        <v>4832</v>
      </c>
      <c r="M376" s="2">
        <v>979800</v>
      </c>
      <c r="N376" s="2">
        <v>1633000</v>
      </c>
      <c r="O376" s="2" t="s">
        <v>4833</v>
      </c>
      <c r="P376" s="3">
        <v>45685</v>
      </c>
      <c r="Q376" s="2">
        <v>151436</v>
      </c>
      <c r="R376" s="4" t="s">
        <v>4834</v>
      </c>
      <c r="S376" s="2" t="s">
        <v>50</v>
      </c>
      <c r="T376" s="2"/>
      <c r="U376" s="2" t="s">
        <v>4835</v>
      </c>
      <c r="V376" s="2">
        <v>2021</v>
      </c>
      <c r="W376" s="3">
        <v>44226</v>
      </c>
      <c r="X376" s="2" t="s">
        <v>1825</v>
      </c>
      <c r="Y376" s="3">
        <v>46786</v>
      </c>
      <c r="Z376" s="2" t="s">
        <v>4836</v>
      </c>
      <c r="AA376" s="2">
        <v>7</v>
      </c>
      <c r="AB376" s="2" t="s">
        <v>90</v>
      </c>
      <c r="AC376" s="2" t="s">
        <v>4837</v>
      </c>
      <c r="AD376" s="3">
        <v>44225</v>
      </c>
      <c r="AE376" s="2" t="s">
        <v>58</v>
      </c>
      <c r="AF376" s="2">
        <v>1224750</v>
      </c>
      <c r="AG376" s="2">
        <v>24495</v>
      </c>
      <c r="AH376" s="2" t="s">
        <v>4838</v>
      </c>
      <c r="AI376" s="2">
        <v>24495</v>
      </c>
      <c r="AJ376" s="11">
        <v>0</v>
      </c>
      <c r="AK376" s="11"/>
    </row>
    <row r="377" spans="1:37" hidden="1">
      <c r="A377" s="10">
        <v>376</v>
      </c>
      <c r="B377" s="2" t="s">
        <v>37</v>
      </c>
      <c r="C377" s="2" t="s">
        <v>4839</v>
      </c>
      <c r="D377" s="2" t="s">
        <v>39</v>
      </c>
      <c r="E377" s="2" t="s">
        <v>40</v>
      </c>
      <c r="F377" s="2" t="s">
        <v>4840</v>
      </c>
      <c r="G377" s="2" t="s">
        <v>1557</v>
      </c>
      <c r="H377" s="2" t="s">
        <v>4841</v>
      </c>
      <c r="I377" s="2" t="s">
        <v>4842</v>
      </c>
      <c r="J377" s="2" t="s">
        <v>51</v>
      </c>
      <c r="K377" s="2" t="s">
        <v>4843</v>
      </c>
      <c r="L377" s="2" t="s">
        <v>4844</v>
      </c>
      <c r="M377" s="2">
        <v>1274000</v>
      </c>
      <c r="N377" s="2">
        <v>2450000</v>
      </c>
      <c r="O377" s="2" t="s">
        <v>4845</v>
      </c>
      <c r="P377" s="3">
        <v>45685</v>
      </c>
      <c r="Q377" s="2" t="s">
        <v>4846</v>
      </c>
      <c r="R377" s="2" t="s">
        <v>4847</v>
      </c>
      <c r="S377" s="2" t="s">
        <v>69</v>
      </c>
      <c r="T377" s="2" t="s">
        <v>4848</v>
      </c>
      <c r="U377" s="2" t="s">
        <v>1272</v>
      </c>
      <c r="V377" s="2" t="s">
        <v>336</v>
      </c>
      <c r="W377" s="3">
        <v>43496</v>
      </c>
      <c r="X377" s="2" t="s">
        <v>4512</v>
      </c>
      <c r="Y377" s="3">
        <v>46056</v>
      </c>
      <c r="Z377" s="2" t="s">
        <v>4849</v>
      </c>
      <c r="AA377" s="2">
        <v>7</v>
      </c>
      <c r="AB377" s="2" t="s">
        <v>75</v>
      </c>
      <c r="AC377" s="2" t="s">
        <v>4850</v>
      </c>
      <c r="AD377" s="3">
        <v>43495</v>
      </c>
      <c r="AE377" s="2" t="s">
        <v>729</v>
      </c>
      <c r="AF377" s="2">
        <v>1592500</v>
      </c>
      <c r="AG377" s="2">
        <v>39813</v>
      </c>
      <c r="AH377" s="2" t="s">
        <v>4851</v>
      </c>
      <c r="AI377" s="2">
        <v>39813</v>
      </c>
      <c r="AJ377" s="11">
        <v>0</v>
      </c>
      <c r="AK377" s="11"/>
    </row>
    <row r="378" spans="1:37" hidden="1">
      <c r="A378" s="10">
        <v>377</v>
      </c>
      <c r="B378" s="2" t="s">
        <v>37</v>
      </c>
      <c r="C378" s="2" t="s">
        <v>4852</v>
      </c>
      <c r="D378" s="2" t="s">
        <v>39</v>
      </c>
      <c r="E378" s="2" t="s">
        <v>40</v>
      </c>
      <c r="F378" s="2" t="s">
        <v>4853</v>
      </c>
      <c r="G378" s="2" t="s">
        <v>276</v>
      </c>
      <c r="H378" s="2" t="s">
        <v>4854</v>
      </c>
      <c r="I378" s="2">
        <v>3034152256</v>
      </c>
      <c r="J378" s="2">
        <v>3034152256</v>
      </c>
      <c r="K378" s="2">
        <v>3034152256</v>
      </c>
      <c r="L378" s="2" t="s">
        <v>4855</v>
      </c>
      <c r="M378" s="2">
        <v>623700</v>
      </c>
      <c r="N378" s="2">
        <v>1134000</v>
      </c>
      <c r="O378" s="2" t="s">
        <v>4856</v>
      </c>
      <c r="P378" s="3">
        <v>45685</v>
      </c>
      <c r="Q378" s="2">
        <v>1008700</v>
      </c>
      <c r="R378" s="4" t="s">
        <v>4857</v>
      </c>
      <c r="S378" s="2" t="s">
        <v>50</v>
      </c>
      <c r="T378" s="2"/>
      <c r="U378" s="2" t="s">
        <v>4858</v>
      </c>
      <c r="V378" s="2">
        <v>2020</v>
      </c>
      <c r="W378" s="3">
        <v>44226</v>
      </c>
      <c r="X378" s="2" t="s">
        <v>1825</v>
      </c>
      <c r="Y378" s="3">
        <v>46056</v>
      </c>
      <c r="Z378" s="2" t="s">
        <v>4859</v>
      </c>
      <c r="AA378" s="2">
        <v>5</v>
      </c>
      <c r="AB378" s="2" t="s">
        <v>90</v>
      </c>
      <c r="AC378" s="2" t="s">
        <v>4860</v>
      </c>
      <c r="AD378" s="3">
        <v>44226</v>
      </c>
      <c r="AE378" s="2" t="s">
        <v>58</v>
      </c>
      <c r="AF378" s="2">
        <v>850500</v>
      </c>
      <c r="AG378" s="2">
        <v>17010</v>
      </c>
      <c r="AH378" s="2" t="s">
        <v>4861</v>
      </c>
      <c r="AI378" s="2">
        <v>17010</v>
      </c>
      <c r="AJ378" s="11">
        <v>0</v>
      </c>
      <c r="AK378" s="11"/>
    </row>
    <row r="379" spans="1:37" hidden="1">
      <c r="A379" s="10">
        <v>378</v>
      </c>
      <c r="B379" s="2" t="s">
        <v>37</v>
      </c>
      <c r="C379" s="2" t="s">
        <v>4862</v>
      </c>
      <c r="D379" s="2" t="s">
        <v>39</v>
      </c>
      <c r="E379" s="2" t="s">
        <v>40</v>
      </c>
      <c r="F379" s="2" t="s">
        <v>4863</v>
      </c>
      <c r="G379" s="2" t="s">
        <v>276</v>
      </c>
      <c r="H379" s="2" t="s">
        <v>4864</v>
      </c>
      <c r="I379" s="2" t="s">
        <v>4865</v>
      </c>
      <c r="J379" s="2" t="s">
        <v>4865</v>
      </c>
      <c r="K379" s="2" t="s">
        <v>4865</v>
      </c>
      <c r="L379" s="2" t="s">
        <v>4866</v>
      </c>
      <c r="M379" s="2">
        <v>632500</v>
      </c>
      <c r="N379" s="2">
        <v>1150000</v>
      </c>
      <c r="O379" s="2" t="s">
        <v>4867</v>
      </c>
      <c r="P379" s="3">
        <v>45684</v>
      </c>
      <c r="Q379" s="2" t="s">
        <v>4868</v>
      </c>
      <c r="R379" s="2" t="s">
        <v>4869</v>
      </c>
      <c r="S379" s="2" t="s">
        <v>69</v>
      </c>
      <c r="T379" s="2" t="s">
        <v>4870</v>
      </c>
      <c r="U379" s="2" t="s">
        <v>4796</v>
      </c>
      <c r="V379" s="2" t="s">
        <v>521</v>
      </c>
      <c r="W379" s="3">
        <v>44592</v>
      </c>
      <c r="X379" s="2" t="s">
        <v>1414</v>
      </c>
      <c r="Y379" s="3">
        <v>46421</v>
      </c>
      <c r="Z379" s="2" t="s">
        <v>4871</v>
      </c>
      <c r="AA379" s="2">
        <v>5</v>
      </c>
      <c r="AB379" s="2" t="s">
        <v>75</v>
      </c>
      <c r="AC379" s="2" t="s">
        <v>4872</v>
      </c>
      <c r="AD379" s="3">
        <v>44589</v>
      </c>
      <c r="AE379" s="2" t="s">
        <v>77</v>
      </c>
      <c r="AF379" s="2">
        <v>920000</v>
      </c>
      <c r="AG379" s="2">
        <v>13800</v>
      </c>
      <c r="AH379" s="2" t="s">
        <v>4873</v>
      </c>
      <c r="AI379" s="2">
        <v>13800</v>
      </c>
      <c r="AJ379" s="11">
        <v>0</v>
      </c>
      <c r="AK379" s="11"/>
    </row>
    <row r="380" spans="1:37" hidden="1">
      <c r="A380" s="10">
        <v>379</v>
      </c>
      <c r="B380" s="2" t="s">
        <v>37</v>
      </c>
      <c r="C380" s="2" t="s">
        <v>4874</v>
      </c>
      <c r="D380" s="2" t="s">
        <v>39</v>
      </c>
      <c r="E380" s="2" t="s">
        <v>40</v>
      </c>
      <c r="F380" s="2" t="s">
        <v>4875</v>
      </c>
      <c r="G380" s="2" t="s">
        <v>42</v>
      </c>
      <c r="H380" s="2" t="s">
        <v>4876</v>
      </c>
      <c r="I380" s="2" t="s">
        <v>4877</v>
      </c>
      <c r="J380" s="2" t="s">
        <v>4878</v>
      </c>
      <c r="K380" s="2" t="s">
        <v>4877</v>
      </c>
      <c r="L380" s="2" t="s">
        <v>4879</v>
      </c>
      <c r="M380" s="2">
        <v>1820000</v>
      </c>
      <c r="N380" s="2">
        <v>2800000</v>
      </c>
      <c r="O380" s="2" t="s">
        <v>4880</v>
      </c>
      <c r="P380" s="3">
        <v>45684</v>
      </c>
      <c r="Q380" s="2" t="s">
        <v>4881</v>
      </c>
      <c r="R380" s="2" t="s">
        <v>4882</v>
      </c>
      <c r="S380" s="2" t="s">
        <v>69</v>
      </c>
      <c r="T380" s="2" t="s">
        <v>4883</v>
      </c>
      <c r="U380" s="2" t="s">
        <v>4884</v>
      </c>
      <c r="V380" s="2" t="s">
        <v>391</v>
      </c>
      <c r="W380" s="3">
        <v>44592</v>
      </c>
      <c r="X380" s="2" t="s">
        <v>1414</v>
      </c>
      <c r="Y380" s="3">
        <v>46421</v>
      </c>
      <c r="Z380" s="2" t="s">
        <v>4885</v>
      </c>
      <c r="AA380" s="2">
        <v>5</v>
      </c>
      <c r="AB380" s="2" t="s">
        <v>90</v>
      </c>
      <c r="AC380" s="2" t="s">
        <v>4886</v>
      </c>
      <c r="AD380" s="3">
        <v>44589</v>
      </c>
      <c r="AE380" s="2" t="s">
        <v>77</v>
      </c>
      <c r="AF380" s="2">
        <v>2240000</v>
      </c>
      <c r="AG380" s="2">
        <v>33600</v>
      </c>
      <c r="AH380" s="2" t="s">
        <v>4887</v>
      </c>
      <c r="AI380" s="2">
        <v>33600</v>
      </c>
      <c r="AJ380" s="11">
        <v>0</v>
      </c>
      <c r="AK380" s="11"/>
    </row>
    <row r="381" spans="1:37" hidden="1">
      <c r="A381" s="10">
        <v>380</v>
      </c>
      <c r="B381" s="2" t="s">
        <v>37</v>
      </c>
      <c r="C381" s="2" t="s">
        <v>4888</v>
      </c>
      <c r="D381" s="2" t="s">
        <v>39</v>
      </c>
      <c r="E381" s="2" t="s">
        <v>40</v>
      </c>
      <c r="F381" s="2" t="s">
        <v>4889</v>
      </c>
      <c r="G381" s="2" t="s">
        <v>62</v>
      </c>
      <c r="H381" s="2" t="s">
        <v>4890</v>
      </c>
      <c r="I381" s="2" t="s">
        <v>4891</v>
      </c>
      <c r="J381" s="2" t="s">
        <v>4891</v>
      </c>
      <c r="K381" s="2" t="s">
        <v>328</v>
      </c>
      <c r="L381" s="2" t="s">
        <v>4892</v>
      </c>
      <c r="M381" s="2">
        <v>2996000</v>
      </c>
      <c r="N381" s="2">
        <v>4280000</v>
      </c>
      <c r="O381" s="2" t="s">
        <v>4893</v>
      </c>
      <c r="P381" s="3">
        <v>45684</v>
      </c>
      <c r="Q381" s="2" t="s">
        <v>4894</v>
      </c>
      <c r="R381" s="2" t="s">
        <v>4895</v>
      </c>
      <c r="S381" s="2" t="s">
        <v>69</v>
      </c>
      <c r="T381" s="2" t="s">
        <v>4896</v>
      </c>
      <c r="U381" s="2" t="s">
        <v>465</v>
      </c>
      <c r="V381" s="2" t="s">
        <v>286</v>
      </c>
      <c r="W381" s="3">
        <v>44592</v>
      </c>
      <c r="X381" s="2" t="s">
        <v>1414</v>
      </c>
      <c r="Y381" s="3">
        <v>46421</v>
      </c>
      <c r="Z381" s="2" t="s">
        <v>4897</v>
      </c>
      <c r="AA381" s="2">
        <v>5</v>
      </c>
      <c r="AB381" s="2" t="s">
        <v>90</v>
      </c>
      <c r="AC381" s="2" t="s">
        <v>4898</v>
      </c>
      <c r="AD381" s="3">
        <v>44592</v>
      </c>
      <c r="AE381" s="2" t="s">
        <v>77</v>
      </c>
      <c r="AF381" s="2">
        <v>3424000</v>
      </c>
      <c r="AG381" s="2">
        <v>51360</v>
      </c>
      <c r="AH381" s="2" t="s">
        <v>4899</v>
      </c>
      <c r="AI381" s="2">
        <v>51360</v>
      </c>
      <c r="AJ381" s="11">
        <v>0</v>
      </c>
      <c r="AK381" s="11"/>
    </row>
    <row r="382" spans="1:37" hidden="1">
      <c r="A382" s="10">
        <v>381</v>
      </c>
      <c r="B382" s="2" t="s">
        <v>37</v>
      </c>
      <c r="C382" s="2" t="s">
        <v>4900</v>
      </c>
      <c r="D382" s="2" t="s">
        <v>39</v>
      </c>
      <c r="E382" s="2" t="s">
        <v>40</v>
      </c>
      <c r="F382" s="2" t="s">
        <v>4901</v>
      </c>
      <c r="G382" s="2" t="s">
        <v>62</v>
      </c>
      <c r="H382" s="2" t="s">
        <v>4902</v>
      </c>
      <c r="I382" s="2" t="s">
        <v>485</v>
      </c>
      <c r="J382" s="2" t="s">
        <v>4903</v>
      </c>
      <c r="K382" s="2" t="s">
        <v>4904</v>
      </c>
      <c r="L382" s="2" t="s">
        <v>4905</v>
      </c>
      <c r="M382" s="2">
        <v>1787500</v>
      </c>
      <c r="N382" s="2">
        <v>2750000</v>
      </c>
      <c r="O382" s="2" t="s">
        <v>4906</v>
      </c>
      <c r="P382" s="3">
        <v>45680</v>
      </c>
      <c r="Q382" s="2" t="s">
        <v>4907</v>
      </c>
      <c r="R382" s="2" t="s">
        <v>4908</v>
      </c>
      <c r="S382" s="2" t="s">
        <v>69</v>
      </c>
      <c r="T382" s="2" t="s">
        <v>4909</v>
      </c>
      <c r="U382" s="2" t="s">
        <v>535</v>
      </c>
      <c r="V382" s="2" t="s">
        <v>365</v>
      </c>
      <c r="W382" s="3">
        <v>44586</v>
      </c>
      <c r="X382" s="2" t="s">
        <v>2428</v>
      </c>
      <c r="Y382" s="3">
        <v>46414</v>
      </c>
      <c r="Z382" s="2" t="s">
        <v>4910</v>
      </c>
      <c r="AA382" s="2">
        <v>5</v>
      </c>
      <c r="AB382" s="2" t="s">
        <v>90</v>
      </c>
      <c r="AC382" s="2" t="s">
        <v>4911</v>
      </c>
      <c r="AD382" s="3">
        <v>44585</v>
      </c>
      <c r="AE382" s="2" t="s">
        <v>77</v>
      </c>
      <c r="AF382" s="2">
        <v>2200000</v>
      </c>
      <c r="AG382" s="2">
        <v>33000</v>
      </c>
      <c r="AH382" s="2" t="s">
        <v>4912</v>
      </c>
      <c r="AI382" s="2">
        <v>33000</v>
      </c>
      <c r="AJ382" s="11">
        <v>0</v>
      </c>
      <c r="AK382" s="11"/>
    </row>
    <row r="383" spans="1:37" hidden="1">
      <c r="A383" s="10">
        <v>382</v>
      </c>
      <c r="B383" s="2" t="s">
        <v>37</v>
      </c>
      <c r="C383" s="2" t="s">
        <v>4913</v>
      </c>
      <c r="D383" s="2" t="s">
        <v>39</v>
      </c>
      <c r="E383" s="2" t="s">
        <v>40</v>
      </c>
      <c r="F383" s="2" t="s">
        <v>4914</v>
      </c>
      <c r="G383" s="2" t="s">
        <v>62</v>
      </c>
      <c r="H383" s="2" t="s">
        <v>4915</v>
      </c>
      <c r="I383" s="2" t="s">
        <v>51</v>
      </c>
      <c r="J383" s="2" t="s">
        <v>4916</v>
      </c>
      <c r="K383" s="2" t="s">
        <v>51</v>
      </c>
      <c r="L383" s="2" t="s">
        <v>4917</v>
      </c>
      <c r="M383" s="2">
        <v>2345000</v>
      </c>
      <c r="N383" s="2">
        <v>3350000</v>
      </c>
      <c r="O383" s="2" t="s">
        <v>4918</v>
      </c>
      <c r="P383" s="3">
        <v>45684</v>
      </c>
      <c r="Q383" s="2" t="s">
        <v>4919</v>
      </c>
      <c r="R383" s="2" t="s">
        <v>4920</v>
      </c>
      <c r="S383" s="2" t="s">
        <v>69</v>
      </c>
      <c r="T383" s="2" t="s">
        <v>4921</v>
      </c>
      <c r="U383" s="2" t="s">
        <v>4922</v>
      </c>
      <c r="V383" s="2" t="s">
        <v>391</v>
      </c>
      <c r="W383" s="3">
        <v>44590</v>
      </c>
      <c r="X383" s="2" t="s">
        <v>1414</v>
      </c>
      <c r="Y383" s="3">
        <v>46421</v>
      </c>
      <c r="Z383" s="2" t="s">
        <v>4923</v>
      </c>
      <c r="AA383" s="2">
        <v>5</v>
      </c>
      <c r="AB383" s="2" t="s">
        <v>90</v>
      </c>
      <c r="AC383" s="2" t="s">
        <v>4924</v>
      </c>
      <c r="AD383" s="3">
        <v>44590</v>
      </c>
      <c r="AE383" s="2" t="s">
        <v>77</v>
      </c>
      <c r="AF383" s="2">
        <v>2680000</v>
      </c>
      <c r="AG383" s="2">
        <v>40200</v>
      </c>
      <c r="AH383" s="2" t="s">
        <v>4925</v>
      </c>
      <c r="AI383" s="2">
        <v>40200</v>
      </c>
      <c r="AJ383" s="11">
        <v>0</v>
      </c>
      <c r="AK383" s="11"/>
    </row>
    <row r="384" spans="1:37" hidden="1">
      <c r="A384" s="10">
        <v>383</v>
      </c>
      <c r="B384" s="2" t="s">
        <v>37</v>
      </c>
      <c r="C384" s="2" t="s">
        <v>4926</v>
      </c>
      <c r="D384" s="2" t="s">
        <v>39</v>
      </c>
      <c r="E384" s="2" t="s">
        <v>40</v>
      </c>
      <c r="F384" s="2" t="s">
        <v>4927</v>
      </c>
      <c r="G384" s="2" t="s">
        <v>276</v>
      </c>
      <c r="H384" s="2" t="s">
        <v>4928</v>
      </c>
      <c r="I384" s="2">
        <v>3098687518</v>
      </c>
      <c r="J384" s="2">
        <v>3098687518</v>
      </c>
      <c r="K384" s="2">
        <v>3098687518</v>
      </c>
      <c r="L384" s="2" t="s">
        <v>4929</v>
      </c>
      <c r="M384" s="2">
        <v>2552250</v>
      </c>
      <c r="N384" s="2">
        <v>3403000</v>
      </c>
      <c r="O384" s="2" t="s">
        <v>4930</v>
      </c>
      <c r="P384" s="3">
        <v>45684</v>
      </c>
      <c r="Q384" s="2" t="s">
        <v>4931</v>
      </c>
      <c r="R384" s="2" t="s">
        <v>4932</v>
      </c>
      <c r="S384" s="2" t="s">
        <v>50</v>
      </c>
      <c r="T384" s="2"/>
      <c r="U384" s="2" t="s">
        <v>1030</v>
      </c>
      <c r="V384" s="2">
        <v>2021</v>
      </c>
      <c r="W384" s="3">
        <v>44226</v>
      </c>
      <c r="X384" s="2" t="s">
        <v>1825</v>
      </c>
      <c r="Y384" s="3">
        <v>46056</v>
      </c>
      <c r="Z384" s="2" t="s">
        <v>4933</v>
      </c>
      <c r="AA384" s="2">
        <v>5</v>
      </c>
      <c r="AB384" s="2" t="s">
        <v>106</v>
      </c>
      <c r="AC384" s="2" t="s">
        <v>4934</v>
      </c>
      <c r="AD384" s="3">
        <v>44224</v>
      </c>
      <c r="AE384" s="2" t="s">
        <v>58</v>
      </c>
      <c r="AF384" s="2">
        <v>2552250</v>
      </c>
      <c r="AG384" s="2">
        <v>51045</v>
      </c>
      <c r="AH384" s="2" t="s">
        <v>4935</v>
      </c>
      <c r="AI384" s="2">
        <v>51045</v>
      </c>
      <c r="AJ384" s="11">
        <v>0</v>
      </c>
      <c r="AK384" s="11"/>
    </row>
    <row r="385" spans="1:37" hidden="1">
      <c r="A385" s="10">
        <v>384</v>
      </c>
      <c r="B385" s="2" t="s">
        <v>37</v>
      </c>
      <c r="C385" s="2" t="s">
        <v>4936</v>
      </c>
      <c r="D385" s="2" t="s">
        <v>39</v>
      </c>
      <c r="E385" s="2" t="s">
        <v>40</v>
      </c>
      <c r="F385" s="2" t="s">
        <v>4937</v>
      </c>
      <c r="G385" s="2" t="s">
        <v>112</v>
      </c>
      <c r="H385" s="2" t="s">
        <v>4938</v>
      </c>
      <c r="I385" s="2" t="s">
        <v>4939</v>
      </c>
      <c r="J385" s="2" t="s">
        <v>51</v>
      </c>
      <c r="K385" s="2" t="s">
        <v>4939</v>
      </c>
      <c r="L385" s="2" t="s">
        <v>4940</v>
      </c>
      <c r="M385" s="2">
        <v>2530500</v>
      </c>
      <c r="N385" s="2">
        <v>3615000</v>
      </c>
      <c r="O385" s="2" t="s">
        <v>4941</v>
      </c>
      <c r="P385" s="3">
        <v>45680</v>
      </c>
      <c r="Q385" s="2" t="s">
        <v>4942</v>
      </c>
      <c r="R385" s="2" t="s">
        <v>4943</v>
      </c>
      <c r="S385" s="2" t="s">
        <v>50</v>
      </c>
      <c r="T385" s="2" t="s">
        <v>51</v>
      </c>
      <c r="U385" s="2" t="s">
        <v>4944</v>
      </c>
      <c r="V385" s="2" t="s">
        <v>53</v>
      </c>
      <c r="W385" s="3">
        <v>44579</v>
      </c>
      <c r="X385" s="2" t="s">
        <v>1414</v>
      </c>
      <c r="Y385" s="3">
        <v>46421</v>
      </c>
      <c r="Z385" s="2" t="s">
        <v>4945</v>
      </c>
      <c r="AA385" s="2">
        <v>5</v>
      </c>
      <c r="AB385" s="2" t="s">
        <v>75</v>
      </c>
      <c r="AC385" s="2" t="s">
        <v>4946</v>
      </c>
      <c r="AD385" s="3">
        <v>44585</v>
      </c>
      <c r="AE385" s="2" t="s">
        <v>58</v>
      </c>
      <c r="AF385" s="2">
        <v>2892000</v>
      </c>
      <c r="AG385" s="2">
        <v>57840</v>
      </c>
      <c r="AH385" s="2" t="s">
        <v>4947</v>
      </c>
      <c r="AI385" s="2">
        <v>57840</v>
      </c>
      <c r="AJ385" s="11">
        <v>0</v>
      </c>
      <c r="AK385" s="11"/>
    </row>
    <row r="386" spans="1:37" hidden="1">
      <c r="A386" s="10">
        <v>385</v>
      </c>
      <c r="B386" s="2" t="s">
        <v>37</v>
      </c>
      <c r="C386" s="2" t="s">
        <v>4948</v>
      </c>
      <c r="D386" s="2" t="s">
        <v>39</v>
      </c>
      <c r="E386" s="2" t="s">
        <v>40</v>
      </c>
      <c r="F386" s="2" t="s">
        <v>4949</v>
      </c>
      <c r="G386" s="2" t="s">
        <v>276</v>
      </c>
      <c r="H386" s="2" t="s">
        <v>4950</v>
      </c>
      <c r="I386" s="2" t="s">
        <v>4951</v>
      </c>
      <c r="J386" s="2" t="s">
        <v>4952</v>
      </c>
      <c r="K386" s="2" t="s">
        <v>51</v>
      </c>
      <c r="L386" s="2" t="s">
        <v>4953</v>
      </c>
      <c r="M386" s="2">
        <v>2534000</v>
      </c>
      <c r="N386" s="2">
        <v>3620000</v>
      </c>
      <c r="O386" s="2" t="s">
        <v>51</v>
      </c>
      <c r="P386" s="3">
        <v>45680</v>
      </c>
      <c r="Q386" s="2" t="s">
        <v>4954</v>
      </c>
      <c r="R386" s="2" t="s">
        <v>4955</v>
      </c>
      <c r="S386" s="2" t="s">
        <v>50</v>
      </c>
      <c r="T386" s="2" t="s">
        <v>51</v>
      </c>
      <c r="U386" s="2" t="s">
        <v>549</v>
      </c>
      <c r="V386" s="2" t="s">
        <v>286</v>
      </c>
      <c r="W386" s="3">
        <v>44469</v>
      </c>
      <c r="X386" s="2" t="s">
        <v>1414</v>
      </c>
      <c r="Y386" s="3">
        <v>46421</v>
      </c>
      <c r="Z386" s="2" t="s">
        <v>4956</v>
      </c>
      <c r="AA386" s="2">
        <v>5</v>
      </c>
      <c r="AB386" s="2" t="s">
        <v>90</v>
      </c>
      <c r="AC386" s="2" t="s">
        <v>4957</v>
      </c>
      <c r="AD386" s="3">
        <v>44585</v>
      </c>
      <c r="AE386" s="2" t="s">
        <v>58</v>
      </c>
      <c r="AF386" s="2">
        <v>2896000</v>
      </c>
      <c r="AG386" s="2">
        <v>57920</v>
      </c>
      <c r="AH386" s="2" t="s">
        <v>4958</v>
      </c>
      <c r="AI386" s="2">
        <v>57920</v>
      </c>
      <c r="AJ386" s="11">
        <v>0</v>
      </c>
      <c r="AK386" s="11"/>
    </row>
    <row r="387" spans="1:37" hidden="1">
      <c r="A387" s="10">
        <v>386</v>
      </c>
      <c r="B387" s="2" t="s">
        <v>37</v>
      </c>
      <c r="C387" s="2" t="s">
        <v>4959</v>
      </c>
      <c r="D387" s="2" t="s">
        <v>39</v>
      </c>
      <c r="E387" s="2" t="s">
        <v>40</v>
      </c>
      <c r="F387" s="2" t="s">
        <v>4960</v>
      </c>
      <c r="G387" s="2" t="s">
        <v>276</v>
      </c>
      <c r="H387" s="2" t="s">
        <v>4961</v>
      </c>
      <c r="I387" s="2" t="s">
        <v>4962</v>
      </c>
      <c r="J387" s="2" t="s">
        <v>4962</v>
      </c>
      <c r="K387" s="2" t="s">
        <v>4962</v>
      </c>
      <c r="L387" s="2" t="s">
        <v>4963</v>
      </c>
      <c r="M387" s="2">
        <v>2068500</v>
      </c>
      <c r="N387" s="2">
        <v>2955000</v>
      </c>
      <c r="O387" s="2" t="s">
        <v>4964</v>
      </c>
      <c r="P387" s="3">
        <v>45684</v>
      </c>
      <c r="Q387" s="2" t="s">
        <v>4965</v>
      </c>
      <c r="R387" s="2" t="s">
        <v>4966</v>
      </c>
      <c r="S387" s="2" t="s">
        <v>50</v>
      </c>
      <c r="T387" s="2" t="s">
        <v>51</v>
      </c>
      <c r="U387" s="2" t="s">
        <v>208</v>
      </c>
      <c r="V387" s="2" t="s">
        <v>53</v>
      </c>
      <c r="W387" s="3">
        <v>44563</v>
      </c>
      <c r="X387" s="2" t="s">
        <v>1414</v>
      </c>
      <c r="Y387" s="3">
        <v>46421</v>
      </c>
      <c r="Z387" s="2" t="s">
        <v>4967</v>
      </c>
      <c r="AA387" s="2">
        <v>5</v>
      </c>
      <c r="AB387" s="2" t="s">
        <v>75</v>
      </c>
      <c r="AC387" s="2" t="s">
        <v>4968</v>
      </c>
      <c r="AD387" s="3">
        <v>44592</v>
      </c>
      <c r="AE387" s="2" t="s">
        <v>58</v>
      </c>
      <c r="AF387" s="2">
        <v>2364000</v>
      </c>
      <c r="AG387" s="2">
        <v>47280</v>
      </c>
      <c r="AH387" s="2" t="s">
        <v>4969</v>
      </c>
      <c r="AI387" s="2">
        <v>47280</v>
      </c>
      <c r="AJ387" s="11">
        <v>0</v>
      </c>
      <c r="AK387" s="11"/>
    </row>
    <row r="388" spans="1:37" hidden="1">
      <c r="A388" s="10">
        <v>387</v>
      </c>
      <c r="B388" s="2" t="s">
        <v>37</v>
      </c>
      <c r="C388" s="2" t="s">
        <v>4970</v>
      </c>
      <c r="D388" s="2" t="s">
        <v>39</v>
      </c>
      <c r="E388" s="2" t="s">
        <v>40</v>
      </c>
      <c r="F388" s="2" t="s">
        <v>4971</v>
      </c>
      <c r="G388" s="2" t="s">
        <v>62</v>
      </c>
      <c r="H388" s="2" t="s">
        <v>4972</v>
      </c>
      <c r="I388" s="2" t="s">
        <v>4973</v>
      </c>
      <c r="J388" s="2" t="s">
        <v>4973</v>
      </c>
      <c r="K388" s="2" t="s">
        <v>328</v>
      </c>
      <c r="L388" s="2" t="s">
        <v>4974</v>
      </c>
      <c r="M388" s="2">
        <v>2959390</v>
      </c>
      <c r="N388" s="2">
        <v>4417000</v>
      </c>
      <c r="O388" s="2" t="s">
        <v>4975</v>
      </c>
      <c r="P388" s="3">
        <v>45680</v>
      </c>
      <c r="Q388" s="2" t="s">
        <v>4976</v>
      </c>
      <c r="R388" s="2" t="s">
        <v>4977</v>
      </c>
      <c r="S388" s="2" t="s">
        <v>50</v>
      </c>
      <c r="T388" s="2" t="s">
        <v>51</v>
      </c>
      <c r="U388" s="2" t="s">
        <v>535</v>
      </c>
      <c r="V388" s="2" t="s">
        <v>53</v>
      </c>
      <c r="W388" s="3">
        <v>44588</v>
      </c>
      <c r="X388" s="2" t="s">
        <v>2428</v>
      </c>
      <c r="Y388" s="3">
        <v>46414</v>
      </c>
      <c r="Z388" s="2" t="s">
        <v>4978</v>
      </c>
      <c r="AA388" s="2">
        <v>5</v>
      </c>
      <c r="AB388" s="2" t="s">
        <v>90</v>
      </c>
      <c r="AC388" s="2" t="s">
        <v>4979</v>
      </c>
      <c r="AD388" s="3">
        <v>44585</v>
      </c>
      <c r="AE388" s="2" t="s">
        <v>77</v>
      </c>
      <c r="AF388" s="2">
        <v>3533600</v>
      </c>
      <c r="AG388" s="2">
        <v>53004</v>
      </c>
      <c r="AH388" s="2" t="s">
        <v>4980</v>
      </c>
      <c r="AI388" s="2">
        <v>53004</v>
      </c>
      <c r="AJ388" s="11">
        <v>0</v>
      </c>
      <c r="AK388" s="11"/>
    </row>
    <row r="389" spans="1:37" hidden="1">
      <c r="A389" s="10">
        <v>388</v>
      </c>
      <c r="B389" s="2" t="s">
        <v>37</v>
      </c>
      <c r="C389" s="2" t="s">
        <v>4981</v>
      </c>
      <c r="D389" s="2" t="s">
        <v>39</v>
      </c>
      <c r="E389" s="2" t="s">
        <v>40</v>
      </c>
      <c r="F389" s="2" t="s">
        <v>4982</v>
      </c>
      <c r="G389" s="2" t="s">
        <v>62</v>
      </c>
      <c r="H389" s="2" t="s">
        <v>4983</v>
      </c>
      <c r="I389" s="2" t="s">
        <v>4984</v>
      </c>
      <c r="J389" s="2" t="s">
        <v>4985</v>
      </c>
      <c r="K389" s="2" t="s">
        <v>4986</v>
      </c>
      <c r="L389" s="2" t="s">
        <v>4987</v>
      </c>
      <c r="M389" s="2">
        <v>1799750</v>
      </c>
      <c r="N389" s="2">
        <v>3912500</v>
      </c>
      <c r="O389" s="2" t="s">
        <v>4988</v>
      </c>
      <c r="P389" s="3">
        <v>45684</v>
      </c>
      <c r="Q389" s="2" t="s">
        <v>4989</v>
      </c>
      <c r="R389" s="2" t="s">
        <v>4990</v>
      </c>
      <c r="S389" s="2" t="s">
        <v>69</v>
      </c>
      <c r="T389" s="2" t="s">
        <v>51</v>
      </c>
      <c r="U389" s="2" t="s">
        <v>4991</v>
      </c>
      <c r="V389" s="2" t="s">
        <v>286</v>
      </c>
      <c r="W389" s="3">
        <v>44590</v>
      </c>
      <c r="X389" s="2" t="s">
        <v>1414</v>
      </c>
      <c r="Y389" s="3">
        <v>46421</v>
      </c>
      <c r="Z389" s="2" t="s">
        <v>4992</v>
      </c>
      <c r="AA389" s="2">
        <v>5</v>
      </c>
      <c r="AB389" s="2" t="s">
        <v>90</v>
      </c>
      <c r="AC389" s="2" t="s">
        <v>4993</v>
      </c>
      <c r="AD389" s="3">
        <v>44589</v>
      </c>
      <c r="AE389" s="2" t="s">
        <v>77</v>
      </c>
      <c r="AF389" s="2">
        <v>3130000</v>
      </c>
      <c r="AG389" s="2">
        <v>46950</v>
      </c>
      <c r="AH389" s="2" t="s">
        <v>4994</v>
      </c>
      <c r="AI389" s="2">
        <v>46950</v>
      </c>
      <c r="AJ389" s="11">
        <v>0</v>
      </c>
      <c r="AK389" s="11"/>
    </row>
    <row r="390" spans="1:37" hidden="1">
      <c r="A390" s="10">
        <v>389</v>
      </c>
      <c r="B390" s="2" t="s">
        <v>37</v>
      </c>
      <c r="C390" s="2" t="s">
        <v>4995</v>
      </c>
      <c r="D390" s="2" t="s">
        <v>39</v>
      </c>
      <c r="E390" s="2" t="s">
        <v>40</v>
      </c>
      <c r="F390" s="2" t="s">
        <v>4996</v>
      </c>
      <c r="G390" s="2" t="s">
        <v>276</v>
      </c>
      <c r="H390" s="2" t="s">
        <v>4997</v>
      </c>
      <c r="I390" s="2">
        <v>3324099556</v>
      </c>
      <c r="J390" s="2">
        <v>3324099556</v>
      </c>
      <c r="K390" s="2">
        <v>4299230728</v>
      </c>
      <c r="L390" s="2" t="s">
        <v>4998</v>
      </c>
      <c r="M390" s="2">
        <v>2116000</v>
      </c>
      <c r="N390" s="2">
        <v>2645000</v>
      </c>
      <c r="O390" s="2" t="s">
        <v>4999</v>
      </c>
      <c r="P390" s="3">
        <v>45684</v>
      </c>
      <c r="Q390" s="2">
        <v>7543171</v>
      </c>
      <c r="R390" s="4" t="s">
        <v>5000</v>
      </c>
      <c r="S390" s="2" t="s">
        <v>50</v>
      </c>
      <c r="T390" s="2"/>
      <c r="U390" s="2" t="s">
        <v>1617</v>
      </c>
      <c r="V390" s="2">
        <v>2021</v>
      </c>
      <c r="W390" s="3">
        <v>44153</v>
      </c>
      <c r="X390" s="2" t="s">
        <v>1825</v>
      </c>
      <c r="Y390" s="3">
        <v>46056</v>
      </c>
      <c r="Z390" s="2" t="s">
        <v>5001</v>
      </c>
      <c r="AA390" s="2">
        <v>5</v>
      </c>
      <c r="AB390" s="2" t="s">
        <v>90</v>
      </c>
      <c r="AC390" s="2" t="s">
        <v>5002</v>
      </c>
      <c r="AD390" s="3">
        <v>44224</v>
      </c>
      <c r="AE390" s="2" t="s">
        <v>58</v>
      </c>
      <c r="AF390" s="2">
        <v>1983750</v>
      </c>
      <c r="AG390" s="2">
        <v>39675</v>
      </c>
      <c r="AH390" s="2" t="s">
        <v>5003</v>
      </c>
      <c r="AI390" s="2">
        <v>39675</v>
      </c>
      <c r="AJ390" s="11">
        <v>0</v>
      </c>
      <c r="AK390" s="11"/>
    </row>
    <row r="391" spans="1:37" hidden="1">
      <c r="A391" s="10">
        <v>390</v>
      </c>
      <c r="B391" s="2" t="s">
        <v>37</v>
      </c>
      <c r="C391" s="2" t="s">
        <v>5004</v>
      </c>
      <c r="D391" s="2" t="s">
        <v>39</v>
      </c>
      <c r="E391" s="2" t="s">
        <v>40</v>
      </c>
      <c r="F391" s="2" t="s">
        <v>5005</v>
      </c>
      <c r="G391" s="2" t="s">
        <v>1557</v>
      </c>
      <c r="H391" s="2" t="s">
        <v>5006</v>
      </c>
      <c r="I391" s="2" t="s">
        <v>5007</v>
      </c>
      <c r="J391" s="2" t="s">
        <v>51</v>
      </c>
      <c r="K391" s="2" t="s">
        <v>328</v>
      </c>
      <c r="L391" s="2" t="s">
        <v>5008</v>
      </c>
      <c r="M391" s="2">
        <v>1961400</v>
      </c>
      <c r="N391" s="2">
        <v>2802000</v>
      </c>
      <c r="O391" s="2" t="s">
        <v>5009</v>
      </c>
      <c r="P391" s="3">
        <v>45680</v>
      </c>
      <c r="Q391" s="2" t="s">
        <v>5010</v>
      </c>
      <c r="R391" s="2" t="s">
        <v>5011</v>
      </c>
      <c r="S391" s="2" t="s">
        <v>50</v>
      </c>
      <c r="T391" s="2" t="s">
        <v>51</v>
      </c>
      <c r="U391" s="2" t="s">
        <v>1939</v>
      </c>
      <c r="V391" s="2" t="s">
        <v>1194</v>
      </c>
      <c r="W391" s="3">
        <v>44951</v>
      </c>
      <c r="X391" s="2" t="s">
        <v>3508</v>
      </c>
      <c r="Y391" s="3">
        <v>46779</v>
      </c>
      <c r="Z391" s="2" t="s">
        <v>5012</v>
      </c>
      <c r="AA391" s="2">
        <v>5</v>
      </c>
      <c r="AB391" s="2" t="s">
        <v>106</v>
      </c>
      <c r="AC391" s="2" t="s">
        <v>5013</v>
      </c>
      <c r="AD391" s="3">
        <v>44950</v>
      </c>
      <c r="AE391" s="2" t="s">
        <v>108</v>
      </c>
      <c r="AF391" s="2">
        <v>2381700</v>
      </c>
      <c r="AG391" s="2">
        <v>41680</v>
      </c>
      <c r="AH391" s="2" t="s">
        <v>5014</v>
      </c>
      <c r="AI391" s="2">
        <v>41680</v>
      </c>
      <c r="AJ391" s="11">
        <v>0</v>
      </c>
      <c r="AK391" s="11"/>
    </row>
    <row r="392" spans="1:37" hidden="1">
      <c r="A392" s="10">
        <v>391</v>
      </c>
      <c r="B392" s="2" t="s">
        <v>37</v>
      </c>
      <c r="C392" s="2" t="s">
        <v>5015</v>
      </c>
      <c r="D392" s="2" t="s">
        <v>39</v>
      </c>
      <c r="E392" s="2" t="s">
        <v>40</v>
      </c>
      <c r="F392" s="2" t="s">
        <v>5016</v>
      </c>
      <c r="G392" s="2" t="s">
        <v>62</v>
      </c>
      <c r="H392" s="2" t="s">
        <v>5017</v>
      </c>
      <c r="I392" s="2" t="s">
        <v>5018</v>
      </c>
      <c r="J392" s="2" t="s">
        <v>5018</v>
      </c>
      <c r="K392" s="2" t="s">
        <v>328</v>
      </c>
      <c r="L392" s="2" t="s">
        <v>5019</v>
      </c>
      <c r="M392" s="2">
        <v>1190000</v>
      </c>
      <c r="N392" s="2">
        <v>1700000</v>
      </c>
      <c r="O392" s="2" t="s">
        <v>5020</v>
      </c>
      <c r="P392" s="3">
        <v>45684</v>
      </c>
      <c r="Q392" s="2" t="s">
        <v>5021</v>
      </c>
      <c r="R392" s="2" t="s">
        <v>5022</v>
      </c>
      <c r="S392" s="2" t="s">
        <v>69</v>
      </c>
      <c r="T392" s="2" t="s">
        <v>5023</v>
      </c>
      <c r="U392" s="2" t="s">
        <v>236</v>
      </c>
      <c r="V392" s="2" t="s">
        <v>391</v>
      </c>
      <c r="W392" s="3">
        <v>44592</v>
      </c>
      <c r="X392" s="2" t="s">
        <v>1414</v>
      </c>
      <c r="Y392" s="3">
        <v>47152</v>
      </c>
      <c r="Z392" s="2" t="s">
        <v>5024</v>
      </c>
      <c r="AA392" s="2">
        <v>7</v>
      </c>
      <c r="AB392" s="2" t="s">
        <v>90</v>
      </c>
      <c r="AC392" s="2" t="s">
        <v>5025</v>
      </c>
      <c r="AD392" s="3">
        <v>44592</v>
      </c>
      <c r="AE392" s="2" t="s">
        <v>77</v>
      </c>
      <c r="AF392" s="2">
        <v>1360000</v>
      </c>
      <c r="AG392" s="2">
        <v>20400</v>
      </c>
      <c r="AH392" s="2" t="s">
        <v>5026</v>
      </c>
      <c r="AI392" s="2">
        <v>20400</v>
      </c>
      <c r="AJ392" s="11">
        <v>0</v>
      </c>
      <c r="AK392" s="11"/>
    </row>
    <row r="393" spans="1:37" hidden="1">
      <c r="A393" s="10">
        <v>392</v>
      </c>
      <c r="B393" s="2" t="s">
        <v>37</v>
      </c>
      <c r="C393" s="2" t="s">
        <v>5027</v>
      </c>
      <c r="D393" s="2" t="s">
        <v>39</v>
      </c>
      <c r="E393" s="2" t="s">
        <v>40</v>
      </c>
      <c r="F393" s="2" t="s">
        <v>5028</v>
      </c>
      <c r="G393" s="2" t="s">
        <v>276</v>
      </c>
      <c r="H393" s="2" t="s">
        <v>5029</v>
      </c>
      <c r="I393" s="2" t="s">
        <v>5030</v>
      </c>
      <c r="J393" s="2" t="s">
        <v>5030</v>
      </c>
      <c r="K393" s="2" t="s">
        <v>5031</v>
      </c>
      <c r="L393" s="2" t="s">
        <v>5032</v>
      </c>
      <c r="M393" s="2">
        <v>993000</v>
      </c>
      <c r="N393" s="2">
        <v>1655000</v>
      </c>
      <c r="O393" s="2" t="s">
        <v>5033</v>
      </c>
      <c r="P393" s="3">
        <v>45684</v>
      </c>
      <c r="Q393" s="2" t="s">
        <v>5034</v>
      </c>
      <c r="R393" s="2" t="s">
        <v>5035</v>
      </c>
      <c r="S393" s="2" t="s">
        <v>50</v>
      </c>
      <c r="T393" s="2" t="s">
        <v>51</v>
      </c>
      <c r="U393" s="2" t="s">
        <v>820</v>
      </c>
      <c r="V393" s="2" t="s">
        <v>286</v>
      </c>
      <c r="W393" s="3">
        <v>44456</v>
      </c>
      <c r="X393" s="2" t="s">
        <v>1414</v>
      </c>
      <c r="Y393" s="3">
        <v>47152</v>
      </c>
      <c r="Z393" s="2" t="s">
        <v>5036</v>
      </c>
      <c r="AA393" s="2">
        <v>7</v>
      </c>
      <c r="AB393" s="2" t="s">
        <v>90</v>
      </c>
      <c r="AC393" s="2" t="s">
        <v>5037</v>
      </c>
      <c r="AD393" s="3">
        <v>44590</v>
      </c>
      <c r="AE393" s="2" t="s">
        <v>58</v>
      </c>
      <c r="AF393" s="2">
        <v>1324000</v>
      </c>
      <c r="AG393" s="2">
        <v>26480</v>
      </c>
      <c r="AH393" s="2" t="s">
        <v>5038</v>
      </c>
      <c r="AI393" s="2">
        <v>26480</v>
      </c>
      <c r="AJ393" s="11">
        <v>0</v>
      </c>
      <c r="AK393" s="11"/>
    </row>
    <row r="394" spans="1:37" hidden="1">
      <c r="A394" s="10">
        <v>393</v>
      </c>
      <c r="B394" s="2" t="s">
        <v>37</v>
      </c>
      <c r="C394" s="2" t="s">
        <v>5039</v>
      </c>
      <c r="D394" s="2" t="s">
        <v>39</v>
      </c>
      <c r="E394" s="2" t="s">
        <v>40</v>
      </c>
      <c r="F394" s="2" t="s">
        <v>5040</v>
      </c>
      <c r="G394" s="2" t="s">
        <v>276</v>
      </c>
      <c r="H394" s="2" t="s">
        <v>5041</v>
      </c>
      <c r="I394" s="2">
        <v>3219486933</v>
      </c>
      <c r="J394" s="2">
        <v>3219486933</v>
      </c>
      <c r="K394" s="2">
        <v>4237637156</v>
      </c>
      <c r="L394" s="2" t="s">
        <v>5042</v>
      </c>
      <c r="M394" s="2">
        <v>1224750</v>
      </c>
      <c r="N394" s="2">
        <v>1633000</v>
      </c>
      <c r="O394" s="2" t="s">
        <v>5043</v>
      </c>
      <c r="P394" s="3">
        <v>45684</v>
      </c>
      <c r="Q394" s="2" t="s">
        <v>5044</v>
      </c>
      <c r="R394" s="2">
        <v>1046167</v>
      </c>
      <c r="S394" s="2" t="s">
        <v>50</v>
      </c>
      <c r="T394" s="2"/>
      <c r="U394" s="2" t="s">
        <v>5045</v>
      </c>
      <c r="V394" s="2">
        <v>2021</v>
      </c>
      <c r="W394" s="3">
        <v>44226</v>
      </c>
      <c r="X394" s="2" t="s">
        <v>1825</v>
      </c>
      <c r="Y394" s="3">
        <v>46056</v>
      </c>
      <c r="Z394" s="2" t="s">
        <v>5046</v>
      </c>
      <c r="AA394" s="2">
        <v>5</v>
      </c>
      <c r="AB394" s="2" t="s">
        <v>90</v>
      </c>
      <c r="AC394" s="2" t="s">
        <v>5047</v>
      </c>
      <c r="AD394" s="3">
        <v>44224</v>
      </c>
      <c r="AE394" s="2" t="s">
        <v>58</v>
      </c>
      <c r="AF394" s="2">
        <v>1224750</v>
      </c>
      <c r="AG394" s="2">
        <v>24495</v>
      </c>
      <c r="AH394" s="2" t="s">
        <v>5048</v>
      </c>
      <c r="AI394" s="2">
        <v>24495</v>
      </c>
      <c r="AJ394" s="11">
        <v>0</v>
      </c>
      <c r="AK394" s="11"/>
    </row>
    <row r="395" spans="1:37" hidden="1">
      <c r="A395" s="10">
        <v>394</v>
      </c>
      <c r="B395" s="2" t="s">
        <v>37</v>
      </c>
      <c r="C395" s="2" t="s">
        <v>5049</v>
      </c>
      <c r="D395" s="2" t="s">
        <v>39</v>
      </c>
      <c r="E395" s="2" t="s">
        <v>40</v>
      </c>
      <c r="F395" s="2" t="s">
        <v>5050</v>
      </c>
      <c r="G395" s="2" t="s">
        <v>276</v>
      </c>
      <c r="H395" s="2" t="s">
        <v>5051</v>
      </c>
      <c r="I395" s="2" t="s">
        <v>5052</v>
      </c>
      <c r="J395" s="2" t="s">
        <v>5052</v>
      </c>
      <c r="K395" s="2" t="s">
        <v>5052</v>
      </c>
      <c r="L395" s="2" t="s">
        <v>5053</v>
      </c>
      <c r="M395" s="2">
        <v>1208000</v>
      </c>
      <c r="N395" s="2">
        <v>1510000</v>
      </c>
      <c r="O395" s="2" t="s">
        <v>5054</v>
      </c>
      <c r="P395" s="3">
        <v>45683</v>
      </c>
      <c r="Q395" s="2" t="s">
        <v>5055</v>
      </c>
      <c r="R395" s="2" t="s">
        <v>5056</v>
      </c>
      <c r="S395" s="2" t="s">
        <v>69</v>
      </c>
      <c r="T395" s="2" t="s">
        <v>5057</v>
      </c>
      <c r="U395" s="2" t="s">
        <v>285</v>
      </c>
      <c r="V395" s="2" t="s">
        <v>300</v>
      </c>
      <c r="W395" s="3">
        <v>44589</v>
      </c>
      <c r="X395" s="2" t="s">
        <v>1414</v>
      </c>
      <c r="Y395" s="3">
        <v>46421</v>
      </c>
      <c r="Z395" s="2" t="s">
        <v>5058</v>
      </c>
      <c r="AA395" s="2">
        <v>5</v>
      </c>
      <c r="AB395" s="2" t="s">
        <v>90</v>
      </c>
      <c r="AC395" s="2" t="s">
        <v>5059</v>
      </c>
      <c r="AD395" s="3">
        <v>44588</v>
      </c>
      <c r="AE395" s="2" t="s">
        <v>77</v>
      </c>
      <c r="AF395" s="2">
        <v>1208000</v>
      </c>
      <c r="AG395" s="2">
        <v>18120</v>
      </c>
      <c r="AH395" s="2" t="s">
        <v>5060</v>
      </c>
      <c r="AI395" s="2">
        <v>18120</v>
      </c>
      <c r="AJ395" s="11">
        <v>0</v>
      </c>
      <c r="AK395" s="11"/>
    </row>
    <row r="396" spans="1:37" hidden="1">
      <c r="A396" s="10">
        <v>395</v>
      </c>
      <c r="B396" s="2" t="s">
        <v>37</v>
      </c>
      <c r="C396" s="2" t="s">
        <v>5061</v>
      </c>
      <c r="D396" s="2" t="s">
        <v>39</v>
      </c>
      <c r="E396" s="2" t="s">
        <v>40</v>
      </c>
      <c r="F396" s="2" t="s">
        <v>5062</v>
      </c>
      <c r="G396" s="2" t="s">
        <v>276</v>
      </c>
      <c r="H396" s="2" t="s">
        <v>5063</v>
      </c>
      <c r="I396" s="2" t="s">
        <v>5064</v>
      </c>
      <c r="J396" s="2" t="s">
        <v>5064</v>
      </c>
      <c r="K396" s="2" t="s">
        <v>5065</v>
      </c>
      <c r="L396" s="2" t="s">
        <v>5066</v>
      </c>
      <c r="M396" s="2">
        <v>1505000</v>
      </c>
      <c r="N396" s="2">
        <v>2150000</v>
      </c>
      <c r="O396" s="2" t="s">
        <v>5067</v>
      </c>
      <c r="P396" s="3">
        <v>45683</v>
      </c>
      <c r="Q396" s="2" t="s">
        <v>5068</v>
      </c>
      <c r="R396" s="2" t="s">
        <v>5069</v>
      </c>
      <c r="S396" s="2" t="s">
        <v>69</v>
      </c>
      <c r="T396" s="2" t="s">
        <v>5070</v>
      </c>
      <c r="U396" s="2" t="s">
        <v>435</v>
      </c>
      <c r="V396" s="2" t="s">
        <v>286</v>
      </c>
      <c r="W396" s="3">
        <v>44956</v>
      </c>
      <c r="X396" s="2" t="s">
        <v>3435</v>
      </c>
      <c r="Y396" s="3">
        <v>46786</v>
      </c>
      <c r="Z396" s="2" t="s">
        <v>5071</v>
      </c>
      <c r="AA396" s="2">
        <v>5</v>
      </c>
      <c r="AB396" s="2" t="s">
        <v>106</v>
      </c>
      <c r="AC396" s="2" t="s">
        <v>5072</v>
      </c>
      <c r="AD396" s="3">
        <v>44954</v>
      </c>
      <c r="AE396" s="2" t="s">
        <v>77</v>
      </c>
      <c r="AF396" s="2">
        <v>1827500</v>
      </c>
      <c r="AG396" s="2">
        <v>27413</v>
      </c>
      <c r="AH396" s="2" t="s">
        <v>5073</v>
      </c>
      <c r="AI396" s="2">
        <v>27413</v>
      </c>
      <c r="AJ396" s="11">
        <v>0</v>
      </c>
      <c r="AK396" s="11"/>
    </row>
    <row r="397" spans="1:37" hidden="1">
      <c r="A397" s="10">
        <v>396</v>
      </c>
      <c r="B397" s="2" t="s">
        <v>37</v>
      </c>
      <c r="C397" s="2" t="s">
        <v>5074</v>
      </c>
      <c r="D397" s="2" t="s">
        <v>39</v>
      </c>
      <c r="E397" s="2" t="s">
        <v>40</v>
      </c>
      <c r="F397" s="2" t="s">
        <v>5075</v>
      </c>
      <c r="G397" s="2" t="s">
        <v>276</v>
      </c>
      <c r="H397" s="2" t="s">
        <v>5076</v>
      </c>
      <c r="I397" s="2" t="s">
        <v>5077</v>
      </c>
      <c r="J397" s="2" t="s">
        <v>5077</v>
      </c>
      <c r="K397" s="2" t="s">
        <v>5077</v>
      </c>
      <c r="L397" s="2" t="s">
        <v>5078</v>
      </c>
      <c r="M397" s="2">
        <v>2803500</v>
      </c>
      <c r="N397" s="2">
        <v>4005000</v>
      </c>
      <c r="O397" s="2" t="s">
        <v>5079</v>
      </c>
      <c r="P397" s="3">
        <v>45683</v>
      </c>
      <c r="Q397" s="2" t="s">
        <v>5080</v>
      </c>
      <c r="R397" s="2" t="s">
        <v>5081</v>
      </c>
      <c r="S397" s="2" t="s">
        <v>69</v>
      </c>
      <c r="T397" s="2" t="s">
        <v>5082</v>
      </c>
      <c r="U397" s="2" t="s">
        <v>4991</v>
      </c>
      <c r="V397" s="2" t="s">
        <v>286</v>
      </c>
      <c r="W397" s="3">
        <v>44590</v>
      </c>
      <c r="X397" s="2" t="s">
        <v>1414</v>
      </c>
      <c r="Y397" s="3">
        <v>46421</v>
      </c>
      <c r="Z397" s="2" t="s">
        <v>5083</v>
      </c>
      <c r="AA397" s="2">
        <v>5</v>
      </c>
      <c r="AB397" s="2" t="s">
        <v>75</v>
      </c>
      <c r="AC397" s="2" t="s">
        <v>5084</v>
      </c>
      <c r="AD397" s="3">
        <v>44590</v>
      </c>
      <c r="AE397" s="2" t="s">
        <v>77</v>
      </c>
      <c r="AF397" s="2">
        <v>3204000</v>
      </c>
      <c r="AG397" s="2">
        <v>48060</v>
      </c>
      <c r="AH397" s="2" t="s">
        <v>5085</v>
      </c>
      <c r="AI397" s="2">
        <v>48060</v>
      </c>
      <c r="AJ397" s="11">
        <v>0</v>
      </c>
      <c r="AK397" s="11"/>
    </row>
    <row r="398" spans="1:37" hidden="1">
      <c r="A398" s="10">
        <v>397</v>
      </c>
      <c r="B398" s="2" t="s">
        <v>37</v>
      </c>
      <c r="C398" s="2" t="s">
        <v>5086</v>
      </c>
      <c r="D398" s="2" t="s">
        <v>39</v>
      </c>
      <c r="E398" s="2" t="s">
        <v>40</v>
      </c>
      <c r="F398" s="2" t="s">
        <v>214</v>
      </c>
      <c r="G398" s="2" t="s">
        <v>276</v>
      </c>
      <c r="H398" s="2" t="s">
        <v>5087</v>
      </c>
      <c r="I398" s="2" t="s">
        <v>51</v>
      </c>
      <c r="J398" s="2" t="s">
        <v>5088</v>
      </c>
      <c r="K398" s="2" t="s">
        <v>5089</v>
      </c>
      <c r="L398" s="2" t="s">
        <v>5090</v>
      </c>
      <c r="M398" s="2">
        <v>2100000</v>
      </c>
      <c r="N398" s="2">
        <v>3000000</v>
      </c>
      <c r="O398" s="2" t="s">
        <v>5091</v>
      </c>
      <c r="P398" s="3">
        <v>45683</v>
      </c>
      <c r="Q398" s="2" t="s">
        <v>5092</v>
      </c>
      <c r="R398" s="2" t="s">
        <v>5093</v>
      </c>
      <c r="S398" s="2" t="s">
        <v>69</v>
      </c>
      <c r="T398" s="2" t="s">
        <v>5094</v>
      </c>
      <c r="U398" s="2" t="s">
        <v>563</v>
      </c>
      <c r="V398" s="2" t="s">
        <v>300</v>
      </c>
      <c r="W398" s="3">
        <v>44592</v>
      </c>
      <c r="X398" s="2" t="s">
        <v>1414</v>
      </c>
      <c r="Y398" s="3">
        <v>46421</v>
      </c>
      <c r="Z398" s="2" t="s">
        <v>5095</v>
      </c>
      <c r="AA398" s="2">
        <v>5</v>
      </c>
      <c r="AB398" s="2" t="s">
        <v>90</v>
      </c>
      <c r="AC398" s="2" t="s">
        <v>5096</v>
      </c>
      <c r="AD398" s="3">
        <v>44589</v>
      </c>
      <c r="AE398" s="2" t="s">
        <v>77</v>
      </c>
      <c r="AF398" s="2">
        <v>2400000</v>
      </c>
      <c r="AG398" s="2">
        <v>36000</v>
      </c>
      <c r="AH398" s="2" t="s">
        <v>5097</v>
      </c>
      <c r="AI398" s="2">
        <v>36000</v>
      </c>
      <c r="AJ398" s="11">
        <v>0</v>
      </c>
      <c r="AK398" s="11"/>
    </row>
    <row r="399" spans="1:37" hidden="1">
      <c r="A399" s="10">
        <v>398</v>
      </c>
      <c r="B399" s="2" t="s">
        <v>37</v>
      </c>
      <c r="C399" s="2" t="s">
        <v>5098</v>
      </c>
      <c r="D399" s="2" t="s">
        <v>39</v>
      </c>
      <c r="E399" s="2" t="s">
        <v>40</v>
      </c>
      <c r="F399" s="2" t="s">
        <v>5099</v>
      </c>
      <c r="G399" s="2" t="s">
        <v>497</v>
      </c>
      <c r="H399" s="2" t="s">
        <v>5100</v>
      </c>
      <c r="I399" s="2" t="s">
        <v>5101</v>
      </c>
      <c r="J399" s="2" t="s">
        <v>5101</v>
      </c>
      <c r="K399" s="2" t="s">
        <v>5101</v>
      </c>
      <c r="L399" s="2" t="s">
        <v>5102</v>
      </c>
      <c r="M399" s="2">
        <v>2432430</v>
      </c>
      <c r="N399" s="2">
        <v>3159000</v>
      </c>
      <c r="O399" s="2" t="s">
        <v>5103</v>
      </c>
      <c r="P399" s="3">
        <v>45683</v>
      </c>
      <c r="Q399" s="2" t="s">
        <v>5104</v>
      </c>
      <c r="R399" s="2" t="s">
        <v>5105</v>
      </c>
      <c r="S399" s="2" t="s">
        <v>50</v>
      </c>
      <c r="T399" s="2" t="e">
        <v>#N/A</v>
      </c>
      <c r="U399" s="2" t="s">
        <v>1030</v>
      </c>
      <c r="V399" s="2" t="s">
        <v>521</v>
      </c>
      <c r="W399" s="3">
        <v>43830</v>
      </c>
      <c r="X399" s="2" t="s">
        <v>5106</v>
      </c>
      <c r="Y399" s="3">
        <v>46421</v>
      </c>
      <c r="Z399" s="2" t="s">
        <v>5107</v>
      </c>
      <c r="AA399" s="2">
        <v>7</v>
      </c>
      <c r="AB399" s="2" t="s">
        <v>90</v>
      </c>
      <c r="AC399" s="2" t="s">
        <v>5108</v>
      </c>
      <c r="AD399" s="3">
        <v>43857</v>
      </c>
      <c r="AE399" s="2" t="s">
        <v>58</v>
      </c>
      <c r="AF399" s="2">
        <v>2211300</v>
      </c>
      <c r="AG399" s="2">
        <v>44226</v>
      </c>
      <c r="AH399" s="2" t="s">
        <v>5109</v>
      </c>
      <c r="AI399" s="2">
        <v>44226</v>
      </c>
      <c r="AJ399" s="11">
        <v>0</v>
      </c>
      <c r="AK399" s="11"/>
    </row>
    <row r="400" spans="1:37" hidden="1">
      <c r="A400" s="10">
        <v>399</v>
      </c>
      <c r="B400" s="2" t="s">
        <v>37</v>
      </c>
      <c r="C400" s="2" t="s">
        <v>5110</v>
      </c>
      <c r="D400" s="2" t="s">
        <v>39</v>
      </c>
      <c r="E400" s="2" t="s">
        <v>40</v>
      </c>
      <c r="F400" s="2" t="s">
        <v>1291</v>
      </c>
      <c r="G400" s="2" t="s">
        <v>112</v>
      </c>
      <c r="H400" s="2" t="s">
        <v>5111</v>
      </c>
      <c r="I400" s="2" t="s">
        <v>5112</v>
      </c>
      <c r="J400" s="2" t="s">
        <v>51</v>
      </c>
      <c r="K400" s="2" t="s">
        <v>5113</v>
      </c>
      <c r="L400" s="2" t="s">
        <v>5114</v>
      </c>
      <c r="M400" s="2">
        <v>636400</v>
      </c>
      <c r="N400" s="2">
        <v>860000</v>
      </c>
      <c r="O400" s="2" t="s">
        <v>5115</v>
      </c>
      <c r="P400" s="3">
        <v>45681</v>
      </c>
      <c r="Q400" s="2" t="s">
        <v>5116</v>
      </c>
      <c r="R400" s="2" t="s">
        <v>5117</v>
      </c>
      <c r="S400" s="2" t="s">
        <v>50</v>
      </c>
      <c r="T400" s="2" t="s">
        <v>5118</v>
      </c>
      <c r="U400" s="2" t="s">
        <v>5119</v>
      </c>
      <c r="V400" s="2" t="s">
        <v>300</v>
      </c>
      <c r="W400" s="3">
        <v>43494</v>
      </c>
      <c r="X400" s="2" t="s">
        <v>4512</v>
      </c>
      <c r="Y400" s="3">
        <v>46056</v>
      </c>
      <c r="Z400" s="2" t="s">
        <v>5120</v>
      </c>
      <c r="AA400" s="2">
        <v>7</v>
      </c>
      <c r="AB400" s="2" t="s">
        <v>90</v>
      </c>
      <c r="AC400" s="2" t="s">
        <v>5121</v>
      </c>
      <c r="AD400" s="3">
        <v>43494</v>
      </c>
      <c r="AE400" s="2" t="s">
        <v>729</v>
      </c>
      <c r="AF400" s="2">
        <v>559000</v>
      </c>
      <c r="AG400" s="2">
        <v>13975</v>
      </c>
      <c r="AH400" s="2" t="s">
        <v>5122</v>
      </c>
      <c r="AI400" s="2">
        <v>13975</v>
      </c>
      <c r="AJ400" s="11">
        <v>0</v>
      </c>
      <c r="AK400" s="11"/>
    </row>
    <row r="401" spans="1:37" hidden="1">
      <c r="A401" s="10">
        <v>400</v>
      </c>
      <c r="B401" s="2" t="s">
        <v>37</v>
      </c>
      <c r="C401" s="2" t="s">
        <v>5123</v>
      </c>
      <c r="D401" s="2" t="s">
        <v>39</v>
      </c>
      <c r="E401" s="2" t="s">
        <v>40</v>
      </c>
      <c r="F401" s="2" t="s">
        <v>5124</v>
      </c>
      <c r="G401" s="2" t="s">
        <v>276</v>
      </c>
      <c r="H401" s="2" t="s">
        <v>5125</v>
      </c>
      <c r="I401" s="2" t="s">
        <v>5126</v>
      </c>
      <c r="J401" s="2" t="s">
        <v>5126</v>
      </c>
      <c r="K401" s="2" t="s">
        <v>5126</v>
      </c>
      <c r="L401" s="2" t="s">
        <v>5127</v>
      </c>
      <c r="M401" s="2">
        <v>1713950</v>
      </c>
      <c r="N401" s="2">
        <v>2905000</v>
      </c>
      <c r="O401" s="2" t="s">
        <v>5128</v>
      </c>
      <c r="P401" s="3">
        <v>45683</v>
      </c>
      <c r="Q401" s="2" t="s">
        <v>5129</v>
      </c>
      <c r="R401" s="2" t="s">
        <v>5130</v>
      </c>
      <c r="S401" s="2" t="s">
        <v>50</v>
      </c>
      <c r="T401" s="2" t="s">
        <v>51</v>
      </c>
      <c r="U401" s="2" t="s">
        <v>1325</v>
      </c>
      <c r="V401" s="2" t="s">
        <v>53</v>
      </c>
      <c r="W401" s="3">
        <v>44592</v>
      </c>
      <c r="X401" s="2" t="s">
        <v>1414</v>
      </c>
      <c r="Y401" s="3">
        <v>46421</v>
      </c>
      <c r="Z401" s="2" t="s">
        <v>5131</v>
      </c>
      <c r="AA401" s="2">
        <v>5</v>
      </c>
      <c r="AB401" s="2" t="s">
        <v>75</v>
      </c>
      <c r="AC401" s="2" t="s">
        <v>5132</v>
      </c>
      <c r="AD401" s="3">
        <v>44589</v>
      </c>
      <c r="AE401" s="2" t="s">
        <v>58</v>
      </c>
      <c r="AF401" s="2">
        <v>2324000</v>
      </c>
      <c r="AG401" s="2">
        <v>46480</v>
      </c>
      <c r="AH401" s="2" t="s">
        <v>5133</v>
      </c>
      <c r="AI401" s="2">
        <v>46480</v>
      </c>
      <c r="AJ401" s="11">
        <v>0</v>
      </c>
      <c r="AK401" s="11"/>
    </row>
    <row r="402" spans="1:37" hidden="1">
      <c r="A402" s="10">
        <v>401</v>
      </c>
      <c r="B402" s="2" t="s">
        <v>37</v>
      </c>
      <c r="C402" s="2" t="s">
        <v>5134</v>
      </c>
      <c r="D402" s="2" t="s">
        <v>39</v>
      </c>
      <c r="E402" s="2" t="s">
        <v>40</v>
      </c>
      <c r="F402" s="2" t="s">
        <v>5135</v>
      </c>
      <c r="G402" s="2" t="s">
        <v>42</v>
      </c>
      <c r="H402" s="2" t="s">
        <v>5136</v>
      </c>
      <c r="I402" s="2" t="s">
        <v>5137</v>
      </c>
      <c r="J402" s="2" t="s">
        <v>5138</v>
      </c>
      <c r="K402" s="2" t="s">
        <v>5139</v>
      </c>
      <c r="L402" s="2" t="s">
        <v>5140</v>
      </c>
      <c r="M402" s="2">
        <v>1488000</v>
      </c>
      <c r="N402" s="2">
        <v>1860000</v>
      </c>
      <c r="O402" s="2" t="s">
        <v>5141</v>
      </c>
      <c r="P402" s="3">
        <v>45683</v>
      </c>
      <c r="Q402" s="2" t="s">
        <v>5142</v>
      </c>
      <c r="R402" s="2" t="s">
        <v>5143</v>
      </c>
      <c r="S402" s="2" t="s">
        <v>69</v>
      </c>
      <c r="T402" s="2" t="s">
        <v>5144</v>
      </c>
      <c r="U402" s="2" t="s">
        <v>1166</v>
      </c>
      <c r="V402" s="2" t="s">
        <v>300</v>
      </c>
      <c r="W402" s="3">
        <v>44589</v>
      </c>
      <c r="X402" s="2" t="s">
        <v>1414</v>
      </c>
      <c r="Y402" s="3">
        <v>46421</v>
      </c>
      <c r="Z402" s="2" t="s">
        <v>5145</v>
      </c>
      <c r="AA402" s="2">
        <v>5</v>
      </c>
      <c r="AB402" s="2" t="s">
        <v>90</v>
      </c>
      <c r="AC402" s="2" t="s">
        <v>5146</v>
      </c>
      <c r="AD402" s="3">
        <v>44588</v>
      </c>
      <c r="AE402" s="2" t="s">
        <v>77</v>
      </c>
      <c r="AF402" s="2">
        <v>1488000</v>
      </c>
      <c r="AG402" s="2">
        <v>22320</v>
      </c>
      <c r="AH402" s="2" t="s">
        <v>5147</v>
      </c>
      <c r="AI402" s="2">
        <v>22320</v>
      </c>
      <c r="AJ402" s="11">
        <v>0</v>
      </c>
      <c r="AK402" s="11"/>
    </row>
    <row r="403" spans="1:37" hidden="1">
      <c r="A403" s="10">
        <v>402</v>
      </c>
      <c r="B403" s="2" t="s">
        <v>37</v>
      </c>
      <c r="C403" s="2" t="s">
        <v>5148</v>
      </c>
      <c r="D403" s="2" t="s">
        <v>39</v>
      </c>
      <c r="E403" s="2" t="s">
        <v>40</v>
      </c>
      <c r="F403" s="2" t="s">
        <v>5149</v>
      </c>
      <c r="G403" s="2" t="s">
        <v>276</v>
      </c>
      <c r="H403" s="2" t="s">
        <v>5150</v>
      </c>
      <c r="I403" s="2">
        <v>3004664520</v>
      </c>
      <c r="J403" s="2">
        <v>3004664520</v>
      </c>
      <c r="K403" s="2">
        <v>3004664520</v>
      </c>
      <c r="L403" s="2" t="s">
        <v>5151</v>
      </c>
      <c r="M403" s="2">
        <v>1512000</v>
      </c>
      <c r="N403" s="2">
        <v>1890000</v>
      </c>
      <c r="O403" s="2" t="s">
        <v>5152</v>
      </c>
      <c r="P403" s="3">
        <v>45683</v>
      </c>
      <c r="Q403" s="2">
        <v>209005</v>
      </c>
      <c r="R403" s="4" t="s">
        <v>5153</v>
      </c>
      <c r="S403" s="2" t="s">
        <v>50</v>
      </c>
      <c r="T403" s="2"/>
      <c r="U403" s="2" t="s">
        <v>5154</v>
      </c>
      <c r="V403" s="2">
        <v>2021</v>
      </c>
      <c r="W403" s="3">
        <v>44226</v>
      </c>
      <c r="X403" s="2" t="s">
        <v>1825</v>
      </c>
      <c r="Y403" s="3">
        <v>46056</v>
      </c>
      <c r="Z403" s="2" t="s">
        <v>5155</v>
      </c>
      <c r="AA403" s="2">
        <v>5</v>
      </c>
      <c r="AB403" s="2" t="s">
        <v>106</v>
      </c>
      <c r="AC403" s="2" t="s">
        <v>5156</v>
      </c>
      <c r="AD403" s="3">
        <v>44223</v>
      </c>
      <c r="AE403" s="2" t="s">
        <v>58</v>
      </c>
      <c r="AF403" s="2">
        <v>1417500</v>
      </c>
      <c r="AG403" s="2">
        <v>28350</v>
      </c>
      <c r="AH403" s="2" t="s">
        <v>5157</v>
      </c>
      <c r="AI403" s="2">
        <v>28350</v>
      </c>
      <c r="AJ403" s="11">
        <v>0</v>
      </c>
      <c r="AK403" s="11"/>
    </row>
    <row r="404" spans="1:37" hidden="1">
      <c r="A404" s="10">
        <v>403</v>
      </c>
      <c r="B404" s="2" t="s">
        <v>37</v>
      </c>
      <c r="C404" s="2" t="s">
        <v>5158</v>
      </c>
      <c r="D404" s="2" t="s">
        <v>39</v>
      </c>
      <c r="E404" s="2" t="s">
        <v>40</v>
      </c>
      <c r="F404" s="2" t="s">
        <v>5159</v>
      </c>
      <c r="G404" s="2" t="s">
        <v>62</v>
      </c>
      <c r="H404" s="2" t="s">
        <v>5160</v>
      </c>
      <c r="I404" s="2" t="s">
        <v>5161</v>
      </c>
      <c r="J404" s="2" t="s">
        <v>5161</v>
      </c>
      <c r="K404" s="2" t="s">
        <v>5161</v>
      </c>
      <c r="L404" s="2" t="s">
        <v>5162</v>
      </c>
      <c r="M404" s="2">
        <v>1236800</v>
      </c>
      <c r="N404" s="2">
        <v>1546000</v>
      </c>
      <c r="O404" s="2" t="s">
        <v>5163</v>
      </c>
      <c r="P404" s="3">
        <v>45683</v>
      </c>
      <c r="Q404" s="2" t="s">
        <v>5164</v>
      </c>
      <c r="R404" s="2" t="s">
        <v>5165</v>
      </c>
      <c r="S404" s="2" t="s">
        <v>50</v>
      </c>
      <c r="T404" s="2" t="s">
        <v>51</v>
      </c>
      <c r="U404" s="2" t="s">
        <v>285</v>
      </c>
      <c r="V404" s="2" t="s">
        <v>53</v>
      </c>
      <c r="W404" s="3">
        <v>44589</v>
      </c>
      <c r="X404" s="2" t="s">
        <v>1414</v>
      </c>
      <c r="Y404" s="3">
        <v>46421</v>
      </c>
      <c r="Z404" s="2" t="s">
        <v>5166</v>
      </c>
      <c r="AA404" s="2">
        <v>5</v>
      </c>
      <c r="AB404" s="2" t="s">
        <v>90</v>
      </c>
      <c r="AC404" s="2" t="s">
        <v>5167</v>
      </c>
      <c r="AD404" s="3">
        <v>44588</v>
      </c>
      <c r="AE404" s="2" t="s">
        <v>58</v>
      </c>
      <c r="AF404" s="2">
        <v>1236800</v>
      </c>
      <c r="AG404" s="2">
        <v>24736</v>
      </c>
      <c r="AH404" s="2" t="s">
        <v>5168</v>
      </c>
      <c r="AI404" s="2">
        <v>24736</v>
      </c>
      <c r="AJ404" s="11">
        <v>0</v>
      </c>
      <c r="AK404" s="11"/>
    </row>
    <row r="405" spans="1:37" hidden="1">
      <c r="A405" s="10">
        <v>404</v>
      </c>
      <c r="B405" s="2" t="s">
        <v>37</v>
      </c>
      <c r="C405" s="2" t="s">
        <v>5169</v>
      </c>
      <c r="D405" s="2" t="s">
        <v>39</v>
      </c>
      <c r="E405" s="2" t="s">
        <v>40</v>
      </c>
      <c r="F405" s="2" t="s">
        <v>5170</v>
      </c>
      <c r="G405" s="2" t="s">
        <v>62</v>
      </c>
      <c r="H405" s="2" t="s">
        <v>5171</v>
      </c>
      <c r="I405" s="2" t="s">
        <v>5172</v>
      </c>
      <c r="J405" s="2" t="s">
        <v>5172</v>
      </c>
      <c r="K405" s="2" t="s">
        <v>328</v>
      </c>
      <c r="L405" s="2" t="s">
        <v>5173</v>
      </c>
      <c r="M405" s="2">
        <v>1520000</v>
      </c>
      <c r="N405" s="2">
        <v>1900000</v>
      </c>
      <c r="O405" s="2" t="s">
        <v>5174</v>
      </c>
      <c r="P405" s="3">
        <v>45681</v>
      </c>
      <c r="Q405" s="2" t="s">
        <v>5175</v>
      </c>
      <c r="R405" s="2" t="s">
        <v>5176</v>
      </c>
      <c r="S405" s="2" t="s">
        <v>50</v>
      </c>
      <c r="T405" s="2" t="s">
        <v>5177</v>
      </c>
      <c r="U405" s="2" t="s">
        <v>133</v>
      </c>
      <c r="V405" s="2" t="s">
        <v>286</v>
      </c>
      <c r="W405" s="3">
        <v>44587</v>
      </c>
      <c r="X405" s="2" t="s">
        <v>2428</v>
      </c>
      <c r="Y405" s="3">
        <v>47145</v>
      </c>
      <c r="Z405" s="2" t="s">
        <v>5178</v>
      </c>
      <c r="AA405" s="2">
        <v>7</v>
      </c>
      <c r="AB405" s="2" t="s">
        <v>90</v>
      </c>
      <c r="AC405" s="2" t="s">
        <v>5179</v>
      </c>
      <c r="AD405" s="3">
        <v>44587</v>
      </c>
      <c r="AE405" s="2" t="s">
        <v>77</v>
      </c>
      <c r="AF405" s="2">
        <v>1520000</v>
      </c>
      <c r="AG405" s="2">
        <v>22800</v>
      </c>
      <c r="AH405" s="2" t="s">
        <v>5180</v>
      </c>
      <c r="AI405" s="2">
        <v>22800</v>
      </c>
      <c r="AJ405" s="11">
        <v>0</v>
      </c>
      <c r="AK405" s="11"/>
    </row>
    <row r="406" spans="1:37" hidden="1">
      <c r="A406" s="10">
        <v>405</v>
      </c>
      <c r="B406" s="2" t="s">
        <v>37</v>
      </c>
      <c r="C406" s="2" t="s">
        <v>5181</v>
      </c>
      <c r="D406" s="2" t="s">
        <v>39</v>
      </c>
      <c r="E406" s="2" t="s">
        <v>40</v>
      </c>
      <c r="F406" s="2" t="s">
        <v>5182</v>
      </c>
      <c r="G406" s="2" t="s">
        <v>276</v>
      </c>
      <c r="H406" s="2" t="s">
        <v>5183</v>
      </c>
      <c r="I406" s="2">
        <v>3214555745</v>
      </c>
      <c r="J406" s="2">
        <v>3214555745</v>
      </c>
      <c r="K406" s="2">
        <v>3454555745</v>
      </c>
      <c r="L406" s="2" t="s">
        <v>5184</v>
      </c>
      <c r="M406" s="2">
        <v>1384000</v>
      </c>
      <c r="N406" s="2">
        <v>1730000</v>
      </c>
      <c r="O406" s="2" t="s">
        <v>5185</v>
      </c>
      <c r="P406" s="3">
        <v>45683</v>
      </c>
      <c r="Q406" s="2">
        <v>209696</v>
      </c>
      <c r="R406" s="4" t="s">
        <v>5186</v>
      </c>
      <c r="S406" s="2" t="s">
        <v>50</v>
      </c>
      <c r="T406" s="2"/>
      <c r="U406" s="2" t="s">
        <v>253</v>
      </c>
      <c r="V406" s="2">
        <v>2021</v>
      </c>
      <c r="W406" s="3">
        <v>44225</v>
      </c>
      <c r="X406" s="2" t="s">
        <v>1825</v>
      </c>
      <c r="Y406" s="3">
        <v>46056</v>
      </c>
      <c r="Z406" s="2" t="s">
        <v>5187</v>
      </c>
      <c r="AA406" s="2">
        <v>5</v>
      </c>
      <c r="AB406" s="2" t="s">
        <v>90</v>
      </c>
      <c r="AC406" s="2" t="s">
        <v>5188</v>
      </c>
      <c r="AD406" s="3">
        <v>44224</v>
      </c>
      <c r="AE406" s="2" t="s">
        <v>58</v>
      </c>
      <c r="AF406" s="2">
        <v>1297500</v>
      </c>
      <c r="AG406" s="2">
        <v>25950</v>
      </c>
      <c r="AH406" s="2" t="s">
        <v>5189</v>
      </c>
      <c r="AI406" s="2">
        <v>25950</v>
      </c>
      <c r="AJ406" s="11">
        <v>0</v>
      </c>
      <c r="AK406" s="11"/>
    </row>
    <row r="407" spans="1:37" hidden="1">
      <c r="A407" s="10">
        <v>406</v>
      </c>
      <c r="B407" s="2" t="s">
        <v>37</v>
      </c>
      <c r="C407" s="2" t="s">
        <v>5190</v>
      </c>
      <c r="D407" s="2" t="s">
        <v>39</v>
      </c>
      <c r="E407" s="2" t="s">
        <v>40</v>
      </c>
      <c r="F407" s="2" t="s">
        <v>5191</v>
      </c>
      <c r="G407" s="2" t="s">
        <v>42</v>
      </c>
      <c r="H407" s="2" t="s">
        <v>5192</v>
      </c>
      <c r="I407" s="2" t="s">
        <v>5193</v>
      </c>
      <c r="J407" s="2" t="s">
        <v>5194</v>
      </c>
      <c r="K407" s="2" t="s">
        <v>5193</v>
      </c>
      <c r="L407" s="2" t="s">
        <v>5195</v>
      </c>
      <c r="M407" s="2">
        <v>1587950</v>
      </c>
      <c r="N407" s="2">
        <v>2443000</v>
      </c>
      <c r="O407" s="2" t="s">
        <v>5196</v>
      </c>
      <c r="P407" s="3">
        <v>45681</v>
      </c>
      <c r="Q407" s="2" t="s">
        <v>5197</v>
      </c>
      <c r="R407" s="2" t="s">
        <v>5198</v>
      </c>
      <c r="S407" s="2" t="s">
        <v>69</v>
      </c>
      <c r="T407" s="2" t="s">
        <v>5199</v>
      </c>
      <c r="U407" s="2" t="s">
        <v>3933</v>
      </c>
      <c r="V407" s="2" t="s">
        <v>286</v>
      </c>
      <c r="W407" s="3">
        <v>44588</v>
      </c>
      <c r="X407" s="2" t="s">
        <v>2428</v>
      </c>
      <c r="Y407" s="3">
        <v>46414</v>
      </c>
      <c r="Z407" s="2" t="s">
        <v>5200</v>
      </c>
      <c r="AA407" s="2">
        <v>5</v>
      </c>
      <c r="AB407" s="2" t="s">
        <v>90</v>
      </c>
      <c r="AC407" s="2" t="s">
        <v>5201</v>
      </c>
      <c r="AD407" s="3">
        <v>44586</v>
      </c>
      <c r="AE407" s="2" t="s">
        <v>77</v>
      </c>
      <c r="AF407" s="2">
        <v>1954400</v>
      </c>
      <c r="AG407" s="2">
        <v>29316</v>
      </c>
      <c r="AH407" s="2" t="s">
        <v>5202</v>
      </c>
      <c r="AI407" s="2">
        <v>29316</v>
      </c>
      <c r="AJ407" s="11">
        <v>0</v>
      </c>
      <c r="AK407" s="11"/>
    </row>
    <row r="408" spans="1:37" hidden="1">
      <c r="A408" s="10">
        <v>407</v>
      </c>
      <c r="B408" s="2" t="s">
        <v>37</v>
      </c>
      <c r="C408" s="2" t="s">
        <v>5203</v>
      </c>
      <c r="D408" s="2" t="s">
        <v>39</v>
      </c>
      <c r="E408" s="2" t="s">
        <v>40</v>
      </c>
      <c r="F408" s="2" t="s">
        <v>5204</v>
      </c>
      <c r="G408" s="2" t="s">
        <v>276</v>
      </c>
      <c r="H408" s="2" t="s">
        <v>5205</v>
      </c>
      <c r="I408" s="2" t="s">
        <v>5206</v>
      </c>
      <c r="J408" s="2" t="s">
        <v>5206</v>
      </c>
      <c r="K408" s="2" t="s">
        <v>5207</v>
      </c>
      <c r="L408" s="2" t="s">
        <v>5208</v>
      </c>
      <c r="M408" s="2">
        <v>2630100</v>
      </c>
      <c r="N408" s="2">
        <v>4782000</v>
      </c>
      <c r="O408" s="2" t="s">
        <v>5209</v>
      </c>
      <c r="P408" s="3">
        <v>45681</v>
      </c>
      <c r="Q408" s="2" t="s">
        <v>5210</v>
      </c>
      <c r="R408" s="2" t="s">
        <v>5211</v>
      </c>
      <c r="S408" s="2" t="s">
        <v>50</v>
      </c>
      <c r="T408" s="2" t="s">
        <v>51</v>
      </c>
      <c r="U408" s="2" t="s">
        <v>2255</v>
      </c>
      <c r="V408" s="2" t="s">
        <v>286</v>
      </c>
      <c r="W408" s="3">
        <v>44447</v>
      </c>
      <c r="X408" s="2" t="s">
        <v>1414</v>
      </c>
      <c r="Y408" s="3">
        <v>46421</v>
      </c>
      <c r="Z408" s="2" t="s">
        <v>5212</v>
      </c>
      <c r="AA408" s="2">
        <v>5</v>
      </c>
      <c r="AB408" s="2" t="s">
        <v>879</v>
      </c>
      <c r="AC408" s="2" t="s">
        <v>51</v>
      </c>
      <c r="AD408" s="2"/>
      <c r="AE408" s="2" t="s">
        <v>108</v>
      </c>
      <c r="AF408" s="2">
        <v>3825600</v>
      </c>
      <c r="AG408" s="2">
        <v>66948</v>
      </c>
      <c r="AH408" s="2" t="s">
        <v>5213</v>
      </c>
      <c r="AI408" s="2">
        <v>66948</v>
      </c>
      <c r="AJ408" s="11">
        <v>0</v>
      </c>
      <c r="AK408" s="11"/>
    </row>
    <row r="409" spans="1:37" hidden="1">
      <c r="A409" s="10">
        <v>408</v>
      </c>
      <c r="B409" s="2" t="s">
        <v>37</v>
      </c>
      <c r="C409" s="2" t="s">
        <v>5214</v>
      </c>
      <c r="D409" s="2" t="s">
        <v>39</v>
      </c>
      <c r="E409" s="2" t="s">
        <v>40</v>
      </c>
      <c r="F409" s="2" t="s">
        <v>177</v>
      </c>
      <c r="G409" s="2" t="s">
        <v>276</v>
      </c>
      <c r="H409" s="2" t="s">
        <v>5215</v>
      </c>
      <c r="I409" s="2" t="s">
        <v>5216</v>
      </c>
      <c r="J409" s="2" t="s">
        <v>5216</v>
      </c>
      <c r="K409" s="2" t="s">
        <v>5216</v>
      </c>
      <c r="L409" s="2" t="s">
        <v>5217</v>
      </c>
      <c r="M409" s="2">
        <v>1071000</v>
      </c>
      <c r="N409" s="2">
        <v>1530000</v>
      </c>
      <c r="O409" s="2" t="s">
        <v>5218</v>
      </c>
      <c r="P409" s="3">
        <v>45683</v>
      </c>
      <c r="Q409" s="2" t="s">
        <v>5219</v>
      </c>
      <c r="R409" s="2" t="s">
        <v>5220</v>
      </c>
      <c r="S409" s="2" t="s">
        <v>50</v>
      </c>
      <c r="T409" s="2" t="s">
        <v>51</v>
      </c>
      <c r="U409" s="2" t="s">
        <v>2494</v>
      </c>
      <c r="V409" s="2" t="s">
        <v>286</v>
      </c>
      <c r="W409" s="3">
        <v>44469</v>
      </c>
      <c r="X409" s="2" t="s">
        <v>1414</v>
      </c>
      <c r="Y409" s="3">
        <v>46421</v>
      </c>
      <c r="Z409" s="2" t="s">
        <v>5221</v>
      </c>
      <c r="AA409" s="2">
        <v>5</v>
      </c>
      <c r="AB409" s="2" t="s">
        <v>90</v>
      </c>
      <c r="AC409" s="2" t="s">
        <v>5222</v>
      </c>
      <c r="AD409" s="3">
        <v>44587</v>
      </c>
      <c r="AE409" s="2" t="s">
        <v>58</v>
      </c>
      <c r="AF409" s="2">
        <v>1224000</v>
      </c>
      <c r="AG409" s="2">
        <v>24480</v>
      </c>
      <c r="AH409" s="2" t="s">
        <v>5223</v>
      </c>
      <c r="AI409" s="2">
        <v>24480</v>
      </c>
      <c r="AJ409" s="11">
        <v>0</v>
      </c>
      <c r="AK409" s="11"/>
    </row>
    <row r="410" spans="1:37" hidden="1">
      <c r="A410" s="10">
        <v>409</v>
      </c>
      <c r="B410" s="2" t="s">
        <v>37</v>
      </c>
      <c r="C410" s="2" t="s">
        <v>5224</v>
      </c>
      <c r="D410" s="2" t="s">
        <v>39</v>
      </c>
      <c r="E410" s="2" t="s">
        <v>40</v>
      </c>
      <c r="F410" s="2" t="s">
        <v>5225</v>
      </c>
      <c r="G410" s="2" t="s">
        <v>276</v>
      </c>
      <c r="H410" s="2" t="s">
        <v>5226</v>
      </c>
      <c r="I410" s="2" t="s">
        <v>5227</v>
      </c>
      <c r="J410" s="2" t="s">
        <v>5228</v>
      </c>
      <c r="K410" s="2" t="s">
        <v>51</v>
      </c>
      <c r="L410" s="2" t="s">
        <v>5229</v>
      </c>
      <c r="M410" s="2">
        <v>909300</v>
      </c>
      <c r="N410" s="2">
        <v>1299000</v>
      </c>
      <c r="O410" s="2" t="s">
        <v>5230</v>
      </c>
      <c r="P410" s="3">
        <v>45683</v>
      </c>
      <c r="Q410" s="2" t="s">
        <v>5231</v>
      </c>
      <c r="R410" s="2" t="s">
        <v>5232</v>
      </c>
      <c r="S410" s="2" t="s">
        <v>50</v>
      </c>
      <c r="T410" s="2" t="s">
        <v>51</v>
      </c>
      <c r="U410" s="2" t="s">
        <v>5233</v>
      </c>
      <c r="V410" s="2" t="s">
        <v>53</v>
      </c>
      <c r="W410" s="3">
        <v>44563</v>
      </c>
      <c r="X410" s="2" t="s">
        <v>1414</v>
      </c>
      <c r="Y410" s="3">
        <v>46421</v>
      </c>
      <c r="Z410" s="2" t="s">
        <v>5234</v>
      </c>
      <c r="AA410" s="2">
        <v>5</v>
      </c>
      <c r="AB410" s="2" t="s">
        <v>90</v>
      </c>
      <c r="AC410" s="2" t="s">
        <v>5235</v>
      </c>
      <c r="AD410" s="3">
        <v>44588</v>
      </c>
      <c r="AE410" s="2" t="s">
        <v>58</v>
      </c>
      <c r="AF410" s="2">
        <v>1039200</v>
      </c>
      <c r="AG410" s="2">
        <v>20784</v>
      </c>
      <c r="AH410" s="2" t="s">
        <v>5236</v>
      </c>
      <c r="AI410" s="2">
        <v>20784</v>
      </c>
      <c r="AJ410" s="11">
        <v>0</v>
      </c>
      <c r="AK410" s="11"/>
    </row>
    <row r="411" spans="1:37" hidden="1">
      <c r="A411" s="10">
        <v>410</v>
      </c>
      <c r="B411" s="2" t="s">
        <v>37</v>
      </c>
      <c r="C411" s="2" t="s">
        <v>5237</v>
      </c>
      <c r="D411" s="2" t="s">
        <v>39</v>
      </c>
      <c r="E411" s="2" t="s">
        <v>40</v>
      </c>
      <c r="F411" s="2" t="s">
        <v>5238</v>
      </c>
      <c r="G411" s="2" t="s">
        <v>112</v>
      </c>
      <c r="H411" s="2" t="s">
        <v>5239</v>
      </c>
      <c r="I411" s="2" t="s">
        <v>51</v>
      </c>
      <c r="J411" s="2" t="s">
        <v>5240</v>
      </c>
      <c r="K411" s="2" t="s">
        <v>51</v>
      </c>
      <c r="L411" s="2" t="s">
        <v>5241</v>
      </c>
      <c r="M411" s="2">
        <v>1400000</v>
      </c>
      <c r="N411" s="2">
        <v>2000000</v>
      </c>
      <c r="O411" s="2" t="s">
        <v>5242</v>
      </c>
      <c r="P411" s="3">
        <v>45681</v>
      </c>
      <c r="Q411" s="2" t="s">
        <v>5243</v>
      </c>
      <c r="R411" s="2" t="s">
        <v>5244</v>
      </c>
      <c r="S411" s="2" t="s">
        <v>69</v>
      </c>
      <c r="T411" s="2" t="s">
        <v>5245</v>
      </c>
      <c r="U411" s="2" t="s">
        <v>120</v>
      </c>
      <c r="V411" s="2" t="s">
        <v>286</v>
      </c>
      <c r="W411" s="3">
        <v>44952</v>
      </c>
      <c r="X411" s="2" t="s">
        <v>3508</v>
      </c>
      <c r="Y411" s="3">
        <v>46779</v>
      </c>
      <c r="Z411" s="2" t="s">
        <v>5246</v>
      </c>
      <c r="AA411" s="2">
        <v>5</v>
      </c>
      <c r="AB411" s="2" t="s">
        <v>106</v>
      </c>
      <c r="AC411" s="2" t="s">
        <v>5247</v>
      </c>
      <c r="AD411" s="3">
        <v>44952</v>
      </c>
      <c r="AE411" s="2" t="s">
        <v>108</v>
      </c>
      <c r="AF411" s="2">
        <v>1700000</v>
      </c>
      <c r="AG411" s="2">
        <v>29750</v>
      </c>
      <c r="AH411" s="2" t="s">
        <v>5248</v>
      </c>
      <c r="AI411" s="2">
        <v>29750</v>
      </c>
      <c r="AJ411" s="11">
        <v>0</v>
      </c>
      <c r="AK411" s="11"/>
    </row>
    <row r="412" spans="1:37" hidden="1">
      <c r="A412" s="10">
        <v>411</v>
      </c>
      <c r="B412" s="2" t="s">
        <v>37</v>
      </c>
      <c r="C412" s="2" t="s">
        <v>5249</v>
      </c>
      <c r="D412" s="2" t="s">
        <v>39</v>
      </c>
      <c r="E412" s="2" t="s">
        <v>40</v>
      </c>
      <c r="F412" s="2" t="s">
        <v>5250</v>
      </c>
      <c r="G412" s="2" t="s">
        <v>3174</v>
      </c>
      <c r="H412" s="2" t="s">
        <v>5251</v>
      </c>
      <c r="I412" s="2" t="s">
        <v>5252</v>
      </c>
      <c r="J412" s="2" t="s">
        <v>5252</v>
      </c>
      <c r="K412" s="2" t="s">
        <v>5252</v>
      </c>
      <c r="L412" s="2" t="s">
        <v>5253</v>
      </c>
      <c r="M412" s="2">
        <v>750500</v>
      </c>
      <c r="N412" s="2">
        <v>1975000</v>
      </c>
      <c r="O412" s="2" t="s">
        <v>5254</v>
      </c>
      <c r="P412" s="3">
        <v>45683</v>
      </c>
      <c r="Q412" s="2" t="s">
        <v>5255</v>
      </c>
      <c r="R412" s="2" t="s">
        <v>5256</v>
      </c>
      <c r="S412" s="2" t="s">
        <v>50</v>
      </c>
      <c r="T412" s="2" t="s">
        <v>51</v>
      </c>
      <c r="U412" s="2" t="s">
        <v>253</v>
      </c>
      <c r="V412" s="2" t="s">
        <v>53</v>
      </c>
      <c r="W412" s="3">
        <v>44592</v>
      </c>
      <c r="X412" s="2" t="s">
        <v>1414</v>
      </c>
      <c r="Y412" s="3">
        <v>46421</v>
      </c>
      <c r="Z412" s="2" t="s">
        <v>5257</v>
      </c>
      <c r="AA412" s="2">
        <v>5</v>
      </c>
      <c r="AB412" s="2" t="s">
        <v>90</v>
      </c>
      <c r="AC412" s="2" t="s">
        <v>5258</v>
      </c>
      <c r="AD412" s="3">
        <v>44592</v>
      </c>
      <c r="AE412" s="2" t="s">
        <v>58</v>
      </c>
      <c r="AF412" s="2">
        <v>1580000</v>
      </c>
      <c r="AG412" s="2">
        <v>31600</v>
      </c>
      <c r="AH412" s="2" t="s">
        <v>5259</v>
      </c>
      <c r="AI412" s="2">
        <v>31600</v>
      </c>
      <c r="AJ412" s="11">
        <v>0</v>
      </c>
      <c r="AK412" s="11"/>
    </row>
    <row r="413" spans="1:37" hidden="1">
      <c r="A413" s="10">
        <v>412</v>
      </c>
      <c r="B413" s="2" t="s">
        <v>37</v>
      </c>
      <c r="C413" s="2" t="s">
        <v>5260</v>
      </c>
      <c r="D413" s="2" t="s">
        <v>39</v>
      </c>
      <c r="E413" s="2" t="s">
        <v>40</v>
      </c>
      <c r="F413" s="2" t="s">
        <v>5261</v>
      </c>
      <c r="G413" s="2" t="s">
        <v>1557</v>
      </c>
      <c r="H413" s="2" t="s">
        <v>5262</v>
      </c>
      <c r="I413" s="2" t="s">
        <v>5263</v>
      </c>
      <c r="J413" s="2" t="s">
        <v>51</v>
      </c>
      <c r="K413" s="2" t="s">
        <v>5263</v>
      </c>
      <c r="L413" s="2" t="s">
        <v>5264</v>
      </c>
      <c r="M413" s="2">
        <v>1314100</v>
      </c>
      <c r="N413" s="2">
        <v>1546000</v>
      </c>
      <c r="O413" s="2" t="s">
        <v>5265</v>
      </c>
      <c r="P413" s="3">
        <v>45681</v>
      </c>
      <c r="Q413" s="2" t="s">
        <v>5266</v>
      </c>
      <c r="R413" s="2" t="s">
        <v>5267</v>
      </c>
      <c r="S413" s="2" t="s">
        <v>50</v>
      </c>
      <c r="T413" s="2" t="s">
        <v>51</v>
      </c>
      <c r="U413" s="2" t="s">
        <v>420</v>
      </c>
      <c r="V413" s="2" t="s">
        <v>53</v>
      </c>
      <c r="W413" s="3">
        <v>44588</v>
      </c>
      <c r="X413" s="2" t="s">
        <v>2428</v>
      </c>
      <c r="Y413" s="3">
        <v>46414</v>
      </c>
      <c r="Z413" s="2" t="s">
        <v>5268</v>
      </c>
      <c r="AA413" s="2">
        <v>5</v>
      </c>
      <c r="AB413" s="2" t="s">
        <v>75</v>
      </c>
      <c r="AC413" s="2" t="s">
        <v>5269</v>
      </c>
      <c r="AD413" s="3">
        <v>44586</v>
      </c>
      <c r="AE413" s="2" t="s">
        <v>58</v>
      </c>
      <c r="AF413" s="2">
        <v>1236800</v>
      </c>
      <c r="AG413" s="2">
        <v>24736</v>
      </c>
      <c r="AH413" s="2" t="s">
        <v>5270</v>
      </c>
      <c r="AI413" s="2">
        <v>24736</v>
      </c>
      <c r="AJ413" s="11">
        <v>0</v>
      </c>
      <c r="AK413" s="11"/>
    </row>
    <row r="414" spans="1:37" hidden="1">
      <c r="A414" s="10">
        <v>413</v>
      </c>
      <c r="B414" s="2" t="s">
        <v>37</v>
      </c>
      <c r="C414" s="2" t="s">
        <v>5271</v>
      </c>
      <c r="D414" s="2" t="s">
        <v>39</v>
      </c>
      <c r="E414" s="2" t="s">
        <v>40</v>
      </c>
      <c r="F414" s="2" t="s">
        <v>5272</v>
      </c>
      <c r="G414" s="2" t="s">
        <v>276</v>
      </c>
      <c r="H414" s="2" t="s">
        <v>5273</v>
      </c>
      <c r="I414" s="2" t="s">
        <v>5274</v>
      </c>
      <c r="J414" s="2" t="s">
        <v>5274</v>
      </c>
      <c r="K414" s="2" t="s">
        <v>5274</v>
      </c>
      <c r="L414" s="2" t="s">
        <v>5275</v>
      </c>
      <c r="M414" s="2">
        <v>1480000</v>
      </c>
      <c r="N414" s="2">
        <v>1850000</v>
      </c>
      <c r="O414" s="2" t="s">
        <v>5276</v>
      </c>
      <c r="P414" s="3">
        <v>45681</v>
      </c>
      <c r="Q414" s="2" t="s">
        <v>5277</v>
      </c>
      <c r="R414" s="2" t="s">
        <v>5278</v>
      </c>
      <c r="S414" s="2" t="s">
        <v>69</v>
      </c>
      <c r="T414" s="2" t="s">
        <v>5279</v>
      </c>
      <c r="U414" s="2" t="s">
        <v>253</v>
      </c>
      <c r="V414" s="2" t="s">
        <v>286</v>
      </c>
      <c r="W414" s="3">
        <v>44594</v>
      </c>
      <c r="X414" s="2" t="s">
        <v>1414</v>
      </c>
      <c r="Y414" s="3">
        <v>46421</v>
      </c>
      <c r="Z414" s="2" t="s">
        <v>5280</v>
      </c>
      <c r="AA414" s="2">
        <v>5</v>
      </c>
      <c r="AB414" s="2" t="s">
        <v>90</v>
      </c>
      <c r="AC414" s="2" t="s">
        <v>5281</v>
      </c>
      <c r="AD414" s="3">
        <v>44592</v>
      </c>
      <c r="AE414" s="2" t="s">
        <v>77</v>
      </c>
      <c r="AF414" s="2">
        <v>1480000</v>
      </c>
      <c r="AG414" s="2">
        <v>22200</v>
      </c>
      <c r="AH414" s="2" t="s">
        <v>5282</v>
      </c>
      <c r="AI414" s="2">
        <v>22200</v>
      </c>
      <c r="AJ414" s="11">
        <v>0</v>
      </c>
      <c r="AK414" s="11"/>
    </row>
    <row r="415" spans="1:37" hidden="1">
      <c r="A415" s="10">
        <v>414</v>
      </c>
      <c r="B415" s="2" t="s">
        <v>37</v>
      </c>
      <c r="C415" s="2" t="s">
        <v>5283</v>
      </c>
      <c r="D415" s="2" t="s">
        <v>39</v>
      </c>
      <c r="E415" s="2" t="s">
        <v>40</v>
      </c>
      <c r="F415" s="2" t="s">
        <v>5284</v>
      </c>
      <c r="G415" s="2" t="s">
        <v>62</v>
      </c>
      <c r="H415" s="2" t="s">
        <v>5285</v>
      </c>
      <c r="I415" s="2" t="s">
        <v>51</v>
      </c>
      <c r="J415" s="2" t="s">
        <v>5286</v>
      </c>
      <c r="K415" s="2" t="s">
        <v>51</v>
      </c>
      <c r="L415" s="2" t="s">
        <v>5287</v>
      </c>
      <c r="M415" s="2">
        <v>1484000</v>
      </c>
      <c r="N415" s="2">
        <v>2120000</v>
      </c>
      <c r="O415" s="2" t="s">
        <v>5288</v>
      </c>
      <c r="P415" s="3">
        <v>45682</v>
      </c>
      <c r="Q415" s="2" t="s">
        <v>5289</v>
      </c>
      <c r="R415" s="2" t="s">
        <v>5290</v>
      </c>
      <c r="S415" s="2" t="s">
        <v>50</v>
      </c>
      <c r="T415" s="2" t="s">
        <v>51</v>
      </c>
      <c r="U415" s="2" t="s">
        <v>1993</v>
      </c>
      <c r="V415" s="2" t="s">
        <v>53</v>
      </c>
      <c r="W415" s="3">
        <v>44893</v>
      </c>
      <c r="X415" s="2" t="s">
        <v>3508</v>
      </c>
      <c r="Y415" s="3">
        <v>46049</v>
      </c>
      <c r="Z415" s="2" t="s">
        <v>5291</v>
      </c>
      <c r="AA415" s="2">
        <v>3</v>
      </c>
      <c r="AB415" s="2" t="s">
        <v>160</v>
      </c>
      <c r="AC415" s="2" t="s">
        <v>5292</v>
      </c>
      <c r="AD415" s="3">
        <v>44947</v>
      </c>
      <c r="AE415" s="2" t="s">
        <v>58</v>
      </c>
      <c r="AF415" s="2">
        <v>1802000</v>
      </c>
      <c r="AG415" s="2">
        <v>36040</v>
      </c>
      <c r="AH415" s="2" t="s">
        <v>5293</v>
      </c>
      <c r="AI415" s="2">
        <v>36040</v>
      </c>
      <c r="AJ415" s="11">
        <v>0</v>
      </c>
      <c r="AK415" s="11"/>
    </row>
    <row r="416" spans="1:37" hidden="1">
      <c r="A416" s="10">
        <v>415</v>
      </c>
      <c r="B416" s="2" t="s">
        <v>37</v>
      </c>
      <c r="C416" s="2" t="s">
        <v>5294</v>
      </c>
      <c r="D416" s="2" t="s">
        <v>39</v>
      </c>
      <c r="E416" s="2" t="s">
        <v>40</v>
      </c>
      <c r="F416" s="2" t="s">
        <v>5295</v>
      </c>
      <c r="G416" s="2" t="s">
        <v>112</v>
      </c>
      <c r="H416" s="2" t="s">
        <v>5296</v>
      </c>
      <c r="I416" s="2" t="s">
        <v>5297</v>
      </c>
      <c r="J416" s="2" t="s">
        <v>51</v>
      </c>
      <c r="K416" s="2" t="s">
        <v>5298</v>
      </c>
      <c r="L416" s="2" t="s">
        <v>5299</v>
      </c>
      <c r="M416" s="2">
        <v>2800000</v>
      </c>
      <c r="N416" s="2">
        <v>4000000</v>
      </c>
      <c r="O416" s="2" t="s">
        <v>5300</v>
      </c>
      <c r="P416" s="3">
        <v>45682</v>
      </c>
      <c r="Q416" s="2" t="s">
        <v>5301</v>
      </c>
      <c r="R416" s="2" t="s">
        <v>5302</v>
      </c>
      <c r="S416" s="2" t="s">
        <v>69</v>
      </c>
      <c r="T416" s="2" t="s">
        <v>5303</v>
      </c>
      <c r="U416" s="2" t="s">
        <v>172</v>
      </c>
      <c r="V416" s="2" t="s">
        <v>53</v>
      </c>
      <c r="W416" s="3">
        <v>44953</v>
      </c>
      <c r="X416" s="2" t="s">
        <v>3508</v>
      </c>
      <c r="Y416" s="3">
        <v>46049</v>
      </c>
      <c r="Z416" s="2" t="s">
        <v>5304</v>
      </c>
      <c r="AA416" s="2">
        <v>3</v>
      </c>
      <c r="AB416" s="2" t="s">
        <v>106</v>
      </c>
      <c r="AC416" s="2" t="s">
        <v>5305</v>
      </c>
      <c r="AD416" s="3">
        <v>44952</v>
      </c>
      <c r="AE416" s="2" t="s">
        <v>108</v>
      </c>
      <c r="AF416" s="2">
        <v>3400000</v>
      </c>
      <c r="AG416" s="2">
        <v>59500</v>
      </c>
      <c r="AH416" s="2" t="s">
        <v>5306</v>
      </c>
      <c r="AI416" s="2">
        <v>59500</v>
      </c>
      <c r="AJ416" s="11">
        <v>0</v>
      </c>
      <c r="AK416" s="11"/>
    </row>
    <row r="417" spans="1:37" hidden="1">
      <c r="A417" s="10">
        <v>416</v>
      </c>
      <c r="B417" s="2" t="s">
        <v>37</v>
      </c>
      <c r="C417" s="2" t="s">
        <v>5307</v>
      </c>
      <c r="D417" s="2" t="s">
        <v>39</v>
      </c>
      <c r="E417" s="2" t="s">
        <v>40</v>
      </c>
      <c r="F417" s="2" t="s">
        <v>5308</v>
      </c>
      <c r="G417" s="2" t="s">
        <v>5309</v>
      </c>
      <c r="H417" s="2" t="s">
        <v>5310</v>
      </c>
      <c r="I417" s="2" t="s">
        <v>51</v>
      </c>
      <c r="J417" s="2" t="s">
        <v>5311</v>
      </c>
      <c r="K417" s="2" t="s">
        <v>51</v>
      </c>
      <c r="L417" s="2" t="s">
        <v>5312</v>
      </c>
      <c r="M417" s="2">
        <v>1524600</v>
      </c>
      <c r="N417" s="2">
        <v>2178000</v>
      </c>
      <c r="O417" s="2" t="s">
        <v>5313</v>
      </c>
      <c r="P417" s="3">
        <v>45682</v>
      </c>
      <c r="Q417" s="2" t="s">
        <v>5314</v>
      </c>
      <c r="R417" s="2" t="s">
        <v>5315</v>
      </c>
      <c r="S417" s="2" t="s">
        <v>50</v>
      </c>
      <c r="T417" s="2" t="s">
        <v>51</v>
      </c>
      <c r="U417" s="2" t="s">
        <v>1838</v>
      </c>
      <c r="V417" s="2" t="s">
        <v>53</v>
      </c>
      <c r="W417" s="3">
        <v>44590</v>
      </c>
      <c r="X417" s="2" t="s">
        <v>1414</v>
      </c>
      <c r="Y417" s="3">
        <v>46421</v>
      </c>
      <c r="Z417" s="2" t="s">
        <v>5316</v>
      </c>
      <c r="AA417" s="2">
        <v>5</v>
      </c>
      <c r="AB417" s="2" t="s">
        <v>75</v>
      </c>
      <c r="AC417" s="2" t="s">
        <v>5317</v>
      </c>
      <c r="AD417" s="3">
        <v>44587</v>
      </c>
      <c r="AE417" s="2" t="s">
        <v>58</v>
      </c>
      <c r="AF417" s="2">
        <v>1742400</v>
      </c>
      <c r="AG417" s="2">
        <v>34848</v>
      </c>
      <c r="AH417" s="2" t="s">
        <v>5318</v>
      </c>
      <c r="AI417" s="2">
        <v>34848</v>
      </c>
      <c r="AJ417" s="11">
        <v>0</v>
      </c>
      <c r="AK417" s="11"/>
    </row>
    <row r="418" spans="1:37" hidden="1">
      <c r="A418" s="10">
        <v>417</v>
      </c>
      <c r="B418" s="2" t="s">
        <v>37</v>
      </c>
      <c r="C418" s="2" t="s">
        <v>5319</v>
      </c>
      <c r="D418" s="2" t="s">
        <v>39</v>
      </c>
      <c r="E418" s="2" t="s">
        <v>40</v>
      </c>
      <c r="F418" s="2" t="s">
        <v>5320</v>
      </c>
      <c r="G418" s="2" t="s">
        <v>1557</v>
      </c>
      <c r="H418" s="2" t="s">
        <v>5321</v>
      </c>
      <c r="I418" s="2" t="s">
        <v>51</v>
      </c>
      <c r="J418" s="2" t="s">
        <v>5322</v>
      </c>
      <c r="K418" s="2" t="s">
        <v>51</v>
      </c>
      <c r="L418" s="2" t="s">
        <v>5323</v>
      </c>
      <c r="M418" s="2">
        <v>2310000</v>
      </c>
      <c r="N418" s="2">
        <v>3300000</v>
      </c>
      <c r="O418" s="2" t="s">
        <v>5324</v>
      </c>
      <c r="P418" s="3">
        <v>45681</v>
      </c>
      <c r="Q418" s="2" t="s">
        <v>5325</v>
      </c>
      <c r="R418" s="2" t="s">
        <v>5326</v>
      </c>
      <c r="S418" s="2" t="s">
        <v>69</v>
      </c>
      <c r="T418" s="2" t="s">
        <v>5327</v>
      </c>
      <c r="U418" s="2" t="s">
        <v>1838</v>
      </c>
      <c r="V418" s="2" t="s">
        <v>53</v>
      </c>
      <c r="W418" s="3">
        <v>45317</v>
      </c>
      <c r="X418" s="2" t="s">
        <v>1779</v>
      </c>
      <c r="Y418" s="3">
        <v>46049</v>
      </c>
      <c r="Z418" s="2" t="s">
        <v>5328</v>
      </c>
      <c r="AA418" s="2">
        <v>2</v>
      </c>
      <c r="AB418" s="2" t="s">
        <v>160</v>
      </c>
      <c r="AC418" s="2" t="s">
        <v>5329</v>
      </c>
      <c r="AD418" s="3">
        <v>45316</v>
      </c>
      <c r="AE418" s="2" t="s">
        <v>108</v>
      </c>
      <c r="AF418" s="2">
        <v>2970000</v>
      </c>
      <c r="AG418" s="2">
        <v>51975</v>
      </c>
      <c r="AH418" s="2" t="s">
        <v>5330</v>
      </c>
      <c r="AI418" s="2">
        <v>51975</v>
      </c>
      <c r="AJ418" s="11">
        <v>0</v>
      </c>
      <c r="AK418" s="11"/>
    </row>
    <row r="419" spans="1:37" hidden="1">
      <c r="A419" s="10">
        <v>418</v>
      </c>
      <c r="B419" s="2" t="s">
        <v>37</v>
      </c>
      <c r="C419" s="2" t="s">
        <v>5331</v>
      </c>
      <c r="D419" s="2" t="s">
        <v>39</v>
      </c>
      <c r="E419" s="2" t="s">
        <v>40</v>
      </c>
      <c r="F419" s="2" t="s">
        <v>5332</v>
      </c>
      <c r="G419" s="2" t="s">
        <v>276</v>
      </c>
      <c r="H419" s="2" t="s">
        <v>5333</v>
      </c>
      <c r="I419" s="2"/>
      <c r="J419" s="2">
        <v>3361171176</v>
      </c>
      <c r="K419" s="2">
        <v>3330200016</v>
      </c>
      <c r="L419" s="2" t="s">
        <v>5334</v>
      </c>
      <c r="M419" s="2">
        <v>1441500</v>
      </c>
      <c r="N419" s="2">
        <v>1922000</v>
      </c>
      <c r="O419" s="2" t="s">
        <v>5335</v>
      </c>
      <c r="P419" s="3">
        <v>45682</v>
      </c>
      <c r="Q419" s="2" t="s">
        <v>5336</v>
      </c>
      <c r="R419" s="2" t="s">
        <v>5337</v>
      </c>
      <c r="S419" s="2" t="s">
        <v>50</v>
      </c>
      <c r="T419" s="2"/>
      <c r="U419" s="2" t="s">
        <v>5338</v>
      </c>
      <c r="V419" s="2">
        <v>2021</v>
      </c>
      <c r="W419" s="3">
        <v>44085</v>
      </c>
      <c r="X419" s="2" t="s">
        <v>1825</v>
      </c>
      <c r="Y419" s="3">
        <v>46421</v>
      </c>
      <c r="Z419" s="2" t="s">
        <v>5339</v>
      </c>
      <c r="AA419" s="2">
        <v>6</v>
      </c>
      <c r="AB419" s="2" t="s">
        <v>90</v>
      </c>
      <c r="AC419" s="2" t="s">
        <v>5340</v>
      </c>
      <c r="AD419" s="3">
        <v>44223</v>
      </c>
      <c r="AE419" s="2" t="s">
        <v>58</v>
      </c>
      <c r="AF419" s="2">
        <v>1441500</v>
      </c>
      <c r="AG419" s="2">
        <v>28830</v>
      </c>
      <c r="AH419" s="2" t="s">
        <v>5341</v>
      </c>
      <c r="AI419" s="2">
        <v>28830</v>
      </c>
      <c r="AJ419" s="11">
        <v>0</v>
      </c>
      <c r="AK419" s="11"/>
    </row>
    <row r="420" spans="1:37" hidden="1">
      <c r="A420" s="10">
        <v>419</v>
      </c>
      <c r="B420" s="2" t="s">
        <v>37</v>
      </c>
      <c r="C420" s="2" t="s">
        <v>5342</v>
      </c>
      <c r="D420" s="2" t="s">
        <v>39</v>
      </c>
      <c r="E420" s="2" t="s">
        <v>40</v>
      </c>
      <c r="F420" s="2" t="s">
        <v>5343</v>
      </c>
      <c r="G420" s="2" t="s">
        <v>42</v>
      </c>
      <c r="H420" s="2" t="s">
        <v>5344</v>
      </c>
      <c r="I420" s="2" t="s">
        <v>5345</v>
      </c>
      <c r="J420" s="2" t="s">
        <v>5346</v>
      </c>
      <c r="K420" s="2" t="s">
        <v>5347</v>
      </c>
      <c r="L420" s="2" t="s">
        <v>5348</v>
      </c>
      <c r="M420" s="2">
        <v>1113750</v>
      </c>
      <c r="N420" s="2">
        <v>2025000</v>
      </c>
      <c r="O420" s="2" t="s">
        <v>5349</v>
      </c>
      <c r="P420" s="3">
        <v>45682</v>
      </c>
      <c r="Q420" s="2" t="s">
        <v>5350</v>
      </c>
      <c r="R420" s="2" t="s">
        <v>5351</v>
      </c>
      <c r="S420" s="2" t="s">
        <v>69</v>
      </c>
      <c r="T420" s="2" t="s">
        <v>5352</v>
      </c>
      <c r="U420" s="2" t="s">
        <v>1550</v>
      </c>
      <c r="V420" s="2" t="s">
        <v>336</v>
      </c>
      <c r="W420" s="3">
        <v>44588</v>
      </c>
      <c r="X420" s="2" t="s">
        <v>2428</v>
      </c>
      <c r="Y420" s="3">
        <v>46414</v>
      </c>
      <c r="Z420" s="2" t="s">
        <v>5353</v>
      </c>
      <c r="AA420" s="2">
        <v>5</v>
      </c>
      <c r="AB420" s="2" t="s">
        <v>90</v>
      </c>
      <c r="AC420" s="2" t="s">
        <v>5354</v>
      </c>
      <c r="AD420" s="3">
        <v>44587</v>
      </c>
      <c r="AE420" s="2" t="s">
        <v>77</v>
      </c>
      <c r="AF420" s="2">
        <v>1620000</v>
      </c>
      <c r="AG420" s="2">
        <v>24300</v>
      </c>
      <c r="AH420" s="2" t="s">
        <v>5355</v>
      </c>
      <c r="AI420" s="2">
        <v>24300</v>
      </c>
      <c r="AJ420" s="11">
        <v>0</v>
      </c>
      <c r="AK420" s="11"/>
    </row>
    <row r="421" spans="1:37" hidden="1">
      <c r="A421" s="10">
        <v>420</v>
      </c>
      <c r="B421" s="2" t="s">
        <v>37</v>
      </c>
      <c r="C421" s="2" t="s">
        <v>5356</v>
      </c>
      <c r="D421" s="2" t="s">
        <v>39</v>
      </c>
      <c r="E421" s="2" t="s">
        <v>40</v>
      </c>
      <c r="F421" s="2" t="s">
        <v>5357</v>
      </c>
      <c r="G421" s="2" t="s">
        <v>497</v>
      </c>
      <c r="H421" s="2" t="s">
        <v>5358</v>
      </c>
      <c r="I421" s="2" t="s">
        <v>5359</v>
      </c>
      <c r="J421" s="2" t="s">
        <v>5359</v>
      </c>
      <c r="K421" s="2" t="s">
        <v>5359</v>
      </c>
      <c r="L421" s="2" t="s">
        <v>5360</v>
      </c>
      <c r="M421" s="2">
        <v>1001250</v>
      </c>
      <c r="N421" s="2">
        <v>1335000</v>
      </c>
      <c r="O421" s="2" t="s">
        <v>5361</v>
      </c>
      <c r="P421" s="3">
        <v>45682</v>
      </c>
      <c r="Q421" s="2" t="s">
        <v>5362</v>
      </c>
      <c r="R421" s="2" t="s">
        <v>5363</v>
      </c>
      <c r="S421" s="2" t="s">
        <v>50</v>
      </c>
      <c r="T421" s="2" t="s">
        <v>51</v>
      </c>
      <c r="U421" s="2" t="s">
        <v>285</v>
      </c>
      <c r="V421" s="2" t="s">
        <v>53</v>
      </c>
      <c r="W421" s="3">
        <v>44589</v>
      </c>
      <c r="X421" s="2" t="s">
        <v>1414</v>
      </c>
      <c r="Y421" s="3">
        <v>46421</v>
      </c>
      <c r="Z421" s="2" t="s">
        <v>5364</v>
      </c>
      <c r="AA421" s="2">
        <v>5</v>
      </c>
      <c r="AB421" s="2" t="s">
        <v>75</v>
      </c>
      <c r="AC421" s="2" t="s">
        <v>5365</v>
      </c>
      <c r="AD421" s="3">
        <v>44588</v>
      </c>
      <c r="AE421" s="2" t="s">
        <v>58</v>
      </c>
      <c r="AF421" s="2">
        <v>1068000</v>
      </c>
      <c r="AG421" s="2">
        <v>21360</v>
      </c>
      <c r="AH421" s="2" t="s">
        <v>5366</v>
      </c>
      <c r="AI421" s="2">
        <v>21360</v>
      </c>
      <c r="AJ421" s="11">
        <v>0</v>
      </c>
      <c r="AK421" s="11"/>
    </row>
    <row r="422" spans="1:37" hidden="1">
      <c r="A422" s="10">
        <v>421</v>
      </c>
      <c r="B422" s="2" t="s">
        <v>37</v>
      </c>
      <c r="C422" s="2" t="s">
        <v>5367</v>
      </c>
      <c r="D422" s="2" t="s">
        <v>39</v>
      </c>
      <c r="E422" s="2" t="s">
        <v>40</v>
      </c>
      <c r="F422" s="2" t="s">
        <v>5368</v>
      </c>
      <c r="G422" s="2" t="s">
        <v>1557</v>
      </c>
      <c r="H422" s="2" t="s">
        <v>5369</v>
      </c>
      <c r="I422" s="2" t="s">
        <v>5370</v>
      </c>
      <c r="J422" s="2" t="s">
        <v>51</v>
      </c>
      <c r="K422" s="2" t="s">
        <v>5371</v>
      </c>
      <c r="L422" s="2" t="s">
        <v>5372</v>
      </c>
      <c r="M422" s="2">
        <v>731000</v>
      </c>
      <c r="N422" s="2">
        <v>860000</v>
      </c>
      <c r="O422" s="2" t="s">
        <v>5373</v>
      </c>
      <c r="P422" s="3">
        <v>45682</v>
      </c>
      <c r="Q422" s="2" t="s">
        <v>5374</v>
      </c>
      <c r="R422" s="2" t="s">
        <v>5375</v>
      </c>
      <c r="S422" s="2" t="s">
        <v>50</v>
      </c>
      <c r="T422" s="2" t="s">
        <v>5376</v>
      </c>
      <c r="U422" s="2" t="s">
        <v>5377</v>
      </c>
      <c r="V422" s="2" t="s">
        <v>300</v>
      </c>
      <c r="W422" s="3">
        <v>43494</v>
      </c>
      <c r="X422" s="2" t="s">
        <v>5378</v>
      </c>
      <c r="Y422" s="3">
        <v>46049</v>
      </c>
      <c r="Z422" s="2" t="s">
        <v>5379</v>
      </c>
      <c r="AA422" s="2">
        <v>7</v>
      </c>
      <c r="AB422" s="2" t="s">
        <v>75</v>
      </c>
      <c r="AC422" s="2" t="s">
        <v>5380</v>
      </c>
      <c r="AD422" s="3">
        <v>43489</v>
      </c>
      <c r="AE422" s="2" t="s">
        <v>729</v>
      </c>
      <c r="AF422" s="2">
        <v>559000</v>
      </c>
      <c r="AG422" s="2">
        <v>13975</v>
      </c>
      <c r="AH422" s="2" t="s">
        <v>5381</v>
      </c>
      <c r="AI422" s="2">
        <v>13975</v>
      </c>
      <c r="AJ422" s="11">
        <v>0</v>
      </c>
      <c r="AK422" s="11"/>
    </row>
    <row r="423" spans="1:37">
      <c r="A423" s="10">
        <v>422</v>
      </c>
      <c r="B423" s="2" t="s">
        <v>5382</v>
      </c>
      <c r="C423" s="2" t="s">
        <v>5383</v>
      </c>
      <c r="D423" s="2" t="s">
        <v>39</v>
      </c>
      <c r="E423" s="2" t="s">
        <v>40</v>
      </c>
      <c r="F423" s="2" t="s">
        <v>5384</v>
      </c>
      <c r="G423" s="2" t="s">
        <v>2186</v>
      </c>
      <c r="H423" s="2" t="s">
        <v>5385</v>
      </c>
      <c r="I423" s="2" t="s">
        <v>51</v>
      </c>
      <c r="J423" s="2" t="s">
        <v>5386</v>
      </c>
      <c r="K423" s="2" t="s">
        <v>51</v>
      </c>
      <c r="L423" s="2" t="s">
        <v>5387</v>
      </c>
      <c r="M423" s="2">
        <v>1540000</v>
      </c>
      <c r="N423" s="2">
        <v>2200000</v>
      </c>
      <c r="O423" s="2" t="s">
        <v>5388</v>
      </c>
      <c r="P423" s="3">
        <v>45656</v>
      </c>
      <c r="Q423" s="2" t="s">
        <v>5389</v>
      </c>
      <c r="R423" s="2" t="s">
        <v>5390</v>
      </c>
      <c r="S423" s="2" t="s">
        <v>69</v>
      </c>
      <c r="T423" s="2" t="s">
        <v>5391</v>
      </c>
      <c r="U423" s="2" t="s">
        <v>364</v>
      </c>
      <c r="V423" s="2" t="s">
        <v>72</v>
      </c>
      <c r="W423" s="3">
        <v>44561</v>
      </c>
      <c r="X423" s="2" t="s">
        <v>88</v>
      </c>
      <c r="Y423" s="2" t="s">
        <v>392</v>
      </c>
      <c r="Z423" s="2" t="s">
        <v>5392</v>
      </c>
      <c r="AA423" s="2">
        <v>5</v>
      </c>
      <c r="AB423" s="2" t="s">
        <v>75</v>
      </c>
      <c r="AC423" s="2" t="s">
        <v>5393</v>
      </c>
      <c r="AD423" s="3">
        <v>44561</v>
      </c>
      <c r="AE423" s="2" t="s">
        <v>77</v>
      </c>
      <c r="AF423" s="2">
        <v>1760000</v>
      </c>
      <c r="AG423" s="2">
        <v>26400</v>
      </c>
      <c r="AH423" s="2" t="s">
        <v>5394</v>
      </c>
      <c r="AI423" s="2">
        <v>28050</v>
      </c>
      <c r="AJ423" s="11">
        <v>1650</v>
      </c>
      <c r="AK423" s="11" t="s">
        <v>5395</v>
      </c>
    </row>
    <row r="424" spans="1:37">
      <c r="A424" s="10">
        <v>423</v>
      </c>
      <c r="B424" s="2" t="s">
        <v>5382</v>
      </c>
      <c r="C424" s="2" t="s">
        <v>5396</v>
      </c>
      <c r="D424" s="2" t="s">
        <v>39</v>
      </c>
      <c r="E424" s="2" t="s">
        <v>40</v>
      </c>
      <c r="F424" s="2" t="s">
        <v>5397</v>
      </c>
      <c r="G424" s="2" t="s">
        <v>112</v>
      </c>
      <c r="H424" s="2" t="s">
        <v>5398</v>
      </c>
      <c r="I424" s="2" t="s">
        <v>51</v>
      </c>
      <c r="J424" s="2" t="s">
        <v>5399</v>
      </c>
      <c r="K424" s="2" t="s">
        <v>51</v>
      </c>
      <c r="L424" s="2" t="s">
        <v>5400</v>
      </c>
      <c r="M424" s="2">
        <v>2674400</v>
      </c>
      <c r="N424" s="2">
        <v>3343000</v>
      </c>
      <c r="O424" s="2" t="s">
        <v>5401</v>
      </c>
      <c r="P424" s="3">
        <v>45656</v>
      </c>
      <c r="Q424" s="2" t="s">
        <v>5402</v>
      </c>
      <c r="R424" s="2" t="s">
        <v>5403</v>
      </c>
      <c r="S424" s="2" t="s">
        <v>50</v>
      </c>
      <c r="T424" s="2" t="s">
        <v>51</v>
      </c>
      <c r="U424" s="2" t="s">
        <v>1030</v>
      </c>
      <c r="V424" s="2" t="s">
        <v>521</v>
      </c>
      <c r="W424" s="3">
        <v>44196</v>
      </c>
      <c r="X424" s="2" t="s">
        <v>337</v>
      </c>
      <c r="Y424" s="2" t="s">
        <v>338</v>
      </c>
      <c r="Z424" s="2" t="s">
        <v>5404</v>
      </c>
      <c r="AA424" s="2">
        <v>5</v>
      </c>
      <c r="AB424" s="2" t="s">
        <v>106</v>
      </c>
      <c r="AC424" s="2" t="s">
        <v>5405</v>
      </c>
      <c r="AD424" s="3">
        <v>44196</v>
      </c>
      <c r="AE424" s="2" t="s">
        <v>58</v>
      </c>
      <c r="AF424" s="2">
        <v>2507250</v>
      </c>
      <c r="AG424" s="2">
        <v>50145</v>
      </c>
      <c r="AH424" s="2" t="s">
        <v>5406</v>
      </c>
      <c r="AI424" s="2">
        <v>53488</v>
      </c>
      <c r="AJ424" s="11">
        <v>3343</v>
      </c>
      <c r="AK424" s="11" t="s">
        <v>5407</v>
      </c>
    </row>
    <row r="425" spans="1:37">
      <c r="A425" s="10">
        <v>424</v>
      </c>
      <c r="B425" s="2" t="s">
        <v>5382</v>
      </c>
      <c r="C425" s="2" t="s">
        <v>5408</v>
      </c>
      <c r="D425" s="2" t="s">
        <v>39</v>
      </c>
      <c r="E425" s="2" t="s">
        <v>40</v>
      </c>
      <c r="F425" s="2" t="s">
        <v>5409</v>
      </c>
      <c r="G425" s="2" t="s">
        <v>276</v>
      </c>
      <c r="H425" s="2" t="s">
        <v>5410</v>
      </c>
      <c r="I425" s="2" t="s">
        <v>51</v>
      </c>
      <c r="J425" s="2" t="s">
        <v>5411</v>
      </c>
      <c r="K425" s="2" t="s">
        <v>5412</v>
      </c>
      <c r="L425" s="2" t="s">
        <v>5413</v>
      </c>
      <c r="M425" s="2">
        <v>2502500</v>
      </c>
      <c r="N425" s="2">
        <v>3850000</v>
      </c>
      <c r="O425" s="2" t="s">
        <v>5414</v>
      </c>
      <c r="P425" s="3">
        <v>45652</v>
      </c>
      <c r="Q425" s="2" t="s">
        <v>5415</v>
      </c>
      <c r="R425" s="2" t="s">
        <v>5416</v>
      </c>
      <c r="S425" s="2" t="s">
        <v>69</v>
      </c>
      <c r="T425" s="2" t="s">
        <v>5417</v>
      </c>
      <c r="U425" s="2" t="s">
        <v>549</v>
      </c>
      <c r="V425" s="2" t="s">
        <v>300</v>
      </c>
      <c r="W425" s="3">
        <v>44559</v>
      </c>
      <c r="X425" s="2" t="s">
        <v>88</v>
      </c>
      <c r="Y425" s="2" t="s">
        <v>392</v>
      </c>
      <c r="Z425" s="2" t="s">
        <v>5418</v>
      </c>
      <c r="AA425" s="2">
        <v>5</v>
      </c>
      <c r="AB425" s="2" t="s">
        <v>90</v>
      </c>
      <c r="AC425" s="2" t="s">
        <v>5419</v>
      </c>
      <c r="AD425" s="3">
        <v>44558</v>
      </c>
      <c r="AE425" s="2" t="s">
        <v>77</v>
      </c>
      <c r="AF425" s="2">
        <v>3080000</v>
      </c>
      <c r="AG425" s="2">
        <v>46200</v>
      </c>
      <c r="AH425" s="2" t="s">
        <v>5420</v>
      </c>
      <c r="AI425" s="2">
        <v>49088</v>
      </c>
      <c r="AJ425" s="11">
        <v>2888</v>
      </c>
      <c r="AK425" s="11" t="s">
        <v>5421</v>
      </c>
    </row>
    <row r="426" spans="1:37">
      <c r="A426" s="10">
        <v>425</v>
      </c>
      <c r="B426" s="2" t="s">
        <v>5382</v>
      </c>
      <c r="C426" s="2" t="s">
        <v>5422</v>
      </c>
      <c r="D426" s="2" t="s">
        <v>39</v>
      </c>
      <c r="E426" s="2" t="s">
        <v>40</v>
      </c>
      <c r="F426" s="2" t="s">
        <v>5423</v>
      </c>
      <c r="G426" s="2" t="s">
        <v>42</v>
      </c>
      <c r="H426" s="2" t="s">
        <v>5424</v>
      </c>
      <c r="I426" s="2" t="s">
        <v>51</v>
      </c>
      <c r="J426" s="2" t="s">
        <v>5425</v>
      </c>
      <c r="K426" s="2" t="s">
        <v>51</v>
      </c>
      <c r="L426" s="2" t="s">
        <v>5426</v>
      </c>
      <c r="M426" s="2">
        <v>3814300</v>
      </c>
      <c r="N426" s="2">
        <v>5449000</v>
      </c>
      <c r="O426" s="2" t="s">
        <v>5427</v>
      </c>
      <c r="P426" s="3">
        <v>45647</v>
      </c>
      <c r="Q426" s="2" t="s">
        <v>5428</v>
      </c>
      <c r="R426" s="2" t="s">
        <v>5429</v>
      </c>
      <c r="S426" s="2" t="s">
        <v>50</v>
      </c>
      <c r="T426" s="2" t="s">
        <v>51</v>
      </c>
      <c r="U426" s="2" t="s">
        <v>5430</v>
      </c>
      <c r="V426" s="2" t="s">
        <v>286</v>
      </c>
      <c r="W426" s="3">
        <v>44225</v>
      </c>
      <c r="X426" s="2" t="s">
        <v>88</v>
      </c>
      <c r="Y426" s="2" t="s">
        <v>392</v>
      </c>
      <c r="Z426" s="2" t="s">
        <v>5431</v>
      </c>
      <c r="AA426" s="2">
        <v>5</v>
      </c>
      <c r="AB426" s="2" t="s">
        <v>90</v>
      </c>
      <c r="AC426" s="2" t="s">
        <v>5432</v>
      </c>
      <c r="AD426" s="3">
        <v>44552</v>
      </c>
      <c r="AE426" s="2" t="s">
        <v>58</v>
      </c>
      <c r="AF426" s="2">
        <v>4359200</v>
      </c>
      <c r="AG426" s="2">
        <v>87184</v>
      </c>
      <c r="AH426" s="2" t="s">
        <v>5433</v>
      </c>
      <c r="AI426" s="2">
        <v>92633</v>
      </c>
      <c r="AJ426" s="11">
        <v>5449</v>
      </c>
      <c r="AK426" s="11" t="s">
        <v>5434</v>
      </c>
    </row>
    <row r="427" spans="1:37" hidden="1">
      <c r="A427" s="10">
        <v>426</v>
      </c>
      <c r="B427" s="2" t="s">
        <v>5382</v>
      </c>
      <c r="C427" s="2" t="s">
        <v>5435</v>
      </c>
      <c r="D427" s="2" t="s">
        <v>39</v>
      </c>
      <c r="E427" s="2" t="s">
        <v>40</v>
      </c>
      <c r="F427" s="2" t="s">
        <v>5436</v>
      </c>
      <c r="G427" s="2" t="s">
        <v>62</v>
      </c>
      <c r="H427" s="2" t="s">
        <v>5437</v>
      </c>
      <c r="I427" s="2" t="s">
        <v>51</v>
      </c>
      <c r="J427" s="2" t="s">
        <v>5438</v>
      </c>
      <c r="K427" s="2" t="s">
        <v>51</v>
      </c>
      <c r="L427" s="2" t="s">
        <v>5439</v>
      </c>
      <c r="M427" s="2">
        <v>1260000</v>
      </c>
      <c r="N427" s="2">
        <v>1800000</v>
      </c>
      <c r="O427" s="2" t="s">
        <v>5440</v>
      </c>
      <c r="P427" s="3">
        <v>45687</v>
      </c>
      <c r="Q427" s="2" t="s">
        <v>5441</v>
      </c>
      <c r="R427" s="2" t="s">
        <v>5442</v>
      </c>
      <c r="S427" s="2" t="s">
        <v>69</v>
      </c>
      <c r="T427" s="2" t="s">
        <v>5443</v>
      </c>
      <c r="U427" s="2" t="s">
        <v>236</v>
      </c>
      <c r="V427" s="2" t="s">
        <v>72</v>
      </c>
      <c r="W427" s="3">
        <v>44563</v>
      </c>
      <c r="X427" s="2" t="s">
        <v>1414</v>
      </c>
      <c r="Y427" s="3">
        <v>46421</v>
      </c>
      <c r="Z427" s="2" t="s">
        <v>5444</v>
      </c>
      <c r="AA427" s="2">
        <v>5</v>
      </c>
      <c r="AB427" s="2" t="s">
        <v>90</v>
      </c>
      <c r="AC427" s="2" t="s">
        <v>5445</v>
      </c>
      <c r="AD427" s="3">
        <v>44592</v>
      </c>
      <c r="AE427" s="2" t="s">
        <v>77</v>
      </c>
      <c r="AF427" s="2">
        <v>1440000</v>
      </c>
      <c r="AG427" s="2">
        <v>21600</v>
      </c>
      <c r="AH427" s="2" t="s">
        <v>5446</v>
      </c>
      <c r="AI427" s="2">
        <v>21600</v>
      </c>
      <c r="AJ427" s="11">
        <v>0</v>
      </c>
      <c r="AK427" s="11"/>
    </row>
    <row r="428" spans="1:37" hidden="1">
      <c r="A428" s="10">
        <v>427</v>
      </c>
      <c r="B428" s="2" t="s">
        <v>5382</v>
      </c>
      <c r="C428" s="2" t="s">
        <v>5447</v>
      </c>
      <c r="D428" s="2" t="s">
        <v>39</v>
      </c>
      <c r="E428" s="2" t="s">
        <v>40</v>
      </c>
      <c r="F428" s="2" t="s">
        <v>5448</v>
      </c>
      <c r="G428" s="2" t="s">
        <v>276</v>
      </c>
      <c r="H428" s="2" t="s">
        <v>5449</v>
      </c>
      <c r="I428" s="2" t="s">
        <v>5450</v>
      </c>
      <c r="J428" s="2" t="s">
        <v>5450</v>
      </c>
      <c r="K428" s="2" t="s">
        <v>5450</v>
      </c>
      <c r="L428" s="2" t="s">
        <v>5451</v>
      </c>
      <c r="M428" s="2">
        <v>1202500</v>
      </c>
      <c r="N428" s="2">
        <v>1850000</v>
      </c>
      <c r="O428" s="2" t="s">
        <v>5452</v>
      </c>
      <c r="P428" s="3">
        <v>45687</v>
      </c>
      <c r="Q428" s="2" t="s">
        <v>5453</v>
      </c>
      <c r="R428" s="2" t="s">
        <v>5454</v>
      </c>
      <c r="S428" s="2" t="s">
        <v>69</v>
      </c>
      <c r="T428" s="2" t="s">
        <v>5455</v>
      </c>
      <c r="U428" s="2" t="s">
        <v>1778</v>
      </c>
      <c r="V428" s="2" t="s">
        <v>72</v>
      </c>
      <c r="W428" s="3">
        <v>44563</v>
      </c>
      <c r="X428" s="2" t="s">
        <v>1414</v>
      </c>
      <c r="Y428" s="3">
        <v>46421</v>
      </c>
      <c r="Z428" s="2" t="s">
        <v>5456</v>
      </c>
      <c r="AA428" s="2">
        <v>5</v>
      </c>
      <c r="AB428" s="2" t="s">
        <v>75</v>
      </c>
      <c r="AC428" s="2" t="s">
        <v>5457</v>
      </c>
      <c r="AD428" s="3">
        <v>44592</v>
      </c>
      <c r="AE428" s="2" t="s">
        <v>77</v>
      </c>
      <c r="AF428" s="2">
        <v>1480000</v>
      </c>
      <c r="AG428" s="2">
        <v>22200</v>
      </c>
      <c r="AH428" s="2" t="s">
        <v>5458</v>
      </c>
      <c r="AI428" s="2">
        <v>22200</v>
      </c>
      <c r="AJ428" s="11">
        <v>0</v>
      </c>
      <c r="AK428" s="11"/>
    </row>
    <row r="429" spans="1:37" hidden="1">
      <c r="A429" s="10">
        <v>428</v>
      </c>
      <c r="B429" s="2" t="s">
        <v>5382</v>
      </c>
      <c r="C429" s="2" t="s">
        <v>5459</v>
      </c>
      <c r="D429" s="2" t="s">
        <v>39</v>
      </c>
      <c r="E429" s="2" t="s">
        <v>40</v>
      </c>
      <c r="F429" s="2" t="s">
        <v>5460</v>
      </c>
      <c r="G429" s="2" t="s">
        <v>1557</v>
      </c>
      <c r="H429" s="2" t="s">
        <v>5461</v>
      </c>
      <c r="I429" s="2" t="s">
        <v>5462</v>
      </c>
      <c r="J429" s="2" t="s">
        <v>51</v>
      </c>
      <c r="K429" s="2" t="s">
        <v>5463</v>
      </c>
      <c r="L429" s="2" t="s">
        <v>5464</v>
      </c>
      <c r="M429" s="2">
        <v>2506020</v>
      </c>
      <c r="N429" s="2">
        <v>7594000</v>
      </c>
      <c r="O429" s="2" t="s">
        <v>5465</v>
      </c>
      <c r="P429" s="3">
        <v>45678</v>
      </c>
      <c r="Q429" s="2" t="s">
        <v>5466</v>
      </c>
      <c r="R429" s="2" t="s">
        <v>5467</v>
      </c>
      <c r="S429" s="2" t="s">
        <v>50</v>
      </c>
      <c r="T429" s="2" t="s">
        <v>51</v>
      </c>
      <c r="U429" s="2" t="s">
        <v>465</v>
      </c>
      <c r="V429" s="2" t="s">
        <v>3093</v>
      </c>
      <c r="W429" s="3">
        <v>45536</v>
      </c>
      <c r="X429" s="2" t="s">
        <v>1779</v>
      </c>
      <c r="Y429" s="3">
        <v>46049</v>
      </c>
      <c r="Z429" s="2" t="s">
        <v>5468</v>
      </c>
      <c r="AA429" s="2">
        <v>2</v>
      </c>
      <c r="AB429" s="2" t="s">
        <v>160</v>
      </c>
      <c r="AC429" s="2" t="s">
        <v>5469</v>
      </c>
      <c r="AD429" s="3">
        <v>45314</v>
      </c>
      <c r="AE429" s="2" t="s">
        <v>58</v>
      </c>
      <c r="AF429" s="2">
        <v>6834600</v>
      </c>
      <c r="AG429" s="2">
        <v>136692</v>
      </c>
      <c r="AH429" s="2" t="s">
        <v>5470</v>
      </c>
      <c r="AI429" s="2">
        <v>136692</v>
      </c>
      <c r="AJ429" s="11">
        <v>0</v>
      </c>
      <c r="AK429" s="11"/>
    </row>
    <row r="430" spans="1:37" hidden="1">
      <c r="A430" s="10">
        <v>429</v>
      </c>
      <c r="B430" s="2" t="s">
        <v>5382</v>
      </c>
      <c r="C430" s="2" t="s">
        <v>5471</v>
      </c>
      <c r="D430" s="2" t="s">
        <v>39</v>
      </c>
      <c r="E430" s="2" t="s">
        <v>40</v>
      </c>
      <c r="F430" s="2" t="s">
        <v>5472</v>
      </c>
      <c r="G430" s="2" t="s">
        <v>276</v>
      </c>
      <c r="H430" s="2" t="s">
        <v>5473</v>
      </c>
      <c r="I430" s="2">
        <v>3214405679</v>
      </c>
      <c r="J430" s="2">
        <v>3214405679</v>
      </c>
      <c r="K430" s="2">
        <v>3214405679</v>
      </c>
      <c r="L430" s="2" t="s">
        <v>5474</v>
      </c>
      <c r="M430" s="2">
        <v>804300</v>
      </c>
      <c r="N430" s="2">
        <v>1149000</v>
      </c>
      <c r="O430" s="2" t="s">
        <v>5475</v>
      </c>
      <c r="P430" s="3">
        <v>45682</v>
      </c>
      <c r="Q430" s="2" t="s">
        <v>5476</v>
      </c>
      <c r="R430" s="2" t="s">
        <v>5477</v>
      </c>
      <c r="S430" s="2" t="s">
        <v>50</v>
      </c>
      <c r="T430" s="2"/>
      <c r="U430" s="2" t="s">
        <v>4796</v>
      </c>
      <c r="V430" s="2">
        <v>2021</v>
      </c>
      <c r="W430" s="3">
        <v>44223</v>
      </c>
      <c r="X430" s="2" t="s">
        <v>3564</v>
      </c>
      <c r="Y430" s="3">
        <v>46049</v>
      </c>
      <c r="Z430" s="2" t="s">
        <v>5478</v>
      </c>
      <c r="AA430" s="2">
        <v>5</v>
      </c>
      <c r="AB430" s="2" t="s">
        <v>106</v>
      </c>
      <c r="AC430" s="2" t="s">
        <v>5479</v>
      </c>
      <c r="AD430" s="3">
        <v>44222</v>
      </c>
      <c r="AE430" s="2" t="s">
        <v>58</v>
      </c>
      <c r="AF430" s="2">
        <v>861750</v>
      </c>
      <c r="AG430" s="2">
        <v>17235</v>
      </c>
      <c r="AH430" s="2" t="s">
        <v>5480</v>
      </c>
      <c r="AI430" s="2">
        <v>17235</v>
      </c>
      <c r="AJ430" s="11">
        <v>0</v>
      </c>
      <c r="AK430" s="11"/>
    </row>
    <row r="431" spans="1:37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7"/>
      <c r="Q431" s="6"/>
      <c r="R431" s="6"/>
      <c r="S431" s="6"/>
      <c r="T431" s="6"/>
      <c r="U431" s="6"/>
      <c r="V431" s="6"/>
      <c r="W431" s="7"/>
      <c r="X431" s="6"/>
      <c r="Y431" s="7"/>
      <c r="Z431" s="6"/>
      <c r="AA431" s="6"/>
      <c r="AB431" s="6"/>
      <c r="AC431" s="6"/>
      <c r="AD431" s="7"/>
      <c r="AE431" s="6"/>
      <c r="AF431" s="6"/>
      <c r="AG431" s="8">
        <f>SUM(Table14[Premium])</f>
        <v>16313462</v>
      </c>
      <c r="AH431" s="6"/>
      <c r="AI431" s="9">
        <f>SUM(Table14[[TMS Premium ]])</f>
        <v>16644492</v>
      </c>
      <c r="AJ431" s="8">
        <f>SUM(Table14[Difference Amount])</f>
        <v>331030</v>
      </c>
      <c r="AK431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5B9C-57E9-4E0C-B1FD-1AAE6EAC795E}">
  <dimension ref="A1:H155"/>
  <sheetViews>
    <sheetView tabSelected="1" topLeftCell="G153" workbookViewId="0">
      <selection activeCell="H157" sqref="H157"/>
    </sheetView>
  </sheetViews>
  <sheetFormatPr defaultRowHeight="12.75"/>
  <cols>
    <col min="1" max="1" width="43.28515625" bestFit="1" customWidth="1"/>
    <col min="2" max="2" width="13.5703125" bestFit="1" customWidth="1"/>
    <col min="3" max="3" width="12.85546875" bestFit="1" customWidth="1"/>
    <col min="4" max="4" width="9.5703125" bestFit="1" customWidth="1"/>
    <col min="5" max="5" width="13.7109375" bestFit="1" customWidth="1"/>
    <col min="6" max="6" width="96.42578125" customWidth="1"/>
    <col min="7" max="7" width="87.5703125" customWidth="1"/>
    <col min="8" max="8" width="80" customWidth="1"/>
  </cols>
  <sheetData>
    <row r="1" spans="1:8" ht="15">
      <c r="A1" s="13" t="s">
        <v>5636</v>
      </c>
      <c r="B1" t="s">
        <v>5637</v>
      </c>
      <c r="D1" s="14" t="s">
        <v>32</v>
      </c>
      <c r="E1" s="21" t="s">
        <v>5795</v>
      </c>
    </row>
    <row r="2" spans="1:8" ht="87" customHeight="1">
      <c r="A2" s="12" t="s">
        <v>225</v>
      </c>
      <c r="B2" s="15" t="str">
        <f>VLOOKUP(A2,policy!B:C,2,0)</f>
        <v>050000851182</v>
      </c>
      <c r="C2" s="12">
        <v>-3495</v>
      </c>
      <c r="D2" s="16">
        <f>ROUND(C2,0)</f>
        <v>-3495</v>
      </c>
      <c r="E2" s="21" t="s">
        <v>5795</v>
      </c>
      <c r="F2" s="17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8" t="str">
        <f>"('"&amp;E2&amp;"','"&amp;B2&amp;"','"&amp;D2&amp;"',(select max(to_number(i.premium_rcv_detail_code))+1
from ins_premium_det i),'"&amp;D2&amp;"','"&amp;D2&amp;"','02', '11000003','00','Request by Mr. Saqib Saleem 13-Feb-2025');"</f>
        <v>('12Feb250043','050000851182','-3495',(select max(to_number(i.premium_rcv_detail_code))+1
from ins_premium_det i),'-3495','-3495','02', '11000003','00','Request by Mr. Saqib Saleem 13-Feb-2025');</v>
      </c>
      <c r="H2" s="19" t="str">
        <f>F2&amp;G2</f>
        <v>insert into ins_premium_det (premium_rcv_code,assorted_code, rec_amount,premium_rcv_detail_code,remaining_amt, payrec, mode_code,coinsurance_code,class_cd,it_remarks) values('12Feb250043','050000851182','-3495',(select max(to_number(i.premium_rcv_detail_code))+1
from ins_premium_det i),'-3495','-3495','02', '11000003','00','Request by Mr. Saqib Saleem 13-Feb-2025');</v>
      </c>
    </row>
    <row r="3" spans="1:8" ht="90">
      <c r="A3" s="12" t="s">
        <v>242</v>
      </c>
      <c r="B3" s="15" t="str">
        <f>VLOOKUP(A3,policy!B:C,2,0)</f>
        <v>050000851186</v>
      </c>
      <c r="C3" s="12">
        <v>-1662</v>
      </c>
      <c r="D3" s="16">
        <f t="shared" ref="D3:D66" si="1">ROUND(C3,0)</f>
        <v>-1662</v>
      </c>
      <c r="E3" s="21" t="s">
        <v>5795</v>
      </c>
      <c r="F3" s="17" t="str">
        <f t="shared" si="0"/>
        <v>insert into ins_premium_det (premium_rcv_code,assorted_code, rec_amount,premium_rcv_detail_code,remaining_amt, payrec, mode_code,coinsurance_code,class_cd,it_remarks) values</v>
      </c>
      <c r="G3" s="18" t="str">
        <f t="shared" ref="G3:G66" si="2">"('"&amp;E3&amp;"','"&amp;B3&amp;"','"&amp;D3&amp;"',(select max(to_number(i.premium_rcv_detail_code))+1
from ins_premium_det i),'"&amp;D3&amp;"','"&amp;D3&amp;"','02', '11000003','00','Request by Mr. Saqib Saleem 13-Feb-2025');"</f>
        <v>('12Feb250043','050000851186','-1662',(select max(to_number(i.premium_rcv_detail_code))+1
from ins_premium_det i),'-1662','-1662','02', '11000003','00','Request by Mr. Saqib Saleem 13-Feb-2025');</v>
      </c>
      <c r="H3" s="19" t="str">
        <f t="shared" ref="H3:H66" si="3">F3&amp;G3</f>
        <v>insert into ins_premium_det (premium_rcv_code,assorted_code, rec_amount,premium_rcv_detail_code,remaining_amt, payrec, mode_code,coinsurance_code,class_cd,it_remarks) values('12Feb250043','050000851186','-1662',(select max(to_number(i.premium_rcv_detail_code))+1
from ins_premium_det i),'-1662','-1662','02', '11000003','00','Request by Mr. Saqib Saleem 13-Feb-2025');</v>
      </c>
    </row>
    <row r="4" spans="1:8" ht="90">
      <c r="A4" s="12" t="s">
        <v>257</v>
      </c>
      <c r="B4" s="15" t="str">
        <f>VLOOKUP(A4,policy!B:C,2,0)</f>
        <v>050000851189</v>
      </c>
      <c r="C4" s="12">
        <v>-1487</v>
      </c>
      <c r="D4" s="16">
        <f t="shared" si="1"/>
        <v>-1487</v>
      </c>
      <c r="E4" s="21" t="s">
        <v>5795</v>
      </c>
      <c r="F4" s="17" t="str">
        <f t="shared" si="0"/>
        <v>insert into ins_premium_det (premium_rcv_code,assorted_code, rec_amount,premium_rcv_detail_code,remaining_amt, payrec, mode_code,coinsurance_code,class_cd,it_remarks) values</v>
      </c>
      <c r="G4" s="18" t="str">
        <f t="shared" si="2"/>
        <v>('12Feb250043','050000851189','-1487',(select max(to_number(i.premium_rcv_detail_code))+1
from ins_premium_det i),'-1487','-1487','02', '11000003','00','Request by Mr. Saqib Saleem 13-Feb-2025');</v>
      </c>
      <c r="H4" s="19" t="str">
        <f t="shared" si="3"/>
        <v>insert into ins_premium_det (premium_rcv_code,assorted_code, rec_amount,premium_rcv_detail_code,remaining_amt, payrec, mode_code,coinsurance_code,class_cd,it_remarks) values('12Feb250043','050000851189','-1487',(select max(to_number(i.premium_rcv_detail_code))+1
from ins_premium_det i),'-1487','-1487','02', '11000003','00','Request by Mr. Saqib Saleem 13-Feb-2025');</v>
      </c>
    </row>
    <row r="5" spans="1:8" ht="90">
      <c r="A5" s="12" t="s">
        <v>273</v>
      </c>
      <c r="B5" s="15" t="str">
        <f>VLOOKUP(A5,policy!B:C,2,0)</f>
        <v>050000851195</v>
      </c>
      <c r="C5" s="12">
        <v>-3157</v>
      </c>
      <c r="D5" s="16">
        <f t="shared" si="1"/>
        <v>-3157</v>
      </c>
      <c r="E5" s="21" t="s">
        <v>5795</v>
      </c>
      <c r="F5" s="17" t="str">
        <f t="shared" si="0"/>
        <v>insert into ins_premium_det (premium_rcv_code,assorted_code, rec_amount,premium_rcv_detail_code,remaining_amt, payrec, mode_code,coinsurance_code,class_cd,it_remarks) values</v>
      </c>
      <c r="G5" s="18" t="str">
        <f t="shared" si="2"/>
        <v>('12Feb250043','050000851195','-3157',(select max(to_number(i.premium_rcv_detail_code))+1
from ins_premium_det i),'-3157','-3157','02', '11000003','00','Request by Mr. Saqib Saleem 13-Feb-2025');</v>
      </c>
      <c r="H5" s="19" t="str">
        <f t="shared" si="3"/>
        <v>insert into ins_premium_det (premium_rcv_code,assorted_code, rec_amount,premium_rcv_detail_code,remaining_amt, payrec, mode_code,coinsurance_code,class_cd,it_remarks) values('12Feb250043','050000851195','-3157',(select max(to_number(i.premium_rcv_detail_code))+1
from ins_premium_det i),'-3157','-3157','02', '11000003','00','Request by Mr. Saqib Saleem 13-Feb-2025');</v>
      </c>
    </row>
    <row r="6" spans="1:8" ht="90">
      <c r="A6" s="12" t="s">
        <v>322</v>
      </c>
      <c r="B6" s="15" t="str">
        <f>VLOOKUP(A6,policy!B:C,2,0)</f>
        <v>050000851199</v>
      </c>
      <c r="C6" s="12">
        <v>-2175</v>
      </c>
      <c r="D6" s="16">
        <f t="shared" si="1"/>
        <v>-2175</v>
      </c>
      <c r="E6" s="21" t="s">
        <v>5795</v>
      </c>
      <c r="F6" s="17" t="str">
        <f t="shared" si="0"/>
        <v>insert into ins_premium_det (premium_rcv_code,assorted_code, rec_amount,premium_rcv_detail_code,remaining_amt, payrec, mode_code,coinsurance_code,class_cd,it_remarks) values</v>
      </c>
      <c r="G6" s="18" t="str">
        <f t="shared" si="2"/>
        <v>('12Feb250043','050000851199','-2175',(select max(to_number(i.premium_rcv_detail_code))+1
from ins_premium_det i),'-2175','-2175','02', '11000003','00','Request by Mr. Saqib Saleem 13-Feb-2025');</v>
      </c>
      <c r="H6" s="19" t="str">
        <f t="shared" si="3"/>
        <v>insert into ins_premium_det (premium_rcv_code,assorted_code, rec_amount,premium_rcv_detail_code,remaining_amt, payrec, mode_code,coinsurance_code,class_cd,it_remarks) values('12Feb250043','050000851199','-2175',(select max(to_number(i.premium_rcv_detail_code))+1
from ins_premium_det i),'-2175','-2175','02', '11000003','00','Request by Mr. Saqib Saleem 13-Feb-2025');</v>
      </c>
    </row>
    <row r="7" spans="1:8" ht="90">
      <c r="A7" s="12" t="s">
        <v>342</v>
      </c>
      <c r="B7" s="15" t="str">
        <f>VLOOKUP(A7,policy!B:C,2,0)</f>
        <v>050000851201</v>
      </c>
      <c r="C7" s="12">
        <v>-1650</v>
      </c>
      <c r="D7" s="16">
        <f t="shared" si="1"/>
        <v>-1650</v>
      </c>
      <c r="E7" s="21" t="s">
        <v>5795</v>
      </c>
      <c r="F7" s="17" t="str">
        <f t="shared" si="0"/>
        <v>insert into ins_premium_det (premium_rcv_code,assorted_code, rec_amount,premium_rcv_detail_code,remaining_amt, payrec, mode_code,coinsurance_code,class_cd,it_remarks) values</v>
      </c>
      <c r="G7" s="18" t="str">
        <f t="shared" si="2"/>
        <v>('12Feb250043','050000851201','-1650',(select max(to_number(i.premium_rcv_detail_code))+1
from ins_premium_det i),'-1650','-1650','02', '11000003','00','Request by Mr. Saqib Saleem 13-Feb-2025');</v>
      </c>
      <c r="H7" s="19" t="str">
        <f t="shared" si="3"/>
        <v>insert into ins_premium_det (premium_rcv_code,assorted_code, rec_amount,premium_rcv_detail_code,remaining_amt, payrec, mode_code,coinsurance_code,class_cd,it_remarks) values('12Feb250043','050000851201','-1650',(select max(to_number(i.premium_rcv_detail_code))+1
from ins_premium_det i),'-1650','-1650','02', '11000003','00','Request by Mr. Saqib Saleem 13-Feb-2025');</v>
      </c>
    </row>
    <row r="8" spans="1:8" ht="90">
      <c r="A8" s="12" t="s">
        <v>396</v>
      </c>
      <c r="B8" s="15" t="str">
        <f>VLOOKUP(A8,policy!B:C,2,0)</f>
        <v>050000851202</v>
      </c>
      <c r="C8" s="12">
        <v>-960</v>
      </c>
      <c r="D8" s="16">
        <f t="shared" si="1"/>
        <v>-960</v>
      </c>
      <c r="E8" s="21" t="s">
        <v>5795</v>
      </c>
      <c r="F8" s="17" t="str">
        <f t="shared" si="0"/>
        <v>insert into ins_premium_det (premium_rcv_code,assorted_code, rec_amount,premium_rcv_detail_code,remaining_amt, payrec, mode_code,coinsurance_code,class_cd,it_remarks) values</v>
      </c>
      <c r="G8" s="18" t="str">
        <f t="shared" si="2"/>
        <v>('12Feb250043','050000851202','-960',(select max(to_number(i.premium_rcv_detail_code))+1
from ins_premium_det i),'-960','-960','02', '11000003','00','Request by Mr. Saqib Saleem 13-Feb-2025');</v>
      </c>
      <c r="H8" s="19" t="str">
        <f t="shared" si="3"/>
        <v>insert into ins_premium_det (premium_rcv_code,assorted_code, rec_amount,premium_rcv_detail_code,remaining_amt, payrec, mode_code,coinsurance_code,class_cd,it_remarks) values('12Feb250043','050000851202','-960',(select max(to_number(i.premium_rcv_detail_code))+1
from ins_premium_det i),'-960','-960','02', '11000003','00','Request by Mr. Saqib Saleem 13-Feb-2025');</v>
      </c>
    </row>
    <row r="9" spans="1:8" ht="90">
      <c r="A9" s="12" t="s">
        <v>410</v>
      </c>
      <c r="B9" s="15" t="str">
        <f>VLOOKUP(A9,policy!B:C,2,0)</f>
        <v>050000851204</v>
      </c>
      <c r="C9" s="12">
        <v>-4993</v>
      </c>
      <c r="D9" s="16">
        <f t="shared" si="1"/>
        <v>-4993</v>
      </c>
      <c r="E9" s="21" t="s">
        <v>5795</v>
      </c>
      <c r="F9" s="17" t="str">
        <f t="shared" si="0"/>
        <v>insert into ins_premium_det (premium_rcv_code,assorted_code, rec_amount,premium_rcv_detail_code,remaining_amt, payrec, mode_code,coinsurance_code,class_cd,it_remarks) values</v>
      </c>
      <c r="G9" s="18" t="str">
        <f t="shared" si="2"/>
        <v>('12Feb250043','050000851204','-4993',(select max(to_number(i.premium_rcv_detail_code))+1
from ins_premium_det i),'-4993','-4993','02', '11000003','00','Request by Mr. Saqib Saleem 13-Feb-2025');</v>
      </c>
      <c r="H9" s="19" t="str">
        <f t="shared" si="3"/>
        <v>insert into ins_premium_det (premium_rcv_code,assorted_code, rec_amount,premium_rcv_detail_code,remaining_amt, payrec, mode_code,coinsurance_code,class_cd,it_remarks) values('12Feb250043','050000851204','-4993',(select max(to_number(i.premium_rcv_detail_code))+1
from ins_premium_det i),'-4993','-4993','02', '11000003','00','Request by Mr. Saqib Saleem 13-Feb-2025');</v>
      </c>
    </row>
    <row r="10" spans="1:8" ht="90">
      <c r="A10" s="12" t="s">
        <v>424</v>
      </c>
      <c r="B10" s="15" t="str">
        <f>VLOOKUP(A10,policy!B:C,2,0)</f>
        <v>050000851212</v>
      </c>
      <c r="C10" s="12">
        <v>-1925</v>
      </c>
      <c r="D10" s="16">
        <f t="shared" si="1"/>
        <v>-1925</v>
      </c>
      <c r="E10" s="21" t="s">
        <v>5795</v>
      </c>
      <c r="F10" s="17" t="str">
        <f t="shared" si="0"/>
        <v>insert into ins_premium_det (premium_rcv_code,assorted_code, rec_amount,premium_rcv_detail_code,remaining_amt, payrec, mode_code,coinsurance_code,class_cd,it_remarks) values</v>
      </c>
      <c r="G10" s="18" t="str">
        <f t="shared" si="2"/>
        <v>('12Feb250043','050000851212','-1925',(select max(to_number(i.premium_rcv_detail_code))+1
from ins_premium_det i),'-1925','-1925','02', '11000003','00','Request by Mr. Saqib Saleem 13-Feb-2025');</v>
      </c>
      <c r="H10" s="19" t="str">
        <f t="shared" si="3"/>
        <v>insert into ins_premium_det (premium_rcv_code,assorted_code, rec_amount,premium_rcv_detail_code,remaining_amt, payrec, mode_code,coinsurance_code,class_cd,it_remarks) values('12Feb250043','050000851212','-1925',(select max(to_number(i.premium_rcv_detail_code))+1
from ins_premium_det i),'-1925','-1925','02', '11000003','00','Request by Mr. Saqib Saleem 13-Feb-2025');</v>
      </c>
    </row>
    <row r="11" spans="1:8" ht="90">
      <c r="A11" s="12" t="s">
        <v>439</v>
      </c>
      <c r="B11" s="15" t="str">
        <f>VLOOKUP(A11,policy!B:C,2,0)</f>
        <v>050000851214</v>
      </c>
      <c r="C11" s="12">
        <v>-2100</v>
      </c>
      <c r="D11" s="16">
        <f t="shared" si="1"/>
        <v>-2100</v>
      </c>
      <c r="E11" s="21" t="s">
        <v>5795</v>
      </c>
      <c r="F11" s="17" t="str">
        <f t="shared" si="0"/>
        <v>insert into ins_premium_det (premium_rcv_code,assorted_code, rec_amount,premium_rcv_detail_code,remaining_amt, payrec, mode_code,coinsurance_code,class_cd,it_remarks) values</v>
      </c>
      <c r="G11" s="18" t="str">
        <f t="shared" si="2"/>
        <v>('12Feb250043','050000851214','-2100',(select max(to_number(i.premium_rcv_detail_code))+1
from ins_premium_det i),'-2100','-2100','02', '11000003','00','Request by Mr. Saqib Saleem 13-Feb-2025');</v>
      </c>
      <c r="H11" s="19" t="str">
        <f t="shared" si="3"/>
        <v>insert into ins_premium_det (premium_rcv_code,assorted_code, rec_amount,premium_rcv_detail_code,remaining_amt, payrec, mode_code,coinsurance_code,class_cd,it_remarks) values('12Feb250043','050000851214','-2100',(select max(to_number(i.premium_rcv_detail_code))+1
from ins_premium_det i),'-2100','-2100','02', '11000003','00','Request by Mr. Saqib Saleem 13-Feb-2025');</v>
      </c>
    </row>
    <row r="12" spans="1:8" ht="90">
      <c r="A12" s="12" t="s">
        <v>453</v>
      </c>
      <c r="B12" s="15" t="str">
        <f>VLOOKUP(A12,policy!B:C,2,0)</f>
        <v>050000851216</v>
      </c>
      <c r="C12" s="12">
        <v>-2830</v>
      </c>
      <c r="D12" s="16">
        <f t="shared" si="1"/>
        <v>-2830</v>
      </c>
      <c r="E12" s="21" t="s">
        <v>5795</v>
      </c>
      <c r="F12" s="17" t="str">
        <f t="shared" si="0"/>
        <v>insert into ins_premium_det (premium_rcv_code,assorted_code, rec_amount,premium_rcv_detail_code,remaining_amt, payrec, mode_code,coinsurance_code,class_cd,it_remarks) values</v>
      </c>
      <c r="G12" s="18" t="str">
        <f t="shared" si="2"/>
        <v>('12Feb250043','050000851216','-2830',(select max(to_number(i.premium_rcv_detail_code))+1
from ins_premium_det i),'-2830','-2830','02', '11000003','00','Request by Mr. Saqib Saleem 13-Feb-2025');</v>
      </c>
      <c r="H12" s="19" t="str">
        <f t="shared" si="3"/>
        <v>insert into ins_premium_det (premium_rcv_code,assorted_code, rec_amount,premium_rcv_detail_code,remaining_amt, payrec, mode_code,coinsurance_code,class_cd,it_remarks) values('12Feb250043','050000851216','-2830',(select max(to_number(i.premium_rcv_detail_code))+1
from ins_premium_det i),'-2830','-2830','02', '11000003','00','Request by Mr. Saqib Saleem 13-Feb-2025');</v>
      </c>
    </row>
    <row r="13" spans="1:8" ht="90">
      <c r="A13" s="12" t="s">
        <v>469</v>
      </c>
      <c r="B13" s="15" t="str">
        <f>VLOOKUP(A13,policy!B:C,2,0)</f>
        <v>050000851217</v>
      </c>
      <c r="C13" s="12">
        <v>-3500</v>
      </c>
      <c r="D13" s="16">
        <f t="shared" si="1"/>
        <v>-3500</v>
      </c>
      <c r="E13" s="21" t="s">
        <v>5795</v>
      </c>
      <c r="F13" s="17" t="str">
        <f t="shared" si="0"/>
        <v>insert into ins_premium_det (premium_rcv_code,assorted_code, rec_amount,premium_rcv_detail_code,remaining_amt, payrec, mode_code,coinsurance_code,class_cd,it_remarks) values</v>
      </c>
      <c r="G13" s="18" t="str">
        <f t="shared" si="2"/>
        <v>('12Feb250043','050000851217','-3500',(select max(to_number(i.premium_rcv_detail_code))+1
from ins_premium_det i),'-3500','-3500','02', '11000003','00','Request by Mr. Saqib Saleem 13-Feb-2025');</v>
      </c>
      <c r="H13" s="19" t="str">
        <f t="shared" si="3"/>
        <v>insert into ins_premium_det (premium_rcv_code,assorted_code, rec_amount,premium_rcv_detail_code,remaining_amt, payrec, mode_code,coinsurance_code,class_cd,it_remarks) values('12Feb250043','050000851217','-3500',(select max(to_number(i.premium_rcv_detail_code))+1
from ins_premium_det i),'-3500','-3500','02', '11000003','00','Request by Mr. Saqib Saleem 13-Feb-2025');</v>
      </c>
    </row>
    <row r="14" spans="1:8" ht="90">
      <c r="A14" s="12" t="s">
        <v>509</v>
      </c>
      <c r="B14" s="15" t="str">
        <f>VLOOKUP(A14,policy!B:C,2,0)</f>
        <v>050000851218</v>
      </c>
      <c r="C14" s="12">
        <v>-2025</v>
      </c>
      <c r="D14" s="16">
        <f t="shared" si="1"/>
        <v>-2025</v>
      </c>
      <c r="E14" s="21" t="s">
        <v>5795</v>
      </c>
      <c r="F14" s="17" t="str">
        <f t="shared" si="0"/>
        <v>insert into ins_premium_det (premium_rcv_code,assorted_code, rec_amount,premium_rcv_detail_code,remaining_amt, payrec, mode_code,coinsurance_code,class_cd,it_remarks) values</v>
      </c>
      <c r="G14" s="18" t="str">
        <f t="shared" si="2"/>
        <v>('12Feb250043','050000851218','-2025',(select max(to_number(i.premium_rcv_detail_code))+1
from ins_premium_det i),'-2025','-2025','02', '11000003','00','Request by Mr. Saqib Saleem 13-Feb-2025');</v>
      </c>
      <c r="H14" s="19" t="str">
        <f t="shared" si="3"/>
        <v>insert into ins_premium_det (premium_rcv_code,assorted_code, rec_amount,premium_rcv_detail_code,remaining_amt, payrec, mode_code,coinsurance_code,class_cd,it_remarks) values('12Feb250043','050000851218','-2025',(select max(to_number(i.premium_rcv_detail_code))+1
from ins_premium_det i),'-2025','-2025','02', '11000003','00','Request by Mr. Saqib Saleem 13-Feb-2025');</v>
      </c>
    </row>
    <row r="15" spans="1:8" ht="90">
      <c r="A15" s="12" t="s">
        <v>525</v>
      </c>
      <c r="B15" s="15" t="str">
        <f>VLOOKUP(A15,policy!B:C,2,0)</f>
        <v>050000851220</v>
      </c>
      <c r="C15" s="12">
        <v>-3188</v>
      </c>
      <c r="D15" s="16">
        <f t="shared" si="1"/>
        <v>-3188</v>
      </c>
      <c r="E15" s="21" t="s">
        <v>5795</v>
      </c>
      <c r="F15" s="17" t="str">
        <f t="shared" si="0"/>
        <v>insert into ins_premium_det (premium_rcv_code,assorted_code, rec_amount,premium_rcv_detail_code,remaining_amt, payrec, mode_code,coinsurance_code,class_cd,it_remarks) values</v>
      </c>
      <c r="G15" s="18" t="str">
        <f t="shared" si="2"/>
        <v>('12Feb250043','050000851220','-3188',(select max(to_number(i.premium_rcv_detail_code))+1
from ins_premium_det i),'-3188','-3188','02', '11000003','00','Request by Mr. Saqib Saleem 13-Feb-2025');</v>
      </c>
      <c r="H15" s="19" t="str">
        <f t="shared" si="3"/>
        <v>insert into ins_premium_det (premium_rcv_code,assorted_code, rec_amount,premium_rcv_detail_code,remaining_amt, payrec, mode_code,coinsurance_code,class_cd,it_remarks) values('12Feb250043','050000851220','-3188',(select max(to_number(i.premium_rcv_detail_code))+1
from ins_premium_det i),'-3188','-3188','02', '11000003','00','Request by Mr. Saqib Saleem 13-Feb-2025');</v>
      </c>
    </row>
    <row r="16" spans="1:8" ht="90">
      <c r="A16" s="12" t="s">
        <v>539</v>
      </c>
      <c r="B16" s="15" t="str">
        <f>VLOOKUP(A16,policy!B:C,2,0)</f>
        <v>050000851221</v>
      </c>
      <c r="C16" s="12">
        <v>-4012</v>
      </c>
      <c r="D16" s="16">
        <f t="shared" si="1"/>
        <v>-4012</v>
      </c>
      <c r="E16" s="21" t="s">
        <v>5795</v>
      </c>
      <c r="F16" s="17" t="str">
        <f t="shared" si="0"/>
        <v>insert into ins_premium_det (premium_rcv_code,assorted_code, rec_amount,premium_rcv_detail_code,remaining_amt, payrec, mode_code,coinsurance_code,class_cd,it_remarks) values</v>
      </c>
      <c r="G16" s="18" t="str">
        <f t="shared" si="2"/>
        <v>('12Feb250043','050000851221','-4012',(select max(to_number(i.premium_rcv_detail_code))+1
from ins_premium_det i),'-4012','-4012','02', '11000003','00','Request by Mr. Saqib Saleem 13-Feb-2025');</v>
      </c>
      <c r="H16" s="19" t="str">
        <f t="shared" si="3"/>
        <v>insert into ins_premium_det (premium_rcv_code,assorted_code, rec_amount,premium_rcv_detail_code,remaining_amt, payrec, mode_code,coinsurance_code,class_cd,it_remarks) values('12Feb250043','050000851221','-4012',(select max(to_number(i.premium_rcv_detail_code))+1
from ins_premium_det i),'-4012','-4012','02', '11000003','00','Request by Mr. Saqib Saleem 13-Feb-2025');</v>
      </c>
    </row>
    <row r="17" spans="1:8" ht="90">
      <c r="A17" s="12" t="s">
        <v>553</v>
      </c>
      <c r="B17" s="15" t="str">
        <f>VLOOKUP(A17,policy!B:C,2,0)</f>
        <v>050000851222</v>
      </c>
      <c r="C17" s="12">
        <v>-2550</v>
      </c>
      <c r="D17" s="16">
        <f t="shared" si="1"/>
        <v>-2550</v>
      </c>
      <c r="E17" s="21" t="s">
        <v>5795</v>
      </c>
      <c r="F17" s="17" t="str">
        <f t="shared" si="0"/>
        <v>insert into ins_premium_det (premium_rcv_code,assorted_code, rec_amount,premium_rcv_detail_code,remaining_amt, payrec, mode_code,coinsurance_code,class_cd,it_remarks) values</v>
      </c>
      <c r="G17" s="18" t="str">
        <f t="shared" si="2"/>
        <v>('12Feb250043','050000851222','-2550',(select max(to_number(i.premium_rcv_detail_code))+1
from ins_premium_det i),'-2550','-2550','02', '11000003','00','Request by Mr. Saqib Saleem 13-Feb-2025');</v>
      </c>
      <c r="H17" s="19" t="str">
        <f t="shared" si="3"/>
        <v>insert into ins_premium_det (premium_rcv_code,assorted_code, rec_amount,premium_rcv_detail_code,remaining_amt, payrec, mode_code,coinsurance_code,class_cd,it_remarks) values('12Feb250043','050000851222','-2550',(select max(to_number(i.premium_rcv_detail_code))+1
from ins_premium_det i),'-2550','-2550','02', '11000003','00','Request by Mr. Saqib Saleem 13-Feb-2025');</v>
      </c>
    </row>
    <row r="18" spans="1:8" ht="90">
      <c r="A18" s="12" t="s">
        <v>567</v>
      </c>
      <c r="B18" s="15" t="str">
        <f>VLOOKUP(A18,policy!B:C,2,0)</f>
        <v>050000851223</v>
      </c>
      <c r="C18" s="12">
        <v>-2250</v>
      </c>
      <c r="D18" s="16">
        <f t="shared" si="1"/>
        <v>-2250</v>
      </c>
      <c r="E18" s="21" t="s">
        <v>5795</v>
      </c>
      <c r="F18" s="17" t="str">
        <f t="shared" si="0"/>
        <v>insert into ins_premium_det (premium_rcv_code,assorted_code, rec_amount,premium_rcv_detail_code,remaining_amt, payrec, mode_code,coinsurance_code,class_cd,it_remarks) values</v>
      </c>
      <c r="G18" s="18" t="str">
        <f t="shared" si="2"/>
        <v>('12Feb250043','050000851223','-2250',(select max(to_number(i.premium_rcv_detail_code))+1
from ins_premium_det i),'-2250','-2250','02', '11000003','00','Request by Mr. Saqib Saleem 13-Feb-2025');</v>
      </c>
      <c r="H18" s="19" t="str">
        <f t="shared" si="3"/>
        <v>insert into ins_premium_det (premium_rcv_code,assorted_code, rec_amount,premium_rcv_detail_code,remaining_amt, payrec, mode_code,coinsurance_code,class_cd,it_remarks) values('12Feb250043','050000851223','-2250',(select max(to_number(i.premium_rcv_detail_code))+1
from ins_premium_det i),'-2250','-2250','02', '11000003','00','Request by Mr. Saqib Saleem 13-Feb-2025');</v>
      </c>
    </row>
    <row r="19" spans="1:8" ht="90">
      <c r="A19" s="12" t="s">
        <v>595</v>
      </c>
      <c r="B19" s="15" t="str">
        <f>VLOOKUP(A19,policy!B:C,2,0)</f>
        <v>050000851224</v>
      </c>
      <c r="C19" s="12">
        <v>-2933</v>
      </c>
      <c r="D19" s="16">
        <f t="shared" si="1"/>
        <v>-2933</v>
      </c>
      <c r="E19" s="21" t="s">
        <v>5795</v>
      </c>
      <c r="F19" s="17" t="str">
        <f t="shared" si="0"/>
        <v>insert into ins_premium_det (premium_rcv_code,assorted_code, rec_amount,premium_rcv_detail_code,remaining_amt, payrec, mode_code,coinsurance_code,class_cd,it_remarks) values</v>
      </c>
      <c r="G19" s="18" t="str">
        <f t="shared" si="2"/>
        <v>('12Feb250043','050000851224','-2933',(select max(to_number(i.premium_rcv_detail_code))+1
from ins_premium_det i),'-2933','-2933','02', '11000003','00','Request by Mr. Saqib Saleem 13-Feb-2025');</v>
      </c>
      <c r="H19" s="19" t="str">
        <f t="shared" si="3"/>
        <v>insert into ins_premium_det (premium_rcv_code,assorted_code, rec_amount,premium_rcv_detail_code,remaining_amt, payrec, mode_code,coinsurance_code,class_cd,it_remarks) values('12Feb250043','050000851224','-2933',(select max(to_number(i.premium_rcv_detail_code))+1
from ins_premium_det i),'-2933','-2933','02', '11000003','00','Request by Mr. Saqib Saleem 13-Feb-2025');</v>
      </c>
    </row>
    <row r="20" spans="1:8" ht="90">
      <c r="A20" s="12" t="s">
        <v>622</v>
      </c>
      <c r="B20" s="15" t="str">
        <f>VLOOKUP(A20,policy!B:C,2,0)</f>
        <v>050000850803</v>
      </c>
      <c r="C20" s="12">
        <v>-2160</v>
      </c>
      <c r="D20" s="16">
        <f t="shared" si="1"/>
        <v>-2160</v>
      </c>
      <c r="E20" s="21" t="s">
        <v>5795</v>
      </c>
      <c r="F20" s="17" t="str">
        <f t="shared" si="0"/>
        <v>insert into ins_premium_det (premium_rcv_code,assorted_code, rec_amount,premium_rcv_detail_code,remaining_amt, payrec, mode_code,coinsurance_code,class_cd,it_remarks) values</v>
      </c>
      <c r="G20" s="18" t="str">
        <f t="shared" si="2"/>
        <v>('12Feb250043','050000850803','-2160',(select max(to_number(i.premium_rcv_detail_code))+1
from ins_premium_det i),'-2160','-2160','02', '11000003','00','Request by Mr. Saqib Saleem 13-Feb-2025');</v>
      </c>
      <c r="H20" s="19" t="str">
        <f t="shared" si="3"/>
        <v>insert into ins_premium_det (premium_rcv_code,assorted_code, rec_amount,premium_rcv_detail_code,remaining_amt, payrec, mode_code,coinsurance_code,class_cd,it_remarks) values('12Feb250043','050000850803','-2160',(select max(to_number(i.premium_rcv_detail_code))+1
from ins_premium_det i),'-2160','-2160','02', '11000003','00','Request by Mr. Saqib Saleem 13-Feb-2025');</v>
      </c>
    </row>
    <row r="21" spans="1:8" ht="90">
      <c r="A21" s="12" t="s">
        <v>646</v>
      </c>
      <c r="B21" s="15" t="str">
        <f>VLOOKUP(A21,policy!B:C,2,0)</f>
        <v>050000850804</v>
      </c>
      <c r="C21" s="12">
        <v>-2494</v>
      </c>
      <c r="D21" s="16">
        <f t="shared" si="1"/>
        <v>-2494</v>
      </c>
      <c r="E21" s="21" t="s">
        <v>5795</v>
      </c>
      <c r="F21" s="17" t="str">
        <f t="shared" si="0"/>
        <v>insert into ins_premium_det (premium_rcv_code,assorted_code, rec_amount,premium_rcv_detail_code,remaining_amt, payrec, mode_code,coinsurance_code,class_cd,it_remarks) values</v>
      </c>
      <c r="G21" s="18" t="str">
        <f t="shared" si="2"/>
        <v>('12Feb250043','050000850804','-2494',(select max(to_number(i.premium_rcv_detail_code))+1
from ins_premium_det i),'-2494','-2494','02', '11000003','00','Request by Mr. Saqib Saleem 13-Feb-2025');</v>
      </c>
      <c r="H21" s="19" t="str">
        <f t="shared" si="3"/>
        <v>insert into ins_premium_det (premium_rcv_code,assorted_code, rec_amount,premium_rcv_detail_code,remaining_amt, payrec, mode_code,coinsurance_code,class_cd,it_remarks) values('12Feb250043','050000850804','-2494',(select max(to_number(i.premium_rcv_detail_code))+1
from ins_premium_det i),'-2494','-2494','02', '11000003','00','Request by Mr. Saqib Saleem 13-Feb-2025');</v>
      </c>
    </row>
    <row r="22" spans="1:8" ht="90">
      <c r="A22" s="12" t="s">
        <v>673</v>
      </c>
      <c r="B22" s="15" t="str">
        <f>VLOOKUP(A22,policy!B:C,2,0)</f>
        <v>050000850805</v>
      </c>
      <c r="C22" s="12">
        <v>-2589</v>
      </c>
      <c r="D22" s="16">
        <f t="shared" si="1"/>
        <v>-2589</v>
      </c>
      <c r="E22" s="21" t="s">
        <v>5795</v>
      </c>
      <c r="F22" s="17" t="str">
        <f t="shared" si="0"/>
        <v>insert into ins_premium_det (premium_rcv_code,assorted_code, rec_amount,premium_rcv_detail_code,remaining_amt, payrec, mode_code,coinsurance_code,class_cd,it_remarks) values</v>
      </c>
      <c r="G22" s="18" t="str">
        <f t="shared" si="2"/>
        <v>('12Feb250043','050000850805','-2589',(select max(to_number(i.premium_rcv_detail_code))+1
from ins_premium_det i),'-2589','-2589','02', '11000003','00','Request by Mr. Saqib Saleem 13-Feb-2025');</v>
      </c>
      <c r="H22" s="19" t="str">
        <f t="shared" si="3"/>
        <v>insert into ins_premium_det (premium_rcv_code,assorted_code, rec_amount,premium_rcv_detail_code,remaining_amt, payrec, mode_code,coinsurance_code,class_cd,it_remarks) values('12Feb250043','050000850805','-2589',(select max(to_number(i.premium_rcv_detail_code))+1
from ins_premium_det i),'-2589','-2589','02', '11000003','00','Request by Mr. Saqib Saleem 13-Feb-2025');</v>
      </c>
    </row>
    <row r="23" spans="1:8" ht="90">
      <c r="A23" s="12" t="s">
        <v>687</v>
      </c>
      <c r="B23" s="15" t="str">
        <f>VLOOKUP(A23,policy!B:C,2,0)</f>
        <v>050000850806</v>
      </c>
      <c r="C23" s="12">
        <v>-2650</v>
      </c>
      <c r="D23" s="16">
        <f t="shared" si="1"/>
        <v>-2650</v>
      </c>
      <c r="E23" s="21" t="s">
        <v>5795</v>
      </c>
      <c r="F23" s="17" t="str">
        <f t="shared" si="0"/>
        <v>insert into ins_premium_det (premium_rcv_code,assorted_code, rec_amount,premium_rcv_detail_code,remaining_amt, payrec, mode_code,coinsurance_code,class_cd,it_remarks) values</v>
      </c>
      <c r="G23" s="18" t="str">
        <f t="shared" si="2"/>
        <v>('12Feb250043','050000850806','-2650',(select max(to_number(i.premium_rcv_detail_code))+1
from ins_premium_det i),'-2650','-2650','02', '11000003','00','Request by Mr. Saqib Saleem 13-Feb-2025');</v>
      </c>
      <c r="H23" s="19" t="str">
        <f t="shared" si="3"/>
        <v>insert into ins_premium_det (premium_rcv_code,assorted_code, rec_amount,premium_rcv_detail_code,remaining_amt, payrec, mode_code,coinsurance_code,class_cd,it_remarks) values('12Feb250043','050000850806','-2650',(select max(to_number(i.premium_rcv_detail_code))+1
from ins_premium_det i),'-2650','-2650','02', '11000003','00','Request by Mr. Saqib Saleem 13-Feb-2025');</v>
      </c>
    </row>
    <row r="24" spans="1:8" ht="90">
      <c r="A24" s="12" t="s">
        <v>701</v>
      </c>
      <c r="B24" s="15" t="str">
        <f>VLOOKUP(A24,policy!B:C,2,0)</f>
        <v>050000850808</v>
      </c>
      <c r="C24" s="12">
        <v>-1688</v>
      </c>
      <c r="D24" s="16">
        <f t="shared" si="1"/>
        <v>-1688</v>
      </c>
      <c r="E24" s="21" t="s">
        <v>5795</v>
      </c>
      <c r="F24" s="17" t="str">
        <f t="shared" si="0"/>
        <v>insert into ins_premium_det (premium_rcv_code,assorted_code, rec_amount,premium_rcv_detail_code,remaining_amt, payrec, mode_code,coinsurance_code,class_cd,it_remarks) values</v>
      </c>
      <c r="G24" s="18" t="str">
        <f t="shared" si="2"/>
        <v>('12Feb250043','050000850808','-1688',(select max(to_number(i.premium_rcv_detail_code))+1
from ins_premium_det i),'-1688','-1688','02', '11000003','00','Request by Mr. Saqib Saleem 13-Feb-2025');</v>
      </c>
      <c r="H24" s="19" t="str">
        <f t="shared" si="3"/>
        <v>insert into ins_premium_det (premium_rcv_code,assorted_code, rec_amount,premium_rcv_detail_code,remaining_amt, payrec, mode_code,coinsurance_code,class_cd,it_remarks) values('12Feb250043','050000850808','-1688',(select max(to_number(i.premium_rcv_detail_code))+1
from ins_premium_det i),'-1688','-1688','02', '11000003','00','Request by Mr. Saqib Saleem 13-Feb-2025');</v>
      </c>
    </row>
    <row r="25" spans="1:8" ht="90">
      <c r="A25" s="12" t="s">
        <v>714</v>
      </c>
      <c r="B25" s="15" t="str">
        <f>VLOOKUP(A25,policy!B:C,2,0)</f>
        <v>050000850809</v>
      </c>
      <c r="C25" s="12">
        <v>-2500</v>
      </c>
      <c r="D25" s="16">
        <f t="shared" si="1"/>
        <v>-2500</v>
      </c>
      <c r="E25" s="21" t="s">
        <v>5795</v>
      </c>
      <c r="F25" s="17" t="str">
        <f t="shared" si="0"/>
        <v>insert into ins_premium_det (premium_rcv_code,assorted_code, rec_amount,premium_rcv_detail_code,remaining_amt, payrec, mode_code,coinsurance_code,class_cd,it_remarks) values</v>
      </c>
      <c r="G25" s="18" t="str">
        <f t="shared" si="2"/>
        <v>('12Feb250043','050000850809','-2500',(select max(to_number(i.premium_rcv_detail_code))+1
from ins_premium_det i),'-2500','-2500','02', '11000003','00','Request by Mr. Saqib Saleem 13-Feb-2025');</v>
      </c>
      <c r="H25" s="19" t="str">
        <f t="shared" si="3"/>
        <v>insert into ins_premium_det (premium_rcv_code,assorted_code, rec_amount,premium_rcv_detail_code,remaining_amt, payrec, mode_code,coinsurance_code,class_cd,it_remarks) values('12Feb250043','050000850809','-2500',(select max(to_number(i.premium_rcv_detail_code))+1
from ins_premium_det i),'-2500','-2500','02', '11000003','00','Request by Mr. Saqib Saleem 13-Feb-2025');</v>
      </c>
    </row>
    <row r="26" spans="1:8" ht="90">
      <c r="A26" s="12" t="s">
        <v>731</v>
      </c>
      <c r="B26" s="15" t="str">
        <f>VLOOKUP(A26,policy!B:C,2,0)</f>
        <v>050000850812</v>
      </c>
      <c r="C26" s="12">
        <v>-3603</v>
      </c>
      <c r="D26" s="16">
        <f t="shared" si="1"/>
        <v>-3603</v>
      </c>
      <c r="E26" s="21" t="s">
        <v>5795</v>
      </c>
      <c r="F26" s="17" t="str">
        <f t="shared" si="0"/>
        <v>insert into ins_premium_det (premium_rcv_code,assorted_code, rec_amount,premium_rcv_detail_code,remaining_amt, payrec, mode_code,coinsurance_code,class_cd,it_remarks) values</v>
      </c>
      <c r="G26" s="18" t="str">
        <f t="shared" si="2"/>
        <v>('12Feb250043','050000850812','-3603',(select max(to_number(i.premium_rcv_detail_code))+1
from ins_premium_det i),'-3603','-3603','02', '11000003','00','Request by Mr. Saqib Saleem 13-Feb-2025');</v>
      </c>
      <c r="H26" s="19" t="str">
        <f t="shared" si="3"/>
        <v>insert into ins_premium_det (premium_rcv_code,assorted_code, rec_amount,premium_rcv_detail_code,remaining_amt, payrec, mode_code,coinsurance_code,class_cd,it_remarks) values('12Feb250043','050000850812','-3603',(select max(to_number(i.premium_rcv_detail_code))+1
from ins_premium_det i),'-3603','-3603','02', '11000003','00','Request by Mr. Saqib Saleem 13-Feb-2025');</v>
      </c>
    </row>
    <row r="27" spans="1:8" ht="90">
      <c r="A27" s="12" t="s">
        <v>745</v>
      </c>
      <c r="B27" s="15" t="str">
        <f>VLOOKUP(A27,policy!B:C,2,0)</f>
        <v>050000850814</v>
      </c>
      <c r="C27" s="12">
        <v>-2525</v>
      </c>
      <c r="D27" s="16">
        <f t="shared" si="1"/>
        <v>-2525</v>
      </c>
      <c r="E27" s="21" t="s">
        <v>5795</v>
      </c>
      <c r="F27" s="17" t="str">
        <f t="shared" si="0"/>
        <v>insert into ins_premium_det (premium_rcv_code,assorted_code, rec_amount,premium_rcv_detail_code,remaining_amt, payrec, mode_code,coinsurance_code,class_cd,it_remarks) values</v>
      </c>
      <c r="G27" s="18" t="str">
        <f t="shared" si="2"/>
        <v>('12Feb250043','050000850814','-2525',(select max(to_number(i.premium_rcv_detail_code))+1
from ins_premium_det i),'-2525','-2525','02', '11000003','00','Request by Mr. Saqib Saleem 13-Feb-2025');</v>
      </c>
      <c r="H27" s="19" t="str">
        <f t="shared" si="3"/>
        <v>insert into ins_premium_det (premium_rcv_code,assorted_code, rec_amount,premium_rcv_detail_code,remaining_amt, payrec, mode_code,coinsurance_code,class_cd,it_remarks) values('12Feb250043','050000850814','-2525',(select max(to_number(i.premium_rcv_detail_code))+1
from ins_premium_det i),'-2525','-2525','02', '11000003','00','Request by Mr. Saqib Saleem 13-Feb-2025');</v>
      </c>
    </row>
    <row r="28" spans="1:8" ht="90">
      <c r="A28" s="12" t="s">
        <v>758</v>
      </c>
      <c r="B28" s="15" t="str">
        <f>VLOOKUP(A28,policy!B:C,2,0)</f>
        <v>050000850815</v>
      </c>
      <c r="C28" s="12">
        <v>-1256</v>
      </c>
      <c r="D28" s="16">
        <f t="shared" si="1"/>
        <v>-1256</v>
      </c>
      <c r="E28" s="21" t="s">
        <v>5795</v>
      </c>
      <c r="F28" s="17" t="str">
        <f t="shared" si="0"/>
        <v>insert into ins_premium_det (premium_rcv_code,assorted_code, rec_amount,premium_rcv_detail_code,remaining_amt, payrec, mode_code,coinsurance_code,class_cd,it_remarks) values</v>
      </c>
      <c r="G28" s="18" t="str">
        <f t="shared" si="2"/>
        <v>('12Feb250043','050000850815','-1256',(select max(to_number(i.premium_rcv_detail_code))+1
from ins_premium_det i),'-1256','-1256','02', '11000003','00','Request by Mr. Saqib Saleem 13-Feb-2025');</v>
      </c>
      <c r="H28" s="19" t="str">
        <f t="shared" si="3"/>
        <v>insert into ins_premium_det (premium_rcv_code,assorted_code, rec_amount,premium_rcv_detail_code,remaining_amt, payrec, mode_code,coinsurance_code,class_cd,it_remarks) values('12Feb250043','050000850815','-1256',(select max(to_number(i.premium_rcv_detail_code))+1
from ins_premium_det i),'-1256','-1256','02', '11000003','00','Request by Mr. Saqib Saleem 13-Feb-2025');</v>
      </c>
    </row>
    <row r="29" spans="1:8" ht="90">
      <c r="A29" s="12" t="s">
        <v>771</v>
      </c>
      <c r="B29" s="15" t="str">
        <f>VLOOKUP(A29,policy!B:C,2,0)</f>
        <v>050000850817</v>
      </c>
      <c r="C29" s="12">
        <v>-1425</v>
      </c>
      <c r="D29" s="16">
        <f t="shared" si="1"/>
        <v>-1425</v>
      </c>
      <c r="E29" s="21" t="s">
        <v>5795</v>
      </c>
      <c r="F29" s="17" t="str">
        <f t="shared" si="0"/>
        <v>insert into ins_premium_det (premium_rcv_code,assorted_code, rec_amount,premium_rcv_detail_code,remaining_amt, payrec, mode_code,coinsurance_code,class_cd,it_remarks) values</v>
      </c>
      <c r="G29" s="18" t="str">
        <f t="shared" si="2"/>
        <v>('12Feb250043','050000850817','-1425',(select max(to_number(i.premium_rcv_detail_code))+1
from ins_premium_det i),'-1425','-1425','02', '11000003','00','Request by Mr. Saqib Saleem 13-Feb-2025');</v>
      </c>
      <c r="H29" s="19" t="str">
        <f t="shared" si="3"/>
        <v>insert into ins_premium_det (premium_rcv_code,assorted_code, rec_amount,premium_rcv_detail_code,remaining_amt, payrec, mode_code,coinsurance_code,class_cd,it_remarks) values('12Feb250043','050000850817','-1425',(select max(to_number(i.premium_rcv_detail_code))+1
from ins_premium_det i),'-1425','-1425','02', '11000003','00','Request by Mr. Saqib Saleem 13-Feb-2025');</v>
      </c>
    </row>
    <row r="30" spans="1:8" ht="90">
      <c r="A30" s="12" t="s">
        <v>825</v>
      </c>
      <c r="B30" s="15" t="str">
        <f>VLOOKUP(A30,policy!B:C,2,0)</f>
        <v>050000850818</v>
      </c>
      <c r="C30" s="12">
        <v>-1200</v>
      </c>
      <c r="D30" s="16">
        <f t="shared" si="1"/>
        <v>-1200</v>
      </c>
      <c r="E30" s="21" t="s">
        <v>5795</v>
      </c>
      <c r="F30" s="17" t="str">
        <f t="shared" si="0"/>
        <v>insert into ins_premium_det (premium_rcv_code,assorted_code, rec_amount,premium_rcv_detail_code,remaining_amt, payrec, mode_code,coinsurance_code,class_cd,it_remarks) values</v>
      </c>
      <c r="G30" s="18" t="str">
        <f t="shared" si="2"/>
        <v>('12Feb250043','050000850818','-1200',(select max(to_number(i.premium_rcv_detail_code))+1
from ins_premium_det i),'-1200','-1200','02', '11000003','00','Request by Mr. Saqib Saleem 13-Feb-2025');</v>
      </c>
      <c r="H30" s="19" t="str">
        <f t="shared" si="3"/>
        <v>insert into ins_premium_det (premium_rcv_code,assorted_code, rec_amount,premium_rcv_detail_code,remaining_amt, payrec, mode_code,coinsurance_code,class_cd,it_remarks) values('12Feb250043','050000850818','-1200',(select max(to_number(i.premium_rcv_detail_code))+1
from ins_premium_det i),'-1200','-1200','02', '11000003','00','Request by Mr. Saqib Saleem 13-Feb-2025');</v>
      </c>
    </row>
    <row r="31" spans="1:8" ht="90">
      <c r="A31" s="12" t="s">
        <v>840</v>
      </c>
      <c r="B31" s="15" t="str">
        <f>VLOOKUP(A31,policy!B:C,2,0)</f>
        <v>050000850820</v>
      </c>
      <c r="C31" s="12">
        <v>-1750</v>
      </c>
      <c r="D31" s="16">
        <f t="shared" si="1"/>
        <v>-1750</v>
      </c>
      <c r="E31" s="21" t="s">
        <v>5795</v>
      </c>
      <c r="F31" s="17" t="str">
        <f t="shared" si="0"/>
        <v>insert into ins_premium_det (premium_rcv_code,assorted_code, rec_amount,premium_rcv_detail_code,remaining_amt, payrec, mode_code,coinsurance_code,class_cd,it_remarks) values</v>
      </c>
      <c r="G31" s="18" t="str">
        <f t="shared" si="2"/>
        <v>('12Feb250043','050000850820','-1750',(select max(to_number(i.premium_rcv_detail_code))+1
from ins_premium_det i),'-1750','-1750','02', '11000003','00','Request by Mr. Saqib Saleem 13-Feb-2025');</v>
      </c>
      <c r="H31" s="19" t="str">
        <f t="shared" si="3"/>
        <v>insert into ins_premium_det (premium_rcv_code,assorted_code, rec_amount,premium_rcv_detail_code,remaining_amt, payrec, mode_code,coinsurance_code,class_cd,it_remarks) values('12Feb250043','050000850820','-1750',(select max(to_number(i.premium_rcv_detail_code))+1
from ins_premium_det i),'-1750','-1750','02', '11000003','00','Request by Mr. Saqib Saleem 13-Feb-2025');</v>
      </c>
    </row>
    <row r="32" spans="1:8" ht="90">
      <c r="A32" s="12" t="s">
        <v>854</v>
      </c>
      <c r="B32" s="15" t="str">
        <f>VLOOKUP(A32,policy!B:C,2,0)</f>
        <v>050000850822</v>
      </c>
      <c r="C32" s="12">
        <v>-1275</v>
      </c>
      <c r="D32" s="16">
        <f t="shared" si="1"/>
        <v>-1275</v>
      </c>
      <c r="E32" s="21" t="s">
        <v>5795</v>
      </c>
      <c r="F32" s="17" t="str">
        <f t="shared" si="0"/>
        <v>insert into ins_premium_det (premium_rcv_code,assorted_code, rec_amount,premium_rcv_detail_code,remaining_amt, payrec, mode_code,coinsurance_code,class_cd,it_remarks) values</v>
      </c>
      <c r="G32" s="18" t="str">
        <f t="shared" si="2"/>
        <v>('12Feb250043','050000850822','-1275',(select max(to_number(i.premium_rcv_detail_code))+1
from ins_premium_det i),'-1275','-1275','02', '11000003','00','Request by Mr. Saqib Saleem 13-Feb-2025');</v>
      </c>
      <c r="H32" s="19" t="str">
        <f t="shared" si="3"/>
        <v>insert into ins_premium_det (premium_rcv_code,assorted_code, rec_amount,premium_rcv_detail_code,remaining_amt, payrec, mode_code,coinsurance_code,class_cd,it_remarks) values('12Feb250043','050000850822','-1275',(select max(to_number(i.premium_rcv_detail_code))+1
from ins_premium_det i),'-1275','-1275','02', '11000003','00','Request by Mr. Saqib Saleem 13-Feb-2025');</v>
      </c>
    </row>
    <row r="33" spans="1:8" ht="90">
      <c r="A33" s="12" t="s">
        <v>867</v>
      </c>
      <c r="B33" s="15" t="str">
        <f>VLOOKUP(A33,policy!B:C,2,0)</f>
        <v>050000850824</v>
      </c>
      <c r="C33" s="12">
        <v>-1814</v>
      </c>
      <c r="D33" s="16">
        <f t="shared" si="1"/>
        <v>-1814</v>
      </c>
      <c r="E33" s="21" t="s">
        <v>5795</v>
      </c>
      <c r="F33" s="17" t="str">
        <f t="shared" si="0"/>
        <v>insert into ins_premium_det (premium_rcv_code,assorted_code, rec_amount,premium_rcv_detail_code,remaining_amt, payrec, mode_code,coinsurance_code,class_cd,it_remarks) values</v>
      </c>
      <c r="G33" s="18" t="str">
        <f t="shared" si="2"/>
        <v>('12Feb250043','050000850824','-1814',(select max(to_number(i.premium_rcv_detail_code))+1
from ins_premium_det i),'-1814','-1814','02', '11000003','00','Request by Mr. Saqib Saleem 13-Feb-2025');</v>
      </c>
      <c r="H33" s="19" t="str">
        <f t="shared" si="3"/>
        <v>insert into ins_premium_det (premium_rcv_code,assorted_code, rec_amount,premium_rcv_detail_code,remaining_amt, payrec, mode_code,coinsurance_code,class_cd,it_remarks) values('12Feb250043','050000850824','-1814',(select max(to_number(i.premium_rcv_detail_code))+1
from ins_premium_det i),'-1814','-1814','02', '11000003','00','Request by Mr. Saqib Saleem 13-Feb-2025');</v>
      </c>
    </row>
    <row r="34" spans="1:8" ht="90">
      <c r="A34" s="12" t="s">
        <v>894</v>
      </c>
      <c r="B34" s="15" t="str">
        <f>VLOOKUP(A34,policy!B:C,2,0)</f>
        <v>050000850825</v>
      </c>
      <c r="C34" s="12">
        <v>-1556</v>
      </c>
      <c r="D34" s="16">
        <f t="shared" si="1"/>
        <v>-1556</v>
      </c>
      <c r="E34" s="21" t="s">
        <v>5795</v>
      </c>
      <c r="F34" s="17" t="str">
        <f t="shared" si="0"/>
        <v>insert into ins_premium_det (premium_rcv_code,assorted_code, rec_amount,premium_rcv_detail_code,remaining_amt, payrec, mode_code,coinsurance_code,class_cd,it_remarks) values</v>
      </c>
      <c r="G34" s="18" t="str">
        <f t="shared" si="2"/>
        <v>('12Feb250043','050000850825','-1556',(select max(to_number(i.premium_rcv_detail_code))+1
from ins_premium_det i),'-1556','-1556','02', '11000003','00','Request by Mr. Saqib Saleem 13-Feb-2025');</v>
      </c>
      <c r="H34" s="19" t="str">
        <f t="shared" si="3"/>
        <v>insert into ins_premium_det (premium_rcv_code,assorted_code, rec_amount,premium_rcv_detail_code,remaining_amt, payrec, mode_code,coinsurance_code,class_cd,it_remarks) values('12Feb250043','050000850825','-1556',(select max(to_number(i.premium_rcv_detail_code))+1
from ins_premium_det i),'-1556','-1556','02', '11000003','00','Request by Mr. Saqib Saleem 13-Feb-2025');</v>
      </c>
    </row>
    <row r="35" spans="1:8" ht="90">
      <c r="A35" s="12" t="s">
        <v>909</v>
      </c>
      <c r="B35" s="15" t="str">
        <f>VLOOKUP(A35,policy!B:C,2,0)</f>
        <v>050000850826</v>
      </c>
      <c r="C35" s="12">
        <v>-1238</v>
      </c>
      <c r="D35" s="16">
        <f t="shared" si="1"/>
        <v>-1238</v>
      </c>
      <c r="E35" s="21" t="s">
        <v>5795</v>
      </c>
      <c r="F35" s="17" t="str">
        <f t="shared" si="0"/>
        <v>insert into ins_premium_det (premium_rcv_code,assorted_code, rec_amount,premium_rcv_detail_code,remaining_amt, payrec, mode_code,coinsurance_code,class_cd,it_remarks) values</v>
      </c>
      <c r="G35" s="18" t="str">
        <f t="shared" si="2"/>
        <v>('12Feb250043','050000850826','-1238',(select max(to_number(i.premium_rcv_detail_code))+1
from ins_premium_det i),'-1238','-1238','02', '11000003','00','Request by Mr. Saqib Saleem 13-Feb-2025');</v>
      </c>
      <c r="H35" s="19" t="str">
        <f t="shared" si="3"/>
        <v>insert into ins_premium_det (premium_rcv_code,assorted_code, rec_amount,premium_rcv_detail_code,remaining_amt, payrec, mode_code,coinsurance_code,class_cd,it_remarks) values('12Feb250043','050000850826','-1238',(select max(to_number(i.premium_rcv_detail_code))+1
from ins_premium_det i),'-1238','-1238','02', '11000003','00','Request by Mr. Saqib Saleem 13-Feb-2025');</v>
      </c>
    </row>
    <row r="36" spans="1:8" ht="90">
      <c r="A36" s="12" t="s">
        <v>923</v>
      </c>
      <c r="B36" s="15" t="str">
        <f>VLOOKUP(A36,policy!B:C,2,0)</f>
        <v>050000850827</v>
      </c>
      <c r="C36" s="12">
        <v>-1313</v>
      </c>
      <c r="D36" s="16">
        <f t="shared" si="1"/>
        <v>-1313</v>
      </c>
      <c r="E36" s="21" t="s">
        <v>5795</v>
      </c>
      <c r="F36" s="17" t="str">
        <f t="shared" si="0"/>
        <v>insert into ins_premium_det (premium_rcv_code,assorted_code, rec_amount,premium_rcv_detail_code,remaining_amt, payrec, mode_code,coinsurance_code,class_cd,it_remarks) values</v>
      </c>
      <c r="G36" s="18" t="str">
        <f t="shared" si="2"/>
        <v>('12Feb250043','050000850827','-1313',(select max(to_number(i.premium_rcv_detail_code))+1
from ins_premium_det i),'-1313','-1313','02', '11000003','00','Request by Mr. Saqib Saleem 13-Feb-2025');</v>
      </c>
      <c r="H36" s="19" t="str">
        <f t="shared" si="3"/>
        <v>insert into ins_premium_det (premium_rcv_code,assorted_code, rec_amount,premium_rcv_detail_code,remaining_amt, payrec, mode_code,coinsurance_code,class_cd,it_remarks) values('12Feb250043','050000850827','-1313',(select max(to_number(i.premium_rcv_detail_code))+1
from ins_premium_det i),'-1313','-1313','02', '11000003','00','Request by Mr. Saqib Saleem 13-Feb-2025');</v>
      </c>
    </row>
    <row r="37" spans="1:8" ht="90">
      <c r="A37" s="12" t="s">
        <v>957</v>
      </c>
      <c r="B37" s="15" t="str">
        <f>VLOOKUP(A37,policy!B:C,2,0)</f>
        <v>050000850828</v>
      </c>
      <c r="C37" s="12">
        <v>-1144</v>
      </c>
      <c r="D37" s="16">
        <f t="shared" si="1"/>
        <v>-1144</v>
      </c>
      <c r="E37" s="21" t="s">
        <v>5795</v>
      </c>
      <c r="F37" s="17" t="str">
        <f t="shared" si="0"/>
        <v>insert into ins_premium_det (premium_rcv_code,assorted_code, rec_amount,premium_rcv_detail_code,remaining_amt, payrec, mode_code,coinsurance_code,class_cd,it_remarks) values</v>
      </c>
      <c r="G37" s="18" t="str">
        <f t="shared" si="2"/>
        <v>('12Feb250043','050000850828','-1144',(select max(to_number(i.premium_rcv_detail_code))+1
from ins_premium_det i),'-1144','-1144','02', '11000003','00','Request by Mr. Saqib Saleem 13-Feb-2025');</v>
      </c>
      <c r="H37" s="19" t="str">
        <f t="shared" si="3"/>
        <v>insert into ins_premium_det (premium_rcv_code,assorted_code, rec_amount,premium_rcv_detail_code,remaining_amt, payrec, mode_code,coinsurance_code,class_cd,it_remarks) values('12Feb250043','050000850828','-1144',(select max(to_number(i.premium_rcv_detail_code))+1
from ins_premium_det i),'-1144','-1144','02', '11000003','00','Request by Mr. Saqib Saleem 13-Feb-2025');</v>
      </c>
    </row>
    <row r="38" spans="1:8" ht="90">
      <c r="A38" s="12" t="s">
        <v>973</v>
      </c>
      <c r="B38" s="15" t="str">
        <f>VLOOKUP(A38,policy!B:C,2,0)</f>
        <v>050000850830</v>
      </c>
      <c r="C38" s="12">
        <v>-1275</v>
      </c>
      <c r="D38" s="16">
        <f t="shared" si="1"/>
        <v>-1275</v>
      </c>
      <c r="E38" s="21" t="s">
        <v>5795</v>
      </c>
      <c r="F38" s="17" t="str">
        <f t="shared" si="0"/>
        <v>insert into ins_premium_det (premium_rcv_code,assorted_code, rec_amount,premium_rcv_detail_code,remaining_amt, payrec, mode_code,coinsurance_code,class_cd,it_remarks) values</v>
      </c>
      <c r="G38" s="18" t="str">
        <f t="shared" si="2"/>
        <v>('12Feb250043','050000850830','-1275',(select max(to_number(i.premium_rcv_detail_code))+1
from ins_premium_det i),'-1275','-1275','02', '11000003','00','Request by Mr. Saqib Saleem 13-Feb-2025');</v>
      </c>
      <c r="H38" s="19" t="str">
        <f t="shared" si="3"/>
        <v>insert into ins_premium_det (premium_rcv_code,assorted_code, rec_amount,premium_rcv_detail_code,remaining_amt, payrec, mode_code,coinsurance_code,class_cd,it_remarks) values('12Feb250043','050000850830','-1275',(select max(to_number(i.premium_rcv_detail_code))+1
from ins_premium_det i),'-1275','-1275','02', '11000003','00','Request by Mr. Saqib Saleem 13-Feb-2025');</v>
      </c>
    </row>
    <row r="39" spans="1:8" ht="90">
      <c r="A39" s="12" t="s">
        <v>998</v>
      </c>
      <c r="B39" s="15" t="str">
        <f>VLOOKUP(A39,policy!B:C,2,0)</f>
        <v>050000850831</v>
      </c>
      <c r="C39" s="12">
        <v>-1088</v>
      </c>
      <c r="D39" s="16">
        <f t="shared" si="1"/>
        <v>-1088</v>
      </c>
      <c r="E39" s="21" t="s">
        <v>5795</v>
      </c>
      <c r="F39" s="17" t="str">
        <f t="shared" si="0"/>
        <v>insert into ins_premium_det (premium_rcv_code,assorted_code, rec_amount,premium_rcv_detail_code,remaining_amt, payrec, mode_code,coinsurance_code,class_cd,it_remarks) values</v>
      </c>
      <c r="G39" s="18" t="str">
        <f t="shared" si="2"/>
        <v>('12Feb250043','050000850831','-1088',(select max(to_number(i.premium_rcv_detail_code))+1
from ins_premium_det i),'-1088','-1088','02', '11000003','00','Request by Mr. Saqib Saleem 13-Feb-2025');</v>
      </c>
      <c r="H39" s="19" t="str">
        <f t="shared" si="3"/>
        <v>insert into ins_premium_det (premium_rcv_code,assorted_code, rec_amount,premium_rcv_detail_code,remaining_amt, payrec, mode_code,coinsurance_code,class_cd,it_remarks) values('12Feb250043','050000850831','-1088',(select max(to_number(i.premium_rcv_detail_code))+1
from ins_premium_det i),'-1088','-1088','02', '11000003','00','Request by Mr. Saqib Saleem 13-Feb-2025');</v>
      </c>
    </row>
    <row r="40" spans="1:8" ht="90">
      <c r="A40" s="12" t="s">
        <v>1023</v>
      </c>
      <c r="B40" s="15" t="str">
        <f>VLOOKUP(A40,policy!B:C,2,0)</f>
        <v>050000850834</v>
      </c>
      <c r="C40" s="12">
        <v>-1275</v>
      </c>
      <c r="D40" s="16">
        <f t="shared" si="1"/>
        <v>-1275</v>
      </c>
      <c r="E40" s="21" t="s">
        <v>5795</v>
      </c>
      <c r="F40" s="17" t="str">
        <f t="shared" si="0"/>
        <v>insert into ins_premium_det (premium_rcv_code,assorted_code, rec_amount,premium_rcv_detail_code,remaining_amt, payrec, mode_code,coinsurance_code,class_cd,it_remarks) values</v>
      </c>
      <c r="G40" s="18" t="str">
        <f t="shared" si="2"/>
        <v>('12Feb250043','050000850834','-1275',(select max(to_number(i.premium_rcv_detail_code))+1
from ins_premium_det i),'-1275','-1275','02', '11000003','00','Request by Mr. Saqib Saleem 13-Feb-2025');</v>
      </c>
      <c r="H40" s="19" t="str">
        <f t="shared" si="3"/>
        <v>insert into ins_premium_det (premium_rcv_code,assorted_code, rec_amount,premium_rcv_detail_code,remaining_amt, payrec, mode_code,coinsurance_code,class_cd,it_remarks) values('12Feb250043','050000850834','-1275',(select max(to_number(i.premium_rcv_detail_code))+1
from ins_premium_det i),'-1275','-1275','02', '11000003','00','Request by Mr. Saqib Saleem 13-Feb-2025');</v>
      </c>
    </row>
    <row r="41" spans="1:8" ht="90">
      <c r="A41" s="12" t="s">
        <v>1034</v>
      </c>
      <c r="B41" s="15" t="str">
        <f>VLOOKUP(A41,policy!B:C,2,0)</f>
        <v>050000850836</v>
      </c>
      <c r="C41" s="12">
        <v>-3343</v>
      </c>
      <c r="D41" s="16">
        <f t="shared" si="1"/>
        <v>-3343</v>
      </c>
      <c r="E41" s="21" t="s">
        <v>5795</v>
      </c>
      <c r="F41" s="17" t="str">
        <f t="shared" si="0"/>
        <v>insert into ins_premium_det (premium_rcv_code,assorted_code, rec_amount,premium_rcv_detail_code,remaining_amt, payrec, mode_code,coinsurance_code,class_cd,it_remarks) values</v>
      </c>
      <c r="G41" s="18" t="str">
        <f t="shared" si="2"/>
        <v>('12Feb250043','050000850836','-3343',(select max(to_number(i.premium_rcv_detail_code))+1
from ins_premium_det i),'-3343','-3343','02', '11000003','00','Request by Mr. Saqib Saleem 13-Feb-2025');</v>
      </c>
      <c r="H41" s="19" t="str">
        <f t="shared" si="3"/>
        <v>insert into ins_premium_det (premium_rcv_code,assorted_code, rec_amount,premium_rcv_detail_code,remaining_amt, payrec, mode_code,coinsurance_code,class_cd,it_remarks) values('12Feb250043','050000850836','-3343',(select max(to_number(i.premium_rcv_detail_code))+1
from ins_premium_det i),'-3343','-3343','02', '11000003','00','Request by Mr. Saqib Saleem 13-Feb-2025');</v>
      </c>
    </row>
    <row r="42" spans="1:8" ht="90">
      <c r="A42" s="12" t="s">
        <v>1060</v>
      </c>
      <c r="B42" s="15" t="str">
        <f>VLOOKUP(A42,policy!B:C,2,0)</f>
        <v>050000850837</v>
      </c>
      <c r="C42" s="12">
        <v>-1448</v>
      </c>
      <c r="D42" s="16">
        <f t="shared" si="1"/>
        <v>-1448</v>
      </c>
      <c r="E42" s="21" t="s">
        <v>5795</v>
      </c>
      <c r="F42" s="17" t="str">
        <f t="shared" si="0"/>
        <v>insert into ins_premium_det (premium_rcv_code,assorted_code, rec_amount,premium_rcv_detail_code,remaining_amt, payrec, mode_code,coinsurance_code,class_cd,it_remarks) values</v>
      </c>
      <c r="G42" s="18" t="str">
        <f t="shared" si="2"/>
        <v>('12Feb250043','050000850837','-1448',(select max(to_number(i.premium_rcv_detail_code))+1
from ins_premium_det i),'-1448','-1448','02', '11000003','00','Request by Mr. Saqib Saleem 13-Feb-2025');</v>
      </c>
      <c r="H42" s="19" t="str">
        <f t="shared" si="3"/>
        <v>insert into ins_premium_det (premium_rcv_code,assorted_code, rec_amount,premium_rcv_detail_code,remaining_amt, payrec, mode_code,coinsurance_code,class_cd,it_remarks) values('12Feb250043','050000850837','-1448',(select max(to_number(i.premium_rcv_detail_code))+1
from ins_premium_det i),'-1448','-1448','02', '11000003','00','Request by Mr. Saqib Saleem 13-Feb-2025');</v>
      </c>
    </row>
    <row r="43" spans="1:8" ht="90">
      <c r="A43" s="12" t="s">
        <v>1074</v>
      </c>
      <c r="B43" s="15" t="str">
        <f>VLOOKUP(A43,policy!B:C,2,0)</f>
        <v>050000850838</v>
      </c>
      <c r="C43" s="12">
        <v>-1125</v>
      </c>
      <c r="D43" s="16">
        <f t="shared" si="1"/>
        <v>-1125</v>
      </c>
      <c r="E43" s="21" t="s">
        <v>5795</v>
      </c>
      <c r="F43" s="17" t="str">
        <f t="shared" si="0"/>
        <v>insert into ins_premium_det (premium_rcv_code,assorted_code, rec_amount,premium_rcv_detail_code,remaining_amt, payrec, mode_code,coinsurance_code,class_cd,it_remarks) values</v>
      </c>
      <c r="G43" s="18" t="str">
        <f t="shared" si="2"/>
        <v>('12Feb250043','050000850838','-1125',(select max(to_number(i.premium_rcv_detail_code))+1
from ins_premium_det i),'-1125','-1125','02', '11000003','00','Request by Mr. Saqib Saleem 13-Feb-2025');</v>
      </c>
      <c r="H43" s="19" t="str">
        <f t="shared" si="3"/>
        <v>insert into ins_premium_det (premium_rcv_code,assorted_code, rec_amount,premium_rcv_detail_code,remaining_amt, payrec, mode_code,coinsurance_code,class_cd,it_remarks) values('12Feb250043','050000850838','-1125',(select max(to_number(i.premium_rcv_detail_code))+1
from ins_premium_det i),'-1125','-1125','02', '11000003','00','Request by Mr. Saqib Saleem 13-Feb-2025');</v>
      </c>
    </row>
    <row r="44" spans="1:8" ht="90">
      <c r="A44" s="12" t="s">
        <v>1088</v>
      </c>
      <c r="B44" s="15" t="str">
        <f>VLOOKUP(A44,policy!B:C,2,0)</f>
        <v>050000850839</v>
      </c>
      <c r="C44" s="12">
        <v>-1800</v>
      </c>
      <c r="D44" s="16">
        <f t="shared" si="1"/>
        <v>-1800</v>
      </c>
      <c r="E44" s="21" t="s">
        <v>5795</v>
      </c>
      <c r="F44" s="17" t="str">
        <f t="shared" si="0"/>
        <v>insert into ins_premium_det (premium_rcv_code,assorted_code, rec_amount,premium_rcv_detail_code,remaining_amt, payrec, mode_code,coinsurance_code,class_cd,it_remarks) values</v>
      </c>
      <c r="G44" s="18" t="str">
        <f t="shared" si="2"/>
        <v>('12Feb250043','050000850839','-1800',(select max(to_number(i.premium_rcv_detail_code))+1
from ins_premium_det i),'-1800','-1800','02', '11000003','00','Request by Mr. Saqib Saleem 13-Feb-2025');</v>
      </c>
      <c r="H44" s="19" t="str">
        <f t="shared" si="3"/>
        <v>insert into ins_premium_det (premium_rcv_code,assorted_code, rec_amount,premium_rcv_detail_code,remaining_amt, payrec, mode_code,coinsurance_code,class_cd,it_remarks) values('12Feb250043','050000850839','-1800',(select max(to_number(i.premium_rcv_detail_code))+1
from ins_premium_det i),'-1800','-1800','02', '11000003','00','Request by Mr. Saqib Saleem 13-Feb-2025');</v>
      </c>
    </row>
    <row r="45" spans="1:8" ht="90">
      <c r="A45" s="12" t="s">
        <v>1130</v>
      </c>
      <c r="B45" s="15" t="str">
        <f>VLOOKUP(A45,policy!B:C,2,0)</f>
        <v>050000850843</v>
      </c>
      <c r="C45" s="12">
        <v>-1900</v>
      </c>
      <c r="D45" s="16">
        <f t="shared" si="1"/>
        <v>-1900</v>
      </c>
      <c r="E45" s="21" t="s">
        <v>5795</v>
      </c>
      <c r="F45" s="17" t="str">
        <f t="shared" si="0"/>
        <v>insert into ins_premium_det (premium_rcv_code,assorted_code, rec_amount,premium_rcv_detail_code,remaining_amt, payrec, mode_code,coinsurance_code,class_cd,it_remarks) values</v>
      </c>
      <c r="G45" s="18" t="str">
        <f t="shared" si="2"/>
        <v>('12Feb250043','050000850843','-1900',(select max(to_number(i.premium_rcv_detail_code))+1
from ins_premium_det i),'-1900','-1900','02', '11000003','00','Request by Mr. Saqib Saleem 13-Feb-2025');</v>
      </c>
      <c r="H45" s="19" t="str">
        <f t="shared" si="3"/>
        <v>insert into ins_premium_det (premium_rcv_code,assorted_code, rec_amount,premium_rcv_detail_code,remaining_amt, payrec, mode_code,coinsurance_code,class_cd,it_remarks) values('12Feb250043','050000850843','-1900',(select max(to_number(i.premium_rcv_detail_code))+1
from ins_premium_det i),'-1900','-1900','02', '11000003','00','Request by Mr. Saqib Saleem 13-Feb-2025');</v>
      </c>
    </row>
    <row r="46" spans="1:8" ht="90">
      <c r="A46" s="12" t="s">
        <v>1156</v>
      </c>
      <c r="B46" s="15" t="str">
        <f>VLOOKUP(A46,policy!B:C,2,0)</f>
        <v>050000850860</v>
      </c>
      <c r="C46" s="12">
        <v>-953</v>
      </c>
      <c r="D46" s="16">
        <f t="shared" si="1"/>
        <v>-953</v>
      </c>
      <c r="E46" s="21" t="s">
        <v>5795</v>
      </c>
      <c r="F46" s="17" t="str">
        <f t="shared" si="0"/>
        <v>insert into ins_premium_det (premium_rcv_code,assorted_code, rec_amount,premium_rcv_detail_code,remaining_amt, payrec, mode_code,coinsurance_code,class_cd,it_remarks) values</v>
      </c>
      <c r="G46" s="18" t="str">
        <f t="shared" si="2"/>
        <v>('12Feb250043','050000850860','-953',(select max(to_number(i.premium_rcv_detail_code))+1
from ins_premium_det i),'-953','-953','02', '11000003','00','Request by Mr. Saqib Saleem 13-Feb-2025');</v>
      </c>
      <c r="H46" s="19" t="str">
        <f t="shared" si="3"/>
        <v>insert into ins_premium_det (premium_rcv_code,assorted_code, rec_amount,premium_rcv_detail_code,remaining_amt, payrec, mode_code,coinsurance_code,class_cd,it_remarks) values('12Feb250043','050000850860','-953',(select max(to_number(i.premium_rcv_detail_code))+1
from ins_premium_det i),'-953','-953','02', '11000003','00','Request by Mr. Saqib Saleem 13-Feb-2025');</v>
      </c>
    </row>
    <row r="47" spans="1:8" ht="90">
      <c r="A47" s="12" t="s">
        <v>1170</v>
      </c>
      <c r="B47" s="15" t="str">
        <f>VLOOKUP(A47,policy!B:C,2,0)</f>
        <v>050000850864</v>
      </c>
      <c r="C47" s="12">
        <v>-938</v>
      </c>
      <c r="D47" s="16">
        <f t="shared" si="1"/>
        <v>-938</v>
      </c>
      <c r="E47" s="21" t="s">
        <v>5795</v>
      </c>
      <c r="F47" s="17" t="str">
        <f t="shared" si="0"/>
        <v>insert into ins_premium_det (premium_rcv_code,assorted_code, rec_amount,premium_rcv_detail_code,remaining_amt, payrec, mode_code,coinsurance_code,class_cd,it_remarks) values</v>
      </c>
      <c r="G47" s="18" t="str">
        <f t="shared" si="2"/>
        <v>('12Feb250043','050000850864','-938',(select max(to_number(i.premium_rcv_detail_code))+1
from ins_premium_det i),'-938','-938','02', '11000003','00','Request by Mr. Saqib Saleem 13-Feb-2025');</v>
      </c>
      <c r="H47" s="19" t="str">
        <f t="shared" si="3"/>
        <v>insert into ins_premium_det (premium_rcv_code,assorted_code, rec_amount,premium_rcv_detail_code,remaining_amt, payrec, mode_code,coinsurance_code,class_cd,it_remarks) values('12Feb250043','050000850864','-938',(select max(to_number(i.premium_rcv_detail_code))+1
from ins_premium_det i),'-938','-938','02', '11000003','00','Request by Mr. Saqib Saleem 13-Feb-2025');</v>
      </c>
    </row>
    <row r="48" spans="1:8" ht="90">
      <c r="A48" s="12" t="s">
        <v>1183</v>
      </c>
      <c r="B48" s="15" t="str">
        <f>VLOOKUP(A48,policy!B:C,2,0)</f>
        <v>050000850866</v>
      </c>
      <c r="C48" s="12">
        <v>-1050</v>
      </c>
      <c r="D48" s="16">
        <f t="shared" si="1"/>
        <v>-1050</v>
      </c>
      <c r="E48" s="21" t="s">
        <v>5795</v>
      </c>
      <c r="F48" s="17" t="str">
        <f t="shared" si="0"/>
        <v>insert into ins_premium_det (premium_rcv_code,assorted_code, rec_amount,premium_rcv_detail_code,remaining_amt, payrec, mode_code,coinsurance_code,class_cd,it_remarks) values</v>
      </c>
      <c r="G48" s="18" t="str">
        <f t="shared" si="2"/>
        <v>('12Feb250043','050000850866','-1050',(select max(to_number(i.premium_rcv_detail_code))+1
from ins_premium_det i),'-1050','-1050','02', '11000003','00','Request by Mr. Saqib Saleem 13-Feb-2025');</v>
      </c>
      <c r="H48" s="19" t="str">
        <f t="shared" si="3"/>
        <v>insert into ins_premium_det (premium_rcv_code,assorted_code, rec_amount,premium_rcv_detail_code,remaining_amt, payrec, mode_code,coinsurance_code,class_cd,it_remarks) values('12Feb250043','050000850866','-1050',(select max(to_number(i.premium_rcv_detail_code))+1
from ins_premium_det i),'-1050','-1050','02', '11000003','00','Request by Mr. Saqib Saleem 13-Feb-2025');</v>
      </c>
    </row>
    <row r="49" spans="1:8" ht="90">
      <c r="A49" s="12" t="s">
        <v>1367</v>
      </c>
      <c r="B49" s="15" t="str">
        <f>VLOOKUP(A49,policy!B:C,2,0)</f>
        <v>050000850883</v>
      </c>
      <c r="C49" s="12">
        <v>-1306</v>
      </c>
      <c r="D49" s="16">
        <f t="shared" si="1"/>
        <v>-1306</v>
      </c>
      <c r="E49" s="21" t="s">
        <v>5795</v>
      </c>
      <c r="F49" s="17" t="str">
        <f t="shared" si="0"/>
        <v>insert into ins_premium_det (premium_rcv_code,assorted_code, rec_amount,premium_rcv_detail_code,remaining_amt, payrec, mode_code,coinsurance_code,class_cd,it_remarks) values</v>
      </c>
      <c r="G49" s="18" t="str">
        <f t="shared" si="2"/>
        <v>('12Feb250043','050000850883','-1306',(select max(to_number(i.premium_rcv_detail_code))+1
from ins_premium_det i),'-1306','-1306','02', '11000003','00','Request by Mr. Saqib Saleem 13-Feb-2025');</v>
      </c>
      <c r="H49" s="19" t="str">
        <f t="shared" si="3"/>
        <v>insert into ins_premium_det (premium_rcv_code,assorted_code, rec_amount,premium_rcv_detail_code,remaining_amt, payrec, mode_code,coinsurance_code,class_cd,it_remarks) values('12Feb250043','050000850883','-1306',(select max(to_number(i.premium_rcv_detail_code))+1
from ins_premium_det i),'-1306','-1306','02', '11000003','00','Request by Mr. Saqib Saleem 13-Feb-2025');</v>
      </c>
    </row>
    <row r="50" spans="1:8" ht="90">
      <c r="A50" s="12" t="s">
        <v>1381</v>
      </c>
      <c r="B50" s="15" t="str">
        <f>VLOOKUP(A50,policy!B:C,2,0)</f>
        <v>050000850884</v>
      </c>
      <c r="C50" s="12">
        <v>-1733</v>
      </c>
      <c r="D50" s="16">
        <f t="shared" si="1"/>
        <v>-1733</v>
      </c>
      <c r="E50" s="21" t="s">
        <v>5795</v>
      </c>
      <c r="F50" s="17" t="str">
        <f t="shared" si="0"/>
        <v>insert into ins_premium_det (premium_rcv_code,assorted_code, rec_amount,premium_rcv_detail_code,remaining_amt, payrec, mode_code,coinsurance_code,class_cd,it_remarks) values</v>
      </c>
      <c r="G50" s="18" t="str">
        <f t="shared" si="2"/>
        <v>('12Feb250043','050000850884','-1733',(select max(to_number(i.premium_rcv_detail_code))+1
from ins_premium_det i),'-1733','-1733','02', '11000003','00','Request by Mr. Saqib Saleem 13-Feb-2025');</v>
      </c>
      <c r="H50" s="19" t="str">
        <f t="shared" si="3"/>
        <v>insert into ins_premium_det (premium_rcv_code,assorted_code, rec_amount,premium_rcv_detail_code,remaining_amt, payrec, mode_code,coinsurance_code,class_cd,it_remarks) values('12Feb250043','050000850884','-1733',(select max(to_number(i.premium_rcv_detail_code))+1
from ins_premium_det i),'-1733','-1733','02', '11000003','00','Request by Mr. Saqib Saleem 13-Feb-2025');</v>
      </c>
    </row>
    <row r="51" spans="1:8" ht="90">
      <c r="A51" s="12" t="s">
        <v>1394</v>
      </c>
      <c r="B51" s="15" t="str">
        <f>VLOOKUP(A51,policy!B:C,2,0)</f>
        <v>050000850888</v>
      </c>
      <c r="C51" s="12">
        <v>-9288</v>
      </c>
      <c r="D51" s="16">
        <f t="shared" si="1"/>
        <v>-9288</v>
      </c>
      <c r="E51" s="21" t="s">
        <v>5795</v>
      </c>
      <c r="F51" s="17" t="str">
        <f t="shared" si="0"/>
        <v>insert into ins_premium_det (premium_rcv_code,assorted_code, rec_amount,premium_rcv_detail_code,remaining_amt, payrec, mode_code,coinsurance_code,class_cd,it_remarks) values</v>
      </c>
      <c r="G51" s="18" t="str">
        <f t="shared" si="2"/>
        <v>('12Feb250043','050000850888','-9288',(select max(to_number(i.premium_rcv_detail_code))+1
from ins_premium_det i),'-9288','-9288','02', '11000003','00','Request by Mr. Saqib Saleem 13-Feb-2025');</v>
      </c>
      <c r="H51" s="19" t="str">
        <f t="shared" si="3"/>
        <v>insert into ins_premium_det (premium_rcv_code,assorted_code, rec_amount,premium_rcv_detail_code,remaining_amt, payrec, mode_code,coinsurance_code,class_cd,it_remarks) values('12Feb250043','050000850888','-9288',(select max(to_number(i.premium_rcv_detail_code))+1
from ins_premium_det i),'-9288','-9288','02', '11000003','00','Request by Mr. Saqib Saleem 13-Feb-2025');</v>
      </c>
    </row>
    <row r="52" spans="1:8" ht="90">
      <c r="A52" s="12" t="s">
        <v>1431</v>
      </c>
      <c r="B52" s="15" t="str">
        <f>VLOOKUP(A52,policy!B:C,2,0)</f>
        <v>050000850891</v>
      </c>
      <c r="C52" s="12">
        <v>-1107</v>
      </c>
      <c r="D52" s="16">
        <f t="shared" si="1"/>
        <v>-1107</v>
      </c>
      <c r="E52" s="21" t="s">
        <v>5795</v>
      </c>
      <c r="F52" s="17" t="str">
        <f t="shared" si="0"/>
        <v>insert into ins_premium_det (premium_rcv_code,assorted_code, rec_amount,premium_rcv_detail_code,remaining_amt, payrec, mode_code,coinsurance_code,class_cd,it_remarks) values</v>
      </c>
      <c r="G52" s="18" t="str">
        <f t="shared" si="2"/>
        <v>('12Feb250043','050000850891','-1107',(select max(to_number(i.premium_rcv_detail_code))+1
from ins_premium_det i),'-1107','-1107','02', '11000003','00','Request by Mr. Saqib Saleem 13-Feb-2025');</v>
      </c>
      <c r="H52" s="19" t="str">
        <f t="shared" si="3"/>
        <v>insert into ins_premium_det (premium_rcv_code,assorted_code, rec_amount,premium_rcv_detail_code,remaining_amt, payrec, mode_code,coinsurance_code,class_cd,it_remarks) values('12Feb250043','050000850891','-1107',(select max(to_number(i.premium_rcv_detail_code))+1
from ins_premium_det i),'-1107','-1107','02', '11000003','00','Request by Mr. Saqib Saleem 13-Feb-2025');</v>
      </c>
    </row>
    <row r="53" spans="1:8" ht="90">
      <c r="A53" s="12" t="s">
        <v>1445</v>
      </c>
      <c r="B53" s="15" t="str">
        <f>VLOOKUP(A53,policy!B:C,2,0)</f>
        <v>050000850893</v>
      </c>
      <c r="C53" s="12">
        <v>-2625</v>
      </c>
      <c r="D53" s="16">
        <f t="shared" si="1"/>
        <v>-2625</v>
      </c>
      <c r="E53" s="21" t="s">
        <v>5795</v>
      </c>
      <c r="F53" s="17" t="str">
        <f t="shared" si="0"/>
        <v>insert into ins_premium_det (premium_rcv_code,assorted_code, rec_amount,premium_rcv_detail_code,remaining_amt, payrec, mode_code,coinsurance_code,class_cd,it_remarks) values</v>
      </c>
      <c r="G53" s="18" t="str">
        <f t="shared" si="2"/>
        <v>('12Feb250043','050000850893','-2625',(select max(to_number(i.premium_rcv_detail_code))+1
from ins_premium_det i),'-2625','-2625','02', '11000003','00','Request by Mr. Saqib Saleem 13-Feb-2025');</v>
      </c>
      <c r="H53" s="19" t="str">
        <f t="shared" si="3"/>
        <v>insert into ins_premium_det (premium_rcv_code,assorted_code, rec_amount,premium_rcv_detail_code,remaining_amt, payrec, mode_code,coinsurance_code,class_cd,it_remarks) values('12Feb250043','050000850893','-2625',(select max(to_number(i.premium_rcv_detail_code))+1
from ins_premium_det i),'-2625','-2625','02', '11000003','00','Request by Mr. Saqib Saleem 13-Feb-2025');</v>
      </c>
    </row>
    <row r="54" spans="1:8" ht="90">
      <c r="A54" s="12" t="s">
        <v>1458</v>
      </c>
      <c r="B54" s="15" t="str">
        <f>VLOOKUP(A54,policy!B:C,2,0)</f>
        <v>050000850895</v>
      </c>
      <c r="C54" s="12">
        <v>-2325</v>
      </c>
      <c r="D54" s="16">
        <f t="shared" si="1"/>
        <v>-2325</v>
      </c>
      <c r="E54" s="21" t="s">
        <v>5795</v>
      </c>
      <c r="F54" s="17" t="str">
        <f t="shared" si="0"/>
        <v>insert into ins_premium_det (premium_rcv_code,assorted_code, rec_amount,premium_rcv_detail_code,remaining_amt, payrec, mode_code,coinsurance_code,class_cd,it_remarks) values</v>
      </c>
      <c r="G54" s="18" t="str">
        <f t="shared" si="2"/>
        <v>('12Feb250043','050000850895','-2325',(select max(to_number(i.premium_rcv_detail_code))+1
from ins_premium_det i),'-2325','-2325','02', '11000003','00','Request by Mr. Saqib Saleem 13-Feb-2025');</v>
      </c>
      <c r="H54" s="19" t="str">
        <f t="shared" si="3"/>
        <v>insert into ins_premium_det (premium_rcv_code,assorted_code, rec_amount,premium_rcv_detail_code,remaining_amt, payrec, mode_code,coinsurance_code,class_cd,it_remarks) values('12Feb250043','050000850895','-2325',(select max(to_number(i.premium_rcv_detail_code))+1
from ins_premium_det i),'-2325','-2325','02', '11000003','00','Request by Mr. Saqib Saleem 13-Feb-2025');</v>
      </c>
    </row>
    <row r="55" spans="1:8" ht="90">
      <c r="A55" s="12" t="s">
        <v>1471</v>
      </c>
      <c r="B55" s="15" t="str">
        <f>VLOOKUP(A55,policy!B:C,2,0)</f>
        <v>050000850896</v>
      </c>
      <c r="C55" s="12">
        <v>-2888</v>
      </c>
      <c r="D55" s="16">
        <f t="shared" si="1"/>
        <v>-2888</v>
      </c>
      <c r="E55" s="21" t="s">
        <v>5795</v>
      </c>
      <c r="F55" s="17" t="str">
        <f t="shared" si="0"/>
        <v>insert into ins_premium_det (premium_rcv_code,assorted_code, rec_amount,premium_rcv_detail_code,remaining_amt, payrec, mode_code,coinsurance_code,class_cd,it_remarks) values</v>
      </c>
      <c r="G55" s="18" t="str">
        <f t="shared" si="2"/>
        <v>('12Feb250043','050000850896','-2888',(select max(to_number(i.premium_rcv_detail_code))+1
from ins_premium_det i),'-2888','-2888','02', '11000003','00','Request by Mr. Saqib Saleem 13-Feb-2025');</v>
      </c>
      <c r="H55" s="19" t="str">
        <f t="shared" si="3"/>
        <v>insert into ins_premium_det (premium_rcv_code,assorted_code, rec_amount,premium_rcv_detail_code,remaining_amt, payrec, mode_code,coinsurance_code,class_cd,it_remarks) values('12Feb250043','050000850896','-2888',(select max(to_number(i.premium_rcv_detail_code))+1
from ins_premium_det i),'-2888','-2888','02', '11000003','00','Request by Mr. Saqib Saleem 13-Feb-2025');</v>
      </c>
    </row>
    <row r="56" spans="1:8" ht="90">
      <c r="A56" s="12" t="s">
        <v>1485</v>
      </c>
      <c r="B56" s="15" t="str">
        <f>VLOOKUP(A56,policy!B:C,2,0)</f>
        <v>050000850898</v>
      </c>
      <c r="C56" s="12">
        <v>-2306</v>
      </c>
      <c r="D56" s="16">
        <f t="shared" si="1"/>
        <v>-2306</v>
      </c>
      <c r="E56" s="21" t="s">
        <v>5795</v>
      </c>
      <c r="F56" s="17" t="str">
        <f t="shared" si="0"/>
        <v>insert into ins_premium_det (premium_rcv_code,assorted_code, rec_amount,premium_rcv_detail_code,remaining_amt, payrec, mode_code,coinsurance_code,class_cd,it_remarks) values</v>
      </c>
      <c r="G56" s="18" t="str">
        <f t="shared" si="2"/>
        <v>('12Feb250043','050000850898','-2306',(select max(to_number(i.premium_rcv_detail_code))+1
from ins_premium_det i),'-2306','-2306','02', '11000003','00','Request by Mr. Saqib Saleem 13-Feb-2025');</v>
      </c>
      <c r="H56" s="19" t="str">
        <f t="shared" si="3"/>
        <v>insert into ins_premium_det (premium_rcv_code,assorted_code, rec_amount,premium_rcv_detail_code,remaining_amt, payrec, mode_code,coinsurance_code,class_cd,it_remarks) values('12Feb250043','050000850898','-2306',(select max(to_number(i.premium_rcv_detail_code))+1
from ins_premium_det i),'-2306','-2306','02', '11000003','00','Request by Mr. Saqib Saleem 13-Feb-2025');</v>
      </c>
    </row>
    <row r="57" spans="1:8" ht="90">
      <c r="A57" s="12" t="s">
        <v>1498</v>
      </c>
      <c r="B57" s="15" t="str">
        <f>VLOOKUP(A57,policy!B:C,2,0)</f>
        <v>050000850899</v>
      </c>
      <c r="C57" s="12">
        <v>-3235</v>
      </c>
      <c r="D57" s="16">
        <f t="shared" si="1"/>
        <v>-3235</v>
      </c>
      <c r="E57" s="21" t="s">
        <v>5795</v>
      </c>
      <c r="F57" s="17" t="str">
        <f t="shared" si="0"/>
        <v>insert into ins_premium_det (premium_rcv_code,assorted_code, rec_amount,premium_rcv_detail_code,remaining_amt, payrec, mode_code,coinsurance_code,class_cd,it_remarks) values</v>
      </c>
      <c r="G57" s="18" t="str">
        <f t="shared" si="2"/>
        <v>('12Feb250043','050000850899','-3235',(select max(to_number(i.premium_rcv_detail_code))+1
from ins_premium_det i),'-3235','-3235','02', '11000003','00','Request by Mr. Saqib Saleem 13-Feb-2025');</v>
      </c>
      <c r="H57" s="19" t="str">
        <f t="shared" si="3"/>
        <v>insert into ins_premium_det (premium_rcv_code,assorted_code, rec_amount,premium_rcv_detail_code,remaining_amt, payrec, mode_code,coinsurance_code,class_cd,it_remarks) values('12Feb250043','050000850899','-3235',(select max(to_number(i.premium_rcv_detail_code))+1
from ins_premium_det i),'-3235','-3235','02', '11000003','00','Request by Mr. Saqib Saleem 13-Feb-2025');</v>
      </c>
    </row>
    <row r="58" spans="1:8" ht="90">
      <c r="A58" s="12" t="s">
        <v>1512</v>
      </c>
      <c r="B58" s="15" t="str">
        <f>VLOOKUP(A58,policy!B:C,2,0)</f>
        <v>050000850900</v>
      </c>
      <c r="C58" s="12">
        <v>-2175</v>
      </c>
      <c r="D58" s="16">
        <f t="shared" si="1"/>
        <v>-2175</v>
      </c>
      <c r="E58" s="21" t="s">
        <v>5795</v>
      </c>
      <c r="F58" s="17" t="str">
        <f t="shared" si="0"/>
        <v>insert into ins_premium_det (premium_rcv_code,assorted_code, rec_amount,premium_rcv_detail_code,remaining_amt, payrec, mode_code,coinsurance_code,class_cd,it_remarks) values</v>
      </c>
      <c r="G58" s="18" t="str">
        <f t="shared" si="2"/>
        <v>('12Feb250043','050000850900','-2175',(select max(to_number(i.premium_rcv_detail_code))+1
from ins_premium_det i),'-2175','-2175','02', '11000003','00','Request by Mr. Saqib Saleem 13-Feb-2025');</v>
      </c>
      <c r="H58" s="19" t="str">
        <f t="shared" si="3"/>
        <v>insert into ins_premium_det (premium_rcv_code,assorted_code, rec_amount,premium_rcv_detail_code,remaining_amt, payrec, mode_code,coinsurance_code,class_cd,it_remarks) values('12Feb250043','050000850900','-2175',(select max(to_number(i.premium_rcv_detail_code))+1
from ins_premium_det i),'-2175','-2175','02', '11000003','00','Request by Mr. Saqib Saleem 13-Feb-2025');</v>
      </c>
    </row>
    <row r="59" spans="1:8" ht="90">
      <c r="A59" s="12" t="s">
        <v>1525</v>
      </c>
      <c r="B59" s="15" t="str">
        <f>VLOOKUP(A59,policy!B:C,2,0)</f>
        <v>050000850902</v>
      </c>
      <c r="C59" s="12">
        <v>-2865</v>
      </c>
      <c r="D59" s="16">
        <f t="shared" si="1"/>
        <v>-2865</v>
      </c>
      <c r="E59" s="21" t="s">
        <v>5795</v>
      </c>
      <c r="F59" s="17" t="str">
        <f t="shared" si="0"/>
        <v>insert into ins_premium_det (premium_rcv_code,assorted_code, rec_amount,premium_rcv_detail_code,remaining_amt, payrec, mode_code,coinsurance_code,class_cd,it_remarks) values</v>
      </c>
      <c r="G59" s="18" t="str">
        <f t="shared" si="2"/>
        <v>('12Feb250043','050000850902','-2865',(select max(to_number(i.premium_rcv_detail_code))+1
from ins_premium_det i),'-2865','-2865','02', '11000003','00','Request by Mr. Saqib Saleem 13-Feb-2025');</v>
      </c>
      <c r="H59" s="19" t="str">
        <f t="shared" si="3"/>
        <v>insert into ins_premium_det (premium_rcv_code,assorted_code, rec_amount,premium_rcv_detail_code,remaining_amt, payrec, mode_code,coinsurance_code,class_cd,it_remarks) values('12Feb250043','050000850902','-2865',(select max(to_number(i.premium_rcv_detail_code))+1
from ins_premium_det i),'-2865','-2865','02', '11000003','00','Request by Mr. Saqib Saleem 13-Feb-2025');</v>
      </c>
    </row>
    <row r="60" spans="1:8" ht="90">
      <c r="A60" s="12" t="s">
        <v>1539</v>
      </c>
      <c r="B60" s="15" t="str">
        <f>VLOOKUP(A60,policy!B:C,2,0)</f>
        <v>050000850903</v>
      </c>
      <c r="C60" s="12">
        <v>-1478</v>
      </c>
      <c r="D60" s="16">
        <f t="shared" si="1"/>
        <v>-1478</v>
      </c>
      <c r="E60" s="21" t="s">
        <v>5795</v>
      </c>
      <c r="F60" s="17" t="str">
        <f t="shared" si="0"/>
        <v>insert into ins_premium_det (premium_rcv_code,assorted_code, rec_amount,premium_rcv_detail_code,remaining_amt, payrec, mode_code,coinsurance_code,class_cd,it_remarks) values</v>
      </c>
      <c r="G60" s="18" t="str">
        <f t="shared" si="2"/>
        <v>('12Feb250043','050000850903','-1478',(select max(to_number(i.premium_rcv_detail_code))+1
from ins_premium_det i),'-1478','-1478','02', '11000003','00','Request by Mr. Saqib Saleem 13-Feb-2025');</v>
      </c>
      <c r="H60" s="19" t="str">
        <f t="shared" si="3"/>
        <v>insert into ins_premium_det (premium_rcv_code,assorted_code, rec_amount,premium_rcv_detail_code,remaining_amt, payrec, mode_code,coinsurance_code,class_cd,it_remarks) values('12Feb250043','050000850903','-1478',(select max(to_number(i.premium_rcv_detail_code))+1
from ins_premium_det i),'-1478','-1478','02', '11000003','00','Request by Mr. Saqib Saleem 13-Feb-2025');</v>
      </c>
    </row>
    <row r="61" spans="1:8" ht="90">
      <c r="A61" s="12" t="s">
        <v>1554</v>
      </c>
      <c r="B61" s="15" t="str">
        <f>VLOOKUP(A61,policy!B:C,2,0)</f>
        <v>050000850904</v>
      </c>
      <c r="C61" s="12">
        <v>-1500</v>
      </c>
      <c r="D61" s="16">
        <f t="shared" si="1"/>
        <v>-1500</v>
      </c>
      <c r="E61" s="21" t="s">
        <v>5795</v>
      </c>
      <c r="F61" s="17" t="str">
        <f t="shared" si="0"/>
        <v>insert into ins_premium_det (premium_rcv_code,assorted_code, rec_amount,premium_rcv_detail_code,remaining_amt, payrec, mode_code,coinsurance_code,class_cd,it_remarks) values</v>
      </c>
      <c r="G61" s="18" t="str">
        <f t="shared" si="2"/>
        <v>('12Feb250043','050000850904','-1500',(select max(to_number(i.premium_rcv_detail_code))+1
from ins_premium_det i),'-1500','-1500','02', '11000003','00','Request by Mr. Saqib Saleem 13-Feb-2025');</v>
      </c>
      <c r="H61" s="19" t="str">
        <f t="shared" si="3"/>
        <v>insert into ins_premium_det (premium_rcv_code,assorted_code, rec_amount,premium_rcv_detail_code,remaining_amt, payrec, mode_code,coinsurance_code,class_cd,it_remarks) values('12Feb250043','050000850904','-1500',(select max(to_number(i.premium_rcv_detail_code))+1
from ins_premium_det i),'-1500','-1500','02', '11000003','00','Request by Mr. Saqib Saleem 13-Feb-2025');</v>
      </c>
    </row>
    <row r="62" spans="1:8" ht="90">
      <c r="A62" s="12" t="s">
        <v>1570</v>
      </c>
      <c r="B62" s="15" t="str">
        <f>VLOOKUP(A62,policy!B:C,2,0)</f>
        <v>050000850905</v>
      </c>
      <c r="C62" s="12">
        <v>-2050</v>
      </c>
      <c r="D62" s="16">
        <f t="shared" si="1"/>
        <v>-2050</v>
      </c>
      <c r="E62" s="21" t="s">
        <v>5795</v>
      </c>
      <c r="F62" s="17" t="str">
        <f t="shared" si="0"/>
        <v>insert into ins_premium_det (premium_rcv_code,assorted_code, rec_amount,premium_rcv_detail_code,remaining_amt, payrec, mode_code,coinsurance_code,class_cd,it_remarks) values</v>
      </c>
      <c r="G62" s="18" t="str">
        <f t="shared" si="2"/>
        <v>('12Feb250043','050000850905','-2050',(select max(to_number(i.premium_rcv_detail_code))+1
from ins_premium_det i),'-2050','-2050','02', '11000003','00','Request by Mr. Saqib Saleem 13-Feb-2025');</v>
      </c>
      <c r="H62" s="19" t="str">
        <f t="shared" si="3"/>
        <v>insert into ins_premium_det (premium_rcv_code,assorted_code, rec_amount,premium_rcv_detail_code,remaining_amt, payrec, mode_code,coinsurance_code,class_cd,it_remarks) values('12Feb250043','050000850905','-2050',(select max(to_number(i.premium_rcv_detail_code))+1
from ins_premium_det i),'-2050','-2050','02', '11000003','00','Request by Mr. Saqib Saleem 13-Feb-2025');</v>
      </c>
    </row>
    <row r="63" spans="1:8" ht="90">
      <c r="A63" s="12" t="s">
        <v>1585</v>
      </c>
      <c r="B63" s="15" t="str">
        <f>VLOOKUP(A63,policy!B:C,2,0)</f>
        <v>050000850906</v>
      </c>
      <c r="C63" s="12">
        <v>-1922</v>
      </c>
      <c r="D63" s="16">
        <f t="shared" si="1"/>
        <v>-1922</v>
      </c>
      <c r="E63" s="21" t="s">
        <v>5795</v>
      </c>
      <c r="F63" s="17" t="str">
        <f t="shared" si="0"/>
        <v>insert into ins_premium_det (premium_rcv_code,assorted_code, rec_amount,premium_rcv_detail_code,remaining_amt, payrec, mode_code,coinsurance_code,class_cd,it_remarks) values</v>
      </c>
      <c r="G63" s="18" t="str">
        <f t="shared" si="2"/>
        <v>('12Feb250043','050000850906','-1922',(select max(to_number(i.premium_rcv_detail_code))+1
from ins_premium_det i),'-1922','-1922','02', '11000003','00','Request by Mr. Saqib Saleem 13-Feb-2025');</v>
      </c>
      <c r="H63" s="19" t="str">
        <f t="shared" si="3"/>
        <v>insert into ins_premium_det (premium_rcv_code,assorted_code, rec_amount,premium_rcv_detail_code,remaining_amt, payrec, mode_code,coinsurance_code,class_cd,it_remarks) values('12Feb250043','050000850906','-1922',(select max(to_number(i.premium_rcv_detail_code))+1
from ins_premium_det i),'-1922','-1922','02', '11000003','00','Request by Mr. Saqib Saleem 13-Feb-2025');</v>
      </c>
    </row>
    <row r="64" spans="1:8" ht="90">
      <c r="A64" s="12" t="s">
        <v>1597</v>
      </c>
      <c r="B64" s="15" t="str">
        <f>VLOOKUP(A64,policy!B:C,2,0)</f>
        <v>050000850909</v>
      </c>
      <c r="C64" s="12">
        <v>-1521</v>
      </c>
      <c r="D64" s="16">
        <f t="shared" si="1"/>
        <v>-1521</v>
      </c>
      <c r="E64" s="21" t="s">
        <v>5795</v>
      </c>
      <c r="F64" s="17" t="str">
        <f t="shared" si="0"/>
        <v>insert into ins_premium_det (premium_rcv_code,assorted_code, rec_amount,premium_rcv_detail_code,remaining_amt, payrec, mode_code,coinsurance_code,class_cd,it_remarks) values</v>
      </c>
      <c r="G64" s="18" t="str">
        <f t="shared" si="2"/>
        <v>('12Feb250043','050000850909','-1521',(select max(to_number(i.premium_rcv_detail_code))+1
from ins_premium_det i),'-1521','-1521','02', '11000003','00','Request by Mr. Saqib Saleem 13-Feb-2025');</v>
      </c>
      <c r="H64" s="19" t="str">
        <f t="shared" si="3"/>
        <v>insert into ins_premium_det (premium_rcv_code,assorted_code, rec_amount,premium_rcv_detail_code,remaining_amt, payrec, mode_code,coinsurance_code,class_cd,it_remarks) values('12Feb250043','050000850909','-1521',(select max(to_number(i.premium_rcv_detail_code))+1
from ins_premium_det i),'-1521','-1521','02', '11000003','00','Request by Mr. Saqib Saleem 13-Feb-2025');</v>
      </c>
    </row>
    <row r="65" spans="1:8" ht="90">
      <c r="A65" s="12" t="s">
        <v>1610</v>
      </c>
      <c r="B65" s="15" t="str">
        <f>VLOOKUP(A65,policy!B:C,2,0)</f>
        <v>050000850910</v>
      </c>
      <c r="C65" s="12">
        <v>-2100</v>
      </c>
      <c r="D65" s="16">
        <f t="shared" si="1"/>
        <v>-2100</v>
      </c>
      <c r="E65" s="21" t="s">
        <v>5795</v>
      </c>
      <c r="F65" s="17" t="str">
        <f t="shared" si="0"/>
        <v>insert into ins_premium_det (premium_rcv_code,assorted_code, rec_amount,premium_rcv_detail_code,remaining_amt, payrec, mode_code,coinsurance_code,class_cd,it_remarks) values</v>
      </c>
      <c r="G65" s="18" t="str">
        <f t="shared" si="2"/>
        <v>('12Feb250043','050000850910','-2100',(select max(to_number(i.premium_rcv_detail_code))+1
from ins_premium_det i),'-2100','-2100','02', '11000003','00','Request by Mr. Saqib Saleem 13-Feb-2025');</v>
      </c>
      <c r="H65" s="19" t="str">
        <f t="shared" si="3"/>
        <v>insert into ins_premium_det (premium_rcv_code,assorted_code, rec_amount,premium_rcv_detail_code,remaining_amt, payrec, mode_code,coinsurance_code,class_cd,it_remarks) values('12Feb250043','050000850910','-2100',(select max(to_number(i.premium_rcv_detail_code))+1
from ins_premium_det i),'-2100','-2100','02', '11000003','00','Request by Mr. Saqib Saleem 13-Feb-2025');</v>
      </c>
    </row>
    <row r="66" spans="1:8" ht="90">
      <c r="A66" s="12" t="s">
        <v>1634</v>
      </c>
      <c r="B66" s="15" t="str">
        <f>VLOOKUP(A66,policy!B:C,2,0)</f>
        <v>050000850912</v>
      </c>
      <c r="C66" s="12">
        <v>-1050</v>
      </c>
      <c r="D66" s="16">
        <f t="shared" si="1"/>
        <v>-1050</v>
      </c>
      <c r="E66" s="21" t="s">
        <v>5795</v>
      </c>
      <c r="F66" s="17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18" t="str">
        <f t="shared" si="2"/>
        <v>('12Feb250043','050000850912','-1050',(select max(to_number(i.premium_rcv_detail_code))+1
from ins_premium_det i),'-1050','-1050','02', '11000003','00','Request by Mr. Saqib Saleem 13-Feb-2025');</v>
      </c>
      <c r="H66" s="19" t="str">
        <f t="shared" si="3"/>
        <v>insert into ins_premium_det (premium_rcv_code,assorted_code, rec_amount,premium_rcv_detail_code,remaining_amt, payrec, mode_code,coinsurance_code,class_cd,it_remarks) values('12Feb250043','050000850912','-1050',(select max(to_number(i.premium_rcv_detail_code))+1
from ins_premium_det i),'-1050','-1050','02', '11000003','00','Request by Mr. Saqib Saleem 13-Feb-2025');</v>
      </c>
    </row>
    <row r="67" spans="1:8" ht="90">
      <c r="A67" s="12" t="s">
        <v>1649</v>
      </c>
      <c r="B67" s="15" t="str">
        <f>VLOOKUP(A67,policy!B:C,2,0)</f>
        <v>050000850916</v>
      </c>
      <c r="C67" s="12">
        <v>-2519</v>
      </c>
      <c r="D67" s="16">
        <f t="shared" ref="D67:D130" si="5">ROUND(C67,0)</f>
        <v>-2519</v>
      </c>
      <c r="E67" s="21" t="s">
        <v>5795</v>
      </c>
      <c r="F67" s="17" t="str">
        <f t="shared" si="4"/>
        <v>insert into ins_premium_det (premium_rcv_code,assorted_code, rec_amount,premium_rcv_detail_code,remaining_amt, payrec, mode_code,coinsurance_code,class_cd,it_remarks) values</v>
      </c>
      <c r="G67" s="18" t="str">
        <f t="shared" ref="G67:G130" si="6">"('"&amp;E67&amp;"','"&amp;B67&amp;"','"&amp;D67&amp;"',(select max(to_number(i.premium_rcv_detail_code))+1
from ins_premium_det i),'"&amp;D67&amp;"','"&amp;D67&amp;"','02', '11000003','00','Request by Mr. Saqib Saleem 13-Feb-2025');"</f>
        <v>('12Feb250043','050000850916','-2519',(select max(to_number(i.premium_rcv_detail_code))+1
from ins_premium_det i),'-2519','-2519','02', '11000003','00','Request by Mr. Saqib Saleem 13-Feb-2025');</v>
      </c>
      <c r="H67" s="19" t="str">
        <f t="shared" ref="H67:H130" si="7">F67&amp;G67</f>
        <v>insert into ins_premium_det (premium_rcv_code,assorted_code, rec_amount,premium_rcv_detail_code,remaining_amt, payrec, mode_code,coinsurance_code,class_cd,it_remarks) values('12Feb250043','050000850916','-2519',(select max(to_number(i.premium_rcv_detail_code))+1
from ins_premium_det i),'-2519','-2519','02', '11000003','00','Request by Mr. Saqib Saleem 13-Feb-2025');</v>
      </c>
    </row>
    <row r="68" spans="1:8" ht="90">
      <c r="A68" s="12" t="s">
        <v>1663</v>
      </c>
      <c r="B68" s="15" t="str">
        <f>VLOOKUP(A68,policy!B:C,2,0)</f>
        <v>050000850917</v>
      </c>
      <c r="C68" s="12">
        <v>-1005</v>
      </c>
      <c r="D68" s="16">
        <f t="shared" si="5"/>
        <v>-1005</v>
      </c>
      <c r="E68" s="21" t="s">
        <v>5795</v>
      </c>
      <c r="F68" s="17" t="str">
        <f t="shared" si="4"/>
        <v>insert into ins_premium_det (premium_rcv_code,assorted_code, rec_amount,premium_rcv_detail_code,remaining_amt, payrec, mode_code,coinsurance_code,class_cd,it_remarks) values</v>
      </c>
      <c r="G68" s="18" t="str">
        <f t="shared" si="6"/>
        <v>('12Feb250043','050000850917','-1005',(select max(to_number(i.premium_rcv_detail_code))+1
from ins_premium_det i),'-1005','-1005','02', '11000003','00','Request by Mr. Saqib Saleem 13-Feb-2025');</v>
      </c>
      <c r="H68" s="19" t="str">
        <f t="shared" si="7"/>
        <v>insert into ins_premium_det (premium_rcv_code,assorted_code, rec_amount,premium_rcv_detail_code,remaining_amt, payrec, mode_code,coinsurance_code,class_cd,it_remarks) values('12Feb250043','050000850917','-1005',(select max(to_number(i.premium_rcv_detail_code))+1
from ins_premium_det i),'-1005','-1005','02', '11000003','00','Request by Mr. Saqib Saleem 13-Feb-2025');</v>
      </c>
    </row>
    <row r="69" spans="1:8" ht="90">
      <c r="A69" s="12" t="s">
        <v>1677</v>
      </c>
      <c r="B69" s="15" t="str">
        <f>VLOOKUP(A69,policy!B:C,2,0)</f>
        <v>050000850918</v>
      </c>
      <c r="C69" s="12">
        <v>-1612</v>
      </c>
      <c r="D69" s="16">
        <f t="shared" si="5"/>
        <v>-1612</v>
      </c>
      <c r="E69" s="21" t="s">
        <v>5795</v>
      </c>
      <c r="F69" s="17" t="str">
        <f t="shared" si="4"/>
        <v>insert into ins_premium_det (premium_rcv_code,assorted_code, rec_amount,premium_rcv_detail_code,remaining_amt, payrec, mode_code,coinsurance_code,class_cd,it_remarks) values</v>
      </c>
      <c r="G69" s="18" t="str">
        <f t="shared" si="6"/>
        <v>('12Feb250043','050000850918','-1612',(select max(to_number(i.premium_rcv_detail_code))+1
from ins_premium_det i),'-1612','-1612','02', '11000003','00','Request by Mr. Saqib Saleem 13-Feb-2025');</v>
      </c>
      <c r="H69" s="19" t="str">
        <f t="shared" si="7"/>
        <v>insert into ins_premium_det (premium_rcv_code,assorted_code, rec_amount,premium_rcv_detail_code,remaining_amt, payrec, mode_code,coinsurance_code,class_cd,it_remarks) values('12Feb250043','050000850918','-1612',(select max(to_number(i.premium_rcv_detail_code))+1
from ins_premium_det i),'-1612','-1612','02', '11000003','00','Request by Mr. Saqib Saleem 13-Feb-2025');</v>
      </c>
    </row>
    <row r="70" spans="1:8" ht="90">
      <c r="A70" s="12" t="s">
        <v>1700</v>
      </c>
      <c r="B70" s="15" t="str">
        <f>VLOOKUP(A70,policy!B:C,2,0)</f>
        <v>050000850920</v>
      </c>
      <c r="C70" s="12">
        <v>-1635</v>
      </c>
      <c r="D70" s="16">
        <f t="shared" si="5"/>
        <v>-1635</v>
      </c>
      <c r="E70" s="21" t="s">
        <v>5795</v>
      </c>
      <c r="F70" s="17" t="str">
        <f t="shared" si="4"/>
        <v>insert into ins_premium_det (premium_rcv_code,assorted_code, rec_amount,premium_rcv_detail_code,remaining_amt, payrec, mode_code,coinsurance_code,class_cd,it_remarks) values</v>
      </c>
      <c r="G70" s="18" t="str">
        <f t="shared" si="6"/>
        <v>('12Feb250043','050000850920','-1635',(select max(to_number(i.premium_rcv_detail_code))+1
from ins_premium_det i),'-1635','-1635','02', '11000003','00','Request by Mr. Saqib Saleem 13-Feb-2025');</v>
      </c>
      <c r="H70" s="19" t="str">
        <f t="shared" si="7"/>
        <v>insert into ins_premium_det (premium_rcv_code,assorted_code, rec_amount,premium_rcv_detail_code,remaining_amt, payrec, mode_code,coinsurance_code,class_cd,it_remarks) values('12Feb250043','050000850920','-1635',(select max(to_number(i.premium_rcv_detail_code))+1
from ins_premium_det i),'-1635','-1635','02', '11000003','00','Request by Mr. Saqib Saleem 13-Feb-2025');</v>
      </c>
    </row>
    <row r="71" spans="1:8" ht="90">
      <c r="A71" s="12" t="s">
        <v>1728</v>
      </c>
      <c r="B71" s="15" t="str">
        <f>VLOOKUP(A71,policy!B:C,2,0)</f>
        <v>050000850921</v>
      </c>
      <c r="C71" s="12">
        <v>-1563</v>
      </c>
      <c r="D71" s="16">
        <f t="shared" si="5"/>
        <v>-1563</v>
      </c>
      <c r="E71" s="21" t="s">
        <v>5795</v>
      </c>
      <c r="F71" s="17" t="str">
        <f t="shared" si="4"/>
        <v>insert into ins_premium_det (premium_rcv_code,assorted_code, rec_amount,premium_rcv_detail_code,remaining_amt, payrec, mode_code,coinsurance_code,class_cd,it_remarks) values</v>
      </c>
      <c r="G71" s="18" t="str">
        <f t="shared" si="6"/>
        <v>('12Feb250043','050000850921','-1563',(select max(to_number(i.premium_rcv_detail_code))+1
from ins_premium_det i),'-1563','-1563','02', '11000003','00','Request by Mr. Saqib Saleem 13-Feb-2025');</v>
      </c>
      <c r="H71" s="19" t="str">
        <f t="shared" si="7"/>
        <v>insert into ins_premium_det (premium_rcv_code,assorted_code, rec_amount,premium_rcv_detail_code,remaining_amt, payrec, mode_code,coinsurance_code,class_cd,it_remarks) values('12Feb250043','050000850921','-1563',(select max(to_number(i.premium_rcv_detail_code))+1
from ins_premium_det i),'-1563','-1563','02', '11000003','00','Request by Mr. Saqib Saleem 13-Feb-2025');</v>
      </c>
    </row>
    <row r="72" spans="1:8" ht="90">
      <c r="A72" s="12" t="s">
        <v>1743</v>
      </c>
      <c r="B72" s="15" t="str">
        <f>VLOOKUP(A72,policy!B:C,2,0)</f>
        <v>050000850926</v>
      </c>
      <c r="C72" s="12">
        <v>-668</v>
      </c>
      <c r="D72" s="16">
        <f t="shared" si="5"/>
        <v>-668</v>
      </c>
      <c r="E72" s="21" t="s">
        <v>5795</v>
      </c>
      <c r="F72" s="17" t="str">
        <f t="shared" si="4"/>
        <v>insert into ins_premium_det (premium_rcv_code,assorted_code, rec_amount,premium_rcv_detail_code,remaining_amt, payrec, mode_code,coinsurance_code,class_cd,it_remarks) values</v>
      </c>
      <c r="G72" s="18" t="str">
        <f t="shared" si="6"/>
        <v>('12Feb250043','050000850926','-668',(select max(to_number(i.premium_rcv_detail_code))+1
from ins_premium_det i),'-668','-668','02', '11000003','00','Request by Mr. Saqib Saleem 13-Feb-2025');</v>
      </c>
      <c r="H72" s="19" t="str">
        <f t="shared" si="7"/>
        <v>insert into ins_premium_det (premium_rcv_code,assorted_code, rec_amount,premium_rcv_detail_code,remaining_amt, payrec, mode_code,coinsurance_code,class_cd,it_remarks) values('12Feb250043','050000850926','-668',(select max(to_number(i.premium_rcv_detail_code))+1
from ins_premium_det i),'-668','-668','02', '11000003','00','Request by Mr. Saqib Saleem 13-Feb-2025');</v>
      </c>
    </row>
    <row r="73" spans="1:8" ht="90">
      <c r="A73" s="12" t="s">
        <v>1757</v>
      </c>
      <c r="B73" s="15" t="str">
        <f>VLOOKUP(A73,policy!B:C,2,0)</f>
        <v>050000850928</v>
      </c>
      <c r="C73" s="12">
        <v>-2074</v>
      </c>
      <c r="D73" s="16">
        <f t="shared" si="5"/>
        <v>-2074</v>
      </c>
      <c r="E73" s="21" t="s">
        <v>5795</v>
      </c>
      <c r="F73" s="17" t="str">
        <f t="shared" si="4"/>
        <v>insert into ins_premium_det (premium_rcv_code,assorted_code, rec_amount,premium_rcv_detail_code,remaining_amt, payrec, mode_code,coinsurance_code,class_cd,it_remarks) values</v>
      </c>
      <c r="G73" s="18" t="str">
        <f t="shared" si="6"/>
        <v>('12Feb250043','050000850928','-2074',(select max(to_number(i.premium_rcv_detail_code))+1
from ins_premium_det i),'-2074','-2074','02', '11000003','00','Request by Mr. Saqib Saleem 13-Feb-2025');</v>
      </c>
      <c r="H73" s="19" t="str">
        <f t="shared" si="7"/>
        <v>insert into ins_premium_det (premium_rcv_code,assorted_code, rec_amount,premium_rcv_detail_code,remaining_amt, payrec, mode_code,coinsurance_code,class_cd,it_remarks) values('12Feb250043','050000850928','-2074',(select max(to_number(i.premium_rcv_detail_code))+1
from ins_premium_det i),'-2074','-2074','02', '11000003','00','Request by Mr. Saqib Saleem 13-Feb-2025');</v>
      </c>
    </row>
    <row r="74" spans="1:8" ht="90">
      <c r="A74" s="12" t="s">
        <v>1842</v>
      </c>
      <c r="B74" s="15" t="str">
        <f>VLOOKUP(A74,policy!B:C,2,0)</f>
        <v>050000850931</v>
      </c>
      <c r="C74" s="12">
        <v>-1470</v>
      </c>
      <c r="D74" s="16">
        <f t="shared" si="5"/>
        <v>-1470</v>
      </c>
      <c r="E74" s="21" t="s">
        <v>5795</v>
      </c>
      <c r="F74" s="17" t="str">
        <f t="shared" si="4"/>
        <v>insert into ins_premium_det (premium_rcv_code,assorted_code, rec_amount,premium_rcv_detail_code,remaining_amt, payrec, mode_code,coinsurance_code,class_cd,it_remarks) values</v>
      </c>
      <c r="G74" s="18" t="str">
        <f t="shared" si="6"/>
        <v>('12Feb250043','050000850931','-1470',(select max(to_number(i.premium_rcv_detail_code))+1
from ins_premium_det i),'-1470','-1470','02', '11000003','00','Request by Mr. Saqib Saleem 13-Feb-2025');</v>
      </c>
      <c r="H74" s="19" t="str">
        <f t="shared" si="7"/>
        <v>insert into ins_premium_det (premium_rcv_code,assorted_code, rec_amount,premium_rcv_detail_code,remaining_amt, payrec, mode_code,coinsurance_code,class_cd,it_remarks) values('12Feb250043','050000850931','-1470',(select max(to_number(i.premium_rcv_detail_code))+1
from ins_premium_det i),'-1470','-1470','02', '11000003','00','Request by Mr. Saqib Saleem 13-Feb-2025');</v>
      </c>
    </row>
    <row r="75" spans="1:8" ht="90">
      <c r="A75" s="12" t="s">
        <v>1903</v>
      </c>
      <c r="B75" s="15" t="str">
        <f>VLOOKUP(A75,policy!B:C,2,0)</f>
        <v>050000850933</v>
      </c>
      <c r="C75" s="12">
        <v>-1999</v>
      </c>
      <c r="D75" s="16">
        <f t="shared" si="5"/>
        <v>-1999</v>
      </c>
      <c r="E75" s="21" t="s">
        <v>5795</v>
      </c>
      <c r="F75" s="17" t="str">
        <f t="shared" si="4"/>
        <v>insert into ins_premium_det (premium_rcv_code,assorted_code, rec_amount,premium_rcv_detail_code,remaining_amt, payrec, mode_code,coinsurance_code,class_cd,it_remarks) values</v>
      </c>
      <c r="G75" s="18" t="str">
        <f t="shared" si="6"/>
        <v>('12Feb250043','050000850933','-1999',(select max(to_number(i.premium_rcv_detail_code))+1
from ins_premium_det i),'-1999','-1999','02', '11000003','00','Request by Mr. Saqib Saleem 13-Feb-2025');</v>
      </c>
      <c r="H75" s="19" t="str">
        <f t="shared" si="7"/>
        <v>insert into ins_premium_det (premium_rcv_code,assorted_code, rec_amount,premium_rcv_detail_code,remaining_amt, payrec, mode_code,coinsurance_code,class_cd,it_remarks) values('12Feb250043','050000850933','-1999',(select max(to_number(i.premium_rcv_detail_code))+1
from ins_premium_det i),'-1999','-1999','02', '11000003','00','Request by Mr. Saqib Saleem 13-Feb-2025');</v>
      </c>
    </row>
    <row r="76" spans="1:8" ht="90">
      <c r="A76" s="12" t="s">
        <v>1928</v>
      </c>
      <c r="B76" s="15" t="str">
        <f>VLOOKUP(A76,policy!B:C,2,0)</f>
        <v>050000850934</v>
      </c>
      <c r="C76" s="12">
        <v>-2362</v>
      </c>
      <c r="D76" s="16">
        <f t="shared" si="5"/>
        <v>-2362</v>
      </c>
      <c r="E76" s="21" t="s">
        <v>5795</v>
      </c>
      <c r="F76" s="17" t="str">
        <f t="shared" si="4"/>
        <v>insert into ins_premium_det (premium_rcv_code,assorted_code, rec_amount,premium_rcv_detail_code,remaining_amt, payrec, mode_code,coinsurance_code,class_cd,it_remarks) values</v>
      </c>
      <c r="G76" s="18" t="str">
        <f t="shared" si="6"/>
        <v>('12Feb250043','050000850934','-2362',(select max(to_number(i.premium_rcv_detail_code))+1
from ins_premium_det i),'-2362','-2362','02', '11000003','00','Request by Mr. Saqib Saleem 13-Feb-2025');</v>
      </c>
      <c r="H76" s="19" t="str">
        <f t="shared" si="7"/>
        <v>insert into ins_premium_det (premium_rcv_code,assorted_code, rec_amount,premium_rcv_detail_code,remaining_amt, payrec, mode_code,coinsurance_code,class_cd,it_remarks) values('12Feb250043','050000850934','-2362',(select max(to_number(i.premium_rcv_detail_code))+1
from ins_premium_det i),'-2362','-2362','02', '11000003','00','Request by Mr. Saqib Saleem 13-Feb-2025');</v>
      </c>
    </row>
    <row r="77" spans="1:8" ht="90">
      <c r="A77" s="12" t="s">
        <v>1943</v>
      </c>
      <c r="B77" s="15" t="str">
        <f>VLOOKUP(A77,policy!B:C,2,0)</f>
        <v>050000850935</v>
      </c>
      <c r="C77" s="12">
        <v>-2452</v>
      </c>
      <c r="D77" s="16">
        <f t="shared" si="5"/>
        <v>-2452</v>
      </c>
      <c r="E77" s="21" t="s">
        <v>5795</v>
      </c>
      <c r="F77" s="17" t="str">
        <f t="shared" si="4"/>
        <v>insert into ins_premium_det (premium_rcv_code,assorted_code, rec_amount,premium_rcv_detail_code,remaining_amt, payrec, mode_code,coinsurance_code,class_cd,it_remarks) values</v>
      </c>
      <c r="G77" s="18" t="str">
        <f t="shared" si="6"/>
        <v>('12Feb250043','050000850935','-2452',(select max(to_number(i.premium_rcv_detail_code))+1
from ins_premium_det i),'-2452','-2452','02', '11000003','00','Request by Mr. Saqib Saleem 13-Feb-2025');</v>
      </c>
      <c r="H77" s="19" t="str">
        <f t="shared" si="7"/>
        <v>insert into ins_premium_det (premium_rcv_code,assorted_code, rec_amount,premium_rcv_detail_code,remaining_amt, payrec, mode_code,coinsurance_code,class_cd,it_remarks) values('12Feb250043','050000850935','-2452',(select max(to_number(i.premium_rcv_detail_code))+1
from ins_premium_det i),'-2452','-2452','02', '11000003','00','Request by Mr. Saqib Saleem 13-Feb-2025');</v>
      </c>
    </row>
    <row r="78" spans="1:8" ht="90">
      <c r="A78" s="12" t="s">
        <v>1957</v>
      </c>
      <c r="B78" s="15" t="str">
        <f>VLOOKUP(A78,policy!B:C,2,0)</f>
        <v>050000850936</v>
      </c>
      <c r="C78" s="12">
        <v>-2122</v>
      </c>
      <c r="D78" s="16">
        <f t="shared" si="5"/>
        <v>-2122</v>
      </c>
      <c r="E78" s="21" t="s">
        <v>5795</v>
      </c>
      <c r="F78" s="17" t="str">
        <f t="shared" si="4"/>
        <v>insert into ins_premium_det (premium_rcv_code,assorted_code, rec_amount,premium_rcv_detail_code,remaining_amt, payrec, mode_code,coinsurance_code,class_cd,it_remarks) values</v>
      </c>
      <c r="G78" s="18" t="str">
        <f t="shared" si="6"/>
        <v>('12Feb250043','050000850936','-2122',(select max(to_number(i.premium_rcv_detail_code))+1
from ins_premium_det i),'-2122','-2122','02', '11000003','00','Request by Mr. Saqib Saleem 13-Feb-2025');</v>
      </c>
      <c r="H78" s="19" t="str">
        <f t="shared" si="7"/>
        <v>insert into ins_premium_det (premium_rcv_code,assorted_code, rec_amount,premium_rcv_detail_code,remaining_amt, payrec, mode_code,coinsurance_code,class_cd,it_remarks) values('12Feb250043','050000850936','-2122',(select max(to_number(i.premium_rcv_detail_code))+1
from ins_premium_det i),'-2122','-2122','02', '11000003','00','Request by Mr. Saqib Saleem 13-Feb-2025');</v>
      </c>
    </row>
    <row r="79" spans="1:8" ht="90">
      <c r="A79" s="12" t="s">
        <v>1970</v>
      </c>
      <c r="B79" s="15" t="str">
        <f>VLOOKUP(A79,policy!B:C,2,0)</f>
        <v>050000850937</v>
      </c>
      <c r="C79" s="12">
        <v>-2646</v>
      </c>
      <c r="D79" s="16">
        <f t="shared" si="5"/>
        <v>-2646</v>
      </c>
      <c r="E79" s="21" t="s">
        <v>5795</v>
      </c>
      <c r="F79" s="17" t="str">
        <f t="shared" si="4"/>
        <v>insert into ins_premium_det (premium_rcv_code,assorted_code, rec_amount,premium_rcv_detail_code,remaining_amt, payrec, mode_code,coinsurance_code,class_cd,it_remarks) values</v>
      </c>
      <c r="G79" s="18" t="str">
        <f t="shared" si="6"/>
        <v>('12Feb250043','050000850937','-2646',(select max(to_number(i.premium_rcv_detail_code))+1
from ins_premium_det i),'-2646','-2646','02', '11000003','00','Request by Mr. Saqib Saleem 13-Feb-2025');</v>
      </c>
      <c r="H79" s="19" t="str">
        <f t="shared" si="7"/>
        <v>insert into ins_premium_det (premium_rcv_code,assorted_code, rec_amount,premium_rcv_detail_code,remaining_amt, payrec, mode_code,coinsurance_code,class_cd,it_remarks) values('12Feb250043','050000850937','-2646',(select max(to_number(i.premium_rcv_detail_code))+1
from ins_premium_det i),'-2646','-2646','02', '11000003','00','Request by Mr. Saqib Saleem 13-Feb-2025');</v>
      </c>
    </row>
    <row r="80" spans="1:8" ht="90">
      <c r="A80" s="12" t="s">
        <v>1984</v>
      </c>
      <c r="B80" s="15" t="str">
        <f>VLOOKUP(A80,policy!B:C,2,0)</f>
        <v>050000850944</v>
      </c>
      <c r="C80" s="12">
        <v>-2850</v>
      </c>
      <c r="D80" s="16">
        <f t="shared" si="5"/>
        <v>-2850</v>
      </c>
      <c r="E80" s="21" t="s">
        <v>5795</v>
      </c>
      <c r="F80" s="17" t="str">
        <f t="shared" si="4"/>
        <v>insert into ins_premium_det (premium_rcv_code,assorted_code, rec_amount,premium_rcv_detail_code,remaining_amt, payrec, mode_code,coinsurance_code,class_cd,it_remarks) values</v>
      </c>
      <c r="G80" s="18" t="str">
        <f t="shared" si="6"/>
        <v>('12Feb250043','050000850944','-2850',(select max(to_number(i.premium_rcv_detail_code))+1
from ins_premium_det i),'-2850','-2850','02', '11000003','00','Request by Mr. Saqib Saleem 13-Feb-2025');</v>
      </c>
      <c r="H80" s="19" t="str">
        <f t="shared" si="7"/>
        <v>insert into ins_premium_det (premium_rcv_code,assorted_code, rec_amount,premium_rcv_detail_code,remaining_amt, payrec, mode_code,coinsurance_code,class_cd,it_remarks) values('12Feb250043','050000850944','-2850',(select max(to_number(i.premium_rcv_detail_code))+1
from ins_premium_det i),'-2850','-2850','02', '11000003','00','Request by Mr. Saqib Saleem 13-Feb-2025');</v>
      </c>
    </row>
    <row r="81" spans="1:8" ht="90">
      <c r="A81" s="12" t="s">
        <v>2009</v>
      </c>
      <c r="B81" s="15" t="str">
        <f>VLOOKUP(A81,policy!B:C,2,0)</f>
        <v>050000850945</v>
      </c>
      <c r="C81" s="12">
        <v>-2625</v>
      </c>
      <c r="D81" s="16">
        <f t="shared" si="5"/>
        <v>-2625</v>
      </c>
      <c r="E81" s="21" t="s">
        <v>5795</v>
      </c>
      <c r="F81" s="17" t="str">
        <f t="shared" si="4"/>
        <v>insert into ins_premium_det (premium_rcv_code,assorted_code, rec_amount,premium_rcv_detail_code,remaining_amt, payrec, mode_code,coinsurance_code,class_cd,it_remarks) values</v>
      </c>
      <c r="G81" s="18" t="str">
        <f t="shared" si="6"/>
        <v>('12Feb250043','050000850945','-2625',(select max(to_number(i.premium_rcv_detail_code))+1
from ins_premium_det i),'-2625','-2625','02', '11000003','00','Request by Mr. Saqib Saleem 13-Feb-2025');</v>
      </c>
      <c r="H81" s="19" t="str">
        <f t="shared" si="7"/>
        <v>insert into ins_premium_det (premium_rcv_code,assorted_code, rec_amount,premium_rcv_detail_code,remaining_amt, payrec, mode_code,coinsurance_code,class_cd,it_remarks) values('12Feb250043','050000850945','-2625',(select max(to_number(i.premium_rcv_detail_code))+1
from ins_premium_det i),'-2625','-2625','02', '11000003','00','Request by Mr. Saqib Saleem 13-Feb-2025');</v>
      </c>
    </row>
    <row r="82" spans="1:8" ht="90">
      <c r="A82" s="12" t="s">
        <v>2021</v>
      </c>
      <c r="B82" s="15" t="str">
        <f>VLOOKUP(A82,policy!B:C,2,0)</f>
        <v>050000850947</v>
      </c>
      <c r="C82" s="12">
        <v>-2967</v>
      </c>
      <c r="D82" s="16">
        <f t="shared" si="5"/>
        <v>-2967</v>
      </c>
      <c r="E82" s="21" t="s">
        <v>5795</v>
      </c>
      <c r="F82" s="17" t="str">
        <f t="shared" si="4"/>
        <v>insert into ins_premium_det (premium_rcv_code,assorted_code, rec_amount,premium_rcv_detail_code,remaining_amt, payrec, mode_code,coinsurance_code,class_cd,it_remarks) values</v>
      </c>
      <c r="G82" s="18" t="str">
        <f t="shared" si="6"/>
        <v>('12Feb250043','050000850947','-2967',(select max(to_number(i.premium_rcv_detail_code))+1
from ins_premium_det i),'-2967','-2967','02', '11000003','00','Request by Mr. Saqib Saleem 13-Feb-2025');</v>
      </c>
      <c r="H82" s="19" t="str">
        <f t="shared" si="7"/>
        <v>insert into ins_premium_det (premium_rcv_code,assorted_code, rec_amount,premium_rcv_detail_code,remaining_amt, payrec, mode_code,coinsurance_code,class_cd,it_remarks) values('12Feb250043','050000850947','-2967',(select max(to_number(i.premium_rcv_detail_code))+1
from ins_premium_det i),'-2967','-2967','02', '11000003','00','Request by Mr. Saqib Saleem 13-Feb-2025');</v>
      </c>
    </row>
    <row r="83" spans="1:8" ht="90">
      <c r="A83" s="12" t="s">
        <v>2035</v>
      </c>
      <c r="B83" s="15" t="str">
        <f>VLOOKUP(A83,policy!B:C,2,0)</f>
        <v>050000850954</v>
      </c>
      <c r="C83" s="12">
        <v>-1673</v>
      </c>
      <c r="D83" s="16">
        <f t="shared" si="5"/>
        <v>-1673</v>
      </c>
      <c r="E83" s="21" t="s">
        <v>5795</v>
      </c>
      <c r="F83" s="17" t="str">
        <f t="shared" si="4"/>
        <v>insert into ins_premium_det (premium_rcv_code,assorted_code, rec_amount,premium_rcv_detail_code,remaining_amt, payrec, mode_code,coinsurance_code,class_cd,it_remarks) values</v>
      </c>
      <c r="G83" s="18" t="str">
        <f t="shared" si="6"/>
        <v>('12Feb250043','050000850954','-1673',(select max(to_number(i.premium_rcv_detail_code))+1
from ins_premium_det i),'-1673','-1673','02', '11000003','00','Request by Mr. Saqib Saleem 13-Feb-2025');</v>
      </c>
      <c r="H83" s="19" t="str">
        <f t="shared" si="7"/>
        <v>insert into ins_premium_det (premium_rcv_code,assorted_code, rec_amount,premium_rcv_detail_code,remaining_amt, payrec, mode_code,coinsurance_code,class_cd,it_remarks) values('12Feb250043','050000850954','-1673',(select max(to_number(i.premium_rcv_detail_code))+1
from ins_premium_det i),'-1673','-1673','02', '11000003','00','Request by Mr. Saqib Saleem 13-Feb-2025');</v>
      </c>
    </row>
    <row r="84" spans="1:8" ht="90">
      <c r="A84" s="12" t="s">
        <v>2048</v>
      </c>
      <c r="B84" s="15" t="str">
        <f>VLOOKUP(A84,policy!B:C,2,0)</f>
        <v>050000850957</v>
      </c>
      <c r="C84" s="12">
        <v>-1575</v>
      </c>
      <c r="D84" s="16">
        <f t="shared" si="5"/>
        <v>-1575</v>
      </c>
      <c r="E84" s="21" t="s">
        <v>5795</v>
      </c>
      <c r="F84" s="17" t="str">
        <f t="shared" si="4"/>
        <v>insert into ins_premium_det (premium_rcv_code,assorted_code, rec_amount,premium_rcv_detail_code,remaining_amt, payrec, mode_code,coinsurance_code,class_cd,it_remarks) values</v>
      </c>
      <c r="G84" s="18" t="str">
        <f t="shared" si="6"/>
        <v>('12Feb250043','050000850957','-1575',(select max(to_number(i.premium_rcv_detail_code))+1
from ins_premium_det i),'-1575','-1575','02', '11000003','00','Request by Mr. Saqib Saleem 13-Feb-2025');</v>
      </c>
      <c r="H84" s="19" t="str">
        <f t="shared" si="7"/>
        <v>insert into ins_premium_det (premium_rcv_code,assorted_code, rec_amount,premium_rcv_detail_code,remaining_amt, payrec, mode_code,coinsurance_code,class_cd,it_remarks) values('12Feb250043','050000850957','-1575',(select max(to_number(i.premium_rcv_detail_code))+1
from ins_premium_det i),'-1575','-1575','02', '11000003','00','Request by Mr. Saqib Saleem 13-Feb-2025');</v>
      </c>
    </row>
    <row r="85" spans="1:8" ht="90">
      <c r="A85" s="12" t="s">
        <v>2062</v>
      </c>
      <c r="B85" s="15" t="str">
        <f>VLOOKUP(A85,policy!B:C,2,0)</f>
        <v>050000850962</v>
      </c>
      <c r="C85" s="12">
        <v>-1388</v>
      </c>
      <c r="D85" s="16">
        <f t="shared" si="5"/>
        <v>-1388</v>
      </c>
      <c r="E85" s="21" t="s">
        <v>5795</v>
      </c>
      <c r="F85" s="17" t="str">
        <f t="shared" si="4"/>
        <v>insert into ins_premium_det (premium_rcv_code,assorted_code, rec_amount,premium_rcv_detail_code,remaining_amt, payrec, mode_code,coinsurance_code,class_cd,it_remarks) values</v>
      </c>
      <c r="G85" s="18" t="str">
        <f t="shared" si="6"/>
        <v>('12Feb250043','050000850962','-1388',(select max(to_number(i.premium_rcv_detail_code))+1
from ins_premium_det i),'-1388','-1388','02', '11000003','00','Request by Mr. Saqib Saleem 13-Feb-2025');</v>
      </c>
      <c r="H85" s="19" t="str">
        <f t="shared" si="7"/>
        <v>insert into ins_premium_det (premium_rcv_code,assorted_code, rec_amount,premium_rcv_detail_code,remaining_amt, payrec, mode_code,coinsurance_code,class_cd,it_remarks) values('12Feb250043','050000850962','-1388',(select max(to_number(i.premium_rcv_detail_code))+1
from ins_premium_det i),'-1388','-1388','02', '11000003','00','Request by Mr. Saqib Saleem 13-Feb-2025');</v>
      </c>
    </row>
    <row r="86" spans="1:8" ht="90">
      <c r="A86" s="12" t="s">
        <v>2077</v>
      </c>
      <c r="B86" s="15" t="str">
        <f>VLOOKUP(A86,policy!B:C,2,0)</f>
        <v>050000850964</v>
      </c>
      <c r="C86" s="12">
        <v>-1425</v>
      </c>
      <c r="D86" s="16">
        <f t="shared" si="5"/>
        <v>-1425</v>
      </c>
      <c r="E86" s="21" t="s">
        <v>5795</v>
      </c>
      <c r="F86" s="17" t="str">
        <f t="shared" si="4"/>
        <v>insert into ins_premium_det (premium_rcv_code,assorted_code, rec_amount,premium_rcv_detail_code,remaining_amt, payrec, mode_code,coinsurance_code,class_cd,it_remarks) values</v>
      </c>
      <c r="G86" s="18" t="str">
        <f t="shared" si="6"/>
        <v>('12Feb250043','050000850964','-1425',(select max(to_number(i.premium_rcv_detail_code))+1
from ins_premium_det i),'-1425','-1425','02', '11000003','00','Request by Mr. Saqib Saleem 13-Feb-2025');</v>
      </c>
      <c r="H86" s="19" t="str">
        <f t="shared" si="7"/>
        <v>insert into ins_premium_det (premium_rcv_code,assorted_code, rec_amount,premium_rcv_detail_code,remaining_amt, payrec, mode_code,coinsurance_code,class_cd,it_remarks) values('12Feb250043','050000850964','-1425',(select max(to_number(i.premium_rcv_detail_code))+1
from ins_premium_det i),'-1425','-1425','02', '11000003','00','Request by Mr. Saqib Saleem 13-Feb-2025');</v>
      </c>
    </row>
    <row r="87" spans="1:8" ht="90">
      <c r="A87" s="12" t="s">
        <v>2090</v>
      </c>
      <c r="B87" s="15" t="str">
        <f>VLOOKUP(A87,policy!B:C,2,0)</f>
        <v>050000850965</v>
      </c>
      <c r="C87" s="12">
        <v>-1193</v>
      </c>
      <c r="D87" s="16">
        <f t="shared" si="5"/>
        <v>-1193</v>
      </c>
      <c r="E87" s="21" t="s">
        <v>5795</v>
      </c>
      <c r="F87" s="17" t="str">
        <f t="shared" si="4"/>
        <v>insert into ins_premium_det (premium_rcv_code,assorted_code, rec_amount,premium_rcv_detail_code,remaining_amt, payrec, mode_code,coinsurance_code,class_cd,it_remarks) values</v>
      </c>
      <c r="G87" s="18" t="str">
        <f t="shared" si="6"/>
        <v>('12Feb250043','050000850965','-1193',(select max(to_number(i.premium_rcv_detail_code))+1
from ins_premium_det i),'-1193','-1193','02', '11000003','00','Request by Mr. Saqib Saleem 13-Feb-2025');</v>
      </c>
      <c r="H87" s="19" t="str">
        <f t="shared" si="7"/>
        <v>insert into ins_premium_det (premium_rcv_code,assorted_code, rec_amount,premium_rcv_detail_code,remaining_amt, payrec, mode_code,coinsurance_code,class_cd,it_remarks) values('12Feb250043','050000850965','-1193',(select max(to_number(i.premium_rcv_detail_code))+1
from ins_premium_det i),'-1193','-1193','02', '11000003','00','Request by Mr. Saqib Saleem 13-Feb-2025');</v>
      </c>
    </row>
    <row r="88" spans="1:8" ht="90">
      <c r="A88" s="12" t="s">
        <v>2104</v>
      </c>
      <c r="B88" s="15" t="str">
        <f>VLOOKUP(A88,policy!B:C,2,0)</f>
        <v>050000850968</v>
      </c>
      <c r="C88" s="12">
        <v>-1610</v>
      </c>
      <c r="D88" s="16">
        <f t="shared" si="5"/>
        <v>-1610</v>
      </c>
      <c r="E88" s="21" t="s">
        <v>5795</v>
      </c>
      <c r="F88" s="17" t="str">
        <f t="shared" si="4"/>
        <v>insert into ins_premium_det (premium_rcv_code,assorted_code, rec_amount,premium_rcv_detail_code,remaining_amt, payrec, mode_code,coinsurance_code,class_cd,it_remarks) values</v>
      </c>
      <c r="G88" s="18" t="str">
        <f t="shared" si="6"/>
        <v>('12Feb250043','050000850968','-1610',(select max(to_number(i.premium_rcv_detail_code))+1
from ins_premium_det i),'-1610','-1610','02', '11000003','00','Request by Mr. Saqib Saleem 13-Feb-2025');</v>
      </c>
      <c r="H88" s="19" t="str">
        <f t="shared" si="7"/>
        <v>insert into ins_premium_det (premium_rcv_code,assorted_code, rec_amount,premium_rcv_detail_code,remaining_amt, payrec, mode_code,coinsurance_code,class_cd,it_remarks) values('12Feb250043','050000850968','-1610',(select max(to_number(i.premium_rcv_detail_code))+1
from ins_premium_det i),'-1610','-1610','02', '11000003','00','Request by Mr. Saqib Saleem 13-Feb-2025');</v>
      </c>
    </row>
    <row r="89" spans="1:8" ht="90">
      <c r="A89" s="12" t="s">
        <v>2117</v>
      </c>
      <c r="B89" s="15" t="str">
        <f>VLOOKUP(A89,policy!B:C,2,0)</f>
        <v>050000850969</v>
      </c>
      <c r="C89" s="12">
        <v>-1633</v>
      </c>
      <c r="D89" s="16">
        <f t="shared" si="5"/>
        <v>-1633</v>
      </c>
      <c r="E89" s="21" t="s">
        <v>5795</v>
      </c>
      <c r="F89" s="17" t="str">
        <f t="shared" si="4"/>
        <v>insert into ins_premium_det (premium_rcv_code,assorted_code, rec_amount,premium_rcv_detail_code,remaining_amt, payrec, mode_code,coinsurance_code,class_cd,it_remarks) values</v>
      </c>
      <c r="G89" s="18" t="str">
        <f t="shared" si="6"/>
        <v>('12Feb250043','050000850969','-1633',(select max(to_number(i.premium_rcv_detail_code))+1
from ins_premium_det i),'-1633','-1633','02', '11000003','00','Request by Mr. Saqib Saleem 13-Feb-2025');</v>
      </c>
      <c r="H89" s="19" t="str">
        <f t="shared" si="7"/>
        <v>insert into ins_premium_det (premium_rcv_code,assorted_code, rec_amount,premium_rcv_detail_code,remaining_amt, payrec, mode_code,coinsurance_code,class_cd,it_remarks) values('12Feb250043','050000850969','-1633',(select max(to_number(i.premium_rcv_detail_code))+1
from ins_premium_det i),'-1633','-1633','02', '11000003','00','Request by Mr. Saqib Saleem 13-Feb-2025');</v>
      </c>
    </row>
    <row r="90" spans="1:8" ht="90">
      <c r="A90" s="12" t="s">
        <v>2132</v>
      </c>
      <c r="B90" s="15" t="str">
        <f>VLOOKUP(A90,policy!B:C,2,0)</f>
        <v>050000850974</v>
      </c>
      <c r="C90" s="12">
        <v>-2475</v>
      </c>
      <c r="D90" s="16">
        <f t="shared" si="5"/>
        <v>-2475</v>
      </c>
      <c r="E90" s="21" t="s">
        <v>5795</v>
      </c>
      <c r="F90" s="17" t="str">
        <f t="shared" si="4"/>
        <v>insert into ins_premium_det (premium_rcv_code,assorted_code, rec_amount,premium_rcv_detail_code,remaining_amt, payrec, mode_code,coinsurance_code,class_cd,it_remarks) values</v>
      </c>
      <c r="G90" s="18" t="str">
        <f t="shared" si="6"/>
        <v>('12Feb250043','050000850974','-2475',(select max(to_number(i.premium_rcv_detail_code))+1
from ins_premium_det i),'-2475','-2475','02', '11000003','00','Request by Mr. Saqib Saleem 13-Feb-2025');</v>
      </c>
      <c r="H90" s="19" t="str">
        <f t="shared" si="7"/>
        <v>insert into ins_premium_det (premium_rcv_code,assorted_code, rec_amount,premium_rcv_detail_code,remaining_amt, payrec, mode_code,coinsurance_code,class_cd,it_remarks) values('12Feb250043','050000850974','-2475',(select max(to_number(i.premium_rcv_detail_code))+1
from ins_premium_det i),'-2475','-2475','02', '11000003','00','Request by Mr. Saqib Saleem 13-Feb-2025');</v>
      </c>
    </row>
    <row r="91" spans="1:8" ht="90">
      <c r="A91" s="12" t="s">
        <v>2183</v>
      </c>
      <c r="B91" s="15" t="str">
        <f>VLOOKUP(A91,policy!B:C,2,0)</f>
        <v>050000850977</v>
      </c>
      <c r="C91" s="12">
        <v>-713</v>
      </c>
      <c r="D91" s="16">
        <f t="shared" si="5"/>
        <v>-713</v>
      </c>
      <c r="E91" s="21" t="s">
        <v>5795</v>
      </c>
      <c r="F91" s="17" t="str">
        <f t="shared" si="4"/>
        <v>insert into ins_premium_det (premium_rcv_code,assorted_code, rec_amount,premium_rcv_detail_code,remaining_amt, payrec, mode_code,coinsurance_code,class_cd,it_remarks) values</v>
      </c>
      <c r="G91" s="18" t="str">
        <f t="shared" si="6"/>
        <v>('12Feb250043','050000850977','-713',(select max(to_number(i.premium_rcv_detail_code))+1
from ins_premium_det i),'-713','-713','02', '11000003','00','Request by Mr. Saqib Saleem 13-Feb-2025');</v>
      </c>
      <c r="H91" s="19" t="str">
        <f t="shared" si="7"/>
        <v>insert into ins_premium_det (premium_rcv_code,assorted_code, rec_amount,premium_rcv_detail_code,remaining_amt, payrec, mode_code,coinsurance_code,class_cd,it_remarks) values('12Feb250043','050000850977','-713',(select max(to_number(i.premium_rcv_detail_code))+1
from ins_premium_det i),'-713','-713','02', '11000003','00','Request by Mr. Saqib Saleem 13-Feb-2025');</v>
      </c>
    </row>
    <row r="92" spans="1:8" ht="90">
      <c r="A92" s="12" t="s">
        <v>2196</v>
      </c>
      <c r="B92" s="15" t="str">
        <f>VLOOKUP(A92,policy!B:C,2,0)</f>
        <v>050000850978</v>
      </c>
      <c r="C92" s="12">
        <v>-1608</v>
      </c>
      <c r="D92" s="16">
        <f t="shared" si="5"/>
        <v>-1608</v>
      </c>
      <c r="E92" s="21" t="s">
        <v>5795</v>
      </c>
      <c r="F92" s="17" t="str">
        <f t="shared" si="4"/>
        <v>insert into ins_premium_det (premium_rcv_code,assorted_code, rec_amount,premium_rcv_detail_code,remaining_amt, payrec, mode_code,coinsurance_code,class_cd,it_remarks) values</v>
      </c>
      <c r="G92" s="18" t="str">
        <f t="shared" si="6"/>
        <v>('12Feb250043','050000850978','-1608',(select max(to_number(i.premium_rcv_detail_code))+1
from ins_premium_det i),'-1608','-1608','02', '11000003','00','Request by Mr. Saqib Saleem 13-Feb-2025');</v>
      </c>
      <c r="H92" s="19" t="str">
        <f t="shared" si="7"/>
        <v>insert into ins_premium_det (premium_rcv_code,assorted_code, rec_amount,premium_rcv_detail_code,remaining_amt, payrec, mode_code,coinsurance_code,class_cd,it_remarks) values('12Feb250043','050000850978','-1608',(select max(to_number(i.premium_rcv_detail_code))+1
from ins_premium_det i),'-1608','-1608','02', '11000003','00','Request by Mr. Saqib Saleem 13-Feb-2025');</v>
      </c>
    </row>
    <row r="93" spans="1:8" ht="90">
      <c r="A93" s="12" t="s">
        <v>2208</v>
      </c>
      <c r="B93" s="15" t="str">
        <f>VLOOKUP(A93,policy!B:C,2,0)</f>
        <v>050000850979</v>
      </c>
      <c r="C93" s="12">
        <v>-3541</v>
      </c>
      <c r="D93" s="16">
        <f t="shared" si="5"/>
        <v>-3541</v>
      </c>
      <c r="E93" s="21" t="s">
        <v>5795</v>
      </c>
      <c r="F93" s="17" t="str">
        <f t="shared" si="4"/>
        <v>insert into ins_premium_det (premium_rcv_code,assorted_code, rec_amount,premium_rcv_detail_code,remaining_amt, payrec, mode_code,coinsurance_code,class_cd,it_remarks) values</v>
      </c>
      <c r="G93" s="18" t="str">
        <f t="shared" si="6"/>
        <v>('12Feb250043','050000850979','-3541',(select max(to_number(i.premium_rcv_detail_code))+1
from ins_premium_det i),'-3541','-3541','02', '11000003','00','Request by Mr. Saqib Saleem 13-Feb-2025');</v>
      </c>
      <c r="H93" s="19" t="str">
        <f t="shared" si="7"/>
        <v>insert into ins_premium_det (premium_rcv_code,assorted_code, rec_amount,premium_rcv_detail_code,remaining_amt, payrec, mode_code,coinsurance_code,class_cd,it_remarks) values('12Feb250043','050000850979','-3541',(select max(to_number(i.premium_rcv_detail_code))+1
from ins_premium_det i),'-3541','-3541','02', '11000003','00','Request by Mr. Saqib Saleem 13-Feb-2025');</v>
      </c>
    </row>
    <row r="94" spans="1:8" ht="90">
      <c r="A94" s="12" t="s">
        <v>2258</v>
      </c>
      <c r="B94" s="15" t="str">
        <f>VLOOKUP(A94,policy!B:C,2,0)</f>
        <v>050000850982</v>
      </c>
      <c r="C94" s="12">
        <v>-5190</v>
      </c>
      <c r="D94" s="16">
        <f t="shared" si="5"/>
        <v>-5190</v>
      </c>
      <c r="E94" s="21" t="s">
        <v>5795</v>
      </c>
      <c r="F94" s="17" t="str">
        <f t="shared" si="4"/>
        <v>insert into ins_premium_det (premium_rcv_code,assorted_code, rec_amount,premium_rcv_detail_code,remaining_amt, payrec, mode_code,coinsurance_code,class_cd,it_remarks) values</v>
      </c>
      <c r="G94" s="18" t="str">
        <f t="shared" si="6"/>
        <v>('12Feb250043','050000850982','-5190',(select max(to_number(i.premium_rcv_detail_code))+1
from ins_premium_det i),'-5190','-5190','02', '11000003','00','Request by Mr. Saqib Saleem 13-Feb-2025');</v>
      </c>
      <c r="H94" s="19" t="str">
        <f t="shared" si="7"/>
        <v>insert into ins_premium_det (premium_rcv_code,assorted_code, rec_amount,premium_rcv_detail_code,remaining_amt, payrec, mode_code,coinsurance_code,class_cd,it_remarks) values('12Feb250043','050000850982','-5190',(select max(to_number(i.premium_rcv_detail_code))+1
from ins_premium_det i),'-5190','-5190','02', '11000003','00','Request by Mr. Saqib Saleem 13-Feb-2025');</v>
      </c>
    </row>
    <row r="95" spans="1:8" ht="90">
      <c r="A95" s="12" t="s">
        <v>2271</v>
      </c>
      <c r="B95" s="15" t="str">
        <f>VLOOKUP(A95,policy!B:C,2,0)</f>
        <v>050000850983</v>
      </c>
      <c r="C95" s="12">
        <v>-2813</v>
      </c>
      <c r="D95" s="16">
        <f t="shared" si="5"/>
        <v>-2813</v>
      </c>
      <c r="E95" s="21" t="s">
        <v>5795</v>
      </c>
      <c r="F95" s="17" t="str">
        <f t="shared" si="4"/>
        <v>insert into ins_premium_det (premium_rcv_code,assorted_code, rec_amount,premium_rcv_detail_code,remaining_amt, payrec, mode_code,coinsurance_code,class_cd,it_remarks) values</v>
      </c>
      <c r="G95" s="18" t="str">
        <f t="shared" si="6"/>
        <v>('12Feb250043','050000850983','-2813',(select max(to_number(i.premium_rcv_detail_code))+1
from ins_premium_det i),'-2813','-2813','02', '11000003','00','Request by Mr. Saqib Saleem 13-Feb-2025');</v>
      </c>
      <c r="H95" s="19" t="str">
        <f t="shared" si="7"/>
        <v>insert into ins_premium_det (premium_rcv_code,assorted_code, rec_amount,premium_rcv_detail_code,remaining_amt, payrec, mode_code,coinsurance_code,class_cd,it_remarks) values('12Feb250043','050000850983','-2813',(select max(to_number(i.premium_rcv_detail_code))+1
from ins_premium_det i),'-2813','-2813','02', '11000003','00','Request by Mr. Saqib Saleem 13-Feb-2025');</v>
      </c>
    </row>
    <row r="96" spans="1:8" ht="90">
      <c r="A96" s="12" t="s">
        <v>2295</v>
      </c>
      <c r="B96" s="15" t="str">
        <f>VLOOKUP(A96,policy!B:C,2,0)</f>
        <v>050000850990</v>
      </c>
      <c r="C96" s="12">
        <v>-2650</v>
      </c>
      <c r="D96" s="16">
        <f t="shared" si="5"/>
        <v>-2650</v>
      </c>
      <c r="E96" s="21" t="s">
        <v>5795</v>
      </c>
      <c r="F96" s="17" t="str">
        <f t="shared" si="4"/>
        <v>insert into ins_premium_det (premium_rcv_code,assorted_code, rec_amount,premium_rcv_detail_code,remaining_amt, payrec, mode_code,coinsurance_code,class_cd,it_remarks) values</v>
      </c>
      <c r="G96" s="18" t="str">
        <f t="shared" si="6"/>
        <v>('12Feb250043','050000850990','-2650',(select max(to_number(i.premium_rcv_detail_code))+1
from ins_premium_det i),'-2650','-2650','02', '11000003','00','Request by Mr. Saqib Saleem 13-Feb-2025');</v>
      </c>
      <c r="H96" s="19" t="str">
        <f t="shared" si="7"/>
        <v>insert into ins_premium_det (premium_rcv_code,assorted_code, rec_amount,premium_rcv_detail_code,remaining_amt, payrec, mode_code,coinsurance_code,class_cd,it_remarks) values('12Feb250043','050000850990','-2650',(select max(to_number(i.premium_rcv_detail_code))+1
from ins_premium_det i),'-2650','-2650','02', '11000003','00','Request by Mr. Saqib Saleem 13-Feb-2025');</v>
      </c>
    </row>
    <row r="97" spans="1:8" ht="90">
      <c r="A97" s="12" t="s">
        <v>2309</v>
      </c>
      <c r="B97" s="15" t="str">
        <f>VLOOKUP(A97,policy!B:C,2,0)</f>
        <v>050000850993</v>
      </c>
      <c r="C97" s="12">
        <v>-3000</v>
      </c>
      <c r="D97" s="16">
        <f t="shared" si="5"/>
        <v>-3000</v>
      </c>
      <c r="E97" s="21" t="s">
        <v>5795</v>
      </c>
      <c r="F97" s="17" t="str">
        <f t="shared" si="4"/>
        <v>insert into ins_premium_det (premium_rcv_code,assorted_code, rec_amount,premium_rcv_detail_code,remaining_amt, payrec, mode_code,coinsurance_code,class_cd,it_remarks) values</v>
      </c>
      <c r="G97" s="18" t="str">
        <f t="shared" si="6"/>
        <v>('12Feb250043','050000850993','-3000',(select max(to_number(i.premium_rcv_detail_code))+1
from ins_premium_det i),'-3000','-3000','02', '11000003','00','Request by Mr. Saqib Saleem 13-Feb-2025');</v>
      </c>
      <c r="H97" s="19" t="str">
        <f t="shared" si="7"/>
        <v>insert into ins_premium_det (premium_rcv_code,assorted_code, rec_amount,premium_rcv_detail_code,remaining_amt, payrec, mode_code,coinsurance_code,class_cd,it_remarks) values('12Feb250043','050000850993','-3000',(select max(to_number(i.premium_rcv_detail_code))+1
from ins_premium_det i),'-3000','-3000','02', '11000003','00','Request by Mr. Saqib Saleem 13-Feb-2025');</v>
      </c>
    </row>
    <row r="98" spans="1:8" ht="90">
      <c r="A98" s="12" t="s">
        <v>2350</v>
      </c>
      <c r="B98" s="15" t="str">
        <f>VLOOKUP(A98,policy!B:C,2,0)</f>
        <v>050000850994</v>
      </c>
      <c r="C98" s="12">
        <v>-1976</v>
      </c>
      <c r="D98" s="16">
        <f t="shared" si="5"/>
        <v>-1976</v>
      </c>
      <c r="E98" s="21" t="s">
        <v>5795</v>
      </c>
      <c r="F98" s="17" t="str">
        <f t="shared" si="4"/>
        <v>insert into ins_premium_det (premium_rcv_code,assorted_code, rec_amount,premium_rcv_detail_code,remaining_amt, payrec, mode_code,coinsurance_code,class_cd,it_remarks) values</v>
      </c>
      <c r="G98" s="18" t="str">
        <f t="shared" si="6"/>
        <v>('12Feb250043','050000850994','-1976',(select max(to_number(i.premium_rcv_detail_code))+1
from ins_premium_det i),'-1976','-1976','02', '11000003','00','Request by Mr. Saqib Saleem 13-Feb-2025');</v>
      </c>
      <c r="H98" s="19" t="str">
        <f t="shared" si="7"/>
        <v>insert into ins_premium_det (premium_rcv_code,assorted_code, rec_amount,premium_rcv_detail_code,remaining_amt, payrec, mode_code,coinsurance_code,class_cd,it_remarks) values('12Feb250043','050000850994','-1976',(select max(to_number(i.premium_rcv_detail_code))+1
from ins_premium_det i),'-1976','-1976','02', '11000003','00','Request by Mr. Saqib Saleem 13-Feb-2025');</v>
      </c>
    </row>
    <row r="99" spans="1:8" ht="90">
      <c r="A99" s="12" t="s">
        <v>2364</v>
      </c>
      <c r="B99" s="15" t="str">
        <f>VLOOKUP(A99,policy!B:C,2,0)</f>
        <v>050000850996</v>
      </c>
      <c r="C99" s="12">
        <v>-1500</v>
      </c>
      <c r="D99" s="16">
        <f t="shared" si="5"/>
        <v>-1500</v>
      </c>
      <c r="E99" s="21" t="s">
        <v>5795</v>
      </c>
      <c r="F99" s="17" t="str">
        <f t="shared" si="4"/>
        <v>insert into ins_premium_det (premium_rcv_code,assorted_code, rec_amount,premium_rcv_detail_code,remaining_amt, payrec, mode_code,coinsurance_code,class_cd,it_remarks) values</v>
      </c>
      <c r="G99" s="18" t="str">
        <f t="shared" si="6"/>
        <v>('12Feb250043','050000850996','-1500',(select max(to_number(i.premium_rcv_detail_code))+1
from ins_premium_det i),'-1500','-1500','02', '11000003','00','Request by Mr. Saqib Saleem 13-Feb-2025');</v>
      </c>
      <c r="H99" s="19" t="str">
        <f t="shared" si="7"/>
        <v>insert into ins_premium_det (premium_rcv_code,assorted_code, rec_amount,premium_rcv_detail_code,remaining_amt, payrec, mode_code,coinsurance_code,class_cd,it_remarks) values('12Feb250043','050000850996','-1500',(select max(to_number(i.premium_rcv_detail_code))+1
from ins_premium_det i),'-1500','-1500','02', '11000003','00','Request by Mr. Saqib Saleem 13-Feb-2025');</v>
      </c>
    </row>
    <row r="100" spans="1:8" ht="90">
      <c r="A100" s="12" t="s">
        <v>2378</v>
      </c>
      <c r="B100" s="15" t="str">
        <f>VLOOKUP(A100,policy!B:C,2,0)</f>
        <v>050000850997</v>
      </c>
      <c r="C100" s="12">
        <v>-1369</v>
      </c>
      <c r="D100" s="16">
        <f t="shared" si="5"/>
        <v>-1369</v>
      </c>
      <c r="E100" s="21" t="s">
        <v>5795</v>
      </c>
      <c r="F100" s="17" t="str">
        <f t="shared" si="4"/>
        <v>insert into ins_premium_det (premium_rcv_code,assorted_code, rec_amount,premium_rcv_detail_code,remaining_amt, payrec, mode_code,coinsurance_code,class_cd,it_remarks) values</v>
      </c>
      <c r="G100" s="18" t="str">
        <f t="shared" si="6"/>
        <v>('12Feb250043','050000850997','-1369',(select max(to_number(i.premium_rcv_detail_code))+1
from ins_premium_det i),'-1369','-1369','02', '11000003','00','Request by Mr. Saqib Saleem 13-Feb-2025');</v>
      </c>
      <c r="H100" s="19" t="str">
        <f t="shared" si="7"/>
        <v>insert into ins_premium_det (premium_rcv_code,assorted_code, rec_amount,premium_rcv_detail_code,remaining_amt, payrec, mode_code,coinsurance_code,class_cd,it_remarks) values('12Feb250043','050000850997','-1369',(select max(to_number(i.premium_rcv_detail_code))+1
from ins_premium_det i),'-1369','-1369','02', '11000003','00','Request by Mr. Saqib Saleem 13-Feb-2025');</v>
      </c>
    </row>
    <row r="101" spans="1:8" ht="90">
      <c r="A101" s="12" t="s">
        <v>2393</v>
      </c>
      <c r="B101" s="15" t="str">
        <f>VLOOKUP(A101,policy!B:C,2,0)</f>
        <v>050000850998</v>
      </c>
      <c r="C101" s="12">
        <v>-1875</v>
      </c>
      <c r="D101" s="16">
        <f t="shared" si="5"/>
        <v>-1875</v>
      </c>
      <c r="E101" s="21" t="s">
        <v>5795</v>
      </c>
      <c r="F101" s="17" t="str">
        <f t="shared" si="4"/>
        <v>insert into ins_premium_det (premium_rcv_code,assorted_code, rec_amount,premium_rcv_detail_code,remaining_amt, payrec, mode_code,coinsurance_code,class_cd,it_remarks) values</v>
      </c>
      <c r="G101" s="18" t="str">
        <f t="shared" si="6"/>
        <v>('12Feb250043','050000850998','-1875',(select max(to_number(i.premium_rcv_detail_code))+1
from ins_premium_det i),'-1875','-1875','02', '11000003','00','Request by Mr. Saqib Saleem 13-Feb-2025');</v>
      </c>
      <c r="H101" s="19" t="str">
        <f t="shared" si="7"/>
        <v>insert into ins_premium_det (premium_rcv_code,assorted_code, rec_amount,premium_rcv_detail_code,remaining_amt, payrec, mode_code,coinsurance_code,class_cd,it_remarks) values('12Feb250043','050000850998','-1875',(select max(to_number(i.premium_rcv_detail_code))+1
from ins_premium_det i),'-1875','-1875','02', '11000003','00','Request by Mr. Saqib Saleem 13-Feb-2025');</v>
      </c>
    </row>
    <row r="102" spans="1:8" ht="90">
      <c r="A102" s="12" t="s">
        <v>2405</v>
      </c>
      <c r="B102" s="15" t="str">
        <f>VLOOKUP(A102,policy!B:C,2,0)</f>
        <v>050000850999</v>
      </c>
      <c r="C102" s="12">
        <v>-1539</v>
      </c>
      <c r="D102" s="16">
        <f t="shared" si="5"/>
        <v>-1539</v>
      </c>
      <c r="E102" s="21" t="s">
        <v>5795</v>
      </c>
      <c r="F102" s="17" t="str">
        <f t="shared" si="4"/>
        <v>insert into ins_premium_det (premium_rcv_code,assorted_code, rec_amount,premium_rcv_detail_code,remaining_amt, payrec, mode_code,coinsurance_code,class_cd,it_remarks) values</v>
      </c>
      <c r="G102" s="18" t="str">
        <f t="shared" si="6"/>
        <v>('12Feb250043','050000850999','-1539',(select max(to_number(i.premium_rcv_detail_code))+1
from ins_premium_det i),'-1539','-1539','02', '11000003','00','Request by Mr. Saqib Saleem 13-Feb-2025');</v>
      </c>
      <c r="H102" s="19" t="str">
        <f t="shared" si="7"/>
        <v>insert into ins_premium_det (premium_rcv_code,assorted_code, rec_amount,premium_rcv_detail_code,remaining_amt, payrec, mode_code,coinsurance_code,class_cd,it_remarks) values('12Feb250043','050000850999','-1539',(select max(to_number(i.premium_rcv_detail_code))+1
from ins_premium_det i),'-1539','-1539','02', '11000003','00','Request by Mr. Saqib Saleem 13-Feb-2025');</v>
      </c>
    </row>
    <row r="103" spans="1:8" ht="90">
      <c r="A103" s="12" t="s">
        <v>2419</v>
      </c>
      <c r="B103" s="15" t="str">
        <f>VLOOKUP(A103,policy!B:C,2,0)</f>
        <v>050000851001</v>
      </c>
      <c r="C103" s="12">
        <v>-1050</v>
      </c>
      <c r="D103" s="16">
        <f t="shared" si="5"/>
        <v>-1050</v>
      </c>
      <c r="E103" s="21" t="s">
        <v>5795</v>
      </c>
      <c r="F103" s="17" t="str">
        <f t="shared" si="4"/>
        <v>insert into ins_premium_det (premium_rcv_code,assorted_code, rec_amount,premium_rcv_detail_code,remaining_amt, payrec, mode_code,coinsurance_code,class_cd,it_remarks) values</v>
      </c>
      <c r="G103" s="18" t="str">
        <f t="shared" si="6"/>
        <v>('12Feb250043','050000851001','-1050',(select max(to_number(i.premium_rcv_detail_code))+1
from ins_premium_det i),'-1050','-1050','02', '11000003','00','Request by Mr. Saqib Saleem 13-Feb-2025');</v>
      </c>
      <c r="H103" s="19" t="str">
        <f t="shared" si="7"/>
        <v>insert into ins_premium_det (premium_rcv_code,assorted_code, rec_amount,premium_rcv_detail_code,remaining_amt, payrec, mode_code,coinsurance_code,class_cd,it_remarks) values('12Feb250043','050000851001','-1050',(select max(to_number(i.premium_rcv_detail_code))+1
from ins_premium_det i),'-1050','-1050','02', '11000003','00','Request by Mr. Saqib Saleem 13-Feb-2025');</v>
      </c>
    </row>
    <row r="104" spans="1:8" ht="90">
      <c r="A104" s="12" t="s">
        <v>2445</v>
      </c>
      <c r="B104" s="15" t="str">
        <f>VLOOKUP(A104,policy!B:C,2,0)</f>
        <v>050000851002</v>
      </c>
      <c r="C104" s="12">
        <v>-1433</v>
      </c>
      <c r="D104" s="16">
        <f t="shared" si="5"/>
        <v>-1433</v>
      </c>
      <c r="E104" s="21" t="s">
        <v>5795</v>
      </c>
      <c r="F104" s="17" t="str">
        <f t="shared" si="4"/>
        <v>insert into ins_premium_det (premium_rcv_code,assorted_code, rec_amount,premium_rcv_detail_code,remaining_amt, payrec, mode_code,coinsurance_code,class_cd,it_remarks) values</v>
      </c>
      <c r="G104" s="18" t="str">
        <f t="shared" si="6"/>
        <v>('12Feb250043','050000851002','-1433',(select max(to_number(i.premium_rcv_detail_code))+1
from ins_premium_det i),'-1433','-1433','02', '11000003','00','Request by Mr. Saqib Saleem 13-Feb-2025');</v>
      </c>
      <c r="H104" s="19" t="str">
        <f t="shared" si="7"/>
        <v>insert into ins_premium_det (premium_rcv_code,assorted_code, rec_amount,premium_rcv_detail_code,remaining_amt, payrec, mode_code,coinsurance_code,class_cd,it_remarks) values('12Feb250043','050000851002','-1433',(select max(to_number(i.premium_rcv_detail_code))+1
from ins_premium_det i),'-1433','-1433','02', '11000003','00','Request by Mr. Saqib Saleem 13-Feb-2025');</v>
      </c>
    </row>
    <row r="105" spans="1:8" ht="90">
      <c r="A105" s="12" t="s">
        <v>2459</v>
      </c>
      <c r="B105" s="15" t="str">
        <f>VLOOKUP(A105,policy!B:C,2,0)</f>
        <v>050000851003</v>
      </c>
      <c r="C105" s="12">
        <v>-1223</v>
      </c>
      <c r="D105" s="16">
        <f t="shared" si="5"/>
        <v>-1223</v>
      </c>
      <c r="E105" s="21" t="s">
        <v>5795</v>
      </c>
      <c r="F105" s="17" t="str">
        <f t="shared" si="4"/>
        <v>insert into ins_premium_det (premium_rcv_code,assorted_code, rec_amount,premium_rcv_detail_code,remaining_amt, payrec, mode_code,coinsurance_code,class_cd,it_remarks) values</v>
      </c>
      <c r="G105" s="18" t="str">
        <f t="shared" si="6"/>
        <v>('12Feb250043','050000851003','-1223',(select max(to_number(i.premium_rcv_detail_code))+1
from ins_premium_det i),'-1223','-1223','02', '11000003','00','Request by Mr. Saqib Saleem 13-Feb-2025');</v>
      </c>
      <c r="H105" s="19" t="str">
        <f t="shared" si="7"/>
        <v>insert into ins_premium_det (premium_rcv_code,assorted_code, rec_amount,premium_rcv_detail_code,remaining_amt, payrec, mode_code,coinsurance_code,class_cd,it_remarks) values('12Feb250043','050000851003','-1223',(select max(to_number(i.premium_rcv_detail_code))+1
from ins_premium_det i),'-1223','-1223','02', '11000003','00','Request by Mr. Saqib Saleem 13-Feb-2025');</v>
      </c>
    </row>
    <row r="106" spans="1:8" ht="90">
      <c r="A106" s="12" t="s">
        <v>2471</v>
      </c>
      <c r="B106" s="15" t="str">
        <f>VLOOKUP(A106,policy!B:C,2,0)</f>
        <v>050000851004</v>
      </c>
      <c r="C106" s="12">
        <v>-1610</v>
      </c>
      <c r="D106" s="16">
        <f t="shared" si="5"/>
        <v>-1610</v>
      </c>
      <c r="E106" s="21" t="s">
        <v>5795</v>
      </c>
      <c r="F106" s="17" t="str">
        <f t="shared" si="4"/>
        <v>insert into ins_premium_det (premium_rcv_code,assorted_code, rec_amount,premium_rcv_detail_code,remaining_amt, payrec, mode_code,coinsurance_code,class_cd,it_remarks) values</v>
      </c>
      <c r="G106" s="18" t="str">
        <f t="shared" si="6"/>
        <v>('12Feb250043','050000851004','-1610',(select max(to_number(i.premium_rcv_detail_code))+1
from ins_premium_det i),'-1610','-1610','02', '11000003','00','Request by Mr. Saqib Saleem 13-Feb-2025');</v>
      </c>
      <c r="H106" s="19" t="str">
        <f t="shared" si="7"/>
        <v>insert into ins_premium_det (premium_rcv_code,assorted_code, rec_amount,premium_rcv_detail_code,remaining_amt, payrec, mode_code,coinsurance_code,class_cd,it_remarks) values('12Feb250043','050000851004','-1610',(select max(to_number(i.premium_rcv_detail_code))+1
from ins_premium_det i),'-1610','-1610','02', '11000003','00','Request by Mr. Saqib Saleem 13-Feb-2025');</v>
      </c>
    </row>
    <row r="107" spans="1:8" ht="90">
      <c r="A107" s="12" t="s">
        <v>2484</v>
      </c>
      <c r="B107" s="15" t="str">
        <f>VLOOKUP(A107,policy!B:C,2,0)</f>
        <v>050000851009</v>
      </c>
      <c r="C107" s="12">
        <v>-1875</v>
      </c>
      <c r="D107" s="16">
        <f t="shared" si="5"/>
        <v>-1875</v>
      </c>
      <c r="E107" s="21" t="s">
        <v>5795</v>
      </c>
      <c r="F107" s="17" t="str">
        <f t="shared" si="4"/>
        <v>insert into ins_premium_det (premium_rcv_code,assorted_code, rec_amount,premium_rcv_detail_code,remaining_amt, payrec, mode_code,coinsurance_code,class_cd,it_remarks) values</v>
      </c>
      <c r="G107" s="18" t="str">
        <f t="shared" si="6"/>
        <v>('12Feb250043','050000851009','-1875',(select max(to_number(i.premium_rcv_detail_code))+1
from ins_premium_det i),'-1875','-1875','02', '11000003','00','Request by Mr. Saqib Saleem 13-Feb-2025');</v>
      </c>
      <c r="H107" s="19" t="str">
        <f t="shared" si="7"/>
        <v>insert into ins_premium_det (premium_rcv_code,assorted_code, rec_amount,premium_rcv_detail_code,remaining_amt, payrec, mode_code,coinsurance_code,class_cd,it_remarks) values('12Feb250043','050000851009','-1875',(select max(to_number(i.premium_rcv_detail_code))+1
from ins_premium_det i),'-1875','-1875','02', '11000003','00','Request by Mr. Saqib Saleem 13-Feb-2025');</v>
      </c>
    </row>
    <row r="108" spans="1:8" ht="90">
      <c r="A108" s="12" t="s">
        <v>2593</v>
      </c>
      <c r="B108" s="15" t="str">
        <f>VLOOKUP(A108,policy!B:C,2,0)</f>
        <v>050000851016</v>
      </c>
      <c r="C108" s="12">
        <v>-2443</v>
      </c>
      <c r="D108" s="16">
        <f t="shared" si="5"/>
        <v>-2443</v>
      </c>
      <c r="E108" s="21" t="s">
        <v>5795</v>
      </c>
      <c r="F108" s="17" t="str">
        <f t="shared" si="4"/>
        <v>insert into ins_premium_det (premium_rcv_code,assorted_code, rec_amount,premium_rcv_detail_code,remaining_amt, payrec, mode_code,coinsurance_code,class_cd,it_remarks) values</v>
      </c>
      <c r="G108" s="18" t="str">
        <f t="shared" si="6"/>
        <v>('12Feb250043','050000851016','-2443',(select max(to_number(i.premium_rcv_detail_code))+1
from ins_premium_det i),'-2443','-2443','02', '11000003','00','Request by Mr. Saqib Saleem 13-Feb-2025');</v>
      </c>
      <c r="H108" s="19" t="str">
        <f t="shared" si="7"/>
        <v>insert into ins_premium_det (premium_rcv_code,assorted_code, rec_amount,premium_rcv_detail_code,remaining_amt, payrec, mode_code,coinsurance_code,class_cd,it_remarks) values('12Feb250043','050000851016','-2443',(select max(to_number(i.premium_rcv_detail_code))+1
from ins_premium_det i),'-2443','-2443','02', '11000003','00','Request by Mr. Saqib Saleem 13-Feb-2025');</v>
      </c>
    </row>
    <row r="109" spans="1:8" ht="90">
      <c r="A109" s="12" t="s">
        <v>2618</v>
      </c>
      <c r="B109" s="15" t="str">
        <f>VLOOKUP(A109,policy!B:C,2,0)</f>
        <v>050000851017</v>
      </c>
      <c r="C109" s="12">
        <v>-1425</v>
      </c>
      <c r="D109" s="16">
        <f t="shared" si="5"/>
        <v>-1425</v>
      </c>
      <c r="E109" s="21" t="s">
        <v>5795</v>
      </c>
      <c r="F109" s="17" t="str">
        <f t="shared" si="4"/>
        <v>insert into ins_premium_det (premium_rcv_code,assorted_code, rec_amount,premium_rcv_detail_code,remaining_amt, payrec, mode_code,coinsurance_code,class_cd,it_remarks) values</v>
      </c>
      <c r="G109" s="18" t="str">
        <f t="shared" si="6"/>
        <v>('12Feb250043','050000851017','-1425',(select max(to_number(i.premium_rcv_detail_code))+1
from ins_premium_det i),'-1425','-1425','02', '11000003','00','Request by Mr. Saqib Saleem 13-Feb-2025');</v>
      </c>
      <c r="H109" s="19" t="str">
        <f t="shared" si="7"/>
        <v>insert into ins_premium_det (premium_rcv_code,assorted_code, rec_amount,premium_rcv_detail_code,remaining_amt, payrec, mode_code,coinsurance_code,class_cd,it_remarks) values('12Feb250043','050000851017','-1425',(select max(to_number(i.premium_rcv_detail_code))+1
from ins_premium_det i),'-1425','-1425','02', '11000003','00','Request by Mr. Saqib Saleem 13-Feb-2025');</v>
      </c>
    </row>
    <row r="110" spans="1:8" ht="90">
      <c r="A110" s="12" t="s">
        <v>2653</v>
      </c>
      <c r="B110" s="15" t="str">
        <f>VLOOKUP(A110,policy!B:C,2,0)</f>
        <v>050000851019</v>
      </c>
      <c r="C110" s="12">
        <v>-1763</v>
      </c>
      <c r="D110" s="16">
        <f t="shared" si="5"/>
        <v>-1763</v>
      </c>
      <c r="E110" s="21" t="s">
        <v>5795</v>
      </c>
      <c r="F110" s="17" t="str">
        <f t="shared" si="4"/>
        <v>insert into ins_premium_det (premium_rcv_code,assorted_code, rec_amount,premium_rcv_detail_code,remaining_amt, payrec, mode_code,coinsurance_code,class_cd,it_remarks) values</v>
      </c>
      <c r="G110" s="18" t="str">
        <f t="shared" si="6"/>
        <v>('12Feb250043','050000851019','-1763',(select max(to_number(i.premium_rcv_detail_code))+1
from ins_premium_det i),'-1763','-1763','02', '11000003','00','Request by Mr. Saqib Saleem 13-Feb-2025');</v>
      </c>
      <c r="H110" s="19" t="str">
        <f t="shared" si="7"/>
        <v>insert into ins_premium_det (premium_rcv_code,assorted_code, rec_amount,premium_rcv_detail_code,remaining_amt, payrec, mode_code,coinsurance_code,class_cd,it_remarks) values('12Feb250043','050000851019','-1763',(select max(to_number(i.premium_rcv_detail_code))+1
from ins_premium_det i),'-1763','-1763','02', '11000003','00','Request by Mr. Saqib Saleem 13-Feb-2025');</v>
      </c>
    </row>
    <row r="111" spans="1:8" ht="90">
      <c r="A111" s="12" t="s">
        <v>2666</v>
      </c>
      <c r="B111" s="15" t="str">
        <f>VLOOKUP(A111,policy!B:C,2,0)</f>
        <v>050000851020</v>
      </c>
      <c r="C111" s="12">
        <v>-2700</v>
      </c>
      <c r="D111" s="16">
        <f t="shared" si="5"/>
        <v>-2700</v>
      </c>
      <c r="E111" s="21" t="s">
        <v>5795</v>
      </c>
      <c r="F111" s="17" t="str">
        <f t="shared" si="4"/>
        <v>insert into ins_premium_det (premium_rcv_code,assorted_code, rec_amount,premium_rcv_detail_code,remaining_amt, payrec, mode_code,coinsurance_code,class_cd,it_remarks) values</v>
      </c>
      <c r="G111" s="18" t="str">
        <f t="shared" si="6"/>
        <v>('12Feb250043','050000851020','-2700',(select max(to_number(i.premium_rcv_detail_code))+1
from ins_premium_det i),'-2700','-2700','02', '11000003','00','Request by Mr. Saqib Saleem 13-Feb-2025');</v>
      </c>
      <c r="H111" s="19" t="str">
        <f t="shared" si="7"/>
        <v>insert into ins_premium_det (premium_rcv_code,assorted_code, rec_amount,premium_rcv_detail_code,remaining_amt, payrec, mode_code,coinsurance_code,class_cd,it_remarks) values('12Feb250043','050000851020','-2700',(select max(to_number(i.premium_rcv_detail_code))+1
from ins_premium_det i),'-2700','-2700','02', '11000003','00','Request by Mr. Saqib Saleem 13-Feb-2025');</v>
      </c>
    </row>
    <row r="112" spans="1:8" ht="90">
      <c r="A112" s="12" t="s">
        <v>2679</v>
      </c>
      <c r="B112" s="15" t="str">
        <f>VLOOKUP(A112,policy!B:C,2,0)</f>
        <v>050000851021</v>
      </c>
      <c r="C112" s="12">
        <v>-1965</v>
      </c>
      <c r="D112" s="16">
        <f t="shared" si="5"/>
        <v>-1965</v>
      </c>
      <c r="E112" s="21" t="s">
        <v>5795</v>
      </c>
      <c r="F112" s="17" t="str">
        <f t="shared" si="4"/>
        <v>insert into ins_premium_det (premium_rcv_code,assorted_code, rec_amount,premium_rcv_detail_code,remaining_amt, payrec, mode_code,coinsurance_code,class_cd,it_remarks) values</v>
      </c>
      <c r="G112" s="18" t="str">
        <f t="shared" si="6"/>
        <v>('12Feb250043','050000851021','-1965',(select max(to_number(i.premium_rcv_detail_code))+1
from ins_premium_det i),'-1965','-1965','02', '11000003','00','Request by Mr. Saqib Saleem 13-Feb-2025');</v>
      </c>
      <c r="H112" s="19" t="str">
        <f t="shared" si="7"/>
        <v>insert into ins_premium_det (premium_rcv_code,assorted_code, rec_amount,premium_rcv_detail_code,remaining_amt, payrec, mode_code,coinsurance_code,class_cd,it_remarks) values('12Feb250043','050000851021','-1965',(select max(to_number(i.premium_rcv_detail_code))+1
from ins_premium_det i),'-1965','-1965','02', '11000003','00','Request by Mr. Saqib Saleem 13-Feb-2025');</v>
      </c>
    </row>
    <row r="113" spans="1:8" ht="90">
      <c r="A113" s="12" t="s">
        <v>2693</v>
      </c>
      <c r="B113" s="15" t="str">
        <f>VLOOKUP(A113,policy!B:C,2,0)</f>
        <v>050000851023</v>
      </c>
      <c r="C113" s="12">
        <v>-1913</v>
      </c>
      <c r="D113" s="16">
        <f t="shared" si="5"/>
        <v>-1913</v>
      </c>
      <c r="E113" s="21" t="s">
        <v>5795</v>
      </c>
      <c r="F113" s="17" t="str">
        <f t="shared" si="4"/>
        <v>insert into ins_premium_det (premium_rcv_code,assorted_code, rec_amount,premium_rcv_detail_code,remaining_amt, payrec, mode_code,coinsurance_code,class_cd,it_remarks) values</v>
      </c>
      <c r="G113" s="18" t="str">
        <f t="shared" si="6"/>
        <v>('12Feb250043','050000851023','-1913',(select max(to_number(i.premium_rcv_detail_code))+1
from ins_premium_det i),'-1913','-1913','02', '11000003','00','Request by Mr. Saqib Saleem 13-Feb-2025');</v>
      </c>
      <c r="H113" s="19" t="str">
        <f t="shared" si="7"/>
        <v>insert into ins_premium_det (premium_rcv_code,assorted_code, rec_amount,premium_rcv_detail_code,remaining_amt, payrec, mode_code,coinsurance_code,class_cd,it_remarks) values('12Feb250043','050000851023','-1913',(select max(to_number(i.premium_rcv_detail_code))+1
from ins_premium_det i),'-1913','-1913','02', '11000003','00','Request by Mr. Saqib Saleem 13-Feb-2025');</v>
      </c>
    </row>
    <row r="114" spans="1:8" ht="90">
      <c r="A114" s="12" t="s">
        <v>2706</v>
      </c>
      <c r="B114" s="15" t="str">
        <f>VLOOKUP(A114,policy!B:C,2,0)</f>
        <v>050000851024</v>
      </c>
      <c r="C114" s="12">
        <v>-1125</v>
      </c>
      <c r="D114" s="16">
        <f t="shared" si="5"/>
        <v>-1125</v>
      </c>
      <c r="E114" s="21" t="s">
        <v>5795</v>
      </c>
      <c r="F114" s="17" t="str">
        <f t="shared" si="4"/>
        <v>insert into ins_premium_det (premium_rcv_code,assorted_code, rec_amount,premium_rcv_detail_code,remaining_amt, payrec, mode_code,coinsurance_code,class_cd,it_remarks) values</v>
      </c>
      <c r="G114" s="18" t="str">
        <f t="shared" si="6"/>
        <v>('12Feb250043','050000851024','-1125',(select max(to_number(i.premium_rcv_detail_code))+1
from ins_premium_det i),'-1125','-1125','02', '11000003','00','Request by Mr. Saqib Saleem 13-Feb-2025');</v>
      </c>
      <c r="H114" s="19" t="str">
        <f t="shared" si="7"/>
        <v>insert into ins_premium_det (premium_rcv_code,assorted_code, rec_amount,premium_rcv_detail_code,remaining_amt, payrec, mode_code,coinsurance_code,class_cd,it_remarks) values('12Feb250043','050000851024','-1125',(select max(to_number(i.premium_rcv_detail_code))+1
from ins_premium_det i),'-1125','-1125','02', '11000003','00','Request by Mr. Saqib Saleem 13-Feb-2025');</v>
      </c>
    </row>
    <row r="115" spans="1:8" ht="90">
      <c r="A115" s="12" t="s">
        <v>2721</v>
      </c>
      <c r="B115" s="15" t="str">
        <f>VLOOKUP(A115,policy!B:C,2,0)</f>
        <v>050000851025</v>
      </c>
      <c r="C115" s="12">
        <v>-1898</v>
      </c>
      <c r="D115" s="16">
        <f t="shared" si="5"/>
        <v>-1898</v>
      </c>
      <c r="E115" s="21" t="s">
        <v>5795</v>
      </c>
      <c r="F115" s="17" t="str">
        <f t="shared" si="4"/>
        <v>insert into ins_premium_det (premium_rcv_code,assorted_code, rec_amount,premium_rcv_detail_code,remaining_amt, payrec, mode_code,coinsurance_code,class_cd,it_remarks) values</v>
      </c>
      <c r="G115" s="18" t="str">
        <f t="shared" si="6"/>
        <v>('12Feb250043','050000851025','-1898',(select max(to_number(i.premium_rcv_detail_code))+1
from ins_premium_det i),'-1898','-1898','02', '11000003','00','Request by Mr. Saqib Saleem 13-Feb-2025');</v>
      </c>
      <c r="H115" s="19" t="str">
        <f t="shared" si="7"/>
        <v>insert into ins_premium_det (premium_rcv_code,assorted_code, rec_amount,premium_rcv_detail_code,remaining_amt, payrec, mode_code,coinsurance_code,class_cd,it_remarks) values('12Feb250043','050000851025','-1898',(select max(to_number(i.premium_rcv_detail_code))+1
from ins_premium_det i),'-1898','-1898','02', '11000003','00','Request by Mr. Saqib Saleem 13-Feb-2025');</v>
      </c>
    </row>
    <row r="116" spans="1:8" ht="90">
      <c r="A116" s="12" t="s">
        <v>2742</v>
      </c>
      <c r="B116" s="15" t="str">
        <f>VLOOKUP(A116,policy!B:C,2,0)</f>
        <v>050000851026</v>
      </c>
      <c r="C116" s="12">
        <v>-1125</v>
      </c>
      <c r="D116" s="16">
        <f t="shared" si="5"/>
        <v>-1125</v>
      </c>
      <c r="E116" s="21" t="s">
        <v>5795</v>
      </c>
      <c r="F116" s="17" t="str">
        <f t="shared" si="4"/>
        <v>insert into ins_premium_det (premium_rcv_code,assorted_code, rec_amount,premium_rcv_detail_code,remaining_amt, payrec, mode_code,coinsurance_code,class_cd,it_remarks) values</v>
      </c>
      <c r="G116" s="18" t="str">
        <f t="shared" si="6"/>
        <v>('12Feb250043','050000851026','-1125',(select max(to_number(i.premium_rcv_detail_code))+1
from ins_premium_det i),'-1125','-1125','02', '11000003','00','Request by Mr. Saqib Saleem 13-Feb-2025');</v>
      </c>
      <c r="H116" s="19" t="str">
        <f t="shared" si="7"/>
        <v>insert into ins_premium_det (premium_rcv_code,assorted_code, rec_amount,premium_rcv_detail_code,remaining_amt, payrec, mode_code,coinsurance_code,class_cd,it_remarks) values('12Feb250043','050000851026','-1125',(select max(to_number(i.premium_rcv_detail_code))+1
from ins_premium_det i),'-1125','-1125','02', '11000003','00','Request by Mr. Saqib Saleem 13-Feb-2025');</v>
      </c>
    </row>
    <row r="117" spans="1:8" ht="90">
      <c r="A117" s="12" t="s">
        <v>2754</v>
      </c>
      <c r="B117" s="15" t="str">
        <f>VLOOKUP(A117,policy!B:C,2,0)</f>
        <v>050000851027</v>
      </c>
      <c r="C117" s="12">
        <v>-1335</v>
      </c>
      <c r="D117" s="16">
        <f t="shared" si="5"/>
        <v>-1335</v>
      </c>
      <c r="E117" s="21" t="s">
        <v>5795</v>
      </c>
      <c r="F117" s="17" t="str">
        <f t="shared" si="4"/>
        <v>insert into ins_premium_det (premium_rcv_code,assorted_code, rec_amount,premium_rcv_detail_code,remaining_amt, payrec, mode_code,coinsurance_code,class_cd,it_remarks) values</v>
      </c>
      <c r="G117" s="18" t="str">
        <f t="shared" si="6"/>
        <v>('12Feb250043','050000851027','-1335',(select max(to_number(i.premium_rcv_detail_code))+1
from ins_premium_det i),'-1335','-1335','02', '11000003','00','Request by Mr. Saqib Saleem 13-Feb-2025');</v>
      </c>
      <c r="H117" s="19" t="str">
        <f t="shared" si="7"/>
        <v>insert into ins_premium_det (premium_rcv_code,assorted_code, rec_amount,premium_rcv_detail_code,remaining_amt, payrec, mode_code,coinsurance_code,class_cd,it_remarks) values('12Feb250043','050000851027','-1335',(select max(to_number(i.premium_rcv_detail_code))+1
from ins_premium_det i),'-1335','-1335','02', '11000003','00','Request by Mr. Saqib Saleem 13-Feb-2025');</v>
      </c>
    </row>
    <row r="118" spans="1:8" ht="90">
      <c r="A118" s="12" t="s">
        <v>2778</v>
      </c>
      <c r="B118" s="15" t="str">
        <f>VLOOKUP(A118,policy!B:C,2,0)</f>
        <v>050000851028</v>
      </c>
      <c r="C118" s="12">
        <v>-863</v>
      </c>
      <c r="D118" s="16">
        <f t="shared" si="5"/>
        <v>-863</v>
      </c>
      <c r="E118" s="21" t="s">
        <v>5795</v>
      </c>
      <c r="F118" s="17" t="str">
        <f t="shared" si="4"/>
        <v>insert into ins_premium_det (premium_rcv_code,assorted_code, rec_amount,premium_rcv_detail_code,remaining_amt, payrec, mode_code,coinsurance_code,class_cd,it_remarks) values</v>
      </c>
      <c r="G118" s="18" t="str">
        <f t="shared" si="6"/>
        <v>('12Feb250043','050000851028','-863',(select max(to_number(i.premium_rcv_detail_code))+1
from ins_premium_det i),'-863','-863','02', '11000003','00','Request by Mr. Saqib Saleem 13-Feb-2025');</v>
      </c>
      <c r="H118" s="19" t="str">
        <f t="shared" si="7"/>
        <v>insert into ins_premium_det (premium_rcv_code,assorted_code, rec_amount,premium_rcv_detail_code,remaining_amt, payrec, mode_code,coinsurance_code,class_cd,it_remarks) values('12Feb250043','050000851028','-863',(select max(to_number(i.premium_rcv_detail_code))+1
from ins_premium_det i),'-863','-863','02', '11000003','00','Request by Mr. Saqib Saleem 13-Feb-2025');</v>
      </c>
    </row>
    <row r="119" spans="1:8" ht="90">
      <c r="A119" s="12" t="s">
        <v>2789</v>
      </c>
      <c r="B119" s="15" t="str">
        <f>VLOOKUP(A119,policy!B:C,2,0)</f>
        <v>050000851033</v>
      </c>
      <c r="C119" s="12">
        <v>-1475</v>
      </c>
      <c r="D119" s="16">
        <f t="shared" si="5"/>
        <v>-1475</v>
      </c>
      <c r="E119" s="21" t="s">
        <v>5795</v>
      </c>
      <c r="F119" s="17" t="str">
        <f t="shared" si="4"/>
        <v>insert into ins_premium_det (premium_rcv_code,assorted_code, rec_amount,premium_rcv_detail_code,remaining_amt, payrec, mode_code,coinsurance_code,class_cd,it_remarks) values</v>
      </c>
      <c r="G119" s="18" t="str">
        <f t="shared" si="6"/>
        <v>('12Feb250043','050000851033','-1475',(select max(to_number(i.premium_rcv_detail_code))+1
from ins_premium_det i),'-1475','-1475','02', '11000003','00','Request by Mr. Saqib Saleem 13-Feb-2025');</v>
      </c>
      <c r="H119" s="19" t="str">
        <f t="shared" si="7"/>
        <v>insert into ins_premium_det (premium_rcv_code,assorted_code, rec_amount,premium_rcv_detail_code,remaining_amt, payrec, mode_code,coinsurance_code,class_cd,it_remarks) values('12Feb250043','050000851033','-1475',(select max(to_number(i.premium_rcv_detail_code))+1
from ins_premium_det i),'-1475','-1475','02', '11000003','00','Request by Mr. Saqib Saleem 13-Feb-2025');</v>
      </c>
    </row>
    <row r="120" spans="1:8" ht="90">
      <c r="A120" s="12" t="s">
        <v>2800</v>
      </c>
      <c r="B120" s="15" t="str">
        <f>VLOOKUP(A120,policy!B:C,2,0)</f>
        <v>050000851036</v>
      </c>
      <c r="C120" s="12">
        <v>-4072</v>
      </c>
      <c r="D120" s="16">
        <f t="shared" si="5"/>
        <v>-4072</v>
      </c>
      <c r="E120" s="21" t="s">
        <v>5795</v>
      </c>
      <c r="F120" s="17" t="str">
        <f t="shared" si="4"/>
        <v>insert into ins_premium_det (premium_rcv_code,assorted_code, rec_amount,premium_rcv_detail_code,remaining_amt, payrec, mode_code,coinsurance_code,class_cd,it_remarks) values</v>
      </c>
      <c r="G120" s="18" t="str">
        <f t="shared" si="6"/>
        <v>('12Feb250043','050000851036','-4072',(select max(to_number(i.premium_rcv_detail_code))+1
from ins_premium_det i),'-4072','-4072','02', '11000003','00','Request by Mr. Saqib Saleem 13-Feb-2025');</v>
      </c>
      <c r="H120" s="19" t="str">
        <f t="shared" si="7"/>
        <v>insert into ins_premium_det (premium_rcv_code,assorted_code, rec_amount,premium_rcv_detail_code,remaining_amt, payrec, mode_code,coinsurance_code,class_cd,it_remarks) values('12Feb250043','050000851036','-4072',(select max(to_number(i.premium_rcv_detail_code))+1
from ins_premium_det i),'-4072','-4072','02', '11000003','00','Request by Mr. Saqib Saleem 13-Feb-2025');</v>
      </c>
    </row>
    <row r="121" spans="1:8" ht="90">
      <c r="A121" s="12" t="s">
        <v>2834</v>
      </c>
      <c r="B121" s="15" t="str">
        <f>VLOOKUP(A121,policy!B:C,2,0)</f>
        <v>050000851037</v>
      </c>
      <c r="C121" s="12">
        <v>-3000</v>
      </c>
      <c r="D121" s="16">
        <f t="shared" si="5"/>
        <v>-3000</v>
      </c>
      <c r="E121" s="21" t="s">
        <v>5795</v>
      </c>
      <c r="F121" s="17" t="str">
        <f t="shared" si="4"/>
        <v>insert into ins_premium_det (premium_rcv_code,assorted_code, rec_amount,premium_rcv_detail_code,remaining_amt, payrec, mode_code,coinsurance_code,class_cd,it_remarks) values</v>
      </c>
      <c r="G121" s="18" t="str">
        <f t="shared" si="6"/>
        <v>('12Feb250043','050000851037','-3000',(select max(to_number(i.premium_rcv_detail_code))+1
from ins_premium_det i),'-3000','-3000','02', '11000003','00','Request by Mr. Saqib Saleem 13-Feb-2025');</v>
      </c>
      <c r="H121" s="19" t="str">
        <f t="shared" si="7"/>
        <v>insert into ins_premium_det (premium_rcv_code,assorted_code, rec_amount,premium_rcv_detail_code,remaining_amt, payrec, mode_code,coinsurance_code,class_cd,it_remarks) values('12Feb250043','050000851037','-3000',(select max(to_number(i.premium_rcv_detail_code))+1
from ins_premium_det i),'-3000','-3000','02', '11000003','00','Request by Mr. Saqib Saleem 13-Feb-2025');</v>
      </c>
    </row>
    <row r="122" spans="1:8" ht="90">
      <c r="A122" s="12" t="s">
        <v>2848</v>
      </c>
      <c r="B122" s="15" t="str">
        <f>VLOOKUP(A122,policy!B:C,2,0)</f>
        <v>050000851038</v>
      </c>
      <c r="C122" s="12">
        <v>-2700</v>
      </c>
      <c r="D122" s="16">
        <f t="shared" si="5"/>
        <v>-2700</v>
      </c>
      <c r="E122" s="21" t="s">
        <v>5795</v>
      </c>
      <c r="F122" s="17" t="str">
        <f t="shared" si="4"/>
        <v>insert into ins_premium_det (premium_rcv_code,assorted_code, rec_amount,premium_rcv_detail_code,remaining_amt, payrec, mode_code,coinsurance_code,class_cd,it_remarks) values</v>
      </c>
      <c r="G122" s="18" t="str">
        <f t="shared" si="6"/>
        <v>('12Feb250043','050000851038','-2700',(select max(to_number(i.premium_rcv_detail_code))+1
from ins_premium_det i),'-2700','-2700','02', '11000003','00','Request by Mr. Saqib Saleem 13-Feb-2025');</v>
      </c>
      <c r="H122" s="19" t="str">
        <f t="shared" si="7"/>
        <v>insert into ins_premium_det (premium_rcv_code,assorted_code, rec_amount,premium_rcv_detail_code,remaining_amt, payrec, mode_code,coinsurance_code,class_cd,it_remarks) values('12Feb250043','050000851038','-2700',(select max(to_number(i.premium_rcv_detail_code))+1
from ins_premium_det i),'-2700','-2700','02', '11000003','00','Request by Mr. Saqib Saleem 13-Feb-2025');</v>
      </c>
    </row>
    <row r="123" spans="1:8" ht="90">
      <c r="A123" s="12" t="s">
        <v>2861</v>
      </c>
      <c r="B123" s="15" t="str">
        <f>VLOOKUP(A123,policy!B:C,2,0)</f>
        <v>050000851043</v>
      </c>
      <c r="C123" s="12">
        <v>-2363</v>
      </c>
      <c r="D123" s="16">
        <f t="shared" si="5"/>
        <v>-2363</v>
      </c>
      <c r="E123" s="21" t="s">
        <v>5795</v>
      </c>
      <c r="F123" s="17" t="str">
        <f t="shared" si="4"/>
        <v>insert into ins_premium_det (premium_rcv_code,assorted_code, rec_amount,premium_rcv_detail_code,remaining_amt, payrec, mode_code,coinsurance_code,class_cd,it_remarks) values</v>
      </c>
      <c r="G123" s="18" t="str">
        <f t="shared" si="6"/>
        <v>('12Feb250043','050000851043','-2363',(select max(to_number(i.premium_rcv_detail_code))+1
from ins_premium_det i),'-2363','-2363','02', '11000003','00','Request by Mr. Saqib Saleem 13-Feb-2025');</v>
      </c>
      <c r="H123" s="19" t="str">
        <f t="shared" si="7"/>
        <v>insert into ins_premium_det (premium_rcv_code,assorted_code, rec_amount,premium_rcv_detail_code,remaining_amt, payrec, mode_code,coinsurance_code,class_cd,it_remarks) values('12Feb250043','050000851043','-2363',(select max(to_number(i.premium_rcv_detail_code))+1
from ins_premium_det i),'-2363','-2363','02', '11000003','00','Request by Mr. Saqib Saleem 13-Feb-2025');</v>
      </c>
    </row>
    <row r="124" spans="1:8" ht="90">
      <c r="A124" s="12" t="s">
        <v>2874</v>
      </c>
      <c r="B124" s="15" t="str">
        <f>VLOOKUP(A124,policy!B:C,2,0)</f>
        <v>050000851046</v>
      </c>
      <c r="C124" s="12">
        <v>-1425</v>
      </c>
      <c r="D124" s="16">
        <f t="shared" si="5"/>
        <v>-1425</v>
      </c>
      <c r="E124" s="21" t="s">
        <v>5795</v>
      </c>
      <c r="F124" s="17" t="str">
        <f t="shared" si="4"/>
        <v>insert into ins_premium_det (premium_rcv_code,assorted_code, rec_amount,premium_rcv_detail_code,remaining_amt, payrec, mode_code,coinsurance_code,class_cd,it_remarks) values</v>
      </c>
      <c r="G124" s="18" t="str">
        <f t="shared" si="6"/>
        <v>('12Feb250043','050000851046','-1425',(select max(to_number(i.premium_rcv_detail_code))+1
from ins_premium_det i),'-1425','-1425','02', '11000003','00','Request by Mr. Saqib Saleem 13-Feb-2025');</v>
      </c>
      <c r="H124" s="19" t="str">
        <f t="shared" si="7"/>
        <v>insert into ins_premium_det (premium_rcv_code,assorted_code, rec_amount,premium_rcv_detail_code,remaining_amt, payrec, mode_code,coinsurance_code,class_cd,it_remarks) values('12Feb250043','050000851046','-1425',(select max(to_number(i.premium_rcv_detail_code))+1
from ins_premium_det i),'-1425','-1425','02', '11000003','00','Request by Mr. Saqib Saleem 13-Feb-2025');</v>
      </c>
    </row>
    <row r="125" spans="1:8" ht="90">
      <c r="A125" s="12" t="s">
        <v>2890</v>
      </c>
      <c r="B125" s="15" t="str">
        <f>VLOOKUP(A125,policy!B:C,2,0)</f>
        <v>050000851047</v>
      </c>
      <c r="C125" s="12">
        <v>-2074</v>
      </c>
      <c r="D125" s="16">
        <f t="shared" si="5"/>
        <v>-2074</v>
      </c>
      <c r="E125" s="21" t="s">
        <v>5795</v>
      </c>
      <c r="F125" s="17" t="str">
        <f t="shared" si="4"/>
        <v>insert into ins_premium_det (premium_rcv_code,assorted_code, rec_amount,premium_rcv_detail_code,remaining_amt, payrec, mode_code,coinsurance_code,class_cd,it_remarks) values</v>
      </c>
      <c r="G125" s="18" t="str">
        <f t="shared" si="6"/>
        <v>('12Feb250043','050000851047','-2074',(select max(to_number(i.premium_rcv_detail_code))+1
from ins_premium_det i),'-2074','-2074','02', '11000003','00','Request by Mr. Saqib Saleem 13-Feb-2025');</v>
      </c>
      <c r="H125" s="19" t="str">
        <f t="shared" si="7"/>
        <v>insert into ins_premium_det (premium_rcv_code,assorted_code, rec_amount,premium_rcv_detail_code,remaining_amt, payrec, mode_code,coinsurance_code,class_cd,it_remarks) values('12Feb250043','050000851047','-2074',(select max(to_number(i.premium_rcv_detail_code))+1
from ins_premium_det i),'-2074','-2074','02', '11000003','00','Request by Mr. Saqib Saleem 13-Feb-2025');</v>
      </c>
    </row>
    <row r="126" spans="1:8" ht="90">
      <c r="A126" s="12" t="s">
        <v>2932</v>
      </c>
      <c r="B126" s="15" t="str">
        <f>VLOOKUP(A126,policy!B:C,2,0)</f>
        <v>050000851051</v>
      </c>
      <c r="C126" s="12">
        <v>-4024</v>
      </c>
      <c r="D126" s="16">
        <f t="shared" si="5"/>
        <v>-4024</v>
      </c>
      <c r="E126" s="21" t="s">
        <v>5795</v>
      </c>
      <c r="F126" s="17" t="str">
        <f t="shared" si="4"/>
        <v>insert into ins_premium_det (premium_rcv_code,assorted_code, rec_amount,premium_rcv_detail_code,remaining_amt, payrec, mode_code,coinsurance_code,class_cd,it_remarks) values</v>
      </c>
      <c r="G126" s="18" t="str">
        <f t="shared" si="6"/>
        <v>('12Feb250043','050000851051','-4024',(select max(to_number(i.premium_rcv_detail_code))+1
from ins_premium_det i),'-4024','-4024','02', '11000003','00','Request by Mr. Saqib Saleem 13-Feb-2025');</v>
      </c>
      <c r="H126" s="19" t="str">
        <f t="shared" si="7"/>
        <v>insert into ins_premium_det (premium_rcv_code,assorted_code, rec_amount,premium_rcv_detail_code,remaining_amt, payrec, mode_code,coinsurance_code,class_cd,it_remarks) values('12Feb250043','050000851051','-4024',(select max(to_number(i.premium_rcv_detail_code))+1
from ins_premium_det i),'-4024','-4024','02', '11000003','00','Request by Mr. Saqib Saleem 13-Feb-2025');</v>
      </c>
    </row>
    <row r="127" spans="1:8" ht="90">
      <c r="A127" s="12" t="s">
        <v>2945</v>
      </c>
      <c r="B127" s="15" t="str">
        <f>VLOOKUP(A127,policy!B:C,2,0)</f>
        <v>050000851054</v>
      </c>
      <c r="C127" s="12">
        <v>-1260</v>
      </c>
      <c r="D127" s="16">
        <f t="shared" si="5"/>
        <v>-1260</v>
      </c>
      <c r="E127" s="21" t="s">
        <v>5795</v>
      </c>
      <c r="F127" s="17" t="str">
        <f t="shared" si="4"/>
        <v>insert into ins_premium_det (premium_rcv_code,assorted_code, rec_amount,premium_rcv_detail_code,remaining_amt, payrec, mode_code,coinsurance_code,class_cd,it_remarks) values</v>
      </c>
      <c r="G127" s="18" t="str">
        <f t="shared" si="6"/>
        <v>('12Feb250043','050000851054','-1260',(select max(to_number(i.premium_rcv_detail_code))+1
from ins_premium_det i),'-1260','-1260','02', '11000003','00','Request by Mr. Saqib Saleem 13-Feb-2025');</v>
      </c>
      <c r="H127" s="19" t="str">
        <f t="shared" si="7"/>
        <v>insert into ins_premium_det (premium_rcv_code,assorted_code, rec_amount,premium_rcv_detail_code,remaining_amt, payrec, mode_code,coinsurance_code,class_cd,it_remarks) values('12Feb250043','050000851054','-1260',(select max(to_number(i.premium_rcv_detail_code))+1
from ins_premium_det i),'-1260','-1260','02', '11000003','00','Request by Mr. Saqib Saleem 13-Feb-2025');</v>
      </c>
    </row>
    <row r="128" spans="1:8" ht="90">
      <c r="A128" s="12" t="s">
        <v>2958</v>
      </c>
      <c r="B128" s="15" t="str">
        <f>VLOOKUP(A128,policy!B:C,2,0)</f>
        <v>050000851055</v>
      </c>
      <c r="C128" s="12">
        <v>-1521</v>
      </c>
      <c r="D128" s="16">
        <f t="shared" si="5"/>
        <v>-1521</v>
      </c>
      <c r="E128" s="21" t="s">
        <v>5795</v>
      </c>
      <c r="F128" s="17" t="str">
        <f t="shared" si="4"/>
        <v>insert into ins_premium_det (premium_rcv_code,assorted_code, rec_amount,premium_rcv_detail_code,remaining_amt, payrec, mode_code,coinsurance_code,class_cd,it_remarks) values</v>
      </c>
      <c r="G128" s="18" t="str">
        <f t="shared" si="6"/>
        <v>('12Feb250043','050000851055','-1521',(select max(to_number(i.premium_rcv_detail_code))+1
from ins_premium_det i),'-1521','-1521','02', '11000003','00','Request by Mr. Saqib Saleem 13-Feb-2025');</v>
      </c>
      <c r="H128" s="19" t="str">
        <f t="shared" si="7"/>
        <v>insert into ins_premium_det (premium_rcv_code,assorted_code, rec_amount,premium_rcv_detail_code,remaining_amt, payrec, mode_code,coinsurance_code,class_cd,it_remarks) values('12Feb250043','050000851055','-1521',(select max(to_number(i.premium_rcv_detail_code))+1
from ins_premium_det i),'-1521','-1521','02', '11000003','00','Request by Mr. Saqib Saleem 13-Feb-2025');</v>
      </c>
    </row>
    <row r="129" spans="1:8" ht="90">
      <c r="A129" s="12" t="s">
        <v>2981</v>
      </c>
      <c r="B129" s="15" t="str">
        <f>VLOOKUP(A129,policy!B:C,2,0)</f>
        <v>050000851056</v>
      </c>
      <c r="C129" s="12">
        <v>-1335</v>
      </c>
      <c r="D129" s="16">
        <f t="shared" si="5"/>
        <v>-1335</v>
      </c>
      <c r="E129" s="21" t="s">
        <v>5795</v>
      </c>
      <c r="F129" s="17" t="str">
        <f t="shared" si="4"/>
        <v>insert into ins_premium_det (premium_rcv_code,assorted_code, rec_amount,premium_rcv_detail_code,remaining_amt, payrec, mode_code,coinsurance_code,class_cd,it_remarks) values</v>
      </c>
      <c r="G129" s="18" t="str">
        <f t="shared" si="6"/>
        <v>('12Feb250043','050000851056','-1335',(select max(to_number(i.premium_rcv_detail_code))+1
from ins_premium_det i),'-1335','-1335','02', '11000003','00','Request by Mr. Saqib Saleem 13-Feb-2025');</v>
      </c>
      <c r="H129" s="19" t="str">
        <f t="shared" si="7"/>
        <v>insert into ins_premium_det (premium_rcv_code,assorted_code, rec_amount,premium_rcv_detail_code,remaining_amt, payrec, mode_code,coinsurance_code,class_cd,it_remarks) values('12Feb250043','050000851056','-1335',(select max(to_number(i.premium_rcv_detail_code))+1
from ins_premium_det i),'-1335','-1335','02', '11000003','00','Request by Mr. Saqib Saleem 13-Feb-2025');</v>
      </c>
    </row>
    <row r="130" spans="1:8" ht="90">
      <c r="A130" s="12" t="s">
        <v>2995</v>
      </c>
      <c r="B130" s="15" t="str">
        <f>VLOOKUP(A130,policy!B:C,2,0)</f>
        <v>050000851058</v>
      </c>
      <c r="C130" s="12">
        <v>-975</v>
      </c>
      <c r="D130" s="16">
        <f t="shared" si="5"/>
        <v>-975</v>
      </c>
      <c r="E130" s="21" t="s">
        <v>5795</v>
      </c>
      <c r="F130" s="17" t="str">
        <f t="shared" ref="F130:F155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18" t="str">
        <f t="shared" si="6"/>
        <v>('12Feb250043','050000851058','-975',(select max(to_number(i.premium_rcv_detail_code))+1
from ins_premium_det i),'-975','-975','02', '11000003','00','Request by Mr. Saqib Saleem 13-Feb-2025');</v>
      </c>
      <c r="H130" s="19" t="str">
        <f t="shared" si="7"/>
        <v>insert into ins_premium_det (premium_rcv_code,assorted_code, rec_amount,premium_rcv_detail_code,remaining_amt, payrec, mode_code,coinsurance_code,class_cd,it_remarks) values('12Feb250043','050000851058','-975',(select max(to_number(i.premium_rcv_detail_code))+1
from ins_premium_det i),'-975','-975','02', '11000003','00','Request by Mr. Saqib Saleem 13-Feb-2025');</v>
      </c>
    </row>
    <row r="131" spans="1:8" ht="90">
      <c r="A131" s="12" t="s">
        <v>3008</v>
      </c>
      <c r="B131" s="15" t="str">
        <f>VLOOKUP(A131,policy!B:C,2,0)</f>
        <v>050000851060</v>
      </c>
      <c r="C131" s="12">
        <v>-1335</v>
      </c>
      <c r="D131" s="16">
        <f t="shared" ref="D131:D155" si="9">ROUND(C131,0)</f>
        <v>-1335</v>
      </c>
      <c r="E131" s="21" t="s">
        <v>5795</v>
      </c>
      <c r="F131" s="17" t="str">
        <f t="shared" si="8"/>
        <v>insert into ins_premium_det (premium_rcv_code,assorted_code, rec_amount,premium_rcv_detail_code,remaining_amt, payrec, mode_code,coinsurance_code,class_cd,it_remarks) values</v>
      </c>
      <c r="G131" s="18" t="str">
        <f t="shared" ref="G131:G155" si="10">"('"&amp;E131&amp;"','"&amp;B131&amp;"','"&amp;D131&amp;"',(select max(to_number(i.premium_rcv_detail_code))+1
from ins_premium_det i),'"&amp;D131&amp;"','"&amp;D131&amp;"','02', '11000003','00','Request by Mr. Saqib Saleem 13-Feb-2025');"</f>
        <v>('12Feb250043','050000851060','-1335',(select max(to_number(i.premium_rcv_detail_code))+1
from ins_premium_det i),'-1335','-1335','02', '11000003','00','Request by Mr. Saqib Saleem 13-Feb-2025');</v>
      </c>
      <c r="H131" s="19" t="str">
        <f t="shared" ref="H131:H155" si="11">F131&amp;G131</f>
        <v>insert into ins_premium_det (premium_rcv_code,assorted_code, rec_amount,premium_rcv_detail_code,remaining_amt, payrec, mode_code,coinsurance_code,class_cd,it_remarks) values('12Feb250043','050000851060','-1335',(select max(to_number(i.premium_rcv_detail_code))+1
from ins_premium_det i),'-1335','-1335','02', '11000003','00','Request by Mr. Saqib Saleem 13-Feb-2025');</v>
      </c>
    </row>
    <row r="132" spans="1:8" ht="90">
      <c r="A132" s="12" t="s">
        <v>3021</v>
      </c>
      <c r="B132" s="15" t="str">
        <f>VLOOKUP(A132,policy!B:C,2,0)</f>
        <v>050000851061</v>
      </c>
      <c r="C132" s="12">
        <v>-1290</v>
      </c>
      <c r="D132" s="16">
        <f t="shared" si="9"/>
        <v>-1290</v>
      </c>
      <c r="E132" s="21" t="s">
        <v>5795</v>
      </c>
      <c r="F132" s="17" t="str">
        <f t="shared" si="8"/>
        <v>insert into ins_premium_det (premium_rcv_code,assorted_code, rec_amount,premium_rcv_detail_code,remaining_amt, payrec, mode_code,coinsurance_code,class_cd,it_remarks) values</v>
      </c>
      <c r="G132" s="18" t="str">
        <f t="shared" si="10"/>
        <v>('12Feb250043','050000851061','-1290',(select max(to_number(i.premium_rcv_detail_code))+1
from ins_premium_det i),'-1290','-1290','02', '11000003','00','Request by Mr. Saqib Saleem 13-Feb-2025');</v>
      </c>
      <c r="H132" s="19" t="str">
        <f t="shared" si="11"/>
        <v>insert into ins_premium_det (premium_rcv_code,assorted_code, rec_amount,premium_rcv_detail_code,remaining_amt, payrec, mode_code,coinsurance_code,class_cd,it_remarks) values('12Feb250043','050000851061','-1290',(select max(to_number(i.premium_rcv_detail_code))+1
from ins_premium_det i),'-1290','-1290','02', '11000003','00','Request by Mr. Saqib Saleem 13-Feb-2025');</v>
      </c>
    </row>
    <row r="133" spans="1:8" ht="90">
      <c r="A133" s="12" t="s">
        <v>3071</v>
      </c>
      <c r="B133" s="15" t="str">
        <f>VLOOKUP(A133,policy!B:C,2,0)</f>
        <v>050000851063</v>
      </c>
      <c r="C133" s="12">
        <v>-1655</v>
      </c>
      <c r="D133" s="16">
        <f t="shared" si="9"/>
        <v>-1655</v>
      </c>
      <c r="E133" s="21" t="s">
        <v>5795</v>
      </c>
      <c r="F133" s="17" t="str">
        <f t="shared" si="8"/>
        <v>insert into ins_premium_det (premium_rcv_code,assorted_code, rec_amount,premium_rcv_detail_code,remaining_amt, payrec, mode_code,coinsurance_code,class_cd,it_remarks) values</v>
      </c>
      <c r="G133" s="18" t="str">
        <f t="shared" si="10"/>
        <v>('12Feb250043','050000851063','-1655',(select max(to_number(i.premium_rcv_detail_code))+1
from ins_premium_det i),'-1655','-1655','02', '11000003','00','Request by Mr. Saqib Saleem 13-Feb-2025');</v>
      </c>
      <c r="H133" s="19" t="str">
        <f t="shared" si="11"/>
        <v>insert into ins_premium_det (premium_rcv_code,assorted_code, rec_amount,premium_rcv_detail_code,remaining_amt, payrec, mode_code,coinsurance_code,class_cd,it_remarks) values('12Feb250043','050000851063','-1655',(select max(to_number(i.premium_rcv_detail_code))+1
from ins_premium_det i),'-1655','-1655','02', '11000003','00','Request by Mr. Saqib Saleem 13-Feb-2025');</v>
      </c>
    </row>
    <row r="134" spans="1:8" ht="90">
      <c r="A134" s="12" t="s">
        <v>3109</v>
      </c>
      <c r="B134" s="15" t="str">
        <f>VLOOKUP(A134,policy!B:C,2,0)</f>
        <v>050000851067</v>
      </c>
      <c r="C134" s="12">
        <v>-3100</v>
      </c>
      <c r="D134" s="16">
        <f t="shared" si="9"/>
        <v>-3100</v>
      </c>
      <c r="E134" s="21" t="s">
        <v>5795</v>
      </c>
      <c r="F134" s="17" t="str">
        <f t="shared" si="8"/>
        <v>insert into ins_premium_det (premium_rcv_code,assorted_code, rec_amount,premium_rcv_detail_code,remaining_amt, payrec, mode_code,coinsurance_code,class_cd,it_remarks) values</v>
      </c>
      <c r="G134" s="18" t="str">
        <f t="shared" si="10"/>
        <v>('12Feb250043','050000851067','-3100',(select max(to_number(i.premium_rcv_detail_code))+1
from ins_premium_det i),'-3100','-3100','02', '11000003','00','Request by Mr. Saqib Saleem 13-Feb-2025');</v>
      </c>
      <c r="H134" s="19" t="str">
        <f t="shared" si="11"/>
        <v>insert into ins_premium_det (premium_rcv_code,assorted_code, rec_amount,premium_rcv_detail_code,remaining_amt, payrec, mode_code,coinsurance_code,class_cd,it_remarks) values('12Feb250043','050000851067','-3100',(select max(to_number(i.premium_rcv_detail_code))+1
from ins_premium_det i),'-3100','-3100','02', '11000003','00','Request by Mr. Saqib Saleem 13-Feb-2025');</v>
      </c>
    </row>
    <row r="135" spans="1:8" ht="90">
      <c r="A135" s="12" t="s">
        <v>3122</v>
      </c>
      <c r="B135" s="15" t="str">
        <f>VLOOKUP(A135,policy!B:C,2,0)</f>
        <v>050000851068</v>
      </c>
      <c r="C135" s="12">
        <v>-2200</v>
      </c>
      <c r="D135" s="16">
        <f t="shared" si="9"/>
        <v>-2200</v>
      </c>
      <c r="E135" s="21" t="s">
        <v>5795</v>
      </c>
      <c r="F135" s="17" t="str">
        <f t="shared" si="8"/>
        <v>insert into ins_premium_det (premium_rcv_code,assorted_code, rec_amount,premium_rcv_detail_code,remaining_amt, payrec, mode_code,coinsurance_code,class_cd,it_remarks) values</v>
      </c>
      <c r="G135" s="18" t="str">
        <f t="shared" si="10"/>
        <v>('12Feb250043','050000851068','-2200',(select max(to_number(i.premium_rcv_detail_code))+1
from ins_premium_det i),'-2200','-2200','02', '11000003','00','Request by Mr. Saqib Saleem 13-Feb-2025');</v>
      </c>
      <c r="H135" s="19" t="str">
        <f t="shared" si="11"/>
        <v>insert into ins_premium_det (premium_rcv_code,assorted_code, rec_amount,premium_rcv_detail_code,remaining_amt, payrec, mode_code,coinsurance_code,class_cd,it_remarks) values('12Feb250043','050000851068','-2200',(select max(to_number(i.premium_rcv_detail_code))+1
from ins_premium_det i),'-2200','-2200','02', '11000003','00','Request by Mr. Saqib Saleem 13-Feb-2025');</v>
      </c>
    </row>
    <row r="136" spans="1:8" ht="90">
      <c r="A136" s="12" t="s">
        <v>3135</v>
      </c>
      <c r="B136" s="15" t="str">
        <f>VLOOKUP(A136,policy!B:C,2,0)</f>
        <v>050000851069</v>
      </c>
      <c r="C136" s="12">
        <v>-3255</v>
      </c>
      <c r="D136" s="16">
        <f t="shared" si="9"/>
        <v>-3255</v>
      </c>
      <c r="E136" s="21" t="s">
        <v>5795</v>
      </c>
      <c r="F136" s="17" t="str">
        <f t="shared" si="8"/>
        <v>insert into ins_premium_det (premium_rcv_code,assorted_code, rec_amount,premium_rcv_detail_code,remaining_amt, payrec, mode_code,coinsurance_code,class_cd,it_remarks) values</v>
      </c>
      <c r="G136" s="18" t="str">
        <f t="shared" si="10"/>
        <v>('12Feb250043','050000851069','-3255',(select max(to_number(i.premium_rcv_detail_code))+1
from ins_premium_det i),'-3255','-3255','02', '11000003','00','Request by Mr. Saqib Saleem 13-Feb-2025');</v>
      </c>
      <c r="H136" s="19" t="str">
        <f t="shared" si="11"/>
        <v>insert into ins_premium_det (premium_rcv_code,assorted_code, rec_amount,premium_rcv_detail_code,remaining_amt, payrec, mode_code,coinsurance_code,class_cd,it_remarks) values('12Feb250043','050000851069','-3255',(select max(to_number(i.premium_rcv_detail_code))+1
from ins_premium_det i),'-3255','-3255','02', '11000003','00','Request by Mr. Saqib Saleem 13-Feb-2025');</v>
      </c>
    </row>
    <row r="137" spans="1:8" ht="90">
      <c r="A137" s="12" t="s">
        <v>3147</v>
      </c>
      <c r="B137" s="15" t="str">
        <f>VLOOKUP(A137,policy!B:C,2,0)</f>
        <v>050000851073</v>
      </c>
      <c r="C137" s="12">
        <v>-2965</v>
      </c>
      <c r="D137" s="16">
        <f t="shared" si="9"/>
        <v>-2965</v>
      </c>
      <c r="E137" s="21" t="s">
        <v>5795</v>
      </c>
      <c r="F137" s="17" t="str">
        <f t="shared" si="8"/>
        <v>insert into ins_premium_det (premium_rcv_code,assorted_code, rec_amount,premium_rcv_detail_code,remaining_amt, payrec, mode_code,coinsurance_code,class_cd,it_remarks) values</v>
      </c>
      <c r="G137" s="18" t="str">
        <f t="shared" si="10"/>
        <v>('12Feb250043','050000851073','-2965',(select max(to_number(i.premium_rcv_detail_code))+1
from ins_premium_det i),'-2965','-2965','02', '11000003','00','Request by Mr. Saqib Saleem 13-Feb-2025');</v>
      </c>
      <c r="H137" s="19" t="str">
        <f t="shared" si="11"/>
        <v>insert into ins_premium_det (premium_rcv_code,assorted_code, rec_amount,premium_rcv_detail_code,remaining_amt, payrec, mode_code,coinsurance_code,class_cd,it_remarks) values('12Feb250043','050000851073','-2965',(select max(to_number(i.premium_rcv_detail_code))+1
from ins_premium_det i),'-2965','-2965','02', '11000003','00','Request by Mr. Saqib Saleem 13-Feb-2025');</v>
      </c>
    </row>
    <row r="138" spans="1:8" ht="90">
      <c r="A138" s="12" t="s">
        <v>3196</v>
      </c>
      <c r="B138" s="15" t="str">
        <f>VLOOKUP(A138,policy!B:C,2,0)</f>
        <v>050000851077</v>
      </c>
      <c r="C138" s="12">
        <v>-1922</v>
      </c>
      <c r="D138" s="16">
        <f t="shared" si="9"/>
        <v>-1922</v>
      </c>
      <c r="E138" s="21" t="s">
        <v>5795</v>
      </c>
      <c r="F138" s="17" t="str">
        <f t="shared" si="8"/>
        <v>insert into ins_premium_det (premium_rcv_code,assorted_code, rec_amount,premium_rcv_detail_code,remaining_amt, payrec, mode_code,coinsurance_code,class_cd,it_remarks) values</v>
      </c>
      <c r="G138" s="18" t="str">
        <f t="shared" si="10"/>
        <v>('12Feb250043','050000851077','-1922',(select max(to_number(i.premium_rcv_detail_code))+1
from ins_premium_det i),'-1922','-1922','02', '11000003','00','Request by Mr. Saqib Saleem 13-Feb-2025');</v>
      </c>
      <c r="H138" s="19" t="str">
        <f t="shared" si="11"/>
        <v>insert into ins_premium_det (premium_rcv_code,assorted_code, rec_amount,premium_rcv_detail_code,remaining_amt, payrec, mode_code,coinsurance_code,class_cd,it_remarks) values('12Feb250043','050000851077','-1922',(select max(to_number(i.premium_rcv_detail_code))+1
from ins_premium_det i),'-1922','-1922','02', '11000003','00','Request by Mr. Saqib Saleem 13-Feb-2025');</v>
      </c>
    </row>
    <row r="139" spans="1:8" ht="90">
      <c r="A139" s="12" t="s">
        <v>3220</v>
      </c>
      <c r="B139" s="15" t="str">
        <f>VLOOKUP(A139,policy!B:C,2,0)</f>
        <v>050000852707</v>
      </c>
      <c r="C139" s="12">
        <v>-4022</v>
      </c>
      <c r="D139" s="16">
        <f t="shared" si="9"/>
        <v>-4022</v>
      </c>
      <c r="E139" s="21" t="s">
        <v>5795</v>
      </c>
      <c r="F139" s="17" t="str">
        <f t="shared" si="8"/>
        <v>insert into ins_premium_det (premium_rcv_code,assorted_code, rec_amount,premium_rcv_detail_code,remaining_amt, payrec, mode_code,coinsurance_code,class_cd,it_remarks) values</v>
      </c>
      <c r="G139" s="18" t="str">
        <f t="shared" si="10"/>
        <v>('12Feb250043','050000852707','-4022',(select max(to_number(i.premium_rcv_detail_code))+1
from ins_premium_det i),'-4022','-4022','02', '11000003','00','Request by Mr. Saqib Saleem 13-Feb-2025');</v>
      </c>
      <c r="H139" s="19" t="str">
        <f t="shared" si="11"/>
        <v>insert into ins_premium_det (premium_rcv_code,assorted_code, rec_amount,premium_rcv_detail_code,remaining_amt, payrec, mode_code,coinsurance_code,class_cd,it_remarks) values('12Feb250043','050000852707','-4022',(select max(to_number(i.premium_rcv_detail_code))+1
from ins_premium_det i),'-4022','-4022','02', '11000003','00','Request by Mr. Saqib Saleem 13-Feb-2025');</v>
      </c>
    </row>
    <row r="140" spans="1:8" ht="90">
      <c r="A140" s="12" t="s">
        <v>3233</v>
      </c>
      <c r="B140" s="15" t="str">
        <f>VLOOKUP(A140,policy!B:C,2,0)</f>
        <v>050000851104</v>
      </c>
      <c r="C140" s="12">
        <v>-3923</v>
      </c>
      <c r="D140" s="16">
        <f t="shared" si="9"/>
        <v>-3923</v>
      </c>
      <c r="E140" s="21" t="s">
        <v>5795</v>
      </c>
      <c r="F140" s="17" t="str">
        <f t="shared" si="8"/>
        <v>insert into ins_premium_det (premium_rcv_code,assorted_code, rec_amount,premium_rcv_detail_code,remaining_amt, payrec, mode_code,coinsurance_code,class_cd,it_remarks) values</v>
      </c>
      <c r="G140" s="18" t="str">
        <f t="shared" si="10"/>
        <v>('12Feb250043','050000851104','-3923',(select max(to_number(i.premium_rcv_detail_code))+1
from ins_premium_det i),'-3923','-3923','02', '11000003','00','Request by Mr. Saqib Saleem 13-Feb-2025');</v>
      </c>
      <c r="H140" s="19" t="str">
        <f t="shared" si="11"/>
        <v>insert into ins_premium_det (premium_rcv_code,assorted_code, rec_amount,premium_rcv_detail_code,remaining_amt, payrec, mode_code,coinsurance_code,class_cd,it_remarks) values('12Feb250043','050000851104','-3923',(select max(to_number(i.premium_rcv_detail_code))+1
from ins_premium_det i),'-3923','-3923','02', '11000003','00','Request by Mr. Saqib Saleem 13-Feb-2025');</v>
      </c>
    </row>
    <row r="141" spans="1:8" ht="90">
      <c r="A141" s="12" t="s">
        <v>3245</v>
      </c>
      <c r="B141" s="15" t="str">
        <f>VLOOKUP(A141,policy!B:C,2,0)</f>
        <v>050000851119</v>
      </c>
      <c r="C141" s="12">
        <v>-1780</v>
      </c>
      <c r="D141" s="16">
        <f t="shared" si="9"/>
        <v>-1780</v>
      </c>
      <c r="E141" s="21" t="s">
        <v>5795</v>
      </c>
      <c r="F141" s="17" t="str">
        <f t="shared" si="8"/>
        <v>insert into ins_premium_det (premium_rcv_code,assorted_code, rec_amount,premium_rcv_detail_code,remaining_amt, payrec, mode_code,coinsurance_code,class_cd,it_remarks) values</v>
      </c>
      <c r="G141" s="18" t="str">
        <f t="shared" si="10"/>
        <v>('12Feb250043','050000851119','-1780',(select max(to_number(i.premium_rcv_detail_code))+1
from ins_premium_det i),'-1780','-1780','02', '11000003','00','Request by Mr. Saqib Saleem 13-Feb-2025');</v>
      </c>
      <c r="H141" s="19" t="str">
        <f t="shared" si="11"/>
        <v>insert into ins_premium_det (premium_rcv_code,assorted_code, rec_amount,premium_rcv_detail_code,remaining_amt, payrec, mode_code,coinsurance_code,class_cd,it_remarks) values('12Feb250043','050000851119','-1780',(select max(to_number(i.premium_rcv_detail_code))+1
from ins_premium_det i),'-1780','-1780','02', '11000003','00','Request by Mr. Saqib Saleem 13-Feb-2025');</v>
      </c>
    </row>
    <row r="142" spans="1:8" ht="90">
      <c r="A142" s="12" t="s">
        <v>3270</v>
      </c>
      <c r="B142" s="15" t="str">
        <f>VLOOKUP(A142,policy!B:C,2,0)</f>
        <v>050000851120</v>
      </c>
      <c r="C142" s="12">
        <v>-1852</v>
      </c>
      <c r="D142" s="16">
        <f t="shared" si="9"/>
        <v>-1852</v>
      </c>
      <c r="E142" s="21" t="s">
        <v>5795</v>
      </c>
      <c r="F142" s="17" t="str">
        <f t="shared" si="8"/>
        <v>insert into ins_premium_det (premium_rcv_code,assorted_code, rec_amount,premium_rcv_detail_code,remaining_amt, payrec, mode_code,coinsurance_code,class_cd,it_remarks) values</v>
      </c>
      <c r="G142" s="18" t="str">
        <f t="shared" si="10"/>
        <v>('12Feb250043','050000851120','-1852',(select max(to_number(i.premium_rcv_detail_code))+1
from ins_premium_det i),'-1852','-1852','02', '11000003','00','Request by Mr. Saqib Saleem 13-Feb-2025');</v>
      </c>
      <c r="H142" s="19" t="str">
        <f t="shared" si="11"/>
        <v>insert into ins_premium_det (premium_rcv_code,assorted_code, rec_amount,premium_rcv_detail_code,remaining_amt, payrec, mode_code,coinsurance_code,class_cd,it_remarks) values('12Feb250043','050000851120','-1852',(select max(to_number(i.premium_rcv_detail_code))+1
from ins_premium_det i),'-1852','-1852','02', '11000003','00','Request by Mr. Saqib Saleem 13-Feb-2025');</v>
      </c>
    </row>
    <row r="143" spans="1:8" ht="90">
      <c r="A143" s="12" t="s">
        <v>3284</v>
      </c>
      <c r="B143" s="15" t="str">
        <f>VLOOKUP(A143,policy!B:C,2,0)</f>
        <v>050000851122</v>
      </c>
      <c r="C143" s="12">
        <v>-750</v>
      </c>
      <c r="D143" s="16">
        <f t="shared" si="9"/>
        <v>-750</v>
      </c>
      <c r="E143" s="21" t="s">
        <v>5795</v>
      </c>
      <c r="F143" s="17" t="str">
        <f t="shared" si="8"/>
        <v>insert into ins_premium_det (premium_rcv_code,assorted_code, rec_amount,premium_rcv_detail_code,remaining_amt, payrec, mode_code,coinsurance_code,class_cd,it_remarks) values</v>
      </c>
      <c r="G143" s="18" t="str">
        <f t="shared" si="10"/>
        <v>('12Feb250043','050000851122','-750',(select max(to_number(i.premium_rcv_detail_code))+1
from ins_premium_det i),'-750','-750','02', '11000003','00','Request by Mr. Saqib Saleem 13-Feb-2025');</v>
      </c>
      <c r="H143" s="19" t="str">
        <f t="shared" si="11"/>
        <v>insert into ins_premium_det (premium_rcv_code,assorted_code, rec_amount,premium_rcv_detail_code,remaining_amt, payrec, mode_code,coinsurance_code,class_cd,it_remarks) values('12Feb250043','050000851122','-750',(select max(to_number(i.premium_rcv_detail_code))+1
from ins_premium_det i),'-750','-750','02', '11000003','00','Request by Mr. Saqib Saleem 13-Feb-2025');</v>
      </c>
    </row>
    <row r="144" spans="1:8" ht="90">
      <c r="A144" s="12" t="s">
        <v>3297</v>
      </c>
      <c r="B144" s="15" t="str">
        <f>VLOOKUP(A144,policy!B:C,2,0)</f>
        <v>050000851132</v>
      </c>
      <c r="C144" s="12">
        <v>-2553</v>
      </c>
      <c r="D144" s="16">
        <f t="shared" si="9"/>
        <v>-2553</v>
      </c>
      <c r="E144" s="21" t="s">
        <v>5795</v>
      </c>
      <c r="F144" s="17" t="str">
        <f t="shared" si="8"/>
        <v>insert into ins_premium_det (premium_rcv_code,assorted_code, rec_amount,premium_rcv_detail_code,remaining_amt, payrec, mode_code,coinsurance_code,class_cd,it_remarks) values</v>
      </c>
      <c r="G144" s="18" t="str">
        <f t="shared" si="10"/>
        <v>('12Feb250043','050000851132','-2553',(select max(to_number(i.premium_rcv_detail_code))+1
from ins_premium_det i),'-2553','-2553','02', '11000003','00','Request by Mr. Saqib Saleem 13-Feb-2025');</v>
      </c>
      <c r="H144" s="19" t="str">
        <f t="shared" si="11"/>
        <v>insert into ins_premium_det (premium_rcv_code,assorted_code, rec_amount,premium_rcv_detail_code,remaining_amt, payrec, mode_code,coinsurance_code,class_cd,it_remarks) values('12Feb250043','050000851132','-2553',(select max(to_number(i.premium_rcv_detail_code))+1
from ins_premium_det i),'-2553','-2553','02', '11000003','00','Request by Mr. Saqib Saleem 13-Feb-2025');</v>
      </c>
    </row>
    <row r="145" spans="1:8" ht="90">
      <c r="A145" s="12" t="s">
        <v>3310</v>
      </c>
      <c r="B145" s="15" t="str">
        <f>VLOOKUP(A145,policy!B:C,2,0)</f>
        <v>050000851133</v>
      </c>
      <c r="C145" s="12">
        <v>-2933</v>
      </c>
      <c r="D145" s="16">
        <f t="shared" si="9"/>
        <v>-2933</v>
      </c>
      <c r="E145" s="21" t="s">
        <v>5795</v>
      </c>
      <c r="F145" s="17" t="str">
        <f t="shared" si="8"/>
        <v>insert into ins_premium_det (premium_rcv_code,assorted_code, rec_amount,premium_rcv_detail_code,remaining_amt, payrec, mode_code,coinsurance_code,class_cd,it_remarks) values</v>
      </c>
      <c r="G145" s="18" t="str">
        <f t="shared" si="10"/>
        <v>('12Feb250043','050000851133','-2933',(select max(to_number(i.premium_rcv_detail_code))+1
from ins_premium_det i),'-2933','-2933','02', '11000003','00','Request by Mr. Saqib Saleem 13-Feb-2025');</v>
      </c>
      <c r="H145" s="19" t="str">
        <f t="shared" si="11"/>
        <v>insert into ins_premium_det (premium_rcv_code,assorted_code, rec_amount,premium_rcv_detail_code,remaining_amt, payrec, mode_code,coinsurance_code,class_cd,it_remarks) values('12Feb250043','050000851133','-2933',(select max(to_number(i.premium_rcv_detail_code))+1
from ins_premium_det i),'-2933','-2933','02', '11000003','00','Request by Mr. Saqib Saleem 13-Feb-2025');</v>
      </c>
    </row>
    <row r="146" spans="1:8" ht="90">
      <c r="A146" s="12" t="s">
        <v>3323</v>
      </c>
      <c r="B146" s="15" t="str">
        <f>VLOOKUP(A146,policy!B:C,2,0)</f>
        <v>050000851149</v>
      </c>
      <c r="C146" s="12">
        <v>-675</v>
      </c>
      <c r="D146" s="16">
        <f t="shared" si="9"/>
        <v>-675</v>
      </c>
      <c r="E146" s="21" t="s">
        <v>5795</v>
      </c>
      <c r="F146" s="17" t="str">
        <f t="shared" si="8"/>
        <v>insert into ins_premium_det (premium_rcv_code,assorted_code, rec_amount,premium_rcv_detail_code,remaining_amt, payrec, mode_code,coinsurance_code,class_cd,it_remarks) values</v>
      </c>
      <c r="G146" s="18" t="str">
        <f t="shared" si="10"/>
        <v>('12Feb250043','050000851149','-675',(select max(to_number(i.premium_rcv_detail_code))+1
from ins_premium_det i),'-675','-675','02', '11000003','00','Request by Mr. Saqib Saleem 13-Feb-2025');</v>
      </c>
      <c r="H146" s="19" t="str">
        <f t="shared" si="11"/>
        <v>insert into ins_premium_det (premium_rcv_code,assorted_code, rec_amount,premium_rcv_detail_code,remaining_amt, payrec, mode_code,coinsurance_code,class_cd,it_remarks) values('12Feb250043','050000851149','-675',(select max(to_number(i.premium_rcv_detail_code))+1
from ins_premium_det i),'-675','-675','02', '11000003','00','Request by Mr. Saqib Saleem 13-Feb-2025');</v>
      </c>
    </row>
    <row r="147" spans="1:8" ht="90">
      <c r="A147" s="12" t="s">
        <v>3337</v>
      </c>
      <c r="B147" s="15" t="str">
        <f>VLOOKUP(A147,policy!B:C,2,0)</f>
        <v>050000851151</v>
      </c>
      <c r="C147" s="12">
        <v>-2887</v>
      </c>
      <c r="D147" s="16">
        <f t="shared" si="9"/>
        <v>-2887</v>
      </c>
      <c r="E147" s="21" t="s">
        <v>5795</v>
      </c>
      <c r="F147" s="17" t="str">
        <f t="shared" si="8"/>
        <v>insert into ins_premium_det (premium_rcv_code,assorted_code, rec_amount,premium_rcv_detail_code,remaining_amt, payrec, mode_code,coinsurance_code,class_cd,it_remarks) values</v>
      </c>
      <c r="G147" s="18" t="str">
        <f t="shared" si="10"/>
        <v>('12Feb250043','050000851151','-2887',(select max(to_number(i.premium_rcv_detail_code))+1
from ins_premium_det i),'-2887','-2887','02', '11000003','00','Request by Mr. Saqib Saleem 13-Feb-2025');</v>
      </c>
      <c r="H147" s="19" t="str">
        <f t="shared" si="11"/>
        <v>insert into ins_premium_det (premium_rcv_code,assorted_code, rec_amount,premium_rcv_detail_code,remaining_amt, payrec, mode_code,coinsurance_code,class_cd,it_remarks) values('12Feb250043','050000851151','-2887',(select max(to_number(i.premium_rcv_detail_code))+1
from ins_premium_det i),'-2887','-2887','02', '11000003','00','Request by Mr. Saqib Saleem 13-Feb-2025');</v>
      </c>
    </row>
    <row r="148" spans="1:8" ht="90">
      <c r="A148" s="12" t="s">
        <v>3373</v>
      </c>
      <c r="B148" s="15" t="str">
        <f>VLOOKUP(A148,policy!B:C,2,0)</f>
        <v>050000851059</v>
      </c>
      <c r="C148" s="12">
        <v>-1275</v>
      </c>
      <c r="D148" s="16">
        <f t="shared" si="9"/>
        <v>-1275</v>
      </c>
      <c r="E148" s="21" t="s">
        <v>5795</v>
      </c>
      <c r="F148" s="17" t="str">
        <f t="shared" si="8"/>
        <v>insert into ins_premium_det (premium_rcv_code,assorted_code, rec_amount,premium_rcv_detail_code,remaining_amt, payrec, mode_code,coinsurance_code,class_cd,it_remarks) values</v>
      </c>
      <c r="G148" s="18" t="str">
        <f t="shared" si="10"/>
        <v>('12Feb250043','050000851059','-1275',(select max(to_number(i.premium_rcv_detail_code))+1
from ins_premium_det i),'-1275','-1275','02', '11000003','00','Request by Mr. Saqib Saleem 13-Feb-2025');</v>
      </c>
      <c r="H148" s="19" t="str">
        <f t="shared" si="11"/>
        <v>insert into ins_premium_det (premium_rcv_code,assorted_code, rec_amount,premium_rcv_detail_code,remaining_amt, payrec, mode_code,coinsurance_code,class_cd,it_remarks) values('12Feb250043','050000851059','-1275',(select max(to_number(i.premium_rcv_detail_code))+1
from ins_premium_det i),'-1275','-1275','02', '11000003','00','Request by Mr. Saqib Saleem 13-Feb-2025');</v>
      </c>
    </row>
    <row r="149" spans="1:8" ht="90">
      <c r="A149" s="12" t="s">
        <v>3387</v>
      </c>
      <c r="B149" s="15" t="str">
        <f>VLOOKUP(A149,policy!B:C,2,0)</f>
        <v>050000850995</v>
      </c>
      <c r="C149" s="12">
        <v>-4184</v>
      </c>
      <c r="D149" s="16">
        <f t="shared" si="9"/>
        <v>-4184</v>
      </c>
      <c r="E149" s="21" t="s">
        <v>5795</v>
      </c>
      <c r="F149" s="17" t="str">
        <f t="shared" si="8"/>
        <v>insert into ins_premium_det (premium_rcv_code,assorted_code, rec_amount,premium_rcv_detail_code,remaining_amt, payrec, mode_code,coinsurance_code,class_cd,it_remarks) values</v>
      </c>
      <c r="G149" s="18" t="str">
        <f t="shared" si="10"/>
        <v>('12Feb250043','050000850995','-4184',(select max(to_number(i.premium_rcv_detail_code))+1
from ins_premium_det i),'-4184','-4184','02', '11000003','00','Request by Mr. Saqib Saleem 13-Feb-2025');</v>
      </c>
      <c r="H149" s="19" t="str">
        <f t="shared" si="11"/>
        <v>insert into ins_premium_det (premium_rcv_code,assorted_code, rec_amount,premium_rcv_detail_code,remaining_amt, payrec, mode_code,coinsurance_code,class_cd,it_remarks) values('12Feb250043','050000850995','-4184',(select max(to_number(i.premium_rcv_detail_code))+1
from ins_premium_det i),'-4184','-4184','02', '11000003','00','Request by Mr. Saqib Saleem 13-Feb-2025');</v>
      </c>
    </row>
    <row r="150" spans="1:8" ht="90">
      <c r="A150" s="12" t="s">
        <v>3402</v>
      </c>
      <c r="B150" s="15" t="str">
        <f>VLOOKUP(A150,policy!B:C,2,0)</f>
        <v>050000850952</v>
      </c>
      <c r="C150" s="12">
        <v>-2199</v>
      </c>
      <c r="D150" s="16">
        <f t="shared" si="9"/>
        <v>-2199</v>
      </c>
      <c r="E150" s="21" t="s">
        <v>5795</v>
      </c>
      <c r="F150" s="17" t="str">
        <f t="shared" si="8"/>
        <v>insert into ins_premium_det (premium_rcv_code,assorted_code, rec_amount,premium_rcv_detail_code,remaining_amt, payrec, mode_code,coinsurance_code,class_cd,it_remarks) values</v>
      </c>
      <c r="G150" s="18" t="str">
        <f t="shared" si="10"/>
        <v>('12Feb250043','050000850952','-2199',(select max(to_number(i.premium_rcv_detail_code))+1
from ins_premium_det i),'-2199','-2199','02', '11000003','00','Request by Mr. Saqib Saleem 13-Feb-2025');</v>
      </c>
      <c r="H150" s="19" t="str">
        <f t="shared" si="11"/>
        <v>insert into ins_premium_det (premium_rcv_code,assorted_code, rec_amount,premium_rcv_detail_code,remaining_amt, payrec, mode_code,coinsurance_code,class_cd,it_remarks) values('12Feb250043','050000850952','-2199',(select max(to_number(i.premium_rcv_detail_code))+1
from ins_premium_det i),'-2199','-2199','02', '11000003','00','Request by Mr. Saqib Saleem 13-Feb-2025');</v>
      </c>
    </row>
    <row r="151" spans="1:8" ht="90">
      <c r="A151" s="12" t="s">
        <v>3426</v>
      </c>
      <c r="B151" s="15" t="str">
        <f>VLOOKUP(A151,policy!B:C,2,0)</f>
        <v>050000851225</v>
      </c>
      <c r="C151" s="12">
        <v>-4939</v>
      </c>
      <c r="D151" s="16">
        <f t="shared" si="9"/>
        <v>-4939</v>
      </c>
      <c r="E151" s="21" t="s">
        <v>5795</v>
      </c>
      <c r="F151" s="17" t="str">
        <f t="shared" si="8"/>
        <v>insert into ins_premium_det (premium_rcv_code,assorted_code, rec_amount,premium_rcv_detail_code,remaining_amt, payrec, mode_code,coinsurance_code,class_cd,it_remarks) values</v>
      </c>
      <c r="G151" s="18" t="str">
        <f t="shared" si="10"/>
        <v>('12Feb250043','050000851225','-4939',(select max(to_number(i.premium_rcv_detail_code))+1
from ins_premium_det i),'-4939','-4939','02', '11000003','00','Request by Mr. Saqib Saleem 13-Feb-2025');</v>
      </c>
      <c r="H151" s="19" t="str">
        <f t="shared" si="11"/>
        <v>insert into ins_premium_det (premium_rcv_code,assorted_code, rec_amount,premium_rcv_detail_code,remaining_amt, payrec, mode_code,coinsurance_code,class_cd,it_remarks) values('12Feb250043','050000851225','-4939',(select max(to_number(i.premium_rcv_detail_code))+1
from ins_premium_det i),'-4939','-4939','02', '11000003','00','Request by Mr. Saqib Saleem 13-Feb-2025');</v>
      </c>
    </row>
    <row r="152" spans="1:8" ht="90">
      <c r="A152" s="12" t="s">
        <v>5395</v>
      </c>
      <c r="B152" s="15" t="str">
        <f>VLOOKUP(A152,policy!B:C,2,0)</f>
        <v>050000851184</v>
      </c>
      <c r="C152" s="12">
        <v>-1650</v>
      </c>
      <c r="D152" s="16">
        <f t="shared" si="9"/>
        <v>-1650</v>
      </c>
      <c r="E152" s="21" t="s">
        <v>5795</v>
      </c>
      <c r="F152" s="17" t="str">
        <f t="shared" si="8"/>
        <v>insert into ins_premium_det (premium_rcv_code,assorted_code, rec_amount,premium_rcv_detail_code,remaining_amt, payrec, mode_code,coinsurance_code,class_cd,it_remarks) values</v>
      </c>
      <c r="G152" s="18" t="str">
        <f t="shared" si="10"/>
        <v>('12Feb250043','050000851184','-1650',(select max(to_number(i.premium_rcv_detail_code))+1
from ins_premium_det i),'-1650','-1650','02', '11000003','00','Request by Mr. Saqib Saleem 13-Feb-2025');</v>
      </c>
      <c r="H152" s="19" t="str">
        <f t="shared" si="11"/>
        <v>insert into ins_premium_det (premium_rcv_code,assorted_code, rec_amount,premium_rcv_detail_code,remaining_amt, payrec, mode_code,coinsurance_code,class_cd,it_remarks) values('12Feb250043','050000851184','-1650',(select max(to_number(i.premium_rcv_detail_code))+1
from ins_premium_det i),'-1650','-1650','02', '11000003','00','Request by Mr. Saqib Saleem 13-Feb-2025');</v>
      </c>
    </row>
    <row r="153" spans="1:8" ht="90">
      <c r="A153" s="12" t="s">
        <v>5407</v>
      </c>
      <c r="B153" s="15" t="str">
        <f>VLOOKUP(A153,policy!B:C,2,0)</f>
        <v>050000851185</v>
      </c>
      <c r="C153" s="12">
        <v>-3343</v>
      </c>
      <c r="D153" s="16">
        <f t="shared" si="9"/>
        <v>-3343</v>
      </c>
      <c r="E153" s="21" t="s">
        <v>5795</v>
      </c>
      <c r="F153" s="17" t="str">
        <f t="shared" si="8"/>
        <v>insert into ins_premium_det (premium_rcv_code,assorted_code, rec_amount,premium_rcv_detail_code,remaining_amt, payrec, mode_code,coinsurance_code,class_cd,it_remarks) values</v>
      </c>
      <c r="G153" s="18" t="str">
        <f t="shared" si="10"/>
        <v>('12Feb250043','050000851185','-3343',(select max(to_number(i.premium_rcv_detail_code))+1
from ins_premium_det i),'-3343','-3343','02', '11000003','00','Request by Mr. Saqib Saleem 13-Feb-2025');</v>
      </c>
      <c r="H153" s="19" t="str">
        <f t="shared" si="11"/>
        <v>insert into ins_premium_det (premium_rcv_code,assorted_code, rec_amount,premium_rcv_detail_code,remaining_amt, payrec, mode_code,coinsurance_code,class_cd,it_remarks) values('12Feb250043','050000851185','-3343',(select max(to_number(i.premium_rcv_detail_code))+1
from ins_premium_det i),'-3343','-3343','02', '11000003','00','Request by Mr. Saqib Saleem 13-Feb-2025');</v>
      </c>
    </row>
    <row r="154" spans="1:8" ht="90">
      <c r="A154" s="12" t="s">
        <v>5421</v>
      </c>
      <c r="B154" s="15" t="str">
        <f>VLOOKUP(A154,policy!B:C,2,0)</f>
        <v>050000851008</v>
      </c>
      <c r="C154" s="12">
        <v>-2888</v>
      </c>
      <c r="D154" s="16">
        <f t="shared" si="9"/>
        <v>-2888</v>
      </c>
      <c r="E154" s="21" t="s">
        <v>5795</v>
      </c>
      <c r="F154" s="17" t="str">
        <f t="shared" si="8"/>
        <v>insert into ins_premium_det (premium_rcv_code,assorted_code, rec_amount,premium_rcv_detail_code,remaining_amt, payrec, mode_code,coinsurance_code,class_cd,it_remarks) values</v>
      </c>
      <c r="G154" s="18" t="str">
        <f t="shared" si="10"/>
        <v>('12Feb250043','050000851008','-2888',(select max(to_number(i.premium_rcv_detail_code))+1
from ins_premium_det i),'-2888','-2888','02', '11000003','00','Request by Mr. Saqib Saleem 13-Feb-2025');</v>
      </c>
      <c r="H154" s="19" t="str">
        <f t="shared" si="11"/>
        <v>insert into ins_premium_det (premium_rcv_code,assorted_code, rec_amount,premium_rcv_detail_code,remaining_amt, payrec, mode_code,coinsurance_code,class_cd,it_remarks) values('12Feb250043','050000851008','-2888',(select max(to_number(i.premium_rcv_detail_code))+1
from ins_premium_det i),'-2888','-2888','02', '11000003','00','Request by Mr. Saqib Saleem 13-Feb-2025');</v>
      </c>
    </row>
    <row r="155" spans="1:8" ht="90">
      <c r="A155" s="12" t="s">
        <v>5434</v>
      </c>
      <c r="B155" s="15" t="str">
        <f>VLOOKUP(A155,policy!B:C,2,0)</f>
        <v>050000851084</v>
      </c>
      <c r="C155" s="12">
        <v>-5449</v>
      </c>
      <c r="D155" s="16">
        <f t="shared" si="9"/>
        <v>-5449</v>
      </c>
      <c r="E155" s="21" t="s">
        <v>5795</v>
      </c>
      <c r="F155" s="17" t="str">
        <f t="shared" si="8"/>
        <v>insert into ins_premium_det (premium_rcv_code,assorted_code, rec_amount,premium_rcv_detail_code,remaining_amt, payrec, mode_code,coinsurance_code,class_cd,it_remarks) values</v>
      </c>
      <c r="G155" s="18" t="str">
        <f t="shared" si="10"/>
        <v>('12Feb250043','050000851084','-5449',(select max(to_number(i.premium_rcv_detail_code))+1
from ins_premium_det i),'-5449','-5449','02', '11000003','00','Request by Mr. Saqib Saleem 13-Feb-2025');</v>
      </c>
      <c r="H155" s="19" t="str">
        <f t="shared" si="11"/>
        <v>insert into ins_premium_det (premium_rcv_code,assorted_code, rec_amount,premium_rcv_detail_code,remaining_amt, payrec, mode_code,coinsurance_code,class_cd,it_remarks) values('12Feb250043','050000851084','-5449',(select max(to_number(i.premium_rcv_detail_code))+1
from ins_premium_det i),'-5449','-5449','02', '11000003','00','Request by Mr. Saqib Saleem 13-Feb-2025');</v>
      </c>
    </row>
  </sheetData>
  <conditionalFormatting sqref="A1">
    <cfRule type="duplicateValues" dxfId="3" priority="1"/>
  </conditionalFormatting>
  <conditionalFormatting sqref="A2:B2 B3:B155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9672-D1D4-4F48-A734-64CB244E35AE}">
  <dimension ref="A2:J155"/>
  <sheetViews>
    <sheetView workbookViewId="0">
      <selection activeCell="J2" sqref="J2:J155"/>
    </sheetView>
  </sheetViews>
  <sheetFormatPr defaultRowHeight="12.75"/>
  <cols>
    <col min="1" max="1" width="43.28515625" bestFit="1" customWidth="1"/>
  </cols>
  <sheetData>
    <row r="2" spans="1:10">
      <c r="A2" s="12" t="s">
        <v>225</v>
      </c>
      <c r="B2" t="s">
        <v>5481</v>
      </c>
      <c r="H2">
        <v>52165</v>
      </c>
      <c r="I2" t="s">
        <v>5482</v>
      </c>
      <c r="J2" t="str">
        <f>"ia.assorted_string like '%"&amp;H2&amp;"-"&amp;I2&amp;B2&amp;"%' or"</f>
        <v>ia.assorted_string like '%52165-00012-02-2025%' or</v>
      </c>
    </row>
    <row r="3" spans="1:10">
      <c r="A3" s="12" t="s">
        <v>242</v>
      </c>
      <c r="B3" t="s">
        <v>5481</v>
      </c>
      <c r="H3">
        <v>52165</v>
      </c>
      <c r="I3" t="s">
        <v>5483</v>
      </c>
      <c r="J3" t="str">
        <f t="shared" ref="J3:J66" si="0">"ia.assorted_string like '%"&amp;H3&amp;"-"&amp;I3&amp;B3&amp;"%' or"</f>
        <v>ia.assorted_string like '%52165-00016-02-2025%' or</v>
      </c>
    </row>
    <row r="4" spans="1:10">
      <c r="A4" s="12" t="s">
        <v>257</v>
      </c>
      <c r="B4" t="s">
        <v>5481</v>
      </c>
      <c r="H4">
        <v>52165</v>
      </c>
      <c r="I4" t="s">
        <v>5484</v>
      </c>
      <c r="J4" t="str">
        <f t="shared" si="0"/>
        <v>ia.assorted_string like '%52165-00019-02-2025%' or</v>
      </c>
    </row>
    <row r="5" spans="1:10">
      <c r="A5" s="12" t="s">
        <v>273</v>
      </c>
      <c r="B5" t="s">
        <v>5481</v>
      </c>
      <c r="H5">
        <v>52165</v>
      </c>
      <c r="I5" t="s">
        <v>5485</v>
      </c>
      <c r="J5" t="str">
        <f t="shared" si="0"/>
        <v>ia.assorted_string like '%52165-00025-02-2025%' or</v>
      </c>
    </row>
    <row r="6" spans="1:10">
      <c r="A6" s="12" t="s">
        <v>322</v>
      </c>
      <c r="B6" t="s">
        <v>5481</v>
      </c>
      <c r="H6">
        <v>52165</v>
      </c>
      <c r="I6" t="s">
        <v>5486</v>
      </c>
      <c r="J6" t="str">
        <f t="shared" si="0"/>
        <v>ia.assorted_string like '%52165-00029-02-2025%' or</v>
      </c>
    </row>
    <row r="7" spans="1:10">
      <c r="A7" s="12" t="s">
        <v>342</v>
      </c>
      <c r="B7" t="s">
        <v>5481</v>
      </c>
      <c r="H7">
        <v>52165</v>
      </c>
      <c r="I7" t="s">
        <v>5487</v>
      </c>
      <c r="J7" t="str">
        <f t="shared" si="0"/>
        <v>ia.assorted_string like '%52165-00031-02-2025%' or</v>
      </c>
    </row>
    <row r="8" spans="1:10">
      <c r="A8" s="12" t="s">
        <v>396</v>
      </c>
      <c r="B8" t="s">
        <v>5481</v>
      </c>
      <c r="H8">
        <v>52165</v>
      </c>
      <c r="I8" t="s">
        <v>5488</v>
      </c>
      <c r="J8" t="str">
        <f t="shared" si="0"/>
        <v>ia.assorted_string like '%52165-00032-02-2025%' or</v>
      </c>
    </row>
    <row r="9" spans="1:10">
      <c r="A9" s="12" t="s">
        <v>410</v>
      </c>
      <c r="B9" t="s">
        <v>5481</v>
      </c>
      <c r="H9">
        <v>52165</v>
      </c>
      <c r="I9" t="s">
        <v>5489</v>
      </c>
      <c r="J9" t="str">
        <f t="shared" si="0"/>
        <v>ia.assorted_string like '%52165-00034-02-2025%' or</v>
      </c>
    </row>
    <row r="10" spans="1:10">
      <c r="A10" s="12" t="s">
        <v>424</v>
      </c>
      <c r="B10" t="s">
        <v>5481</v>
      </c>
      <c r="H10">
        <v>52165</v>
      </c>
      <c r="I10" t="s">
        <v>5490</v>
      </c>
      <c r="J10" t="str">
        <f t="shared" si="0"/>
        <v>ia.assorted_string like '%52165-00042-02-2025%' or</v>
      </c>
    </row>
    <row r="11" spans="1:10">
      <c r="A11" s="12" t="s">
        <v>439</v>
      </c>
      <c r="B11" t="s">
        <v>5481</v>
      </c>
      <c r="H11">
        <v>52165</v>
      </c>
      <c r="I11" t="s">
        <v>5491</v>
      </c>
      <c r="J11" t="str">
        <f t="shared" si="0"/>
        <v>ia.assorted_string like '%52165-00044-02-2025%' or</v>
      </c>
    </row>
    <row r="12" spans="1:10">
      <c r="A12" s="12" t="s">
        <v>453</v>
      </c>
      <c r="B12" t="s">
        <v>5481</v>
      </c>
      <c r="H12">
        <v>52165</v>
      </c>
      <c r="I12" t="s">
        <v>5492</v>
      </c>
      <c r="J12" t="str">
        <f t="shared" si="0"/>
        <v>ia.assorted_string like '%52165-00046-02-2025%' or</v>
      </c>
    </row>
    <row r="13" spans="1:10">
      <c r="A13" s="12" t="s">
        <v>469</v>
      </c>
      <c r="B13" t="s">
        <v>5481</v>
      </c>
      <c r="H13">
        <v>52165</v>
      </c>
      <c r="I13" t="s">
        <v>5493</v>
      </c>
      <c r="J13" t="str">
        <f t="shared" si="0"/>
        <v>ia.assorted_string like '%52165-00047-02-2025%' or</v>
      </c>
    </row>
    <row r="14" spans="1:10">
      <c r="A14" s="12" t="s">
        <v>509</v>
      </c>
      <c r="B14" t="s">
        <v>5481</v>
      </c>
      <c r="H14">
        <v>52165</v>
      </c>
      <c r="I14" t="s">
        <v>5494</v>
      </c>
      <c r="J14" t="str">
        <f t="shared" si="0"/>
        <v>ia.assorted_string like '%52165-00048-02-2025%' or</v>
      </c>
    </row>
    <row r="15" spans="1:10">
      <c r="A15" s="12" t="s">
        <v>525</v>
      </c>
      <c r="B15" t="s">
        <v>5481</v>
      </c>
      <c r="H15">
        <v>52165</v>
      </c>
      <c r="I15" t="s">
        <v>5495</v>
      </c>
      <c r="J15" t="str">
        <f t="shared" si="0"/>
        <v>ia.assorted_string like '%52165-00050-02-2025%' or</v>
      </c>
    </row>
    <row r="16" spans="1:10">
      <c r="A16" s="12" t="s">
        <v>539</v>
      </c>
      <c r="B16" t="s">
        <v>5481</v>
      </c>
      <c r="H16">
        <v>52165</v>
      </c>
      <c r="I16" t="s">
        <v>5496</v>
      </c>
      <c r="J16" t="str">
        <f t="shared" si="0"/>
        <v>ia.assorted_string like '%52165-00051-02-2025%' or</v>
      </c>
    </row>
    <row r="17" spans="1:10">
      <c r="A17" s="12" t="s">
        <v>553</v>
      </c>
      <c r="B17" t="s">
        <v>5481</v>
      </c>
      <c r="H17">
        <v>52165</v>
      </c>
      <c r="I17" t="s">
        <v>5497</v>
      </c>
      <c r="J17" t="str">
        <f t="shared" si="0"/>
        <v>ia.assorted_string like '%52165-00052-02-2025%' or</v>
      </c>
    </row>
    <row r="18" spans="1:10">
      <c r="A18" s="12" t="s">
        <v>567</v>
      </c>
      <c r="B18" t="s">
        <v>5481</v>
      </c>
      <c r="H18">
        <v>52165</v>
      </c>
      <c r="I18" t="s">
        <v>5498</v>
      </c>
      <c r="J18" t="str">
        <f t="shared" si="0"/>
        <v>ia.assorted_string like '%52165-00053-02-2025%' or</v>
      </c>
    </row>
    <row r="19" spans="1:10">
      <c r="A19" s="12" t="s">
        <v>595</v>
      </c>
      <c r="B19" t="s">
        <v>5481</v>
      </c>
      <c r="H19">
        <v>52165</v>
      </c>
      <c r="I19" t="s">
        <v>5499</v>
      </c>
      <c r="J19" t="str">
        <f t="shared" si="0"/>
        <v>ia.assorted_string like '%52165-00054-02-2025%' or</v>
      </c>
    </row>
    <row r="20" spans="1:10">
      <c r="A20" s="12" t="s">
        <v>622</v>
      </c>
      <c r="B20" t="s">
        <v>5481</v>
      </c>
      <c r="H20">
        <v>52165</v>
      </c>
      <c r="I20" t="s">
        <v>5500</v>
      </c>
      <c r="J20" t="str">
        <f t="shared" si="0"/>
        <v>ia.assorted_string like '%52165-00056-02-2025%' or</v>
      </c>
    </row>
    <row r="21" spans="1:10">
      <c r="A21" s="12" t="s">
        <v>646</v>
      </c>
      <c r="B21" t="s">
        <v>5481</v>
      </c>
      <c r="H21">
        <v>52165</v>
      </c>
      <c r="I21" t="s">
        <v>5501</v>
      </c>
      <c r="J21" t="str">
        <f t="shared" si="0"/>
        <v>ia.assorted_string like '%52165-00057-02-2025%' or</v>
      </c>
    </row>
    <row r="22" spans="1:10">
      <c r="A22" s="12" t="s">
        <v>673</v>
      </c>
      <c r="B22" t="s">
        <v>5481</v>
      </c>
      <c r="H22">
        <v>52165</v>
      </c>
      <c r="I22" t="s">
        <v>5502</v>
      </c>
      <c r="J22" t="str">
        <f t="shared" si="0"/>
        <v>ia.assorted_string like '%52165-00058-02-2025%' or</v>
      </c>
    </row>
    <row r="23" spans="1:10">
      <c r="A23" s="12" t="s">
        <v>687</v>
      </c>
      <c r="B23" t="s">
        <v>5481</v>
      </c>
      <c r="H23">
        <v>52165</v>
      </c>
      <c r="I23" t="s">
        <v>5503</v>
      </c>
      <c r="J23" t="str">
        <f t="shared" si="0"/>
        <v>ia.assorted_string like '%52165-00059-02-2025%' or</v>
      </c>
    </row>
    <row r="24" spans="1:10">
      <c r="A24" s="12" t="s">
        <v>701</v>
      </c>
      <c r="B24" t="s">
        <v>5481</v>
      </c>
      <c r="H24">
        <v>52165</v>
      </c>
      <c r="I24" t="s">
        <v>5504</v>
      </c>
      <c r="J24" t="str">
        <f t="shared" si="0"/>
        <v>ia.assorted_string like '%52165-00061-02-2025%' or</v>
      </c>
    </row>
    <row r="25" spans="1:10">
      <c r="A25" s="12" t="s">
        <v>714</v>
      </c>
      <c r="B25" t="s">
        <v>5481</v>
      </c>
      <c r="H25">
        <v>52165</v>
      </c>
      <c r="I25" t="s">
        <v>5505</v>
      </c>
      <c r="J25" t="str">
        <f t="shared" si="0"/>
        <v>ia.assorted_string like '%52165-00062-02-2025%' or</v>
      </c>
    </row>
    <row r="26" spans="1:10">
      <c r="A26" s="12" t="s">
        <v>731</v>
      </c>
      <c r="B26" t="s">
        <v>5481</v>
      </c>
      <c r="H26">
        <v>52165</v>
      </c>
      <c r="I26" t="s">
        <v>5506</v>
      </c>
      <c r="J26" t="str">
        <f t="shared" si="0"/>
        <v>ia.assorted_string like '%52165-00065-02-2025%' or</v>
      </c>
    </row>
    <row r="27" spans="1:10">
      <c r="A27" s="12" t="s">
        <v>745</v>
      </c>
      <c r="B27" t="s">
        <v>5481</v>
      </c>
      <c r="H27">
        <v>52165</v>
      </c>
      <c r="I27" t="s">
        <v>5507</v>
      </c>
      <c r="J27" t="str">
        <f t="shared" si="0"/>
        <v>ia.assorted_string like '%52165-00067-02-2025%' or</v>
      </c>
    </row>
    <row r="28" spans="1:10">
      <c r="A28" s="12" t="s">
        <v>758</v>
      </c>
      <c r="B28" t="s">
        <v>5481</v>
      </c>
      <c r="H28">
        <v>52165</v>
      </c>
      <c r="I28" t="s">
        <v>5508</v>
      </c>
      <c r="J28" t="str">
        <f t="shared" si="0"/>
        <v>ia.assorted_string like '%52165-00068-02-2025%' or</v>
      </c>
    </row>
    <row r="29" spans="1:10">
      <c r="A29" s="12" t="s">
        <v>771</v>
      </c>
      <c r="B29" t="s">
        <v>5481</v>
      </c>
      <c r="H29">
        <v>52165</v>
      </c>
      <c r="I29" t="s">
        <v>5509</v>
      </c>
      <c r="J29" t="str">
        <f t="shared" si="0"/>
        <v>ia.assorted_string like '%52165-00070-02-2025%' or</v>
      </c>
    </row>
    <row r="30" spans="1:10">
      <c r="A30" s="12" t="s">
        <v>825</v>
      </c>
      <c r="B30" t="s">
        <v>5481</v>
      </c>
      <c r="H30">
        <v>52165</v>
      </c>
      <c r="I30" t="s">
        <v>5510</v>
      </c>
      <c r="J30" t="str">
        <f t="shared" si="0"/>
        <v>ia.assorted_string like '%52165-00071-02-2025%' or</v>
      </c>
    </row>
    <row r="31" spans="1:10">
      <c r="A31" s="12" t="s">
        <v>840</v>
      </c>
      <c r="B31" t="s">
        <v>5481</v>
      </c>
      <c r="H31">
        <v>52165</v>
      </c>
      <c r="I31" t="s">
        <v>5511</v>
      </c>
      <c r="J31" t="str">
        <f t="shared" si="0"/>
        <v>ia.assorted_string like '%52165-00073-02-2025%' or</v>
      </c>
    </row>
    <row r="32" spans="1:10">
      <c r="A32" s="12" t="s">
        <v>854</v>
      </c>
      <c r="B32" t="s">
        <v>5481</v>
      </c>
      <c r="H32">
        <v>52165</v>
      </c>
      <c r="I32" t="s">
        <v>5512</v>
      </c>
      <c r="J32" t="str">
        <f t="shared" si="0"/>
        <v>ia.assorted_string like '%52165-00075-02-2025%' or</v>
      </c>
    </row>
    <row r="33" spans="1:10">
      <c r="A33" s="12" t="s">
        <v>867</v>
      </c>
      <c r="B33" t="s">
        <v>5481</v>
      </c>
      <c r="H33">
        <v>52165</v>
      </c>
      <c r="I33" t="s">
        <v>5513</v>
      </c>
      <c r="J33" t="str">
        <f t="shared" si="0"/>
        <v>ia.assorted_string like '%52165-00077-02-2025%' or</v>
      </c>
    </row>
    <row r="34" spans="1:10">
      <c r="A34" s="12" t="s">
        <v>894</v>
      </c>
      <c r="B34" t="s">
        <v>5481</v>
      </c>
      <c r="H34">
        <v>52165</v>
      </c>
      <c r="I34" t="s">
        <v>5514</v>
      </c>
      <c r="J34" t="str">
        <f t="shared" si="0"/>
        <v>ia.assorted_string like '%52165-00078-02-2025%' or</v>
      </c>
    </row>
    <row r="35" spans="1:10">
      <c r="A35" s="12" t="s">
        <v>909</v>
      </c>
      <c r="B35" t="s">
        <v>5481</v>
      </c>
      <c r="H35">
        <v>52165</v>
      </c>
      <c r="I35" t="s">
        <v>5515</v>
      </c>
      <c r="J35" t="str">
        <f t="shared" si="0"/>
        <v>ia.assorted_string like '%52165-00079-02-2025%' or</v>
      </c>
    </row>
    <row r="36" spans="1:10">
      <c r="A36" s="12" t="s">
        <v>923</v>
      </c>
      <c r="B36" t="s">
        <v>5481</v>
      </c>
      <c r="H36">
        <v>52165</v>
      </c>
      <c r="I36" t="s">
        <v>5516</v>
      </c>
      <c r="J36" t="str">
        <f t="shared" si="0"/>
        <v>ia.assorted_string like '%52165-00080-02-2025%' or</v>
      </c>
    </row>
    <row r="37" spans="1:10">
      <c r="A37" s="12" t="s">
        <v>957</v>
      </c>
      <c r="B37" t="s">
        <v>5481</v>
      </c>
      <c r="H37">
        <v>52165</v>
      </c>
      <c r="I37" t="s">
        <v>5517</v>
      </c>
      <c r="J37" t="str">
        <f t="shared" si="0"/>
        <v>ia.assorted_string like '%52165-00081-02-2025%' or</v>
      </c>
    </row>
    <row r="38" spans="1:10">
      <c r="A38" s="12" t="s">
        <v>973</v>
      </c>
      <c r="B38" t="s">
        <v>5481</v>
      </c>
      <c r="H38">
        <v>52165</v>
      </c>
      <c r="I38" t="s">
        <v>5518</v>
      </c>
      <c r="J38" t="str">
        <f t="shared" si="0"/>
        <v>ia.assorted_string like '%52165-00083-02-2025%' or</v>
      </c>
    </row>
    <row r="39" spans="1:10">
      <c r="A39" s="12" t="s">
        <v>998</v>
      </c>
      <c r="B39" t="s">
        <v>5481</v>
      </c>
      <c r="H39">
        <v>52165</v>
      </c>
      <c r="I39" t="s">
        <v>5519</v>
      </c>
      <c r="J39" t="str">
        <f t="shared" si="0"/>
        <v>ia.assorted_string like '%52165-00084-02-2025%' or</v>
      </c>
    </row>
    <row r="40" spans="1:10">
      <c r="A40" s="12" t="s">
        <v>1023</v>
      </c>
      <c r="B40" t="s">
        <v>5481</v>
      </c>
      <c r="H40">
        <v>52165</v>
      </c>
      <c r="I40" t="s">
        <v>5520</v>
      </c>
      <c r="J40" t="str">
        <f t="shared" si="0"/>
        <v>ia.assorted_string like '%52165-00087-02-2025%' or</v>
      </c>
    </row>
    <row r="41" spans="1:10">
      <c r="A41" s="12" t="s">
        <v>1034</v>
      </c>
      <c r="B41" t="s">
        <v>5481</v>
      </c>
      <c r="H41">
        <v>52165</v>
      </c>
      <c r="I41" t="s">
        <v>5521</v>
      </c>
      <c r="J41" t="str">
        <f t="shared" si="0"/>
        <v>ia.assorted_string like '%52165-00089-02-2025%' or</v>
      </c>
    </row>
    <row r="42" spans="1:10">
      <c r="A42" s="12" t="s">
        <v>1060</v>
      </c>
      <c r="B42" t="s">
        <v>5481</v>
      </c>
      <c r="H42">
        <v>52165</v>
      </c>
      <c r="I42" t="s">
        <v>5522</v>
      </c>
      <c r="J42" t="str">
        <f t="shared" si="0"/>
        <v>ia.assorted_string like '%52165-00090-02-2025%' or</v>
      </c>
    </row>
    <row r="43" spans="1:10">
      <c r="A43" s="12" t="s">
        <v>1074</v>
      </c>
      <c r="B43" t="s">
        <v>5481</v>
      </c>
      <c r="H43">
        <v>52165</v>
      </c>
      <c r="I43" t="s">
        <v>5523</v>
      </c>
      <c r="J43" t="str">
        <f t="shared" si="0"/>
        <v>ia.assorted_string like '%52165-00091-02-2025%' or</v>
      </c>
    </row>
    <row r="44" spans="1:10">
      <c r="A44" s="12" t="s">
        <v>1088</v>
      </c>
      <c r="B44" t="s">
        <v>5481</v>
      </c>
      <c r="H44">
        <v>52165</v>
      </c>
      <c r="I44" t="s">
        <v>5524</v>
      </c>
      <c r="J44" t="str">
        <f t="shared" si="0"/>
        <v>ia.assorted_string like '%52165-00092-02-2025%' or</v>
      </c>
    </row>
    <row r="45" spans="1:10">
      <c r="A45" s="12" t="s">
        <v>1130</v>
      </c>
      <c r="B45" t="s">
        <v>5481</v>
      </c>
      <c r="H45">
        <v>52165</v>
      </c>
      <c r="I45" t="s">
        <v>5525</v>
      </c>
      <c r="J45" t="str">
        <f t="shared" si="0"/>
        <v>ia.assorted_string like '%52165-00096-02-2025%' or</v>
      </c>
    </row>
    <row r="46" spans="1:10">
      <c r="A46" s="12" t="s">
        <v>1156</v>
      </c>
      <c r="B46" t="s">
        <v>5481</v>
      </c>
      <c r="H46">
        <v>52165</v>
      </c>
      <c r="I46" t="s">
        <v>5526</v>
      </c>
      <c r="J46" t="str">
        <f t="shared" si="0"/>
        <v>ia.assorted_string like '%52165-00113-02-2025%' or</v>
      </c>
    </row>
    <row r="47" spans="1:10">
      <c r="A47" s="12" t="s">
        <v>1170</v>
      </c>
      <c r="B47" t="s">
        <v>5481</v>
      </c>
      <c r="H47">
        <v>52165</v>
      </c>
      <c r="I47" t="s">
        <v>5527</v>
      </c>
      <c r="J47" t="str">
        <f t="shared" si="0"/>
        <v>ia.assorted_string like '%52165-00117-02-2025%' or</v>
      </c>
    </row>
    <row r="48" spans="1:10">
      <c r="A48" s="12" t="s">
        <v>1183</v>
      </c>
      <c r="B48" t="s">
        <v>5481</v>
      </c>
      <c r="H48">
        <v>52165</v>
      </c>
      <c r="I48" t="s">
        <v>5528</v>
      </c>
      <c r="J48" t="str">
        <f t="shared" si="0"/>
        <v>ia.assorted_string like '%52165-00119-02-2025%' or</v>
      </c>
    </row>
    <row r="49" spans="1:10">
      <c r="A49" s="12" t="s">
        <v>1367</v>
      </c>
      <c r="B49" t="s">
        <v>5481</v>
      </c>
      <c r="H49">
        <v>52165</v>
      </c>
      <c r="I49" t="s">
        <v>5529</v>
      </c>
      <c r="J49" t="str">
        <f t="shared" si="0"/>
        <v>ia.assorted_string like '%52165-00136-02-2025%' or</v>
      </c>
    </row>
    <row r="50" spans="1:10">
      <c r="A50" s="12" t="s">
        <v>1381</v>
      </c>
      <c r="B50" t="s">
        <v>5481</v>
      </c>
      <c r="H50">
        <v>52165</v>
      </c>
      <c r="I50" t="s">
        <v>5530</v>
      </c>
      <c r="J50" t="str">
        <f t="shared" si="0"/>
        <v>ia.assorted_string like '%52165-00137-02-2025%' or</v>
      </c>
    </row>
    <row r="51" spans="1:10">
      <c r="A51" s="12" t="s">
        <v>1394</v>
      </c>
      <c r="B51" t="s">
        <v>5481</v>
      </c>
      <c r="H51">
        <v>52165</v>
      </c>
      <c r="I51" t="s">
        <v>5531</v>
      </c>
      <c r="J51" t="str">
        <f t="shared" si="0"/>
        <v>ia.assorted_string like '%52165-00141-02-2025%' or</v>
      </c>
    </row>
    <row r="52" spans="1:10">
      <c r="A52" s="12" t="s">
        <v>1431</v>
      </c>
      <c r="B52" t="s">
        <v>5481</v>
      </c>
      <c r="H52">
        <v>52165</v>
      </c>
      <c r="I52" t="s">
        <v>5532</v>
      </c>
      <c r="J52" t="str">
        <f t="shared" si="0"/>
        <v>ia.assorted_string like '%52165-00144-02-2025%' or</v>
      </c>
    </row>
    <row r="53" spans="1:10">
      <c r="A53" s="12" t="s">
        <v>1445</v>
      </c>
      <c r="B53" t="s">
        <v>5481</v>
      </c>
      <c r="H53">
        <v>52165</v>
      </c>
      <c r="I53" t="s">
        <v>5533</v>
      </c>
      <c r="J53" t="str">
        <f t="shared" si="0"/>
        <v>ia.assorted_string like '%52165-00146-02-2025%' or</v>
      </c>
    </row>
    <row r="54" spans="1:10">
      <c r="A54" s="12" t="s">
        <v>1458</v>
      </c>
      <c r="B54" t="s">
        <v>5481</v>
      </c>
      <c r="H54">
        <v>52165</v>
      </c>
      <c r="I54" t="s">
        <v>5534</v>
      </c>
      <c r="J54" t="str">
        <f t="shared" si="0"/>
        <v>ia.assorted_string like '%52165-00148-02-2025%' or</v>
      </c>
    </row>
    <row r="55" spans="1:10">
      <c r="A55" s="12" t="s">
        <v>1471</v>
      </c>
      <c r="B55" t="s">
        <v>5481</v>
      </c>
      <c r="H55">
        <v>52165</v>
      </c>
      <c r="I55" t="s">
        <v>5535</v>
      </c>
      <c r="J55" t="str">
        <f t="shared" si="0"/>
        <v>ia.assorted_string like '%52165-00149-02-2025%' or</v>
      </c>
    </row>
    <row r="56" spans="1:10">
      <c r="A56" s="12" t="s">
        <v>1485</v>
      </c>
      <c r="B56" t="s">
        <v>5481</v>
      </c>
      <c r="H56">
        <v>52165</v>
      </c>
      <c r="I56" t="s">
        <v>5536</v>
      </c>
      <c r="J56" t="str">
        <f t="shared" si="0"/>
        <v>ia.assorted_string like '%52165-00151-02-2025%' or</v>
      </c>
    </row>
    <row r="57" spans="1:10">
      <c r="A57" s="12" t="s">
        <v>1498</v>
      </c>
      <c r="B57" t="s">
        <v>5481</v>
      </c>
      <c r="H57">
        <v>52165</v>
      </c>
      <c r="I57" t="s">
        <v>5537</v>
      </c>
      <c r="J57" t="str">
        <f t="shared" si="0"/>
        <v>ia.assorted_string like '%52165-00152-02-2025%' or</v>
      </c>
    </row>
    <row r="58" spans="1:10">
      <c r="A58" s="12" t="s">
        <v>1512</v>
      </c>
      <c r="B58" t="s">
        <v>5481</v>
      </c>
      <c r="H58">
        <v>52165</v>
      </c>
      <c r="I58" t="s">
        <v>5538</v>
      </c>
      <c r="J58" t="str">
        <f t="shared" si="0"/>
        <v>ia.assorted_string like '%52165-00153-02-2025%' or</v>
      </c>
    </row>
    <row r="59" spans="1:10">
      <c r="A59" s="12" t="s">
        <v>1525</v>
      </c>
      <c r="B59" t="s">
        <v>5481</v>
      </c>
      <c r="H59">
        <v>52165</v>
      </c>
      <c r="I59" t="s">
        <v>5539</v>
      </c>
      <c r="J59" t="str">
        <f t="shared" si="0"/>
        <v>ia.assorted_string like '%52165-00155-02-2025%' or</v>
      </c>
    </row>
    <row r="60" spans="1:10">
      <c r="A60" s="12" t="s">
        <v>1539</v>
      </c>
      <c r="B60" t="s">
        <v>5481</v>
      </c>
      <c r="H60">
        <v>52165</v>
      </c>
      <c r="I60" t="s">
        <v>5540</v>
      </c>
      <c r="J60" t="str">
        <f t="shared" si="0"/>
        <v>ia.assorted_string like '%52165-00156-02-2025%' or</v>
      </c>
    </row>
    <row r="61" spans="1:10">
      <c r="A61" s="12" t="s">
        <v>1554</v>
      </c>
      <c r="B61" t="s">
        <v>5481</v>
      </c>
      <c r="H61">
        <v>52165</v>
      </c>
      <c r="I61" t="s">
        <v>5541</v>
      </c>
      <c r="J61" t="str">
        <f t="shared" si="0"/>
        <v>ia.assorted_string like '%52165-00157-02-2025%' or</v>
      </c>
    </row>
    <row r="62" spans="1:10">
      <c r="A62" s="12" t="s">
        <v>1570</v>
      </c>
      <c r="B62" t="s">
        <v>5481</v>
      </c>
      <c r="H62">
        <v>52165</v>
      </c>
      <c r="I62" t="s">
        <v>5542</v>
      </c>
      <c r="J62" t="str">
        <f t="shared" si="0"/>
        <v>ia.assorted_string like '%52165-00158-02-2025%' or</v>
      </c>
    </row>
    <row r="63" spans="1:10">
      <c r="A63" s="12" t="s">
        <v>1585</v>
      </c>
      <c r="B63" t="s">
        <v>5481</v>
      </c>
      <c r="H63">
        <v>52165</v>
      </c>
      <c r="I63" t="s">
        <v>5543</v>
      </c>
      <c r="J63" t="str">
        <f t="shared" si="0"/>
        <v>ia.assorted_string like '%52165-00159-02-2025%' or</v>
      </c>
    </row>
    <row r="64" spans="1:10">
      <c r="A64" s="12" t="s">
        <v>1597</v>
      </c>
      <c r="B64" t="s">
        <v>5481</v>
      </c>
      <c r="H64">
        <v>52165</v>
      </c>
      <c r="I64" t="s">
        <v>5544</v>
      </c>
      <c r="J64" t="str">
        <f t="shared" si="0"/>
        <v>ia.assorted_string like '%52165-00162-02-2025%' or</v>
      </c>
    </row>
    <row r="65" spans="1:10">
      <c r="A65" s="12" t="s">
        <v>1610</v>
      </c>
      <c r="B65" t="s">
        <v>5481</v>
      </c>
      <c r="H65">
        <v>52165</v>
      </c>
      <c r="I65" t="s">
        <v>5545</v>
      </c>
      <c r="J65" t="str">
        <f t="shared" si="0"/>
        <v>ia.assorted_string like '%52165-00163-02-2025%' or</v>
      </c>
    </row>
    <row r="66" spans="1:10">
      <c r="A66" s="12" t="s">
        <v>1634</v>
      </c>
      <c r="B66" t="s">
        <v>5481</v>
      </c>
      <c r="H66">
        <v>52165</v>
      </c>
      <c r="I66" t="s">
        <v>5546</v>
      </c>
      <c r="J66" t="str">
        <f t="shared" si="0"/>
        <v>ia.assorted_string like '%52165-00165-02-2025%' or</v>
      </c>
    </row>
    <row r="67" spans="1:10">
      <c r="A67" s="12" t="s">
        <v>1649</v>
      </c>
      <c r="B67" t="s">
        <v>5481</v>
      </c>
      <c r="H67">
        <v>52165</v>
      </c>
      <c r="I67" t="s">
        <v>5547</v>
      </c>
      <c r="J67" t="str">
        <f t="shared" ref="J67:J130" si="1">"ia.assorted_string like '%"&amp;H67&amp;"-"&amp;I67&amp;B67&amp;"%' or"</f>
        <v>ia.assorted_string like '%52165-00169-02-2025%' or</v>
      </c>
    </row>
    <row r="68" spans="1:10">
      <c r="A68" s="12" t="s">
        <v>1663</v>
      </c>
      <c r="B68" t="s">
        <v>5481</v>
      </c>
      <c r="H68">
        <v>52165</v>
      </c>
      <c r="I68" t="s">
        <v>5548</v>
      </c>
      <c r="J68" t="str">
        <f t="shared" si="1"/>
        <v>ia.assorted_string like '%52165-00170-02-2025%' or</v>
      </c>
    </row>
    <row r="69" spans="1:10">
      <c r="A69" s="12" t="s">
        <v>1677</v>
      </c>
      <c r="B69" t="s">
        <v>5481</v>
      </c>
      <c r="H69">
        <v>52165</v>
      </c>
      <c r="I69" t="s">
        <v>5549</v>
      </c>
      <c r="J69" t="str">
        <f t="shared" si="1"/>
        <v>ia.assorted_string like '%52165-00171-02-2025%' or</v>
      </c>
    </row>
    <row r="70" spans="1:10">
      <c r="A70" s="12" t="s">
        <v>1700</v>
      </c>
      <c r="B70" t="s">
        <v>5481</v>
      </c>
      <c r="H70">
        <v>52165</v>
      </c>
      <c r="I70" t="s">
        <v>5550</v>
      </c>
      <c r="J70" t="str">
        <f t="shared" si="1"/>
        <v>ia.assorted_string like '%52165-00173-02-2025%' or</v>
      </c>
    </row>
    <row r="71" spans="1:10">
      <c r="A71" s="12" t="s">
        <v>1728</v>
      </c>
      <c r="B71" t="s">
        <v>5481</v>
      </c>
      <c r="H71">
        <v>52165</v>
      </c>
      <c r="I71" t="s">
        <v>5551</v>
      </c>
      <c r="J71" t="str">
        <f t="shared" si="1"/>
        <v>ia.assorted_string like '%52165-00174-02-2025%' or</v>
      </c>
    </row>
    <row r="72" spans="1:10">
      <c r="A72" s="12" t="s">
        <v>1743</v>
      </c>
      <c r="B72" t="s">
        <v>5481</v>
      </c>
      <c r="H72">
        <v>52165</v>
      </c>
      <c r="I72" t="s">
        <v>5552</v>
      </c>
      <c r="J72" t="str">
        <f t="shared" si="1"/>
        <v>ia.assorted_string like '%52165-00179-02-2025%' or</v>
      </c>
    </row>
    <row r="73" spans="1:10">
      <c r="A73" s="12" t="s">
        <v>1757</v>
      </c>
      <c r="B73" t="s">
        <v>5481</v>
      </c>
      <c r="H73">
        <v>52165</v>
      </c>
      <c r="I73" t="s">
        <v>5553</v>
      </c>
      <c r="J73" t="str">
        <f t="shared" si="1"/>
        <v>ia.assorted_string like '%52165-00181-02-2025%' or</v>
      </c>
    </row>
    <row r="74" spans="1:10">
      <c r="A74" s="12" t="s">
        <v>1842</v>
      </c>
      <c r="B74" t="s">
        <v>5481</v>
      </c>
      <c r="H74">
        <v>52165</v>
      </c>
      <c r="I74" t="s">
        <v>5554</v>
      </c>
      <c r="J74" t="str">
        <f t="shared" si="1"/>
        <v>ia.assorted_string like '%52165-00184-02-2025%' or</v>
      </c>
    </row>
    <row r="75" spans="1:10">
      <c r="A75" s="12" t="s">
        <v>1903</v>
      </c>
      <c r="B75" t="s">
        <v>5481</v>
      </c>
      <c r="H75">
        <v>52165</v>
      </c>
      <c r="I75" t="s">
        <v>5555</v>
      </c>
      <c r="J75" t="str">
        <f t="shared" si="1"/>
        <v>ia.assorted_string like '%52165-00186-02-2025%' or</v>
      </c>
    </row>
    <row r="76" spans="1:10">
      <c r="A76" s="12" t="s">
        <v>1928</v>
      </c>
      <c r="B76" t="s">
        <v>5481</v>
      </c>
      <c r="H76">
        <v>52165</v>
      </c>
      <c r="I76" t="s">
        <v>5556</v>
      </c>
      <c r="J76" t="str">
        <f t="shared" si="1"/>
        <v>ia.assorted_string like '%52165-00187-02-2025%' or</v>
      </c>
    </row>
    <row r="77" spans="1:10">
      <c r="A77" s="12" t="s">
        <v>1943</v>
      </c>
      <c r="B77" t="s">
        <v>5481</v>
      </c>
      <c r="H77">
        <v>52165</v>
      </c>
      <c r="I77" t="s">
        <v>5557</v>
      </c>
      <c r="J77" t="str">
        <f t="shared" si="1"/>
        <v>ia.assorted_string like '%52165-00188-02-2025%' or</v>
      </c>
    </row>
    <row r="78" spans="1:10">
      <c r="A78" s="12" t="s">
        <v>1957</v>
      </c>
      <c r="B78" t="s">
        <v>5481</v>
      </c>
      <c r="H78">
        <v>52165</v>
      </c>
      <c r="I78" t="s">
        <v>5558</v>
      </c>
      <c r="J78" t="str">
        <f t="shared" si="1"/>
        <v>ia.assorted_string like '%52165-00189-02-2025%' or</v>
      </c>
    </row>
    <row r="79" spans="1:10">
      <c r="A79" s="12" t="s">
        <v>1970</v>
      </c>
      <c r="B79" t="s">
        <v>5481</v>
      </c>
      <c r="H79">
        <v>52165</v>
      </c>
      <c r="I79" t="s">
        <v>5559</v>
      </c>
      <c r="J79" t="str">
        <f t="shared" si="1"/>
        <v>ia.assorted_string like '%52165-00190-02-2025%' or</v>
      </c>
    </row>
    <row r="80" spans="1:10">
      <c r="A80" s="12" t="s">
        <v>1984</v>
      </c>
      <c r="B80" t="s">
        <v>5481</v>
      </c>
      <c r="H80">
        <v>52165</v>
      </c>
      <c r="I80" t="s">
        <v>5560</v>
      </c>
      <c r="J80" t="str">
        <f t="shared" si="1"/>
        <v>ia.assorted_string like '%52165-00197-02-2025%' or</v>
      </c>
    </row>
    <row r="81" spans="1:10">
      <c r="A81" s="12" t="s">
        <v>2009</v>
      </c>
      <c r="B81" t="s">
        <v>5481</v>
      </c>
      <c r="H81">
        <v>52165</v>
      </c>
      <c r="I81" t="s">
        <v>5561</v>
      </c>
      <c r="J81" t="str">
        <f t="shared" si="1"/>
        <v>ia.assorted_string like '%52165-00198-02-2025%' or</v>
      </c>
    </row>
    <row r="82" spans="1:10">
      <c r="A82" s="12" t="s">
        <v>2021</v>
      </c>
      <c r="B82" t="s">
        <v>5481</v>
      </c>
      <c r="H82">
        <v>52165</v>
      </c>
      <c r="I82" t="s">
        <v>5562</v>
      </c>
      <c r="J82" t="str">
        <f t="shared" si="1"/>
        <v>ia.assorted_string like '%52165-00200-02-2025%' or</v>
      </c>
    </row>
    <row r="83" spans="1:10">
      <c r="A83" s="12" t="s">
        <v>2035</v>
      </c>
      <c r="B83" t="s">
        <v>5481</v>
      </c>
      <c r="H83">
        <v>52165</v>
      </c>
      <c r="I83" t="s">
        <v>5563</v>
      </c>
      <c r="J83" t="str">
        <f t="shared" si="1"/>
        <v>ia.assorted_string like '%52165-00207-02-2025%' or</v>
      </c>
    </row>
    <row r="84" spans="1:10">
      <c r="A84" s="12" t="s">
        <v>2048</v>
      </c>
      <c r="B84" t="s">
        <v>5481</v>
      </c>
      <c r="H84">
        <v>52165</v>
      </c>
      <c r="I84" t="s">
        <v>5564</v>
      </c>
      <c r="J84" t="str">
        <f t="shared" si="1"/>
        <v>ia.assorted_string like '%52165-00210-02-2025%' or</v>
      </c>
    </row>
    <row r="85" spans="1:10">
      <c r="A85" s="12" t="s">
        <v>2062</v>
      </c>
      <c r="B85" t="s">
        <v>5481</v>
      </c>
      <c r="H85">
        <v>52165</v>
      </c>
      <c r="I85" t="s">
        <v>5565</v>
      </c>
      <c r="J85" t="str">
        <f t="shared" si="1"/>
        <v>ia.assorted_string like '%52165-00215-02-2025%' or</v>
      </c>
    </row>
    <row r="86" spans="1:10">
      <c r="A86" s="12" t="s">
        <v>2077</v>
      </c>
      <c r="B86" t="s">
        <v>5481</v>
      </c>
      <c r="H86">
        <v>52165</v>
      </c>
      <c r="I86" t="s">
        <v>5566</v>
      </c>
      <c r="J86" t="str">
        <f t="shared" si="1"/>
        <v>ia.assorted_string like '%52165-00217-02-2025%' or</v>
      </c>
    </row>
    <row r="87" spans="1:10">
      <c r="A87" s="12" t="s">
        <v>2090</v>
      </c>
      <c r="B87" t="s">
        <v>5481</v>
      </c>
      <c r="H87">
        <v>52165</v>
      </c>
      <c r="I87" t="s">
        <v>5567</v>
      </c>
      <c r="J87" t="str">
        <f t="shared" si="1"/>
        <v>ia.assorted_string like '%52165-00218-02-2025%' or</v>
      </c>
    </row>
    <row r="88" spans="1:10">
      <c r="A88" s="12" t="s">
        <v>2104</v>
      </c>
      <c r="B88" t="s">
        <v>5481</v>
      </c>
      <c r="H88">
        <v>52165</v>
      </c>
      <c r="I88" t="s">
        <v>5568</v>
      </c>
      <c r="J88" t="str">
        <f t="shared" si="1"/>
        <v>ia.assorted_string like '%52165-00221-02-2025%' or</v>
      </c>
    </row>
    <row r="89" spans="1:10">
      <c r="A89" s="12" t="s">
        <v>2117</v>
      </c>
      <c r="B89" t="s">
        <v>5481</v>
      </c>
      <c r="H89">
        <v>52165</v>
      </c>
      <c r="I89" t="s">
        <v>5569</v>
      </c>
      <c r="J89" t="str">
        <f t="shared" si="1"/>
        <v>ia.assorted_string like '%52165-00222-02-2025%' or</v>
      </c>
    </row>
    <row r="90" spans="1:10">
      <c r="A90" s="12" t="s">
        <v>2132</v>
      </c>
      <c r="B90" t="s">
        <v>5481</v>
      </c>
      <c r="H90">
        <v>52165</v>
      </c>
      <c r="I90" t="s">
        <v>5570</v>
      </c>
      <c r="J90" t="str">
        <f t="shared" si="1"/>
        <v>ia.assorted_string like '%52165-00227-02-2025%' or</v>
      </c>
    </row>
    <row r="91" spans="1:10">
      <c r="A91" s="12" t="s">
        <v>2183</v>
      </c>
      <c r="B91" t="s">
        <v>5481</v>
      </c>
      <c r="H91">
        <v>52165</v>
      </c>
      <c r="I91" t="s">
        <v>5571</v>
      </c>
      <c r="J91" t="str">
        <f t="shared" si="1"/>
        <v>ia.assorted_string like '%52165-00230-02-2025%' or</v>
      </c>
    </row>
    <row r="92" spans="1:10">
      <c r="A92" s="12" t="s">
        <v>2196</v>
      </c>
      <c r="B92" t="s">
        <v>5481</v>
      </c>
      <c r="H92">
        <v>52165</v>
      </c>
      <c r="I92" t="s">
        <v>5572</v>
      </c>
      <c r="J92" t="str">
        <f t="shared" si="1"/>
        <v>ia.assorted_string like '%52165-00231-02-2025%' or</v>
      </c>
    </row>
    <row r="93" spans="1:10">
      <c r="A93" s="12" t="s">
        <v>2208</v>
      </c>
      <c r="B93" t="s">
        <v>5481</v>
      </c>
      <c r="H93">
        <v>52165</v>
      </c>
      <c r="I93" t="s">
        <v>5573</v>
      </c>
      <c r="J93" t="str">
        <f t="shared" si="1"/>
        <v>ia.assorted_string like '%52165-00232-02-2025%' or</v>
      </c>
    </row>
    <row r="94" spans="1:10">
      <c r="A94" s="12" t="s">
        <v>2258</v>
      </c>
      <c r="B94" t="s">
        <v>5481</v>
      </c>
      <c r="H94">
        <v>52165</v>
      </c>
      <c r="I94" t="s">
        <v>5574</v>
      </c>
      <c r="J94" t="str">
        <f t="shared" si="1"/>
        <v>ia.assorted_string like '%52165-00235-02-2025%' or</v>
      </c>
    </row>
    <row r="95" spans="1:10">
      <c r="A95" s="12" t="s">
        <v>2271</v>
      </c>
      <c r="B95" t="s">
        <v>5481</v>
      </c>
      <c r="H95">
        <v>52165</v>
      </c>
      <c r="I95" t="s">
        <v>5575</v>
      </c>
      <c r="J95" t="str">
        <f t="shared" si="1"/>
        <v>ia.assorted_string like '%52165-00236-02-2025%' or</v>
      </c>
    </row>
    <row r="96" spans="1:10">
      <c r="A96" s="12" t="s">
        <v>2295</v>
      </c>
      <c r="B96" t="s">
        <v>5481</v>
      </c>
      <c r="H96">
        <v>52165</v>
      </c>
      <c r="I96" t="s">
        <v>5576</v>
      </c>
      <c r="J96" t="str">
        <f t="shared" si="1"/>
        <v>ia.assorted_string like '%52165-00243-02-2025%' or</v>
      </c>
    </row>
    <row r="97" spans="1:10">
      <c r="A97" s="12" t="s">
        <v>2309</v>
      </c>
      <c r="B97" t="s">
        <v>5481</v>
      </c>
      <c r="H97">
        <v>52165</v>
      </c>
      <c r="I97" t="s">
        <v>5577</v>
      </c>
      <c r="J97" t="str">
        <f t="shared" si="1"/>
        <v>ia.assorted_string like '%52165-00246-02-2025%' or</v>
      </c>
    </row>
    <row r="98" spans="1:10">
      <c r="A98" s="12" t="s">
        <v>2350</v>
      </c>
      <c r="B98" t="s">
        <v>5481</v>
      </c>
      <c r="H98">
        <v>52165</v>
      </c>
      <c r="I98" t="s">
        <v>5578</v>
      </c>
      <c r="J98" t="str">
        <f t="shared" si="1"/>
        <v>ia.assorted_string like '%52165-00247-02-2025%' or</v>
      </c>
    </row>
    <row r="99" spans="1:10">
      <c r="A99" s="12" t="s">
        <v>2364</v>
      </c>
      <c r="B99" t="s">
        <v>5481</v>
      </c>
      <c r="H99">
        <v>52165</v>
      </c>
      <c r="I99" t="s">
        <v>5579</v>
      </c>
      <c r="J99" t="str">
        <f t="shared" si="1"/>
        <v>ia.assorted_string like '%52165-00249-02-2025%' or</v>
      </c>
    </row>
    <row r="100" spans="1:10">
      <c r="A100" s="12" t="s">
        <v>2378</v>
      </c>
      <c r="B100" t="s">
        <v>5481</v>
      </c>
      <c r="H100">
        <v>52165</v>
      </c>
      <c r="I100" t="s">
        <v>5580</v>
      </c>
      <c r="J100" t="str">
        <f t="shared" si="1"/>
        <v>ia.assorted_string like '%52165-00250-02-2025%' or</v>
      </c>
    </row>
    <row r="101" spans="1:10">
      <c r="A101" s="12" t="s">
        <v>2393</v>
      </c>
      <c r="B101" t="s">
        <v>5481</v>
      </c>
      <c r="H101">
        <v>52165</v>
      </c>
      <c r="I101" t="s">
        <v>5581</v>
      </c>
      <c r="J101" t="str">
        <f t="shared" si="1"/>
        <v>ia.assorted_string like '%52165-00251-02-2025%' or</v>
      </c>
    </row>
    <row r="102" spans="1:10">
      <c r="A102" s="12" t="s">
        <v>2405</v>
      </c>
      <c r="B102" t="s">
        <v>5481</v>
      </c>
      <c r="H102">
        <v>52165</v>
      </c>
      <c r="I102" t="s">
        <v>5582</v>
      </c>
      <c r="J102" t="str">
        <f t="shared" si="1"/>
        <v>ia.assorted_string like '%52165-00252-02-2025%' or</v>
      </c>
    </row>
    <row r="103" spans="1:10">
      <c r="A103" s="12" t="s">
        <v>2419</v>
      </c>
      <c r="B103" t="s">
        <v>5481</v>
      </c>
      <c r="H103">
        <v>52165</v>
      </c>
      <c r="I103" t="s">
        <v>5583</v>
      </c>
      <c r="J103" t="str">
        <f t="shared" si="1"/>
        <v>ia.assorted_string like '%52165-00254-02-2025%' or</v>
      </c>
    </row>
    <row r="104" spans="1:10">
      <c r="A104" s="12" t="s">
        <v>2445</v>
      </c>
      <c r="B104" t="s">
        <v>5481</v>
      </c>
      <c r="H104">
        <v>52165</v>
      </c>
      <c r="I104" t="s">
        <v>5584</v>
      </c>
      <c r="J104" t="str">
        <f t="shared" si="1"/>
        <v>ia.assorted_string like '%52165-00255-02-2025%' or</v>
      </c>
    </row>
    <row r="105" spans="1:10">
      <c r="A105" s="12" t="s">
        <v>2459</v>
      </c>
      <c r="B105" t="s">
        <v>5481</v>
      </c>
      <c r="H105">
        <v>52165</v>
      </c>
      <c r="I105" t="s">
        <v>5585</v>
      </c>
      <c r="J105" t="str">
        <f t="shared" si="1"/>
        <v>ia.assorted_string like '%52165-00256-02-2025%' or</v>
      </c>
    </row>
    <row r="106" spans="1:10">
      <c r="A106" s="12" t="s">
        <v>2471</v>
      </c>
      <c r="B106" t="s">
        <v>5481</v>
      </c>
      <c r="H106">
        <v>52165</v>
      </c>
      <c r="I106" t="s">
        <v>5586</v>
      </c>
      <c r="J106" t="str">
        <f t="shared" si="1"/>
        <v>ia.assorted_string like '%52165-00257-02-2025%' or</v>
      </c>
    </row>
    <row r="107" spans="1:10">
      <c r="A107" s="12" t="s">
        <v>2484</v>
      </c>
      <c r="B107" t="s">
        <v>5481</v>
      </c>
      <c r="H107">
        <v>52165</v>
      </c>
      <c r="I107" t="s">
        <v>5587</v>
      </c>
      <c r="J107" t="str">
        <f t="shared" si="1"/>
        <v>ia.assorted_string like '%52165-00262-02-2025%' or</v>
      </c>
    </row>
    <row r="108" spans="1:10">
      <c r="A108" s="12" t="s">
        <v>2593</v>
      </c>
      <c r="B108" t="s">
        <v>5481</v>
      </c>
      <c r="H108">
        <v>52165</v>
      </c>
      <c r="I108" t="s">
        <v>5588</v>
      </c>
      <c r="J108" t="str">
        <f t="shared" si="1"/>
        <v>ia.assorted_string like '%52165-00269-02-2025%' or</v>
      </c>
    </row>
    <row r="109" spans="1:10">
      <c r="A109" s="12" t="s">
        <v>2618</v>
      </c>
      <c r="B109" t="s">
        <v>5481</v>
      </c>
      <c r="H109">
        <v>52165</v>
      </c>
      <c r="I109" t="s">
        <v>5589</v>
      </c>
      <c r="J109" t="str">
        <f t="shared" si="1"/>
        <v>ia.assorted_string like '%52165-00270-02-2025%' or</v>
      </c>
    </row>
    <row r="110" spans="1:10">
      <c r="A110" s="12" t="s">
        <v>2653</v>
      </c>
      <c r="B110" t="s">
        <v>5481</v>
      </c>
      <c r="H110">
        <v>52165</v>
      </c>
      <c r="I110" t="s">
        <v>5590</v>
      </c>
      <c r="J110" t="str">
        <f t="shared" si="1"/>
        <v>ia.assorted_string like '%52165-00272-02-2025%' or</v>
      </c>
    </row>
    <row r="111" spans="1:10">
      <c r="A111" s="12" t="s">
        <v>2666</v>
      </c>
      <c r="B111" t="s">
        <v>5481</v>
      </c>
      <c r="H111">
        <v>52165</v>
      </c>
      <c r="I111" t="s">
        <v>5591</v>
      </c>
      <c r="J111" t="str">
        <f t="shared" si="1"/>
        <v>ia.assorted_string like '%52165-00273-02-2025%' or</v>
      </c>
    </row>
    <row r="112" spans="1:10">
      <c r="A112" s="12" t="s">
        <v>2679</v>
      </c>
      <c r="B112" t="s">
        <v>5481</v>
      </c>
      <c r="H112">
        <v>52165</v>
      </c>
      <c r="I112" t="s">
        <v>5592</v>
      </c>
      <c r="J112" t="str">
        <f t="shared" si="1"/>
        <v>ia.assorted_string like '%52165-00274-02-2025%' or</v>
      </c>
    </row>
    <row r="113" spans="1:10">
      <c r="A113" s="12" t="s">
        <v>2693</v>
      </c>
      <c r="B113" t="s">
        <v>5481</v>
      </c>
      <c r="H113">
        <v>52165</v>
      </c>
      <c r="I113" t="s">
        <v>5593</v>
      </c>
      <c r="J113" t="str">
        <f t="shared" si="1"/>
        <v>ia.assorted_string like '%52165-00276-02-2025%' or</v>
      </c>
    </row>
    <row r="114" spans="1:10">
      <c r="A114" s="12" t="s">
        <v>2706</v>
      </c>
      <c r="B114" t="s">
        <v>5481</v>
      </c>
      <c r="H114">
        <v>52165</v>
      </c>
      <c r="I114" t="s">
        <v>5594</v>
      </c>
      <c r="J114" t="str">
        <f t="shared" si="1"/>
        <v>ia.assorted_string like '%52165-00277-02-2025%' or</v>
      </c>
    </row>
    <row r="115" spans="1:10">
      <c r="A115" s="12" t="s">
        <v>2721</v>
      </c>
      <c r="B115" t="s">
        <v>5481</v>
      </c>
      <c r="H115">
        <v>52165</v>
      </c>
      <c r="I115" t="s">
        <v>5595</v>
      </c>
      <c r="J115" t="str">
        <f t="shared" si="1"/>
        <v>ia.assorted_string like '%52165-00278-02-2025%' or</v>
      </c>
    </row>
    <row r="116" spans="1:10">
      <c r="A116" s="12" t="s">
        <v>2742</v>
      </c>
      <c r="B116" t="s">
        <v>5481</v>
      </c>
      <c r="H116">
        <v>52165</v>
      </c>
      <c r="I116" t="s">
        <v>5596</v>
      </c>
      <c r="J116" t="str">
        <f t="shared" si="1"/>
        <v>ia.assorted_string like '%52165-00279-02-2025%' or</v>
      </c>
    </row>
    <row r="117" spans="1:10">
      <c r="A117" s="12" t="s">
        <v>2754</v>
      </c>
      <c r="B117" t="s">
        <v>5481</v>
      </c>
      <c r="H117">
        <v>52165</v>
      </c>
      <c r="I117" t="s">
        <v>5597</v>
      </c>
      <c r="J117" t="str">
        <f t="shared" si="1"/>
        <v>ia.assorted_string like '%52165-00280-02-2025%' or</v>
      </c>
    </row>
    <row r="118" spans="1:10">
      <c r="A118" s="12" t="s">
        <v>2778</v>
      </c>
      <c r="B118" t="s">
        <v>5481</v>
      </c>
      <c r="H118">
        <v>52165</v>
      </c>
      <c r="I118" t="s">
        <v>5598</v>
      </c>
      <c r="J118" t="str">
        <f t="shared" si="1"/>
        <v>ia.assorted_string like '%52165-00281-02-2025%' or</v>
      </c>
    </row>
    <row r="119" spans="1:10">
      <c r="A119" s="12" t="s">
        <v>2789</v>
      </c>
      <c r="B119" t="s">
        <v>5481</v>
      </c>
      <c r="H119">
        <v>52165</v>
      </c>
      <c r="I119" t="s">
        <v>5599</v>
      </c>
      <c r="J119" t="str">
        <f t="shared" si="1"/>
        <v>ia.assorted_string like '%52165-00286-02-2025%' or</v>
      </c>
    </row>
    <row r="120" spans="1:10">
      <c r="A120" s="12" t="s">
        <v>2800</v>
      </c>
      <c r="B120" t="s">
        <v>5481</v>
      </c>
      <c r="H120">
        <v>52165</v>
      </c>
      <c r="I120" t="s">
        <v>5600</v>
      </c>
      <c r="J120" t="str">
        <f t="shared" si="1"/>
        <v>ia.assorted_string like '%52165-00289-02-2025%' or</v>
      </c>
    </row>
    <row r="121" spans="1:10">
      <c r="A121" s="12" t="s">
        <v>2834</v>
      </c>
      <c r="B121" t="s">
        <v>5481</v>
      </c>
      <c r="H121">
        <v>52165</v>
      </c>
      <c r="I121" t="s">
        <v>5601</v>
      </c>
      <c r="J121" t="str">
        <f t="shared" si="1"/>
        <v>ia.assorted_string like '%52165-00290-02-2025%' or</v>
      </c>
    </row>
    <row r="122" spans="1:10">
      <c r="A122" s="12" t="s">
        <v>2848</v>
      </c>
      <c r="B122" t="s">
        <v>5481</v>
      </c>
      <c r="H122">
        <v>52165</v>
      </c>
      <c r="I122" t="s">
        <v>5602</v>
      </c>
      <c r="J122" t="str">
        <f t="shared" si="1"/>
        <v>ia.assorted_string like '%52165-00291-02-2025%' or</v>
      </c>
    </row>
    <row r="123" spans="1:10">
      <c r="A123" s="12" t="s">
        <v>2861</v>
      </c>
      <c r="B123" t="s">
        <v>5481</v>
      </c>
      <c r="H123">
        <v>52165</v>
      </c>
      <c r="I123" t="s">
        <v>5603</v>
      </c>
      <c r="J123" t="str">
        <f t="shared" si="1"/>
        <v>ia.assorted_string like '%52165-00296-02-2025%' or</v>
      </c>
    </row>
    <row r="124" spans="1:10">
      <c r="A124" s="12" t="s">
        <v>2874</v>
      </c>
      <c r="B124" t="s">
        <v>5481</v>
      </c>
      <c r="H124">
        <v>52165</v>
      </c>
      <c r="I124" t="s">
        <v>5604</v>
      </c>
      <c r="J124" t="str">
        <f t="shared" si="1"/>
        <v>ia.assorted_string like '%52165-00299-02-2025%' or</v>
      </c>
    </row>
    <row r="125" spans="1:10">
      <c r="A125" s="12" t="s">
        <v>2890</v>
      </c>
      <c r="B125" t="s">
        <v>5481</v>
      </c>
      <c r="H125">
        <v>52165</v>
      </c>
      <c r="I125" t="s">
        <v>5605</v>
      </c>
      <c r="J125" t="str">
        <f t="shared" si="1"/>
        <v>ia.assorted_string like '%52165-00300-02-2025%' or</v>
      </c>
    </row>
    <row r="126" spans="1:10">
      <c r="A126" s="12" t="s">
        <v>2932</v>
      </c>
      <c r="B126" t="s">
        <v>5481</v>
      </c>
      <c r="H126">
        <v>52165</v>
      </c>
      <c r="I126" t="s">
        <v>5606</v>
      </c>
      <c r="J126" t="str">
        <f t="shared" si="1"/>
        <v>ia.assorted_string like '%52165-00304-02-2025%' or</v>
      </c>
    </row>
    <row r="127" spans="1:10">
      <c r="A127" s="12" t="s">
        <v>2945</v>
      </c>
      <c r="B127" t="s">
        <v>5481</v>
      </c>
      <c r="H127">
        <v>52165</v>
      </c>
      <c r="I127" t="s">
        <v>5607</v>
      </c>
      <c r="J127" t="str">
        <f t="shared" si="1"/>
        <v>ia.assorted_string like '%52165-00307-02-2025%' or</v>
      </c>
    </row>
    <row r="128" spans="1:10">
      <c r="A128" s="12" t="s">
        <v>2958</v>
      </c>
      <c r="B128" t="s">
        <v>5481</v>
      </c>
      <c r="H128">
        <v>52165</v>
      </c>
      <c r="I128" t="s">
        <v>5608</v>
      </c>
      <c r="J128" t="str">
        <f t="shared" si="1"/>
        <v>ia.assorted_string like '%52165-00308-02-2025%' or</v>
      </c>
    </row>
    <row r="129" spans="1:10">
      <c r="A129" s="12" t="s">
        <v>2981</v>
      </c>
      <c r="B129" t="s">
        <v>5481</v>
      </c>
      <c r="H129">
        <v>52165</v>
      </c>
      <c r="I129" t="s">
        <v>5609</v>
      </c>
      <c r="J129" t="str">
        <f t="shared" si="1"/>
        <v>ia.assorted_string like '%52165-00309-02-2025%' or</v>
      </c>
    </row>
    <row r="130" spans="1:10">
      <c r="A130" s="12" t="s">
        <v>2995</v>
      </c>
      <c r="B130" t="s">
        <v>5481</v>
      </c>
      <c r="H130">
        <v>52165</v>
      </c>
      <c r="I130" t="s">
        <v>5610</v>
      </c>
      <c r="J130" t="str">
        <f t="shared" si="1"/>
        <v>ia.assorted_string like '%52165-00311-02-2025%' or</v>
      </c>
    </row>
    <row r="131" spans="1:10">
      <c r="A131" s="12" t="s">
        <v>3008</v>
      </c>
      <c r="B131" t="s">
        <v>5481</v>
      </c>
      <c r="H131">
        <v>52165</v>
      </c>
      <c r="I131" t="s">
        <v>5611</v>
      </c>
      <c r="J131" t="str">
        <f t="shared" ref="J131:J155" si="2">"ia.assorted_string like '%"&amp;H131&amp;"-"&amp;I131&amp;B131&amp;"%' or"</f>
        <v>ia.assorted_string like '%52165-00313-02-2025%' or</v>
      </c>
    </row>
    <row r="132" spans="1:10">
      <c r="A132" s="12" t="s">
        <v>3021</v>
      </c>
      <c r="B132" t="s">
        <v>5481</v>
      </c>
      <c r="H132">
        <v>52165</v>
      </c>
      <c r="I132" t="s">
        <v>5612</v>
      </c>
      <c r="J132" t="str">
        <f t="shared" si="2"/>
        <v>ia.assorted_string like '%52165-00314-02-2025%' or</v>
      </c>
    </row>
    <row r="133" spans="1:10">
      <c r="A133" s="12" t="s">
        <v>3071</v>
      </c>
      <c r="B133" t="s">
        <v>5481</v>
      </c>
      <c r="H133">
        <v>52165</v>
      </c>
      <c r="I133" t="s">
        <v>5613</v>
      </c>
      <c r="J133" t="str">
        <f t="shared" si="2"/>
        <v>ia.assorted_string like '%52165-00316-02-2025%' or</v>
      </c>
    </row>
    <row r="134" spans="1:10">
      <c r="A134" s="12" t="s">
        <v>3109</v>
      </c>
      <c r="B134" t="s">
        <v>5481</v>
      </c>
      <c r="H134">
        <v>52165</v>
      </c>
      <c r="I134" t="s">
        <v>5614</v>
      </c>
      <c r="J134" t="str">
        <f t="shared" si="2"/>
        <v>ia.assorted_string like '%52165-00320-02-2025%' or</v>
      </c>
    </row>
    <row r="135" spans="1:10">
      <c r="A135" s="12" t="s">
        <v>3122</v>
      </c>
      <c r="B135" t="s">
        <v>5481</v>
      </c>
      <c r="H135">
        <v>52165</v>
      </c>
      <c r="I135" t="s">
        <v>5615</v>
      </c>
      <c r="J135" t="str">
        <f t="shared" si="2"/>
        <v>ia.assorted_string like '%52165-00321-02-2025%' or</v>
      </c>
    </row>
    <row r="136" spans="1:10">
      <c r="A136" s="12" t="s">
        <v>3135</v>
      </c>
      <c r="B136" t="s">
        <v>5481</v>
      </c>
      <c r="H136">
        <v>52165</v>
      </c>
      <c r="I136" t="s">
        <v>5616</v>
      </c>
      <c r="J136" t="str">
        <f t="shared" si="2"/>
        <v>ia.assorted_string like '%52165-00322-02-2025%' or</v>
      </c>
    </row>
    <row r="137" spans="1:10">
      <c r="A137" s="12" t="s">
        <v>3147</v>
      </c>
      <c r="B137" t="s">
        <v>5481</v>
      </c>
      <c r="H137">
        <v>52165</v>
      </c>
      <c r="I137" t="s">
        <v>5617</v>
      </c>
      <c r="J137" t="str">
        <f t="shared" si="2"/>
        <v>ia.assorted_string like '%52165-00326-02-2025%' or</v>
      </c>
    </row>
    <row r="138" spans="1:10">
      <c r="A138" s="12" t="s">
        <v>3196</v>
      </c>
      <c r="B138" t="s">
        <v>5481</v>
      </c>
      <c r="H138">
        <v>52165</v>
      </c>
      <c r="I138" t="s">
        <v>5618</v>
      </c>
      <c r="J138" t="str">
        <f t="shared" si="2"/>
        <v>ia.assorted_string like '%52165-00330-02-2025%' or</v>
      </c>
    </row>
    <row r="139" spans="1:10">
      <c r="A139" s="12" t="s">
        <v>3220</v>
      </c>
      <c r="B139" t="s">
        <v>5481</v>
      </c>
      <c r="H139">
        <v>52227</v>
      </c>
      <c r="I139" t="s">
        <v>5619</v>
      </c>
      <c r="J139" t="str">
        <f t="shared" si="2"/>
        <v>ia.assorted_string like '%52227-00098-02-2025%' or</v>
      </c>
    </row>
    <row r="140" spans="1:10">
      <c r="A140" s="12" t="s">
        <v>3233</v>
      </c>
      <c r="B140" t="s">
        <v>5481</v>
      </c>
      <c r="H140">
        <v>52165</v>
      </c>
      <c r="I140" t="s">
        <v>5620</v>
      </c>
      <c r="J140" t="str">
        <f t="shared" si="2"/>
        <v>ia.assorted_string like '%52165-00357-02-2025%' or</v>
      </c>
    </row>
    <row r="141" spans="1:10">
      <c r="A141" s="12" t="s">
        <v>3245</v>
      </c>
      <c r="B141" t="s">
        <v>5481</v>
      </c>
      <c r="H141">
        <v>52165</v>
      </c>
      <c r="I141" t="s">
        <v>5621</v>
      </c>
      <c r="J141" t="str">
        <f t="shared" si="2"/>
        <v>ia.assorted_string like '%52165-00372-02-2025%' or</v>
      </c>
    </row>
    <row r="142" spans="1:10">
      <c r="A142" s="12" t="s">
        <v>3270</v>
      </c>
      <c r="B142" t="s">
        <v>5481</v>
      </c>
      <c r="H142">
        <v>52165</v>
      </c>
      <c r="I142" t="s">
        <v>5622</v>
      </c>
      <c r="J142" t="str">
        <f t="shared" si="2"/>
        <v>ia.assorted_string like '%52165-00373-02-2025%' or</v>
      </c>
    </row>
    <row r="143" spans="1:10">
      <c r="A143" s="12" t="s">
        <v>3284</v>
      </c>
      <c r="B143" t="s">
        <v>5481</v>
      </c>
      <c r="H143">
        <v>52165</v>
      </c>
      <c r="I143" t="s">
        <v>5623</v>
      </c>
      <c r="J143" t="str">
        <f t="shared" si="2"/>
        <v>ia.assorted_string like '%52165-00375-02-2025%' or</v>
      </c>
    </row>
    <row r="144" spans="1:10">
      <c r="A144" s="12" t="s">
        <v>3297</v>
      </c>
      <c r="B144" t="s">
        <v>5481</v>
      </c>
      <c r="H144">
        <v>52165</v>
      </c>
      <c r="I144" t="s">
        <v>5624</v>
      </c>
      <c r="J144" t="str">
        <f t="shared" si="2"/>
        <v>ia.assorted_string like '%52165-00385-02-2025%' or</v>
      </c>
    </row>
    <row r="145" spans="1:10">
      <c r="A145" s="12" t="s">
        <v>3310</v>
      </c>
      <c r="B145" t="s">
        <v>5481</v>
      </c>
      <c r="H145">
        <v>52165</v>
      </c>
      <c r="I145" t="s">
        <v>5625</v>
      </c>
      <c r="J145" t="str">
        <f t="shared" si="2"/>
        <v>ia.assorted_string like '%52165-00386-02-2025%' or</v>
      </c>
    </row>
    <row r="146" spans="1:10">
      <c r="A146" s="12" t="s">
        <v>3323</v>
      </c>
      <c r="B146" t="s">
        <v>5481</v>
      </c>
      <c r="H146">
        <v>52165</v>
      </c>
      <c r="I146" t="s">
        <v>5626</v>
      </c>
      <c r="J146" t="str">
        <f t="shared" si="2"/>
        <v>ia.assorted_string like '%52165-00402-02-2025%' or</v>
      </c>
    </row>
    <row r="147" spans="1:10">
      <c r="A147" s="12" t="s">
        <v>3337</v>
      </c>
      <c r="B147" t="s">
        <v>5481</v>
      </c>
      <c r="H147">
        <v>52165</v>
      </c>
      <c r="I147" t="s">
        <v>5627</v>
      </c>
      <c r="J147" t="str">
        <f t="shared" si="2"/>
        <v>ia.assorted_string like '%52165-00404-02-2025%' or</v>
      </c>
    </row>
    <row r="148" spans="1:10">
      <c r="A148" s="12" t="s">
        <v>3373</v>
      </c>
      <c r="B148" t="s">
        <v>5481</v>
      </c>
      <c r="H148">
        <v>52165</v>
      </c>
      <c r="I148" t="s">
        <v>5628</v>
      </c>
      <c r="J148" t="str">
        <f t="shared" si="2"/>
        <v>ia.assorted_string like '%52165-00312-02-2025%' or</v>
      </c>
    </row>
    <row r="149" spans="1:10">
      <c r="A149" s="12" t="s">
        <v>3387</v>
      </c>
      <c r="B149" t="s">
        <v>5481</v>
      </c>
      <c r="H149">
        <v>52165</v>
      </c>
      <c r="I149" t="s">
        <v>5629</v>
      </c>
      <c r="J149" t="str">
        <f t="shared" si="2"/>
        <v>ia.assorted_string like '%52165-00248-02-2025%' or</v>
      </c>
    </row>
    <row r="150" spans="1:10">
      <c r="A150" s="12" t="s">
        <v>3402</v>
      </c>
      <c r="B150" t="s">
        <v>5481</v>
      </c>
      <c r="H150">
        <v>52165</v>
      </c>
      <c r="I150" t="s">
        <v>5630</v>
      </c>
      <c r="J150" t="str">
        <f t="shared" si="2"/>
        <v>ia.assorted_string like '%52165-00205-02-2025%' or</v>
      </c>
    </row>
    <row r="151" spans="1:10">
      <c r="A151" s="12" t="s">
        <v>3426</v>
      </c>
      <c r="B151" t="s">
        <v>5481</v>
      </c>
      <c r="H151">
        <v>52165</v>
      </c>
      <c r="I151" t="s">
        <v>5631</v>
      </c>
      <c r="J151" t="str">
        <f t="shared" si="2"/>
        <v>ia.assorted_string like '%52165-00055-02-2025%' or</v>
      </c>
    </row>
    <row r="152" spans="1:10">
      <c r="A152" s="12" t="s">
        <v>5395</v>
      </c>
      <c r="B152" t="s">
        <v>5481</v>
      </c>
      <c r="H152">
        <v>52165</v>
      </c>
      <c r="I152" t="s">
        <v>5632</v>
      </c>
      <c r="J152" t="str">
        <f t="shared" si="2"/>
        <v>ia.assorted_string like '%52165-00014-02-2025%' or</v>
      </c>
    </row>
    <row r="153" spans="1:10">
      <c r="A153" s="12" t="s">
        <v>5407</v>
      </c>
      <c r="B153" t="s">
        <v>5481</v>
      </c>
      <c r="H153">
        <v>52165</v>
      </c>
      <c r="I153" t="s">
        <v>5633</v>
      </c>
      <c r="J153" t="str">
        <f t="shared" si="2"/>
        <v>ia.assorted_string like '%52165-00015-02-2025%' or</v>
      </c>
    </row>
    <row r="154" spans="1:10">
      <c r="A154" s="12" t="s">
        <v>5421</v>
      </c>
      <c r="B154" t="s">
        <v>5481</v>
      </c>
      <c r="H154">
        <v>52165</v>
      </c>
      <c r="I154" t="s">
        <v>5634</v>
      </c>
      <c r="J154" t="str">
        <f t="shared" si="2"/>
        <v>ia.assorted_string like '%52165-00261-02-2025%' or</v>
      </c>
    </row>
    <row r="155" spans="1:10">
      <c r="A155" s="12" t="s">
        <v>5434</v>
      </c>
      <c r="B155" t="s">
        <v>5481</v>
      </c>
      <c r="H155">
        <v>52165</v>
      </c>
      <c r="I155" t="s">
        <v>5635</v>
      </c>
      <c r="J155" t="str">
        <f t="shared" si="2"/>
        <v>ia.assorted_string like '%52165-00337-02-2025%' 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4E6E4-4855-4F8F-AFC3-946DFF9E5FD6}">
  <dimension ref="A1:C155"/>
  <sheetViews>
    <sheetView workbookViewId="0">
      <selection activeCell="F9" sqref="F9"/>
    </sheetView>
  </sheetViews>
  <sheetFormatPr defaultColWidth="7.85546875" defaultRowHeight="12.75"/>
  <cols>
    <col min="1" max="1" width="3.140625" customWidth="1"/>
    <col min="2" max="2" width="34.7109375" customWidth="1"/>
    <col min="3" max="3" width="14" customWidth="1"/>
  </cols>
  <sheetData>
    <row r="1" spans="1:3" s="20" customFormat="1" ht="12">
      <c r="A1" s="20" t="s">
        <v>5638</v>
      </c>
      <c r="B1" s="20" t="s">
        <v>5639</v>
      </c>
      <c r="C1" s="20" t="s">
        <v>5640</v>
      </c>
    </row>
    <row r="2" spans="1:3">
      <c r="A2">
        <v>1</v>
      </c>
      <c r="B2" t="s">
        <v>1074</v>
      </c>
      <c r="C2" t="s">
        <v>5641</v>
      </c>
    </row>
    <row r="3" spans="1:3">
      <c r="A3">
        <v>2</v>
      </c>
      <c r="B3" t="s">
        <v>1183</v>
      </c>
      <c r="C3" t="s">
        <v>5642</v>
      </c>
    </row>
    <row r="4" spans="1:3">
      <c r="A4">
        <v>3</v>
      </c>
      <c r="B4" t="s">
        <v>1367</v>
      </c>
      <c r="C4" t="s">
        <v>5643</v>
      </c>
    </row>
    <row r="5" spans="1:3">
      <c r="A5">
        <v>4</v>
      </c>
      <c r="B5" t="s">
        <v>1431</v>
      </c>
      <c r="C5" t="s">
        <v>5644</v>
      </c>
    </row>
    <row r="6" spans="1:3">
      <c r="A6">
        <v>5</v>
      </c>
      <c r="B6" t="s">
        <v>1458</v>
      </c>
      <c r="C6" t="s">
        <v>5645</v>
      </c>
    </row>
    <row r="7" spans="1:3">
      <c r="A7">
        <v>6</v>
      </c>
      <c r="B7" t="s">
        <v>1585</v>
      </c>
      <c r="C7" t="s">
        <v>5646</v>
      </c>
    </row>
    <row r="8" spans="1:3">
      <c r="A8">
        <v>7</v>
      </c>
      <c r="B8" t="s">
        <v>1610</v>
      </c>
      <c r="C8" t="s">
        <v>5647</v>
      </c>
    </row>
    <row r="9" spans="1:3">
      <c r="A9">
        <v>8</v>
      </c>
      <c r="B9" t="s">
        <v>1677</v>
      </c>
      <c r="C9" t="s">
        <v>5648</v>
      </c>
    </row>
    <row r="10" spans="1:3">
      <c r="A10">
        <v>9</v>
      </c>
      <c r="B10" t="s">
        <v>1903</v>
      </c>
      <c r="C10" t="s">
        <v>5649</v>
      </c>
    </row>
    <row r="11" spans="1:3">
      <c r="A11">
        <v>10</v>
      </c>
      <c r="B11" t="s">
        <v>3297</v>
      </c>
      <c r="C11" t="s">
        <v>5650</v>
      </c>
    </row>
    <row r="12" spans="1:3">
      <c r="A12">
        <v>11</v>
      </c>
      <c r="B12" t="s">
        <v>1957</v>
      </c>
      <c r="C12" t="s">
        <v>5651</v>
      </c>
    </row>
    <row r="13" spans="1:3">
      <c r="A13">
        <v>12</v>
      </c>
      <c r="B13" t="s">
        <v>1984</v>
      </c>
      <c r="C13" t="s">
        <v>5652</v>
      </c>
    </row>
    <row r="14" spans="1:3">
      <c r="A14">
        <v>13</v>
      </c>
      <c r="B14" t="s">
        <v>2062</v>
      </c>
      <c r="C14" t="s">
        <v>5653</v>
      </c>
    </row>
    <row r="15" spans="1:3">
      <c r="A15">
        <v>14</v>
      </c>
      <c r="B15" t="s">
        <v>2090</v>
      </c>
      <c r="C15" t="s">
        <v>5654</v>
      </c>
    </row>
    <row r="16" spans="1:3">
      <c r="A16">
        <v>15</v>
      </c>
      <c r="B16" t="s">
        <v>2117</v>
      </c>
      <c r="C16" t="s">
        <v>5655</v>
      </c>
    </row>
    <row r="17" spans="1:3">
      <c r="A17">
        <v>16</v>
      </c>
      <c r="B17" t="s">
        <v>2258</v>
      </c>
      <c r="C17" t="s">
        <v>5656</v>
      </c>
    </row>
    <row r="18" spans="1:3">
      <c r="A18">
        <v>17</v>
      </c>
      <c r="B18" t="s">
        <v>2800</v>
      </c>
      <c r="C18" t="s">
        <v>5657</v>
      </c>
    </row>
    <row r="19" spans="1:3">
      <c r="A19">
        <v>18</v>
      </c>
      <c r="B19" t="s">
        <v>2861</v>
      </c>
      <c r="C19" t="s">
        <v>5658</v>
      </c>
    </row>
    <row r="20" spans="1:3">
      <c r="A20">
        <v>19</v>
      </c>
      <c r="B20" t="s">
        <v>3323</v>
      </c>
      <c r="C20" t="s">
        <v>5659</v>
      </c>
    </row>
    <row r="21" spans="1:3">
      <c r="A21">
        <v>20</v>
      </c>
      <c r="B21" t="s">
        <v>3337</v>
      </c>
      <c r="C21" t="s">
        <v>5660</v>
      </c>
    </row>
    <row r="22" spans="1:3">
      <c r="A22">
        <v>21</v>
      </c>
      <c r="B22" t="s">
        <v>2890</v>
      </c>
      <c r="C22" t="s">
        <v>5661</v>
      </c>
    </row>
    <row r="23" spans="1:3">
      <c r="A23">
        <v>22</v>
      </c>
      <c r="B23" t="s">
        <v>3021</v>
      </c>
      <c r="C23" t="s">
        <v>5662</v>
      </c>
    </row>
    <row r="24" spans="1:3">
      <c r="A24">
        <v>23</v>
      </c>
      <c r="B24" t="s">
        <v>3122</v>
      </c>
      <c r="C24" t="s">
        <v>5663</v>
      </c>
    </row>
    <row r="25" spans="1:3">
      <c r="A25">
        <v>24</v>
      </c>
      <c r="B25" t="s">
        <v>3270</v>
      </c>
      <c r="C25" t="s">
        <v>5664</v>
      </c>
    </row>
    <row r="26" spans="1:3">
      <c r="A26">
        <v>25</v>
      </c>
      <c r="B26" t="s">
        <v>3310</v>
      </c>
      <c r="C26" t="s">
        <v>5665</v>
      </c>
    </row>
    <row r="27" spans="1:3">
      <c r="A27">
        <v>26</v>
      </c>
      <c r="B27" t="s">
        <v>622</v>
      </c>
      <c r="C27" t="s">
        <v>5666</v>
      </c>
    </row>
    <row r="28" spans="1:3">
      <c r="A28">
        <v>27</v>
      </c>
      <c r="B28" t="s">
        <v>646</v>
      </c>
      <c r="C28" t="s">
        <v>5667</v>
      </c>
    </row>
    <row r="29" spans="1:3">
      <c r="A29">
        <v>28</v>
      </c>
      <c r="B29" t="s">
        <v>673</v>
      </c>
      <c r="C29" t="s">
        <v>5668</v>
      </c>
    </row>
    <row r="30" spans="1:3">
      <c r="A30">
        <v>29</v>
      </c>
      <c r="B30" t="s">
        <v>687</v>
      </c>
      <c r="C30" t="s">
        <v>5669</v>
      </c>
    </row>
    <row r="31" spans="1:3">
      <c r="A31">
        <v>30</v>
      </c>
      <c r="B31" t="s">
        <v>714</v>
      </c>
      <c r="C31" t="s">
        <v>5670</v>
      </c>
    </row>
    <row r="32" spans="1:3">
      <c r="A32">
        <v>31</v>
      </c>
      <c r="B32" t="s">
        <v>731</v>
      </c>
      <c r="C32" t="s">
        <v>5671</v>
      </c>
    </row>
    <row r="33" spans="1:3">
      <c r="A33">
        <v>32</v>
      </c>
      <c r="B33" t="s">
        <v>745</v>
      </c>
      <c r="C33" t="s">
        <v>5672</v>
      </c>
    </row>
    <row r="34" spans="1:3">
      <c r="A34">
        <v>33</v>
      </c>
      <c r="B34" t="s">
        <v>771</v>
      </c>
      <c r="C34" t="s">
        <v>5673</v>
      </c>
    </row>
    <row r="35" spans="1:3">
      <c r="A35">
        <v>34</v>
      </c>
      <c r="B35" t="s">
        <v>825</v>
      </c>
      <c r="C35" t="s">
        <v>5674</v>
      </c>
    </row>
    <row r="36" spans="1:3">
      <c r="A36">
        <v>35</v>
      </c>
      <c r="B36" t="s">
        <v>840</v>
      </c>
      <c r="C36" t="s">
        <v>5675</v>
      </c>
    </row>
    <row r="37" spans="1:3">
      <c r="A37">
        <v>36</v>
      </c>
      <c r="B37" t="s">
        <v>867</v>
      </c>
      <c r="C37" t="s">
        <v>5676</v>
      </c>
    </row>
    <row r="38" spans="1:3">
      <c r="A38">
        <v>37</v>
      </c>
      <c r="B38" t="s">
        <v>225</v>
      </c>
      <c r="C38" t="s">
        <v>5677</v>
      </c>
    </row>
    <row r="39" spans="1:3">
      <c r="A39">
        <v>38</v>
      </c>
      <c r="B39" t="s">
        <v>5395</v>
      </c>
      <c r="C39" t="s">
        <v>5678</v>
      </c>
    </row>
    <row r="40" spans="1:3">
      <c r="A40">
        <v>39</v>
      </c>
      <c r="B40" t="s">
        <v>5407</v>
      </c>
      <c r="C40" t="s">
        <v>5679</v>
      </c>
    </row>
    <row r="41" spans="1:3">
      <c r="A41">
        <v>40</v>
      </c>
      <c r="B41" t="s">
        <v>242</v>
      </c>
      <c r="C41" t="s">
        <v>5680</v>
      </c>
    </row>
    <row r="42" spans="1:3">
      <c r="A42">
        <v>41</v>
      </c>
      <c r="B42" t="s">
        <v>257</v>
      </c>
      <c r="C42" t="s">
        <v>5681</v>
      </c>
    </row>
    <row r="43" spans="1:3">
      <c r="A43">
        <v>42</v>
      </c>
      <c r="B43" t="s">
        <v>894</v>
      </c>
      <c r="C43" t="s">
        <v>5682</v>
      </c>
    </row>
    <row r="44" spans="1:3">
      <c r="A44">
        <v>43</v>
      </c>
      <c r="B44" t="s">
        <v>909</v>
      </c>
      <c r="C44" t="s">
        <v>5683</v>
      </c>
    </row>
    <row r="45" spans="1:3">
      <c r="A45">
        <v>44</v>
      </c>
      <c r="B45" t="s">
        <v>923</v>
      </c>
      <c r="C45" t="s">
        <v>5684</v>
      </c>
    </row>
    <row r="46" spans="1:3">
      <c r="A46">
        <v>45</v>
      </c>
      <c r="B46" t="s">
        <v>957</v>
      </c>
      <c r="C46" t="s">
        <v>5685</v>
      </c>
    </row>
    <row r="47" spans="1:3">
      <c r="A47">
        <v>46</v>
      </c>
      <c r="B47" t="s">
        <v>973</v>
      </c>
      <c r="C47" t="s">
        <v>5686</v>
      </c>
    </row>
    <row r="48" spans="1:3">
      <c r="A48">
        <v>47</v>
      </c>
      <c r="B48" t="s">
        <v>998</v>
      </c>
      <c r="C48" t="s">
        <v>5687</v>
      </c>
    </row>
    <row r="49" spans="1:3">
      <c r="A49">
        <v>48</v>
      </c>
      <c r="B49" t="s">
        <v>1034</v>
      </c>
      <c r="C49" t="s">
        <v>5688</v>
      </c>
    </row>
    <row r="50" spans="1:3">
      <c r="A50">
        <v>49</v>
      </c>
      <c r="B50" t="s">
        <v>1060</v>
      </c>
      <c r="C50" t="s">
        <v>5689</v>
      </c>
    </row>
    <row r="51" spans="1:3">
      <c r="A51">
        <v>50</v>
      </c>
      <c r="B51" t="s">
        <v>1088</v>
      </c>
      <c r="C51" t="s">
        <v>5690</v>
      </c>
    </row>
    <row r="52" spans="1:3">
      <c r="A52">
        <v>51</v>
      </c>
      <c r="B52" t="s">
        <v>1130</v>
      </c>
      <c r="C52" t="s">
        <v>5691</v>
      </c>
    </row>
    <row r="53" spans="1:3">
      <c r="A53">
        <v>52</v>
      </c>
      <c r="B53" t="s">
        <v>322</v>
      </c>
      <c r="C53" t="s">
        <v>5692</v>
      </c>
    </row>
    <row r="54" spans="1:3">
      <c r="A54">
        <v>53</v>
      </c>
      <c r="B54" t="s">
        <v>342</v>
      </c>
      <c r="C54" t="s">
        <v>5693</v>
      </c>
    </row>
    <row r="55" spans="1:3">
      <c r="A55">
        <v>54</v>
      </c>
      <c r="B55" t="s">
        <v>396</v>
      </c>
      <c r="C55" t="s">
        <v>5694</v>
      </c>
    </row>
    <row r="56" spans="1:3">
      <c r="A56">
        <v>55</v>
      </c>
      <c r="B56" t="s">
        <v>410</v>
      </c>
      <c r="C56" t="s">
        <v>5695</v>
      </c>
    </row>
    <row r="57" spans="1:3">
      <c r="A57">
        <v>56</v>
      </c>
      <c r="B57" t="s">
        <v>424</v>
      </c>
      <c r="C57" t="s">
        <v>5696</v>
      </c>
    </row>
    <row r="58" spans="1:3">
      <c r="A58">
        <v>57</v>
      </c>
      <c r="B58" t="s">
        <v>1156</v>
      </c>
      <c r="C58" t="s">
        <v>5697</v>
      </c>
    </row>
    <row r="59" spans="1:3">
      <c r="A59">
        <v>58</v>
      </c>
      <c r="B59" t="s">
        <v>1170</v>
      </c>
      <c r="C59" t="s">
        <v>5698</v>
      </c>
    </row>
    <row r="60" spans="1:3">
      <c r="A60">
        <v>59</v>
      </c>
      <c r="B60" t="s">
        <v>1381</v>
      </c>
      <c r="C60" t="s">
        <v>5699</v>
      </c>
    </row>
    <row r="61" spans="1:3">
      <c r="A61">
        <v>60</v>
      </c>
      <c r="B61" t="s">
        <v>1394</v>
      </c>
      <c r="C61" t="s">
        <v>5700</v>
      </c>
    </row>
    <row r="62" spans="1:3">
      <c r="A62">
        <v>61</v>
      </c>
      <c r="B62" t="s">
        <v>1445</v>
      </c>
      <c r="C62" t="s">
        <v>5701</v>
      </c>
    </row>
    <row r="63" spans="1:3">
      <c r="A63">
        <v>62</v>
      </c>
      <c r="B63" t="s">
        <v>1471</v>
      </c>
      <c r="C63" t="s">
        <v>5702</v>
      </c>
    </row>
    <row r="64" spans="1:3">
      <c r="A64">
        <v>63</v>
      </c>
      <c r="B64" t="s">
        <v>453</v>
      </c>
      <c r="C64" t="s">
        <v>5703</v>
      </c>
    </row>
    <row r="65" spans="1:3">
      <c r="A65">
        <v>64</v>
      </c>
      <c r="B65" t="s">
        <v>469</v>
      </c>
      <c r="C65" t="s">
        <v>5704</v>
      </c>
    </row>
    <row r="66" spans="1:3">
      <c r="A66">
        <v>65</v>
      </c>
      <c r="B66" t="s">
        <v>509</v>
      </c>
      <c r="C66" t="s">
        <v>5705</v>
      </c>
    </row>
    <row r="67" spans="1:3">
      <c r="A67">
        <v>66</v>
      </c>
      <c r="B67" t="s">
        <v>525</v>
      </c>
      <c r="C67" t="s">
        <v>5706</v>
      </c>
    </row>
    <row r="68" spans="1:3">
      <c r="A68">
        <v>67</v>
      </c>
      <c r="B68" t="s">
        <v>539</v>
      </c>
      <c r="C68" t="s">
        <v>5707</v>
      </c>
    </row>
    <row r="69" spans="1:3">
      <c r="A69">
        <v>68</v>
      </c>
      <c r="B69" t="s">
        <v>553</v>
      </c>
      <c r="C69" t="s">
        <v>5708</v>
      </c>
    </row>
    <row r="70" spans="1:3">
      <c r="A70">
        <v>69</v>
      </c>
      <c r="B70" t="s">
        <v>595</v>
      </c>
      <c r="C70" t="s">
        <v>5709</v>
      </c>
    </row>
    <row r="71" spans="1:3">
      <c r="A71">
        <v>70</v>
      </c>
      <c r="B71" t="s">
        <v>3426</v>
      </c>
      <c r="C71" t="s">
        <v>5710</v>
      </c>
    </row>
    <row r="72" spans="1:3">
      <c r="A72">
        <v>71</v>
      </c>
      <c r="B72" t="s">
        <v>1485</v>
      </c>
      <c r="C72" t="s">
        <v>5711</v>
      </c>
    </row>
    <row r="73" spans="1:3">
      <c r="A73">
        <v>72</v>
      </c>
      <c r="B73" t="s">
        <v>1498</v>
      </c>
      <c r="C73" t="s">
        <v>5712</v>
      </c>
    </row>
    <row r="74" spans="1:3">
      <c r="A74">
        <v>73</v>
      </c>
      <c r="B74" t="s">
        <v>1512</v>
      </c>
      <c r="C74" t="s">
        <v>5713</v>
      </c>
    </row>
    <row r="75" spans="1:3">
      <c r="A75">
        <v>74</v>
      </c>
      <c r="B75" t="s">
        <v>1525</v>
      </c>
      <c r="C75" t="s">
        <v>5714</v>
      </c>
    </row>
    <row r="76" spans="1:3">
      <c r="A76">
        <v>75</v>
      </c>
      <c r="B76" t="s">
        <v>1539</v>
      </c>
      <c r="C76" t="s">
        <v>5715</v>
      </c>
    </row>
    <row r="77" spans="1:3">
      <c r="A77">
        <v>76</v>
      </c>
      <c r="B77" t="s">
        <v>1554</v>
      </c>
      <c r="C77" t="s">
        <v>5716</v>
      </c>
    </row>
    <row r="78" spans="1:3">
      <c r="A78">
        <v>77</v>
      </c>
      <c r="B78" t="s">
        <v>1570</v>
      </c>
      <c r="C78" t="s">
        <v>5717</v>
      </c>
    </row>
    <row r="79" spans="1:3">
      <c r="A79">
        <v>78</v>
      </c>
      <c r="B79" t="s">
        <v>1597</v>
      </c>
      <c r="C79" t="s">
        <v>5718</v>
      </c>
    </row>
    <row r="80" spans="1:3">
      <c r="A80">
        <v>79</v>
      </c>
      <c r="B80" t="s">
        <v>1634</v>
      </c>
      <c r="C80" t="s">
        <v>5719</v>
      </c>
    </row>
    <row r="81" spans="1:3">
      <c r="A81">
        <v>80</v>
      </c>
      <c r="B81" t="s">
        <v>1649</v>
      </c>
      <c r="C81" t="s">
        <v>5720</v>
      </c>
    </row>
    <row r="82" spans="1:3">
      <c r="A82">
        <v>81</v>
      </c>
      <c r="B82" t="s">
        <v>1663</v>
      </c>
      <c r="C82" t="s">
        <v>5721</v>
      </c>
    </row>
    <row r="83" spans="1:3">
      <c r="A83">
        <v>82</v>
      </c>
      <c r="B83" t="s">
        <v>1700</v>
      </c>
      <c r="C83" t="s">
        <v>5722</v>
      </c>
    </row>
    <row r="84" spans="1:3">
      <c r="A84">
        <v>83</v>
      </c>
      <c r="B84" t="s">
        <v>1728</v>
      </c>
      <c r="C84" t="s">
        <v>5723</v>
      </c>
    </row>
    <row r="85" spans="1:3">
      <c r="A85">
        <v>84</v>
      </c>
      <c r="B85" t="s">
        <v>273</v>
      </c>
      <c r="C85" t="s">
        <v>5724</v>
      </c>
    </row>
    <row r="86" spans="1:3">
      <c r="A86">
        <v>85</v>
      </c>
      <c r="B86" t="s">
        <v>1743</v>
      </c>
      <c r="C86" t="s">
        <v>5725</v>
      </c>
    </row>
    <row r="87" spans="1:3">
      <c r="A87">
        <v>86</v>
      </c>
      <c r="B87" t="s">
        <v>1757</v>
      </c>
      <c r="C87" t="s">
        <v>5726</v>
      </c>
    </row>
    <row r="88" spans="1:3">
      <c r="A88">
        <v>87</v>
      </c>
      <c r="B88" t="s">
        <v>1842</v>
      </c>
      <c r="C88" t="s">
        <v>5727</v>
      </c>
    </row>
    <row r="89" spans="1:3">
      <c r="A89">
        <v>88</v>
      </c>
      <c r="B89" t="s">
        <v>1928</v>
      </c>
      <c r="C89" t="s">
        <v>5728</v>
      </c>
    </row>
    <row r="90" spans="1:3">
      <c r="A90">
        <v>89</v>
      </c>
      <c r="B90" t="s">
        <v>1943</v>
      </c>
      <c r="C90" t="s">
        <v>5729</v>
      </c>
    </row>
    <row r="91" spans="1:3">
      <c r="A91">
        <v>90</v>
      </c>
      <c r="B91" t="s">
        <v>1970</v>
      </c>
      <c r="C91" t="s">
        <v>5730</v>
      </c>
    </row>
    <row r="92" spans="1:3">
      <c r="A92">
        <v>91</v>
      </c>
      <c r="B92" t="s">
        <v>2009</v>
      </c>
      <c r="C92" t="s">
        <v>5731</v>
      </c>
    </row>
    <row r="93" spans="1:3">
      <c r="A93">
        <v>92</v>
      </c>
      <c r="B93" t="s">
        <v>2021</v>
      </c>
      <c r="C93" t="s">
        <v>5732</v>
      </c>
    </row>
    <row r="94" spans="1:3">
      <c r="A94">
        <v>93</v>
      </c>
      <c r="B94" t="s">
        <v>3402</v>
      </c>
      <c r="C94" t="s">
        <v>5733</v>
      </c>
    </row>
    <row r="95" spans="1:3">
      <c r="A95">
        <v>94</v>
      </c>
      <c r="B95" t="s">
        <v>2035</v>
      </c>
      <c r="C95" t="s">
        <v>5734</v>
      </c>
    </row>
    <row r="96" spans="1:3">
      <c r="A96">
        <v>95</v>
      </c>
      <c r="B96" t="s">
        <v>2048</v>
      </c>
      <c r="C96" t="s">
        <v>5735</v>
      </c>
    </row>
    <row r="97" spans="1:3">
      <c r="A97">
        <v>96</v>
      </c>
      <c r="B97" t="s">
        <v>2077</v>
      </c>
      <c r="C97" t="s">
        <v>5736</v>
      </c>
    </row>
    <row r="98" spans="1:3">
      <c r="A98">
        <v>97</v>
      </c>
      <c r="B98" t="s">
        <v>2104</v>
      </c>
      <c r="C98" t="s">
        <v>5737</v>
      </c>
    </row>
    <row r="99" spans="1:3">
      <c r="A99">
        <v>98</v>
      </c>
      <c r="B99" t="s">
        <v>2132</v>
      </c>
      <c r="C99" t="s">
        <v>5738</v>
      </c>
    </row>
    <row r="100" spans="1:3">
      <c r="A100">
        <v>99</v>
      </c>
      <c r="B100" t="s">
        <v>2183</v>
      </c>
      <c r="C100" t="s">
        <v>5739</v>
      </c>
    </row>
    <row r="101" spans="1:3">
      <c r="A101">
        <v>100</v>
      </c>
      <c r="B101" t="s">
        <v>2196</v>
      </c>
      <c r="C101" t="s">
        <v>5740</v>
      </c>
    </row>
    <row r="102" spans="1:3">
      <c r="A102">
        <v>101</v>
      </c>
      <c r="B102" t="s">
        <v>2208</v>
      </c>
      <c r="C102" t="s">
        <v>5741</v>
      </c>
    </row>
    <row r="103" spans="1:3">
      <c r="A103">
        <v>102</v>
      </c>
      <c r="B103" t="s">
        <v>2271</v>
      </c>
      <c r="C103" t="s">
        <v>5742</v>
      </c>
    </row>
    <row r="104" spans="1:3">
      <c r="A104">
        <v>103</v>
      </c>
      <c r="B104" t="s">
        <v>2309</v>
      </c>
      <c r="C104" t="s">
        <v>5743</v>
      </c>
    </row>
    <row r="105" spans="1:3">
      <c r="A105">
        <v>104</v>
      </c>
      <c r="B105" t="s">
        <v>3387</v>
      </c>
      <c r="C105" t="s">
        <v>5744</v>
      </c>
    </row>
    <row r="106" spans="1:3">
      <c r="A106">
        <v>105</v>
      </c>
      <c r="B106" t="s">
        <v>2364</v>
      </c>
      <c r="C106" t="s">
        <v>5745</v>
      </c>
    </row>
    <row r="107" spans="1:3">
      <c r="A107">
        <v>106</v>
      </c>
      <c r="B107" t="s">
        <v>2378</v>
      </c>
      <c r="C107" t="s">
        <v>5746</v>
      </c>
    </row>
    <row r="108" spans="1:3">
      <c r="A108">
        <v>107</v>
      </c>
      <c r="B108" t="s">
        <v>2393</v>
      </c>
      <c r="C108" t="s">
        <v>5747</v>
      </c>
    </row>
    <row r="109" spans="1:3">
      <c r="A109">
        <v>108</v>
      </c>
      <c r="B109" t="s">
        <v>2405</v>
      </c>
      <c r="C109" t="s">
        <v>5748</v>
      </c>
    </row>
    <row r="110" spans="1:3">
      <c r="A110">
        <v>109</v>
      </c>
      <c r="B110" t="s">
        <v>2419</v>
      </c>
      <c r="C110" t="s">
        <v>5749</v>
      </c>
    </row>
    <row r="111" spans="1:3">
      <c r="A111">
        <v>110</v>
      </c>
      <c r="B111" t="s">
        <v>2445</v>
      </c>
      <c r="C111" t="s">
        <v>5750</v>
      </c>
    </row>
    <row r="112" spans="1:3">
      <c r="A112">
        <v>111</v>
      </c>
      <c r="B112" t="s">
        <v>2459</v>
      </c>
      <c r="C112" t="s">
        <v>5751</v>
      </c>
    </row>
    <row r="113" spans="1:3">
      <c r="A113">
        <v>112</v>
      </c>
      <c r="B113" t="s">
        <v>2471</v>
      </c>
      <c r="C113" t="s">
        <v>5752</v>
      </c>
    </row>
    <row r="114" spans="1:3">
      <c r="A114">
        <v>113</v>
      </c>
      <c r="B114" t="s">
        <v>5421</v>
      </c>
      <c r="C114" t="s">
        <v>5753</v>
      </c>
    </row>
    <row r="115" spans="1:3">
      <c r="A115">
        <v>114</v>
      </c>
      <c r="B115" t="s">
        <v>2484</v>
      </c>
      <c r="C115" t="s">
        <v>5754</v>
      </c>
    </row>
    <row r="116" spans="1:3">
      <c r="A116">
        <v>115</v>
      </c>
      <c r="B116" t="s">
        <v>2593</v>
      </c>
      <c r="C116" t="s">
        <v>5755</v>
      </c>
    </row>
    <row r="117" spans="1:3">
      <c r="A117">
        <v>116</v>
      </c>
      <c r="B117" t="s">
        <v>2618</v>
      </c>
      <c r="C117" t="s">
        <v>5756</v>
      </c>
    </row>
    <row r="118" spans="1:3">
      <c r="A118">
        <v>117</v>
      </c>
      <c r="B118" t="s">
        <v>2653</v>
      </c>
      <c r="C118" t="s">
        <v>5757</v>
      </c>
    </row>
    <row r="119" spans="1:3">
      <c r="A119">
        <v>118</v>
      </c>
      <c r="B119" t="s">
        <v>2666</v>
      </c>
      <c r="C119" t="s">
        <v>5758</v>
      </c>
    </row>
    <row r="120" spans="1:3">
      <c r="A120">
        <v>119</v>
      </c>
      <c r="B120" t="s">
        <v>2679</v>
      </c>
      <c r="C120" t="s">
        <v>5759</v>
      </c>
    </row>
    <row r="121" spans="1:3">
      <c r="A121">
        <v>120</v>
      </c>
      <c r="B121" t="s">
        <v>2693</v>
      </c>
      <c r="C121" t="s">
        <v>5760</v>
      </c>
    </row>
    <row r="122" spans="1:3">
      <c r="A122">
        <v>121</v>
      </c>
      <c r="B122" t="s">
        <v>2706</v>
      </c>
      <c r="C122" t="s">
        <v>5761</v>
      </c>
    </row>
    <row r="123" spans="1:3">
      <c r="A123">
        <v>122</v>
      </c>
      <c r="B123" t="s">
        <v>2721</v>
      </c>
      <c r="C123" t="s">
        <v>5762</v>
      </c>
    </row>
    <row r="124" spans="1:3">
      <c r="A124">
        <v>123</v>
      </c>
      <c r="B124" t="s">
        <v>2742</v>
      </c>
      <c r="C124" t="s">
        <v>5763</v>
      </c>
    </row>
    <row r="125" spans="1:3">
      <c r="A125">
        <v>124</v>
      </c>
      <c r="B125" t="s">
        <v>2754</v>
      </c>
      <c r="C125" t="s">
        <v>5764</v>
      </c>
    </row>
    <row r="126" spans="1:3">
      <c r="A126">
        <v>125</v>
      </c>
      <c r="B126" t="s">
        <v>2778</v>
      </c>
      <c r="C126" t="s">
        <v>5765</v>
      </c>
    </row>
    <row r="127" spans="1:3">
      <c r="A127">
        <v>126</v>
      </c>
      <c r="B127" t="s">
        <v>2789</v>
      </c>
      <c r="C127" t="s">
        <v>5766</v>
      </c>
    </row>
    <row r="128" spans="1:3">
      <c r="A128">
        <v>127</v>
      </c>
      <c r="B128" t="s">
        <v>2834</v>
      </c>
      <c r="C128" t="s">
        <v>5767</v>
      </c>
    </row>
    <row r="129" spans="1:3">
      <c r="A129">
        <v>128</v>
      </c>
      <c r="B129" t="s">
        <v>2848</v>
      </c>
      <c r="C129" t="s">
        <v>5768</v>
      </c>
    </row>
    <row r="130" spans="1:3">
      <c r="A130">
        <v>129</v>
      </c>
      <c r="B130" t="s">
        <v>2874</v>
      </c>
      <c r="C130" t="s">
        <v>5769</v>
      </c>
    </row>
    <row r="131" spans="1:3">
      <c r="A131">
        <v>130</v>
      </c>
      <c r="B131" t="s">
        <v>2932</v>
      </c>
      <c r="C131" t="s">
        <v>5770</v>
      </c>
    </row>
    <row r="132" spans="1:3">
      <c r="A132">
        <v>131</v>
      </c>
      <c r="B132" t="s">
        <v>2945</v>
      </c>
      <c r="C132" t="s">
        <v>5771</v>
      </c>
    </row>
    <row r="133" spans="1:3">
      <c r="A133">
        <v>132</v>
      </c>
      <c r="B133" t="s">
        <v>2958</v>
      </c>
      <c r="C133" t="s">
        <v>5772</v>
      </c>
    </row>
    <row r="134" spans="1:3">
      <c r="A134">
        <v>133</v>
      </c>
      <c r="B134" t="s">
        <v>2981</v>
      </c>
      <c r="C134" t="s">
        <v>5773</v>
      </c>
    </row>
    <row r="135" spans="1:3">
      <c r="A135">
        <v>134</v>
      </c>
      <c r="B135" t="s">
        <v>2995</v>
      </c>
      <c r="C135" t="s">
        <v>5774</v>
      </c>
    </row>
    <row r="136" spans="1:3">
      <c r="A136">
        <v>135</v>
      </c>
      <c r="B136" t="s">
        <v>3373</v>
      </c>
      <c r="C136" t="s">
        <v>5775</v>
      </c>
    </row>
    <row r="137" spans="1:3">
      <c r="A137">
        <v>136</v>
      </c>
      <c r="B137" t="s">
        <v>3008</v>
      </c>
      <c r="C137" t="s">
        <v>5776</v>
      </c>
    </row>
    <row r="138" spans="1:3">
      <c r="A138">
        <v>137</v>
      </c>
      <c r="B138" t="s">
        <v>3071</v>
      </c>
      <c r="C138" t="s">
        <v>5777</v>
      </c>
    </row>
    <row r="139" spans="1:3">
      <c r="A139">
        <v>138</v>
      </c>
      <c r="B139" t="s">
        <v>3109</v>
      </c>
      <c r="C139" t="s">
        <v>5778</v>
      </c>
    </row>
    <row r="140" spans="1:3">
      <c r="A140">
        <v>139</v>
      </c>
      <c r="B140" t="s">
        <v>3135</v>
      </c>
      <c r="C140" t="s">
        <v>5779</v>
      </c>
    </row>
    <row r="141" spans="1:3">
      <c r="A141">
        <v>140</v>
      </c>
      <c r="B141" t="s">
        <v>3147</v>
      </c>
      <c r="C141" t="s">
        <v>5780</v>
      </c>
    </row>
    <row r="142" spans="1:3">
      <c r="A142">
        <v>141</v>
      </c>
      <c r="B142" t="s">
        <v>3196</v>
      </c>
      <c r="C142" t="s">
        <v>5781</v>
      </c>
    </row>
    <row r="143" spans="1:3">
      <c r="A143">
        <v>142</v>
      </c>
      <c r="B143" t="s">
        <v>5434</v>
      </c>
      <c r="C143" t="s">
        <v>5782</v>
      </c>
    </row>
    <row r="144" spans="1:3">
      <c r="A144">
        <v>143</v>
      </c>
      <c r="B144" t="s">
        <v>2295</v>
      </c>
      <c r="C144" t="s">
        <v>5783</v>
      </c>
    </row>
    <row r="145" spans="1:3">
      <c r="A145">
        <v>144</v>
      </c>
      <c r="B145" t="s">
        <v>2350</v>
      </c>
      <c r="C145" t="s">
        <v>5784</v>
      </c>
    </row>
    <row r="146" spans="1:3">
      <c r="A146">
        <v>145</v>
      </c>
      <c r="B146" t="s">
        <v>3233</v>
      </c>
      <c r="C146" t="s">
        <v>5785</v>
      </c>
    </row>
    <row r="147" spans="1:3">
      <c r="A147">
        <v>146</v>
      </c>
      <c r="B147" t="s">
        <v>3245</v>
      </c>
      <c r="C147" t="s">
        <v>5786</v>
      </c>
    </row>
    <row r="148" spans="1:3">
      <c r="A148">
        <v>147</v>
      </c>
      <c r="B148" t="s">
        <v>3284</v>
      </c>
      <c r="C148" t="s">
        <v>5787</v>
      </c>
    </row>
    <row r="149" spans="1:3">
      <c r="A149">
        <v>148</v>
      </c>
      <c r="B149" t="s">
        <v>701</v>
      </c>
      <c r="C149" t="s">
        <v>5788</v>
      </c>
    </row>
    <row r="150" spans="1:3">
      <c r="A150">
        <v>149</v>
      </c>
      <c r="B150" t="s">
        <v>758</v>
      </c>
      <c r="C150" t="s">
        <v>5789</v>
      </c>
    </row>
    <row r="151" spans="1:3">
      <c r="A151">
        <v>150</v>
      </c>
      <c r="B151" t="s">
        <v>854</v>
      </c>
      <c r="C151" t="s">
        <v>5790</v>
      </c>
    </row>
    <row r="152" spans="1:3">
      <c r="A152">
        <v>151</v>
      </c>
      <c r="B152" t="s">
        <v>1023</v>
      </c>
      <c r="C152" t="s">
        <v>5791</v>
      </c>
    </row>
    <row r="153" spans="1:3">
      <c r="A153">
        <v>152</v>
      </c>
      <c r="B153" t="s">
        <v>439</v>
      </c>
      <c r="C153" t="s">
        <v>5792</v>
      </c>
    </row>
    <row r="154" spans="1:3">
      <c r="A154">
        <v>153</v>
      </c>
      <c r="B154" t="s">
        <v>567</v>
      </c>
      <c r="C154" t="s">
        <v>5793</v>
      </c>
    </row>
    <row r="155" spans="1:3">
      <c r="A155">
        <v>154</v>
      </c>
      <c r="B155" t="s">
        <v>3220</v>
      </c>
      <c r="C155" t="s">
        <v>5794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T-PAK</vt:lpstr>
      <vt:lpstr>working</vt:lpstr>
      <vt:lpstr>Sheet2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STL User2</dc:creator>
  <cp:lastModifiedBy>IT User Software</cp:lastModifiedBy>
  <dcterms:created xsi:type="dcterms:W3CDTF">2025-02-12T05:45:50Z</dcterms:created>
  <dcterms:modified xsi:type="dcterms:W3CDTF">2025-02-13T07:19:20Z</dcterms:modified>
</cp:coreProperties>
</file>