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emium\Premium\Saqib Saleem\20-Feb-2025\"/>
    </mc:Choice>
  </mc:AlternateContent>
  <xr:revisionPtr revIDLastSave="0" documentId="8_{21F7D99B-A23D-43B7-92DB-D82E80A3CCF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ark in advance" sheetId="3" r:id="rId1"/>
    <sheet name="PAYMENT ON MONTH OF JAN-2025" sheetId="1" r:id="rId2"/>
    <sheet name="woking" sheetId="5" r:id="rId3"/>
    <sheet name="sheet" sheetId="4" r:id="rId4"/>
    <sheet name="policy" sheetId="6" r:id="rId5"/>
  </sheets>
  <definedNames>
    <definedName name="_xlnm._FilterDatabase" localSheetId="1" hidden="1">'PAYMENT ON MONTH OF JAN-2025'!$B$1:$N$151</definedName>
    <definedName name="_xlnm._FilterDatabase" localSheetId="3" hidden="1">sheet!$H$1:$H$151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3" i="5" l="1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B3" i="5"/>
  <c r="B5" i="5"/>
  <c r="B6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9" i="5"/>
  <c r="B110" i="5"/>
  <c r="B111" i="5"/>
  <c r="B112" i="5"/>
  <c r="B113" i="5"/>
  <c r="B114" i="5"/>
  <c r="B115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F2" i="5"/>
  <c r="D2" i="5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2" i="4"/>
  <c r="H2" i="5" l="1"/>
  <c r="G5" i="3" l="1"/>
  <c r="N132" i="1"/>
  <c r="N131" i="1"/>
  <c r="N116" i="1"/>
  <c r="N108" i="1"/>
  <c r="N58" i="1"/>
  <c r="N7" i="1"/>
  <c r="N4" i="1"/>
  <c r="N2" i="1"/>
  <c r="G153" i="1"/>
</calcChain>
</file>

<file path=xl/sharedStrings.xml><?xml version="1.0" encoding="utf-8"?>
<sst xmlns="http://schemas.openxmlformats.org/spreadsheetml/2006/main" count="2604" uniqueCount="1245">
  <si>
    <t>Contract No.</t>
  </si>
  <si>
    <t>Customer Name</t>
  </si>
  <si>
    <t>CNIC No.</t>
  </si>
  <si>
    <t>Engine No.</t>
  </si>
  <si>
    <t>Chassis No.</t>
  </si>
  <si>
    <t>Premium</t>
  </si>
  <si>
    <t>ACC Number</t>
  </si>
  <si>
    <t>ACC Branch</t>
  </si>
  <si>
    <t>INSURANCE CO.</t>
  </si>
  <si>
    <t>0006437055</t>
  </si>
  <si>
    <t>106</t>
  </si>
  <si>
    <t>SALAAM TAKAFUL PAKISTAN</t>
  </si>
  <si>
    <t>MUHAMMAD NAEEM</t>
  </si>
  <si>
    <t>MUHAMMAD SHAFIQ</t>
  </si>
  <si>
    <t>9976AD1243300002</t>
  </si>
  <si>
    <t>MOZZAM MEHMOOD ALI</t>
  </si>
  <si>
    <t>42101-4127287-5</t>
  </si>
  <si>
    <t>1232363</t>
  </si>
  <si>
    <t>9976AD1243620007</t>
  </si>
  <si>
    <t>NAFEESA SHABBAR</t>
  </si>
  <si>
    <t>42201-0642598-6</t>
  </si>
  <si>
    <t>1GD1684167</t>
  </si>
  <si>
    <t>GUN126R-5567644</t>
  </si>
  <si>
    <t>9976AD1250220003</t>
  </si>
  <si>
    <t>MUHAMMAD USMAN YAQOOB</t>
  </si>
  <si>
    <t>37405-9697482-1</t>
  </si>
  <si>
    <t>2013250</t>
  </si>
  <si>
    <t>9976AD2250270003</t>
  </si>
  <si>
    <t>GHAZNFAR ALI</t>
  </si>
  <si>
    <t>36602-3276971-9</t>
  </si>
  <si>
    <t>6R337147</t>
  </si>
  <si>
    <t>1237192</t>
  </si>
  <si>
    <t>9976AP1250080006</t>
  </si>
  <si>
    <t>SHUMAILA QURESHI</t>
  </si>
  <si>
    <t>42501-5237561-2</t>
  </si>
  <si>
    <t>700774</t>
  </si>
  <si>
    <t>9976AP1250080007</t>
  </si>
  <si>
    <t>HAFIZ MUHAMMAD YOOSUF</t>
  </si>
  <si>
    <t>35202-2957078-9</t>
  </si>
  <si>
    <t>L12B51029644</t>
  </si>
  <si>
    <t>NFBGN8620RR046857</t>
  </si>
  <si>
    <t>9976AP1250090013</t>
  </si>
  <si>
    <t>MOHSIN TARIQ</t>
  </si>
  <si>
    <t>35202-7819761-7</t>
  </si>
  <si>
    <t>10229402</t>
  </si>
  <si>
    <t>RR046334</t>
  </si>
  <si>
    <t>9976AP1250090016</t>
  </si>
  <si>
    <t>SALEHA WAJAHAT</t>
  </si>
  <si>
    <t>42201-5538754-0</t>
  </si>
  <si>
    <t>2A71687</t>
  </si>
  <si>
    <t>7048908</t>
  </si>
  <si>
    <t>9976AP1250100001</t>
  </si>
  <si>
    <t>AWAIS SAFDAR</t>
  </si>
  <si>
    <t>35202-2784905-3</t>
  </si>
  <si>
    <t>PKF630879</t>
  </si>
  <si>
    <t>SF410PK537749</t>
  </si>
  <si>
    <t>9976AP1250100002</t>
  </si>
  <si>
    <t>ARISH WASEEM</t>
  </si>
  <si>
    <t>35202-3887272-1</t>
  </si>
  <si>
    <t>1029959</t>
  </si>
  <si>
    <t>047059</t>
  </si>
  <si>
    <t>9976AP1250100005</t>
  </si>
  <si>
    <t>SHEHARYAR HASSAN QADRI</t>
  </si>
  <si>
    <t>35202-2689819-5</t>
  </si>
  <si>
    <t>9Z01206</t>
  </si>
  <si>
    <t>ZVG10R0900248</t>
  </si>
  <si>
    <t>9976AP1250130009</t>
  </si>
  <si>
    <t>RABIA WAHAB</t>
  </si>
  <si>
    <t>35201-5264118-2</t>
  </si>
  <si>
    <t>6R298313</t>
  </si>
  <si>
    <t>NF1AET306H1198313</t>
  </si>
  <si>
    <t>9976AP1250140001</t>
  </si>
  <si>
    <t>MUHAMMAD IRFAN</t>
  </si>
  <si>
    <t>35201-1549704-1</t>
  </si>
  <si>
    <t>335098</t>
  </si>
  <si>
    <t>1234919</t>
  </si>
  <si>
    <t>9976AP1250150003</t>
  </si>
  <si>
    <t>ISHFAQ AHMAD</t>
  </si>
  <si>
    <t>14301-7912654-7</t>
  </si>
  <si>
    <t>PK10K141282</t>
  </si>
  <si>
    <t>NF1AVK31H10042141</t>
  </si>
  <si>
    <t>9976AP1250160005</t>
  </si>
  <si>
    <t>SYED HAMEED UDDIN-ASAAN ACCOUNT</t>
  </si>
  <si>
    <t>42201-6761440-7</t>
  </si>
  <si>
    <t>6R116188</t>
  </si>
  <si>
    <t>H1016195</t>
  </si>
  <si>
    <t>9976AP1250160006</t>
  </si>
  <si>
    <t>SYLVESTER JOHN</t>
  </si>
  <si>
    <t>42301-5363287-7</t>
  </si>
  <si>
    <t>6R129136</t>
  </si>
  <si>
    <t>H1029131</t>
  </si>
  <si>
    <t>9976AP1250160009</t>
  </si>
  <si>
    <t>MUHAMMAD BILAL KHALI</t>
  </si>
  <si>
    <t>35201-9133356-5</t>
  </si>
  <si>
    <t>6R297664</t>
  </si>
  <si>
    <t>NF1AET306H1197660</t>
  </si>
  <si>
    <t>9976AP1250170011</t>
  </si>
  <si>
    <t>KASHIF BILAL AHMED</t>
  </si>
  <si>
    <t>61101-1884641-1</t>
  </si>
  <si>
    <t>6R334765</t>
  </si>
  <si>
    <t>1234879</t>
  </si>
  <si>
    <t>9976AP1250170013</t>
  </si>
  <si>
    <t>AHMAR ARIF</t>
  </si>
  <si>
    <t>35201-5783712-5</t>
  </si>
  <si>
    <t>6R335479</t>
  </si>
  <si>
    <t>NF1AET306H1235343</t>
  </si>
  <si>
    <t>9976AP1250170014</t>
  </si>
  <si>
    <t>SALMAN ASLAM BUTT</t>
  </si>
  <si>
    <t>35202-9081023-7</t>
  </si>
  <si>
    <t>1002049</t>
  </si>
  <si>
    <t>101784</t>
  </si>
  <si>
    <t>9976AP1250170015</t>
  </si>
  <si>
    <t>HAROON NISAR</t>
  </si>
  <si>
    <t>33100-6551328-1</t>
  </si>
  <si>
    <t>L12B51029751</t>
  </si>
  <si>
    <t>NFBGN8625RR046790</t>
  </si>
  <si>
    <t>9976AP1250200024</t>
  </si>
  <si>
    <t>ABDUL HANNAN</t>
  </si>
  <si>
    <t>33100-9628942-1</t>
  </si>
  <si>
    <t>R18Z16911700</t>
  </si>
  <si>
    <t>NFBFC6669LR063401</t>
  </si>
  <si>
    <t>9976AP1250200027</t>
  </si>
  <si>
    <t>MUHAMMAD ISHFAQ WASEEM</t>
  </si>
  <si>
    <t>36501-8862059-9</t>
  </si>
  <si>
    <t>G4NAMU945327</t>
  </si>
  <si>
    <t>PMH0841FMMN302096</t>
  </si>
  <si>
    <t>9976AP1250210001</t>
  </si>
  <si>
    <t>AHSAN AKRAM</t>
  </si>
  <si>
    <t>33100-3606084-3</t>
  </si>
  <si>
    <t>335947</t>
  </si>
  <si>
    <t>1235837</t>
  </si>
  <si>
    <t>9976AP1250210002</t>
  </si>
  <si>
    <t>MUHAMMAD ABDULLAH</t>
  </si>
  <si>
    <t>33100-9040875-7</t>
  </si>
  <si>
    <t>6R283659</t>
  </si>
  <si>
    <t>NF1AET306H1183596</t>
  </si>
  <si>
    <t>9976AP1250210004</t>
  </si>
  <si>
    <t>MUHAMMAD AHMED RAZA</t>
  </si>
  <si>
    <t>42201-9237457-9</t>
  </si>
  <si>
    <t>6R254775</t>
  </si>
  <si>
    <t>NF1AET306H1154770</t>
  </si>
  <si>
    <t>9976AP1250210005</t>
  </si>
  <si>
    <t>WALEED</t>
  </si>
  <si>
    <t>42201-3319654-9</t>
  </si>
  <si>
    <t>6R271122</t>
  </si>
  <si>
    <t>H1171135</t>
  </si>
  <si>
    <t>9976AP1250220012</t>
  </si>
  <si>
    <t>MIRZA MUHAMMAD WAQAR BAIG</t>
  </si>
  <si>
    <t>35200-6600623-1</t>
  </si>
  <si>
    <t>6R202378</t>
  </si>
  <si>
    <t>NF1AET306H1102317</t>
  </si>
  <si>
    <t>9976AP1250220013</t>
  </si>
  <si>
    <t>REHAN HAMEED</t>
  </si>
  <si>
    <t>71601-0581803-9</t>
  </si>
  <si>
    <t>2A14160</t>
  </si>
  <si>
    <t>7008322</t>
  </si>
  <si>
    <t>9976AP1250230017</t>
  </si>
  <si>
    <t>ZUBAIR KHAN</t>
  </si>
  <si>
    <t>42501-6548867-5</t>
  </si>
  <si>
    <t>1109112</t>
  </si>
  <si>
    <t>9976AP1250230018</t>
  </si>
  <si>
    <t>TAHA KHAN</t>
  </si>
  <si>
    <t>42101-8989077-7</t>
  </si>
  <si>
    <t>005785</t>
  </si>
  <si>
    <t>9976AP1250230019</t>
  </si>
  <si>
    <t>MUSHTAQ AHMED</t>
  </si>
  <si>
    <t>42201-6508233-1</t>
  </si>
  <si>
    <t>336238</t>
  </si>
  <si>
    <t>1236276</t>
  </si>
  <si>
    <t>9976AP1250240027</t>
  </si>
  <si>
    <t>AHMAD ALI SHAH</t>
  </si>
  <si>
    <t>33100-0146894-5</t>
  </si>
  <si>
    <t>K12MR1018544</t>
  </si>
  <si>
    <t>NF1SZC63S00201253</t>
  </si>
  <si>
    <t>9976AP1250240028</t>
  </si>
  <si>
    <t>NOUMAN AHMED</t>
  </si>
  <si>
    <t>42101-0900704-7</t>
  </si>
  <si>
    <t>248746</t>
  </si>
  <si>
    <t>1000510</t>
  </si>
  <si>
    <t>9976AP1250270030</t>
  </si>
  <si>
    <t>AHMAD BIN TEHSIN</t>
  </si>
  <si>
    <t>33100-8547954-9</t>
  </si>
  <si>
    <t>1030378</t>
  </si>
  <si>
    <t>SR047478</t>
  </si>
  <si>
    <t>9976AP1250270031</t>
  </si>
  <si>
    <t>FAISAL ARIF</t>
  </si>
  <si>
    <t>33100-8210041-5</t>
  </si>
  <si>
    <t>2A57309</t>
  </si>
  <si>
    <t>NSP151R9520997</t>
  </si>
  <si>
    <t>9976AP1250270036</t>
  </si>
  <si>
    <t>NABEEL HUSSAIN</t>
  </si>
  <si>
    <t>37405-3124119-9</t>
  </si>
  <si>
    <t>6R337396</t>
  </si>
  <si>
    <t>1237332</t>
  </si>
  <si>
    <t>9976AP1250270042</t>
  </si>
  <si>
    <t>MOHSIN</t>
  </si>
  <si>
    <t>42101-2599143-9</t>
  </si>
  <si>
    <t>711526</t>
  </si>
  <si>
    <t>9976AP1250280043</t>
  </si>
  <si>
    <t>MUHAMMAD UMAIR HAMAYUN</t>
  </si>
  <si>
    <t>35202-2033638-7</t>
  </si>
  <si>
    <t>G3LAMP028294</t>
  </si>
  <si>
    <t>NNATA52AXKP501309</t>
  </si>
  <si>
    <t>9976AP1250280048</t>
  </si>
  <si>
    <t>MUHAMMAD SAEED</t>
  </si>
  <si>
    <t>33100-6848918-5</t>
  </si>
  <si>
    <t>PK10K134199</t>
  </si>
  <si>
    <t>NF1AVK31H10034222</t>
  </si>
  <si>
    <t>9976AP1250290052</t>
  </si>
  <si>
    <t>AZEEM AHMED</t>
  </si>
  <si>
    <t>42201-2686617-7</t>
  </si>
  <si>
    <t>6R120439</t>
  </si>
  <si>
    <t>NF1AET306H1020507</t>
  </si>
  <si>
    <t>9976AP1250290054</t>
  </si>
  <si>
    <t>MUHAMMAD ARIF TABASSUM</t>
  </si>
  <si>
    <t>34502-3983664-9</t>
  </si>
  <si>
    <t>1030715</t>
  </si>
  <si>
    <t>SR047935</t>
  </si>
  <si>
    <t>9976AP1250300055</t>
  </si>
  <si>
    <t>KHIYAL GUL</t>
  </si>
  <si>
    <t>42501-2512925-9</t>
  </si>
  <si>
    <t>6061862</t>
  </si>
  <si>
    <t>9976AP1250300063</t>
  </si>
  <si>
    <t>ZEESHAN AZIZ</t>
  </si>
  <si>
    <t>61101-5096641-9</t>
  </si>
  <si>
    <t>6R268931</t>
  </si>
  <si>
    <t>1168838</t>
  </si>
  <si>
    <t>9976AP1250310069</t>
  </si>
  <si>
    <t>ZULFIQAR ALI</t>
  </si>
  <si>
    <t>35201-1548207-9</t>
  </si>
  <si>
    <t>6R126242</t>
  </si>
  <si>
    <t>NF1AET306H1026210</t>
  </si>
  <si>
    <t>9976AP1250310070</t>
  </si>
  <si>
    <t>ASIF YASEEN</t>
  </si>
  <si>
    <t>35202-1713639-1</t>
  </si>
  <si>
    <t>PK10K196952</t>
  </si>
  <si>
    <t>NF1AVK31H10096925</t>
  </si>
  <si>
    <t>9976AP1250310071</t>
  </si>
  <si>
    <t>HUSSAIN RAZA</t>
  </si>
  <si>
    <t>42201-4893952-5</t>
  </si>
  <si>
    <t>6R161334</t>
  </si>
  <si>
    <t>NF1AET306H1061288</t>
  </si>
  <si>
    <t>9976AP1250310074</t>
  </si>
  <si>
    <t>IMRAN HUSSAIN</t>
  </si>
  <si>
    <t>33100-8850699-7</t>
  </si>
  <si>
    <t>6R337198</t>
  </si>
  <si>
    <t>NF1AET306H1237081</t>
  </si>
  <si>
    <t>9976AP1250310076</t>
  </si>
  <si>
    <t>FAHAMA AHMED</t>
  </si>
  <si>
    <t>42201-4314439-8</t>
  </si>
  <si>
    <t>G3LANP172295</t>
  </si>
  <si>
    <t>NNATA52ZAKP707950</t>
  </si>
  <si>
    <t>9976AP1250310078</t>
  </si>
  <si>
    <t>ADNAN AHMAD</t>
  </si>
  <si>
    <t>33100-9542764-7</t>
  </si>
  <si>
    <t>Z431956</t>
  </si>
  <si>
    <t>NZE170R4073038</t>
  </si>
  <si>
    <t>9976AP1250310080</t>
  </si>
  <si>
    <t>FAIQA YASMEEN</t>
  </si>
  <si>
    <t>33104-1768646-8</t>
  </si>
  <si>
    <t>6R337884</t>
  </si>
  <si>
    <t>NF1AET306H1237947</t>
  </si>
  <si>
    <t>9976AP1250310081</t>
  </si>
  <si>
    <t>SHEHZAD TARIQ</t>
  </si>
  <si>
    <t>42501-1573175-9</t>
  </si>
  <si>
    <t>1N1014203</t>
  </si>
  <si>
    <t>9976AP1250310086</t>
  </si>
  <si>
    <t>ASIM</t>
  </si>
  <si>
    <t>52301-5559014-9</t>
  </si>
  <si>
    <t>1206475</t>
  </si>
  <si>
    <t>9976AP1250310088</t>
  </si>
  <si>
    <t>MUHAMMAD SHEHBAZ AMIN</t>
  </si>
  <si>
    <t>35202-2818425-7</t>
  </si>
  <si>
    <t>1030934</t>
  </si>
  <si>
    <t>SR048278</t>
  </si>
  <si>
    <t>9976AP1250310092</t>
  </si>
  <si>
    <t>SAAD ALI MALLIK</t>
  </si>
  <si>
    <t>42101-6203324-7</t>
  </si>
  <si>
    <t>709075</t>
  </si>
  <si>
    <t>9976AP1250310093</t>
  </si>
  <si>
    <t>DANISH IRSHAD</t>
  </si>
  <si>
    <t>42201-5047977-1</t>
  </si>
  <si>
    <t>22D3633</t>
  </si>
  <si>
    <t>9976AP1250310094</t>
  </si>
  <si>
    <t>ZEESHAN SAEED</t>
  </si>
  <si>
    <t>42201-9673343-9</t>
  </si>
  <si>
    <t>657264</t>
  </si>
  <si>
    <t>1001947</t>
  </si>
  <si>
    <t>9976AP1250310095</t>
  </si>
  <si>
    <t>MAQBOOL AHMED</t>
  </si>
  <si>
    <t>41301-0609394-1</t>
  </si>
  <si>
    <t>1001923</t>
  </si>
  <si>
    <t>9976AP1250310096</t>
  </si>
  <si>
    <t>FAHAD YOUNUS</t>
  </si>
  <si>
    <t>42101-4113518-1</t>
  </si>
  <si>
    <t>H1144418</t>
  </si>
  <si>
    <t>9976AP1250310098</t>
  </si>
  <si>
    <t>SAQIB ALI</t>
  </si>
  <si>
    <t>42101-1813587-7</t>
  </si>
  <si>
    <t>1018707</t>
  </si>
  <si>
    <t>9976AP1250310099</t>
  </si>
  <si>
    <t>HASEEB TAHIR</t>
  </si>
  <si>
    <t>42201-2244878-7</t>
  </si>
  <si>
    <t>70832</t>
  </si>
  <si>
    <t>9976AP1250310100</t>
  </si>
  <si>
    <t>MUHAMMAD RIZWAN</t>
  </si>
  <si>
    <t>42101-6296168-7</t>
  </si>
  <si>
    <t>337177</t>
  </si>
  <si>
    <t>1237197</t>
  </si>
  <si>
    <t>9976AP1250310102</t>
  </si>
  <si>
    <t>MUHAMMAD QADEER</t>
  </si>
  <si>
    <t>42301-2656104-1</t>
  </si>
  <si>
    <t>035686</t>
  </si>
  <si>
    <t>714345</t>
  </si>
  <si>
    <t>9976AP1250310103</t>
  </si>
  <si>
    <t>MUHAMMAD IMRAN MATEEN</t>
  </si>
  <si>
    <t>42000-0555403-9</t>
  </si>
  <si>
    <t>1226860</t>
  </si>
  <si>
    <t>9976AP1250310104</t>
  </si>
  <si>
    <t>SYED RAHEEM SHAH</t>
  </si>
  <si>
    <t>42401-2016090-9</t>
  </si>
  <si>
    <t>6079449</t>
  </si>
  <si>
    <t>9976AP1250310105</t>
  </si>
  <si>
    <t>NAVEED ASGHAR</t>
  </si>
  <si>
    <t>31302-2875667-5</t>
  </si>
  <si>
    <t>338104</t>
  </si>
  <si>
    <t>1238063</t>
  </si>
  <si>
    <t>9976AP2250060001</t>
  </si>
  <si>
    <t>NOMAN JAMAL</t>
  </si>
  <si>
    <t>42401-2041909-5</t>
  </si>
  <si>
    <t>1217842</t>
  </si>
  <si>
    <t>9976AP2250090005</t>
  </si>
  <si>
    <t>KASHIF ALI</t>
  </si>
  <si>
    <t>42501-6752298-5</t>
  </si>
  <si>
    <t>PK10K125689</t>
  </si>
  <si>
    <t>NF1AV31H10025655</t>
  </si>
  <si>
    <t>9976AP2250130002</t>
  </si>
  <si>
    <t>FAIZAN ZAHID</t>
  </si>
  <si>
    <t>35202-6412030-7</t>
  </si>
  <si>
    <t>NFBDG1831KR017349</t>
  </si>
  <si>
    <t>9976AP2250130003</t>
  </si>
  <si>
    <t>ABDUL RAZZAQ</t>
  </si>
  <si>
    <t>35201-6912917-9</t>
  </si>
  <si>
    <t>6R335248</t>
  </si>
  <si>
    <t>NF1AET306H1235114</t>
  </si>
  <si>
    <t>9976AP2250130007</t>
  </si>
  <si>
    <t>ZUBAIR IQBAL</t>
  </si>
  <si>
    <t>35202-1467631-5</t>
  </si>
  <si>
    <t>6R123607</t>
  </si>
  <si>
    <t>NF1AET306H1023632</t>
  </si>
  <si>
    <t>9976AP2250140002</t>
  </si>
  <si>
    <t>HASIN MANSOOR</t>
  </si>
  <si>
    <t>35202-3257619-9</t>
  </si>
  <si>
    <t>6R295396</t>
  </si>
  <si>
    <t>NF1AET306H1195234</t>
  </si>
  <si>
    <t>9976AP2250150001</t>
  </si>
  <si>
    <t>MUHAMMAD BILAL GILL</t>
  </si>
  <si>
    <t>35202-2726303-7</t>
  </si>
  <si>
    <t>PK10K117927</t>
  </si>
  <si>
    <t>NF1AVK31H10017909</t>
  </si>
  <si>
    <t>9976AP2250160006</t>
  </si>
  <si>
    <t>MUHAMMAD SAAD TARIQ</t>
  </si>
  <si>
    <t>35202-2293209-5</t>
  </si>
  <si>
    <t>R18Z12926281</t>
  </si>
  <si>
    <t>NFBFC6650HR029684</t>
  </si>
  <si>
    <t>9976AP2250160007</t>
  </si>
  <si>
    <t>SHEIKH MUHAMMAD IMRAN</t>
  </si>
  <si>
    <t>35200-1497356-3</t>
  </si>
  <si>
    <t>JL466Q9L69U501620</t>
  </si>
  <si>
    <t>NKMAAB3D1L1003537</t>
  </si>
  <si>
    <t>9976AP2250160008</t>
  </si>
  <si>
    <t>ABDUL LATIF AHMAD</t>
  </si>
  <si>
    <t>35202-2536034-3</t>
  </si>
  <si>
    <t>6R335674</t>
  </si>
  <si>
    <t>NF1AET306H1235683</t>
  </si>
  <si>
    <t>9976AP2250170010</t>
  </si>
  <si>
    <t>UMAIR JATOI</t>
  </si>
  <si>
    <t>41304-5517556-5</t>
  </si>
  <si>
    <t>299049</t>
  </si>
  <si>
    <t>1001528</t>
  </si>
  <si>
    <t>9976AP2250170011</t>
  </si>
  <si>
    <t>RAMEEN FATIMA ALI</t>
  </si>
  <si>
    <t>42201-1533714-4</t>
  </si>
  <si>
    <t>6R122061</t>
  </si>
  <si>
    <t>NF1AET306H1022063</t>
  </si>
  <si>
    <t>9976AP2250210001</t>
  </si>
  <si>
    <t>FARMAN ULLAH</t>
  </si>
  <si>
    <t>11201-2550900-9</t>
  </si>
  <si>
    <t>1019955</t>
  </si>
  <si>
    <t>00202485</t>
  </si>
  <si>
    <t>9976AP2250220004</t>
  </si>
  <si>
    <t>RANA AMIR RAZA</t>
  </si>
  <si>
    <t>35201-5419354-5</t>
  </si>
  <si>
    <t>6R335823</t>
  </si>
  <si>
    <t>NF1AET306H1235865</t>
  </si>
  <si>
    <t>9976AP2250220006</t>
  </si>
  <si>
    <t>33104-9806981-7</t>
  </si>
  <si>
    <t>336441</t>
  </si>
  <si>
    <t>1236455</t>
  </si>
  <si>
    <t>9976AP2250230009</t>
  </si>
  <si>
    <t>TAIRQ SHAHZAD</t>
  </si>
  <si>
    <t>33100-1724624-1</t>
  </si>
  <si>
    <t>1002854</t>
  </si>
  <si>
    <t>102993</t>
  </si>
  <si>
    <t>9976AP2250230011</t>
  </si>
  <si>
    <t>SHAHARYAR FAYYAZ</t>
  </si>
  <si>
    <t>42201-6863836-5</t>
  </si>
  <si>
    <t>231550</t>
  </si>
  <si>
    <t>9976AP2250270016</t>
  </si>
  <si>
    <t>FAROOQ HASSAN</t>
  </si>
  <si>
    <t>35202-5850822-9</t>
  </si>
  <si>
    <t>336680</t>
  </si>
  <si>
    <t>1236729</t>
  </si>
  <si>
    <t>9976AP2250270018</t>
  </si>
  <si>
    <t>ALI HAMZA</t>
  </si>
  <si>
    <t>37405-9911379-5</t>
  </si>
  <si>
    <t>168782</t>
  </si>
  <si>
    <t>10068755</t>
  </si>
  <si>
    <t>9976AP2250270019</t>
  </si>
  <si>
    <t>MUHAMMAD MUJEEB ULLAH KHAN</t>
  </si>
  <si>
    <t>37405-9747956-7</t>
  </si>
  <si>
    <t>1236414</t>
  </si>
  <si>
    <t>9976AP2250280020</t>
  </si>
  <si>
    <t>BILAL</t>
  </si>
  <si>
    <t>42201-7367870-7</t>
  </si>
  <si>
    <t>HJ301176</t>
  </si>
  <si>
    <t>LFPAHFMVM20002691</t>
  </si>
  <si>
    <t>9976AP2250280023</t>
  </si>
  <si>
    <t>ABIDA FAHIM</t>
  </si>
  <si>
    <t>42201-5642665-8</t>
  </si>
  <si>
    <t>505392</t>
  </si>
  <si>
    <t>1002702</t>
  </si>
  <si>
    <t>9976AP2250280024</t>
  </si>
  <si>
    <t>NADEEM AKHTAR</t>
  </si>
  <si>
    <t>33100-0887473-9</t>
  </si>
  <si>
    <t>6R317065</t>
  </si>
  <si>
    <t>NF1AET306H1217107</t>
  </si>
  <si>
    <t>9976AP2250280025</t>
  </si>
  <si>
    <t>MUHAMMAD AWAIS HAYAT</t>
  </si>
  <si>
    <t>33104-2088312-5</t>
  </si>
  <si>
    <t>PK10K119720</t>
  </si>
  <si>
    <t>NFA1AVK31H10019733</t>
  </si>
  <si>
    <t>9976AP2250290029</t>
  </si>
  <si>
    <t>SYED HASSNAIN RAZA</t>
  </si>
  <si>
    <t>33103-1267707-9</t>
  </si>
  <si>
    <t>L13Z17536131</t>
  </si>
  <si>
    <t>NFBGM154XKR256904</t>
  </si>
  <si>
    <t>9976AP2250300030</t>
  </si>
  <si>
    <t>KHALIL AHMAD</t>
  </si>
  <si>
    <t>33100-7424360-3</t>
  </si>
  <si>
    <t>SFG15T-21760171</t>
  </si>
  <si>
    <t>PDF580PALR22D3683</t>
  </si>
  <si>
    <t>9976AP2250300033</t>
  </si>
  <si>
    <t>TEMOOR GUL</t>
  </si>
  <si>
    <t>37405-2536977-3</t>
  </si>
  <si>
    <t>101253</t>
  </si>
  <si>
    <t>6078741</t>
  </si>
  <si>
    <t>9976AP2250300034</t>
  </si>
  <si>
    <t>HAMZA IQBAL</t>
  </si>
  <si>
    <t>61101-2141333-3</t>
  </si>
  <si>
    <t>1002821</t>
  </si>
  <si>
    <t>9976AP2250310041</t>
  </si>
  <si>
    <t>SAMI AHMED NOOR</t>
  </si>
  <si>
    <t>42201-6875469-3</t>
  </si>
  <si>
    <t>Q088790</t>
  </si>
  <si>
    <t>6066247</t>
  </si>
  <si>
    <t>9976AP2250310048</t>
  </si>
  <si>
    <t>SHAHID JAVED</t>
  </si>
  <si>
    <t>33100-7677373-3</t>
  </si>
  <si>
    <t>6R336630</t>
  </si>
  <si>
    <t>NF1AET306H1236667</t>
  </si>
  <si>
    <t>9976AP2250310049</t>
  </si>
  <si>
    <t>33100-5812429-9</t>
  </si>
  <si>
    <t>Q051215</t>
  </si>
  <si>
    <t>R6028722</t>
  </si>
  <si>
    <t>9976AP2250310050</t>
  </si>
  <si>
    <t>MUHAMMAD KHURAM ZAHOOR</t>
  </si>
  <si>
    <t>33104-8078256-1</t>
  </si>
  <si>
    <t>PK10B201056</t>
  </si>
  <si>
    <t>A1J310PK10101032</t>
  </si>
  <si>
    <t>9976AP2250310051</t>
  </si>
  <si>
    <t>REEMA NAZ</t>
  </si>
  <si>
    <t>42301-3137480-0</t>
  </si>
  <si>
    <t>Z528438</t>
  </si>
  <si>
    <t>4154334</t>
  </si>
  <si>
    <t>9976AP2250310053</t>
  </si>
  <si>
    <t>ABDUL REHMAN</t>
  </si>
  <si>
    <t>42201-2173853-9</t>
  </si>
  <si>
    <t>1033743</t>
  </si>
  <si>
    <t>9976AP2250310054</t>
  </si>
  <si>
    <t>MUHAMMAD ALI TARIQ</t>
  </si>
  <si>
    <t>33102-3079266-5</t>
  </si>
  <si>
    <t>L13Z17517341</t>
  </si>
  <si>
    <t>NFBGM1543JR232782</t>
  </si>
  <si>
    <t>9976AP2250310056</t>
  </si>
  <si>
    <t>USMAN ABDUL RAUF</t>
  </si>
  <si>
    <t>42301-1496208-1</t>
  </si>
  <si>
    <t>523387</t>
  </si>
  <si>
    <t>1000378</t>
  </si>
  <si>
    <t>9976AP2250340003</t>
  </si>
  <si>
    <t>ABDUL WAHEED</t>
  </si>
  <si>
    <t>37406-1591594-9</t>
  </si>
  <si>
    <t>9514696</t>
  </si>
  <si>
    <t>997AFRA242960004</t>
  </si>
  <si>
    <t>PARKASH</t>
  </si>
  <si>
    <t>41507-0365383-7</t>
  </si>
  <si>
    <t>2A71181</t>
  </si>
  <si>
    <t>NSP150R-7048442</t>
  </si>
  <si>
    <t>997AFRA243310001</t>
  </si>
  <si>
    <t>ABDUL SALAM</t>
  </si>
  <si>
    <t>33100-0662542-5</t>
  </si>
  <si>
    <t>2A71900</t>
  </si>
  <si>
    <t>7049091</t>
  </si>
  <si>
    <t>997AFRA243350007</t>
  </si>
  <si>
    <t>JAMSHED KHAN</t>
  </si>
  <si>
    <t>42301-0615474-7</t>
  </si>
  <si>
    <t>6R336042</t>
  </si>
  <si>
    <t>NF1AET306H1236066</t>
  </si>
  <si>
    <t>997AFRA243470003</t>
  </si>
  <si>
    <t>NADEEM NAYAR</t>
  </si>
  <si>
    <t>33100-8814208-5</t>
  </si>
  <si>
    <t>L12B51030054</t>
  </si>
  <si>
    <t>NFBGN625SR047167</t>
  </si>
  <si>
    <t>997AFRA243610006</t>
  </si>
  <si>
    <t>AHMED RAZA</t>
  </si>
  <si>
    <t>38402-8124185-3</t>
  </si>
  <si>
    <t>503732</t>
  </si>
  <si>
    <t>1002426</t>
  </si>
  <si>
    <t>997AFRR250070003</t>
  </si>
  <si>
    <t>KHALID MAHMOOD</t>
  </si>
  <si>
    <t>34502-4098589-1</t>
  </si>
  <si>
    <t>L12B51010990</t>
  </si>
  <si>
    <t>NFBGN8620NR018955</t>
  </si>
  <si>
    <t>997AFRR250100001</t>
  </si>
  <si>
    <t>HAMZA SHAFQAT</t>
  </si>
  <si>
    <t>34201-6330283-5</t>
  </si>
  <si>
    <t>638416</t>
  </si>
  <si>
    <t>545264</t>
  </si>
  <si>
    <t>997AFRR250130002</t>
  </si>
  <si>
    <t>SYED ALI RAZA SHAH</t>
  </si>
  <si>
    <t>35202-5088705-9</t>
  </si>
  <si>
    <t>JL473QFM3CAD517891</t>
  </si>
  <si>
    <t>NKMA2ASE5M1003785</t>
  </si>
  <si>
    <t>997AFRR250130003</t>
  </si>
  <si>
    <t>MUHAMMAD HASSAN ABDULLAH</t>
  </si>
  <si>
    <t>42101-0204122-5</t>
  </si>
  <si>
    <t>7033403</t>
  </si>
  <si>
    <t>997AFRR250150001</t>
  </si>
  <si>
    <t>MUHAMMAD AHSAN</t>
  </si>
  <si>
    <t>35202-7042221-5</t>
  </si>
  <si>
    <t>L15Z13508351</t>
  </si>
  <si>
    <t>NFBDG1838JR008355</t>
  </si>
  <si>
    <t>997AFRR250150003</t>
  </si>
  <si>
    <t>MOHSIN SHAH</t>
  </si>
  <si>
    <t>42401-0281518-9</t>
  </si>
  <si>
    <t>2A71668</t>
  </si>
  <si>
    <t>NSP150R-7048921</t>
  </si>
  <si>
    <t>997AFRR250160006</t>
  </si>
  <si>
    <t>SAMIA ANSARI</t>
  </si>
  <si>
    <t>42101-9752398-4</t>
  </si>
  <si>
    <t>2A04892</t>
  </si>
  <si>
    <t>9502189</t>
  </si>
  <si>
    <t>997AFRR250160007</t>
  </si>
  <si>
    <t>JAMSHED YOUNAS</t>
  </si>
  <si>
    <t>35401-6951581-3</t>
  </si>
  <si>
    <t>Q055372</t>
  </si>
  <si>
    <t>ZRE171R6032867</t>
  </si>
  <si>
    <t>997AFRR250160008</t>
  </si>
  <si>
    <t>SYED MUHAMMAD FAIQ SHAH</t>
  </si>
  <si>
    <t>41204-9154440-5</t>
  </si>
  <si>
    <t>NZE170R4159456</t>
  </si>
  <si>
    <t>997AFRR250170012</t>
  </si>
  <si>
    <t>YASIR QADIR</t>
  </si>
  <si>
    <t>35202-7136448-5</t>
  </si>
  <si>
    <t>R18Z12915698</t>
  </si>
  <si>
    <t>NFBFC6667HR019081</t>
  </si>
  <si>
    <t>997AFRR250170013</t>
  </si>
  <si>
    <t>MUHAMMAD JAMAL KHAN</t>
  </si>
  <si>
    <t>42201-5350282-3</t>
  </si>
  <si>
    <t>22133165</t>
  </si>
  <si>
    <t>997AFRR250200014</t>
  </si>
  <si>
    <t>NOOR MUHAMMAD MUSTAFA</t>
  </si>
  <si>
    <t>42201-0581329-7</t>
  </si>
  <si>
    <t>6R115121</t>
  </si>
  <si>
    <t>1015640</t>
  </si>
  <si>
    <t>997AFRR250200015</t>
  </si>
  <si>
    <t>WALEED AHMAD KHAN</t>
  </si>
  <si>
    <t>33100-7333570-3</t>
  </si>
  <si>
    <t>G3LALP059136</t>
  </si>
  <si>
    <t>NNATA52AZKP703170</t>
  </si>
  <si>
    <t>997AFRR250200016</t>
  </si>
  <si>
    <t>SHIRJEEL KHAN GHAURI</t>
  </si>
  <si>
    <t>42101-1662984-9</t>
  </si>
  <si>
    <t>L13Z17534676</t>
  </si>
  <si>
    <t>R254616</t>
  </si>
  <si>
    <t>997AFRR250220007</t>
  </si>
  <si>
    <t>FAZUL MUHAMMAD</t>
  </si>
  <si>
    <t>43203-1355952-5</t>
  </si>
  <si>
    <t>51030415</t>
  </si>
  <si>
    <t>047514</t>
  </si>
  <si>
    <t>997AFRR250230011</t>
  </si>
  <si>
    <t>SHABBIR HUSSAIN BUTT</t>
  </si>
  <si>
    <t>61101-2003524-1</t>
  </si>
  <si>
    <t>023681</t>
  </si>
  <si>
    <t>997AFRR250230012</t>
  </si>
  <si>
    <t>MUHAMMAD SHOAIB ANSARI</t>
  </si>
  <si>
    <t>42101-2399136-9</t>
  </si>
  <si>
    <t>6R336613</t>
  </si>
  <si>
    <t>1236657</t>
  </si>
  <si>
    <t>997AFRR250230013</t>
  </si>
  <si>
    <t>HAMMAD ALI</t>
  </si>
  <si>
    <t>35202-0387920-9</t>
  </si>
  <si>
    <t>PK10K148936</t>
  </si>
  <si>
    <t>NF1AVK31H10048720</t>
  </si>
  <si>
    <t>997AFRR250240020</t>
  </si>
  <si>
    <t>IMTIAZ AHMAD</t>
  </si>
  <si>
    <t>42201-7406634-9</t>
  </si>
  <si>
    <t>L12B51019424</t>
  </si>
  <si>
    <t>033999</t>
  </si>
  <si>
    <t>997AFRR250290009</t>
  </si>
  <si>
    <t>JAFFER HAROON LAWAI</t>
  </si>
  <si>
    <t>42301-0984906-7</t>
  </si>
  <si>
    <t>704005</t>
  </si>
  <si>
    <t>997AFRR250300016</t>
  </si>
  <si>
    <t>SYED KAMRAN MUSHTAQ</t>
  </si>
  <si>
    <t>37405-1908900-7</t>
  </si>
  <si>
    <t>252600</t>
  </si>
  <si>
    <t>1000740</t>
  </si>
  <si>
    <t>997AFRR250300020</t>
  </si>
  <si>
    <t>AZEEM AHMED BOLIA</t>
  </si>
  <si>
    <t>42101-5064336-5</t>
  </si>
  <si>
    <t>24431530425</t>
  </si>
  <si>
    <t>NF9EFUA54S2012967</t>
  </si>
  <si>
    <t>997AFRR250310022</t>
  </si>
  <si>
    <t>MUHAMMAD EHSAN KHAN</t>
  </si>
  <si>
    <t>37405-9138788-5</t>
  </si>
  <si>
    <t>1017190</t>
  </si>
  <si>
    <t>SR047704</t>
  </si>
  <si>
    <t>997AFRR250310024</t>
  </si>
  <si>
    <t>41103-5227238-3</t>
  </si>
  <si>
    <t>1237218</t>
  </si>
  <si>
    <t>997AFRR250310025</t>
  </si>
  <si>
    <t>MUHAMMAD AKBAR</t>
  </si>
  <si>
    <t>33100-2595054-7</t>
  </si>
  <si>
    <t>R06AR1002363</t>
  </si>
  <si>
    <t>NF1ADE17V00102377</t>
  </si>
  <si>
    <t>997AFRR250310026</t>
  </si>
  <si>
    <t>AZIM FAISAL</t>
  </si>
  <si>
    <t>42401-8323701-5</t>
  </si>
  <si>
    <t>51030529</t>
  </si>
  <si>
    <t>047597</t>
  </si>
  <si>
    <t>997AFRR250310027</t>
  </si>
  <si>
    <t>KASHAN AHMED</t>
  </si>
  <si>
    <t>42101-5241277-1</t>
  </si>
  <si>
    <t>1024899</t>
  </si>
  <si>
    <t>207552</t>
  </si>
  <si>
    <t>997AFRR250310028</t>
  </si>
  <si>
    <t>SYED HASHAM UL HASAN</t>
  </si>
  <si>
    <t>42101-8302415-3</t>
  </si>
  <si>
    <t>6R221941</t>
  </si>
  <si>
    <t>H1121948</t>
  </si>
  <si>
    <t>997AFRR250310029</t>
  </si>
  <si>
    <t>SHAFQAT HUSSAIN</t>
  </si>
  <si>
    <t>42301-0887193-1</t>
  </si>
  <si>
    <t>1025450</t>
  </si>
  <si>
    <t>208118</t>
  </si>
  <si>
    <t>997AFRR250310031</t>
  </si>
  <si>
    <t>PARVEEN PATSY</t>
  </si>
  <si>
    <t>42201-9830885-6</t>
  </si>
  <si>
    <t>1237603</t>
  </si>
  <si>
    <t>997AFRR250310036</t>
  </si>
  <si>
    <t>MUHAMMAD SHEHZAD</t>
  </si>
  <si>
    <t>38301-7896054-3</t>
  </si>
  <si>
    <t>PK10K117151</t>
  </si>
  <si>
    <t>H10017041</t>
  </si>
  <si>
    <t>997AFRR250310038</t>
  </si>
  <si>
    <t>GUL GHANI</t>
  </si>
  <si>
    <t>42501-4039000-7</t>
  </si>
  <si>
    <t>337532</t>
  </si>
  <si>
    <t>1237599</t>
  </si>
  <si>
    <t>997AFRR250310040</t>
  </si>
  <si>
    <t>ASHFAQ AHMAD</t>
  </si>
  <si>
    <t>33100-0678369-5</t>
  </si>
  <si>
    <t>Q317435</t>
  </si>
  <si>
    <t>7016491</t>
  </si>
  <si>
    <t>997AFRR250310041</t>
  </si>
  <si>
    <t>MUHAMMAD NAEEM BABAR</t>
  </si>
  <si>
    <t>42501-5586461-3</t>
  </si>
  <si>
    <t>L15Z13510720</t>
  </si>
  <si>
    <t>R010714</t>
  </si>
  <si>
    <t>997AFRR250310042</t>
  </si>
  <si>
    <t>HAYAT ULLAH KHAN</t>
  </si>
  <si>
    <t>38301-2644389-9</t>
  </si>
  <si>
    <t>PK10K143247</t>
  </si>
  <si>
    <t>NF1AVK31H10043236</t>
  </si>
  <si>
    <t>997AFRR250310044</t>
  </si>
  <si>
    <t>ALI</t>
  </si>
  <si>
    <t>91105-2484350-9</t>
  </si>
  <si>
    <t>PK10014631</t>
  </si>
  <si>
    <t>997AFRR250310045</t>
  </si>
  <si>
    <t>ZUBAIR ISLAM UDDIN</t>
  </si>
  <si>
    <t>42201-9649260-9</t>
  </si>
  <si>
    <t>338606</t>
  </si>
  <si>
    <t>1238623</t>
  </si>
  <si>
    <t>997AFRR250340001</t>
  </si>
  <si>
    <t>UMAIR HASSAN</t>
  </si>
  <si>
    <t>38401-4892487-3</t>
  </si>
  <si>
    <t>81007155</t>
  </si>
  <si>
    <t>017585</t>
  </si>
  <si>
    <t>997APD1250100001</t>
  </si>
  <si>
    <t>MUMRAIZ HASHMI</t>
  </si>
  <si>
    <t>35202-8333900-1</t>
  </si>
  <si>
    <t>6R333772</t>
  </si>
  <si>
    <t>NF1AET306H1233821</t>
  </si>
  <si>
    <t>997APD1250210001</t>
  </si>
  <si>
    <t>SHAROON SOHAIL ALAM</t>
  </si>
  <si>
    <t>35201-5890508-1</t>
  </si>
  <si>
    <t>JL466Q9L69U501786</t>
  </si>
  <si>
    <t>NKMAAB3D1L1003681</t>
  </si>
  <si>
    <t>997APD2250100001</t>
  </si>
  <si>
    <t>EHSAN ALI SHOUKAT</t>
  </si>
  <si>
    <t>35201-1952599-1</t>
  </si>
  <si>
    <t>6R172815</t>
  </si>
  <si>
    <t>NF1AET306H1072796</t>
  </si>
  <si>
    <t>997APD2250140001</t>
  </si>
  <si>
    <t>MUHAMMAD ASAD</t>
  </si>
  <si>
    <t>17201-1562770-5</t>
  </si>
  <si>
    <t>12934561</t>
  </si>
  <si>
    <t>037981</t>
  </si>
  <si>
    <t>997APD2250170001</t>
  </si>
  <si>
    <t>MUHAMMAD AMJAD ALI</t>
  </si>
  <si>
    <t>35201-8433587-1</t>
  </si>
  <si>
    <t>Z545644</t>
  </si>
  <si>
    <t>R4171273</t>
  </si>
  <si>
    <t>997APD2250220001</t>
  </si>
  <si>
    <t>AROOJ HAFEEZ</t>
  </si>
  <si>
    <t>37406-1554019-8</t>
  </si>
  <si>
    <t>181444</t>
  </si>
  <si>
    <t>1081461</t>
  </si>
  <si>
    <t>997APD2250230002</t>
  </si>
  <si>
    <t>ZAHEER UD DIN BABAR</t>
  </si>
  <si>
    <t>36401-8448001-7</t>
  </si>
  <si>
    <t>6R157222</t>
  </si>
  <si>
    <t>NF1AET306H1057215</t>
  </si>
  <si>
    <t>Policy #</t>
  </si>
  <si>
    <t>Tms premium</t>
  </si>
  <si>
    <t>Difference</t>
  </si>
  <si>
    <t>KHI/HO/D/MO/PC COMP/C/105332/118/01/2025</t>
  </si>
  <si>
    <t>KHI/HO/D/MO/PC COMP/C/105332/2/01/2025</t>
  </si>
  <si>
    <t>KHI/HO/D/MO/PC COMP/C/105332/9/01/2025</t>
  </si>
  <si>
    <t>KHI/HO/D/MO/PC COMP/C/105332/11/01/2025</t>
  </si>
  <si>
    <t>KHI/HO/D/MO/PC COMP/C/105332/12/01/2025</t>
  </si>
  <si>
    <t>KHI/HO/D/MO/PC COMP/C/105332/13/01/2025</t>
  </si>
  <si>
    <t>KHI/HO/D/MO/PC COMP/C/105332/6/01/2025</t>
  </si>
  <si>
    <t>KHI/HO/D/MO/PC COMP/C/105332/20/01/2025</t>
  </si>
  <si>
    <t>KHI/HO/D/MO/PC COMP/C/105332/25/01/2025</t>
  </si>
  <si>
    <t>KHI/HO/D/MO/PC COMP/C/105332/30/01/2025</t>
  </si>
  <si>
    <t>KHI/HO/D/MO/PC COMP/C/105332/28/01/2025</t>
  </si>
  <si>
    <t>KHI/HO/D/MO/PC COMP/C/105332/21/01/2025</t>
  </si>
  <si>
    <t>KHI/HO/D/MO/PC COMP/C/105332/39/01/2025</t>
  </si>
  <si>
    <t>KHI/HO/D/MO/PC COMP/C/105332/50/01/2025</t>
  </si>
  <si>
    <t>KHI/HO/D/MO/PC COMP/C/105332/35/01/2025</t>
  </si>
  <si>
    <t>KHI/HO/D/MO/PC COMP/C/105332/44/01/2025</t>
  </si>
  <si>
    <t>KHI/HO/D/MO/PC COMP/C/105332/37/01/2025</t>
  </si>
  <si>
    <t>KHI/HO/D/MO/PC COMP/C/105332/60/01/2025</t>
  </si>
  <si>
    <t>KHI/HO/D/MO/PC COMP/C/105332/64/01/2025</t>
  </si>
  <si>
    <t>KHI/HO/D/MO/PC COMP/C/105332/61/01/2025</t>
  </si>
  <si>
    <t>KHI/HO/D/MO/PC COMP/C/105332/57/01/2025</t>
  </si>
  <si>
    <t>KHI/HO/D/MO/PC COMP/C/105332/68/01/2025</t>
  </si>
  <si>
    <t>KHI/HO/D/MO/PC COMP/C/105332/69/01/2025</t>
  </si>
  <si>
    <t>KHI/HO/D/MO/PC COMP/C/105332/73/01/2025</t>
  </si>
  <si>
    <t>KHI/HO/D/MO/PC COMP/C/105332/72/01/2025</t>
  </si>
  <si>
    <t>KHI/HO/D/MO/PC COMP/C/105332/77/01/2025</t>
  </si>
  <si>
    <t>KHI/HO/D/MO/PC COMP/C/105332/87/01/2025</t>
  </si>
  <si>
    <t>KHI/HO/D/MO/PC COMP/C/105332/81/01/2025</t>
  </si>
  <si>
    <t>KHI/HO/D/MO/PC COMP/C/105332/86/01/2025</t>
  </si>
  <si>
    <t>KHI/HO/D/MO/PC COMP/C/105332/94/01/2025</t>
  </si>
  <si>
    <t>KHI/HO/D/MO/PC COMP/C/105332/98/01/2025</t>
  </si>
  <si>
    <t>KHI/HO/D/MO/PC COMP/C/105332/101/01/2025</t>
  </si>
  <si>
    <t>KHI/HO/D/MO/PC COMP/C/105332/99/01/2025</t>
  </si>
  <si>
    <t>KHI/HO/D/MO/PC COMP/C/105332/110/01/2025</t>
  </si>
  <si>
    <t>KHI/HO/D/MO/PC COMP/C/105332/108/01/2025</t>
  </si>
  <si>
    <t>KHI/HO/D/MO/PC COMP/C/105332/128/01/2025</t>
  </si>
  <si>
    <t>KHI/HO/D/MO/PC COMP/C/105332/126/01/2025</t>
  </si>
  <si>
    <t>KHI/HO/D/MO/PC COMP/C/105332/106/01/2025</t>
  </si>
  <si>
    <t>KHI/HO/D/MO/PC COMP/C/105332/124/01/2025</t>
  </si>
  <si>
    <t>KHI/HO/D/MO/PC COMP/C/105332/93/01/2025</t>
  </si>
  <si>
    <t>KHI/HO/D/MO/PC COMP/C/105332/135/01/2025</t>
  </si>
  <si>
    <t>KHI/HO/D/MO/PC COMP/C/105332/134/01/2025</t>
  </si>
  <si>
    <t>KHI/HO/D/MO/PC COMP/C/105332/136/01/2025</t>
  </si>
  <si>
    <t>KHI/HO/D/MO/PC COMP/C/105332/130/01/2025</t>
  </si>
  <si>
    <t>KHI/HO/D/MO/PC COMP/C/105332/147/01/2025</t>
  </si>
  <si>
    <t>KHI/HO/D/MO/PC COMP/C/105332/149/01/2025</t>
  </si>
  <si>
    <t>KHI/HO/D/MO/PC COMP/C/105332/7/01/2025</t>
  </si>
  <si>
    <t>KHI/HO/D/MO/PC COMP/C/105332/18/01/2025</t>
  </si>
  <si>
    <t>KHI/HO/D/MO/PC COMP/C/105332/24/01/2025</t>
  </si>
  <si>
    <t>KHI/HO/D/MO/PC COMP/C/105332/19/01/2025</t>
  </si>
  <si>
    <t>KHI/HO/D/MO/PC COMP/C/105332/27/01/2025</t>
  </si>
  <si>
    <t>KHI/HO/D/MO/PC COMP/C/105332/45/01/2025</t>
  </si>
  <si>
    <t>KHI/HO/D/MO/PC COMP/C/105332/31/01/2025</t>
  </si>
  <si>
    <t>KHI/HO/D/MO/PC COMP/C/105332/42/01/2025</t>
  </si>
  <si>
    <t>KHI/HO/D/MO/PC COMP/C/105332/33/01/2025</t>
  </si>
  <si>
    <t>KHI/HO/D/MO/PC COMP/C/105332/34/01/2025</t>
  </si>
  <si>
    <t>KHI/HO/D/MO/PC COMP/C/105332/63/01/2025</t>
  </si>
  <si>
    <t>KHI/HO/D/MO/PC COMP/C/105332/67/01/2025</t>
  </si>
  <si>
    <t>KHI/HO/D/MO/PC COMP/C/105332/66/01/2025</t>
  </si>
  <si>
    <t>KHI/HO/D/MO/PC COMP/C/105332/74/01/2025</t>
  </si>
  <si>
    <t>KHI/HO/D/MO/PC COMP/C/105332/89/01/2025</t>
  </si>
  <si>
    <t>KHI/HO/D/MO/PC COMP/C/105332/91/01/2025</t>
  </si>
  <si>
    <t>KHI/HO/D/MO/PC COMP/C/105332/96/01/2025</t>
  </si>
  <si>
    <t>KHI/HO/D/MO/PC COMP/C/105332/51/01/2025</t>
  </si>
  <si>
    <t>KHI/HO/D/MO/PC COMP/C/105332/104/01/2025</t>
  </si>
  <si>
    <t>KHI/HO/D/MO/PC COMP/C/105332/105/01/2025</t>
  </si>
  <si>
    <t>KHI/HO/D/MO/PC COMP/C/105332/113/01/2025</t>
  </si>
  <si>
    <t>KHI/HO/D/MO/PC COMP/C/105332/123/01/2025</t>
  </si>
  <si>
    <t>KHI/HO/D/MO/PC COMP/C/105332/121/01/2025</t>
  </si>
  <si>
    <t>KHI/HO/D/MO/PC COMP/C/105332/132/01/2025</t>
  </si>
  <si>
    <t>KHI/HO/D/MO/PC COMP/C/105332/49/01/2025</t>
  </si>
  <si>
    <t>KHI/HO/D/MO/PC COMP/C/105332/146/01/2025</t>
  </si>
  <si>
    <t>KHI/HO/D/MO/PC COMP/C/105332/144/01/2025</t>
  </si>
  <si>
    <t>KHI/HO/D/MO/PC COMP/C/105332/120/01/2025</t>
  </si>
  <si>
    <t>KHI/HO/D/MO/PC COMP/C/105332/158/01/2025</t>
  </si>
  <si>
    <t>KHI/HO/D/MO/PC COMP/C/105332/155/01/2025</t>
  </si>
  <si>
    <t>KHI/HO/D/MO/PC COMP/C/105332/26/01/2025</t>
  </si>
  <si>
    <t>KHI/HO/D/MO/PC COMP/C/105332/55/01/2025</t>
  </si>
  <si>
    <t>KHI/HO/D/MO/PC COMP/C/105332/62/01/2025</t>
  </si>
  <si>
    <t>KHI/HO/D/MO/PC COMP/C/105332/41/01/2025</t>
  </si>
  <si>
    <t>KHI/HO/D/MO/PC COMP/C/105332/40/01/2025</t>
  </si>
  <si>
    <t>KHI/HO/D/MO/PC COMP/C/105332/4/01/2025</t>
  </si>
  <si>
    <t>KHI/HO/D/MO/PC COMP/C/105332/14/01/2025</t>
  </si>
  <si>
    <t>KHI/HO/D/MO/PC COMP/C/105332/17/01/2025</t>
  </si>
  <si>
    <t>KHI/HO/D/MO/PC COMP/C/105332/32/01/2025</t>
  </si>
  <si>
    <t>KHI/HO/D/MO/PC COMP/C/105332/36/01/2025</t>
  </si>
  <si>
    <t>KHI/HO/D/MO/PC COMP/C/105332/38/01/2025</t>
  </si>
  <si>
    <t>KHI/HO/D/MO/PC COMP/C/105332/29/01/2025</t>
  </si>
  <si>
    <t>KHI/HO/D/MO/PC COMP/C/105332/53/01/2025</t>
  </si>
  <si>
    <t>KHI/HO/D/MO/PC COMP/C/105332/48/01/2025</t>
  </si>
  <si>
    <t>KHI/HO/D/MO/PC COMP/C/105332/52/01/2025</t>
  </si>
  <si>
    <t>KHI/HO/D/MO/PC COMP/C/105332/59/01/2025</t>
  </si>
  <si>
    <t>KHI/HO/D/MO/PC COMP/C/105332/70/01/2025</t>
  </si>
  <si>
    <t>KHI/HO/D/MO/PC COMP/C/105332/79/01/2025</t>
  </si>
  <si>
    <t>KHI/HO/D/MO/PC COMP/C/105332/76/01/2025</t>
  </si>
  <si>
    <t>KHI/HO/D/MO/PC COMP/C/105332/85/01/2025</t>
  </si>
  <si>
    <t>KHI/HO/D/MO/PC COMP/C/105332/116/01/2025</t>
  </si>
  <si>
    <t>KHI/HO/D/MO/PC COMP/C/105332/112/01/2025</t>
  </si>
  <si>
    <t>KHI/HO/D/MO/PC COMP/C/105332/129/01/2025</t>
  </si>
  <si>
    <t>KHI/HO/D/MO/PC COMP/C/105332/138/01/2025</t>
  </si>
  <si>
    <t>KHI/HO/D/MO/PC COMP/C/105332/100/01/2025</t>
  </si>
  <si>
    <t>KHI/HO/D/MO/PC COMP/C/105332/125/01/2025</t>
  </si>
  <si>
    <t>KHI/HO/D/MO/PC COMP/C/105332/95/01/2025</t>
  </si>
  <si>
    <t>KHI/HO/D/MO/PC COMP/C/105332/131/01/2025</t>
  </si>
  <si>
    <t>KHI/HO/D/MO/PC COMP/C/105332/154/01/2025</t>
  </si>
  <si>
    <t>KHI/HO/D/MO/PC COMP/C/105332/152/01/2025</t>
  </si>
  <si>
    <t>KHI/HO/D/MO/PC COMP/C/105332/156/01/2025</t>
  </si>
  <si>
    <t>KHI/HO/D/MO/PC COMP/C/105332/157/01/2025</t>
  </si>
  <si>
    <t>KHI/HO/D/MO/PC COMP/C/105332/160/01/2025</t>
  </si>
  <si>
    <t>KHI/HO/D/MO/PC COMP/C/105332/8/01/2025</t>
  </si>
  <si>
    <t>KHI/HO/D/MO/PC COMP/C/105332/58/01/2025</t>
  </si>
  <si>
    <t>KHI/HO/D/MO/PC COMP/C/105332/15/01/2025</t>
  </si>
  <si>
    <t>KHI/HO/D/MO/PC COMP/C/105332/23/01/2025</t>
  </si>
  <si>
    <t>KHI/HO/D/MO/PC COMP/C/105332/54/01/2025</t>
  </si>
  <si>
    <t>KHI/HO/D/MO/PC COMP/C/105332/71/01/2025</t>
  </si>
  <si>
    <t>KHI/HO/D/MO/PC COMP/C/105332/78/01/2025</t>
  </si>
  <si>
    <t>6R332326</t>
  </si>
  <si>
    <t>244H0007907</t>
  </si>
  <si>
    <t>G3LAKP168992</t>
  </si>
  <si>
    <t>6R209031</t>
  </si>
  <si>
    <t>L15BG7915781</t>
  </si>
  <si>
    <t>G3LANP115744</t>
  </si>
  <si>
    <t>Q084413</t>
  </si>
  <si>
    <t>JL466Q9N69U500868</t>
  </si>
  <si>
    <t>6R306483</t>
  </si>
  <si>
    <t>G3LAMP165517</t>
  </si>
  <si>
    <t>SFG15T21802752</t>
  </si>
  <si>
    <t>321063</t>
  </si>
  <si>
    <t>6R244421</t>
  </si>
  <si>
    <t>6R118693</t>
  </si>
  <si>
    <t>Q093358</t>
  </si>
  <si>
    <t>6R236806</t>
  </si>
  <si>
    <t>A101949</t>
  </si>
  <si>
    <t>6R317840</t>
  </si>
  <si>
    <t>L15Z14800667</t>
  </si>
  <si>
    <t>L13Z17516643</t>
  </si>
  <si>
    <t>6R336373</t>
  </si>
  <si>
    <t>JL473QR30C505454</t>
  </si>
  <si>
    <t>6R133727</t>
  </si>
  <si>
    <t>39473</t>
  </si>
  <si>
    <t>Q334194</t>
  </si>
  <si>
    <t>Z532968</t>
  </si>
  <si>
    <t>SFG15T-21028553</t>
  </si>
  <si>
    <t>R18Z12920303</t>
  </si>
  <si>
    <t>G4LCRS385068</t>
  </si>
  <si>
    <t>6R337461</t>
  </si>
  <si>
    <t>PK10B114636</t>
  </si>
  <si>
    <t>KHI/HO/D/MO/PC COMP/C/105332/159/01/2025</t>
  </si>
  <si>
    <t>KHI/HO/D/MO/PC COMP/C/105332/1/01/2025</t>
  </si>
  <si>
    <t>KHI/HO/D/MO/PC COMP/C/105332/97/01/2025</t>
  </si>
  <si>
    <t>KHI/HO/D/MO/PC COMP/C/105332/5/01/2025</t>
  </si>
  <si>
    <t>KHI/HO/D/MO/PC COMP/C/105332/82/01/2025</t>
  </si>
  <si>
    <t>KHI/HO/D/MO/PC COMP/C/105332/75/01/2025</t>
  </si>
  <si>
    <t>KHI/HO/D/MO/PC COMP/C/105332/84/01/2025</t>
  </si>
  <si>
    <t>KHI/HO/D/MO/PC COMP/C/105332/114/01/2025</t>
  </si>
  <si>
    <t>KHI/HO/D/MO/PC COMP/C/105332/109/01/2025</t>
  </si>
  <si>
    <t>KHI/HO/D/MO/PC COMP/C/105332/133/01/2025</t>
  </si>
  <si>
    <t>KHI/HO/D/MO/PC COMP/C/105332/117/01/2025</t>
  </si>
  <si>
    <t>KHI/HO/D/MO/PC COMP/C/105332/127/01/2025</t>
  </si>
  <si>
    <t>KHI/HO/D/MO/PC COMP/C/105332/140/01/2025</t>
  </si>
  <si>
    <t>KHI/HO/D/MO/PC COMP/C/105332/143/01/2025</t>
  </si>
  <si>
    <t>KHI/HO/D/MO/PC COMP/C/105332/137/01/2025</t>
  </si>
  <si>
    <t>KHI/HO/D/MO/PC COMP/C/105332/139/01/2025</t>
  </si>
  <si>
    <t>KHI/HO/D/MO/PC COMP/C/105332/141/01/2025</t>
  </si>
  <si>
    <t>KHI/HO/D/MO/PC COMP/C/105332/150/01/2025</t>
  </si>
  <si>
    <t>KHI/HO/D/MO/PC COMP/C/105332/153/01/2025</t>
  </si>
  <si>
    <t>KHI/HO/D/MO/PC COMP/C/105332/3/01/2025</t>
  </si>
  <si>
    <t>KHI/HO/D/MO/PC COMP/C/105332/16/01/2025</t>
  </si>
  <si>
    <t>KHI/HO/D/MO/PC COMP/C/105332/80/01/2025</t>
  </si>
  <si>
    <t>KHI/HO/D/MO/PC COMP/C/105332/90/01/2025</t>
  </si>
  <si>
    <t>KHI/HO/D/MO/PC COMP/C/105332/122/01/2025</t>
  </si>
  <si>
    <t>KHI/HO/D/MO/PC COMP/C/105332/142/01/2025</t>
  </si>
  <si>
    <t>KHI/HO/D/MO/PC COMP/C/105332/151/01/2025</t>
  </si>
  <si>
    <t>KHI/HO/D/MO/PC COMP/C/105332/10/01/2025</t>
  </si>
  <si>
    <t>KHI/HO/D/MO/PC COMP/C/105332/43/01/2025</t>
  </si>
  <si>
    <t>KHI/HO/D/MO/PC COMP/C/105332/47/01/2025</t>
  </si>
  <si>
    <t>KHI/HO/D/MO/PC COMP/C/105332/83/01/2025</t>
  </si>
  <si>
    <t>KHI/HO/D/MO/PC COMP/C/105332/88/01/2025</t>
  </si>
  <si>
    <t>KHI/HO/D/MO/PC COMP/C/105332/119/01/2025</t>
  </si>
  <si>
    <t>KHI/HO/D/MO/PC COMP/C/105332/145/01/2025</t>
  </si>
  <si>
    <t>KHI/HO/D/MO/PC COMP/E/52321/00001/02/2025</t>
  </si>
  <si>
    <t>KHI/HO/D/MO/PC COMP/E/52321/00118/02/2025</t>
  </si>
  <si>
    <t>KHI/HO/D/MO/PC COMP/E/52321/00009/02/2025</t>
  </si>
  <si>
    <t>KHI/HO/D/MO/PC COMP/E/52321/00143/02/2025</t>
  </si>
  <si>
    <t>KHI/HO/D/MO/PC COMP/E/52321/00040/02/2025</t>
  </si>
  <si>
    <t>KHI/HO/D/MO/PC COMP/E/52321/00029/02/2025</t>
  </si>
  <si>
    <t>KHI/HO/D/MO/PC COMP/E/52321/00129/02/2025</t>
  </si>
  <si>
    <t>KHI/HO/D/MO/PC COMP/E/52321/00088/02/2025</t>
  </si>
  <si>
    <t xml:space="preserve">Endorsement No. </t>
  </si>
  <si>
    <t>S.No.</t>
  </si>
  <si>
    <t>S.No</t>
  </si>
  <si>
    <t>00001</t>
  </si>
  <si>
    <t>00097</t>
  </si>
  <si>
    <t>00118</t>
  </si>
  <si>
    <t>00005</t>
  </si>
  <si>
    <t>00002</t>
  </si>
  <si>
    <t>00009</t>
  </si>
  <si>
    <t>00011</t>
  </si>
  <si>
    <t>00012</t>
  </si>
  <si>
    <t>00013</t>
  </si>
  <si>
    <t>00006</t>
  </si>
  <si>
    <t>00020</t>
  </si>
  <si>
    <t>00025</t>
  </si>
  <si>
    <t>00030</t>
  </si>
  <si>
    <t>00028</t>
  </si>
  <si>
    <t>00021</t>
  </si>
  <si>
    <t>00039</t>
  </si>
  <si>
    <t>00050</t>
  </si>
  <si>
    <t>00035</t>
  </si>
  <si>
    <t>00044</t>
  </si>
  <si>
    <t>00037</t>
  </si>
  <si>
    <t>00060</t>
  </si>
  <si>
    <t>00064</t>
  </si>
  <si>
    <t>00061</t>
  </si>
  <si>
    <t>00057</t>
  </si>
  <si>
    <t>00068</t>
  </si>
  <si>
    <t>00069</t>
  </si>
  <si>
    <t>00073</t>
  </si>
  <si>
    <t>00072</t>
  </si>
  <si>
    <t>00082</t>
  </si>
  <si>
    <t>00075</t>
  </si>
  <si>
    <t>00077</t>
  </si>
  <si>
    <t>00087</t>
  </si>
  <si>
    <t>00081</t>
  </si>
  <si>
    <t>00086</t>
  </si>
  <si>
    <t>00094</t>
  </si>
  <si>
    <t>00098</t>
  </si>
  <si>
    <t>00084</t>
  </si>
  <si>
    <t>00101</t>
  </si>
  <si>
    <t>00099</t>
  </si>
  <si>
    <t>00110</t>
  </si>
  <si>
    <t>00114</t>
  </si>
  <si>
    <t>00109</t>
  </si>
  <si>
    <t>00108</t>
  </si>
  <si>
    <t>00128</t>
  </si>
  <si>
    <t>00126</t>
  </si>
  <si>
    <t>00106</t>
  </si>
  <si>
    <t>00124</t>
  </si>
  <si>
    <t>00093</t>
  </si>
  <si>
    <t>00135</t>
  </si>
  <si>
    <t>00134</t>
  </si>
  <si>
    <t>00133</t>
  </si>
  <si>
    <t>00117</t>
  </si>
  <si>
    <t>00136</t>
  </si>
  <si>
    <t>00127</t>
  </si>
  <si>
    <t>00140</t>
  </si>
  <si>
    <t>00130</t>
  </si>
  <si>
    <t>00143</t>
  </si>
  <si>
    <t>00137</t>
  </si>
  <si>
    <t>00139</t>
  </si>
  <si>
    <t>00141</t>
  </si>
  <si>
    <t>00147</t>
  </si>
  <si>
    <t>00159</t>
  </si>
  <si>
    <t>00150</t>
  </si>
  <si>
    <t>00153</t>
  </si>
  <si>
    <t>00149</t>
  </si>
  <si>
    <t>00003</t>
  </si>
  <si>
    <t>00007</t>
  </si>
  <si>
    <t>00016</t>
  </si>
  <si>
    <t>00018</t>
  </si>
  <si>
    <t>00024</t>
  </si>
  <si>
    <t>00019</t>
  </si>
  <si>
    <t>00027</t>
  </si>
  <si>
    <t>00045</t>
  </si>
  <si>
    <t>00031</t>
  </si>
  <si>
    <t>00042</t>
  </si>
  <si>
    <t>00033</t>
  </si>
  <si>
    <t>00034</t>
  </si>
  <si>
    <t>00063</t>
  </si>
  <si>
    <t>00067</t>
  </si>
  <si>
    <t>00066</t>
  </si>
  <si>
    <t>00074</t>
  </si>
  <si>
    <t>00080</t>
  </si>
  <si>
    <t>00089</t>
  </si>
  <si>
    <t>00091</t>
  </si>
  <si>
    <t>00090</t>
  </si>
  <si>
    <t>00096</t>
  </si>
  <si>
    <t>00051</t>
  </si>
  <si>
    <t>00104</t>
  </si>
  <si>
    <t>00105</t>
  </si>
  <si>
    <t>00113</t>
  </si>
  <si>
    <t>00123</t>
  </si>
  <si>
    <t>00121</t>
  </si>
  <si>
    <t>00122</t>
  </si>
  <si>
    <t>00132</t>
  </si>
  <si>
    <t>00049</t>
  </si>
  <si>
    <t>00146</t>
  </si>
  <si>
    <t>00144</t>
  </si>
  <si>
    <t>00120</t>
  </si>
  <si>
    <t>00142</t>
  </si>
  <si>
    <t>00158</t>
  </si>
  <si>
    <t>00155</t>
  </si>
  <si>
    <t>00151</t>
  </si>
  <si>
    <t>00026</t>
  </si>
  <si>
    <t>00055</t>
  </si>
  <si>
    <t>00062</t>
  </si>
  <si>
    <t>00041</t>
  </si>
  <si>
    <t>00040</t>
  </si>
  <si>
    <t>00004</t>
  </si>
  <si>
    <t>00014</t>
  </si>
  <si>
    <t>00017</t>
  </si>
  <si>
    <t>00010</t>
  </si>
  <si>
    <t>00032</t>
  </si>
  <si>
    <t>00036</t>
  </si>
  <si>
    <t>00038</t>
  </si>
  <si>
    <t>00029</t>
  </si>
  <si>
    <t>00043</t>
  </si>
  <si>
    <t>00053</t>
  </si>
  <si>
    <t>00047</t>
  </si>
  <si>
    <t>00048</t>
  </si>
  <si>
    <t>00052</t>
  </si>
  <si>
    <t>00059</t>
  </si>
  <si>
    <t>00070</t>
  </si>
  <si>
    <t>00083</t>
  </si>
  <si>
    <t>00079</t>
  </si>
  <si>
    <t>00076</t>
  </si>
  <si>
    <t>00085</t>
  </si>
  <si>
    <t>00088</t>
  </si>
  <si>
    <t>00116</t>
  </si>
  <si>
    <t>00112</t>
  </si>
  <si>
    <t>00129</t>
  </si>
  <si>
    <t>00138</t>
  </si>
  <si>
    <t>00100</t>
  </si>
  <si>
    <t>00125</t>
  </si>
  <si>
    <t>00119</t>
  </si>
  <si>
    <t>00095</t>
  </si>
  <si>
    <t>00131</t>
  </si>
  <si>
    <t>00154</t>
  </si>
  <si>
    <t>00152</t>
  </si>
  <si>
    <t>00156</t>
  </si>
  <si>
    <t>00145</t>
  </si>
  <si>
    <t>00157</t>
  </si>
  <si>
    <t>00160</t>
  </si>
  <si>
    <t>00008</t>
  </si>
  <si>
    <t>00058</t>
  </si>
  <si>
    <t>00015</t>
  </si>
  <si>
    <t>00023</t>
  </si>
  <si>
    <t>00054</t>
  </si>
  <si>
    <t>00071</t>
  </si>
  <si>
    <t>00078</t>
  </si>
  <si>
    <t xml:space="preserve"> </t>
  </si>
  <si>
    <t>-02-2025</t>
  </si>
  <si>
    <t>-01-2025</t>
  </si>
  <si>
    <t xml:space="preserve">   </t>
  </si>
  <si>
    <t>FUNC_ASSORTED_STRING(IA.ASSORTED_CODE)</t>
  </si>
  <si>
    <t>ASSORTED_CODE</t>
  </si>
  <si>
    <t>070000174137</t>
  </si>
  <si>
    <t>070000174138</t>
  </si>
  <si>
    <t>070000176356</t>
  </si>
  <si>
    <t>070000176358</t>
  </si>
  <si>
    <t>070000176359</t>
  </si>
  <si>
    <t>070000176361</t>
  </si>
  <si>
    <t>070000173844</t>
  </si>
  <si>
    <t>070000173917</t>
  </si>
  <si>
    <t>070000173929</t>
  </si>
  <si>
    <t>070000173923</t>
  </si>
  <si>
    <t>070000173924</t>
  </si>
  <si>
    <t>070000175430</t>
  </si>
  <si>
    <t>070000174009</t>
  </si>
  <si>
    <t>070000176364</t>
  </si>
  <si>
    <t>070000173990</t>
  </si>
  <si>
    <t>070000173993</t>
  </si>
  <si>
    <t>070000174011</t>
  </si>
  <si>
    <t>070000174087</t>
  </si>
  <si>
    <t>070000174090</t>
  </si>
  <si>
    <t>070000174160</t>
  </si>
  <si>
    <t>070000174196</t>
  </si>
  <si>
    <t>070000174108</t>
  </si>
  <si>
    <t>070000174109</t>
  </si>
  <si>
    <t>070000174141</t>
  </si>
  <si>
    <t>070000174157</t>
  </si>
  <si>
    <t>070000176116</t>
  </si>
  <si>
    <t>070000176123</t>
  </si>
  <si>
    <t>070000174193</t>
  </si>
  <si>
    <t>070000174194</t>
  </si>
  <si>
    <t>070000176338</t>
  </si>
  <si>
    <t>070000174450</t>
  </si>
  <si>
    <t>070000174982</t>
  </si>
  <si>
    <t>070000174983</t>
  </si>
  <si>
    <t>070000173989</t>
  </si>
  <si>
    <t>070000174953</t>
  </si>
  <si>
    <t>070000175571</t>
  </si>
  <si>
    <t>070000173828</t>
  </si>
  <si>
    <t>070000176337</t>
  </si>
  <si>
    <t>070000176340</t>
  </si>
  <si>
    <t>070000176362</t>
  </si>
  <si>
    <t>070000176363</t>
  </si>
  <si>
    <t>070000174061</t>
  </si>
  <si>
    <t>070000174103</t>
  </si>
  <si>
    <t>070000173893</t>
  </si>
  <si>
    <t>070000174813</t>
  </si>
  <si>
    <t>070000175292</t>
  </si>
  <si>
    <t>070000175559</t>
  </si>
  <si>
    <t>070000174418</t>
  </si>
  <si>
    <t>070000174419</t>
  </si>
  <si>
    <t>070000174441</t>
  </si>
  <si>
    <t>070000174814</t>
  </si>
  <si>
    <t>070000173679</t>
  </si>
  <si>
    <t>070000174049</t>
  </si>
  <si>
    <t>070000174052</t>
  </si>
  <si>
    <t>070000175365</t>
  </si>
  <si>
    <t>070000173898</t>
  </si>
  <si>
    <t>070000174820</t>
  </si>
  <si>
    <t>070000173846</t>
  </si>
  <si>
    <t>070000174423</t>
  </si>
  <si>
    <t>070000174430</t>
  </si>
  <si>
    <t>070000174432</t>
  </si>
  <si>
    <t>070000176350</t>
  </si>
  <si>
    <t>070000176351</t>
  </si>
  <si>
    <t>070000176353</t>
  </si>
  <si>
    <t>070000176354</t>
  </si>
  <si>
    <t>070000176355</t>
  </si>
  <si>
    <t>070000173815</t>
  </si>
  <si>
    <t>070000174416</t>
  </si>
  <si>
    <t>070000174821</t>
  </si>
  <si>
    <t>070000174042</t>
  </si>
  <si>
    <t>070000175118</t>
  </si>
  <si>
    <t>070000176306</t>
  </si>
  <si>
    <t>070000176309</t>
  </si>
  <si>
    <t>070000176236</t>
  </si>
  <si>
    <t>070000176237</t>
  </si>
  <si>
    <t>070000176314</t>
  </si>
  <si>
    <t>070000174006</t>
  </si>
  <si>
    <t>070000174007</t>
  </si>
  <si>
    <t>070000174063</t>
  </si>
  <si>
    <t>070000174064</t>
  </si>
  <si>
    <t>070000174201</t>
  </si>
  <si>
    <t>070000174454</t>
  </si>
  <si>
    <t>070000174195</t>
  </si>
  <si>
    <t>070000174815</t>
  </si>
  <si>
    <t>070000174822</t>
  </si>
  <si>
    <t>070000174823</t>
  </si>
  <si>
    <t>070000173665</t>
  </si>
  <si>
    <t>070000174001</t>
  </si>
  <si>
    <t>070000174037</t>
  </si>
  <si>
    <t>070000174055</t>
  </si>
  <si>
    <t>070000174057</t>
  </si>
  <si>
    <t>070000174197</t>
  </si>
  <si>
    <t>070000173926</t>
  </si>
  <si>
    <t>070000173995</t>
  </si>
  <si>
    <t>070000173680</t>
  </si>
  <si>
    <t>070000173896</t>
  </si>
  <si>
    <t>070000173685</t>
  </si>
  <si>
    <t>070000174810</t>
  </si>
  <si>
    <t>070000175439</t>
  </si>
  <si>
    <t>070000175454</t>
  </si>
  <si>
    <t>070000175482</t>
  </si>
  <si>
    <t>070000175498</t>
  </si>
  <si>
    <t>070000174092</t>
  </si>
  <si>
    <t>070000174095</t>
  </si>
  <si>
    <t>070000176315</t>
  </si>
  <si>
    <t>070000173829</t>
  </si>
  <si>
    <t>070000174114</t>
  </si>
  <si>
    <t>070000173930</t>
  </si>
  <si>
    <t>070000173931</t>
  </si>
  <si>
    <t>070000175133</t>
  </si>
  <si>
    <t>070000175141</t>
  </si>
  <si>
    <t>070000175142</t>
  </si>
  <si>
    <t>070000175171</t>
  </si>
  <si>
    <t>070000173854</t>
  </si>
  <si>
    <t>070000174099</t>
  </si>
  <si>
    <t>070000176310</t>
  </si>
  <si>
    <t>070000176311</t>
  </si>
  <si>
    <t>070000176320</t>
  </si>
  <si>
    <t>070000176321</t>
  </si>
  <si>
    <t>070000176330</t>
  </si>
  <si>
    <t>070000173811</t>
  </si>
  <si>
    <t>070000173812</t>
  </si>
  <si>
    <t>070000174060</t>
  </si>
  <si>
    <t>070000173881</t>
  </si>
  <si>
    <t>070000174447</t>
  </si>
  <si>
    <t>070000176293</t>
  </si>
  <si>
    <t>070000176205</t>
  </si>
  <si>
    <t>070000173834</t>
  </si>
  <si>
    <t>070000174104</t>
  </si>
  <si>
    <t>070000174105</t>
  </si>
  <si>
    <t>070000174106</t>
  </si>
  <si>
    <t>070000174846</t>
  </si>
  <si>
    <t>070000174830</t>
  </si>
  <si>
    <t>070000176324</t>
  </si>
  <si>
    <t>070000176326</t>
  </si>
  <si>
    <t>070000174994</t>
  </si>
  <si>
    <t>070000174452</t>
  </si>
  <si>
    <t>070000173874</t>
  </si>
  <si>
    <t>070000174085</t>
  </si>
  <si>
    <t>070000174995</t>
  </si>
  <si>
    <t>070000175138</t>
  </si>
  <si>
    <t>070000175139</t>
  </si>
  <si>
    <t>POLICY NO.</t>
  </si>
  <si>
    <t>Assorted_code</t>
  </si>
  <si>
    <t>070000173661</t>
  </si>
  <si>
    <t>070000175366</t>
  </si>
  <si>
    <t>070000173818</t>
  </si>
  <si>
    <t>070000176328</t>
  </si>
  <si>
    <t>070000174041</t>
  </si>
  <si>
    <t>070000173934</t>
  </si>
  <si>
    <t>070000176206</t>
  </si>
  <si>
    <t>20Feb250031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</si>
</sst>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 "/>
    </font>
    <font>
      <sz val="11"/>
      <color rgb="FF000000"/>
      <name val="Aptos Narrow"/>
      <family val="2"/>
    </font>
    <font>
      <b/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sz val="11"/>
      <color rgb="FF1F497D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165" fontId="0" fillId="0" borderId="1" xfId="4" applyNumberFormat="1" applyFont="1" applyBorder="1"/>
    <xf numFmtId="165" fontId="0" fillId="0" borderId="0" xfId="0" applyNumberFormat="1"/>
    <xf numFmtId="0" fontId="0" fillId="0" borderId="1" xfId="0" applyBorder="1" applyAlignment="1">
      <alignment vertical="top"/>
    </xf>
    <xf numFmtId="165" fontId="0" fillId="0" borderId="1" xfId="0" applyNumberFormat="1" applyBorder="1"/>
    <xf numFmtId="0" fontId="4" fillId="0" borderId="1" xfId="0" applyFont="1" applyBorder="1" applyAlignment="1">
      <alignment vertical="center"/>
    </xf>
    <xf numFmtId="165" fontId="2" fillId="0" borderId="1" xfId="4" applyNumberFormat="1" applyFont="1" applyBorder="1"/>
    <xf numFmtId="0" fontId="2" fillId="2" borderId="1" xfId="0" applyFont="1" applyFill="1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165" fontId="2" fillId="3" borderId="1" xfId="4" applyNumberFormat="1" applyFont="1" applyFill="1" applyBorder="1"/>
    <xf numFmtId="0" fontId="0" fillId="4" borderId="0" xfId="0" applyFill="1"/>
    <xf numFmtId="165" fontId="2" fillId="3" borderId="1" xfId="0" applyNumberFormat="1" applyFont="1" applyFill="1" applyBorder="1"/>
    <xf numFmtId="0" fontId="5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0" xfId="0" applyAlignment="1">
      <alignment vertical="top"/>
    </xf>
    <xf numFmtId="165" fontId="6" fillId="0" borderId="0" xfId="4" applyNumberFormat="1" applyFont="1" applyAlignment="1">
      <alignment vertical="top"/>
    </xf>
    <xf numFmtId="0" fontId="0" fillId="3" borderId="0" xfId="0" applyFill="1" applyAlignment="1">
      <alignment vertical="top" wrapText="1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wrapText="1"/>
    </xf>
    <xf numFmtId="0" fontId="7" fillId="0" borderId="0" xfId="0" applyFont="1"/>
  </cellXfs>
  <cellStyles count="5">
    <cellStyle name="Comma" xfId="4" builtinId="3"/>
    <cellStyle name="Comma 2" xfId="3" xr:uid="{00000000-0005-0000-0000-000001000000}"/>
    <cellStyle name="Normal" xfId="0" builtinId="0"/>
    <cellStyle name="Normal 2" xfId="1" xr:uid="{00000000-0005-0000-0000-000003000000}"/>
    <cellStyle name="Normal 2 2" xfId="2" xr:uid="{00000000-0005-0000-0000-000004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selection activeCell="G9" sqref="G9"/>
    </sheetView>
  </sheetViews>
  <sheetFormatPr defaultRowHeight="15"/>
  <cols>
    <col min="2" max="2" width="17.5703125" bestFit="1" customWidth="1"/>
    <col min="3" max="3" width="18.140625" bestFit="1" customWidth="1"/>
    <col min="4" max="4" width="15.42578125" bestFit="1" customWidth="1"/>
    <col min="5" max="5" width="13.42578125" bestFit="1" customWidth="1"/>
    <col min="6" max="6" width="18.85546875" bestFit="1" customWidth="1"/>
    <col min="7" max="7" width="9" bestFit="1" customWidth="1"/>
    <col min="8" max="8" width="11.7109375" bestFit="1" customWidth="1"/>
    <col min="9" max="9" width="10.7109375" bestFit="1" customWidth="1"/>
    <col min="10" max="10" width="24.28515625" bestFit="1" customWidth="1"/>
    <col min="12" max="12" width="16.28515625" bestFit="1" customWidth="1"/>
    <col min="13" max="13" width="12.5703125" bestFit="1" customWidth="1"/>
    <col min="14" max="14" width="9.7109375" bestFit="1" customWidth="1"/>
  </cols>
  <sheetData>
    <row r="1" spans="1:14">
      <c r="A1" s="8" t="s">
        <v>937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744</v>
      </c>
      <c r="L1" s="8" t="s">
        <v>935</v>
      </c>
      <c r="M1" s="8" t="s">
        <v>745</v>
      </c>
      <c r="N1" s="8" t="s">
        <v>746</v>
      </c>
    </row>
    <row r="2" spans="1:14">
      <c r="A2" s="10">
        <v>1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2">
        <v>242620</v>
      </c>
      <c r="H2" s="1" t="s">
        <v>9</v>
      </c>
      <c r="I2" s="1" t="s">
        <v>10</v>
      </c>
      <c r="J2" s="1" t="s">
        <v>11</v>
      </c>
      <c r="K2" s="1">
        <v>0</v>
      </c>
      <c r="L2" s="1"/>
      <c r="M2" s="1" t="e">
        <v>#N/A</v>
      </c>
      <c r="N2" s="5" t="e">
        <v>#N/A</v>
      </c>
    </row>
    <row r="3" spans="1:14">
      <c r="A3" s="10">
        <v>2</v>
      </c>
      <c r="B3" s="1" t="s">
        <v>641</v>
      </c>
      <c r="C3" s="1" t="s">
        <v>642</v>
      </c>
      <c r="D3" s="1" t="s">
        <v>643</v>
      </c>
      <c r="E3" s="1" t="s">
        <v>644</v>
      </c>
      <c r="F3" s="1" t="s">
        <v>645</v>
      </c>
      <c r="G3" s="2">
        <v>48983</v>
      </c>
      <c r="H3" s="1" t="s">
        <v>9</v>
      </c>
      <c r="I3" s="1" t="s">
        <v>10</v>
      </c>
      <c r="J3" s="1" t="s">
        <v>11</v>
      </c>
      <c r="K3" s="1">
        <v>0</v>
      </c>
      <c r="L3" s="1"/>
      <c r="M3" s="1" t="e">
        <v>#N/A</v>
      </c>
      <c r="N3" s="5" t="e">
        <v>#N/A</v>
      </c>
    </row>
    <row r="4" spans="1:14">
      <c r="A4" s="10">
        <v>3</v>
      </c>
      <c r="B4" s="1" t="s">
        <v>646</v>
      </c>
      <c r="C4" s="1" t="s">
        <v>647</v>
      </c>
      <c r="D4" s="1" t="s">
        <v>648</v>
      </c>
      <c r="E4" s="1" t="s">
        <v>649</v>
      </c>
      <c r="F4" s="1" t="s">
        <v>650</v>
      </c>
      <c r="G4" s="2">
        <v>89565</v>
      </c>
      <c r="H4" s="1" t="s">
        <v>9</v>
      </c>
      <c r="I4" s="1" t="s">
        <v>10</v>
      </c>
      <c r="J4" s="1" t="s">
        <v>11</v>
      </c>
      <c r="K4" s="1">
        <v>0</v>
      </c>
      <c r="L4" s="1"/>
      <c r="M4" s="1" t="e">
        <v>#N/A</v>
      </c>
      <c r="N4" s="5" t="e">
        <v>#N/A</v>
      </c>
    </row>
    <row r="5" spans="1:14">
      <c r="A5" s="1"/>
      <c r="B5" s="1"/>
      <c r="C5" s="1"/>
      <c r="D5" s="1"/>
      <c r="E5" s="1"/>
      <c r="F5" s="1"/>
      <c r="G5" s="13">
        <f>SUM(G2:G4)</f>
        <v>381168</v>
      </c>
      <c r="H5" s="1"/>
      <c r="I5" s="1"/>
      <c r="J5" s="1"/>
      <c r="K5" s="1"/>
      <c r="L5" s="1"/>
      <c r="M5" s="1"/>
      <c r="N5" s="1"/>
    </row>
    <row r="9" spans="1:14">
      <c r="G9" s="3">
        <v>381168</v>
      </c>
    </row>
    <row r="10" spans="1:14">
      <c r="G10" s="13" t="s">
        <v>1087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9"/>
  <sheetViews>
    <sheetView tabSelected="1" topLeftCell="K136" zoomScale="85" zoomScaleNormal="85" workbookViewId="0">
      <selection activeCell="O151" sqref="O151"/>
    </sheetView>
  </sheetViews>
  <sheetFormatPr defaultColWidth="108.140625" defaultRowHeight="15"/>
  <cols>
    <col min="1" max="1" width="5.42578125" hidden="1" customWidth="1"/>
    <col min="2" max="2" width="18.140625" hidden="1" customWidth="1"/>
    <col min="3" max="3" width="29" hidden="1" customWidth="1"/>
    <col min="4" max="4" width="15.7109375" hidden="1" customWidth="1"/>
    <col min="5" max="5" width="20.7109375" hidden="1" customWidth="1"/>
    <col min="6" max="6" width="21.42578125" hidden="1" customWidth="1"/>
    <col min="7" max="7" width="14.28515625" hidden="1" customWidth="1"/>
    <col min="8" max="8" width="12.140625" hidden="1" customWidth="1"/>
    <col min="9" max="9" width="10.7109375" hidden="1" customWidth="1"/>
    <col min="10" max="10" width="25.28515625" hidden="1" customWidth="1"/>
    <col min="11" max="11" width="44" bestFit="1" customWidth="1"/>
    <col min="12" max="12" width="44" customWidth="1"/>
    <col min="13" max="13" width="13.42578125" bestFit="1" customWidth="1"/>
    <col min="14" max="14" width="18.42578125" bestFit="1" customWidth="1"/>
    <col min="15" max="16384" width="108.140625" style="12"/>
  </cols>
  <sheetData>
    <row r="1" spans="1:14">
      <c r="A1" s="9" t="s">
        <v>936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744</v>
      </c>
      <c r="L1" s="8" t="s">
        <v>935</v>
      </c>
      <c r="M1" s="8" t="s">
        <v>745</v>
      </c>
      <c r="N1" s="8" t="s">
        <v>746</v>
      </c>
    </row>
    <row r="2" spans="1:14">
      <c r="A2" s="10">
        <v>1</v>
      </c>
      <c r="B2" s="1" t="s">
        <v>14</v>
      </c>
      <c r="C2" s="1" t="s">
        <v>15</v>
      </c>
      <c r="D2" s="1" t="s">
        <v>16</v>
      </c>
      <c r="E2" s="4" t="s">
        <v>863</v>
      </c>
      <c r="F2" s="1" t="s">
        <v>17</v>
      </c>
      <c r="G2" s="2">
        <v>54140</v>
      </c>
      <c r="H2" s="1" t="s">
        <v>9</v>
      </c>
      <c r="I2" s="1" t="s">
        <v>10</v>
      </c>
      <c r="J2" s="1" t="s">
        <v>11</v>
      </c>
      <c r="K2" s="1" t="s">
        <v>895</v>
      </c>
      <c r="L2" s="6" t="s">
        <v>927</v>
      </c>
      <c r="M2" s="1">
        <v>47373</v>
      </c>
      <c r="N2" s="5">
        <f>G2-M2</f>
        <v>6767</v>
      </c>
    </row>
    <row r="3" spans="1:14">
      <c r="A3" s="10">
        <v>2</v>
      </c>
      <c r="B3" s="1" t="s">
        <v>23</v>
      </c>
      <c r="C3" s="1" t="s">
        <v>24</v>
      </c>
      <c r="D3" s="1" t="s">
        <v>25</v>
      </c>
      <c r="E3" s="4" t="s">
        <v>864</v>
      </c>
      <c r="F3" s="1" t="s">
        <v>26</v>
      </c>
      <c r="G3" s="2">
        <v>188919</v>
      </c>
      <c r="H3" s="1" t="s">
        <v>9</v>
      </c>
      <c r="I3" s="1" t="s">
        <v>10</v>
      </c>
      <c r="J3" s="1" t="s">
        <v>11</v>
      </c>
      <c r="K3" s="1" t="s">
        <v>896</v>
      </c>
      <c r="L3" s="1" t="s">
        <v>896</v>
      </c>
      <c r="M3" s="1">
        <v>188919</v>
      </c>
      <c r="N3" s="5">
        <v>0</v>
      </c>
    </row>
    <row r="4" spans="1:14">
      <c r="A4" s="10">
        <v>3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2">
        <v>60900</v>
      </c>
      <c r="H4" s="1" t="s">
        <v>9</v>
      </c>
      <c r="I4" s="1" t="s">
        <v>10</v>
      </c>
      <c r="J4" s="1" t="s">
        <v>11</v>
      </c>
      <c r="K4" s="1" t="s">
        <v>747</v>
      </c>
      <c r="L4" s="6" t="s">
        <v>928</v>
      </c>
      <c r="M4" s="1">
        <v>53288</v>
      </c>
      <c r="N4" s="5">
        <f>G4-M4</f>
        <v>7612</v>
      </c>
    </row>
    <row r="5" spans="1:14">
      <c r="A5" s="10">
        <v>4</v>
      </c>
      <c r="B5" s="1" t="s">
        <v>32</v>
      </c>
      <c r="C5" s="1" t="s">
        <v>33</v>
      </c>
      <c r="D5" s="1" t="s">
        <v>34</v>
      </c>
      <c r="E5" s="4" t="s">
        <v>865</v>
      </c>
      <c r="F5" s="1" t="s">
        <v>35</v>
      </c>
      <c r="G5" s="2">
        <v>42000</v>
      </c>
      <c r="H5" s="1" t="s">
        <v>9</v>
      </c>
      <c r="I5" s="1" t="s">
        <v>10</v>
      </c>
      <c r="J5" s="1" t="s">
        <v>11</v>
      </c>
      <c r="K5" s="1" t="s">
        <v>897</v>
      </c>
      <c r="L5" s="1" t="s">
        <v>897</v>
      </c>
      <c r="M5" s="1">
        <v>42000</v>
      </c>
      <c r="N5" s="5">
        <v>0</v>
      </c>
    </row>
    <row r="6" spans="1:14">
      <c r="A6" s="10">
        <v>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2">
        <v>82583</v>
      </c>
      <c r="H6" s="1" t="s">
        <v>9</v>
      </c>
      <c r="I6" s="1" t="s">
        <v>10</v>
      </c>
      <c r="J6" s="1" t="s">
        <v>11</v>
      </c>
      <c r="K6" s="1" t="s">
        <v>748</v>
      </c>
      <c r="L6" s="1" t="s">
        <v>748</v>
      </c>
      <c r="M6" s="1">
        <v>82583</v>
      </c>
      <c r="N6" s="5">
        <v>0</v>
      </c>
    </row>
    <row r="7" spans="1:14">
      <c r="A7" s="10">
        <v>6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G7" s="2">
        <v>70785</v>
      </c>
      <c r="H7" s="1" t="s">
        <v>9</v>
      </c>
      <c r="I7" s="1" t="s">
        <v>10</v>
      </c>
      <c r="J7" s="1" t="s">
        <v>11</v>
      </c>
      <c r="K7" s="1" t="s">
        <v>749</v>
      </c>
      <c r="L7" s="6" t="s">
        <v>929</v>
      </c>
      <c r="M7" s="1">
        <v>82583</v>
      </c>
      <c r="N7" s="5">
        <f>G7-M7</f>
        <v>-11798</v>
      </c>
    </row>
    <row r="8" spans="1:14">
      <c r="A8" s="10">
        <v>7</v>
      </c>
      <c r="B8" s="1" t="s">
        <v>46</v>
      </c>
      <c r="C8" s="1" t="s">
        <v>47</v>
      </c>
      <c r="D8" s="1" t="s">
        <v>48</v>
      </c>
      <c r="E8" s="1" t="s">
        <v>49</v>
      </c>
      <c r="F8" s="1" t="s">
        <v>50</v>
      </c>
      <c r="G8" s="2">
        <v>83300</v>
      </c>
      <c r="H8" s="1" t="s">
        <v>9</v>
      </c>
      <c r="I8" s="1" t="s">
        <v>10</v>
      </c>
      <c r="J8" s="1" t="s">
        <v>11</v>
      </c>
      <c r="K8" s="1" t="s">
        <v>750</v>
      </c>
      <c r="L8" s="1" t="s">
        <v>750</v>
      </c>
      <c r="M8" s="1">
        <v>83300</v>
      </c>
      <c r="N8" s="5">
        <v>0</v>
      </c>
    </row>
    <row r="9" spans="1:14">
      <c r="A9" s="10">
        <v>8</v>
      </c>
      <c r="B9" s="1" t="s">
        <v>51</v>
      </c>
      <c r="C9" s="1" t="s">
        <v>52</v>
      </c>
      <c r="D9" s="1" t="s">
        <v>53</v>
      </c>
      <c r="E9" s="1" t="s">
        <v>54</v>
      </c>
      <c r="F9" s="1" t="s">
        <v>55</v>
      </c>
      <c r="G9" s="2">
        <v>28875</v>
      </c>
      <c r="H9" s="1" t="s">
        <v>9</v>
      </c>
      <c r="I9" s="1" t="s">
        <v>10</v>
      </c>
      <c r="J9" s="1" t="s">
        <v>11</v>
      </c>
      <c r="K9" s="1" t="s">
        <v>751</v>
      </c>
      <c r="L9" s="1" t="s">
        <v>751</v>
      </c>
      <c r="M9" s="1">
        <v>28875</v>
      </c>
      <c r="N9" s="5">
        <v>0</v>
      </c>
    </row>
    <row r="10" spans="1:14">
      <c r="A10" s="10">
        <v>9</v>
      </c>
      <c r="B10" s="1" t="s">
        <v>56</v>
      </c>
      <c r="C10" s="1" t="s">
        <v>57</v>
      </c>
      <c r="D10" s="1" t="s">
        <v>58</v>
      </c>
      <c r="E10" s="1" t="s">
        <v>59</v>
      </c>
      <c r="F10" s="1" t="s">
        <v>60</v>
      </c>
      <c r="G10" s="2">
        <v>82583</v>
      </c>
      <c r="H10" s="1" t="s">
        <v>9</v>
      </c>
      <c r="I10" s="1" t="s">
        <v>10</v>
      </c>
      <c r="J10" s="1" t="s">
        <v>11</v>
      </c>
      <c r="K10" s="1" t="s">
        <v>752</v>
      </c>
      <c r="L10" s="1" t="s">
        <v>752</v>
      </c>
      <c r="M10" s="1">
        <v>82583</v>
      </c>
      <c r="N10" s="5">
        <v>0</v>
      </c>
    </row>
    <row r="11" spans="1:14">
      <c r="A11" s="10">
        <v>10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  <c r="G11" s="2">
        <v>173250</v>
      </c>
      <c r="H11" s="1" t="s">
        <v>9</v>
      </c>
      <c r="I11" s="1" t="s">
        <v>10</v>
      </c>
      <c r="J11" s="1" t="s">
        <v>11</v>
      </c>
      <c r="K11" s="1" t="s">
        <v>753</v>
      </c>
      <c r="L11" s="1" t="s">
        <v>753</v>
      </c>
      <c r="M11" s="1">
        <v>173250</v>
      </c>
      <c r="N11" s="5">
        <v>0</v>
      </c>
    </row>
    <row r="12" spans="1:14">
      <c r="A12" s="10">
        <v>11</v>
      </c>
      <c r="B12" s="1" t="s">
        <v>66</v>
      </c>
      <c r="C12" s="1" t="s">
        <v>67</v>
      </c>
      <c r="D12" s="1" t="s">
        <v>68</v>
      </c>
      <c r="E12" s="1" t="s">
        <v>69</v>
      </c>
      <c r="F12" s="1" t="s">
        <v>70</v>
      </c>
      <c r="G12" s="2">
        <v>43400</v>
      </c>
      <c r="H12" s="1" t="s">
        <v>9</v>
      </c>
      <c r="I12" s="1" t="s">
        <v>10</v>
      </c>
      <c r="J12" s="1" t="s">
        <v>11</v>
      </c>
      <c r="K12" s="1" t="s">
        <v>754</v>
      </c>
      <c r="L12" s="1" t="s">
        <v>754</v>
      </c>
      <c r="M12" s="1">
        <v>43400</v>
      </c>
      <c r="N12" s="5">
        <v>0</v>
      </c>
    </row>
    <row r="13" spans="1:14">
      <c r="A13" s="10">
        <v>12</v>
      </c>
      <c r="B13" s="1" t="s">
        <v>71</v>
      </c>
      <c r="C13" s="1" t="s">
        <v>72</v>
      </c>
      <c r="D13" s="1" t="s">
        <v>73</v>
      </c>
      <c r="E13" s="1" t="s">
        <v>74</v>
      </c>
      <c r="F13" s="1" t="s">
        <v>75</v>
      </c>
      <c r="G13" s="2">
        <v>47373</v>
      </c>
      <c r="H13" s="1" t="s">
        <v>9</v>
      </c>
      <c r="I13" s="1" t="s">
        <v>10</v>
      </c>
      <c r="J13" s="1" t="s">
        <v>11</v>
      </c>
      <c r="K13" s="1" t="s">
        <v>755</v>
      </c>
      <c r="L13" s="1" t="s">
        <v>755</v>
      </c>
      <c r="M13" s="1">
        <v>47373</v>
      </c>
      <c r="N13" s="5">
        <v>0</v>
      </c>
    </row>
    <row r="14" spans="1:14">
      <c r="A14" s="10">
        <v>13</v>
      </c>
      <c r="B14" s="1" t="s">
        <v>76</v>
      </c>
      <c r="C14" s="1" t="s">
        <v>77</v>
      </c>
      <c r="D14" s="1" t="s">
        <v>78</v>
      </c>
      <c r="E14" s="1" t="s">
        <v>79</v>
      </c>
      <c r="F14" s="1" t="s">
        <v>80</v>
      </c>
      <c r="G14" s="2">
        <v>41125</v>
      </c>
      <c r="H14" s="1" t="s">
        <v>9</v>
      </c>
      <c r="I14" s="1" t="s">
        <v>10</v>
      </c>
      <c r="J14" s="1" t="s">
        <v>11</v>
      </c>
      <c r="K14" s="1" t="s">
        <v>756</v>
      </c>
      <c r="L14" s="1" t="s">
        <v>756</v>
      </c>
      <c r="M14" s="1">
        <v>41125</v>
      </c>
      <c r="N14" s="5">
        <v>0</v>
      </c>
    </row>
    <row r="15" spans="1:14">
      <c r="A15" s="10">
        <v>14</v>
      </c>
      <c r="B15" s="1" t="s">
        <v>81</v>
      </c>
      <c r="C15" s="1" t="s">
        <v>82</v>
      </c>
      <c r="D15" s="1" t="s">
        <v>83</v>
      </c>
      <c r="E15" s="1" t="s">
        <v>84</v>
      </c>
      <c r="F15" s="1" t="s">
        <v>85</v>
      </c>
      <c r="G15" s="2">
        <v>35000</v>
      </c>
      <c r="H15" s="1" t="s">
        <v>9</v>
      </c>
      <c r="I15" s="1" t="s">
        <v>10</v>
      </c>
      <c r="J15" s="1" t="s">
        <v>11</v>
      </c>
      <c r="K15" s="1" t="s">
        <v>757</v>
      </c>
      <c r="L15" s="1" t="s">
        <v>757</v>
      </c>
      <c r="M15" s="1">
        <v>35000</v>
      </c>
      <c r="N15" s="5">
        <v>0</v>
      </c>
    </row>
    <row r="16" spans="1:14">
      <c r="A16" s="10">
        <v>15</v>
      </c>
      <c r="B16" s="1" t="s">
        <v>86</v>
      </c>
      <c r="C16" s="1" t="s">
        <v>87</v>
      </c>
      <c r="D16" s="1" t="s">
        <v>88</v>
      </c>
      <c r="E16" s="1" t="s">
        <v>89</v>
      </c>
      <c r="F16" s="1" t="s">
        <v>90</v>
      </c>
      <c r="G16" s="2">
        <v>43575</v>
      </c>
      <c r="H16" s="1" t="s">
        <v>9</v>
      </c>
      <c r="I16" s="1" t="s">
        <v>10</v>
      </c>
      <c r="J16" s="1" t="s">
        <v>11</v>
      </c>
      <c r="K16" s="1" t="s">
        <v>758</v>
      </c>
      <c r="L16" s="1" t="s">
        <v>758</v>
      </c>
      <c r="M16" s="1">
        <v>43575</v>
      </c>
      <c r="N16" s="5">
        <v>0</v>
      </c>
    </row>
    <row r="17" spans="1:14">
      <c r="A17" s="10">
        <v>16</v>
      </c>
      <c r="B17" s="1" t="s">
        <v>91</v>
      </c>
      <c r="C17" s="1" t="s">
        <v>92</v>
      </c>
      <c r="D17" s="1" t="s">
        <v>93</v>
      </c>
      <c r="E17" s="1" t="s">
        <v>94</v>
      </c>
      <c r="F17" s="1" t="s">
        <v>95</v>
      </c>
      <c r="G17" s="2">
        <v>40775</v>
      </c>
      <c r="H17" s="1" t="s">
        <v>9</v>
      </c>
      <c r="I17" s="1" t="s">
        <v>10</v>
      </c>
      <c r="J17" s="1" t="s">
        <v>11</v>
      </c>
      <c r="K17" s="1" t="s">
        <v>759</v>
      </c>
      <c r="L17" s="1" t="s">
        <v>759</v>
      </c>
      <c r="M17" s="1">
        <v>40775</v>
      </c>
      <c r="N17" s="5">
        <v>0</v>
      </c>
    </row>
    <row r="18" spans="1:14">
      <c r="A18" s="10">
        <v>17</v>
      </c>
      <c r="B18" s="1" t="s">
        <v>96</v>
      </c>
      <c r="C18" s="1" t="s">
        <v>97</v>
      </c>
      <c r="D18" s="1" t="s">
        <v>98</v>
      </c>
      <c r="E18" s="1" t="s">
        <v>99</v>
      </c>
      <c r="F18" s="1" t="s">
        <v>100</v>
      </c>
      <c r="G18" s="2">
        <v>53288</v>
      </c>
      <c r="H18" s="1" t="s">
        <v>9</v>
      </c>
      <c r="I18" s="1" t="s">
        <v>10</v>
      </c>
      <c r="J18" s="1" t="s">
        <v>11</v>
      </c>
      <c r="K18" s="1" t="s">
        <v>760</v>
      </c>
      <c r="L18" s="1" t="s">
        <v>760</v>
      </c>
      <c r="M18" s="1">
        <v>53288</v>
      </c>
      <c r="N18" s="5">
        <v>0</v>
      </c>
    </row>
    <row r="19" spans="1:14">
      <c r="A19" s="10">
        <v>18</v>
      </c>
      <c r="B19" s="1" t="s">
        <v>101</v>
      </c>
      <c r="C19" s="1" t="s">
        <v>102</v>
      </c>
      <c r="D19" s="1" t="s">
        <v>103</v>
      </c>
      <c r="E19" s="1" t="s">
        <v>104</v>
      </c>
      <c r="F19" s="1" t="s">
        <v>105</v>
      </c>
      <c r="G19" s="2">
        <v>47373</v>
      </c>
      <c r="H19" s="1" t="s">
        <v>9</v>
      </c>
      <c r="I19" s="1" t="s">
        <v>10</v>
      </c>
      <c r="J19" s="1" t="s">
        <v>11</v>
      </c>
      <c r="K19" s="1" t="s">
        <v>761</v>
      </c>
      <c r="L19" s="1" t="s">
        <v>761</v>
      </c>
      <c r="M19" s="1">
        <v>47373</v>
      </c>
      <c r="N19" s="5">
        <v>0</v>
      </c>
    </row>
    <row r="20" spans="1:14">
      <c r="A20" s="10">
        <v>19</v>
      </c>
      <c r="B20" s="1" t="s">
        <v>106</v>
      </c>
      <c r="C20" s="1" t="s">
        <v>107</v>
      </c>
      <c r="D20" s="1" t="s">
        <v>108</v>
      </c>
      <c r="E20" s="1" t="s">
        <v>109</v>
      </c>
      <c r="F20" s="1" t="s">
        <v>110</v>
      </c>
      <c r="G20" s="2">
        <v>48983</v>
      </c>
      <c r="H20" s="1" t="s">
        <v>9</v>
      </c>
      <c r="I20" s="1" t="s">
        <v>10</v>
      </c>
      <c r="J20" s="1" t="s">
        <v>11</v>
      </c>
      <c r="K20" s="1" t="s">
        <v>762</v>
      </c>
      <c r="L20" s="1" t="s">
        <v>762</v>
      </c>
      <c r="M20" s="1">
        <v>48983</v>
      </c>
      <c r="N20" s="5">
        <v>0</v>
      </c>
    </row>
    <row r="21" spans="1:14">
      <c r="A21" s="10">
        <v>20</v>
      </c>
      <c r="B21" s="1" t="s">
        <v>111</v>
      </c>
      <c r="C21" s="1" t="s">
        <v>112</v>
      </c>
      <c r="D21" s="1" t="s">
        <v>113</v>
      </c>
      <c r="E21" s="1" t="s">
        <v>114</v>
      </c>
      <c r="F21" s="1" t="s">
        <v>115</v>
      </c>
      <c r="G21" s="2">
        <v>82583</v>
      </c>
      <c r="H21" s="1" t="s">
        <v>9</v>
      </c>
      <c r="I21" s="1" t="s">
        <v>10</v>
      </c>
      <c r="J21" s="1" t="s">
        <v>11</v>
      </c>
      <c r="K21" s="1" t="s">
        <v>763</v>
      </c>
      <c r="L21" s="1" t="s">
        <v>763</v>
      </c>
      <c r="M21" s="1">
        <v>82583</v>
      </c>
      <c r="N21" s="5">
        <v>0</v>
      </c>
    </row>
    <row r="22" spans="1:14">
      <c r="A22" s="10">
        <v>21</v>
      </c>
      <c r="B22" s="1" t="s">
        <v>116</v>
      </c>
      <c r="C22" s="1" t="s">
        <v>117</v>
      </c>
      <c r="D22" s="1" t="s">
        <v>118</v>
      </c>
      <c r="E22" s="1" t="s">
        <v>119</v>
      </c>
      <c r="F22" s="1" t="s">
        <v>120</v>
      </c>
      <c r="G22" s="2">
        <v>102813</v>
      </c>
      <c r="H22" s="1" t="s">
        <v>9</v>
      </c>
      <c r="I22" s="1" t="s">
        <v>10</v>
      </c>
      <c r="J22" s="1" t="s">
        <v>11</v>
      </c>
      <c r="K22" s="1" t="s">
        <v>764</v>
      </c>
      <c r="L22" s="1" t="s">
        <v>764</v>
      </c>
      <c r="M22" s="1">
        <v>102813</v>
      </c>
      <c r="N22" s="5">
        <v>0</v>
      </c>
    </row>
    <row r="23" spans="1:14">
      <c r="A23" s="10">
        <v>22</v>
      </c>
      <c r="B23" s="1" t="s">
        <v>121</v>
      </c>
      <c r="C23" s="1" t="s">
        <v>122</v>
      </c>
      <c r="D23" s="1" t="s">
        <v>123</v>
      </c>
      <c r="E23" s="1" t="s">
        <v>124</v>
      </c>
      <c r="F23" s="1" t="s">
        <v>125</v>
      </c>
      <c r="G23" s="2">
        <v>92750</v>
      </c>
      <c r="H23" s="1" t="s">
        <v>9</v>
      </c>
      <c r="I23" s="1" t="s">
        <v>10</v>
      </c>
      <c r="J23" s="1" t="s">
        <v>11</v>
      </c>
      <c r="K23" s="1" t="s">
        <v>765</v>
      </c>
      <c r="L23" s="1" t="s">
        <v>765</v>
      </c>
      <c r="M23" s="1">
        <v>92750</v>
      </c>
      <c r="N23" s="5">
        <v>0</v>
      </c>
    </row>
    <row r="24" spans="1:14">
      <c r="A24" s="10">
        <v>23</v>
      </c>
      <c r="B24" s="1" t="s">
        <v>126</v>
      </c>
      <c r="C24" s="1" t="s">
        <v>127</v>
      </c>
      <c r="D24" s="1" t="s">
        <v>128</v>
      </c>
      <c r="E24" s="1" t="s">
        <v>129</v>
      </c>
      <c r="F24" s="1" t="s">
        <v>130</v>
      </c>
      <c r="G24" s="2">
        <v>53288</v>
      </c>
      <c r="H24" s="1" t="s">
        <v>9</v>
      </c>
      <c r="I24" s="1" t="s">
        <v>10</v>
      </c>
      <c r="J24" s="1" t="s">
        <v>11</v>
      </c>
      <c r="K24" s="1" t="s">
        <v>766</v>
      </c>
      <c r="L24" s="1" t="s">
        <v>766</v>
      </c>
      <c r="M24" s="1">
        <v>53288</v>
      </c>
      <c r="N24" s="5">
        <v>0</v>
      </c>
    </row>
    <row r="25" spans="1:14">
      <c r="A25" s="10">
        <v>24</v>
      </c>
      <c r="B25" s="1" t="s">
        <v>131</v>
      </c>
      <c r="C25" s="1" t="s">
        <v>132</v>
      </c>
      <c r="D25" s="1" t="s">
        <v>133</v>
      </c>
      <c r="E25" s="1" t="s">
        <v>134</v>
      </c>
      <c r="F25" s="1" t="s">
        <v>135</v>
      </c>
      <c r="G25" s="2">
        <v>43750</v>
      </c>
      <c r="H25" s="1" t="s">
        <v>9</v>
      </c>
      <c r="I25" s="1" t="s">
        <v>10</v>
      </c>
      <c r="J25" s="1" t="s">
        <v>11</v>
      </c>
      <c r="K25" s="1" t="s">
        <v>767</v>
      </c>
      <c r="L25" s="1" t="s">
        <v>767</v>
      </c>
      <c r="M25" s="1">
        <v>43750</v>
      </c>
      <c r="N25" s="5">
        <v>0</v>
      </c>
    </row>
    <row r="26" spans="1:14">
      <c r="A26" s="10">
        <v>25</v>
      </c>
      <c r="B26" s="1" t="s">
        <v>136</v>
      </c>
      <c r="C26" s="1" t="s">
        <v>137</v>
      </c>
      <c r="D26" s="1" t="s">
        <v>138</v>
      </c>
      <c r="E26" s="1" t="s">
        <v>139</v>
      </c>
      <c r="F26" s="1" t="s">
        <v>140</v>
      </c>
      <c r="G26" s="2">
        <v>49000</v>
      </c>
      <c r="H26" s="1" t="s">
        <v>9</v>
      </c>
      <c r="I26" s="1" t="s">
        <v>10</v>
      </c>
      <c r="J26" s="1" t="s">
        <v>11</v>
      </c>
      <c r="K26" s="1" t="s">
        <v>768</v>
      </c>
      <c r="L26" s="1" t="s">
        <v>768</v>
      </c>
      <c r="M26" s="1">
        <v>49000</v>
      </c>
      <c r="N26" s="5">
        <v>0</v>
      </c>
    </row>
    <row r="27" spans="1:14">
      <c r="A27" s="10">
        <v>26</v>
      </c>
      <c r="B27" s="1" t="s">
        <v>141</v>
      </c>
      <c r="C27" s="1" t="s">
        <v>142</v>
      </c>
      <c r="D27" s="1" t="s">
        <v>143</v>
      </c>
      <c r="E27" s="1" t="s">
        <v>144</v>
      </c>
      <c r="F27" s="1" t="s">
        <v>145</v>
      </c>
      <c r="G27" s="2">
        <v>51100</v>
      </c>
      <c r="H27" s="1" t="s">
        <v>9</v>
      </c>
      <c r="I27" s="1" t="s">
        <v>10</v>
      </c>
      <c r="J27" s="1" t="s">
        <v>11</v>
      </c>
      <c r="K27" s="1" t="s">
        <v>769</v>
      </c>
      <c r="L27" s="1" t="s">
        <v>769</v>
      </c>
      <c r="M27" s="1">
        <v>51100</v>
      </c>
      <c r="N27" s="5">
        <v>0</v>
      </c>
    </row>
    <row r="28" spans="1:14">
      <c r="A28" s="10">
        <v>27</v>
      </c>
      <c r="B28" s="1" t="s">
        <v>146</v>
      </c>
      <c r="C28" s="1" t="s">
        <v>147</v>
      </c>
      <c r="D28" s="1" t="s">
        <v>148</v>
      </c>
      <c r="E28" s="1" t="s">
        <v>149</v>
      </c>
      <c r="F28" s="1" t="s">
        <v>150</v>
      </c>
      <c r="G28" s="2">
        <v>42438</v>
      </c>
      <c r="H28" s="1" t="s">
        <v>9</v>
      </c>
      <c r="I28" s="1" t="s">
        <v>10</v>
      </c>
      <c r="J28" s="1" t="s">
        <v>11</v>
      </c>
      <c r="K28" s="1" t="s">
        <v>770</v>
      </c>
      <c r="L28" s="1" t="s">
        <v>770</v>
      </c>
      <c r="M28" s="1">
        <v>42438</v>
      </c>
      <c r="N28" s="5">
        <v>0</v>
      </c>
    </row>
    <row r="29" spans="1:14">
      <c r="A29" s="10">
        <v>28</v>
      </c>
      <c r="B29" s="1" t="s">
        <v>151</v>
      </c>
      <c r="C29" s="1" t="s">
        <v>152</v>
      </c>
      <c r="D29" s="1" t="s">
        <v>153</v>
      </c>
      <c r="E29" s="1" t="s">
        <v>154</v>
      </c>
      <c r="F29" s="1" t="s">
        <v>155</v>
      </c>
      <c r="G29" s="2">
        <v>58625</v>
      </c>
      <c r="H29" s="1" t="s">
        <v>9</v>
      </c>
      <c r="I29" s="1" t="s">
        <v>10</v>
      </c>
      <c r="J29" s="1" t="s">
        <v>11</v>
      </c>
      <c r="K29" s="1" t="s">
        <v>771</v>
      </c>
      <c r="L29" s="1" t="s">
        <v>771</v>
      </c>
      <c r="M29" s="1">
        <v>58625</v>
      </c>
      <c r="N29" s="5">
        <v>0</v>
      </c>
    </row>
    <row r="30" spans="1:14">
      <c r="A30" s="10">
        <v>29</v>
      </c>
      <c r="B30" s="1" t="s">
        <v>156</v>
      </c>
      <c r="C30" s="1" t="s">
        <v>157</v>
      </c>
      <c r="D30" s="1" t="s">
        <v>158</v>
      </c>
      <c r="E30" s="4" t="s">
        <v>866</v>
      </c>
      <c r="F30" s="1" t="s">
        <v>159</v>
      </c>
      <c r="G30" s="2">
        <v>42000</v>
      </c>
      <c r="H30" s="1" t="s">
        <v>9</v>
      </c>
      <c r="I30" s="1" t="s">
        <v>10</v>
      </c>
      <c r="J30" s="1" t="s">
        <v>11</v>
      </c>
      <c r="K30" s="1" t="s">
        <v>898</v>
      </c>
      <c r="L30" s="1" t="s">
        <v>898</v>
      </c>
      <c r="M30" s="1">
        <v>42000</v>
      </c>
      <c r="N30" s="5">
        <v>0</v>
      </c>
    </row>
    <row r="31" spans="1:14">
      <c r="A31" s="10">
        <v>30</v>
      </c>
      <c r="B31" s="1" t="s">
        <v>160</v>
      </c>
      <c r="C31" s="1" t="s">
        <v>161</v>
      </c>
      <c r="D31" s="1" t="s">
        <v>162</v>
      </c>
      <c r="E31" s="4" t="s">
        <v>867</v>
      </c>
      <c r="F31" s="1" t="s">
        <v>163</v>
      </c>
      <c r="G31" s="2">
        <v>154000</v>
      </c>
      <c r="H31" s="1" t="s">
        <v>9</v>
      </c>
      <c r="I31" s="1" t="s">
        <v>10</v>
      </c>
      <c r="J31" s="1" t="s">
        <v>11</v>
      </c>
      <c r="K31" s="1" t="s">
        <v>899</v>
      </c>
      <c r="L31" s="1" t="s">
        <v>899</v>
      </c>
      <c r="M31" s="1">
        <v>154000</v>
      </c>
      <c r="N31" s="5">
        <v>0</v>
      </c>
    </row>
    <row r="32" spans="1:14">
      <c r="A32" s="10">
        <v>31</v>
      </c>
      <c r="B32" s="1" t="s">
        <v>164</v>
      </c>
      <c r="C32" s="1" t="s">
        <v>165</v>
      </c>
      <c r="D32" s="1" t="s">
        <v>166</v>
      </c>
      <c r="E32" s="1" t="s">
        <v>167</v>
      </c>
      <c r="F32" s="1" t="s">
        <v>168</v>
      </c>
      <c r="G32" s="2">
        <v>53288</v>
      </c>
      <c r="H32" s="1" t="s">
        <v>9</v>
      </c>
      <c r="I32" s="1" t="s">
        <v>10</v>
      </c>
      <c r="J32" s="1" t="s">
        <v>11</v>
      </c>
      <c r="K32" s="1" t="s">
        <v>772</v>
      </c>
      <c r="L32" s="1" t="s">
        <v>772</v>
      </c>
      <c r="M32" s="1">
        <v>53288</v>
      </c>
      <c r="N32" s="5">
        <v>0</v>
      </c>
    </row>
    <row r="33" spans="1:14">
      <c r="A33" s="10">
        <v>32</v>
      </c>
      <c r="B33" s="1" t="s">
        <v>169</v>
      </c>
      <c r="C33" s="1" t="s">
        <v>170</v>
      </c>
      <c r="D33" s="1" t="s">
        <v>171</v>
      </c>
      <c r="E33" s="1" t="s">
        <v>172</v>
      </c>
      <c r="F33" s="1" t="s">
        <v>173</v>
      </c>
      <c r="G33" s="2">
        <v>83125</v>
      </c>
      <c r="H33" s="1" t="s">
        <v>9</v>
      </c>
      <c r="I33" s="1" t="s">
        <v>10</v>
      </c>
      <c r="J33" s="1" t="s">
        <v>11</v>
      </c>
      <c r="K33" s="1" t="s">
        <v>773</v>
      </c>
      <c r="L33" s="1" t="s">
        <v>773</v>
      </c>
      <c r="M33" s="1">
        <v>83125</v>
      </c>
      <c r="N33" s="5">
        <v>0</v>
      </c>
    </row>
    <row r="34" spans="1:14">
      <c r="A34" s="10">
        <v>33</v>
      </c>
      <c r="B34" s="1" t="s">
        <v>174</v>
      </c>
      <c r="C34" s="1" t="s">
        <v>175</v>
      </c>
      <c r="D34" s="1" t="s">
        <v>176</v>
      </c>
      <c r="E34" s="1" t="s">
        <v>177</v>
      </c>
      <c r="F34" s="1" t="s">
        <v>178</v>
      </c>
      <c r="G34" s="2">
        <v>153108</v>
      </c>
      <c r="H34" s="1" t="s">
        <v>9</v>
      </c>
      <c r="I34" s="1" t="s">
        <v>10</v>
      </c>
      <c r="J34" s="1" t="s">
        <v>11</v>
      </c>
      <c r="K34" s="1" t="s">
        <v>774</v>
      </c>
      <c r="L34" s="1" t="s">
        <v>774</v>
      </c>
      <c r="M34" s="1">
        <v>153108</v>
      </c>
      <c r="N34" s="5">
        <v>0</v>
      </c>
    </row>
    <row r="35" spans="1:14">
      <c r="A35" s="10">
        <v>34</v>
      </c>
      <c r="B35" s="1" t="s">
        <v>179</v>
      </c>
      <c r="C35" s="1" t="s">
        <v>180</v>
      </c>
      <c r="D35" s="1" t="s">
        <v>181</v>
      </c>
      <c r="E35" s="1" t="s">
        <v>182</v>
      </c>
      <c r="F35" s="1" t="s">
        <v>183</v>
      </c>
      <c r="G35" s="2">
        <v>82583</v>
      </c>
      <c r="H35" s="1" t="s">
        <v>9</v>
      </c>
      <c r="I35" s="1" t="s">
        <v>10</v>
      </c>
      <c r="J35" s="1" t="s">
        <v>11</v>
      </c>
      <c r="K35" s="1" t="s">
        <v>775</v>
      </c>
      <c r="L35" s="1" t="s">
        <v>775</v>
      </c>
      <c r="M35" s="1">
        <v>82583</v>
      </c>
      <c r="N35" s="5">
        <v>0</v>
      </c>
    </row>
    <row r="36" spans="1:14">
      <c r="A36" s="10">
        <v>35</v>
      </c>
      <c r="B36" s="1" t="s">
        <v>184</v>
      </c>
      <c r="C36" s="1" t="s">
        <v>185</v>
      </c>
      <c r="D36" s="1" t="s">
        <v>186</v>
      </c>
      <c r="E36" s="1" t="s">
        <v>187</v>
      </c>
      <c r="F36" s="1" t="s">
        <v>188</v>
      </c>
      <c r="G36" s="2">
        <v>77000</v>
      </c>
      <c r="H36" s="1" t="s">
        <v>9</v>
      </c>
      <c r="I36" s="1" t="s">
        <v>10</v>
      </c>
      <c r="J36" s="1" t="s">
        <v>11</v>
      </c>
      <c r="K36" s="1" t="s">
        <v>776</v>
      </c>
      <c r="L36" s="1" t="s">
        <v>776</v>
      </c>
      <c r="M36" s="1">
        <v>77000</v>
      </c>
      <c r="N36" s="5">
        <v>0</v>
      </c>
    </row>
    <row r="37" spans="1:14">
      <c r="A37" s="10">
        <v>36</v>
      </c>
      <c r="B37" s="1" t="s">
        <v>189</v>
      </c>
      <c r="C37" s="1" t="s">
        <v>190</v>
      </c>
      <c r="D37" s="1" t="s">
        <v>191</v>
      </c>
      <c r="E37" s="1" t="s">
        <v>192</v>
      </c>
      <c r="F37" s="1" t="s">
        <v>193</v>
      </c>
      <c r="G37" s="2">
        <v>47373</v>
      </c>
      <c r="H37" s="1" t="s">
        <v>9</v>
      </c>
      <c r="I37" s="1" t="s">
        <v>10</v>
      </c>
      <c r="J37" s="1" t="s">
        <v>11</v>
      </c>
      <c r="K37" s="1" t="s">
        <v>777</v>
      </c>
      <c r="L37" s="1" t="s">
        <v>777</v>
      </c>
      <c r="M37" s="1">
        <v>47373</v>
      </c>
      <c r="N37" s="5">
        <v>0</v>
      </c>
    </row>
    <row r="38" spans="1:14">
      <c r="A38" s="10">
        <v>37</v>
      </c>
      <c r="B38" s="1" t="s">
        <v>194</v>
      </c>
      <c r="C38" s="1" t="s">
        <v>195</v>
      </c>
      <c r="D38" s="1" t="s">
        <v>196</v>
      </c>
      <c r="E38" s="4" t="s">
        <v>868</v>
      </c>
      <c r="F38" s="1" t="s">
        <v>197</v>
      </c>
      <c r="G38" s="2">
        <v>47250</v>
      </c>
      <c r="H38" s="1" t="s">
        <v>9</v>
      </c>
      <c r="I38" s="1" t="s">
        <v>10</v>
      </c>
      <c r="J38" s="1" t="s">
        <v>11</v>
      </c>
      <c r="K38" s="1" t="s">
        <v>900</v>
      </c>
      <c r="L38" s="1" t="s">
        <v>900</v>
      </c>
      <c r="M38" s="1">
        <v>47250</v>
      </c>
      <c r="N38" s="5">
        <v>0</v>
      </c>
    </row>
    <row r="39" spans="1:14">
      <c r="A39" s="10">
        <v>38</v>
      </c>
      <c r="B39" s="1" t="s">
        <v>198</v>
      </c>
      <c r="C39" s="1" t="s">
        <v>199</v>
      </c>
      <c r="D39" s="1" t="s">
        <v>200</v>
      </c>
      <c r="E39" s="1" t="s">
        <v>201</v>
      </c>
      <c r="F39" s="1" t="s">
        <v>202</v>
      </c>
      <c r="G39" s="2">
        <v>42000</v>
      </c>
      <c r="H39" s="1" t="s">
        <v>9</v>
      </c>
      <c r="I39" s="1" t="s">
        <v>10</v>
      </c>
      <c r="J39" s="1" t="s">
        <v>11</v>
      </c>
      <c r="K39" s="1" t="s">
        <v>778</v>
      </c>
      <c r="L39" s="1" t="s">
        <v>778</v>
      </c>
      <c r="M39" s="1">
        <v>42000</v>
      </c>
      <c r="N39" s="5">
        <v>0</v>
      </c>
    </row>
    <row r="40" spans="1:14">
      <c r="A40" s="10">
        <v>39</v>
      </c>
      <c r="B40" s="1" t="s">
        <v>203</v>
      </c>
      <c r="C40" s="1" t="s">
        <v>204</v>
      </c>
      <c r="D40" s="1" t="s">
        <v>205</v>
      </c>
      <c r="E40" s="1" t="s">
        <v>206</v>
      </c>
      <c r="F40" s="1" t="s">
        <v>207</v>
      </c>
      <c r="G40" s="2">
        <v>38500</v>
      </c>
      <c r="H40" s="1" t="s">
        <v>9</v>
      </c>
      <c r="I40" s="1" t="s">
        <v>10</v>
      </c>
      <c r="J40" s="1" t="s">
        <v>11</v>
      </c>
      <c r="K40" s="1" t="s">
        <v>779</v>
      </c>
      <c r="L40" s="1" t="s">
        <v>779</v>
      </c>
      <c r="M40" s="1">
        <v>38500</v>
      </c>
      <c r="N40" s="5">
        <v>0</v>
      </c>
    </row>
    <row r="41" spans="1:14">
      <c r="A41" s="10">
        <v>40</v>
      </c>
      <c r="B41" s="1" t="s">
        <v>208</v>
      </c>
      <c r="C41" s="1" t="s">
        <v>209</v>
      </c>
      <c r="D41" s="1" t="s">
        <v>210</v>
      </c>
      <c r="E41" s="1" t="s">
        <v>211</v>
      </c>
      <c r="F41" s="1" t="s">
        <v>212</v>
      </c>
      <c r="G41" s="2">
        <v>36750</v>
      </c>
      <c r="H41" s="1" t="s">
        <v>9</v>
      </c>
      <c r="I41" s="1" t="s">
        <v>10</v>
      </c>
      <c r="J41" s="1" t="s">
        <v>11</v>
      </c>
      <c r="K41" s="1" t="s">
        <v>780</v>
      </c>
      <c r="L41" s="1" t="s">
        <v>780</v>
      </c>
      <c r="M41" s="1">
        <v>36750</v>
      </c>
      <c r="N41" s="5">
        <v>0</v>
      </c>
    </row>
    <row r="42" spans="1:14">
      <c r="A42" s="10">
        <v>41</v>
      </c>
      <c r="B42" s="1" t="s">
        <v>213</v>
      </c>
      <c r="C42" s="1" t="s">
        <v>214</v>
      </c>
      <c r="D42" s="1" t="s">
        <v>215</v>
      </c>
      <c r="E42" s="4" t="s">
        <v>217</v>
      </c>
      <c r="F42" s="4" t="s">
        <v>216</v>
      </c>
      <c r="G42" s="2">
        <v>82583</v>
      </c>
      <c r="H42" s="1" t="s">
        <v>9</v>
      </c>
      <c r="I42" s="1" t="s">
        <v>10</v>
      </c>
      <c r="J42" s="1" t="s">
        <v>11</v>
      </c>
      <c r="K42" s="1" t="s">
        <v>901</v>
      </c>
      <c r="L42" s="1" t="s">
        <v>901</v>
      </c>
      <c r="M42" s="1">
        <v>82583</v>
      </c>
      <c r="N42" s="5">
        <v>0</v>
      </c>
    </row>
    <row r="43" spans="1:14">
      <c r="A43" s="10">
        <v>42</v>
      </c>
      <c r="B43" s="1" t="s">
        <v>218</v>
      </c>
      <c r="C43" s="1" t="s">
        <v>219</v>
      </c>
      <c r="D43" s="1" t="s">
        <v>220</v>
      </c>
      <c r="E43" s="4" t="s">
        <v>869</v>
      </c>
      <c r="F43" s="1" t="s">
        <v>221</v>
      </c>
      <c r="G43" s="2">
        <v>91875</v>
      </c>
      <c r="H43" s="1" t="s">
        <v>9</v>
      </c>
      <c r="I43" s="1" t="s">
        <v>10</v>
      </c>
      <c r="J43" s="1" t="s">
        <v>11</v>
      </c>
      <c r="K43" s="1" t="s">
        <v>902</v>
      </c>
      <c r="L43" s="1" t="s">
        <v>902</v>
      </c>
      <c r="M43" s="1">
        <v>91875</v>
      </c>
      <c r="N43" s="5">
        <v>0</v>
      </c>
    </row>
    <row r="44" spans="1:14">
      <c r="A44" s="10">
        <v>43</v>
      </c>
      <c r="B44" s="1" t="s">
        <v>222</v>
      </c>
      <c r="C44" s="1" t="s">
        <v>223</v>
      </c>
      <c r="D44" s="1" t="s">
        <v>224</v>
      </c>
      <c r="E44" s="1" t="s">
        <v>225</v>
      </c>
      <c r="F44" s="1" t="s">
        <v>226</v>
      </c>
      <c r="G44" s="2">
        <v>43750</v>
      </c>
      <c r="H44" s="1" t="s">
        <v>9</v>
      </c>
      <c r="I44" s="1" t="s">
        <v>10</v>
      </c>
      <c r="J44" s="1" t="s">
        <v>11</v>
      </c>
      <c r="K44" s="1" t="s">
        <v>781</v>
      </c>
      <c r="L44" s="1" t="s">
        <v>781</v>
      </c>
      <c r="M44" s="1">
        <v>43750</v>
      </c>
      <c r="N44" s="5">
        <v>0</v>
      </c>
    </row>
    <row r="45" spans="1:14">
      <c r="A45" s="10">
        <v>44</v>
      </c>
      <c r="B45" s="1" t="s">
        <v>227</v>
      </c>
      <c r="C45" s="1" t="s">
        <v>228</v>
      </c>
      <c r="D45" s="1" t="s">
        <v>229</v>
      </c>
      <c r="E45" s="1" t="s">
        <v>230</v>
      </c>
      <c r="F45" s="1" t="s">
        <v>231</v>
      </c>
      <c r="G45" s="2">
        <v>39375</v>
      </c>
      <c r="H45" s="1" t="s">
        <v>9</v>
      </c>
      <c r="I45" s="1" t="s">
        <v>10</v>
      </c>
      <c r="J45" s="1" t="s">
        <v>11</v>
      </c>
      <c r="K45" s="1" t="s">
        <v>782</v>
      </c>
      <c r="L45" s="1" t="s">
        <v>782</v>
      </c>
      <c r="M45" s="1">
        <v>39375</v>
      </c>
      <c r="N45" s="5">
        <v>0</v>
      </c>
    </row>
    <row r="46" spans="1:14">
      <c r="A46" s="10">
        <v>45</v>
      </c>
      <c r="B46" s="1" t="s">
        <v>232</v>
      </c>
      <c r="C46" s="1" t="s">
        <v>233</v>
      </c>
      <c r="D46" s="1" t="s">
        <v>234</v>
      </c>
      <c r="E46" s="1" t="s">
        <v>235</v>
      </c>
      <c r="F46" s="1" t="s">
        <v>236</v>
      </c>
      <c r="G46" s="2">
        <v>52675</v>
      </c>
      <c r="H46" s="1" t="s">
        <v>9</v>
      </c>
      <c r="I46" s="1" t="s">
        <v>10</v>
      </c>
      <c r="J46" s="1" t="s">
        <v>11</v>
      </c>
      <c r="K46" s="1" t="s">
        <v>783</v>
      </c>
      <c r="L46" s="1" t="s">
        <v>783</v>
      </c>
      <c r="M46" s="1">
        <v>52675</v>
      </c>
      <c r="N46" s="5">
        <v>0</v>
      </c>
    </row>
    <row r="47" spans="1:14">
      <c r="A47" s="10">
        <v>46</v>
      </c>
      <c r="B47" s="1" t="s">
        <v>237</v>
      </c>
      <c r="C47" s="1" t="s">
        <v>238</v>
      </c>
      <c r="D47" s="1" t="s">
        <v>239</v>
      </c>
      <c r="E47" s="1" t="s">
        <v>240</v>
      </c>
      <c r="F47" s="1" t="s">
        <v>241</v>
      </c>
      <c r="G47" s="2">
        <v>47250</v>
      </c>
      <c r="H47" s="1" t="s">
        <v>9</v>
      </c>
      <c r="I47" s="1" t="s">
        <v>10</v>
      </c>
      <c r="J47" s="1" t="s">
        <v>11</v>
      </c>
      <c r="K47" s="1" t="s">
        <v>784</v>
      </c>
      <c r="L47" s="1" t="s">
        <v>784</v>
      </c>
      <c r="M47" s="1">
        <v>47250</v>
      </c>
      <c r="N47" s="5">
        <v>0</v>
      </c>
    </row>
    <row r="48" spans="1:14">
      <c r="A48" s="10">
        <v>47</v>
      </c>
      <c r="B48" s="1" t="s">
        <v>242</v>
      </c>
      <c r="C48" s="1" t="s">
        <v>243</v>
      </c>
      <c r="D48" s="1" t="s">
        <v>244</v>
      </c>
      <c r="E48" s="1" t="s">
        <v>245</v>
      </c>
      <c r="F48" s="1" t="s">
        <v>246</v>
      </c>
      <c r="G48" s="2">
        <v>53288</v>
      </c>
      <c r="H48" s="1" t="s">
        <v>9</v>
      </c>
      <c r="I48" s="1" t="s">
        <v>10</v>
      </c>
      <c r="J48" s="1" t="s">
        <v>11</v>
      </c>
      <c r="K48" s="1" t="s">
        <v>785</v>
      </c>
      <c r="L48" s="1" t="s">
        <v>785</v>
      </c>
      <c r="M48" s="1">
        <v>53288</v>
      </c>
      <c r="N48" s="5">
        <v>0</v>
      </c>
    </row>
    <row r="49" spans="1:14">
      <c r="A49" s="10">
        <v>48</v>
      </c>
      <c r="B49" s="1" t="s">
        <v>247</v>
      </c>
      <c r="C49" s="1" t="s">
        <v>248</v>
      </c>
      <c r="D49" s="1" t="s">
        <v>249</v>
      </c>
      <c r="E49" s="1" t="s">
        <v>250</v>
      </c>
      <c r="F49" s="1" t="s">
        <v>251</v>
      </c>
      <c r="G49" s="2">
        <v>51625</v>
      </c>
      <c r="H49" s="1" t="s">
        <v>9</v>
      </c>
      <c r="I49" s="1" t="s">
        <v>10</v>
      </c>
      <c r="J49" s="1" t="s">
        <v>11</v>
      </c>
      <c r="K49" s="1" t="s">
        <v>786</v>
      </c>
      <c r="L49" s="1" t="s">
        <v>786</v>
      </c>
      <c r="M49" s="1">
        <v>51625</v>
      </c>
      <c r="N49" s="5">
        <v>0</v>
      </c>
    </row>
    <row r="50" spans="1:14">
      <c r="A50" s="10">
        <v>49</v>
      </c>
      <c r="B50" s="1" t="s">
        <v>252</v>
      </c>
      <c r="C50" s="1" t="s">
        <v>253</v>
      </c>
      <c r="D50" s="1" t="s">
        <v>254</v>
      </c>
      <c r="E50" s="1" t="s">
        <v>255</v>
      </c>
      <c r="F50" s="1" t="s">
        <v>256</v>
      </c>
      <c r="G50" s="2">
        <v>59500</v>
      </c>
      <c r="H50" s="1" t="s">
        <v>9</v>
      </c>
      <c r="I50" s="1" t="s">
        <v>10</v>
      </c>
      <c r="J50" s="1" t="s">
        <v>11</v>
      </c>
      <c r="K50" s="1" t="s">
        <v>787</v>
      </c>
      <c r="L50" s="1" t="s">
        <v>787</v>
      </c>
      <c r="M50" s="1">
        <v>59500</v>
      </c>
      <c r="N50" s="5">
        <v>0</v>
      </c>
    </row>
    <row r="51" spans="1:14">
      <c r="A51" s="10">
        <v>50</v>
      </c>
      <c r="B51" s="1" t="s">
        <v>257</v>
      </c>
      <c r="C51" s="1" t="s">
        <v>258</v>
      </c>
      <c r="D51" s="1" t="s">
        <v>259</v>
      </c>
      <c r="E51" s="1" t="s">
        <v>260</v>
      </c>
      <c r="F51" s="1" t="s">
        <v>261</v>
      </c>
      <c r="G51" s="2">
        <v>47373</v>
      </c>
      <c r="H51" s="1" t="s">
        <v>9</v>
      </c>
      <c r="I51" s="1" t="s">
        <v>10</v>
      </c>
      <c r="J51" s="1" t="s">
        <v>11</v>
      </c>
      <c r="K51" s="1" t="s">
        <v>788</v>
      </c>
      <c r="L51" s="1" t="s">
        <v>788</v>
      </c>
      <c r="M51" s="1">
        <v>47373</v>
      </c>
      <c r="N51" s="5">
        <v>0</v>
      </c>
    </row>
    <row r="52" spans="1:14">
      <c r="A52" s="10">
        <v>51</v>
      </c>
      <c r="B52" s="1" t="s">
        <v>262</v>
      </c>
      <c r="C52" s="1" t="s">
        <v>263</v>
      </c>
      <c r="D52" s="1" t="s">
        <v>264</v>
      </c>
      <c r="E52" s="4" t="s">
        <v>870</v>
      </c>
      <c r="F52" s="1" t="s">
        <v>265</v>
      </c>
      <c r="G52" s="2">
        <v>43750</v>
      </c>
      <c r="H52" s="1" t="s">
        <v>9</v>
      </c>
      <c r="I52" s="1" t="s">
        <v>10</v>
      </c>
      <c r="J52" s="1" t="s">
        <v>11</v>
      </c>
      <c r="K52" s="1" t="s">
        <v>903</v>
      </c>
      <c r="L52" s="1" t="s">
        <v>903</v>
      </c>
      <c r="M52" s="1">
        <v>43750</v>
      </c>
      <c r="N52" s="5">
        <v>0</v>
      </c>
    </row>
    <row r="53" spans="1:14">
      <c r="A53" s="10">
        <v>52</v>
      </c>
      <c r="B53" s="1" t="s">
        <v>266</v>
      </c>
      <c r="C53" s="1" t="s">
        <v>267</v>
      </c>
      <c r="D53" s="1" t="s">
        <v>268</v>
      </c>
      <c r="E53" s="4" t="s">
        <v>871</v>
      </c>
      <c r="F53" s="1" t="s">
        <v>269</v>
      </c>
      <c r="G53" s="2">
        <v>53200</v>
      </c>
      <c r="H53" s="1" t="s">
        <v>9</v>
      </c>
      <c r="I53" s="1" t="s">
        <v>10</v>
      </c>
      <c r="J53" s="1" t="s">
        <v>11</v>
      </c>
      <c r="K53" s="1" t="s">
        <v>904</v>
      </c>
      <c r="L53" s="1" t="s">
        <v>904</v>
      </c>
      <c r="M53" s="1">
        <v>53200</v>
      </c>
      <c r="N53" s="5">
        <v>0</v>
      </c>
    </row>
    <row r="54" spans="1:14">
      <c r="A54" s="10">
        <v>53</v>
      </c>
      <c r="B54" s="1" t="s">
        <v>270</v>
      </c>
      <c r="C54" s="1" t="s">
        <v>271</v>
      </c>
      <c r="D54" s="1" t="s">
        <v>272</v>
      </c>
      <c r="E54" s="1" t="s">
        <v>273</v>
      </c>
      <c r="F54" s="1" t="s">
        <v>274</v>
      </c>
      <c r="G54" s="2">
        <v>82583</v>
      </c>
      <c r="H54" s="1" t="s">
        <v>9</v>
      </c>
      <c r="I54" s="1" t="s">
        <v>10</v>
      </c>
      <c r="J54" s="1" t="s">
        <v>11</v>
      </c>
      <c r="K54" s="1" t="s">
        <v>789</v>
      </c>
      <c r="L54" s="1" t="s">
        <v>789</v>
      </c>
      <c r="M54" s="1">
        <v>82583</v>
      </c>
      <c r="N54" s="5">
        <v>0</v>
      </c>
    </row>
    <row r="55" spans="1:14">
      <c r="A55" s="10">
        <v>54</v>
      </c>
      <c r="B55" s="1" t="s">
        <v>275</v>
      </c>
      <c r="C55" s="1" t="s">
        <v>276</v>
      </c>
      <c r="D55" s="1" t="s">
        <v>277</v>
      </c>
      <c r="E55" s="4" t="s">
        <v>872</v>
      </c>
      <c r="F55" s="1" t="s">
        <v>278</v>
      </c>
      <c r="G55" s="2">
        <v>59500</v>
      </c>
      <c r="H55" s="1" t="s">
        <v>9</v>
      </c>
      <c r="I55" s="1" t="s">
        <v>10</v>
      </c>
      <c r="J55" s="1" t="s">
        <v>11</v>
      </c>
      <c r="K55" s="1" t="s">
        <v>905</v>
      </c>
      <c r="L55" s="1" t="s">
        <v>905</v>
      </c>
      <c r="M55" s="1">
        <v>59500</v>
      </c>
      <c r="N55" s="5">
        <v>0</v>
      </c>
    </row>
    <row r="56" spans="1:14">
      <c r="A56" s="10">
        <v>55</v>
      </c>
      <c r="B56" s="1" t="s">
        <v>279</v>
      </c>
      <c r="C56" s="1" t="s">
        <v>280</v>
      </c>
      <c r="D56" s="1" t="s">
        <v>281</v>
      </c>
      <c r="E56" s="4" t="s">
        <v>873</v>
      </c>
      <c r="F56" s="1" t="s">
        <v>282</v>
      </c>
      <c r="G56" s="2">
        <v>85750</v>
      </c>
      <c r="H56" s="1" t="s">
        <v>9</v>
      </c>
      <c r="I56" s="1" t="s">
        <v>10</v>
      </c>
      <c r="J56" s="1" t="s">
        <v>11</v>
      </c>
      <c r="K56" s="1" t="s">
        <v>906</v>
      </c>
      <c r="L56" s="1" t="s">
        <v>906</v>
      </c>
      <c r="M56" s="1">
        <v>85750</v>
      </c>
      <c r="N56" s="5">
        <v>0</v>
      </c>
    </row>
    <row r="57" spans="1:14">
      <c r="A57" s="10">
        <v>56</v>
      </c>
      <c r="B57" s="1" t="s">
        <v>283</v>
      </c>
      <c r="C57" s="1" t="s">
        <v>284</v>
      </c>
      <c r="D57" s="1" t="s">
        <v>285</v>
      </c>
      <c r="E57" s="1" t="s">
        <v>286</v>
      </c>
      <c r="F57" s="1" t="s">
        <v>287</v>
      </c>
      <c r="G57" s="2">
        <v>127733</v>
      </c>
      <c r="H57" s="1" t="s">
        <v>9</v>
      </c>
      <c r="I57" s="1" t="s">
        <v>10</v>
      </c>
      <c r="J57" s="1" t="s">
        <v>11</v>
      </c>
      <c r="K57" s="1" t="s">
        <v>790</v>
      </c>
      <c r="L57" s="1" t="s">
        <v>790</v>
      </c>
      <c r="M57" s="1">
        <v>127733</v>
      </c>
      <c r="N57" s="5">
        <v>0</v>
      </c>
    </row>
    <row r="58" spans="1:14">
      <c r="A58" s="10">
        <v>57</v>
      </c>
      <c r="B58" s="1" t="s">
        <v>288</v>
      </c>
      <c r="C58" s="1" t="s">
        <v>289</v>
      </c>
      <c r="D58" s="1" t="s">
        <v>290</v>
      </c>
      <c r="E58" s="4" t="s">
        <v>874</v>
      </c>
      <c r="F58" s="1" t="s">
        <v>291</v>
      </c>
      <c r="G58" s="2">
        <v>133485</v>
      </c>
      <c r="H58" s="1" t="s">
        <v>9</v>
      </c>
      <c r="I58" s="1" t="s">
        <v>10</v>
      </c>
      <c r="J58" s="1" t="s">
        <v>11</v>
      </c>
      <c r="K58" s="1" t="s">
        <v>907</v>
      </c>
      <c r="L58" s="6" t="s">
        <v>930</v>
      </c>
      <c r="M58" s="1">
        <v>155733</v>
      </c>
      <c r="N58" s="5">
        <f>G58-M58</f>
        <v>-22248</v>
      </c>
    </row>
    <row r="59" spans="1:14">
      <c r="A59" s="10">
        <v>58</v>
      </c>
      <c r="B59" s="1" t="s">
        <v>292</v>
      </c>
      <c r="C59" s="1" t="s">
        <v>293</v>
      </c>
      <c r="D59" s="1" t="s">
        <v>294</v>
      </c>
      <c r="E59" s="4" t="s">
        <v>875</v>
      </c>
      <c r="F59" s="1" t="s">
        <v>295</v>
      </c>
      <c r="G59" s="2">
        <v>42000</v>
      </c>
      <c r="H59" s="1" t="s">
        <v>9</v>
      </c>
      <c r="I59" s="1" t="s">
        <v>10</v>
      </c>
      <c r="J59" s="1" t="s">
        <v>11</v>
      </c>
      <c r="K59" s="1" t="s">
        <v>908</v>
      </c>
      <c r="L59" s="1" t="s">
        <v>908</v>
      </c>
      <c r="M59" s="1">
        <v>42000</v>
      </c>
      <c r="N59" s="5">
        <v>0</v>
      </c>
    </row>
    <row r="60" spans="1:14">
      <c r="A60" s="10">
        <v>59</v>
      </c>
      <c r="B60" s="1" t="s">
        <v>296</v>
      </c>
      <c r="C60" s="1" t="s">
        <v>297</v>
      </c>
      <c r="D60" s="1" t="s">
        <v>298</v>
      </c>
      <c r="E60" s="4" t="s">
        <v>876</v>
      </c>
      <c r="F60" s="1" t="s">
        <v>299</v>
      </c>
      <c r="G60" s="2">
        <v>35875</v>
      </c>
      <c r="H60" s="1" t="s">
        <v>9</v>
      </c>
      <c r="I60" s="1" t="s">
        <v>10</v>
      </c>
      <c r="J60" s="1" t="s">
        <v>11</v>
      </c>
      <c r="K60" s="1" t="s">
        <v>909</v>
      </c>
      <c r="L60" s="1" t="s">
        <v>909</v>
      </c>
      <c r="M60" s="1">
        <v>35875</v>
      </c>
      <c r="N60" s="5">
        <v>0</v>
      </c>
    </row>
    <row r="61" spans="1:14">
      <c r="A61" s="10">
        <v>60</v>
      </c>
      <c r="B61" s="1" t="s">
        <v>300</v>
      </c>
      <c r="C61" s="1" t="s">
        <v>301</v>
      </c>
      <c r="D61" s="1" t="s">
        <v>302</v>
      </c>
      <c r="E61" s="4" t="s">
        <v>877</v>
      </c>
      <c r="F61" s="1" t="s">
        <v>303</v>
      </c>
      <c r="G61" s="2">
        <v>96250</v>
      </c>
      <c r="H61" s="1" t="s">
        <v>9</v>
      </c>
      <c r="I61" s="1" t="s">
        <v>10</v>
      </c>
      <c r="J61" s="1" t="s">
        <v>11</v>
      </c>
      <c r="K61" s="1" t="s">
        <v>910</v>
      </c>
      <c r="L61" s="1" t="s">
        <v>910</v>
      </c>
      <c r="M61" s="1">
        <v>96250</v>
      </c>
      <c r="N61" s="5">
        <v>0</v>
      </c>
    </row>
    <row r="62" spans="1:14">
      <c r="A62" s="10">
        <v>61</v>
      </c>
      <c r="B62" s="1" t="s">
        <v>304</v>
      </c>
      <c r="C62" s="1" t="s">
        <v>305</v>
      </c>
      <c r="D62" s="1" t="s">
        <v>306</v>
      </c>
      <c r="E62" s="1" t="s">
        <v>307</v>
      </c>
      <c r="F62" s="1" t="s">
        <v>308</v>
      </c>
      <c r="G62" s="2">
        <v>53288</v>
      </c>
      <c r="H62" s="1" t="s">
        <v>9</v>
      </c>
      <c r="I62" s="1" t="s">
        <v>10</v>
      </c>
      <c r="J62" s="1" t="s">
        <v>11</v>
      </c>
      <c r="K62" s="1" t="s">
        <v>791</v>
      </c>
      <c r="L62" s="1" t="s">
        <v>791</v>
      </c>
      <c r="M62" s="1">
        <v>53288</v>
      </c>
      <c r="N62" s="5">
        <v>0</v>
      </c>
    </row>
    <row r="63" spans="1:14">
      <c r="A63" s="10">
        <v>62</v>
      </c>
      <c r="B63" s="1" t="s">
        <v>309</v>
      </c>
      <c r="C63" s="1" t="s">
        <v>310</v>
      </c>
      <c r="D63" s="1" t="s">
        <v>311</v>
      </c>
      <c r="E63" s="4" t="s">
        <v>312</v>
      </c>
      <c r="F63" s="1" t="s">
        <v>313</v>
      </c>
      <c r="G63" s="2">
        <v>67375</v>
      </c>
      <c r="H63" s="1" t="s">
        <v>9</v>
      </c>
      <c r="I63" s="1" t="s">
        <v>10</v>
      </c>
      <c r="J63" s="1" t="s">
        <v>11</v>
      </c>
      <c r="K63" s="4" t="s">
        <v>894</v>
      </c>
      <c r="L63" s="1" t="s">
        <v>894</v>
      </c>
      <c r="M63" s="1">
        <v>67375</v>
      </c>
      <c r="N63" s="5">
        <v>0</v>
      </c>
    </row>
    <row r="64" spans="1:14">
      <c r="A64" s="10">
        <v>63</v>
      </c>
      <c r="B64" s="1" t="s">
        <v>314</v>
      </c>
      <c r="C64" s="1" t="s">
        <v>315</v>
      </c>
      <c r="D64" s="1" t="s">
        <v>316</v>
      </c>
      <c r="E64" s="4" t="s">
        <v>878</v>
      </c>
      <c r="F64" s="1" t="s">
        <v>317</v>
      </c>
      <c r="G64" s="2">
        <v>50750</v>
      </c>
      <c r="H64" s="1" t="s">
        <v>9</v>
      </c>
      <c r="I64" s="1" t="s">
        <v>10</v>
      </c>
      <c r="J64" s="1" t="s">
        <v>11</v>
      </c>
      <c r="K64" s="1" t="s">
        <v>911</v>
      </c>
      <c r="L64" s="1" t="s">
        <v>911</v>
      </c>
      <c r="M64" s="1">
        <v>50750</v>
      </c>
      <c r="N64" s="5">
        <v>0</v>
      </c>
    </row>
    <row r="65" spans="1:14">
      <c r="A65" s="10">
        <v>64</v>
      </c>
      <c r="B65" s="1" t="s">
        <v>318</v>
      </c>
      <c r="C65" s="1" t="s">
        <v>319</v>
      </c>
      <c r="D65" s="1" t="s">
        <v>320</v>
      </c>
      <c r="E65" s="4" t="s">
        <v>879</v>
      </c>
      <c r="F65" s="1" t="s">
        <v>321</v>
      </c>
      <c r="G65" s="2">
        <v>96250</v>
      </c>
      <c r="H65" s="1" t="s">
        <v>9</v>
      </c>
      <c r="I65" s="1" t="s">
        <v>10</v>
      </c>
      <c r="J65" s="1" t="s">
        <v>11</v>
      </c>
      <c r="K65" s="1" t="s">
        <v>912</v>
      </c>
      <c r="L65" s="1" t="s">
        <v>912</v>
      </c>
      <c r="M65" s="1">
        <v>96250</v>
      </c>
      <c r="N65" s="5">
        <v>0</v>
      </c>
    </row>
    <row r="66" spans="1:14">
      <c r="A66" s="10">
        <v>65</v>
      </c>
      <c r="B66" s="1" t="s">
        <v>322</v>
      </c>
      <c r="C66" s="1" t="s">
        <v>323</v>
      </c>
      <c r="D66" s="1" t="s">
        <v>324</v>
      </c>
      <c r="E66" s="1" t="s">
        <v>325</v>
      </c>
      <c r="F66" s="1" t="s">
        <v>326</v>
      </c>
      <c r="G66" s="2">
        <v>53288</v>
      </c>
      <c r="H66" s="1" t="s">
        <v>9</v>
      </c>
      <c r="I66" s="1" t="s">
        <v>10</v>
      </c>
      <c r="J66" s="1" t="s">
        <v>11</v>
      </c>
      <c r="K66" s="1" t="s">
        <v>792</v>
      </c>
      <c r="L66" s="1" t="s">
        <v>792</v>
      </c>
      <c r="M66" s="1">
        <v>53288</v>
      </c>
      <c r="N66" s="5">
        <v>0</v>
      </c>
    </row>
    <row r="67" spans="1:14">
      <c r="A67" s="10">
        <v>66</v>
      </c>
      <c r="B67" s="1" t="s">
        <v>327</v>
      </c>
      <c r="C67" s="1" t="s">
        <v>328</v>
      </c>
      <c r="D67" s="1" t="s">
        <v>329</v>
      </c>
      <c r="E67" s="4" t="s">
        <v>880</v>
      </c>
      <c r="F67" s="1" t="s">
        <v>330</v>
      </c>
      <c r="G67" s="2">
        <v>42000</v>
      </c>
      <c r="H67" s="1" t="s">
        <v>9</v>
      </c>
      <c r="I67" s="1" t="s">
        <v>10</v>
      </c>
      <c r="J67" s="1" t="s">
        <v>11</v>
      </c>
      <c r="K67" s="1" t="s">
        <v>913</v>
      </c>
      <c r="L67" s="1" t="s">
        <v>913</v>
      </c>
      <c r="M67" s="1">
        <v>42000</v>
      </c>
      <c r="N67" s="5">
        <v>0</v>
      </c>
    </row>
    <row r="68" spans="1:14">
      <c r="A68" s="10">
        <v>67</v>
      </c>
      <c r="B68" s="1" t="s">
        <v>331</v>
      </c>
      <c r="C68" s="1" t="s">
        <v>332</v>
      </c>
      <c r="D68" s="1" t="s">
        <v>333</v>
      </c>
      <c r="E68" s="1" t="s">
        <v>334</v>
      </c>
      <c r="F68" s="1" t="s">
        <v>335</v>
      </c>
      <c r="G68" s="2">
        <v>36750</v>
      </c>
      <c r="H68" s="1" t="s">
        <v>9</v>
      </c>
      <c r="I68" s="1" t="s">
        <v>10</v>
      </c>
      <c r="J68" s="1" t="s">
        <v>11</v>
      </c>
      <c r="K68" s="1" t="s">
        <v>793</v>
      </c>
      <c r="L68" s="1" t="s">
        <v>793</v>
      </c>
      <c r="M68" s="1">
        <v>36750</v>
      </c>
      <c r="N68" s="5">
        <v>0</v>
      </c>
    </row>
    <row r="69" spans="1:14">
      <c r="A69" s="10">
        <v>68</v>
      </c>
      <c r="B69" s="1" t="s">
        <v>336</v>
      </c>
      <c r="C69" s="1" t="s">
        <v>337</v>
      </c>
      <c r="D69" s="1" t="s">
        <v>338</v>
      </c>
      <c r="E69" s="4" t="s">
        <v>881</v>
      </c>
      <c r="F69" s="1" t="s">
        <v>339</v>
      </c>
      <c r="G69" s="2">
        <v>77875</v>
      </c>
      <c r="H69" s="1" t="s">
        <v>9</v>
      </c>
      <c r="I69" s="1" t="s">
        <v>10</v>
      </c>
      <c r="J69" s="1" t="s">
        <v>11</v>
      </c>
      <c r="K69" s="1" t="s">
        <v>914</v>
      </c>
      <c r="L69" s="1" t="s">
        <v>914</v>
      </c>
      <c r="M69" s="1">
        <v>77875</v>
      </c>
      <c r="N69" s="5">
        <v>0</v>
      </c>
    </row>
    <row r="70" spans="1:14">
      <c r="A70" s="10">
        <v>69</v>
      </c>
      <c r="B70" s="1" t="s">
        <v>340</v>
      </c>
      <c r="C70" s="1" t="s">
        <v>341</v>
      </c>
      <c r="D70" s="1" t="s">
        <v>342</v>
      </c>
      <c r="E70" s="1" t="s">
        <v>343</v>
      </c>
      <c r="F70" s="1" t="s">
        <v>344</v>
      </c>
      <c r="G70" s="2">
        <v>47373</v>
      </c>
      <c r="H70" s="1" t="s">
        <v>9</v>
      </c>
      <c r="I70" s="1" t="s">
        <v>10</v>
      </c>
      <c r="J70" s="1" t="s">
        <v>11</v>
      </c>
      <c r="K70" s="1" t="s">
        <v>794</v>
      </c>
      <c r="L70" s="1" t="s">
        <v>794</v>
      </c>
      <c r="M70" s="1">
        <v>47373</v>
      </c>
      <c r="N70" s="5">
        <v>0</v>
      </c>
    </row>
    <row r="71" spans="1:14">
      <c r="A71" s="10">
        <v>70</v>
      </c>
      <c r="B71" s="1" t="s">
        <v>345</v>
      </c>
      <c r="C71" s="1" t="s">
        <v>346</v>
      </c>
      <c r="D71" s="1" t="s">
        <v>347</v>
      </c>
      <c r="E71" s="1" t="s">
        <v>348</v>
      </c>
      <c r="F71" s="1" t="s">
        <v>349</v>
      </c>
      <c r="G71" s="2">
        <v>36750</v>
      </c>
      <c r="H71" s="1" t="s">
        <v>9</v>
      </c>
      <c r="I71" s="1" t="s">
        <v>10</v>
      </c>
      <c r="J71" s="1" t="s">
        <v>11</v>
      </c>
      <c r="K71" s="1" t="s">
        <v>795</v>
      </c>
      <c r="L71" s="1" t="s">
        <v>795</v>
      </c>
      <c r="M71" s="1">
        <v>36750</v>
      </c>
      <c r="N71" s="5">
        <v>0</v>
      </c>
    </row>
    <row r="72" spans="1:14">
      <c r="A72" s="10">
        <v>71</v>
      </c>
      <c r="B72" s="1" t="s">
        <v>350</v>
      </c>
      <c r="C72" s="1" t="s">
        <v>351</v>
      </c>
      <c r="D72" s="1" t="s">
        <v>352</v>
      </c>
      <c r="E72" s="1" t="s">
        <v>353</v>
      </c>
      <c r="F72" s="1" t="s">
        <v>354</v>
      </c>
      <c r="G72" s="2">
        <v>51345</v>
      </c>
      <c r="H72" s="1" t="s">
        <v>9</v>
      </c>
      <c r="I72" s="1" t="s">
        <v>10</v>
      </c>
      <c r="J72" s="1" t="s">
        <v>11</v>
      </c>
      <c r="K72" s="1" t="s">
        <v>796</v>
      </c>
      <c r="L72" s="1" t="s">
        <v>796</v>
      </c>
      <c r="M72" s="1">
        <v>51345</v>
      </c>
      <c r="N72" s="5">
        <v>0</v>
      </c>
    </row>
    <row r="73" spans="1:14">
      <c r="A73" s="10">
        <v>72</v>
      </c>
      <c r="B73" s="1" t="s">
        <v>355</v>
      </c>
      <c r="C73" s="1" t="s">
        <v>356</v>
      </c>
      <c r="D73" s="1" t="s">
        <v>357</v>
      </c>
      <c r="E73" s="1" t="s">
        <v>358</v>
      </c>
      <c r="F73" s="1" t="s">
        <v>359</v>
      </c>
      <c r="G73" s="2">
        <v>38500</v>
      </c>
      <c r="H73" s="1" t="s">
        <v>9</v>
      </c>
      <c r="I73" s="1" t="s">
        <v>10</v>
      </c>
      <c r="J73" s="1" t="s">
        <v>11</v>
      </c>
      <c r="K73" s="1" t="s">
        <v>797</v>
      </c>
      <c r="L73" s="1" t="s">
        <v>797</v>
      </c>
      <c r="M73" s="1">
        <v>38500</v>
      </c>
      <c r="N73" s="5">
        <v>0</v>
      </c>
    </row>
    <row r="74" spans="1:14">
      <c r="A74" s="10">
        <v>73</v>
      </c>
      <c r="B74" s="1" t="s">
        <v>360</v>
      </c>
      <c r="C74" s="1" t="s">
        <v>361</v>
      </c>
      <c r="D74" s="1" t="s">
        <v>362</v>
      </c>
      <c r="E74" s="1" t="s">
        <v>363</v>
      </c>
      <c r="F74" s="1" t="s">
        <v>364</v>
      </c>
      <c r="G74" s="2">
        <v>75688</v>
      </c>
      <c r="H74" s="1" t="s">
        <v>9</v>
      </c>
      <c r="I74" s="1" t="s">
        <v>10</v>
      </c>
      <c r="J74" s="1" t="s">
        <v>11</v>
      </c>
      <c r="K74" s="1" t="s">
        <v>798</v>
      </c>
      <c r="L74" s="1" t="s">
        <v>798</v>
      </c>
      <c r="M74" s="1">
        <v>75688</v>
      </c>
      <c r="N74" s="5">
        <v>0</v>
      </c>
    </row>
    <row r="75" spans="1:14">
      <c r="A75" s="10">
        <v>74</v>
      </c>
      <c r="B75" s="1" t="s">
        <v>365</v>
      </c>
      <c r="C75" s="1" t="s">
        <v>366</v>
      </c>
      <c r="D75" s="1" t="s">
        <v>367</v>
      </c>
      <c r="E75" s="1" t="s">
        <v>368</v>
      </c>
      <c r="F75" s="1" t="s">
        <v>369</v>
      </c>
      <c r="G75" s="2">
        <v>35000</v>
      </c>
      <c r="H75" s="1" t="s">
        <v>9</v>
      </c>
      <c r="I75" s="1" t="s">
        <v>10</v>
      </c>
      <c r="J75" s="1" t="s">
        <v>11</v>
      </c>
      <c r="K75" s="1" t="s">
        <v>799</v>
      </c>
      <c r="L75" s="1" t="s">
        <v>799</v>
      </c>
      <c r="M75" s="1">
        <v>35000</v>
      </c>
      <c r="N75" s="5">
        <v>0</v>
      </c>
    </row>
    <row r="76" spans="1:14">
      <c r="A76" s="10">
        <v>75</v>
      </c>
      <c r="B76" s="1" t="s">
        <v>370</v>
      </c>
      <c r="C76" s="1" t="s">
        <v>371</v>
      </c>
      <c r="D76" s="1" t="s">
        <v>372</v>
      </c>
      <c r="E76" s="1" t="s">
        <v>373</v>
      </c>
      <c r="F76" s="1" t="s">
        <v>374</v>
      </c>
      <c r="G76" s="2">
        <v>53288</v>
      </c>
      <c r="H76" s="1" t="s">
        <v>9</v>
      </c>
      <c r="I76" s="1" t="s">
        <v>10</v>
      </c>
      <c r="J76" s="1" t="s">
        <v>11</v>
      </c>
      <c r="K76" s="1" t="s">
        <v>800</v>
      </c>
      <c r="L76" s="1" t="s">
        <v>800</v>
      </c>
      <c r="M76" s="1">
        <v>53288</v>
      </c>
      <c r="N76" s="5">
        <v>0</v>
      </c>
    </row>
    <row r="77" spans="1:14">
      <c r="A77" s="10">
        <v>76</v>
      </c>
      <c r="B77" s="1" t="s">
        <v>375</v>
      </c>
      <c r="C77" s="1" t="s">
        <v>376</v>
      </c>
      <c r="D77" s="1" t="s">
        <v>377</v>
      </c>
      <c r="E77" s="1" t="s">
        <v>378</v>
      </c>
      <c r="F77" s="1" t="s">
        <v>379</v>
      </c>
      <c r="G77" s="2">
        <v>141733</v>
      </c>
      <c r="H77" s="1" t="s">
        <v>9</v>
      </c>
      <c r="I77" s="1" t="s">
        <v>10</v>
      </c>
      <c r="J77" s="1" t="s">
        <v>11</v>
      </c>
      <c r="K77" s="1" t="s">
        <v>801</v>
      </c>
      <c r="L77" s="1" t="s">
        <v>801</v>
      </c>
      <c r="M77" s="1">
        <v>141733</v>
      </c>
      <c r="N77" s="5">
        <v>0</v>
      </c>
    </row>
    <row r="78" spans="1:14">
      <c r="A78" s="10">
        <v>77</v>
      </c>
      <c r="B78" s="1" t="s">
        <v>380</v>
      </c>
      <c r="C78" s="1" t="s">
        <v>381</v>
      </c>
      <c r="D78" s="1" t="s">
        <v>382</v>
      </c>
      <c r="E78" s="1" t="s">
        <v>383</v>
      </c>
      <c r="F78" s="1" t="s">
        <v>384</v>
      </c>
      <c r="G78" s="2">
        <v>43750</v>
      </c>
      <c r="H78" s="1" t="s">
        <v>9</v>
      </c>
      <c r="I78" s="1" t="s">
        <v>10</v>
      </c>
      <c r="J78" s="1" t="s">
        <v>11</v>
      </c>
      <c r="K78" s="1" t="s">
        <v>802</v>
      </c>
      <c r="L78" s="1" t="s">
        <v>802</v>
      </c>
      <c r="M78" s="1">
        <v>43750</v>
      </c>
      <c r="N78" s="5">
        <v>0</v>
      </c>
    </row>
    <row r="79" spans="1:14">
      <c r="A79" s="10">
        <v>78</v>
      </c>
      <c r="B79" s="1" t="s">
        <v>385</v>
      </c>
      <c r="C79" s="1" t="s">
        <v>386</v>
      </c>
      <c r="D79" s="1" t="s">
        <v>387</v>
      </c>
      <c r="E79" s="1" t="s">
        <v>388</v>
      </c>
      <c r="F79" s="1" t="s">
        <v>389</v>
      </c>
      <c r="G79" s="2">
        <v>82425</v>
      </c>
      <c r="H79" s="1" t="s">
        <v>9</v>
      </c>
      <c r="I79" s="1" t="s">
        <v>10</v>
      </c>
      <c r="J79" s="1" t="s">
        <v>11</v>
      </c>
      <c r="K79" s="1" t="s">
        <v>803</v>
      </c>
      <c r="L79" s="1" t="s">
        <v>803</v>
      </c>
      <c r="M79" s="1">
        <v>82425</v>
      </c>
      <c r="N79" s="5">
        <v>0</v>
      </c>
    </row>
    <row r="80" spans="1:14">
      <c r="A80" s="10">
        <v>79</v>
      </c>
      <c r="B80" s="1" t="s">
        <v>390</v>
      </c>
      <c r="C80" s="1" t="s">
        <v>391</v>
      </c>
      <c r="D80" s="1" t="s">
        <v>392</v>
      </c>
      <c r="E80" s="1" t="s">
        <v>393</v>
      </c>
      <c r="F80" s="1" t="s">
        <v>394</v>
      </c>
      <c r="G80" s="2">
        <v>47373</v>
      </c>
      <c r="H80" s="1" t="s">
        <v>9</v>
      </c>
      <c r="I80" s="1" t="s">
        <v>10</v>
      </c>
      <c r="J80" s="1" t="s">
        <v>11</v>
      </c>
      <c r="K80" s="1" t="s">
        <v>804</v>
      </c>
      <c r="L80" s="1" t="s">
        <v>804</v>
      </c>
      <c r="M80" s="1">
        <v>47373</v>
      </c>
      <c r="N80" s="5">
        <v>0</v>
      </c>
    </row>
    <row r="81" spans="1:14">
      <c r="A81" s="10">
        <v>80</v>
      </c>
      <c r="B81" s="1" t="s">
        <v>395</v>
      </c>
      <c r="C81" s="1" t="s">
        <v>13</v>
      </c>
      <c r="D81" s="1" t="s">
        <v>396</v>
      </c>
      <c r="E81" s="1" t="s">
        <v>397</v>
      </c>
      <c r="F81" s="1" t="s">
        <v>398</v>
      </c>
      <c r="G81" s="2">
        <v>47373</v>
      </c>
      <c r="H81" s="1" t="s">
        <v>9</v>
      </c>
      <c r="I81" s="1" t="s">
        <v>10</v>
      </c>
      <c r="J81" s="1" t="s">
        <v>11</v>
      </c>
      <c r="K81" s="1" t="s">
        <v>805</v>
      </c>
      <c r="L81" s="1" t="s">
        <v>805</v>
      </c>
      <c r="M81" s="1">
        <v>47373</v>
      </c>
      <c r="N81" s="5">
        <v>0</v>
      </c>
    </row>
    <row r="82" spans="1:14">
      <c r="A82" s="10">
        <v>81</v>
      </c>
      <c r="B82" s="1" t="s">
        <v>399</v>
      </c>
      <c r="C82" s="1" t="s">
        <v>400</v>
      </c>
      <c r="D82" s="1" t="s">
        <v>401</v>
      </c>
      <c r="E82" s="1" t="s">
        <v>402</v>
      </c>
      <c r="F82" s="1" t="s">
        <v>403</v>
      </c>
      <c r="G82" s="2">
        <v>48983</v>
      </c>
      <c r="H82" s="1" t="s">
        <v>9</v>
      </c>
      <c r="I82" s="1" t="s">
        <v>10</v>
      </c>
      <c r="J82" s="1" t="s">
        <v>11</v>
      </c>
      <c r="K82" s="1" t="s">
        <v>806</v>
      </c>
      <c r="L82" s="1" t="s">
        <v>806</v>
      </c>
      <c r="M82" s="1">
        <v>48983</v>
      </c>
      <c r="N82" s="5">
        <v>0</v>
      </c>
    </row>
    <row r="83" spans="1:14">
      <c r="A83" s="10">
        <v>82</v>
      </c>
      <c r="B83" s="1" t="s">
        <v>404</v>
      </c>
      <c r="C83" s="1" t="s">
        <v>405</v>
      </c>
      <c r="D83" s="1" t="s">
        <v>406</v>
      </c>
      <c r="E83" s="4" t="s">
        <v>882</v>
      </c>
      <c r="F83" s="1" t="s">
        <v>407</v>
      </c>
      <c r="G83" s="2">
        <v>57750</v>
      </c>
      <c r="H83" s="1" t="s">
        <v>9</v>
      </c>
      <c r="I83" s="1" t="s">
        <v>10</v>
      </c>
      <c r="J83" s="1" t="s">
        <v>11</v>
      </c>
      <c r="K83" s="1" t="s">
        <v>915</v>
      </c>
      <c r="L83" s="1" t="s">
        <v>915</v>
      </c>
      <c r="M83" s="1">
        <v>57750</v>
      </c>
      <c r="N83" s="5">
        <v>0</v>
      </c>
    </row>
    <row r="84" spans="1:14">
      <c r="A84" s="10">
        <v>83</v>
      </c>
      <c r="B84" s="1" t="s">
        <v>408</v>
      </c>
      <c r="C84" s="1" t="s">
        <v>409</v>
      </c>
      <c r="D84" s="1" t="s">
        <v>410</v>
      </c>
      <c r="E84" s="1" t="s">
        <v>411</v>
      </c>
      <c r="F84" s="1" t="s">
        <v>412</v>
      </c>
      <c r="G84" s="2">
        <v>53288</v>
      </c>
      <c r="H84" s="1" t="s">
        <v>9</v>
      </c>
      <c r="I84" s="1" t="s">
        <v>10</v>
      </c>
      <c r="J84" s="1" t="s">
        <v>11</v>
      </c>
      <c r="K84" s="1" t="s">
        <v>807</v>
      </c>
      <c r="L84" s="1" t="s">
        <v>807</v>
      </c>
      <c r="M84" s="1">
        <v>53288</v>
      </c>
      <c r="N84" s="5">
        <v>0</v>
      </c>
    </row>
    <row r="85" spans="1:14">
      <c r="A85" s="10">
        <v>84</v>
      </c>
      <c r="B85" s="1" t="s">
        <v>413</v>
      </c>
      <c r="C85" s="1" t="s">
        <v>414</v>
      </c>
      <c r="D85" s="1" t="s">
        <v>415</v>
      </c>
      <c r="E85" s="1" t="s">
        <v>416</v>
      </c>
      <c r="F85" s="1" t="s">
        <v>417</v>
      </c>
      <c r="G85" s="2">
        <v>38850</v>
      </c>
      <c r="H85" s="1" t="s">
        <v>9</v>
      </c>
      <c r="I85" s="1" t="s">
        <v>10</v>
      </c>
      <c r="J85" s="1" t="s">
        <v>11</v>
      </c>
      <c r="K85" s="1" t="s">
        <v>808</v>
      </c>
      <c r="L85" s="1" t="s">
        <v>808</v>
      </c>
      <c r="M85" s="1">
        <v>38850</v>
      </c>
      <c r="N85" s="5">
        <v>0</v>
      </c>
    </row>
    <row r="86" spans="1:14">
      <c r="A86" s="10">
        <v>85</v>
      </c>
      <c r="B86" s="1" t="s">
        <v>418</v>
      </c>
      <c r="C86" s="1" t="s">
        <v>419</v>
      </c>
      <c r="D86" s="1" t="s">
        <v>420</v>
      </c>
      <c r="E86" s="4" t="s">
        <v>883</v>
      </c>
      <c r="F86" s="1" t="s">
        <v>421</v>
      </c>
      <c r="G86" s="2">
        <v>53288</v>
      </c>
      <c r="H86" s="1" t="s">
        <v>9</v>
      </c>
      <c r="I86" s="1" t="s">
        <v>10</v>
      </c>
      <c r="J86" s="1" t="s">
        <v>11</v>
      </c>
      <c r="K86" s="1" t="s">
        <v>916</v>
      </c>
      <c r="L86" s="1" t="s">
        <v>916</v>
      </c>
      <c r="M86" s="1">
        <v>53288</v>
      </c>
      <c r="N86" s="5">
        <v>0</v>
      </c>
    </row>
    <row r="87" spans="1:14">
      <c r="A87" s="10">
        <v>86</v>
      </c>
      <c r="B87" s="1" t="s">
        <v>422</v>
      </c>
      <c r="C87" s="1" t="s">
        <v>423</v>
      </c>
      <c r="D87" s="1" t="s">
        <v>424</v>
      </c>
      <c r="E87" s="1" t="s">
        <v>425</v>
      </c>
      <c r="F87" s="1" t="s">
        <v>426</v>
      </c>
      <c r="G87" s="2">
        <v>24500</v>
      </c>
      <c r="H87" s="1" t="s">
        <v>9</v>
      </c>
      <c r="I87" s="1" t="s">
        <v>10</v>
      </c>
      <c r="J87" s="1" t="s">
        <v>11</v>
      </c>
      <c r="K87" s="1" t="s">
        <v>809</v>
      </c>
      <c r="L87" s="1" t="s">
        <v>809</v>
      </c>
      <c r="M87" s="1">
        <v>24500</v>
      </c>
      <c r="N87" s="5">
        <v>0</v>
      </c>
    </row>
    <row r="88" spans="1:14">
      <c r="A88" s="10">
        <v>87</v>
      </c>
      <c r="B88" s="1" t="s">
        <v>427</v>
      </c>
      <c r="C88" s="1" t="s">
        <v>428</v>
      </c>
      <c r="D88" s="1" t="s">
        <v>429</v>
      </c>
      <c r="E88" s="1" t="s">
        <v>430</v>
      </c>
      <c r="F88" s="1" t="s">
        <v>431</v>
      </c>
      <c r="G88" s="2">
        <v>53358</v>
      </c>
      <c r="H88" s="1" t="s">
        <v>9</v>
      </c>
      <c r="I88" s="1" t="s">
        <v>10</v>
      </c>
      <c r="J88" s="1" t="s">
        <v>11</v>
      </c>
      <c r="K88" s="1" t="s">
        <v>810</v>
      </c>
      <c r="L88" s="1" t="s">
        <v>810</v>
      </c>
      <c r="M88" s="1">
        <v>53358</v>
      </c>
      <c r="N88" s="5">
        <v>0</v>
      </c>
    </row>
    <row r="89" spans="1:14">
      <c r="A89" s="10">
        <v>88</v>
      </c>
      <c r="B89" s="1" t="s">
        <v>432</v>
      </c>
      <c r="C89" s="1" t="s">
        <v>433</v>
      </c>
      <c r="D89" s="1" t="s">
        <v>434</v>
      </c>
      <c r="E89" s="1" t="s">
        <v>435</v>
      </c>
      <c r="F89" s="1" t="s">
        <v>436</v>
      </c>
      <c r="G89" s="2">
        <v>50575</v>
      </c>
      <c r="H89" s="1" t="s">
        <v>9</v>
      </c>
      <c r="I89" s="1" t="s">
        <v>10</v>
      </c>
      <c r="J89" s="1" t="s">
        <v>11</v>
      </c>
      <c r="K89" s="1" t="s">
        <v>811</v>
      </c>
      <c r="L89" s="1" t="s">
        <v>811</v>
      </c>
      <c r="M89" s="1">
        <v>50575</v>
      </c>
      <c r="N89" s="5">
        <v>0</v>
      </c>
    </row>
    <row r="90" spans="1:14">
      <c r="A90" s="10">
        <v>89</v>
      </c>
      <c r="B90" s="1" t="s">
        <v>437</v>
      </c>
      <c r="C90" s="1" t="s">
        <v>438</v>
      </c>
      <c r="D90" s="1" t="s">
        <v>439</v>
      </c>
      <c r="E90" s="1" t="s">
        <v>440</v>
      </c>
      <c r="F90" s="1" t="s">
        <v>441</v>
      </c>
      <c r="G90" s="2">
        <v>41125</v>
      </c>
      <c r="H90" s="1" t="s">
        <v>9</v>
      </c>
      <c r="I90" s="1" t="s">
        <v>10</v>
      </c>
      <c r="J90" s="1" t="s">
        <v>11</v>
      </c>
      <c r="K90" s="1" t="s">
        <v>812</v>
      </c>
      <c r="L90" s="1" t="s">
        <v>812</v>
      </c>
      <c r="M90" s="1">
        <v>41125</v>
      </c>
      <c r="N90" s="5">
        <v>0</v>
      </c>
    </row>
    <row r="91" spans="1:14">
      <c r="A91" s="10">
        <v>90</v>
      </c>
      <c r="B91" s="1" t="s">
        <v>442</v>
      </c>
      <c r="C91" s="1" t="s">
        <v>443</v>
      </c>
      <c r="D91" s="1" t="s">
        <v>444</v>
      </c>
      <c r="E91" s="1" t="s">
        <v>445</v>
      </c>
      <c r="F91" s="1" t="s">
        <v>446</v>
      </c>
      <c r="G91" s="2">
        <v>60638</v>
      </c>
      <c r="H91" s="1" t="s">
        <v>9</v>
      </c>
      <c r="I91" s="1" t="s">
        <v>10</v>
      </c>
      <c r="J91" s="1" t="s">
        <v>11</v>
      </c>
      <c r="K91" s="1" t="s">
        <v>813</v>
      </c>
      <c r="L91" s="1" t="s">
        <v>813</v>
      </c>
      <c r="M91" s="1">
        <v>60638</v>
      </c>
      <c r="N91" s="5">
        <v>0</v>
      </c>
    </row>
    <row r="92" spans="1:14">
      <c r="A92" s="10">
        <v>91</v>
      </c>
      <c r="B92" s="1" t="s">
        <v>447</v>
      </c>
      <c r="C92" s="1" t="s">
        <v>448</v>
      </c>
      <c r="D92" s="1" t="s">
        <v>449</v>
      </c>
      <c r="E92" s="1" t="s">
        <v>450</v>
      </c>
      <c r="F92" s="1" t="s">
        <v>451</v>
      </c>
      <c r="G92" s="2">
        <v>80675</v>
      </c>
      <c r="H92" s="1" t="s">
        <v>9</v>
      </c>
      <c r="I92" s="1" t="s">
        <v>10</v>
      </c>
      <c r="J92" s="1" t="s">
        <v>11</v>
      </c>
      <c r="K92" s="1" t="s">
        <v>814</v>
      </c>
      <c r="L92" s="1" t="s">
        <v>814</v>
      </c>
      <c r="M92" s="1">
        <v>80675</v>
      </c>
      <c r="N92" s="5">
        <v>0</v>
      </c>
    </row>
    <row r="93" spans="1:14">
      <c r="A93" s="10">
        <v>92</v>
      </c>
      <c r="B93" s="1" t="s">
        <v>452</v>
      </c>
      <c r="C93" s="1" t="s">
        <v>453</v>
      </c>
      <c r="D93" s="1" t="s">
        <v>454</v>
      </c>
      <c r="E93" s="1" t="s">
        <v>455</v>
      </c>
      <c r="F93" s="1" t="s">
        <v>456</v>
      </c>
      <c r="G93" s="2">
        <v>87500</v>
      </c>
      <c r="H93" s="1" t="s">
        <v>9</v>
      </c>
      <c r="I93" s="1" t="s">
        <v>10</v>
      </c>
      <c r="J93" s="1" t="s">
        <v>11</v>
      </c>
      <c r="K93" s="1" t="s">
        <v>815</v>
      </c>
      <c r="L93" s="1" t="s">
        <v>815</v>
      </c>
      <c r="M93" s="1">
        <v>87500</v>
      </c>
      <c r="N93" s="5">
        <v>0</v>
      </c>
    </row>
    <row r="94" spans="1:14">
      <c r="A94" s="10">
        <v>93</v>
      </c>
      <c r="B94" s="1" t="s">
        <v>457</v>
      </c>
      <c r="C94" s="1" t="s">
        <v>458</v>
      </c>
      <c r="D94" s="1" t="s">
        <v>459</v>
      </c>
      <c r="E94" s="4" t="s">
        <v>884</v>
      </c>
      <c r="F94" s="1" t="s">
        <v>460</v>
      </c>
      <c r="G94" s="2">
        <v>53358</v>
      </c>
      <c r="H94" s="1" t="s">
        <v>9</v>
      </c>
      <c r="I94" s="1" t="s">
        <v>10</v>
      </c>
      <c r="J94" s="1" t="s">
        <v>11</v>
      </c>
      <c r="K94" s="1" t="s">
        <v>917</v>
      </c>
      <c r="L94" s="1" t="s">
        <v>917</v>
      </c>
      <c r="M94" s="1">
        <v>53358</v>
      </c>
      <c r="N94" s="5">
        <v>0</v>
      </c>
    </row>
    <row r="95" spans="1:14">
      <c r="A95" s="10">
        <v>94</v>
      </c>
      <c r="B95" s="1" t="s">
        <v>461</v>
      </c>
      <c r="C95" s="1" t="s">
        <v>462</v>
      </c>
      <c r="D95" s="1" t="s">
        <v>463</v>
      </c>
      <c r="E95" s="1" t="s">
        <v>464</v>
      </c>
      <c r="F95" s="1" t="s">
        <v>465</v>
      </c>
      <c r="G95" s="2">
        <v>89250</v>
      </c>
      <c r="H95" s="1" t="s">
        <v>9</v>
      </c>
      <c r="I95" s="1" t="s">
        <v>10</v>
      </c>
      <c r="J95" s="1" t="s">
        <v>11</v>
      </c>
      <c r="K95" s="1" t="s">
        <v>816</v>
      </c>
      <c r="L95" s="1" t="s">
        <v>816</v>
      </c>
      <c r="M95" s="1">
        <v>89250</v>
      </c>
      <c r="N95" s="5">
        <v>0</v>
      </c>
    </row>
    <row r="96" spans="1:14">
      <c r="A96" s="10">
        <v>95</v>
      </c>
      <c r="B96" s="1" t="s">
        <v>466</v>
      </c>
      <c r="C96" s="1" t="s">
        <v>467</v>
      </c>
      <c r="D96" s="1" t="s">
        <v>468</v>
      </c>
      <c r="E96" s="1" t="s">
        <v>469</v>
      </c>
      <c r="F96" s="1" t="s">
        <v>470</v>
      </c>
      <c r="G96" s="2">
        <v>53288</v>
      </c>
      <c r="H96" s="1" t="s">
        <v>9</v>
      </c>
      <c r="I96" s="1" t="s">
        <v>10</v>
      </c>
      <c r="J96" s="1" t="s">
        <v>11</v>
      </c>
      <c r="K96" s="1" t="s">
        <v>817</v>
      </c>
      <c r="L96" s="1" t="s">
        <v>817</v>
      </c>
      <c r="M96" s="1">
        <v>53288</v>
      </c>
      <c r="N96" s="5">
        <v>0</v>
      </c>
    </row>
    <row r="97" spans="1:14">
      <c r="A97" s="10">
        <v>96</v>
      </c>
      <c r="B97" s="1" t="s">
        <v>471</v>
      </c>
      <c r="C97" s="1" t="s">
        <v>12</v>
      </c>
      <c r="D97" s="1" t="s">
        <v>472</v>
      </c>
      <c r="E97" s="1" t="s">
        <v>473</v>
      </c>
      <c r="F97" s="1" t="s">
        <v>474</v>
      </c>
      <c r="G97" s="2">
        <v>70000</v>
      </c>
      <c r="H97" s="1" t="s">
        <v>9</v>
      </c>
      <c r="I97" s="1" t="s">
        <v>10</v>
      </c>
      <c r="J97" s="1" t="s">
        <v>11</v>
      </c>
      <c r="K97" s="1" t="s">
        <v>818</v>
      </c>
      <c r="L97" s="1" t="s">
        <v>818</v>
      </c>
      <c r="M97" s="1">
        <v>70000</v>
      </c>
      <c r="N97" s="5">
        <v>0</v>
      </c>
    </row>
    <row r="98" spans="1:14">
      <c r="A98" s="10">
        <v>97</v>
      </c>
      <c r="B98" s="1" t="s">
        <v>475</v>
      </c>
      <c r="C98" s="1" t="s">
        <v>476</v>
      </c>
      <c r="D98" s="1" t="s">
        <v>477</v>
      </c>
      <c r="E98" s="1" t="s">
        <v>478</v>
      </c>
      <c r="F98" s="1" t="s">
        <v>479</v>
      </c>
      <c r="G98" s="2">
        <v>41125</v>
      </c>
      <c r="H98" s="1" t="s">
        <v>9</v>
      </c>
      <c r="I98" s="1" t="s">
        <v>10</v>
      </c>
      <c r="J98" s="1" t="s">
        <v>11</v>
      </c>
      <c r="K98" s="1" t="s">
        <v>819</v>
      </c>
      <c r="L98" s="1" t="s">
        <v>819</v>
      </c>
      <c r="M98" s="1">
        <v>41125</v>
      </c>
      <c r="N98" s="5">
        <v>0</v>
      </c>
    </row>
    <row r="99" spans="1:14">
      <c r="A99" s="10">
        <v>98</v>
      </c>
      <c r="B99" s="1" t="s">
        <v>480</v>
      </c>
      <c r="C99" s="1" t="s">
        <v>481</v>
      </c>
      <c r="D99" s="1" t="s">
        <v>482</v>
      </c>
      <c r="E99" s="1" t="s">
        <v>483</v>
      </c>
      <c r="F99" s="1" t="s">
        <v>484</v>
      </c>
      <c r="G99" s="2">
        <v>70000</v>
      </c>
      <c r="H99" s="1" t="s">
        <v>9</v>
      </c>
      <c r="I99" s="1" t="s">
        <v>10</v>
      </c>
      <c r="J99" s="1" t="s">
        <v>11</v>
      </c>
      <c r="K99" s="1" t="s">
        <v>820</v>
      </c>
      <c r="L99" s="1" t="s">
        <v>820</v>
      </c>
      <c r="M99" s="1">
        <v>70000</v>
      </c>
      <c r="N99" s="5">
        <v>0</v>
      </c>
    </row>
    <row r="100" spans="1:14">
      <c r="A100" s="10">
        <v>99</v>
      </c>
      <c r="B100" s="1" t="s">
        <v>485</v>
      </c>
      <c r="C100" s="1" t="s">
        <v>486</v>
      </c>
      <c r="D100" s="1" t="s">
        <v>487</v>
      </c>
      <c r="E100" s="4" t="s">
        <v>885</v>
      </c>
      <c r="F100" s="1" t="s">
        <v>488</v>
      </c>
      <c r="G100" s="2">
        <v>45500</v>
      </c>
      <c r="H100" s="1" t="s">
        <v>9</v>
      </c>
      <c r="I100" s="1" t="s">
        <v>10</v>
      </c>
      <c r="J100" s="1" t="s">
        <v>11</v>
      </c>
      <c r="K100" s="1" t="s">
        <v>918</v>
      </c>
      <c r="L100" s="1" t="s">
        <v>918</v>
      </c>
      <c r="M100" s="1">
        <v>45500</v>
      </c>
      <c r="N100" s="5">
        <v>0</v>
      </c>
    </row>
    <row r="101" spans="1:14">
      <c r="A101" s="10">
        <v>100</v>
      </c>
      <c r="B101" s="1" t="s">
        <v>489</v>
      </c>
      <c r="C101" s="1" t="s">
        <v>490</v>
      </c>
      <c r="D101" s="1" t="s">
        <v>491</v>
      </c>
      <c r="E101" s="1" t="s">
        <v>492</v>
      </c>
      <c r="F101" s="1" t="s">
        <v>493</v>
      </c>
      <c r="G101" s="2">
        <v>58013</v>
      </c>
      <c r="H101" s="1" t="s">
        <v>9</v>
      </c>
      <c r="I101" s="1" t="s">
        <v>10</v>
      </c>
      <c r="J101" s="1" t="s">
        <v>11</v>
      </c>
      <c r="K101" s="1" t="s">
        <v>821</v>
      </c>
      <c r="L101" s="1" t="s">
        <v>821</v>
      </c>
      <c r="M101" s="1">
        <v>58013</v>
      </c>
      <c r="N101" s="5">
        <v>0</v>
      </c>
    </row>
    <row r="102" spans="1:14">
      <c r="A102" s="10">
        <v>101</v>
      </c>
      <c r="B102" s="1" t="s">
        <v>494</v>
      </c>
      <c r="C102" s="1" t="s">
        <v>495</v>
      </c>
      <c r="D102" s="1" t="s">
        <v>496</v>
      </c>
      <c r="E102" s="1" t="s">
        <v>497</v>
      </c>
      <c r="F102" s="1" t="s">
        <v>498</v>
      </c>
      <c r="G102" s="2">
        <v>81646</v>
      </c>
      <c r="H102" s="1" t="s">
        <v>9</v>
      </c>
      <c r="I102" s="1" t="s">
        <v>10</v>
      </c>
      <c r="J102" s="1" t="s">
        <v>11</v>
      </c>
      <c r="K102" s="1" t="s">
        <v>822</v>
      </c>
      <c r="L102" s="1" t="s">
        <v>822</v>
      </c>
      <c r="M102" s="1">
        <v>81646</v>
      </c>
      <c r="N102" s="5">
        <v>0</v>
      </c>
    </row>
    <row r="103" spans="1:14">
      <c r="A103" s="10">
        <v>102</v>
      </c>
      <c r="B103" s="1" t="s">
        <v>499</v>
      </c>
      <c r="C103" s="1" t="s">
        <v>500</v>
      </c>
      <c r="D103" s="1" t="s">
        <v>501</v>
      </c>
      <c r="E103" s="4" t="s">
        <v>886</v>
      </c>
      <c r="F103" s="1" t="s">
        <v>502</v>
      </c>
      <c r="G103" s="2">
        <v>64750</v>
      </c>
      <c r="H103" s="1" t="s">
        <v>9</v>
      </c>
      <c r="I103" s="1" t="s">
        <v>10</v>
      </c>
      <c r="J103" s="1" t="s">
        <v>11</v>
      </c>
      <c r="K103" s="1" t="s">
        <v>919</v>
      </c>
      <c r="L103" s="1" t="s">
        <v>919</v>
      </c>
      <c r="M103" s="1">
        <v>64750</v>
      </c>
      <c r="N103" s="5">
        <v>0</v>
      </c>
    </row>
    <row r="104" spans="1:14">
      <c r="A104" s="10">
        <v>103</v>
      </c>
      <c r="B104" s="1" t="s">
        <v>503</v>
      </c>
      <c r="C104" s="1" t="s">
        <v>504</v>
      </c>
      <c r="D104" s="1" t="s">
        <v>505</v>
      </c>
      <c r="E104" s="1" t="s">
        <v>506</v>
      </c>
      <c r="F104" s="1" t="s">
        <v>507</v>
      </c>
      <c r="G104" s="2">
        <v>83300</v>
      </c>
      <c r="H104" s="1" t="s">
        <v>9</v>
      </c>
      <c r="I104" s="1" t="s">
        <v>10</v>
      </c>
      <c r="J104" s="1" t="s">
        <v>11</v>
      </c>
      <c r="K104" s="1" t="s">
        <v>823</v>
      </c>
      <c r="L104" s="1" t="s">
        <v>823</v>
      </c>
      <c r="M104" s="1">
        <v>83300</v>
      </c>
      <c r="N104" s="5">
        <v>0</v>
      </c>
    </row>
    <row r="105" spans="1:14">
      <c r="A105" s="10">
        <v>104</v>
      </c>
      <c r="B105" s="1" t="s">
        <v>508</v>
      </c>
      <c r="C105" s="1" t="s">
        <v>509</v>
      </c>
      <c r="D105" s="1" t="s">
        <v>510</v>
      </c>
      <c r="E105" s="1" t="s">
        <v>511</v>
      </c>
      <c r="F105" s="1" t="s">
        <v>512</v>
      </c>
      <c r="G105" s="2">
        <v>95200</v>
      </c>
      <c r="H105" s="1" t="s">
        <v>9</v>
      </c>
      <c r="I105" s="1" t="s">
        <v>10</v>
      </c>
      <c r="J105" s="1" t="s">
        <v>11</v>
      </c>
      <c r="K105" s="1" t="s">
        <v>824</v>
      </c>
      <c r="L105" s="1" t="s">
        <v>824</v>
      </c>
      <c r="M105" s="1">
        <v>95200</v>
      </c>
      <c r="N105" s="5">
        <v>0</v>
      </c>
    </row>
    <row r="106" spans="1:14">
      <c r="A106" s="10">
        <v>105</v>
      </c>
      <c r="B106" s="1" t="s">
        <v>513</v>
      </c>
      <c r="C106" s="1" t="s">
        <v>514</v>
      </c>
      <c r="D106" s="1" t="s">
        <v>515</v>
      </c>
      <c r="E106" s="1" t="s">
        <v>516</v>
      </c>
      <c r="F106" s="1" t="s">
        <v>517</v>
      </c>
      <c r="G106" s="2">
        <v>60900</v>
      </c>
      <c r="H106" s="1" t="s">
        <v>9</v>
      </c>
      <c r="I106" s="1" t="s">
        <v>10</v>
      </c>
      <c r="J106" s="1" t="s">
        <v>11</v>
      </c>
      <c r="K106" s="1" t="s">
        <v>825</v>
      </c>
      <c r="L106" s="1" t="s">
        <v>825</v>
      </c>
      <c r="M106" s="1">
        <v>60900</v>
      </c>
      <c r="N106" s="5">
        <v>0</v>
      </c>
    </row>
    <row r="107" spans="1:14">
      <c r="A107" s="10">
        <v>106</v>
      </c>
      <c r="B107" s="1" t="s">
        <v>518</v>
      </c>
      <c r="C107" s="1" t="s">
        <v>519</v>
      </c>
      <c r="D107" s="1" t="s">
        <v>520</v>
      </c>
      <c r="E107" s="1" t="s">
        <v>521</v>
      </c>
      <c r="F107" s="1" t="s">
        <v>522</v>
      </c>
      <c r="G107" s="2">
        <v>94380</v>
      </c>
      <c r="H107" s="1" t="s">
        <v>9</v>
      </c>
      <c r="I107" s="1" t="s">
        <v>10</v>
      </c>
      <c r="J107" s="1" t="s">
        <v>11</v>
      </c>
      <c r="K107" s="1" t="s">
        <v>826</v>
      </c>
      <c r="L107" s="1" t="s">
        <v>826</v>
      </c>
      <c r="M107" s="1">
        <v>94380</v>
      </c>
      <c r="N107" s="5">
        <v>0</v>
      </c>
    </row>
    <row r="108" spans="1:14">
      <c r="A108" s="10">
        <v>107</v>
      </c>
      <c r="B108" s="1" t="s">
        <v>523</v>
      </c>
      <c r="C108" s="1" t="s">
        <v>524</v>
      </c>
      <c r="D108" s="1" t="s">
        <v>525</v>
      </c>
      <c r="E108" s="1" t="s">
        <v>526</v>
      </c>
      <c r="F108" s="1" t="s">
        <v>527</v>
      </c>
      <c r="G108" s="2">
        <v>75980</v>
      </c>
      <c r="H108" s="1" t="s">
        <v>9</v>
      </c>
      <c r="I108" s="1" t="s">
        <v>10</v>
      </c>
      <c r="J108" s="1" t="s">
        <v>11</v>
      </c>
      <c r="K108" s="1" t="s">
        <v>827</v>
      </c>
      <c r="L108" s="6" t="s">
        <v>931</v>
      </c>
      <c r="M108" s="1">
        <v>66483</v>
      </c>
      <c r="N108" s="5">
        <f>G108-M108</f>
        <v>9497</v>
      </c>
    </row>
    <row r="109" spans="1:14">
      <c r="A109" s="10">
        <v>108</v>
      </c>
      <c r="B109" s="1" t="s">
        <v>528</v>
      </c>
      <c r="C109" s="1" t="s">
        <v>529</v>
      </c>
      <c r="D109" s="1" t="s">
        <v>530</v>
      </c>
      <c r="E109" s="1" t="s">
        <v>531</v>
      </c>
      <c r="F109" s="1" t="s">
        <v>532</v>
      </c>
      <c r="G109" s="2">
        <v>75250</v>
      </c>
      <c r="H109" s="1" t="s">
        <v>9</v>
      </c>
      <c r="I109" s="1" t="s">
        <v>10</v>
      </c>
      <c r="J109" s="1" t="s">
        <v>11</v>
      </c>
      <c r="K109" s="1" t="s">
        <v>828</v>
      </c>
      <c r="L109" s="1" t="s">
        <v>828</v>
      </c>
      <c r="M109" s="1">
        <v>75250</v>
      </c>
      <c r="N109" s="5">
        <v>0</v>
      </c>
    </row>
    <row r="110" spans="1:14">
      <c r="A110" s="10">
        <v>109</v>
      </c>
      <c r="B110" s="1" t="s">
        <v>533</v>
      </c>
      <c r="C110" s="1" t="s">
        <v>534</v>
      </c>
      <c r="D110" s="1" t="s">
        <v>535</v>
      </c>
      <c r="E110" s="1" t="s">
        <v>536</v>
      </c>
      <c r="F110" s="1" t="s">
        <v>537</v>
      </c>
      <c r="G110" s="2">
        <v>34000</v>
      </c>
      <c r="H110" s="1" t="s">
        <v>9</v>
      </c>
      <c r="I110" s="1" t="s">
        <v>10</v>
      </c>
      <c r="J110" s="1" t="s">
        <v>11</v>
      </c>
      <c r="K110" s="1" t="s">
        <v>829</v>
      </c>
      <c r="L110" s="1" t="s">
        <v>829</v>
      </c>
      <c r="M110" s="1">
        <v>34000</v>
      </c>
      <c r="N110" s="5">
        <v>0</v>
      </c>
    </row>
    <row r="111" spans="1:14">
      <c r="A111" s="10">
        <v>110</v>
      </c>
      <c r="B111" s="1" t="s">
        <v>538</v>
      </c>
      <c r="C111" s="1" t="s">
        <v>539</v>
      </c>
      <c r="D111" s="1" t="s">
        <v>540</v>
      </c>
      <c r="E111" s="1" t="s">
        <v>541</v>
      </c>
      <c r="F111" s="1" t="s">
        <v>542</v>
      </c>
      <c r="G111" s="2">
        <v>70000</v>
      </c>
      <c r="H111" s="1" t="s">
        <v>9</v>
      </c>
      <c r="I111" s="1" t="s">
        <v>10</v>
      </c>
      <c r="J111" s="1" t="s">
        <v>11</v>
      </c>
      <c r="K111" s="1" t="s">
        <v>830</v>
      </c>
      <c r="L111" s="1" t="s">
        <v>830</v>
      </c>
      <c r="M111" s="1">
        <v>70000</v>
      </c>
      <c r="N111" s="5">
        <v>0</v>
      </c>
    </row>
    <row r="112" spans="1:14">
      <c r="A112" s="10">
        <v>111</v>
      </c>
      <c r="B112" s="1" t="s">
        <v>543</v>
      </c>
      <c r="C112" s="1" t="s">
        <v>544</v>
      </c>
      <c r="D112" s="1" t="s">
        <v>545</v>
      </c>
      <c r="E112" s="4" t="s">
        <v>887</v>
      </c>
      <c r="F112" s="1" t="s">
        <v>546</v>
      </c>
      <c r="G112" s="2">
        <v>68700</v>
      </c>
      <c r="H112" s="1" t="s">
        <v>9</v>
      </c>
      <c r="I112" s="1" t="s">
        <v>10</v>
      </c>
      <c r="J112" s="1" t="s">
        <v>11</v>
      </c>
      <c r="K112" s="1" t="s">
        <v>920</v>
      </c>
      <c r="L112" s="1" t="s">
        <v>920</v>
      </c>
      <c r="M112" s="1">
        <v>68700</v>
      </c>
      <c r="N112" s="5">
        <v>0</v>
      </c>
    </row>
    <row r="113" spans="1:14">
      <c r="A113" s="10">
        <v>112</v>
      </c>
      <c r="B113" s="1" t="s">
        <v>547</v>
      </c>
      <c r="C113" s="1" t="s">
        <v>548</v>
      </c>
      <c r="D113" s="1" t="s">
        <v>549</v>
      </c>
      <c r="E113" s="1" t="s">
        <v>550</v>
      </c>
      <c r="F113" s="1" t="s">
        <v>551</v>
      </c>
      <c r="G113" s="2">
        <v>62125</v>
      </c>
      <c r="H113" s="1" t="s">
        <v>9</v>
      </c>
      <c r="I113" s="1" t="s">
        <v>10</v>
      </c>
      <c r="J113" s="1" t="s">
        <v>11</v>
      </c>
      <c r="K113" s="1" t="s">
        <v>831</v>
      </c>
      <c r="L113" s="1" t="s">
        <v>831</v>
      </c>
      <c r="M113" s="1">
        <v>62125</v>
      </c>
      <c r="N113" s="5">
        <v>0</v>
      </c>
    </row>
    <row r="114" spans="1:14">
      <c r="A114" s="10">
        <v>113</v>
      </c>
      <c r="B114" s="1" t="s">
        <v>552</v>
      </c>
      <c r="C114" s="1" t="s">
        <v>553</v>
      </c>
      <c r="D114" s="1" t="s">
        <v>554</v>
      </c>
      <c r="E114" s="1" t="s">
        <v>555</v>
      </c>
      <c r="F114" s="1" t="s">
        <v>556</v>
      </c>
      <c r="G114" s="2">
        <v>83300</v>
      </c>
      <c r="H114" s="1" t="s">
        <v>9</v>
      </c>
      <c r="I114" s="1" t="s">
        <v>10</v>
      </c>
      <c r="J114" s="1" t="s">
        <v>11</v>
      </c>
      <c r="K114" s="1" t="s">
        <v>832</v>
      </c>
      <c r="L114" s="1" t="s">
        <v>832</v>
      </c>
      <c r="M114" s="1">
        <v>83300</v>
      </c>
      <c r="N114" s="5">
        <v>0</v>
      </c>
    </row>
    <row r="115" spans="1:14">
      <c r="A115" s="10">
        <v>114</v>
      </c>
      <c r="B115" s="1" t="s">
        <v>557</v>
      </c>
      <c r="C115" s="1" t="s">
        <v>558</v>
      </c>
      <c r="D115" s="1" t="s">
        <v>559</v>
      </c>
      <c r="E115" s="1" t="s">
        <v>560</v>
      </c>
      <c r="F115" s="1" t="s">
        <v>561</v>
      </c>
      <c r="G115" s="2">
        <v>68250</v>
      </c>
      <c r="H115" s="1" t="s">
        <v>9</v>
      </c>
      <c r="I115" s="1" t="s">
        <v>10</v>
      </c>
      <c r="J115" s="1" t="s">
        <v>11</v>
      </c>
      <c r="K115" s="1" t="s">
        <v>833</v>
      </c>
      <c r="L115" s="1" t="s">
        <v>833</v>
      </c>
      <c r="M115" s="1">
        <v>68250</v>
      </c>
      <c r="N115" s="5">
        <v>0</v>
      </c>
    </row>
    <row r="116" spans="1:14">
      <c r="A116" s="10">
        <v>115</v>
      </c>
      <c r="B116" s="1" t="s">
        <v>562</v>
      </c>
      <c r="C116" s="1" t="s">
        <v>563</v>
      </c>
      <c r="D116" s="1" t="s">
        <v>564</v>
      </c>
      <c r="E116" s="1" t="s">
        <v>565</v>
      </c>
      <c r="F116" s="1" t="s">
        <v>566</v>
      </c>
      <c r="G116" s="2">
        <v>86975</v>
      </c>
      <c r="H116" s="1" t="s">
        <v>9</v>
      </c>
      <c r="I116" s="1" t="s">
        <v>10</v>
      </c>
      <c r="J116" s="1" t="s">
        <v>11</v>
      </c>
      <c r="K116" s="1" t="s">
        <v>834</v>
      </c>
      <c r="L116" s="6" t="s">
        <v>932</v>
      </c>
      <c r="M116" s="1">
        <v>84490</v>
      </c>
      <c r="N116" s="5">
        <f>G116-M116</f>
        <v>2485</v>
      </c>
    </row>
    <row r="117" spans="1:14">
      <c r="A117" s="10">
        <v>116</v>
      </c>
      <c r="B117" s="1" t="s">
        <v>567</v>
      </c>
      <c r="C117" s="1" t="s">
        <v>568</v>
      </c>
      <c r="D117" s="1" t="s">
        <v>569</v>
      </c>
      <c r="E117" s="4" t="s">
        <v>888</v>
      </c>
      <c r="F117" s="1" t="s">
        <v>570</v>
      </c>
      <c r="G117" s="2">
        <v>73500</v>
      </c>
      <c r="H117" s="1" t="s">
        <v>9</v>
      </c>
      <c r="I117" s="1" t="s">
        <v>10</v>
      </c>
      <c r="J117" s="1" t="s">
        <v>11</v>
      </c>
      <c r="K117" s="1" t="s">
        <v>921</v>
      </c>
      <c r="L117" s="1" t="s">
        <v>921</v>
      </c>
      <c r="M117" s="1">
        <v>73500</v>
      </c>
      <c r="N117" s="5">
        <v>0</v>
      </c>
    </row>
    <row r="118" spans="1:14">
      <c r="A118" s="10">
        <v>117</v>
      </c>
      <c r="B118" s="1" t="s">
        <v>571</v>
      </c>
      <c r="C118" s="1" t="s">
        <v>572</v>
      </c>
      <c r="D118" s="1" t="s">
        <v>573</v>
      </c>
      <c r="E118" s="1" t="s">
        <v>574</v>
      </c>
      <c r="F118" s="1" t="s">
        <v>575</v>
      </c>
      <c r="G118" s="2">
        <v>74900</v>
      </c>
      <c r="H118" s="1" t="s">
        <v>9</v>
      </c>
      <c r="I118" s="1" t="s">
        <v>10</v>
      </c>
      <c r="J118" s="1" t="s">
        <v>11</v>
      </c>
      <c r="K118" s="1" t="s">
        <v>835</v>
      </c>
      <c r="L118" s="1" t="s">
        <v>835</v>
      </c>
      <c r="M118" s="1">
        <v>74900</v>
      </c>
      <c r="N118" s="5">
        <v>0</v>
      </c>
    </row>
    <row r="119" spans="1:14">
      <c r="A119" s="10">
        <v>118</v>
      </c>
      <c r="B119" s="1" t="s">
        <v>576</v>
      </c>
      <c r="C119" s="1" t="s">
        <v>577</v>
      </c>
      <c r="D119" s="1" t="s">
        <v>578</v>
      </c>
      <c r="E119" s="4" t="s">
        <v>889</v>
      </c>
      <c r="F119" s="1" t="s">
        <v>579</v>
      </c>
      <c r="G119" s="2">
        <v>78750</v>
      </c>
      <c r="H119" s="1" t="s">
        <v>9</v>
      </c>
      <c r="I119" s="1" t="s">
        <v>10</v>
      </c>
      <c r="J119" s="1" t="s">
        <v>11</v>
      </c>
      <c r="K119" s="1" t="s">
        <v>922</v>
      </c>
      <c r="L119" s="1" t="s">
        <v>922</v>
      </c>
      <c r="M119" s="1">
        <v>78750</v>
      </c>
      <c r="N119" s="5">
        <v>0</v>
      </c>
    </row>
    <row r="120" spans="1:14">
      <c r="A120" s="10">
        <v>119</v>
      </c>
      <c r="B120" s="1" t="s">
        <v>580</v>
      </c>
      <c r="C120" s="1" t="s">
        <v>581</v>
      </c>
      <c r="D120" s="1" t="s">
        <v>582</v>
      </c>
      <c r="E120" s="1" t="s">
        <v>583</v>
      </c>
      <c r="F120" s="1" t="s">
        <v>584</v>
      </c>
      <c r="G120" s="2">
        <v>36750</v>
      </c>
      <c r="H120" s="1" t="s">
        <v>9</v>
      </c>
      <c r="I120" s="1" t="s">
        <v>10</v>
      </c>
      <c r="J120" s="1" t="s">
        <v>11</v>
      </c>
      <c r="K120" s="1" t="s">
        <v>836</v>
      </c>
      <c r="L120" s="1" t="s">
        <v>836</v>
      </c>
      <c r="M120" s="1">
        <v>36750</v>
      </c>
      <c r="N120" s="5">
        <v>0</v>
      </c>
    </row>
    <row r="121" spans="1:14">
      <c r="A121" s="10">
        <v>120</v>
      </c>
      <c r="B121" s="1" t="s">
        <v>585</v>
      </c>
      <c r="C121" s="1" t="s">
        <v>586</v>
      </c>
      <c r="D121" s="1" t="s">
        <v>587</v>
      </c>
      <c r="E121" s="1" t="s">
        <v>588</v>
      </c>
      <c r="F121" s="1" t="s">
        <v>589</v>
      </c>
      <c r="G121" s="2">
        <v>42875</v>
      </c>
      <c r="H121" s="1" t="s">
        <v>9</v>
      </c>
      <c r="I121" s="1" t="s">
        <v>10</v>
      </c>
      <c r="J121" s="1" t="s">
        <v>11</v>
      </c>
      <c r="K121" s="1" t="s">
        <v>837</v>
      </c>
      <c r="L121" s="1" t="s">
        <v>837</v>
      </c>
      <c r="M121" s="1">
        <v>42875</v>
      </c>
      <c r="N121" s="5">
        <v>0</v>
      </c>
    </row>
    <row r="122" spans="1:14">
      <c r="A122" s="10">
        <v>121</v>
      </c>
      <c r="B122" s="1" t="s">
        <v>590</v>
      </c>
      <c r="C122" s="1" t="s">
        <v>591</v>
      </c>
      <c r="D122" s="1" t="s">
        <v>592</v>
      </c>
      <c r="E122" s="1" t="s">
        <v>593</v>
      </c>
      <c r="F122" s="1" t="s">
        <v>594</v>
      </c>
      <c r="G122" s="2">
        <v>57750</v>
      </c>
      <c r="H122" s="1" t="s">
        <v>9</v>
      </c>
      <c r="I122" s="1" t="s">
        <v>10</v>
      </c>
      <c r="J122" s="1" t="s">
        <v>11</v>
      </c>
      <c r="K122" s="1" t="s">
        <v>838</v>
      </c>
      <c r="L122" s="1" t="s">
        <v>838</v>
      </c>
      <c r="M122" s="1">
        <v>57750</v>
      </c>
      <c r="N122" s="5">
        <v>0</v>
      </c>
    </row>
    <row r="123" spans="1:14">
      <c r="A123" s="10">
        <v>122</v>
      </c>
      <c r="B123" s="1" t="s">
        <v>595</v>
      </c>
      <c r="C123" s="1" t="s">
        <v>596</v>
      </c>
      <c r="D123" s="1" t="s">
        <v>597</v>
      </c>
      <c r="E123" s="1" t="s">
        <v>598</v>
      </c>
      <c r="F123" s="1" t="s">
        <v>599</v>
      </c>
      <c r="G123" s="2">
        <v>82583</v>
      </c>
      <c r="H123" s="1" t="s">
        <v>9</v>
      </c>
      <c r="I123" s="1" t="s">
        <v>10</v>
      </c>
      <c r="J123" s="1" t="s">
        <v>11</v>
      </c>
      <c r="K123" s="1" t="s">
        <v>839</v>
      </c>
      <c r="L123" s="1" t="s">
        <v>839</v>
      </c>
      <c r="M123" s="1">
        <v>82583</v>
      </c>
      <c r="N123" s="5">
        <v>0</v>
      </c>
    </row>
    <row r="124" spans="1:14">
      <c r="A124" s="10">
        <v>123</v>
      </c>
      <c r="B124" s="1" t="s">
        <v>600</v>
      </c>
      <c r="C124" s="1" t="s">
        <v>601</v>
      </c>
      <c r="D124" s="1" t="s">
        <v>602</v>
      </c>
      <c r="E124" s="4" t="s">
        <v>890</v>
      </c>
      <c r="F124" s="1" t="s">
        <v>603</v>
      </c>
      <c r="G124" s="2">
        <v>87000</v>
      </c>
      <c r="H124" s="1" t="s">
        <v>9</v>
      </c>
      <c r="I124" s="1" t="s">
        <v>10</v>
      </c>
      <c r="J124" s="1" t="s">
        <v>11</v>
      </c>
      <c r="K124" s="1" t="s">
        <v>923</v>
      </c>
      <c r="L124" s="1" t="s">
        <v>923</v>
      </c>
      <c r="M124" s="1">
        <v>87000</v>
      </c>
      <c r="N124" s="5">
        <v>0</v>
      </c>
    </row>
    <row r="125" spans="1:14">
      <c r="A125" s="10">
        <v>124</v>
      </c>
      <c r="B125" s="1" t="s">
        <v>604</v>
      </c>
      <c r="C125" s="1" t="s">
        <v>605</v>
      </c>
      <c r="D125" s="1" t="s">
        <v>606</v>
      </c>
      <c r="E125" s="1" t="s">
        <v>607</v>
      </c>
      <c r="F125" s="1" t="s">
        <v>608</v>
      </c>
      <c r="G125" s="2">
        <v>53288</v>
      </c>
      <c r="H125" s="1" t="s">
        <v>9</v>
      </c>
      <c r="I125" s="1" t="s">
        <v>10</v>
      </c>
      <c r="J125" s="1" t="s">
        <v>11</v>
      </c>
      <c r="K125" s="1" t="s">
        <v>840</v>
      </c>
      <c r="L125" s="1" t="s">
        <v>840</v>
      </c>
      <c r="M125" s="1">
        <v>53288</v>
      </c>
      <c r="N125" s="5">
        <v>0</v>
      </c>
    </row>
    <row r="126" spans="1:14">
      <c r="A126" s="10">
        <v>125</v>
      </c>
      <c r="B126" s="1" t="s">
        <v>609</v>
      </c>
      <c r="C126" s="1" t="s">
        <v>610</v>
      </c>
      <c r="D126" s="1" t="s">
        <v>611</v>
      </c>
      <c r="E126" s="1" t="s">
        <v>612</v>
      </c>
      <c r="F126" s="1" t="s">
        <v>613</v>
      </c>
      <c r="G126" s="2">
        <v>41125</v>
      </c>
      <c r="H126" s="1" t="s">
        <v>9</v>
      </c>
      <c r="I126" s="1" t="s">
        <v>10</v>
      </c>
      <c r="J126" s="1" t="s">
        <v>11</v>
      </c>
      <c r="K126" s="1" t="s">
        <v>841</v>
      </c>
      <c r="L126" s="1" t="s">
        <v>841</v>
      </c>
      <c r="M126" s="1">
        <v>41125</v>
      </c>
      <c r="N126" s="5">
        <v>0</v>
      </c>
    </row>
    <row r="127" spans="1:14">
      <c r="A127" s="10">
        <v>126</v>
      </c>
      <c r="B127" s="1" t="s">
        <v>614</v>
      </c>
      <c r="C127" s="1" t="s">
        <v>615</v>
      </c>
      <c r="D127" s="1" t="s">
        <v>616</v>
      </c>
      <c r="E127" s="1" t="s">
        <v>617</v>
      </c>
      <c r="F127" s="1" t="s">
        <v>618</v>
      </c>
      <c r="G127" s="2">
        <v>73500</v>
      </c>
      <c r="H127" s="1" t="s">
        <v>9</v>
      </c>
      <c r="I127" s="1" t="s">
        <v>10</v>
      </c>
      <c r="J127" s="1" t="s">
        <v>11</v>
      </c>
      <c r="K127" s="1" t="s">
        <v>842</v>
      </c>
      <c r="L127" s="1" t="s">
        <v>842</v>
      </c>
      <c r="M127" s="1">
        <v>73500</v>
      </c>
      <c r="N127" s="5">
        <v>0</v>
      </c>
    </row>
    <row r="128" spans="1:14">
      <c r="A128" s="10">
        <v>127</v>
      </c>
      <c r="B128" s="1" t="s">
        <v>619</v>
      </c>
      <c r="C128" s="1" t="s">
        <v>620</v>
      </c>
      <c r="D128" s="1" t="s">
        <v>621</v>
      </c>
      <c r="E128" s="4" t="s">
        <v>891</v>
      </c>
      <c r="F128" s="1" t="s">
        <v>622</v>
      </c>
      <c r="G128" s="2">
        <v>83423</v>
      </c>
      <c r="H128" s="1" t="s">
        <v>9</v>
      </c>
      <c r="I128" s="1" t="s">
        <v>10</v>
      </c>
      <c r="J128" s="1" t="s">
        <v>11</v>
      </c>
      <c r="K128" s="1" t="s">
        <v>924</v>
      </c>
      <c r="L128" s="1" t="s">
        <v>924</v>
      </c>
      <c r="M128" s="1">
        <v>83423</v>
      </c>
      <c r="N128" s="5">
        <v>0</v>
      </c>
    </row>
    <row r="129" spans="1:14">
      <c r="A129" s="10">
        <v>128</v>
      </c>
      <c r="B129" s="1" t="s">
        <v>623</v>
      </c>
      <c r="C129" s="1" t="s">
        <v>624</v>
      </c>
      <c r="D129" s="1" t="s">
        <v>625</v>
      </c>
      <c r="E129" s="1" t="s">
        <v>626</v>
      </c>
      <c r="F129" s="1" t="s">
        <v>627</v>
      </c>
      <c r="G129" s="2">
        <v>174980</v>
      </c>
      <c r="H129" s="1" t="s">
        <v>9</v>
      </c>
      <c r="I129" s="1" t="s">
        <v>10</v>
      </c>
      <c r="J129" s="1" t="s">
        <v>11</v>
      </c>
      <c r="K129" s="1" t="s">
        <v>843</v>
      </c>
      <c r="L129" s="1" t="s">
        <v>843</v>
      </c>
      <c r="M129" s="1">
        <v>174980</v>
      </c>
      <c r="N129" s="5">
        <v>0</v>
      </c>
    </row>
    <row r="130" spans="1:14">
      <c r="A130" s="10">
        <v>129</v>
      </c>
      <c r="B130" s="1" t="s">
        <v>628</v>
      </c>
      <c r="C130" s="1" t="s">
        <v>629</v>
      </c>
      <c r="D130" s="1" t="s">
        <v>630</v>
      </c>
      <c r="E130" s="1" t="s">
        <v>631</v>
      </c>
      <c r="F130" s="1" t="s">
        <v>632</v>
      </c>
      <c r="G130" s="2">
        <v>208697</v>
      </c>
      <c r="H130" s="1" t="s">
        <v>9</v>
      </c>
      <c r="I130" s="1" t="s">
        <v>10</v>
      </c>
      <c r="J130" s="1" t="s">
        <v>11</v>
      </c>
      <c r="K130" s="1" t="s">
        <v>844</v>
      </c>
      <c r="L130" s="1" t="s">
        <v>844</v>
      </c>
      <c r="M130" s="1">
        <v>208696</v>
      </c>
      <c r="N130" s="5">
        <v>-1</v>
      </c>
    </row>
    <row r="131" spans="1:14">
      <c r="A131" s="10">
        <v>130</v>
      </c>
      <c r="B131" s="1" t="s">
        <v>633</v>
      </c>
      <c r="C131" s="1" t="s">
        <v>634</v>
      </c>
      <c r="D131" s="1" t="s">
        <v>635</v>
      </c>
      <c r="E131" s="1" t="s">
        <v>636</v>
      </c>
      <c r="F131" s="1" t="s">
        <v>637</v>
      </c>
      <c r="G131" s="2">
        <v>117580</v>
      </c>
      <c r="H131" s="1" t="s">
        <v>9</v>
      </c>
      <c r="I131" s="1" t="s">
        <v>10</v>
      </c>
      <c r="J131" s="1" t="s">
        <v>11</v>
      </c>
      <c r="K131" s="1" t="s">
        <v>845</v>
      </c>
      <c r="L131" s="6" t="s">
        <v>933</v>
      </c>
      <c r="M131" s="1">
        <v>102883</v>
      </c>
      <c r="N131" s="5">
        <f>G131-M131</f>
        <v>14697</v>
      </c>
    </row>
    <row r="132" spans="1:14">
      <c r="A132" s="10">
        <v>131</v>
      </c>
      <c r="B132" s="1" t="s">
        <v>638</v>
      </c>
      <c r="C132" s="1" t="s">
        <v>548</v>
      </c>
      <c r="D132" s="1" t="s">
        <v>639</v>
      </c>
      <c r="E132" s="4" t="s">
        <v>891</v>
      </c>
      <c r="F132" s="1" t="s">
        <v>640</v>
      </c>
      <c r="G132" s="2">
        <v>47373</v>
      </c>
      <c r="H132" s="1" t="s">
        <v>9</v>
      </c>
      <c r="I132" s="1" t="s">
        <v>10</v>
      </c>
      <c r="J132" s="1" t="s">
        <v>11</v>
      </c>
      <c r="K132" s="1" t="s">
        <v>924</v>
      </c>
      <c r="L132" s="6" t="s">
        <v>934</v>
      </c>
      <c r="M132" s="1">
        <v>83423</v>
      </c>
      <c r="N132" s="5">
        <f>G132-M132</f>
        <v>-36050</v>
      </c>
    </row>
    <row r="133" spans="1:14">
      <c r="A133" s="10">
        <v>132</v>
      </c>
      <c r="B133" s="1" t="s">
        <v>651</v>
      </c>
      <c r="C133" s="1" t="s">
        <v>652</v>
      </c>
      <c r="D133" s="1" t="s">
        <v>653</v>
      </c>
      <c r="E133" s="1" t="s">
        <v>654</v>
      </c>
      <c r="F133" s="1" t="s">
        <v>655</v>
      </c>
      <c r="G133" s="2">
        <v>82583</v>
      </c>
      <c r="H133" s="1" t="s">
        <v>9</v>
      </c>
      <c r="I133" s="1" t="s">
        <v>10</v>
      </c>
      <c r="J133" s="1" t="s">
        <v>11</v>
      </c>
      <c r="K133" s="1" t="s">
        <v>846</v>
      </c>
      <c r="L133" s="1" t="s">
        <v>846</v>
      </c>
      <c r="M133" s="1">
        <v>82583</v>
      </c>
      <c r="N133" s="5">
        <v>0</v>
      </c>
    </row>
    <row r="134" spans="1:14">
      <c r="A134" s="10">
        <v>133</v>
      </c>
      <c r="B134" s="1" t="s">
        <v>656</v>
      </c>
      <c r="C134" s="1" t="s">
        <v>657</v>
      </c>
      <c r="D134" s="1" t="s">
        <v>658</v>
      </c>
      <c r="E134" s="1" t="s">
        <v>659</v>
      </c>
      <c r="F134" s="1" t="s">
        <v>660</v>
      </c>
      <c r="G134" s="2">
        <v>47688</v>
      </c>
      <c r="H134" s="1" t="s">
        <v>9</v>
      </c>
      <c r="I134" s="1" t="s">
        <v>10</v>
      </c>
      <c r="J134" s="1" t="s">
        <v>11</v>
      </c>
      <c r="K134" s="1" t="s">
        <v>847</v>
      </c>
      <c r="L134" s="1" t="s">
        <v>847</v>
      </c>
      <c r="M134" s="1">
        <v>47688</v>
      </c>
      <c r="N134" s="5">
        <v>0</v>
      </c>
    </row>
    <row r="135" spans="1:14">
      <c r="A135" s="10">
        <v>134</v>
      </c>
      <c r="B135" s="1" t="s">
        <v>661</v>
      </c>
      <c r="C135" s="1" t="s">
        <v>662</v>
      </c>
      <c r="D135" s="1" t="s">
        <v>663</v>
      </c>
      <c r="E135" s="1" t="s">
        <v>664</v>
      </c>
      <c r="F135" s="1" t="s">
        <v>665</v>
      </c>
      <c r="G135" s="2">
        <v>82583</v>
      </c>
      <c r="H135" s="1" t="s">
        <v>9</v>
      </c>
      <c r="I135" s="1" t="s">
        <v>10</v>
      </c>
      <c r="J135" s="1" t="s">
        <v>11</v>
      </c>
      <c r="K135" s="1" t="s">
        <v>848</v>
      </c>
      <c r="L135" s="1" t="s">
        <v>848</v>
      </c>
      <c r="M135" s="1">
        <v>82583</v>
      </c>
      <c r="N135" s="5">
        <v>0</v>
      </c>
    </row>
    <row r="136" spans="1:14">
      <c r="A136" s="10">
        <v>135</v>
      </c>
      <c r="B136" s="1" t="s">
        <v>666</v>
      </c>
      <c r="C136" s="1" t="s">
        <v>667</v>
      </c>
      <c r="D136" s="1" t="s">
        <v>668</v>
      </c>
      <c r="E136" s="4" t="s">
        <v>892</v>
      </c>
      <c r="F136" s="1" t="s">
        <v>669</v>
      </c>
      <c r="G136" s="2">
        <v>47373</v>
      </c>
      <c r="H136" s="1" t="s">
        <v>9</v>
      </c>
      <c r="I136" s="1" t="s">
        <v>10</v>
      </c>
      <c r="J136" s="1" t="s">
        <v>11</v>
      </c>
      <c r="K136" s="1" t="s">
        <v>925</v>
      </c>
      <c r="L136" s="1" t="s">
        <v>925</v>
      </c>
      <c r="M136" s="1">
        <v>47373</v>
      </c>
      <c r="N136" s="5">
        <v>0</v>
      </c>
    </row>
    <row r="137" spans="1:14">
      <c r="A137" s="10">
        <v>136</v>
      </c>
      <c r="B137" s="1" t="s">
        <v>670</v>
      </c>
      <c r="C137" s="1" t="s">
        <v>671</v>
      </c>
      <c r="D137" s="1" t="s">
        <v>672</v>
      </c>
      <c r="E137" s="1" t="s">
        <v>673</v>
      </c>
      <c r="F137" s="1" t="s">
        <v>674</v>
      </c>
      <c r="G137" s="2">
        <v>38500</v>
      </c>
      <c r="H137" s="1" t="s">
        <v>9</v>
      </c>
      <c r="I137" s="1" t="s">
        <v>10</v>
      </c>
      <c r="J137" s="1" t="s">
        <v>11</v>
      </c>
      <c r="K137" s="1" t="s">
        <v>849</v>
      </c>
      <c r="L137" s="1" t="s">
        <v>849</v>
      </c>
      <c r="M137" s="1">
        <v>38500</v>
      </c>
      <c r="N137" s="5">
        <v>0</v>
      </c>
    </row>
    <row r="138" spans="1:14">
      <c r="A138" s="10">
        <v>137</v>
      </c>
      <c r="B138" s="1" t="s">
        <v>675</v>
      </c>
      <c r="C138" s="1" t="s">
        <v>676</v>
      </c>
      <c r="D138" s="1" t="s">
        <v>677</v>
      </c>
      <c r="E138" s="1" t="s">
        <v>678</v>
      </c>
      <c r="F138" s="1" t="s">
        <v>679</v>
      </c>
      <c r="G138" s="2">
        <v>47373</v>
      </c>
      <c r="H138" s="1" t="s">
        <v>9</v>
      </c>
      <c r="I138" s="1" t="s">
        <v>10</v>
      </c>
      <c r="J138" s="1" t="s">
        <v>11</v>
      </c>
      <c r="K138" s="1" t="s">
        <v>850</v>
      </c>
      <c r="L138" s="1" t="s">
        <v>850</v>
      </c>
      <c r="M138" s="1">
        <v>47373</v>
      </c>
      <c r="N138" s="5">
        <v>0</v>
      </c>
    </row>
    <row r="139" spans="1:14">
      <c r="A139" s="10">
        <v>138</v>
      </c>
      <c r="B139" s="1" t="s">
        <v>680</v>
      </c>
      <c r="C139" s="1" t="s">
        <v>681</v>
      </c>
      <c r="D139" s="1" t="s">
        <v>682</v>
      </c>
      <c r="E139" s="1" t="s">
        <v>683</v>
      </c>
      <c r="F139" s="1" t="s">
        <v>684</v>
      </c>
      <c r="G139" s="2">
        <v>65188</v>
      </c>
      <c r="H139" s="1" t="s">
        <v>9</v>
      </c>
      <c r="I139" s="1" t="s">
        <v>10</v>
      </c>
      <c r="J139" s="1" t="s">
        <v>11</v>
      </c>
      <c r="K139" s="1" t="s">
        <v>851</v>
      </c>
      <c r="L139" s="1" t="s">
        <v>851</v>
      </c>
      <c r="M139" s="1">
        <v>65188</v>
      </c>
      <c r="N139" s="5">
        <v>0</v>
      </c>
    </row>
    <row r="140" spans="1:14">
      <c r="A140" s="10">
        <v>139</v>
      </c>
      <c r="B140" s="1" t="s">
        <v>685</v>
      </c>
      <c r="C140" s="1" t="s">
        <v>686</v>
      </c>
      <c r="D140" s="1" t="s">
        <v>687</v>
      </c>
      <c r="E140" s="1" t="s">
        <v>688</v>
      </c>
      <c r="F140" s="1" t="s">
        <v>689</v>
      </c>
      <c r="G140" s="2">
        <v>73500</v>
      </c>
      <c r="H140" s="1" t="s">
        <v>9</v>
      </c>
      <c r="I140" s="1" t="s">
        <v>10</v>
      </c>
      <c r="J140" s="1" t="s">
        <v>11</v>
      </c>
      <c r="K140" s="1" t="s">
        <v>852</v>
      </c>
      <c r="L140" s="1" t="s">
        <v>852</v>
      </c>
      <c r="M140" s="1">
        <v>73500</v>
      </c>
      <c r="N140" s="5">
        <v>0</v>
      </c>
    </row>
    <row r="141" spans="1:14">
      <c r="A141" s="10">
        <v>140</v>
      </c>
      <c r="B141" s="1" t="s">
        <v>690</v>
      </c>
      <c r="C141" s="1" t="s">
        <v>691</v>
      </c>
      <c r="D141" s="1" t="s">
        <v>692</v>
      </c>
      <c r="E141" s="1" t="s">
        <v>693</v>
      </c>
      <c r="F141" s="1" t="s">
        <v>694</v>
      </c>
      <c r="G141" s="2">
        <v>46550</v>
      </c>
      <c r="H141" s="1" t="s">
        <v>9</v>
      </c>
      <c r="I141" s="1" t="s">
        <v>10</v>
      </c>
      <c r="J141" s="1" t="s">
        <v>11</v>
      </c>
      <c r="K141" s="1" t="s">
        <v>853</v>
      </c>
      <c r="L141" s="1" t="s">
        <v>853</v>
      </c>
      <c r="M141" s="1">
        <v>46550</v>
      </c>
      <c r="N141" s="5">
        <v>0</v>
      </c>
    </row>
    <row r="142" spans="1:14">
      <c r="A142" s="10">
        <v>141</v>
      </c>
      <c r="B142" s="1" t="s">
        <v>695</v>
      </c>
      <c r="C142" s="1" t="s">
        <v>696</v>
      </c>
      <c r="D142" s="1" t="s">
        <v>697</v>
      </c>
      <c r="E142" s="4" t="s">
        <v>893</v>
      </c>
      <c r="F142" s="1" t="s">
        <v>698</v>
      </c>
      <c r="G142" s="2">
        <v>29750</v>
      </c>
      <c r="H142" s="1" t="s">
        <v>9</v>
      </c>
      <c r="I142" s="1" t="s">
        <v>10</v>
      </c>
      <c r="J142" s="1" t="s">
        <v>11</v>
      </c>
      <c r="K142" s="1" t="s">
        <v>926</v>
      </c>
      <c r="L142" s="1" t="s">
        <v>926</v>
      </c>
      <c r="M142" s="1">
        <v>29750</v>
      </c>
      <c r="N142" s="5">
        <v>0</v>
      </c>
    </row>
    <row r="143" spans="1:14">
      <c r="A143" s="10">
        <v>142</v>
      </c>
      <c r="B143" s="1" t="s">
        <v>699</v>
      </c>
      <c r="C143" s="1" t="s">
        <v>700</v>
      </c>
      <c r="D143" s="1" t="s">
        <v>701</v>
      </c>
      <c r="E143" s="1" t="s">
        <v>702</v>
      </c>
      <c r="F143" s="1" t="s">
        <v>703</v>
      </c>
      <c r="G143" s="2">
        <v>47373</v>
      </c>
      <c r="H143" s="1" t="s">
        <v>9</v>
      </c>
      <c r="I143" s="1" t="s">
        <v>10</v>
      </c>
      <c r="J143" s="1" t="s">
        <v>11</v>
      </c>
      <c r="K143" s="1" t="s">
        <v>854</v>
      </c>
      <c r="L143" s="1" t="s">
        <v>854</v>
      </c>
      <c r="M143" s="1">
        <v>47373</v>
      </c>
      <c r="N143" s="5">
        <v>0</v>
      </c>
    </row>
    <row r="144" spans="1:14">
      <c r="A144" s="10">
        <v>143</v>
      </c>
      <c r="B144" s="1" t="s">
        <v>704</v>
      </c>
      <c r="C144" s="1" t="s">
        <v>705</v>
      </c>
      <c r="D144" s="1" t="s">
        <v>706</v>
      </c>
      <c r="E144" s="1" t="s">
        <v>707</v>
      </c>
      <c r="F144" s="1" t="s">
        <v>708</v>
      </c>
      <c r="G144" s="2">
        <v>96000</v>
      </c>
      <c r="H144" s="1" t="s">
        <v>9</v>
      </c>
      <c r="I144" s="1" t="s">
        <v>10</v>
      </c>
      <c r="J144" s="1" t="s">
        <v>11</v>
      </c>
      <c r="K144" s="1" t="s">
        <v>855</v>
      </c>
      <c r="L144" s="1" t="s">
        <v>855</v>
      </c>
      <c r="M144" s="1">
        <v>96000</v>
      </c>
      <c r="N144" s="5">
        <v>0</v>
      </c>
    </row>
    <row r="145" spans="1:14">
      <c r="A145" s="10">
        <v>144</v>
      </c>
      <c r="B145" s="1" t="s">
        <v>709</v>
      </c>
      <c r="C145" s="1" t="s">
        <v>710</v>
      </c>
      <c r="D145" s="1" t="s">
        <v>711</v>
      </c>
      <c r="E145" s="1" t="s">
        <v>712</v>
      </c>
      <c r="F145" s="1" t="s">
        <v>713</v>
      </c>
      <c r="G145" s="2">
        <v>47373</v>
      </c>
      <c r="H145" s="1" t="s">
        <v>9</v>
      </c>
      <c r="I145" s="1" t="s">
        <v>10</v>
      </c>
      <c r="J145" s="1" t="s">
        <v>11</v>
      </c>
      <c r="K145" s="1" t="s">
        <v>856</v>
      </c>
      <c r="L145" s="1" t="s">
        <v>856</v>
      </c>
      <c r="M145" s="1">
        <v>47373</v>
      </c>
      <c r="N145" s="5">
        <v>0</v>
      </c>
    </row>
    <row r="146" spans="1:14">
      <c r="A146" s="10">
        <v>145</v>
      </c>
      <c r="B146" s="1" t="s">
        <v>714</v>
      </c>
      <c r="C146" s="1" t="s">
        <v>715</v>
      </c>
      <c r="D146" s="1" t="s">
        <v>716</v>
      </c>
      <c r="E146" s="1" t="s">
        <v>717</v>
      </c>
      <c r="F146" s="1" t="s">
        <v>718</v>
      </c>
      <c r="G146" s="2">
        <v>38500</v>
      </c>
      <c r="H146" s="1" t="s">
        <v>9</v>
      </c>
      <c r="I146" s="1" t="s">
        <v>10</v>
      </c>
      <c r="J146" s="1" t="s">
        <v>11</v>
      </c>
      <c r="K146" s="1" t="s">
        <v>857</v>
      </c>
      <c r="L146" s="1" t="s">
        <v>857</v>
      </c>
      <c r="M146" s="1">
        <v>38500</v>
      </c>
      <c r="N146" s="5">
        <v>0</v>
      </c>
    </row>
    <row r="147" spans="1:14">
      <c r="A147" s="10">
        <v>146</v>
      </c>
      <c r="B147" s="1" t="s">
        <v>719</v>
      </c>
      <c r="C147" s="1" t="s">
        <v>720</v>
      </c>
      <c r="D147" s="1" t="s">
        <v>721</v>
      </c>
      <c r="E147" s="1" t="s">
        <v>722</v>
      </c>
      <c r="F147" s="1" t="s">
        <v>723</v>
      </c>
      <c r="G147" s="2">
        <v>41125</v>
      </c>
      <c r="H147" s="1" t="s">
        <v>9</v>
      </c>
      <c r="I147" s="1" t="s">
        <v>10</v>
      </c>
      <c r="J147" s="1" t="s">
        <v>11</v>
      </c>
      <c r="K147" s="1" t="s">
        <v>858</v>
      </c>
      <c r="L147" s="1" t="s">
        <v>858</v>
      </c>
      <c r="M147" s="1">
        <v>41125</v>
      </c>
      <c r="N147" s="5">
        <v>0</v>
      </c>
    </row>
    <row r="148" spans="1:14">
      <c r="A148" s="10">
        <v>147</v>
      </c>
      <c r="B148" s="1" t="s">
        <v>724</v>
      </c>
      <c r="C148" s="1" t="s">
        <v>725</v>
      </c>
      <c r="D148" s="1" t="s">
        <v>726</v>
      </c>
      <c r="E148" s="1" t="s">
        <v>727</v>
      </c>
      <c r="F148" s="1" t="s">
        <v>728</v>
      </c>
      <c r="G148" s="2">
        <v>87500</v>
      </c>
      <c r="H148" s="1" t="s">
        <v>9</v>
      </c>
      <c r="I148" s="1" t="s">
        <v>10</v>
      </c>
      <c r="J148" s="1" t="s">
        <v>11</v>
      </c>
      <c r="K148" s="1" t="s">
        <v>859</v>
      </c>
      <c r="L148" s="1" t="s">
        <v>859</v>
      </c>
      <c r="M148" s="1">
        <v>87500</v>
      </c>
      <c r="N148" s="5">
        <v>0</v>
      </c>
    </row>
    <row r="149" spans="1:14">
      <c r="A149" s="10">
        <v>148</v>
      </c>
      <c r="B149" s="1" t="s">
        <v>729</v>
      </c>
      <c r="C149" s="1" t="s">
        <v>730</v>
      </c>
      <c r="D149" s="1" t="s">
        <v>731</v>
      </c>
      <c r="E149" s="1" t="s">
        <v>732</v>
      </c>
      <c r="F149" s="1" t="s">
        <v>733</v>
      </c>
      <c r="G149" s="2">
        <v>74375</v>
      </c>
      <c r="H149" s="1" t="s">
        <v>9</v>
      </c>
      <c r="I149" s="1" t="s">
        <v>10</v>
      </c>
      <c r="J149" s="1" t="s">
        <v>11</v>
      </c>
      <c r="K149" s="1" t="s">
        <v>860</v>
      </c>
      <c r="L149" s="1" t="s">
        <v>860</v>
      </c>
      <c r="M149" s="1">
        <v>74375</v>
      </c>
      <c r="N149" s="5">
        <v>0</v>
      </c>
    </row>
    <row r="150" spans="1:14">
      <c r="A150" s="10">
        <v>149</v>
      </c>
      <c r="B150" s="1" t="s">
        <v>734</v>
      </c>
      <c r="C150" s="1" t="s">
        <v>735</v>
      </c>
      <c r="D150" s="1" t="s">
        <v>736</v>
      </c>
      <c r="E150" s="1" t="s">
        <v>737</v>
      </c>
      <c r="F150" s="1" t="s">
        <v>738</v>
      </c>
      <c r="G150" s="2">
        <v>43575</v>
      </c>
      <c r="H150" s="1" t="s">
        <v>9</v>
      </c>
      <c r="I150" s="1" t="s">
        <v>10</v>
      </c>
      <c r="J150" s="1" t="s">
        <v>11</v>
      </c>
      <c r="K150" s="1" t="s">
        <v>861</v>
      </c>
      <c r="L150" s="1" t="s">
        <v>861</v>
      </c>
      <c r="M150" s="1">
        <v>43575</v>
      </c>
      <c r="N150" s="5">
        <v>0</v>
      </c>
    </row>
    <row r="151" spans="1:14">
      <c r="A151" s="10">
        <v>150</v>
      </c>
      <c r="B151" s="1" t="s">
        <v>739</v>
      </c>
      <c r="C151" s="1" t="s">
        <v>740</v>
      </c>
      <c r="D151" s="1" t="s">
        <v>741</v>
      </c>
      <c r="E151" s="1" t="s">
        <v>742</v>
      </c>
      <c r="F151" s="1" t="s">
        <v>743</v>
      </c>
      <c r="G151" s="2">
        <v>45325</v>
      </c>
      <c r="H151" s="1" t="s">
        <v>9</v>
      </c>
      <c r="I151" s="1" t="s">
        <v>10</v>
      </c>
      <c r="J151" s="1" t="s">
        <v>11</v>
      </c>
      <c r="K151" s="1" t="s">
        <v>862</v>
      </c>
      <c r="L151" s="1" t="s">
        <v>862</v>
      </c>
      <c r="M151" s="1">
        <v>45325</v>
      </c>
      <c r="N151" s="5">
        <v>0</v>
      </c>
    </row>
    <row r="152" spans="1:1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>
      <c r="A153" s="1"/>
      <c r="B153" s="1"/>
      <c r="C153" s="1"/>
      <c r="D153" s="1"/>
      <c r="E153" s="1"/>
      <c r="F153" s="1"/>
      <c r="G153" s="7">
        <f>SUM(G2:G152)</f>
        <v>9861273</v>
      </c>
      <c r="H153" s="1"/>
      <c r="I153" s="1"/>
      <c r="J153" s="1"/>
      <c r="K153" s="1"/>
      <c r="L153" s="1"/>
      <c r="M153" s="11">
        <v>9890310</v>
      </c>
      <c r="N153" s="11">
        <v>-29039</v>
      </c>
    </row>
    <row r="156" spans="1:14">
      <c r="M156" s="3" t="s">
        <v>1087</v>
      </c>
    </row>
    <row r="158" spans="1:14">
      <c r="K158" s="3"/>
      <c r="M158" s="3" t="s">
        <v>1087</v>
      </c>
    </row>
    <row r="159" spans="1:14">
      <c r="K159" s="3"/>
    </row>
  </sheetData>
  <conditionalFormatting sqref="K1:K1048576">
    <cfRule type="duplicateValues" dxfId="5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AC045-9877-43BF-BB74-73D5C4D25C01}">
  <dimension ref="A1:H153"/>
  <sheetViews>
    <sheetView topLeftCell="F6" workbookViewId="0">
      <selection activeCell="H151" sqref="H2:H151"/>
    </sheetView>
  </sheetViews>
  <sheetFormatPr defaultRowHeight="15"/>
  <cols>
    <col min="1" max="1" width="44.28515625" bestFit="1" customWidth="1"/>
    <col min="2" max="2" width="14.28515625" bestFit="1" customWidth="1"/>
    <col min="3" max="3" width="14" bestFit="1" customWidth="1"/>
    <col min="4" max="4" width="10.5703125" bestFit="1" customWidth="1"/>
    <col min="5" max="5" width="13.7109375" bestFit="1" customWidth="1"/>
    <col min="6" max="6" width="96.85546875" customWidth="1"/>
    <col min="7" max="7" width="87.7109375" customWidth="1"/>
    <col min="8" max="8" width="78.42578125" customWidth="1"/>
  </cols>
  <sheetData>
    <row r="1" spans="1:8">
      <c r="A1" s="15" t="s">
        <v>1235</v>
      </c>
      <c r="B1" t="s">
        <v>1236</v>
      </c>
      <c r="D1" s="16" t="s">
        <v>5</v>
      </c>
      <c r="E1" s="22" t="s">
        <v>1244</v>
      </c>
    </row>
    <row r="2" spans="1:8" ht="107.25" customHeight="1">
      <c r="A2" s="1" t="s">
        <v>895</v>
      </c>
      <c r="B2" t="s">
        <v>1237</v>
      </c>
      <c r="C2" s="1">
        <v>47373</v>
      </c>
      <c r="D2" s="18">
        <f>ROUND(C2,0)</f>
        <v>47373</v>
      </c>
      <c r="E2" s="22" t="s">
        <v>1244</v>
      </c>
      <c r="F2" s="19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20" t="str">
        <f>"('"&amp;E2&amp;"','"&amp;B2&amp;"','"&amp;D2&amp;"',(select max(to_number(i.premium_rcv_detail_code))+1
from ins_premium_det i),'"&amp;D2&amp;"','"&amp;D2&amp;"','02', '11000003','00','Request by Mr.Saqib Saleem 20-Feb-2025');"</f>
        <v>('20Feb250031','070000173661','47373',(select max(to_number(i.premium_rcv_detail_code))+1
from ins_premium_det i),'47373','47373','02', '11000003','00','Request by Mr.Saqib Saleem 20-Feb-2025');</v>
      </c>
      <c r="H2" s="21" t="str">
        <f>F2&amp;G2</f>
        <v>insert into ins_premium_det (premium_rcv_code,assorted_code, rec_amount,premium_rcv_detail_code,remaining_amt, payrec, mode_code,coinsurance_code,class_cd,it_remarks) values('20Feb250031','070000173661','47373',(select max(to_number(i.premium_rcv_detail_code))+1
from ins_premium_det i),'47373','47373','02', '11000003','00','Request by Mr.Saqib Saleem 20-Feb-2025');</v>
      </c>
    </row>
    <row r="3" spans="1:8" ht="105">
      <c r="A3" s="1" t="s">
        <v>896</v>
      </c>
      <c r="B3" s="17" t="str">
        <f>VLOOKUP(A3,policy!B:C,2,0)</f>
        <v>070000174830</v>
      </c>
      <c r="C3" s="1">
        <v>188919</v>
      </c>
      <c r="D3" s="18">
        <f t="shared" ref="D3:D66" si="1">ROUND(C3,0)</f>
        <v>188919</v>
      </c>
      <c r="E3" s="22" t="s">
        <v>1244</v>
      </c>
      <c r="F3" s="19" t="str">
        <f t="shared" si="0"/>
        <v>insert into ins_premium_det (premium_rcv_code,assorted_code, rec_amount,premium_rcv_detail_code,remaining_amt, payrec, mode_code,coinsurance_code,class_cd,it_remarks) values</v>
      </c>
      <c r="G3" s="20" t="str">
        <f t="shared" ref="G3:G66" si="2">"('"&amp;E3&amp;"','"&amp;B3&amp;"','"&amp;D3&amp;"',(select max(to_number(i.premium_rcv_detail_code))+1
from ins_premium_det i),'"&amp;D3&amp;"','"&amp;D3&amp;"','02', '11000003','00','Request by Mr.Saqib Saleem 20-Feb-2025');"</f>
        <v>('20Feb250031','070000174830','188919',(select max(to_number(i.premium_rcv_detail_code))+1
from ins_premium_det i),'188919','188919','02', '11000003','00','Request by Mr.Saqib Saleem 20-Feb-2025');</v>
      </c>
      <c r="H3" s="21" t="str">
        <f t="shared" ref="H3:H66" si="3">F3&amp;G3</f>
        <v>insert into ins_premium_det (premium_rcv_code,assorted_code, rec_amount,premium_rcv_detail_code,remaining_amt, payrec, mode_code,coinsurance_code,class_cd,it_remarks) values('20Feb250031','070000174830','188919',(select max(to_number(i.premium_rcv_detail_code))+1
from ins_premium_det i),'188919','188919','02', '11000003','00','Request by Mr.Saqib Saleem 20-Feb-2025');</v>
      </c>
    </row>
    <row r="4" spans="1:8" ht="105">
      <c r="A4" s="1" t="s">
        <v>747</v>
      </c>
      <c r="B4" t="s">
        <v>1238</v>
      </c>
      <c r="C4" s="1">
        <v>53288</v>
      </c>
      <c r="D4" s="18">
        <f t="shared" si="1"/>
        <v>53288</v>
      </c>
      <c r="E4" s="22" t="s">
        <v>1244</v>
      </c>
      <c r="F4" s="19" t="str">
        <f t="shared" si="0"/>
        <v>insert into ins_premium_det (premium_rcv_code,assorted_code, rec_amount,premium_rcv_detail_code,remaining_amt, payrec, mode_code,coinsurance_code,class_cd,it_remarks) values</v>
      </c>
      <c r="G4" s="20" t="str">
        <f t="shared" si="2"/>
        <v>('20Feb250031','070000175366','53288',(select max(to_number(i.premium_rcv_detail_code))+1
from ins_premium_det i),'53288','53288','02', '11000003','00','Request by Mr.Saqib Saleem 20-Feb-2025');</v>
      </c>
      <c r="H4" s="21" t="str">
        <f t="shared" si="3"/>
        <v>insert into ins_premium_det (premium_rcv_code,assorted_code, rec_amount,premium_rcv_detail_code,remaining_amt, payrec, mode_code,coinsurance_code,class_cd,it_remarks) values('20Feb250031','070000175366','53288',(select max(to_number(i.premium_rcv_detail_code))+1
from ins_premium_det i),'53288','53288','02', '11000003','00','Request by Mr.Saqib Saleem 20-Feb-2025');</v>
      </c>
    </row>
    <row r="5" spans="1:8" ht="105">
      <c r="A5" s="1" t="s">
        <v>897</v>
      </c>
      <c r="B5" s="17" t="str">
        <f>VLOOKUP(A5,policy!B:C,2,0)</f>
        <v>070000173685</v>
      </c>
      <c r="C5" s="1">
        <v>42000</v>
      </c>
      <c r="D5" s="18">
        <f t="shared" si="1"/>
        <v>42000</v>
      </c>
      <c r="E5" s="22" t="s">
        <v>1244</v>
      </c>
      <c r="F5" s="19" t="str">
        <f t="shared" si="0"/>
        <v>insert into ins_premium_det (premium_rcv_code,assorted_code, rec_amount,premium_rcv_detail_code,remaining_amt, payrec, mode_code,coinsurance_code,class_cd,it_remarks) values</v>
      </c>
      <c r="G5" s="20" t="str">
        <f t="shared" si="2"/>
        <v>('20Feb250031','070000173685','42000',(select max(to_number(i.premium_rcv_detail_code))+1
from ins_premium_det i),'42000','42000','02', '11000003','00','Request by Mr.Saqib Saleem 20-Feb-2025');</v>
      </c>
      <c r="H5" s="21" t="str">
        <f t="shared" si="3"/>
        <v>insert into ins_premium_det (premium_rcv_code,assorted_code, rec_amount,premium_rcv_detail_code,remaining_amt, payrec, mode_code,coinsurance_code,class_cd,it_remarks) values('20Feb250031','070000173685','42000',(select max(to_number(i.premium_rcv_detail_code))+1
from ins_premium_det i),'42000','42000','02', '11000003','00','Request by Mr.Saqib Saleem 20-Feb-2025');</v>
      </c>
    </row>
    <row r="6" spans="1:8" ht="105">
      <c r="A6" s="1" t="s">
        <v>748</v>
      </c>
      <c r="B6" s="17" t="str">
        <f>VLOOKUP(A6,policy!B:C,2,0)</f>
        <v>070000173665</v>
      </c>
      <c r="C6" s="1">
        <v>82583</v>
      </c>
      <c r="D6" s="18">
        <f t="shared" si="1"/>
        <v>82583</v>
      </c>
      <c r="E6" s="22" t="s">
        <v>1244</v>
      </c>
      <c r="F6" s="19" t="str">
        <f t="shared" si="0"/>
        <v>insert into ins_premium_det (premium_rcv_code,assorted_code, rec_amount,premium_rcv_detail_code,remaining_amt, payrec, mode_code,coinsurance_code,class_cd,it_remarks) values</v>
      </c>
      <c r="G6" s="20" t="str">
        <f t="shared" si="2"/>
        <v>('20Feb250031','070000173665','82583',(select max(to_number(i.premium_rcv_detail_code))+1
from ins_premium_det i),'82583','82583','02', '11000003','00','Request by Mr.Saqib Saleem 20-Feb-2025');</v>
      </c>
      <c r="H6" s="21" t="str">
        <f t="shared" si="3"/>
        <v>insert into ins_premium_det (premium_rcv_code,assorted_code, rec_amount,premium_rcv_detail_code,remaining_amt, payrec, mode_code,coinsurance_code,class_cd,it_remarks) values('20Feb250031','070000173665','82583',(select max(to_number(i.premium_rcv_detail_code))+1
from ins_premium_det i),'82583','82583','02', '11000003','00','Request by Mr.Saqib Saleem 20-Feb-2025');</v>
      </c>
    </row>
    <row r="7" spans="1:8" ht="105">
      <c r="A7" s="1" t="s">
        <v>749</v>
      </c>
      <c r="B7" t="s">
        <v>1239</v>
      </c>
      <c r="C7" s="1">
        <v>82583</v>
      </c>
      <c r="D7" s="18">
        <f t="shared" si="1"/>
        <v>82583</v>
      </c>
      <c r="E7" s="22" t="s">
        <v>1244</v>
      </c>
      <c r="F7" s="19" t="str">
        <f t="shared" si="0"/>
        <v>insert into ins_premium_det (premium_rcv_code,assorted_code, rec_amount,premium_rcv_detail_code,remaining_amt, payrec, mode_code,coinsurance_code,class_cd,it_remarks) values</v>
      </c>
      <c r="G7" s="20" t="str">
        <f t="shared" si="2"/>
        <v>('20Feb250031','070000173818','82583',(select max(to_number(i.premium_rcv_detail_code))+1
from ins_premium_det i),'82583','82583','02', '11000003','00','Request by Mr.Saqib Saleem 20-Feb-2025');</v>
      </c>
      <c r="H7" s="21" t="str">
        <f t="shared" si="3"/>
        <v>insert into ins_premium_det (premium_rcv_code,assorted_code, rec_amount,premium_rcv_detail_code,remaining_amt, payrec, mode_code,coinsurance_code,class_cd,it_remarks) values('20Feb250031','070000173818','82583',(select max(to_number(i.premium_rcv_detail_code))+1
from ins_premium_det i),'82583','82583','02', '11000003','00','Request by Mr.Saqib Saleem 20-Feb-2025');</v>
      </c>
    </row>
    <row r="8" spans="1:8" ht="105">
      <c r="A8" s="1" t="s">
        <v>750</v>
      </c>
      <c r="B8" s="17" t="str">
        <f>VLOOKUP(A8,policy!B:C,2,0)</f>
        <v>070000173829</v>
      </c>
      <c r="C8" s="1">
        <v>83300</v>
      </c>
      <c r="D8" s="18">
        <f t="shared" si="1"/>
        <v>83300</v>
      </c>
      <c r="E8" s="22" t="s">
        <v>1244</v>
      </c>
      <c r="F8" s="19" t="str">
        <f t="shared" si="0"/>
        <v>insert into ins_premium_det (premium_rcv_code,assorted_code, rec_amount,premium_rcv_detail_code,remaining_amt, payrec, mode_code,coinsurance_code,class_cd,it_remarks) values</v>
      </c>
      <c r="G8" s="20" t="str">
        <f t="shared" si="2"/>
        <v>('20Feb250031','070000173829','83300',(select max(to_number(i.premium_rcv_detail_code))+1
from ins_premium_det i),'83300','83300','02', '11000003','00','Request by Mr.Saqib Saleem 20-Feb-2025');</v>
      </c>
      <c r="H8" s="21" t="str">
        <f t="shared" si="3"/>
        <v>insert into ins_premium_det (premium_rcv_code,assorted_code, rec_amount,premium_rcv_detail_code,remaining_amt, payrec, mode_code,coinsurance_code,class_cd,it_remarks) values('20Feb250031','070000173829','83300',(select max(to_number(i.premium_rcv_detail_code))+1
from ins_premium_det i),'83300','83300','02', '11000003','00','Request by Mr.Saqib Saleem 20-Feb-2025');</v>
      </c>
    </row>
    <row r="9" spans="1:8" ht="105">
      <c r="A9" s="1" t="s">
        <v>751</v>
      </c>
      <c r="B9" s="17" t="str">
        <f>VLOOKUP(A9,policy!B:C,2,0)</f>
        <v>070000173834</v>
      </c>
      <c r="C9" s="1">
        <v>28875</v>
      </c>
      <c r="D9" s="18">
        <f t="shared" si="1"/>
        <v>28875</v>
      </c>
      <c r="E9" s="22" t="s">
        <v>1244</v>
      </c>
      <c r="F9" s="19" t="str">
        <f t="shared" si="0"/>
        <v>insert into ins_premium_det (premium_rcv_code,assorted_code, rec_amount,premium_rcv_detail_code,remaining_amt, payrec, mode_code,coinsurance_code,class_cd,it_remarks) values</v>
      </c>
      <c r="G9" s="20" t="str">
        <f t="shared" si="2"/>
        <v>('20Feb250031','070000173834','28875',(select max(to_number(i.premium_rcv_detail_code))+1
from ins_premium_det i),'28875','28875','02', '11000003','00','Request by Mr.Saqib Saleem 20-Feb-2025');</v>
      </c>
      <c r="H9" s="21" t="str">
        <f t="shared" si="3"/>
        <v>insert into ins_premium_det (premium_rcv_code,assorted_code, rec_amount,premium_rcv_detail_code,remaining_amt, payrec, mode_code,coinsurance_code,class_cd,it_remarks) values('20Feb250031','070000173834','28875',(select max(to_number(i.premium_rcv_detail_code))+1
from ins_premium_det i),'28875','28875','02', '11000003','00','Request by Mr.Saqib Saleem 20-Feb-2025');</v>
      </c>
    </row>
    <row r="10" spans="1:8" ht="105">
      <c r="A10" s="1" t="s">
        <v>752</v>
      </c>
      <c r="B10" s="17" t="str">
        <f>VLOOKUP(A10,policy!B:C,2,0)</f>
        <v>070000173844</v>
      </c>
      <c r="C10" s="1">
        <v>82583</v>
      </c>
      <c r="D10" s="18">
        <f t="shared" si="1"/>
        <v>82583</v>
      </c>
      <c r="E10" s="22" t="s">
        <v>1244</v>
      </c>
      <c r="F10" s="19" t="str">
        <f t="shared" si="0"/>
        <v>insert into ins_premium_det (premium_rcv_code,assorted_code, rec_amount,premium_rcv_detail_code,remaining_amt, payrec, mode_code,coinsurance_code,class_cd,it_remarks) values</v>
      </c>
      <c r="G10" s="20" t="str">
        <f t="shared" si="2"/>
        <v>('20Feb250031','070000173844','82583',(select max(to_number(i.premium_rcv_detail_code))+1
from ins_premium_det i),'82583','82583','02', '11000003','00','Request by Mr.Saqib Saleem 20-Feb-2025');</v>
      </c>
      <c r="H10" s="21" t="str">
        <f t="shared" si="3"/>
        <v>insert into ins_premium_det (premium_rcv_code,assorted_code, rec_amount,premium_rcv_detail_code,remaining_amt, payrec, mode_code,coinsurance_code,class_cd,it_remarks) values('20Feb250031','070000173844','82583',(select max(to_number(i.premium_rcv_detail_code))+1
from ins_premium_det i),'82583','82583','02', '11000003','00','Request by Mr.Saqib Saleem 20-Feb-2025');</v>
      </c>
    </row>
    <row r="11" spans="1:8" ht="105">
      <c r="A11" s="1" t="s">
        <v>753</v>
      </c>
      <c r="B11" s="17" t="str">
        <f>VLOOKUP(A11,policy!B:C,2,0)</f>
        <v>070000173811</v>
      </c>
      <c r="C11" s="1">
        <v>173250</v>
      </c>
      <c r="D11" s="18">
        <f t="shared" si="1"/>
        <v>173250</v>
      </c>
      <c r="E11" s="22" t="s">
        <v>1244</v>
      </c>
      <c r="F11" s="19" t="str">
        <f t="shared" si="0"/>
        <v>insert into ins_premium_det (premium_rcv_code,assorted_code, rec_amount,premium_rcv_detail_code,remaining_amt, payrec, mode_code,coinsurance_code,class_cd,it_remarks) values</v>
      </c>
      <c r="G11" s="20" t="str">
        <f t="shared" si="2"/>
        <v>('20Feb250031','070000173811','173250',(select max(to_number(i.premium_rcv_detail_code))+1
from ins_premium_det i),'173250','173250','02', '11000003','00','Request by Mr.Saqib Saleem 20-Feb-2025');</v>
      </c>
      <c r="H11" s="21" t="str">
        <f t="shared" si="3"/>
        <v>insert into ins_premium_det (premium_rcv_code,assorted_code, rec_amount,premium_rcv_detail_code,remaining_amt, payrec, mode_code,coinsurance_code,class_cd,it_remarks) values('20Feb250031','070000173811','173250',(select max(to_number(i.premium_rcv_detail_code))+1
from ins_premium_det i),'173250','173250','02', '11000003','00','Request by Mr.Saqib Saleem 20-Feb-2025');</v>
      </c>
    </row>
    <row r="12" spans="1:8" ht="105">
      <c r="A12" s="1" t="s">
        <v>754</v>
      </c>
      <c r="B12" s="17" t="str">
        <f>VLOOKUP(A12,policy!B:C,2,0)</f>
        <v>070000173898</v>
      </c>
      <c r="C12" s="1">
        <v>43400</v>
      </c>
      <c r="D12" s="18">
        <f t="shared" si="1"/>
        <v>43400</v>
      </c>
      <c r="E12" s="22" t="s">
        <v>1244</v>
      </c>
      <c r="F12" s="19" t="str">
        <f t="shared" si="0"/>
        <v>insert into ins_premium_det (premium_rcv_code,assorted_code, rec_amount,premium_rcv_detail_code,remaining_amt, payrec, mode_code,coinsurance_code,class_cd,it_remarks) values</v>
      </c>
      <c r="G12" s="20" t="str">
        <f t="shared" si="2"/>
        <v>('20Feb250031','070000173898','43400',(select max(to_number(i.premium_rcv_detail_code))+1
from ins_premium_det i),'43400','43400','02', '11000003','00','Request by Mr.Saqib Saleem 20-Feb-2025');</v>
      </c>
      <c r="H12" s="21" t="str">
        <f t="shared" si="3"/>
        <v>insert into ins_premium_det (premium_rcv_code,assorted_code, rec_amount,premium_rcv_detail_code,remaining_amt, payrec, mode_code,coinsurance_code,class_cd,it_remarks) values('20Feb250031','070000173898','43400',(select max(to_number(i.premium_rcv_detail_code))+1
from ins_premium_det i),'43400','43400','02', '11000003','00','Request by Mr.Saqib Saleem 20-Feb-2025');</v>
      </c>
    </row>
    <row r="13" spans="1:8" ht="105">
      <c r="A13" s="1" t="s">
        <v>755</v>
      </c>
      <c r="B13" s="17" t="str">
        <f>VLOOKUP(A13,policy!B:C,2,0)</f>
        <v>070000173926</v>
      </c>
      <c r="C13" s="1">
        <v>47373</v>
      </c>
      <c r="D13" s="18">
        <f t="shared" si="1"/>
        <v>47373</v>
      </c>
      <c r="E13" s="22" t="s">
        <v>1244</v>
      </c>
      <c r="F13" s="19" t="str">
        <f t="shared" si="0"/>
        <v>insert into ins_premium_det (premium_rcv_code,assorted_code, rec_amount,premium_rcv_detail_code,remaining_amt, payrec, mode_code,coinsurance_code,class_cd,it_remarks) values</v>
      </c>
      <c r="G13" s="20" t="str">
        <f t="shared" si="2"/>
        <v>('20Feb250031','070000173926','47373',(select max(to_number(i.premium_rcv_detail_code))+1
from ins_premium_det i),'47373','47373','02', '11000003','00','Request by Mr.Saqib Saleem 20-Feb-2025');</v>
      </c>
      <c r="H13" s="21" t="str">
        <f t="shared" si="3"/>
        <v>insert into ins_premium_det (premium_rcv_code,assorted_code, rec_amount,premium_rcv_detail_code,remaining_amt, payrec, mode_code,coinsurance_code,class_cd,it_remarks) values('20Feb250031','070000173926','47373',(select max(to_number(i.premium_rcv_detail_code))+1
from ins_premium_det i),'47373','47373','02', '11000003','00','Request by Mr.Saqib Saleem 20-Feb-2025');</v>
      </c>
    </row>
    <row r="14" spans="1:8" ht="105">
      <c r="A14" s="1" t="s">
        <v>756</v>
      </c>
      <c r="B14" s="17" t="str">
        <f>VLOOKUP(A14,policy!B:C,2,0)</f>
        <v>070000173989</v>
      </c>
      <c r="C14" s="1">
        <v>41125</v>
      </c>
      <c r="D14" s="18">
        <f t="shared" si="1"/>
        <v>41125</v>
      </c>
      <c r="E14" s="22" t="s">
        <v>1244</v>
      </c>
      <c r="F14" s="19" t="str">
        <f t="shared" si="0"/>
        <v>insert into ins_premium_det (premium_rcv_code,assorted_code, rec_amount,premium_rcv_detail_code,remaining_amt, payrec, mode_code,coinsurance_code,class_cd,it_remarks) values</v>
      </c>
      <c r="G14" s="20" t="str">
        <f t="shared" si="2"/>
        <v>('20Feb250031','070000173989','41125',(select max(to_number(i.premium_rcv_detail_code))+1
from ins_premium_det i),'41125','41125','02', '11000003','00','Request by Mr.Saqib Saleem 20-Feb-2025');</v>
      </c>
      <c r="H14" s="21" t="str">
        <f t="shared" si="3"/>
        <v>insert into ins_premium_det (premium_rcv_code,assorted_code, rec_amount,premium_rcv_detail_code,remaining_amt, payrec, mode_code,coinsurance_code,class_cd,it_remarks) values('20Feb250031','070000173989','41125',(select max(to_number(i.premium_rcv_detail_code))+1
from ins_premium_det i),'41125','41125','02', '11000003','00','Request by Mr.Saqib Saleem 20-Feb-2025');</v>
      </c>
    </row>
    <row r="15" spans="1:8" ht="105">
      <c r="A15" s="1" t="s">
        <v>757</v>
      </c>
      <c r="B15" s="17" t="str">
        <f>VLOOKUP(A15,policy!B:C,2,0)</f>
        <v>070000173931</v>
      </c>
      <c r="C15" s="1">
        <v>35000</v>
      </c>
      <c r="D15" s="18">
        <f t="shared" si="1"/>
        <v>35000</v>
      </c>
      <c r="E15" s="22" t="s">
        <v>1244</v>
      </c>
      <c r="F15" s="19" t="str">
        <f t="shared" si="0"/>
        <v>insert into ins_premium_det (premium_rcv_code,assorted_code, rec_amount,premium_rcv_detail_code,remaining_amt, payrec, mode_code,coinsurance_code,class_cd,it_remarks) values</v>
      </c>
      <c r="G15" s="20" t="str">
        <f t="shared" si="2"/>
        <v>('20Feb250031','070000173931','35000',(select max(to_number(i.premium_rcv_detail_code))+1
from ins_premium_det i),'35000','35000','02', '11000003','00','Request by Mr.Saqib Saleem 20-Feb-2025');</v>
      </c>
      <c r="H15" s="21" t="str">
        <f t="shared" si="3"/>
        <v>insert into ins_premium_det (premium_rcv_code,assorted_code, rec_amount,premium_rcv_detail_code,remaining_amt, payrec, mode_code,coinsurance_code,class_cd,it_remarks) values('20Feb250031','070000173931','35000',(select max(to_number(i.premium_rcv_detail_code))+1
from ins_premium_det i),'35000','35000','02', '11000003','00','Request by Mr.Saqib Saleem 20-Feb-2025');</v>
      </c>
    </row>
    <row r="16" spans="1:8" ht="105">
      <c r="A16" s="1" t="s">
        <v>758</v>
      </c>
      <c r="B16" s="17" t="str">
        <f>VLOOKUP(A16,policy!B:C,2,0)</f>
        <v>070000173917</v>
      </c>
      <c r="C16" s="1">
        <v>43575</v>
      </c>
      <c r="D16" s="18">
        <f t="shared" si="1"/>
        <v>43575</v>
      </c>
      <c r="E16" s="22" t="s">
        <v>1244</v>
      </c>
      <c r="F16" s="19" t="str">
        <f t="shared" si="0"/>
        <v>insert into ins_premium_det (premium_rcv_code,assorted_code, rec_amount,premium_rcv_detail_code,remaining_amt, payrec, mode_code,coinsurance_code,class_cd,it_remarks) values</v>
      </c>
      <c r="G16" s="20" t="str">
        <f t="shared" si="2"/>
        <v>('20Feb250031','070000173917','43575',(select max(to_number(i.premium_rcv_detail_code))+1
from ins_premium_det i),'43575','43575','02', '11000003','00','Request by Mr.Saqib Saleem 20-Feb-2025');</v>
      </c>
      <c r="H16" s="21" t="str">
        <f t="shared" si="3"/>
        <v>insert into ins_premium_det (premium_rcv_code,assorted_code, rec_amount,premium_rcv_detail_code,remaining_amt, payrec, mode_code,coinsurance_code,class_cd,it_remarks) values('20Feb250031','070000173917','43575',(select max(to_number(i.premium_rcv_detail_code))+1
from ins_premium_det i),'43575','43575','02', '11000003','00','Request by Mr.Saqib Saleem 20-Feb-2025');</v>
      </c>
    </row>
    <row r="17" spans="1:8" ht="105">
      <c r="A17" s="1" t="s">
        <v>759</v>
      </c>
      <c r="B17" s="17" t="str">
        <f>VLOOKUP(A17,policy!B:C,2,0)</f>
        <v>070000174037</v>
      </c>
      <c r="C17" s="1">
        <v>40775</v>
      </c>
      <c r="D17" s="18">
        <f t="shared" si="1"/>
        <v>40775</v>
      </c>
      <c r="E17" s="22" t="s">
        <v>1244</v>
      </c>
      <c r="F17" s="19" t="str">
        <f t="shared" si="0"/>
        <v>insert into ins_premium_det (premium_rcv_code,assorted_code, rec_amount,premium_rcv_detail_code,remaining_amt, payrec, mode_code,coinsurance_code,class_cd,it_remarks) values</v>
      </c>
      <c r="G17" s="20" t="str">
        <f t="shared" si="2"/>
        <v>('20Feb250031','070000174037','40775',(select max(to_number(i.premium_rcv_detail_code))+1
from ins_premium_det i),'40775','40775','02', '11000003','00','Request by Mr.Saqib Saleem 20-Feb-2025');</v>
      </c>
      <c r="H17" s="21" t="str">
        <f t="shared" si="3"/>
        <v>insert into ins_premium_det (premium_rcv_code,assorted_code, rec_amount,premium_rcv_detail_code,remaining_amt, payrec, mode_code,coinsurance_code,class_cd,it_remarks) values('20Feb250031','070000174037','40775',(select max(to_number(i.premium_rcv_detail_code))+1
from ins_premium_det i),'40775','40775','02', '11000003','00','Request by Mr.Saqib Saleem 20-Feb-2025');</v>
      </c>
    </row>
    <row r="18" spans="1:8" ht="105">
      <c r="A18" s="1" t="s">
        <v>760</v>
      </c>
      <c r="B18" s="17" t="str">
        <f>VLOOKUP(A18,policy!B:C,2,0)</f>
        <v>070000174064</v>
      </c>
      <c r="C18" s="1">
        <v>53288</v>
      </c>
      <c r="D18" s="18">
        <f t="shared" si="1"/>
        <v>53288</v>
      </c>
      <c r="E18" s="22" t="s">
        <v>1244</v>
      </c>
      <c r="F18" s="19" t="str">
        <f t="shared" si="0"/>
        <v>insert into ins_premium_det (premium_rcv_code,assorted_code, rec_amount,premium_rcv_detail_code,remaining_amt, payrec, mode_code,coinsurance_code,class_cd,it_remarks) values</v>
      </c>
      <c r="G18" s="20" t="str">
        <f t="shared" si="2"/>
        <v>('20Feb250031','070000174064','53288',(select max(to_number(i.premium_rcv_detail_code))+1
from ins_premium_det i),'53288','53288','02', '11000003','00','Request by Mr.Saqib Saleem 20-Feb-2025');</v>
      </c>
      <c r="H18" s="21" t="str">
        <f t="shared" si="3"/>
        <v>insert into ins_premium_det (premium_rcv_code,assorted_code, rec_amount,premium_rcv_detail_code,remaining_amt, payrec, mode_code,coinsurance_code,class_cd,it_remarks) values('20Feb250031','070000174064','53288',(select max(to_number(i.premium_rcv_detail_code))+1
from ins_premium_det i),'53288','53288','02', '11000003','00','Request by Mr.Saqib Saleem 20-Feb-2025');</v>
      </c>
    </row>
    <row r="19" spans="1:8" ht="105">
      <c r="A19" s="1" t="s">
        <v>761</v>
      </c>
      <c r="B19" s="17" t="str">
        <f>VLOOKUP(A19,policy!B:C,2,0)</f>
        <v>070000174006</v>
      </c>
      <c r="C19" s="1">
        <v>47373</v>
      </c>
      <c r="D19" s="18">
        <f t="shared" si="1"/>
        <v>47373</v>
      </c>
      <c r="E19" s="22" t="s">
        <v>1244</v>
      </c>
      <c r="F19" s="19" t="str">
        <f t="shared" si="0"/>
        <v>insert into ins_premium_det (premium_rcv_code,assorted_code, rec_amount,premium_rcv_detail_code,remaining_amt, payrec, mode_code,coinsurance_code,class_cd,it_remarks) values</v>
      </c>
      <c r="G19" s="20" t="str">
        <f t="shared" si="2"/>
        <v>('20Feb250031','070000174006','47373',(select max(to_number(i.premium_rcv_detail_code))+1
from ins_premium_det i),'47373','47373','02', '11000003','00','Request by Mr.Saqib Saleem 20-Feb-2025');</v>
      </c>
      <c r="H19" s="21" t="str">
        <f t="shared" si="3"/>
        <v>insert into ins_premium_det (premium_rcv_code,assorted_code, rec_amount,premium_rcv_detail_code,remaining_amt, payrec, mode_code,coinsurance_code,class_cd,it_remarks) values('20Feb250031','070000174006','47373',(select max(to_number(i.premium_rcv_detail_code))+1
from ins_premium_det i),'47373','47373','02', '11000003','00','Request by Mr.Saqib Saleem 20-Feb-2025');</v>
      </c>
    </row>
    <row r="20" spans="1:8" ht="105">
      <c r="A20" s="1" t="s">
        <v>762</v>
      </c>
      <c r="B20" s="17" t="str">
        <f>VLOOKUP(A20,policy!B:C,2,0)</f>
        <v>070000174055</v>
      </c>
      <c r="C20" s="1">
        <v>48983</v>
      </c>
      <c r="D20" s="18">
        <f t="shared" si="1"/>
        <v>48983</v>
      </c>
      <c r="E20" s="22" t="s">
        <v>1244</v>
      </c>
      <c r="F20" s="19" t="str">
        <f t="shared" si="0"/>
        <v>insert into ins_premium_det (premium_rcv_code,assorted_code, rec_amount,premium_rcv_detail_code,remaining_amt, payrec, mode_code,coinsurance_code,class_cd,it_remarks) values</v>
      </c>
      <c r="G20" s="20" t="str">
        <f t="shared" si="2"/>
        <v>('20Feb250031','070000174055','48983',(select max(to_number(i.premium_rcv_detail_code))+1
from ins_premium_det i),'48983','48983','02', '11000003','00','Request by Mr.Saqib Saleem 20-Feb-2025');</v>
      </c>
      <c r="H20" s="21" t="str">
        <f t="shared" si="3"/>
        <v>insert into ins_premium_det (premium_rcv_code,assorted_code, rec_amount,premium_rcv_detail_code,remaining_amt, payrec, mode_code,coinsurance_code,class_cd,it_remarks) values('20Feb250031','070000174055','48983',(select max(to_number(i.premium_rcv_detail_code))+1
from ins_premium_det i),'48983','48983','02', '11000003','00','Request by Mr.Saqib Saleem 20-Feb-2025');</v>
      </c>
    </row>
    <row r="21" spans="1:8" ht="105">
      <c r="A21" s="1" t="s">
        <v>763</v>
      </c>
      <c r="B21" s="17" t="str">
        <f>VLOOKUP(A21,policy!B:C,2,0)</f>
        <v>070000174009</v>
      </c>
      <c r="C21" s="1">
        <v>82583</v>
      </c>
      <c r="D21" s="18">
        <f t="shared" si="1"/>
        <v>82583</v>
      </c>
      <c r="E21" s="22" t="s">
        <v>1244</v>
      </c>
      <c r="F21" s="19" t="str">
        <f t="shared" si="0"/>
        <v>insert into ins_premium_det (premium_rcv_code,assorted_code, rec_amount,premium_rcv_detail_code,remaining_amt, payrec, mode_code,coinsurance_code,class_cd,it_remarks) values</v>
      </c>
      <c r="G21" s="20" t="str">
        <f t="shared" si="2"/>
        <v>('20Feb250031','070000174009','82583',(select max(to_number(i.premium_rcv_detail_code))+1
from ins_premium_det i),'82583','82583','02', '11000003','00','Request by Mr.Saqib Saleem 20-Feb-2025');</v>
      </c>
      <c r="H21" s="21" t="str">
        <f t="shared" si="3"/>
        <v>insert into ins_premium_det (premium_rcv_code,assorted_code, rec_amount,premium_rcv_detail_code,remaining_amt, payrec, mode_code,coinsurance_code,class_cd,it_remarks) values('20Feb250031','070000174009','82583',(select max(to_number(i.premium_rcv_detail_code))+1
from ins_premium_det i),'82583','82583','02', '11000003','00','Request by Mr.Saqib Saleem 20-Feb-2025');</v>
      </c>
    </row>
    <row r="22" spans="1:8" ht="105">
      <c r="A22" s="1" t="s">
        <v>764</v>
      </c>
      <c r="B22" s="17" t="str">
        <f>VLOOKUP(A22,policy!B:C,2,0)</f>
        <v>070000174105</v>
      </c>
      <c r="C22" s="1">
        <v>102813</v>
      </c>
      <c r="D22" s="18">
        <f t="shared" si="1"/>
        <v>102813</v>
      </c>
      <c r="E22" s="22" t="s">
        <v>1244</v>
      </c>
      <c r="F22" s="19" t="str">
        <f t="shared" si="0"/>
        <v>insert into ins_premium_det (premium_rcv_code,assorted_code, rec_amount,premium_rcv_detail_code,remaining_amt, payrec, mode_code,coinsurance_code,class_cd,it_remarks) values</v>
      </c>
      <c r="G22" s="20" t="str">
        <f t="shared" si="2"/>
        <v>('20Feb250031','070000174105','102813',(select max(to_number(i.premium_rcv_detail_code))+1
from ins_premium_det i),'102813','102813','02', '11000003','00','Request by Mr.Saqib Saleem 20-Feb-2025');</v>
      </c>
      <c r="H22" s="21" t="str">
        <f t="shared" si="3"/>
        <v>insert into ins_premium_det (premium_rcv_code,assorted_code, rec_amount,premium_rcv_detail_code,remaining_amt, payrec, mode_code,coinsurance_code,class_cd,it_remarks) values('20Feb250031','070000174105','102813',(select max(to_number(i.premium_rcv_detail_code))+1
from ins_premium_det i),'102813','102813','02', '11000003','00','Request by Mr.Saqib Saleem 20-Feb-2025');</v>
      </c>
    </row>
    <row r="23" spans="1:8" ht="105">
      <c r="A23" s="1" t="s">
        <v>765</v>
      </c>
      <c r="B23" s="17" t="str">
        <f>VLOOKUP(A23,policy!B:C,2,0)</f>
        <v>070000174114</v>
      </c>
      <c r="C23" s="1">
        <v>92750</v>
      </c>
      <c r="D23" s="18">
        <f t="shared" si="1"/>
        <v>92750</v>
      </c>
      <c r="E23" s="22" t="s">
        <v>1244</v>
      </c>
      <c r="F23" s="19" t="str">
        <f t="shared" si="0"/>
        <v>insert into ins_premium_det (premium_rcv_code,assorted_code, rec_amount,premium_rcv_detail_code,remaining_amt, payrec, mode_code,coinsurance_code,class_cd,it_remarks) values</v>
      </c>
      <c r="G23" s="20" t="str">
        <f t="shared" si="2"/>
        <v>('20Feb250031','070000174114','92750',(select max(to_number(i.premium_rcv_detail_code))+1
from ins_premium_det i),'92750','92750','02', '11000003','00','Request by Mr.Saqib Saleem 20-Feb-2025');</v>
      </c>
      <c r="H23" s="21" t="str">
        <f t="shared" si="3"/>
        <v>insert into ins_premium_det (premium_rcv_code,assorted_code, rec_amount,premium_rcv_detail_code,remaining_amt, payrec, mode_code,coinsurance_code,class_cd,it_remarks) values('20Feb250031','070000174114','92750',(select max(to_number(i.premium_rcv_detail_code))+1
from ins_premium_det i),'92750','92750','02', '11000003','00','Request by Mr.Saqib Saleem 20-Feb-2025');</v>
      </c>
    </row>
    <row r="24" spans="1:8" ht="105">
      <c r="A24" s="1" t="s">
        <v>766</v>
      </c>
      <c r="B24" s="17" t="str">
        <f>VLOOKUP(A24,policy!B:C,2,0)</f>
        <v>070000174106</v>
      </c>
      <c r="C24" s="1">
        <v>53288</v>
      </c>
      <c r="D24" s="18">
        <f t="shared" si="1"/>
        <v>53288</v>
      </c>
      <c r="E24" s="22" t="s">
        <v>1244</v>
      </c>
      <c r="F24" s="19" t="str">
        <f t="shared" si="0"/>
        <v>insert into ins_premium_det (premium_rcv_code,assorted_code, rec_amount,premium_rcv_detail_code,remaining_amt, payrec, mode_code,coinsurance_code,class_cd,it_remarks) values</v>
      </c>
      <c r="G24" s="20" t="str">
        <f t="shared" si="2"/>
        <v>('20Feb250031','070000174106','53288',(select max(to_number(i.premium_rcv_detail_code))+1
from ins_premium_det i),'53288','53288','02', '11000003','00','Request by Mr.Saqib Saleem 20-Feb-2025');</v>
      </c>
      <c r="H24" s="21" t="str">
        <f t="shared" si="3"/>
        <v>insert into ins_premium_det (premium_rcv_code,assorted_code, rec_amount,premium_rcv_detail_code,remaining_amt, payrec, mode_code,coinsurance_code,class_cd,it_remarks) values('20Feb250031','070000174106','53288',(select max(to_number(i.premium_rcv_detail_code))+1
from ins_premium_det i),'53288','53288','02', '11000003','00','Request by Mr.Saqib Saleem 20-Feb-2025');</v>
      </c>
    </row>
    <row r="25" spans="1:8" ht="105">
      <c r="A25" s="1" t="s">
        <v>767</v>
      </c>
      <c r="B25" s="17" t="str">
        <f>VLOOKUP(A25,policy!B:C,2,0)</f>
        <v>070000174099</v>
      </c>
      <c r="C25" s="1">
        <v>43750</v>
      </c>
      <c r="D25" s="18">
        <f t="shared" si="1"/>
        <v>43750</v>
      </c>
      <c r="E25" s="22" t="s">
        <v>1244</v>
      </c>
      <c r="F25" s="19" t="str">
        <f t="shared" si="0"/>
        <v>insert into ins_premium_det (premium_rcv_code,assorted_code, rec_amount,premium_rcv_detail_code,remaining_amt, payrec, mode_code,coinsurance_code,class_cd,it_remarks) values</v>
      </c>
      <c r="G25" s="20" t="str">
        <f t="shared" si="2"/>
        <v>('20Feb250031','070000174099','43750',(select max(to_number(i.premium_rcv_detail_code))+1
from ins_premium_det i),'43750','43750','02', '11000003','00','Request by Mr.Saqib Saleem 20-Feb-2025');</v>
      </c>
      <c r="H25" s="21" t="str">
        <f t="shared" si="3"/>
        <v>insert into ins_premium_det (premium_rcv_code,assorted_code, rec_amount,premium_rcv_detail_code,remaining_amt, payrec, mode_code,coinsurance_code,class_cd,it_remarks) values('20Feb250031','070000174099','43750',(select max(to_number(i.premium_rcv_detail_code))+1
from ins_premium_det i),'43750','43750','02', '11000003','00','Request by Mr.Saqib Saleem 20-Feb-2025');</v>
      </c>
    </row>
    <row r="26" spans="1:8" ht="105">
      <c r="A26" s="1" t="s">
        <v>768</v>
      </c>
      <c r="B26" s="17" t="str">
        <f>VLOOKUP(A26,policy!B:C,2,0)</f>
        <v>070000174141</v>
      </c>
      <c r="C26" s="1">
        <v>49000</v>
      </c>
      <c r="D26" s="18">
        <f t="shared" si="1"/>
        <v>49000</v>
      </c>
      <c r="E26" s="22" t="s">
        <v>1244</v>
      </c>
      <c r="F26" s="19" t="str">
        <f t="shared" si="0"/>
        <v>insert into ins_premium_det (premium_rcv_code,assorted_code, rec_amount,premium_rcv_detail_code,remaining_amt, payrec, mode_code,coinsurance_code,class_cd,it_remarks) values</v>
      </c>
      <c r="G26" s="20" t="str">
        <f t="shared" si="2"/>
        <v>('20Feb250031','070000174141','49000',(select max(to_number(i.premium_rcv_detail_code))+1
from ins_premium_det i),'49000','49000','02', '11000003','00','Request by Mr.Saqib Saleem 20-Feb-2025');</v>
      </c>
      <c r="H26" s="21" t="str">
        <f t="shared" si="3"/>
        <v>insert into ins_premium_det (premium_rcv_code,assorted_code, rec_amount,premium_rcv_detail_code,remaining_amt, payrec, mode_code,coinsurance_code,class_cd,it_remarks) values('20Feb250031','070000174141','49000',(select max(to_number(i.premium_rcv_detail_code))+1
from ins_premium_det i),'49000','49000','02', '11000003','00','Request by Mr.Saqib Saleem 20-Feb-2025');</v>
      </c>
    </row>
    <row r="27" spans="1:8" ht="105">
      <c r="A27" s="1" t="s">
        <v>769</v>
      </c>
      <c r="B27" s="17" t="str">
        <f>VLOOKUP(A27,policy!B:C,2,0)</f>
        <v>070000174157</v>
      </c>
      <c r="C27" s="1">
        <v>51100</v>
      </c>
      <c r="D27" s="18">
        <f t="shared" si="1"/>
        <v>51100</v>
      </c>
      <c r="E27" s="22" t="s">
        <v>1244</v>
      </c>
      <c r="F27" s="19" t="str">
        <f t="shared" si="0"/>
        <v>insert into ins_premium_det (premium_rcv_code,assorted_code, rec_amount,premium_rcv_detail_code,remaining_amt, payrec, mode_code,coinsurance_code,class_cd,it_remarks) values</v>
      </c>
      <c r="G27" s="20" t="str">
        <f t="shared" si="2"/>
        <v>('20Feb250031','070000174157','51100',(select max(to_number(i.premium_rcv_detail_code))+1
from ins_premium_det i),'51100','51100','02', '11000003','00','Request by Mr.Saqib Saleem 20-Feb-2025');</v>
      </c>
      <c r="H27" s="21" t="str">
        <f t="shared" si="3"/>
        <v>insert into ins_premium_det (premium_rcv_code,assorted_code, rec_amount,premium_rcv_detail_code,remaining_amt, payrec, mode_code,coinsurance_code,class_cd,it_remarks) values('20Feb250031','070000174157','51100',(select max(to_number(i.premium_rcv_detail_code))+1
from ins_premium_det i),'51100','51100','02', '11000003','00','Request by Mr.Saqib Saleem 20-Feb-2025');</v>
      </c>
    </row>
    <row r="28" spans="1:8" ht="105">
      <c r="A28" s="1" t="s">
        <v>770</v>
      </c>
      <c r="B28" s="17" t="str">
        <f>VLOOKUP(A28,policy!B:C,2,0)</f>
        <v>070000174195</v>
      </c>
      <c r="C28" s="1">
        <v>42438</v>
      </c>
      <c r="D28" s="18">
        <f t="shared" si="1"/>
        <v>42438</v>
      </c>
      <c r="E28" s="22" t="s">
        <v>1244</v>
      </c>
      <c r="F28" s="19" t="str">
        <f t="shared" si="0"/>
        <v>insert into ins_premium_det (premium_rcv_code,assorted_code, rec_amount,premium_rcv_detail_code,remaining_amt, payrec, mode_code,coinsurance_code,class_cd,it_remarks) values</v>
      </c>
      <c r="G28" s="20" t="str">
        <f t="shared" si="2"/>
        <v>('20Feb250031','070000174195','42438',(select max(to_number(i.premium_rcv_detail_code))+1
from ins_premium_det i),'42438','42438','02', '11000003','00','Request by Mr.Saqib Saleem 20-Feb-2025');</v>
      </c>
      <c r="H28" s="21" t="str">
        <f t="shared" si="3"/>
        <v>insert into ins_premium_det (premium_rcv_code,assorted_code, rec_amount,premium_rcv_detail_code,remaining_amt, payrec, mode_code,coinsurance_code,class_cd,it_remarks) values('20Feb250031','070000174195','42438',(select max(to_number(i.premium_rcv_detail_code))+1
from ins_premium_det i),'42438','42438','02', '11000003','00','Request by Mr.Saqib Saleem 20-Feb-2025');</v>
      </c>
    </row>
    <row r="29" spans="1:8" ht="105">
      <c r="A29" s="1" t="s">
        <v>771</v>
      </c>
      <c r="B29" s="17" t="str">
        <f>VLOOKUP(A29,policy!B:C,2,0)</f>
        <v>070000174194</v>
      </c>
      <c r="C29" s="1">
        <v>58625</v>
      </c>
      <c r="D29" s="18">
        <f t="shared" si="1"/>
        <v>58625</v>
      </c>
      <c r="E29" s="22" t="s">
        <v>1244</v>
      </c>
      <c r="F29" s="19" t="str">
        <f t="shared" si="0"/>
        <v>insert into ins_premium_det (premium_rcv_code,assorted_code, rec_amount,premium_rcv_detail_code,remaining_amt, payrec, mode_code,coinsurance_code,class_cd,it_remarks) values</v>
      </c>
      <c r="G29" s="20" t="str">
        <f t="shared" si="2"/>
        <v>('20Feb250031','070000174194','58625',(select max(to_number(i.premium_rcv_detail_code))+1
from ins_premium_det i),'58625','58625','02', '11000003','00','Request by Mr.Saqib Saleem 20-Feb-2025');</v>
      </c>
      <c r="H29" s="21" t="str">
        <f t="shared" si="3"/>
        <v>insert into ins_premium_det (premium_rcv_code,assorted_code, rec_amount,premium_rcv_detail_code,remaining_amt, payrec, mode_code,coinsurance_code,class_cd,it_remarks) values('20Feb250031','070000174194','58625',(select max(to_number(i.premium_rcv_detail_code))+1
from ins_premium_det i),'58625','58625','02', '11000003','00','Request by Mr.Saqib Saleem 20-Feb-2025');</v>
      </c>
    </row>
    <row r="30" spans="1:8" ht="105">
      <c r="A30" s="1" t="s">
        <v>898</v>
      </c>
      <c r="B30" s="17" t="str">
        <f>VLOOKUP(A30,policy!B:C,2,0)</f>
        <v>070000174432</v>
      </c>
      <c r="C30" s="1">
        <v>42000</v>
      </c>
      <c r="D30" s="18">
        <f t="shared" si="1"/>
        <v>42000</v>
      </c>
      <c r="E30" s="22" t="s">
        <v>1244</v>
      </c>
      <c r="F30" s="19" t="str">
        <f t="shared" si="0"/>
        <v>insert into ins_premium_det (premium_rcv_code,assorted_code, rec_amount,premium_rcv_detail_code,remaining_amt, payrec, mode_code,coinsurance_code,class_cd,it_remarks) values</v>
      </c>
      <c r="G30" s="20" t="str">
        <f t="shared" si="2"/>
        <v>('20Feb250031','070000174432','42000',(select max(to_number(i.premium_rcv_detail_code))+1
from ins_premium_det i),'42000','42000','02', '11000003','00','Request by Mr.Saqib Saleem 20-Feb-2025');</v>
      </c>
      <c r="H30" s="21" t="str">
        <f t="shared" si="3"/>
        <v>insert into ins_premium_det (premium_rcv_code,assorted_code, rec_amount,premium_rcv_detail_code,remaining_amt, payrec, mode_code,coinsurance_code,class_cd,it_remarks) values('20Feb250031','070000174432','42000',(select max(to_number(i.premium_rcv_detail_code))+1
from ins_premium_det i),'42000','42000','02', '11000003','00','Request by Mr.Saqib Saleem 20-Feb-2025');</v>
      </c>
    </row>
    <row r="31" spans="1:8" ht="105">
      <c r="A31" s="1" t="s">
        <v>899</v>
      </c>
      <c r="B31" s="17" t="str">
        <f>VLOOKUP(A31,policy!B:C,2,0)</f>
        <v>070000174197</v>
      </c>
      <c r="C31" s="1">
        <v>154000</v>
      </c>
      <c r="D31" s="18">
        <f t="shared" si="1"/>
        <v>154000</v>
      </c>
      <c r="E31" s="22" t="s">
        <v>1244</v>
      </c>
      <c r="F31" s="19" t="str">
        <f t="shared" si="0"/>
        <v>insert into ins_premium_det (premium_rcv_code,assorted_code, rec_amount,premium_rcv_detail_code,remaining_amt, payrec, mode_code,coinsurance_code,class_cd,it_remarks) values</v>
      </c>
      <c r="G31" s="20" t="str">
        <f t="shared" si="2"/>
        <v>('20Feb250031','070000174197','154000',(select max(to_number(i.premium_rcv_detail_code))+1
from ins_premium_det i),'154000','154000','02', '11000003','00','Request by Mr.Saqib Saleem 20-Feb-2025');</v>
      </c>
      <c r="H31" s="21" t="str">
        <f t="shared" si="3"/>
        <v>insert into ins_premium_det (premium_rcv_code,assorted_code, rec_amount,premium_rcv_detail_code,remaining_amt, payrec, mode_code,coinsurance_code,class_cd,it_remarks) values('20Feb250031','070000174197','154000',(select max(to_number(i.premium_rcv_detail_code))+1
from ins_premium_det i),'154000','154000','02', '11000003','00','Request by Mr.Saqib Saleem 20-Feb-2025');</v>
      </c>
    </row>
    <row r="32" spans="1:8" ht="105">
      <c r="A32" s="1" t="s">
        <v>772</v>
      </c>
      <c r="B32" s="17" t="str">
        <f>VLOOKUP(A32,policy!B:C,2,0)</f>
        <v>070000174416</v>
      </c>
      <c r="C32" s="1">
        <v>53288</v>
      </c>
      <c r="D32" s="18">
        <f t="shared" si="1"/>
        <v>53288</v>
      </c>
      <c r="E32" s="22" t="s">
        <v>1244</v>
      </c>
      <c r="F32" s="19" t="str">
        <f t="shared" si="0"/>
        <v>insert into ins_premium_det (premium_rcv_code,assorted_code, rec_amount,premium_rcv_detail_code,remaining_amt, payrec, mode_code,coinsurance_code,class_cd,it_remarks) values</v>
      </c>
      <c r="G32" s="20" t="str">
        <f t="shared" si="2"/>
        <v>('20Feb250031','070000174416','53288',(select max(to_number(i.premium_rcv_detail_code))+1
from ins_premium_det i),'53288','53288','02', '11000003','00','Request by Mr.Saqib Saleem 20-Feb-2025');</v>
      </c>
      <c r="H32" s="21" t="str">
        <f t="shared" si="3"/>
        <v>insert into ins_premium_det (premium_rcv_code,assorted_code, rec_amount,premium_rcv_detail_code,remaining_amt, payrec, mode_code,coinsurance_code,class_cd,it_remarks) values('20Feb250031','070000174416','53288',(select max(to_number(i.premium_rcv_detail_code))+1
from ins_premium_det i),'53288','53288','02', '11000003','00','Request by Mr.Saqib Saleem 20-Feb-2025');</v>
      </c>
    </row>
    <row r="33" spans="1:8" ht="105">
      <c r="A33" s="1" t="s">
        <v>773</v>
      </c>
      <c r="B33" s="17" t="str">
        <f>VLOOKUP(A33,policy!B:C,2,0)</f>
        <v>070000174454</v>
      </c>
      <c r="C33" s="1">
        <v>83125</v>
      </c>
      <c r="D33" s="18">
        <f t="shared" si="1"/>
        <v>83125</v>
      </c>
      <c r="E33" s="22" t="s">
        <v>1244</v>
      </c>
      <c r="F33" s="19" t="str">
        <f t="shared" si="0"/>
        <v>insert into ins_premium_det (premium_rcv_code,assorted_code, rec_amount,premium_rcv_detail_code,remaining_amt, payrec, mode_code,coinsurance_code,class_cd,it_remarks) values</v>
      </c>
      <c r="G33" s="20" t="str">
        <f t="shared" si="2"/>
        <v>('20Feb250031','070000174454','83125',(select max(to_number(i.premium_rcv_detail_code))+1
from ins_premium_det i),'83125','83125','02', '11000003','00','Request by Mr.Saqib Saleem 20-Feb-2025');</v>
      </c>
      <c r="H33" s="21" t="str">
        <f t="shared" si="3"/>
        <v>insert into ins_premium_det (premium_rcv_code,assorted_code, rec_amount,premium_rcv_detail_code,remaining_amt, payrec, mode_code,coinsurance_code,class_cd,it_remarks) values('20Feb250031','070000174454','83125',(select max(to_number(i.premium_rcv_detail_code))+1
from ins_premium_det i),'83125','83125','02', '11000003','00','Request by Mr.Saqib Saleem 20-Feb-2025');</v>
      </c>
    </row>
    <row r="34" spans="1:8" ht="105">
      <c r="A34" s="1" t="s">
        <v>774</v>
      </c>
      <c r="B34" s="17" t="str">
        <f>VLOOKUP(A34,policy!B:C,2,0)</f>
        <v>070000174430</v>
      </c>
      <c r="C34" s="1">
        <v>153108</v>
      </c>
      <c r="D34" s="18">
        <f t="shared" si="1"/>
        <v>153108</v>
      </c>
      <c r="E34" s="22" t="s">
        <v>1244</v>
      </c>
      <c r="F34" s="19" t="str">
        <f t="shared" si="0"/>
        <v>insert into ins_premium_det (premium_rcv_code,assorted_code, rec_amount,premium_rcv_detail_code,remaining_amt, payrec, mode_code,coinsurance_code,class_cd,it_remarks) values</v>
      </c>
      <c r="G34" s="20" t="str">
        <f t="shared" si="2"/>
        <v>('20Feb250031','070000174430','153108',(select max(to_number(i.premium_rcv_detail_code))+1
from ins_premium_det i),'153108','153108','02', '11000003','00','Request by Mr.Saqib Saleem 20-Feb-2025');</v>
      </c>
      <c r="H34" s="21" t="str">
        <f t="shared" si="3"/>
        <v>insert into ins_premium_det (premium_rcv_code,assorted_code, rec_amount,premium_rcv_detail_code,remaining_amt, payrec, mode_code,coinsurance_code,class_cd,it_remarks) values('20Feb250031','070000174430','153108',(select max(to_number(i.premium_rcv_detail_code))+1
from ins_premium_det i),'153108','153108','02', '11000003','00','Request by Mr.Saqib Saleem 20-Feb-2025');</v>
      </c>
    </row>
    <row r="35" spans="1:8" ht="105">
      <c r="A35" s="1" t="s">
        <v>775</v>
      </c>
      <c r="B35" s="17" t="str">
        <f>VLOOKUP(A35,policy!B:C,2,0)</f>
        <v>070000174452</v>
      </c>
      <c r="C35" s="1">
        <v>82583</v>
      </c>
      <c r="D35" s="18">
        <f t="shared" si="1"/>
        <v>82583</v>
      </c>
      <c r="E35" s="22" t="s">
        <v>1244</v>
      </c>
      <c r="F35" s="19" t="str">
        <f t="shared" si="0"/>
        <v>insert into ins_premium_det (premium_rcv_code,assorted_code, rec_amount,premium_rcv_detail_code,remaining_amt, payrec, mode_code,coinsurance_code,class_cd,it_remarks) values</v>
      </c>
      <c r="G35" s="20" t="str">
        <f t="shared" si="2"/>
        <v>('20Feb250031','070000174452','82583',(select max(to_number(i.premium_rcv_detail_code))+1
from ins_premium_det i),'82583','82583','02', '11000003','00','Request by Mr.Saqib Saleem 20-Feb-2025');</v>
      </c>
      <c r="H35" s="21" t="str">
        <f t="shared" si="3"/>
        <v>insert into ins_premium_det (premium_rcv_code,assorted_code, rec_amount,premium_rcv_detail_code,remaining_amt, payrec, mode_code,coinsurance_code,class_cd,it_remarks) values('20Feb250031','070000174452','82583',(select max(to_number(i.premium_rcv_detail_code))+1
from ins_premium_det i),'82583','82583','02', '11000003','00','Request by Mr.Saqib Saleem 20-Feb-2025');</v>
      </c>
    </row>
    <row r="36" spans="1:8" ht="105">
      <c r="A36" s="1" t="s">
        <v>776</v>
      </c>
      <c r="B36" s="17" t="str">
        <f>VLOOKUP(A36,policy!B:C,2,0)</f>
        <v>070000174821</v>
      </c>
      <c r="C36" s="1">
        <v>77000</v>
      </c>
      <c r="D36" s="18">
        <f t="shared" si="1"/>
        <v>77000</v>
      </c>
      <c r="E36" s="22" t="s">
        <v>1244</v>
      </c>
      <c r="F36" s="19" t="str">
        <f t="shared" si="0"/>
        <v>insert into ins_premium_det (premium_rcv_code,assorted_code, rec_amount,premium_rcv_detail_code,remaining_amt, payrec, mode_code,coinsurance_code,class_cd,it_remarks) values</v>
      </c>
      <c r="G36" s="20" t="str">
        <f t="shared" si="2"/>
        <v>('20Feb250031','070000174821','77000',(select max(to_number(i.premium_rcv_detail_code))+1
from ins_premium_det i),'77000','77000','02', '11000003','00','Request by Mr.Saqib Saleem 20-Feb-2025');</v>
      </c>
      <c r="H36" s="21" t="str">
        <f t="shared" si="3"/>
        <v>insert into ins_premium_det (premium_rcv_code,assorted_code, rec_amount,premium_rcv_detail_code,remaining_amt, payrec, mode_code,coinsurance_code,class_cd,it_remarks) values('20Feb250031','070000174821','77000',(select max(to_number(i.premium_rcv_detail_code))+1
from ins_premium_det i),'77000','77000','02', '11000003','00','Request by Mr.Saqib Saleem 20-Feb-2025');</v>
      </c>
    </row>
    <row r="37" spans="1:8" ht="105">
      <c r="A37" s="1" t="s">
        <v>777</v>
      </c>
      <c r="B37" s="17" t="str">
        <f>VLOOKUP(A37,policy!B:C,2,0)</f>
        <v>070000174846</v>
      </c>
      <c r="C37" s="1">
        <v>47373</v>
      </c>
      <c r="D37" s="18">
        <f t="shared" si="1"/>
        <v>47373</v>
      </c>
      <c r="E37" s="22" t="s">
        <v>1244</v>
      </c>
      <c r="F37" s="19" t="str">
        <f t="shared" si="0"/>
        <v>insert into ins_premium_det (premium_rcv_code,assorted_code, rec_amount,premium_rcv_detail_code,remaining_amt, payrec, mode_code,coinsurance_code,class_cd,it_remarks) values</v>
      </c>
      <c r="G37" s="20" t="str">
        <f t="shared" si="2"/>
        <v>('20Feb250031','070000174846','47373',(select max(to_number(i.premium_rcv_detail_code))+1
from ins_premium_det i),'47373','47373','02', '11000003','00','Request by Mr.Saqib Saleem 20-Feb-2025');</v>
      </c>
      <c r="H37" s="21" t="str">
        <f t="shared" si="3"/>
        <v>insert into ins_premium_det (premium_rcv_code,assorted_code, rec_amount,premium_rcv_detail_code,remaining_amt, payrec, mode_code,coinsurance_code,class_cd,it_remarks) values('20Feb250031','070000174846','47373',(select max(to_number(i.premium_rcv_detail_code))+1
from ins_premium_det i),'47373','47373','02', '11000003','00','Request by Mr.Saqib Saleem 20-Feb-2025');</v>
      </c>
    </row>
    <row r="38" spans="1:8" ht="105">
      <c r="A38" s="1" t="s">
        <v>900</v>
      </c>
      <c r="B38" s="17" t="str">
        <f>VLOOKUP(A38,policy!B:C,2,0)</f>
        <v>070000174447</v>
      </c>
      <c r="C38" s="1">
        <v>47250</v>
      </c>
      <c r="D38" s="18">
        <f t="shared" si="1"/>
        <v>47250</v>
      </c>
      <c r="E38" s="22" t="s">
        <v>1244</v>
      </c>
      <c r="F38" s="19" t="str">
        <f t="shared" si="0"/>
        <v>insert into ins_premium_det (premium_rcv_code,assorted_code, rec_amount,premium_rcv_detail_code,remaining_amt, payrec, mode_code,coinsurance_code,class_cd,it_remarks) values</v>
      </c>
      <c r="G38" s="20" t="str">
        <f t="shared" si="2"/>
        <v>('20Feb250031','070000174447','47250',(select max(to_number(i.premium_rcv_detail_code))+1
from ins_premium_det i),'47250','47250','02', '11000003','00','Request by Mr.Saqib Saleem 20-Feb-2025');</v>
      </c>
      <c r="H38" s="21" t="str">
        <f t="shared" si="3"/>
        <v>insert into ins_premium_det (premium_rcv_code,assorted_code, rec_amount,premium_rcv_detail_code,remaining_amt, payrec, mode_code,coinsurance_code,class_cd,it_remarks) values('20Feb250031','070000174447','47250',(select max(to_number(i.premium_rcv_detail_code))+1
from ins_premium_det i),'47250','47250','02', '11000003','00','Request by Mr.Saqib Saleem 20-Feb-2025');</v>
      </c>
    </row>
    <row r="39" spans="1:8" ht="105">
      <c r="A39" s="1" t="s">
        <v>778</v>
      </c>
      <c r="B39" s="17" t="str">
        <f>VLOOKUP(A39,policy!B:C,2,0)</f>
        <v>070000174983</v>
      </c>
      <c r="C39" s="1">
        <v>42000</v>
      </c>
      <c r="D39" s="18">
        <f t="shared" si="1"/>
        <v>42000</v>
      </c>
      <c r="E39" s="22" t="s">
        <v>1244</v>
      </c>
      <c r="F39" s="19" t="str">
        <f t="shared" si="0"/>
        <v>insert into ins_premium_det (premium_rcv_code,assorted_code, rec_amount,premium_rcv_detail_code,remaining_amt, payrec, mode_code,coinsurance_code,class_cd,it_remarks) values</v>
      </c>
      <c r="G39" s="20" t="str">
        <f t="shared" si="2"/>
        <v>('20Feb250031','070000174983','42000',(select max(to_number(i.premium_rcv_detail_code))+1
from ins_premium_det i),'42000','42000','02', '11000003','00','Request by Mr.Saqib Saleem 20-Feb-2025');</v>
      </c>
      <c r="H39" s="21" t="str">
        <f t="shared" si="3"/>
        <v>insert into ins_premium_det (premium_rcv_code,assorted_code, rec_amount,premium_rcv_detail_code,remaining_amt, payrec, mode_code,coinsurance_code,class_cd,it_remarks) values('20Feb250031','070000174983','42000',(select max(to_number(i.premium_rcv_detail_code))+1
from ins_premium_det i),'42000','42000','02', '11000003','00','Request by Mr.Saqib Saleem 20-Feb-2025');</v>
      </c>
    </row>
    <row r="40" spans="1:8" ht="105">
      <c r="A40" s="1" t="s">
        <v>779</v>
      </c>
      <c r="B40" s="17" t="str">
        <f>VLOOKUP(A40,policy!B:C,2,0)</f>
        <v>070000174953</v>
      </c>
      <c r="C40" s="1">
        <v>38500</v>
      </c>
      <c r="D40" s="18">
        <f t="shared" si="1"/>
        <v>38500</v>
      </c>
      <c r="E40" s="22" t="s">
        <v>1244</v>
      </c>
      <c r="F40" s="19" t="str">
        <f t="shared" si="0"/>
        <v>insert into ins_premium_det (premium_rcv_code,assorted_code, rec_amount,premium_rcv_detail_code,remaining_amt, payrec, mode_code,coinsurance_code,class_cd,it_remarks) values</v>
      </c>
      <c r="G40" s="20" t="str">
        <f t="shared" si="2"/>
        <v>('20Feb250031','070000174953','38500',(select max(to_number(i.premium_rcv_detail_code))+1
from ins_premium_det i),'38500','38500','02', '11000003','00','Request by Mr.Saqib Saleem 20-Feb-2025');</v>
      </c>
      <c r="H40" s="21" t="str">
        <f t="shared" si="3"/>
        <v>insert into ins_premium_det (premium_rcv_code,assorted_code, rec_amount,premium_rcv_detail_code,remaining_amt, payrec, mode_code,coinsurance_code,class_cd,it_remarks) values('20Feb250031','070000174953','38500',(select max(to_number(i.premium_rcv_detail_code))+1
from ins_premium_det i),'38500','38500','02', '11000003','00','Request by Mr.Saqib Saleem 20-Feb-2025');</v>
      </c>
    </row>
    <row r="41" spans="1:8" ht="105">
      <c r="A41" s="1" t="s">
        <v>780</v>
      </c>
      <c r="B41" s="17" t="str">
        <f>VLOOKUP(A41,policy!B:C,2,0)</f>
        <v>070000175139</v>
      </c>
      <c r="C41" s="1">
        <v>36750</v>
      </c>
      <c r="D41" s="18">
        <f t="shared" si="1"/>
        <v>36750</v>
      </c>
      <c r="E41" s="22" t="s">
        <v>1244</v>
      </c>
      <c r="F41" s="19" t="str">
        <f t="shared" si="0"/>
        <v>insert into ins_premium_det (premium_rcv_code,assorted_code, rec_amount,premium_rcv_detail_code,remaining_amt, payrec, mode_code,coinsurance_code,class_cd,it_remarks) values</v>
      </c>
      <c r="G41" s="20" t="str">
        <f t="shared" si="2"/>
        <v>('20Feb250031','070000175139','36750',(select max(to_number(i.premium_rcv_detail_code))+1
from ins_premium_det i),'36750','36750','02', '11000003','00','Request by Mr.Saqib Saleem 20-Feb-2025');</v>
      </c>
      <c r="H41" s="21" t="str">
        <f t="shared" si="3"/>
        <v>insert into ins_premium_det (premium_rcv_code,assorted_code, rec_amount,premium_rcv_detail_code,remaining_amt, payrec, mode_code,coinsurance_code,class_cd,it_remarks) values('20Feb250031','070000175139','36750',(select max(to_number(i.premium_rcv_detail_code))+1
from ins_premium_det i),'36750','36750','02', '11000003','00','Request by Mr.Saqib Saleem 20-Feb-2025');</v>
      </c>
    </row>
    <row r="42" spans="1:8" ht="105">
      <c r="A42" s="1" t="s">
        <v>901</v>
      </c>
      <c r="B42" s="17" t="str">
        <f>VLOOKUP(A42,policy!B:C,2,0)</f>
        <v>070000175171</v>
      </c>
      <c r="C42" s="1">
        <v>82583</v>
      </c>
      <c r="D42" s="18">
        <f t="shared" si="1"/>
        <v>82583</v>
      </c>
      <c r="E42" s="22" t="s">
        <v>1244</v>
      </c>
      <c r="F42" s="19" t="str">
        <f t="shared" si="0"/>
        <v>insert into ins_premium_det (premium_rcv_code,assorted_code, rec_amount,premium_rcv_detail_code,remaining_amt, payrec, mode_code,coinsurance_code,class_cd,it_remarks) values</v>
      </c>
      <c r="G42" s="20" t="str">
        <f t="shared" si="2"/>
        <v>('20Feb250031','070000175171','82583',(select max(to_number(i.premium_rcv_detail_code))+1
from ins_premium_det i),'82583','82583','02', '11000003','00','Request by Mr.Saqib Saleem 20-Feb-2025');</v>
      </c>
      <c r="H42" s="21" t="str">
        <f t="shared" si="3"/>
        <v>insert into ins_premium_det (premium_rcv_code,assorted_code, rec_amount,premium_rcv_detail_code,remaining_amt, payrec, mode_code,coinsurance_code,class_cd,it_remarks) values('20Feb250031','070000175171','82583',(select max(to_number(i.premium_rcv_detail_code))+1
from ins_premium_det i),'82583','82583','02', '11000003','00','Request by Mr.Saqib Saleem 20-Feb-2025');</v>
      </c>
    </row>
    <row r="43" spans="1:8" ht="105">
      <c r="A43" s="1" t="s">
        <v>902</v>
      </c>
      <c r="B43" s="17" t="str">
        <f>VLOOKUP(A43,policy!B:C,2,0)</f>
        <v>070000175138</v>
      </c>
      <c r="C43" s="1">
        <v>91875</v>
      </c>
      <c r="D43" s="18">
        <f t="shared" si="1"/>
        <v>91875</v>
      </c>
      <c r="E43" s="22" t="s">
        <v>1244</v>
      </c>
      <c r="F43" s="19" t="str">
        <f t="shared" si="0"/>
        <v>insert into ins_premium_det (premium_rcv_code,assorted_code, rec_amount,premium_rcv_detail_code,remaining_amt, payrec, mode_code,coinsurance_code,class_cd,it_remarks) values</v>
      </c>
      <c r="G43" s="20" t="str">
        <f t="shared" si="2"/>
        <v>('20Feb250031','070000175138','91875',(select max(to_number(i.premium_rcv_detail_code))+1
from ins_premium_det i),'91875','91875','02', '11000003','00','Request by Mr.Saqib Saleem 20-Feb-2025');</v>
      </c>
      <c r="H43" s="21" t="str">
        <f t="shared" si="3"/>
        <v>insert into ins_premium_det (premium_rcv_code,assorted_code, rec_amount,premium_rcv_detail_code,remaining_amt, payrec, mode_code,coinsurance_code,class_cd,it_remarks) values('20Feb250031','070000175138','91875',(select max(to_number(i.premium_rcv_detail_code))+1
from ins_premium_det i),'91875','91875','02', '11000003','00','Request by Mr.Saqib Saleem 20-Feb-2025');</v>
      </c>
    </row>
    <row r="44" spans="1:8" ht="105">
      <c r="A44" s="1" t="s">
        <v>781</v>
      </c>
      <c r="B44" s="17" t="str">
        <f>VLOOKUP(A44,policy!B:C,2,0)</f>
        <v>070000175133</v>
      </c>
      <c r="C44" s="1">
        <v>43750</v>
      </c>
      <c r="D44" s="18">
        <f t="shared" si="1"/>
        <v>43750</v>
      </c>
      <c r="E44" s="22" t="s">
        <v>1244</v>
      </c>
      <c r="F44" s="19" t="str">
        <f t="shared" si="0"/>
        <v>insert into ins_premium_det (premium_rcv_code,assorted_code, rec_amount,premium_rcv_detail_code,remaining_amt, payrec, mode_code,coinsurance_code,class_cd,it_remarks) values</v>
      </c>
      <c r="G44" s="20" t="str">
        <f t="shared" si="2"/>
        <v>('20Feb250031','070000175133','43750',(select max(to_number(i.premium_rcv_detail_code))+1
from ins_premium_det i),'43750','43750','02', '11000003','00','Request by Mr.Saqib Saleem 20-Feb-2025');</v>
      </c>
      <c r="H44" s="21" t="str">
        <f t="shared" si="3"/>
        <v>insert into ins_premium_det (premium_rcv_code,assorted_code, rec_amount,premium_rcv_detail_code,remaining_amt, payrec, mode_code,coinsurance_code,class_cd,it_remarks) values('20Feb250031','070000175133','43750',(select max(to_number(i.premium_rcv_detail_code))+1
from ins_premium_det i),'43750','43750','02', '11000003','00','Request by Mr.Saqib Saleem 20-Feb-2025');</v>
      </c>
    </row>
    <row r="45" spans="1:8" ht="105">
      <c r="A45" s="1" t="s">
        <v>782</v>
      </c>
      <c r="B45" s="17" t="str">
        <f>VLOOKUP(A45,policy!B:C,2,0)</f>
        <v>070000176205</v>
      </c>
      <c r="C45" s="1">
        <v>39375</v>
      </c>
      <c r="D45" s="18">
        <f t="shared" si="1"/>
        <v>39375</v>
      </c>
      <c r="E45" s="22" t="s">
        <v>1244</v>
      </c>
      <c r="F45" s="19" t="str">
        <f t="shared" si="0"/>
        <v>insert into ins_premium_det (premium_rcv_code,assorted_code, rec_amount,premium_rcv_detail_code,remaining_amt, payrec, mode_code,coinsurance_code,class_cd,it_remarks) values</v>
      </c>
      <c r="G45" s="20" t="str">
        <f t="shared" si="2"/>
        <v>('20Feb250031','070000176205','39375',(select max(to_number(i.premium_rcv_detail_code))+1
from ins_premium_det i),'39375','39375','02', '11000003','00','Request by Mr.Saqib Saleem 20-Feb-2025');</v>
      </c>
      <c r="H45" s="21" t="str">
        <f t="shared" si="3"/>
        <v>insert into ins_premium_det (premium_rcv_code,assorted_code, rec_amount,premium_rcv_detail_code,remaining_amt, payrec, mode_code,coinsurance_code,class_cd,it_remarks) values('20Feb250031','070000176205','39375',(select max(to_number(i.premium_rcv_detail_code))+1
from ins_premium_det i),'39375','39375','02', '11000003','00','Request by Mr.Saqib Saleem 20-Feb-2025');</v>
      </c>
    </row>
    <row r="46" spans="1:8" ht="105">
      <c r="A46" s="1" t="s">
        <v>783</v>
      </c>
      <c r="B46" s="17" t="str">
        <f>VLOOKUP(A46,policy!B:C,2,0)</f>
        <v>070000176116</v>
      </c>
      <c r="C46" s="1">
        <v>52675</v>
      </c>
      <c r="D46" s="18">
        <f t="shared" si="1"/>
        <v>52675</v>
      </c>
      <c r="E46" s="22" t="s">
        <v>1244</v>
      </c>
      <c r="F46" s="19" t="str">
        <f t="shared" si="0"/>
        <v>insert into ins_premium_det (premium_rcv_code,assorted_code, rec_amount,premium_rcv_detail_code,remaining_amt, payrec, mode_code,coinsurance_code,class_cd,it_remarks) values</v>
      </c>
      <c r="G46" s="20" t="str">
        <f t="shared" si="2"/>
        <v>('20Feb250031','070000176116','52675',(select max(to_number(i.premium_rcv_detail_code))+1
from ins_premium_det i),'52675','52675','02', '11000003','00','Request by Mr.Saqib Saleem 20-Feb-2025');</v>
      </c>
      <c r="H46" s="21" t="str">
        <f t="shared" si="3"/>
        <v>insert into ins_premium_det (premium_rcv_code,assorted_code, rec_amount,premium_rcv_detail_code,remaining_amt, payrec, mode_code,coinsurance_code,class_cd,it_remarks) values('20Feb250031','070000176116','52675',(select max(to_number(i.premium_rcv_detail_code))+1
from ins_premium_det i),'52675','52675','02', '11000003','00','Request by Mr.Saqib Saleem 20-Feb-2025');</v>
      </c>
    </row>
    <row r="47" spans="1:8" ht="105">
      <c r="A47" s="1" t="s">
        <v>784</v>
      </c>
      <c r="B47" s="17" t="str">
        <f>VLOOKUP(A47,policy!B:C,2,0)</f>
        <v>070000175118</v>
      </c>
      <c r="C47" s="1">
        <v>47250</v>
      </c>
      <c r="D47" s="18">
        <f t="shared" si="1"/>
        <v>47250</v>
      </c>
      <c r="E47" s="22" t="s">
        <v>1244</v>
      </c>
      <c r="F47" s="19" t="str">
        <f t="shared" si="0"/>
        <v>insert into ins_premium_det (premium_rcv_code,assorted_code, rec_amount,premium_rcv_detail_code,remaining_amt, payrec, mode_code,coinsurance_code,class_cd,it_remarks) values</v>
      </c>
      <c r="G47" s="20" t="str">
        <f t="shared" si="2"/>
        <v>('20Feb250031','070000175118','47250',(select max(to_number(i.premium_rcv_detail_code))+1
from ins_premium_det i),'47250','47250','02', '11000003','00','Request by Mr.Saqib Saleem 20-Feb-2025');</v>
      </c>
      <c r="H47" s="21" t="str">
        <f t="shared" si="3"/>
        <v>insert into ins_premium_det (premium_rcv_code,assorted_code, rec_amount,premium_rcv_detail_code,remaining_amt, payrec, mode_code,coinsurance_code,class_cd,it_remarks) values('20Feb250031','070000175118','47250',(select max(to_number(i.premium_rcv_detail_code))+1
from ins_premium_det i),'47250','47250','02', '11000003','00','Request by Mr.Saqib Saleem 20-Feb-2025');</v>
      </c>
    </row>
    <row r="48" spans="1:8" ht="105">
      <c r="A48" s="1" t="s">
        <v>785</v>
      </c>
      <c r="B48" s="17" t="str">
        <f>VLOOKUP(A48,policy!B:C,2,0)</f>
        <v>070000175559</v>
      </c>
      <c r="C48" s="1">
        <v>53288</v>
      </c>
      <c r="D48" s="18">
        <f t="shared" si="1"/>
        <v>53288</v>
      </c>
      <c r="E48" s="22" t="s">
        <v>1244</v>
      </c>
      <c r="F48" s="19" t="str">
        <f t="shared" si="0"/>
        <v>insert into ins_premium_det (premium_rcv_code,assorted_code, rec_amount,premium_rcv_detail_code,remaining_amt, payrec, mode_code,coinsurance_code,class_cd,it_remarks) values</v>
      </c>
      <c r="G48" s="20" t="str">
        <f t="shared" si="2"/>
        <v>('20Feb250031','070000175559','53288',(select max(to_number(i.premium_rcv_detail_code))+1
from ins_premium_det i),'53288','53288','02', '11000003','00','Request by Mr.Saqib Saleem 20-Feb-2025');</v>
      </c>
      <c r="H48" s="21" t="str">
        <f t="shared" si="3"/>
        <v>insert into ins_premium_det (premium_rcv_code,assorted_code, rec_amount,premium_rcv_detail_code,remaining_amt, payrec, mode_code,coinsurance_code,class_cd,it_remarks) values('20Feb250031','070000175559','53288',(select max(to_number(i.premium_rcv_detail_code))+1
from ins_premium_det i),'53288','53288','02', '11000003','00','Request by Mr.Saqib Saleem 20-Feb-2025');</v>
      </c>
    </row>
    <row r="49" spans="1:8" ht="105">
      <c r="A49" s="1" t="s">
        <v>786</v>
      </c>
      <c r="B49" s="17" t="str">
        <f>VLOOKUP(A49,policy!B:C,2,0)</f>
        <v>070000174820</v>
      </c>
      <c r="C49" s="1">
        <v>51625</v>
      </c>
      <c r="D49" s="18">
        <f t="shared" si="1"/>
        <v>51625</v>
      </c>
      <c r="E49" s="22" t="s">
        <v>1244</v>
      </c>
      <c r="F49" s="19" t="str">
        <f t="shared" si="0"/>
        <v>insert into ins_premium_det (premium_rcv_code,assorted_code, rec_amount,premium_rcv_detail_code,remaining_amt, payrec, mode_code,coinsurance_code,class_cd,it_remarks) values</v>
      </c>
      <c r="G49" s="20" t="str">
        <f t="shared" si="2"/>
        <v>('20Feb250031','070000174820','51625',(select max(to_number(i.premium_rcv_detail_code))+1
from ins_premium_det i),'51625','51625','02', '11000003','00','Request by Mr.Saqib Saleem 20-Feb-2025');</v>
      </c>
      <c r="H49" s="21" t="str">
        <f t="shared" si="3"/>
        <v>insert into ins_premium_det (premium_rcv_code,assorted_code, rec_amount,premium_rcv_detail_code,remaining_amt, payrec, mode_code,coinsurance_code,class_cd,it_remarks) values('20Feb250031','070000174820','51625',(select max(to_number(i.premium_rcv_detail_code))+1
from ins_premium_det i),'51625','51625','02', '11000003','00','Request by Mr.Saqib Saleem 20-Feb-2025');</v>
      </c>
    </row>
    <row r="50" spans="1:8" ht="105">
      <c r="A50" s="1" t="s">
        <v>787</v>
      </c>
      <c r="B50" s="17" t="str">
        <f>VLOOKUP(A50,policy!B:C,2,0)</f>
        <v>070000176310</v>
      </c>
      <c r="C50" s="1">
        <v>59500</v>
      </c>
      <c r="D50" s="18">
        <f t="shared" si="1"/>
        <v>59500</v>
      </c>
      <c r="E50" s="22" t="s">
        <v>1244</v>
      </c>
      <c r="F50" s="19" t="str">
        <f t="shared" si="0"/>
        <v>insert into ins_premium_det (premium_rcv_code,assorted_code, rec_amount,premium_rcv_detail_code,remaining_amt, payrec, mode_code,coinsurance_code,class_cd,it_remarks) values</v>
      </c>
      <c r="G50" s="20" t="str">
        <f t="shared" si="2"/>
        <v>('20Feb250031','070000176310','59500',(select max(to_number(i.premium_rcv_detail_code))+1
from ins_premium_det i),'59500','59500','02', '11000003','00','Request by Mr.Saqib Saleem 20-Feb-2025');</v>
      </c>
      <c r="H50" s="21" t="str">
        <f t="shared" si="3"/>
        <v>insert into ins_premium_det (premium_rcv_code,assorted_code, rec_amount,premium_rcv_detail_code,remaining_amt, payrec, mode_code,coinsurance_code,class_cd,it_remarks) values('20Feb250031','070000176310','59500',(select max(to_number(i.premium_rcv_detail_code))+1
from ins_premium_det i),'59500','59500','02', '11000003','00','Request by Mr.Saqib Saleem 20-Feb-2025');</v>
      </c>
    </row>
    <row r="51" spans="1:8" ht="105">
      <c r="A51" s="1" t="s">
        <v>788</v>
      </c>
      <c r="B51" s="17" t="str">
        <f>VLOOKUP(A51,policy!B:C,2,0)</f>
        <v>070000176309</v>
      </c>
      <c r="C51" s="1">
        <v>47373</v>
      </c>
      <c r="D51" s="18">
        <f t="shared" si="1"/>
        <v>47373</v>
      </c>
      <c r="E51" s="22" t="s">
        <v>1244</v>
      </c>
      <c r="F51" s="19" t="str">
        <f t="shared" si="0"/>
        <v>insert into ins_premium_det (premium_rcv_code,assorted_code, rec_amount,premium_rcv_detail_code,remaining_amt, payrec, mode_code,coinsurance_code,class_cd,it_remarks) values</v>
      </c>
      <c r="G51" s="20" t="str">
        <f t="shared" si="2"/>
        <v>('20Feb250031','070000176309','47373',(select max(to_number(i.premium_rcv_detail_code))+1
from ins_premium_det i),'47373','47373','02', '11000003','00','Request by Mr.Saqib Saleem 20-Feb-2025');</v>
      </c>
      <c r="H51" s="21" t="str">
        <f t="shared" si="3"/>
        <v>insert into ins_premium_det (premium_rcv_code,assorted_code, rec_amount,premium_rcv_detail_code,remaining_amt, payrec, mode_code,coinsurance_code,class_cd,it_remarks) values('20Feb250031','070000176309','47373',(select max(to_number(i.premium_rcv_detail_code))+1
from ins_premium_det i),'47373','47373','02', '11000003','00','Request by Mr.Saqib Saleem 20-Feb-2025');</v>
      </c>
    </row>
    <row r="52" spans="1:8" ht="105">
      <c r="A52" s="1" t="s">
        <v>903</v>
      </c>
      <c r="B52" s="17" t="str">
        <f>VLOOKUP(A52,policy!B:C,2,0)</f>
        <v>070000176306</v>
      </c>
      <c r="C52" s="1">
        <v>43750</v>
      </c>
      <c r="D52" s="18">
        <f t="shared" si="1"/>
        <v>43750</v>
      </c>
      <c r="E52" s="22" t="s">
        <v>1244</v>
      </c>
      <c r="F52" s="19" t="str">
        <f t="shared" si="0"/>
        <v>insert into ins_premium_det (premium_rcv_code,assorted_code, rec_amount,premium_rcv_detail_code,remaining_amt, payrec, mode_code,coinsurance_code,class_cd,it_remarks) values</v>
      </c>
      <c r="G52" s="20" t="str">
        <f t="shared" si="2"/>
        <v>('20Feb250031','070000176306','43750',(select max(to_number(i.premium_rcv_detail_code))+1
from ins_premium_det i),'43750','43750','02', '11000003','00','Request by Mr.Saqib Saleem 20-Feb-2025');</v>
      </c>
      <c r="H52" s="21" t="str">
        <f t="shared" si="3"/>
        <v>insert into ins_premium_det (premium_rcv_code,assorted_code, rec_amount,premium_rcv_detail_code,remaining_amt, payrec, mode_code,coinsurance_code,class_cd,it_remarks) values('20Feb250031','070000176306','43750',(select max(to_number(i.premium_rcv_detail_code))+1
from ins_premium_det i),'43750','43750','02', '11000003','00','Request by Mr.Saqib Saleem 20-Feb-2025');</v>
      </c>
    </row>
    <row r="53" spans="1:8" ht="105">
      <c r="A53" s="1" t="s">
        <v>904</v>
      </c>
      <c r="B53" s="17" t="str">
        <f>VLOOKUP(A53,policy!B:C,2,0)</f>
        <v>070000175365</v>
      </c>
      <c r="C53" s="1">
        <v>53200</v>
      </c>
      <c r="D53" s="18">
        <f t="shared" si="1"/>
        <v>53200</v>
      </c>
      <c r="E53" s="22" t="s">
        <v>1244</v>
      </c>
      <c r="F53" s="19" t="str">
        <f t="shared" si="0"/>
        <v>insert into ins_premium_det (premium_rcv_code,assorted_code, rec_amount,premium_rcv_detail_code,remaining_amt, payrec, mode_code,coinsurance_code,class_cd,it_remarks) values</v>
      </c>
      <c r="G53" s="20" t="str">
        <f t="shared" si="2"/>
        <v>('20Feb250031','070000175365','53200',(select max(to_number(i.premium_rcv_detail_code))+1
from ins_premium_det i),'53200','53200','02', '11000003','00','Request by Mr.Saqib Saleem 20-Feb-2025');</v>
      </c>
      <c r="H53" s="21" t="str">
        <f t="shared" si="3"/>
        <v>insert into ins_premium_det (premium_rcv_code,assorted_code, rec_amount,premium_rcv_detail_code,remaining_amt, payrec, mode_code,coinsurance_code,class_cd,it_remarks) values('20Feb250031','070000175365','53200',(select max(to_number(i.premium_rcv_detail_code))+1
from ins_premium_det i),'53200','53200','02', '11000003','00','Request by Mr.Saqib Saleem 20-Feb-2025');</v>
      </c>
    </row>
    <row r="54" spans="1:8" ht="105">
      <c r="A54" s="1" t="s">
        <v>789</v>
      </c>
      <c r="B54" s="17" t="str">
        <f>VLOOKUP(A54,policy!B:C,2,0)</f>
        <v>070000176311</v>
      </c>
      <c r="C54" s="1">
        <v>82583</v>
      </c>
      <c r="D54" s="18">
        <f t="shared" si="1"/>
        <v>82583</v>
      </c>
      <c r="E54" s="22" t="s">
        <v>1244</v>
      </c>
      <c r="F54" s="19" t="str">
        <f t="shared" si="0"/>
        <v>insert into ins_premium_det (premium_rcv_code,assorted_code, rec_amount,premium_rcv_detail_code,remaining_amt, payrec, mode_code,coinsurance_code,class_cd,it_remarks) values</v>
      </c>
      <c r="G54" s="20" t="str">
        <f t="shared" si="2"/>
        <v>('20Feb250031','070000176311','82583',(select max(to_number(i.premium_rcv_detail_code))+1
from ins_premium_det i),'82583','82583','02', '11000003','00','Request by Mr.Saqib Saleem 20-Feb-2025');</v>
      </c>
      <c r="H54" s="21" t="str">
        <f t="shared" si="3"/>
        <v>insert into ins_premium_det (premium_rcv_code,assorted_code, rec_amount,premium_rcv_detail_code,remaining_amt, payrec, mode_code,coinsurance_code,class_cd,it_remarks) values('20Feb250031','070000176311','82583',(select max(to_number(i.premium_rcv_detail_code))+1
from ins_premium_det i),'82583','82583','02', '11000003','00','Request by Mr.Saqib Saleem 20-Feb-2025');</v>
      </c>
    </row>
    <row r="55" spans="1:8" ht="105">
      <c r="A55" s="1" t="s">
        <v>905</v>
      </c>
      <c r="B55" s="17" t="str">
        <f>VLOOKUP(A55,policy!B:C,2,0)</f>
        <v>070000176123</v>
      </c>
      <c r="C55" s="1">
        <v>59500</v>
      </c>
      <c r="D55" s="18">
        <f t="shared" si="1"/>
        <v>59500</v>
      </c>
      <c r="E55" s="22" t="s">
        <v>1244</v>
      </c>
      <c r="F55" s="19" t="str">
        <f t="shared" si="0"/>
        <v>insert into ins_premium_det (premium_rcv_code,assorted_code, rec_amount,premium_rcv_detail_code,remaining_amt, payrec, mode_code,coinsurance_code,class_cd,it_remarks) values</v>
      </c>
      <c r="G55" s="20" t="str">
        <f t="shared" si="2"/>
        <v>('20Feb250031','070000176123','59500',(select max(to_number(i.premium_rcv_detail_code))+1
from ins_premium_det i),'59500','59500','02', '11000003','00','Request by Mr.Saqib Saleem 20-Feb-2025');</v>
      </c>
      <c r="H55" s="21" t="str">
        <f t="shared" si="3"/>
        <v>insert into ins_premium_det (premium_rcv_code,assorted_code, rec_amount,premium_rcv_detail_code,remaining_amt, payrec, mode_code,coinsurance_code,class_cd,it_remarks) values('20Feb250031','070000176123','59500',(select max(to_number(i.premium_rcv_detail_code))+1
from ins_premium_det i),'59500','59500','02', '11000003','00','Request by Mr.Saqib Saleem 20-Feb-2025');</v>
      </c>
    </row>
    <row r="56" spans="1:8" ht="105">
      <c r="A56" s="1" t="s">
        <v>906</v>
      </c>
      <c r="B56" s="17" t="str">
        <f>VLOOKUP(A56,policy!B:C,2,0)</f>
        <v>070000176321</v>
      </c>
      <c r="C56" s="1">
        <v>85750</v>
      </c>
      <c r="D56" s="18">
        <f t="shared" si="1"/>
        <v>85750</v>
      </c>
      <c r="E56" s="22" t="s">
        <v>1244</v>
      </c>
      <c r="F56" s="19" t="str">
        <f t="shared" si="0"/>
        <v>insert into ins_premium_det (premium_rcv_code,assorted_code, rec_amount,premium_rcv_detail_code,remaining_amt, payrec, mode_code,coinsurance_code,class_cd,it_remarks) values</v>
      </c>
      <c r="G56" s="20" t="str">
        <f t="shared" si="2"/>
        <v>('20Feb250031','070000176321','85750',(select max(to_number(i.premium_rcv_detail_code))+1
from ins_premium_det i),'85750','85750','02', '11000003','00','Request by Mr.Saqib Saleem 20-Feb-2025');</v>
      </c>
      <c r="H56" s="21" t="str">
        <f t="shared" si="3"/>
        <v>insert into ins_premium_det (premium_rcv_code,assorted_code, rec_amount,premium_rcv_detail_code,remaining_amt, payrec, mode_code,coinsurance_code,class_cd,it_remarks) values('20Feb250031','070000176321','85750',(select max(to_number(i.premium_rcv_detail_code))+1
from ins_premium_det i),'85750','85750','02', '11000003','00','Request by Mr.Saqib Saleem 20-Feb-2025');</v>
      </c>
    </row>
    <row r="57" spans="1:8" ht="105">
      <c r="A57" s="1" t="s">
        <v>790</v>
      </c>
      <c r="B57" s="17" t="str">
        <f>VLOOKUP(A57,policy!B:C,2,0)</f>
        <v>070000176236</v>
      </c>
      <c r="C57" s="1">
        <v>127733</v>
      </c>
      <c r="D57" s="18">
        <f t="shared" si="1"/>
        <v>127733</v>
      </c>
      <c r="E57" s="22" t="s">
        <v>1244</v>
      </c>
      <c r="F57" s="19" t="str">
        <f t="shared" si="0"/>
        <v>insert into ins_premium_det (premium_rcv_code,assorted_code, rec_amount,premium_rcv_detail_code,remaining_amt, payrec, mode_code,coinsurance_code,class_cd,it_remarks) values</v>
      </c>
      <c r="G57" s="20" t="str">
        <f t="shared" si="2"/>
        <v>('20Feb250031','070000176236','127733',(select max(to_number(i.premium_rcv_detail_code))+1
from ins_premium_det i),'127733','127733','02', '11000003','00','Request by Mr.Saqib Saleem 20-Feb-2025');</v>
      </c>
      <c r="H57" s="21" t="str">
        <f t="shared" si="3"/>
        <v>insert into ins_premium_det (premium_rcv_code,assorted_code, rec_amount,premium_rcv_detail_code,remaining_amt, payrec, mode_code,coinsurance_code,class_cd,it_remarks) values('20Feb250031','070000176236','127733',(select max(to_number(i.premium_rcv_detail_code))+1
from ins_premium_det i),'127733','127733','02', '11000003','00','Request by Mr.Saqib Saleem 20-Feb-2025');</v>
      </c>
    </row>
    <row r="58" spans="1:8" ht="105">
      <c r="A58" s="1" t="s">
        <v>907</v>
      </c>
      <c r="B58" t="s">
        <v>1240</v>
      </c>
      <c r="C58" s="1">
        <v>155733</v>
      </c>
      <c r="D58" s="18">
        <f t="shared" si="1"/>
        <v>155733</v>
      </c>
      <c r="E58" s="22" t="s">
        <v>1244</v>
      </c>
      <c r="F58" s="19" t="str">
        <f t="shared" si="0"/>
        <v>insert into ins_premium_det (premium_rcv_code,assorted_code, rec_amount,premium_rcv_detail_code,remaining_amt, payrec, mode_code,coinsurance_code,class_cd,it_remarks) values</v>
      </c>
      <c r="G58" s="20" t="str">
        <f t="shared" si="2"/>
        <v>('20Feb250031','070000176328','155733',(select max(to_number(i.premium_rcv_detail_code))+1
from ins_premium_det i),'155733','155733','02', '11000003','00','Request by Mr.Saqib Saleem 20-Feb-2025');</v>
      </c>
      <c r="H58" s="21" t="str">
        <f t="shared" si="3"/>
        <v>insert into ins_premium_det (premium_rcv_code,assorted_code, rec_amount,premium_rcv_detail_code,remaining_amt, payrec, mode_code,coinsurance_code,class_cd,it_remarks) values('20Feb250031','070000176328','155733',(select max(to_number(i.premium_rcv_detail_code))+1
from ins_premium_det i),'155733','155733','02', '11000003','00','Request by Mr.Saqib Saleem 20-Feb-2025');</v>
      </c>
    </row>
    <row r="59" spans="1:8" ht="105">
      <c r="A59" s="1" t="s">
        <v>908</v>
      </c>
      <c r="B59" s="17" t="str">
        <f>VLOOKUP(A59,policy!B:C,2,0)</f>
        <v>070000176314</v>
      </c>
      <c r="C59" s="1">
        <v>42000</v>
      </c>
      <c r="D59" s="18">
        <f t="shared" si="1"/>
        <v>42000</v>
      </c>
      <c r="E59" s="22" t="s">
        <v>1244</v>
      </c>
      <c r="F59" s="19" t="str">
        <f t="shared" si="0"/>
        <v>insert into ins_premium_det (premium_rcv_code,assorted_code, rec_amount,premium_rcv_detail_code,remaining_amt, payrec, mode_code,coinsurance_code,class_cd,it_remarks) values</v>
      </c>
      <c r="G59" s="20" t="str">
        <f t="shared" si="2"/>
        <v>('20Feb250031','070000176314','42000',(select max(to_number(i.premium_rcv_detail_code))+1
from ins_premium_det i),'42000','42000','02', '11000003','00','Request by Mr.Saqib Saleem 20-Feb-2025');</v>
      </c>
      <c r="H59" s="21" t="str">
        <f t="shared" si="3"/>
        <v>insert into ins_premium_det (premium_rcv_code,assorted_code, rec_amount,premium_rcv_detail_code,remaining_amt, payrec, mode_code,coinsurance_code,class_cd,it_remarks) values('20Feb250031','070000176314','42000',(select max(to_number(i.premium_rcv_detail_code))+1
from ins_premium_det i),'42000','42000','02', '11000003','00','Request by Mr.Saqib Saleem 20-Feb-2025');</v>
      </c>
    </row>
    <row r="60" spans="1:8" ht="105">
      <c r="A60" s="1" t="s">
        <v>909</v>
      </c>
      <c r="B60" s="17" t="str">
        <f>VLOOKUP(A60,policy!B:C,2,0)</f>
        <v>070000176320</v>
      </c>
      <c r="C60" s="1">
        <v>35875</v>
      </c>
      <c r="D60" s="18">
        <f t="shared" si="1"/>
        <v>35875</v>
      </c>
      <c r="E60" s="22" t="s">
        <v>1244</v>
      </c>
      <c r="F60" s="19" t="str">
        <f t="shared" si="0"/>
        <v>insert into ins_premium_det (premium_rcv_code,assorted_code, rec_amount,premium_rcv_detail_code,remaining_amt, payrec, mode_code,coinsurance_code,class_cd,it_remarks) values</v>
      </c>
      <c r="G60" s="20" t="str">
        <f t="shared" si="2"/>
        <v>('20Feb250031','070000176320','35875',(select max(to_number(i.premium_rcv_detail_code))+1
from ins_premium_det i),'35875','35875','02', '11000003','00','Request by Mr.Saqib Saleem 20-Feb-2025');</v>
      </c>
      <c r="H60" s="21" t="str">
        <f t="shared" si="3"/>
        <v>insert into ins_premium_det (premium_rcv_code,assorted_code, rec_amount,premium_rcv_detail_code,remaining_amt, payrec, mode_code,coinsurance_code,class_cd,it_remarks) values('20Feb250031','070000176320','35875',(select max(to_number(i.premium_rcv_detail_code))+1
from ins_premium_det i),'35875','35875','02', '11000003','00','Request by Mr.Saqib Saleem 20-Feb-2025');</v>
      </c>
    </row>
    <row r="61" spans="1:8" ht="105">
      <c r="A61" s="1" t="s">
        <v>910</v>
      </c>
      <c r="B61" s="17" t="str">
        <f>VLOOKUP(A61,policy!B:C,2,0)</f>
        <v>070000176324</v>
      </c>
      <c r="C61" s="1">
        <v>96250</v>
      </c>
      <c r="D61" s="18">
        <f t="shared" si="1"/>
        <v>96250</v>
      </c>
      <c r="E61" s="22" t="s">
        <v>1244</v>
      </c>
      <c r="F61" s="19" t="str">
        <f t="shared" si="0"/>
        <v>insert into ins_premium_det (premium_rcv_code,assorted_code, rec_amount,premium_rcv_detail_code,remaining_amt, payrec, mode_code,coinsurance_code,class_cd,it_remarks) values</v>
      </c>
      <c r="G61" s="20" t="str">
        <f t="shared" si="2"/>
        <v>('20Feb250031','070000176324','96250',(select max(to_number(i.premium_rcv_detail_code))+1
from ins_premium_det i),'96250','96250','02', '11000003','00','Request by Mr.Saqib Saleem 20-Feb-2025');</v>
      </c>
      <c r="H61" s="21" t="str">
        <f t="shared" si="3"/>
        <v>insert into ins_premium_det (premium_rcv_code,assorted_code, rec_amount,premium_rcv_detail_code,remaining_amt, payrec, mode_code,coinsurance_code,class_cd,it_remarks) values('20Feb250031','070000176324','96250',(select max(to_number(i.premium_rcv_detail_code))+1
from ins_premium_det i),'96250','96250','02', '11000003','00','Request by Mr.Saqib Saleem 20-Feb-2025');</v>
      </c>
    </row>
    <row r="62" spans="1:8" ht="105">
      <c r="A62" s="1" t="s">
        <v>791</v>
      </c>
      <c r="B62" s="17" t="str">
        <f>VLOOKUP(A62,policy!B:C,2,0)</f>
        <v>070000176340</v>
      </c>
      <c r="C62" s="1">
        <v>53288</v>
      </c>
      <c r="D62" s="18">
        <f t="shared" si="1"/>
        <v>53288</v>
      </c>
      <c r="E62" s="22" t="s">
        <v>1244</v>
      </c>
      <c r="F62" s="19" t="str">
        <f t="shared" si="0"/>
        <v>insert into ins_premium_det (premium_rcv_code,assorted_code, rec_amount,premium_rcv_detail_code,remaining_amt, payrec, mode_code,coinsurance_code,class_cd,it_remarks) values</v>
      </c>
      <c r="G62" s="20" t="str">
        <f t="shared" si="2"/>
        <v>('20Feb250031','070000176340','53288',(select max(to_number(i.premium_rcv_detail_code))+1
from ins_premium_det i),'53288','53288','02', '11000003','00','Request by Mr.Saqib Saleem 20-Feb-2025');</v>
      </c>
      <c r="H62" s="21" t="str">
        <f t="shared" si="3"/>
        <v>insert into ins_premium_det (premium_rcv_code,assorted_code, rec_amount,premium_rcv_detail_code,remaining_amt, payrec, mode_code,coinsurance_code,class_cd,it_remarks) values('20Feb250031','070000176340','53288',(select max(to_number(i.premium_rcv_detail_code))+1
from ins_premium_det i),'53288','53288','02', '11000003','00','Request by Mr.Saqib Saleem 20-Feb-2025');</v>
      </c>
    </row>
    <row r="63" spans="1:8" ht="105">
      <c r="A63" s="4" t="s">
        <v>894</v>
      </c>
      <c r="B63" s="17" t="str">
        <f>VLOOKUP(A63,policy!B:C,2,0)</f>
        <v>070000176363</v>
      </c>
      <c r="C63" s="1">
        <v>67375</v>
      </c>
      <c r="D63" s="18">
        <f t="shared" si="1"/>
        <v>67375</v>
      </c>
      <c r="E63" s="22" t="s">
        <v>1244</v>
      </c>
      <c r="F63" s="19" t="str">
        <f t="shared" si="0"/>
        <v>insert into ins_premium_det (premium_rcv_code,assorted_code, rec_amount,premium_rcv_detail_code,remaining_amt, payrec, mode_code,coinsurance_code,class_cd,it_remarks) values</v>
      </c>
      <c r="G63" s="20" t="str">
        <f t="shared" si="2"/>
        <v>('20Feb250031','070000176363','67375',(select max(to_number(i.premium_rcv_detail_code))+1
from ins_premium_det i),'67375','67375','02', '11000003','00','Request by Mr.Saqib Saleem 20-Feb-2025');</v>
      </c>
      <c r="H63" s="21" t="str">
        <f t="shared" si="3"/>
        <v>insert into ins_premium_det (premium_rcv_code,assorted_code, rec_amount,premium_rcv_detail_code,remaining_amt, payrec, mode_code,coinsurance_code,class_cd,it_remarks) values('20Feb250031','070000176363','67375',(select max(to_number(i.premium_rcv_detail_code))+1
from ins_premium_det i),'67375','67375','02', '11000003','00','Request by Mr.Saqib Saleem 20-Feb-2025');</v>
      </c>
    </row>
    <row r="64" spans="1:8" ht="105">
      <c r="A64" s="1" t="s">
        <v>911</v>
      </c>
      <c r="B64" s="17" t="str">
        <f>VLOOKUP(A64,policy!B:C,2,0)</f>
        <v>070000176351</v>
      </c>
      <c r="C64" s="1">
        <v>50750</v>
      </c>
      <c r="D64" s="18">
        <f t="shared" si="1"/>
        <v>50750</v>
      </c>
      <c r="E64" s="22" t="s">
        <v>1244</v>
      </c>
      <c r="F64" s="19" t="str">
        <f t="shared" si="0"/>
        <v>insert into ins_premium_det (premium_rcv_code,assorted_code, rec_amount,premium_rcv_detail_code,remaining_amt, payrec, mode_code,coinsurance_code,class_cd,it_remarks) values</v>
      </c>
      <c r="G64" s="20" t="str">
        <f t="shared" si="2"/>
        <v>('20Feb250031','070000176351','50750',(select max(to_number(i.premium_rcv_detail_code))+1
from ins_premium_det i),'50750','50750','02', '11000003','00','Request by Mr.Saqib Saleem 20-Feb-2025');</v>
      </c>
      <c r="H64" s="21" t="str">
        <f t="shared" si="3"/>
        <v>insert into ins_premium_det (premium_rcv_code,assorted_code, rec_amount,premium_rcv_detail_code,remaining_amt, payrec, mode_code,coinsurance_code,class_cd,it_remarks) values('20Feb250031','070000176351','50750',(select max(to_number(i.premium_rcv_detail_code))+1
from ins_premium_det i),'50750','50750','02', '11000003','00','Request by Mr.Saqib Saleem 20-Feb-2025');</v>
      </c>
    </row>
    <row r="65" spans="1:8" ht="105">
      <c r="A65" s="1" t="s">
        <v>912</v>
      </c>
      <c r="B65" s="17" t="str">
        <f>VLOOKUP(A65,policy!B:C,2,0)</f>
        <v>070000176355</v>
      </c>
      <c r="C65" s="1">
        <v>96250</v>
      </c>
      <c r="D65" s="18">
        <f t="shared" si="1"/>
        <v>96250</v>
      </c>
      <c r="E65" s="22" t="s">
        <v>1244</v>
      </c>
      <c r="F65" s="19" t="str">
        <f t="shared" si="0"/>
        <v>insert into ins_premium_det (premium_rcv_code,assorted_code, rec_amount,premium_rcv_detail_code,remaining_amt, payrec, mode_code,coinsurance_code,class_cd,it_remarks) values</v>
      </c>
      <c r="G65" s="20" t="str">
        <f t="shared" si="2"/>
        <v>('20Feb250031','070000176355','96250',(select max(to_number(i.premium_rcv_detail_code))+1
from ins_premium_det i),'96250','96250','02', '11000003','00','Request by Mr.Saqib Saleem 20-Feb-2025');</v>
      </c>
      <c r="H65" s="21" t="str">
        <f t="shared" si="3"/>
        <v>insert into ins_premium_det (premium_rcv_code,assorted_code, rec_amount,premium_rcv_detail_code,remaining_amt, payrec, mode_code,coinsurance_code,class_cd,it_remarks) values('20Feb250031','070000176355','96250',(select max(to_number(i.premium_rcv_detail_code))+1
from ins_premium_det i),'96250','96250','02', '11000003','00','Request by Mr.Saqib Saleem 20-Feb-2025');</v>
      </c>
    </row>
    <row r="66" spans="1:8" ht="105">
      <c r="A66" s="1" t="s">
        <v>792</v>
      </c>
      <c r="B66" s="17" t="str">
        <f>VLOOKUP(A66,policy!B:C,2,0)</f>
        <v>070000176350</v>
      </c>
      <c r="C66" s="1">
        <v>53288</v>
      </c>
      <c r="D66" s="18">
        <f t="shared" si="1"/>
        <v>53288</v>
      </c>
      <c r="E66" s="22" t="s">
        <v>1244</v>
      </c>
      <c r="F66" s="19" t="str">
        <f t="shared" ref="F66:F129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20" t="str">
        <f t="shared" si="2"/>
        <v>('20Feb250031','070000176350','53288',(select max(to_number(i.premium_rcv_detail_code))+1
from ins_premium_det i),'53288','53288','02', '11000003','00','Request by Mr.Saqib Saleem 20-Feb-2025');</v>
      </c>
      <c r="H66" s="21" t="str">
        <f t="shared" si="3"/>
        <v>insert into ins_premium_det (premium_rcv_code,assorted_code, rec_amount,premium_rcv_detail_code,remaining_amt, payrec, mode_code,coinsurance_code,class_cd,it_remarks) values('20Feb250031','070000176350','53288',(select max(to_number(i.premium_rcv_detail_code))+1
from ins_premium_det i),'53288','53288','02', '11000003','00','Request by Mr.Saqib Saleem 20-Feb-2025');</v>
      </c>
    </row>
    <row r="67" spans="1:8" ht="105">
      <c r="A67" s="1" t="s">
        <v>913</v>
      </c>
      <c r="B67" s="17" t="str">
        <f>VLOOKUP(A67,policy!B:C,2,0)</f>
        <v>070000173679</v>
      </c>
      <c r="C67" s="1">
        <v>42000</v>
      </c>
      <c r="D67" s="18">
        <f t="shared" ref="D67:D130" si="5">ROUND(C67,0)</f>
        <v>42000</v>
      </c>
      <c r="E67" s="22" t="s">
        <v>1244</v>
      </c>
      <c r="F67" s="19" t="str">
        <f t="shared" si="4"/>
        <v>insert into ins_premium_det (premium_rcv_code,assorted_code, rec_amount,premium_rcv_detail_code,remaining_amt, payrec, mode_code,coinsurance_code,class_cd,it_remarks) values</v>
      </c>
      <c r="G67" s="20" t="str">
        <f t="shared" ref="G67:G130" si="6">"('"&amp;E67&amp;"','"&amp;B67&amp;"','"&amp;D67&amp;"',(select max(to_number(i.premium_rcv_detail_code))+1
from ins_premium_det i),'"&amp;D67&amp;"','"&amp;D67&amp;"','02', '11000003','00','Request by Mr.Saqib Saleem 20-Feb-2025');"</f>
        <v>('20Feb250031','070000173679','42000',(select max(to_number(i.premium_rcv_detail_code))+1
from ins_premium_det i),'42000','42000','02', '11000003','00','Request by Mr.Saqib Saleem 20-Feb-2025');</v>
      </c>
      <c r="H67" s="21" t="str">
        <f t="shared" ref="H67:H130" si="7">F67&amp;G67</f>
        <v>insert into ins_premium_det (premium_rcv_code,assorted_code, rec_amount,premium_rcv_detail_code,remaining_amt, payrec, mode_code,coinsurance_code,class_cd,it_remarks) values('20Feb250031','070000173679','42000',(select max(to_number(i.premium_rcv_detail_code))+1
from ins_premium_det i),'42000','42000','02', '11000003','00','Request by Mr.Saqib Saleem 20-Feb-2025');</v>
      </c>
    </row>
    <row r="68" spans="1:8" ht="105">
      <c r="A68" s="1" t="s">
        <v>793</v>
      </c>
      <c r="B68" s="17" t="str">
        <f>VLOOKUP(A68,policy!B:C,2,0)</f>
        <v>070000173812</v>
      </c>
      <c r="C68" s="1">
        <v>36750</v>
      </c>
      <c r="D68" s="18">
        <f t="shared" si="5"/>
        <v>36750</v>
      </c>
      <c r="E68" s="22" t="s">
        <v>1244</v>
      </c>
      <c r="F68" s="19" t="str">
        <f t="shared" si="4"/>
        <v>insert into ins_premium_det (premium_rcv_code,assorted_code, rec_amount,premium_rcv_detail_code,remaining_amt, payrec, mode_code,coinsurance_code,class_cd,it_remarks) values</v>
      </c>
      <c r="G68" s="20" t="str">
        <f t="shared" si="6"/>
        <v>('20Feb250031','070000173812','36750',(select max(to_number(i.premium_rcv_detail_code))+1
from ins_premium_det i),'36750','36750','02', '11000003','00','Request by Mr.Saqib Saleem 20-Feb-2025');</v>
      </c>
      <c r="H68" s="21" t="str">
        <f t="shared" si="7"/>
        <v>insert into ins_premium_det (premium_rcv_code,assorted_code, rec_amount,premium_rcv_detail_code,remaining_amt, payrec, mode_code,coinsurance_code,class_cd,it_remarks) values('20Feb250031','070000173812','36750',(select max(to_number(i.premium_rcv_detail_code))+1
from ins_premium_det i),'36750','36750','02', '11000003','00','Request by Mr.Saqib Saleem 20-Feb-2025');</v>
      </c>
    </row>
    <row r="69" spans="1:8" ht="105">
      <c r="A69" s="1" t="s">
        <v>914</v>
      </c>
      <c r="B69" s="17" t="str">
        <f>VLOOKUP(A69,policy!B:C,2,0)</f>
        <v>070000173874</v>
      </c>
      <c r="C69" s="1">
        <v>77875</v>
      </c>
      <c r="D69" s="18">
        <f t="shared" si="5"/>
        <v>77875</v>
      </c>
      <c r="E69" s="22" t="s">
        <v>1244</v>
      </c>
      <c r="F69" s="19" t="str">
        <f t="shared" si="4"/>
        <v>insert into ins_premium_det (premium_rcv_code,assorted_code, rec_amount,premium_rcv_detail_code,remaining_amt, payrec, mode_code,coinsurance_code,class_cd,it_remarks) values</v>
      </c>
      <c r="G69" s="20" t="str">
        <f t="shared" si="6"/>
        <v>('20Feb250031','070000173874','77875',(select max(to_number(i.premium_rcv_detail_code))+1
from ins_premium_det i),'77875','77875','02', '11000003','00','Request by Mr.Saqib Saleem 20-Feb-2025');</v>
      </c>
      <c r="H69" s="21" t="str">
        <f t="shared" si="7"/>
        <v>insert into ins_premium_det (premium_rcv_code,assorted_code, rec_amount,premium_rcv_detail_code,remaining_amt, payrec, mode_code,coinsurance_code,class_cd,it_remarks) values('20Feb250031','070000173874','77875',(select max(to_number(i.premium_rcv_detail_code))+1
from ins_premium_det i),'77875','77875','02', '11000003','00','Request by Mr.Saqib Saleem 20-Feb-2025');</v>
      </c>
    </row>
    <row r="70" spans="1:8" ht="105">
      <c r="A70" s="1" t="s">
        <v>794</v>
      </c>
      <c r="B70" s="17" t="str">
        <f>VLOOKUP(A70,policy!B:C,2,0)</f>
        <v>070000173893</v>
      </c>
      <c r="C70" s="1">
        <v>47373</v>
      </c>
      <c r="D70" s="18">
        <f t="shared" si="5"/>
        <v>47373</v>
      </c>
      <c r="E70" s="22" t="s">
        <v>1244</v>
      </c>
      <c r="F70" s="19" t="str">
        <f t="shared" si="4"/>
        <v>insert into ins_premium_det (premium_rcv_code,assorted_code, rec_amount,premium_rcv_detail_code,remaining_amt, payrec, mode_code,coinsurance_code,class_cd,it_remarks) values</v>
      </c>
      <c r="G70" s="20" t="str">
        <f t="shared" si="6"/>
        <v>('20Feb250031','070000173893','47373',(select max(to_number(i.premium_rcv_detail_code))+1
from ins_premium_det i),'47373','47373','02', '11000003','00','Request by Mr.Saqib Saleem 20-Feb-2025');</v>
      </c>
      <c r="H70" s="21" t="str">
        <f t="shared" si="7"/>
        <v>insert into ins_premium_det (premium_rcv_code,assorted_code, rec_amount,premium_rcv_detail_code,remaining_amt, payrec, mode_code,coinsurance_code,class_cd,it_remarks) values('20Feb250031','070000173893','47373',(select max(to_number(i.premium_rcv_detail_code))+1
from ins_premium_det i),'47373','47373','02', '11000003','00','Request by Mr.Saqib Saleem 20-Feb-2025');</v>
      </c>
    </row>
    <row r="71" spans="1:8" ht="105">
      <c r="A71" s="1" t="s">
        <v>795</v>
      </c>
      <c r="B71" s="17" t="str">
        <f>VLOOKUP(A71,policy!B:C,2,0)</f>
        <v>070000173924</v>
      </c>
      <c r="C71" s="1">
        <v>36750</v>
      </c>
      <c r="D71" s="18">
        <f t="shared" si="5"/>
        <v>36750</v>
      </c>
      <c r="E71" s="22" t="s">
        <v>1244</v>
      </c>
      <c r="F71" s="19" t="str">
        <f t="shared" si="4"/>
        <v>insert into ins_premium_det (premium_rcv_code,assorted_code, rec_amount,premium_rcv_detail_code,remaining_amt, payrec, mode_code,coinsurance_code,class_cd,it_remarks) values</v>
      </c>
      <c r="G71" s="20" t="str">
        <f t="shared" si="6"/>
        <v>('20Feb250031','070000173924','36750',(select max(to_number(i.premium_rcv_detail_code))+1
from ins_premium_det i),'36750','36750','02', '11000003','00','Request by Mr.Saqib Saleem 20-Feb-2025');</v>
      </c>
      <c r="H71" s="21" t="str">
        <f t="shared" si="7"/>
        <v>insert into ins_premium_det (premium_rcv_code,assorted_code, rec_amount,premium_rcv_detail_code,remaining_amt, payrec, mode_code,coinsurance_code,class_cd,it_remarks) values('20Feb250031','070000173924','36750',(select max(to_number(i.premium_rcv_detail_code))+1
from ins_premium_det i),'36750','36750','02', '11000003','00','Request by Mr.Saqib Saleem 20-Feb-2025');</v>
      </c>
    </row>
    <row r="72" spans="1:8" ht="105">
      <c r="A72" s="1" t="s">
        <v>796</v>
      </c>
      <c r="B72" s="17" t="str">
        <f>VLOOKUP(A72,policy!B:C,2,0)</f>
        <v>070000173896</v>
      </c>
      <c r="C72" s="1">
        <v>51345</v>
      </c>
      <c r="D72" s="18">
        <f t="shared" si="5"/>
        <v>51345</v>
      </c>
      <c r="E72" s="22" t="s">
        <v>1244</v>
      </c>
      <c r="F72" s="19" t="str">
        <f t="shared" si="4"/>
        <v>insert into ins_premium_det (premium_rcv_code,assorted_code, rec_amount,premium_rcv_detail_code,remaining_amt, payrec, mode_code,coinsurance_code,class_cd,it_remarks) values</v>
      </c>
      <c r="G72" s="20" t="str">
        <f t="shared" si="6"/>
        <v>('20Feb250031','070000173896','51345',(select max(to_number(i.premium_rcv_detail_code))+1
from ins_premium_det i),'51345','51345','02', '11000003','00','Request by Mr.Saqib Saleem 20-Feb-2025');</v>
      </c>
      <c r="H72" s="21" t="str">
        <f t="shared" si="7"/>
        <v>insert into ins_premium_det (premium_rcv_code,assorted_code, rec_amount,premium_rcv_detail_code,remaining_amt, payrec, mode_code,coinsurance_code,class_cd,it_remarks) values('20Feb250031','070000173896','51345',(select max(to_number(i.premium_rcv_detail_code))+1
from ins_premium_det i),'51345','51345','02', '11000003','00','Request by Mr.Saqib Saleem 20-Feb-2025');</v>
      </c>
    </row>
    <row r="73" spans="1:8" ht="105">
      <c r="A73" s="1" t="s">
        <v>797</v>
      </c>
      <c r="B73" s="17" t="str">
        <f>VLOOKUP(A73,policy!B:C,2,0)</f>
        <v>070000173930</v>
      </c>
      <c r="C73" s="1">
        <v>38500</v>
      </c>
      <c r="D73" s="18">
        <f t="shared" si="5"/>
        <v>38500</v>
      </c>
      <c r="E73" s="22" t="s">
        <v>1244</v>
      </c>
      <c r="F73" s="19" t="str">
        <f t="shared" si="4"/>
        <v>insert into ins_premium_det (premium_rcv_code,assorted_code, rec_amount,premium_rcv_detail_code,remaining_amt, payrec, mode_code,coinsurance_code,class_cd,it_remarks) values</v>
      </c>
      <c r="G73" s="20" t="str">
        <f t="shared" si="6"/>
        <v>('20Feb250031','070000173930','38500',(select max(to_number(i.premium_rcv_detail_code))+1
from ins_premium_det i),'38500','38500','02', '11000003','00','Request by Mr.Saqib Saleem 20-Feb-2025');</v>
      </c>
      <c r="H73" s="21" t="str">
        <f t="shared" si="7"/>
        <v>insert into ins_premium_det (premium_rcv_code,assorted_code, rec_amount,premium_rcv_detail_code,remaining_amt, payrec, mode_code,coinsurance_code,class_cd,it_remarks) values('20Feb250031','070000173930','38500',(select max(to_number(i.premium_rcv_detail_code))+1
from ins_premium_det i),'38500','38500','02', '11000003','00','Request by Mr.Saqib Saleem 20-Feb-2025');</v>
      </c>
    </row>
    <row r="74" spans="1:8" ht="105">
      <c r="A74" s="1" t="s">
        <v>798</v>
      </c>
      <c r="B74" s="17" t="str">
        <f>VLOOKUP(A74,policy!B:C,2,0)</f>
        <v>070000174057</v>
      </c>
      <c r="C74" s="1">
        <v>75688</v>
      </c>
      <c r="D74" s="18">
        <f t="shared" si="5"/>
        <v>75688</v>
      </c>
      <c r="E74" s="22" t="s">
        <v>1244</v>
      </c>
      <c r="F74" s="19" t="str">
        <f t="shared" si="4"/>
        <v>insert into ins_premium_det (premium_rcv_code,assorted_code, rec_amount,premium_rcv_detail_code,remaining_amt, payrec, mode_code,coinsurance_code,class_cd,it_remarks) values</v>
      </c>
      <c r="G74" s="20" t="str">
        <f t="shared" si="6"/>
        <v>('20Feb250031','070000174057','75688',(select max(to_number(i.premium_rcv_detail_code))+1
from ins_premium_det i),'75688','75688','02', '11000003','00','Request by Mr.Saqib Saleem 20-Feb-2025');</v>
      </c>
      <c r="H74" s="21" t="str">
        <f t="shared" si="7"/>
        <v>insert into ins_premium_det (premium_rcv_code,assorted_code, rec_amount,premium_rcv_detail_code,remaining_amt, payrec, mode_code,coinsurance_code,class_cd,it_remarks) values('20Feb250031','070000174057','75688',(select max(to_number(i.premium_rcv_detail_code))+1
from ins_premium_det i),'75688','75688','02', '11000003','00','Request by Mr.Saqib Saleem 20-Feb-2025');</v>
      </c>
    </row>
    <row r="75" spans="1:8" ht="105">
      <c r="A75" s="1" t="s">
        <v>799</v>
      </c>
      <c r="B75" s="17" t="str">
        <f>VLOOKUP(A75,policy!B:C,2,0)</f>
        <v>070000173990</v>
      </c>
      <c r="C75" s="1">
        <v>35000</v>
      </c>
      <c r="D75" s="18">
        <f t="shared" si="5"/>
        <v>35000</v>
      </c>
      <c r="E75" s="22" t="s">
        <v>1244</v>
      </c>
      <c r="F75" s="19" t="str">
        <f t="shared" si="4"/>
        <v>insert into ins_premium_det (premium_rcv_code,assorted_code, rec_amount,premium_rcv_detail_code,remaining_amt, payrec, mode_code,coinsurance_code,class_cd,it_remarks) values</v>
      </c>
      <c r="G75" s="20" t="str">
        <f t="shared" si="6"/>
        <v>('20Feb250031','070000173990','35000',(select max(to_number(i.premium_rcv_detail_code))+1
from ins_premium_det i),'35000','35000','02', '11000003','00','Request by Mr.Saqib Saleem 20-Feb-2025');</v>
      </c>
      <c r="H75" s="21" t="str">
        <f t="shared" si="7"/>
        <v>insert into ins_premium_det (premium_rcv_code,assorted_code, rec_amount,premium_rcv_detail_code,remaining_amt, payrec, mode_code,coinsurance_code,class_cd,it_remarks) values('20Feb250031','070000173990','35000',(select max(to_number(i.premium_rcv_detail_code))+1
from ins_premium_det i),'35000','35000','02', '11000003','00','Request by Mr.Saqib Saleem 20-Feb-2025');</v>
      </c>
    </row>
    <row r="76" spans="1:8" ht="105">
      <c r="A76" s="1" t="s">
        <v>800</v>
      </c>
      <c r="B76" s="17" t="str">
        <f>VLOOKUP(A76,policy!B:C,2,0)</f>
        <v>070000174049</v>
      </c>
      <c r="C76" s="1">
        <v>53288</v>
      </c>
      <c r="D76" s="18">
        <f t="shared" si="5"/>
        <v>53288</v>
      </c>
      <c r="E76" s="22" t="s">
        <v>1244</v>
      </c>
      <c r="F76" s="19" t="str">
        <f t="shared" si="4"/>
        <v>insert into ins_premium_det (premium_rcv_code,assorted_code, rec_amount,premium_rcv_detail_code,remaining_amt, payrec, mode_code,coinsurance_code,class_cd,it_remarks) values</v>
      </c>
      <c r="G76" s="20" t="str">
        <f t="shared" si="6"/>
        <v>('20Feb250031','070000174049','53288',(select max(to_number(i.premium_rcv_detail_code))+1
from ins_premium_det i),'53288','53288','02', '11000003','00','Request by Mr.Saqib Saleem 20-Feb-2025');</v>
      </c>
      <c r="H76" s="21" t="str">
        <f t="shared" si="7"/>
        <v>insert into ins_premium_det (premium_rcv_code,assorted_code, rec_amount,premium_rcv_detail_code,remaining_amt, payrec, mode_code,coinsurance_code,class_cd,it_remarks) values('20Feb250031','070000174049','53288',(select max(to_number(i.premium_rcv_detail_code))+1
from ins_premium_det i),'53288','53288','02', '11000003','00','Request by Mr.Saqib Saleem 20-Feb-2025');</v>
      </c>
    </row>
    <row r="77" spans="1:8" ht="105">
      <c r="A77" s="1" t="s">
        <v>801</v>
      </c>
      <c r="B77" s="17" t="str">
        <f>VLOOKUP(A77,policy!B:C,2,0)</f>
        <v>070000173995</v>
      </c>
      <c r="C77" s="1">
        <v>141733</v>
      </c>
      <c r="D77" s="18">
        <f t="shared" si="5"/>
        <v>141733</v>
      </c>
      <c r="E77" s="22" t="s">
        <v>1244</v>
      </c>
      <c r="F77" s="19" t="str">
        <f t="shared" si="4"/>
        <v>insert into ins_premium_det (premium_rcv_code,assorted_code, rec_amount,premium_rcv_detail_code,remaining_amt, payrec, mode_code,coinsurance_code,class_cd,it_remarks) values</v>
      </c>
      <c r="G77" s="20" t="str">
        <f t="shared" si="6"/>
        <v>('20Feb250031','070000173995','141733',(select max(to_number(i.premium_rcv_detail_code))+1
from ins_premium_det i),'141733','141733','02', '11000003','00','Request by Mr.Saqib Saleem 20-Feb-2025');</v>
      </c>
      <c r="H77" s="21" t="str">
        <f t="shared" si="7"/>
        <v>insert into ins_premium_det (premium_rcv_code,assorted_code, rec_amount,premium_rcv_detail_code,remaining_amt, payrec, mode_code,coinsurance_code,class_cd,it_remarks) values('20Feb250031','070000173995','141733',(select max(to_number(i.premium_rcv_detail_code))+1
from ins_premium_det i),'141733','141733','02', '11000003','00','Request by Mr.Saqib Saleem 20-Feb-2025');</v>
      </c>
    </row>
    <row r="78" spans="1:8" ht="105">
      <c r="A78" s="1" t="s">
        <v>802</v>
      </c>
      <c r="B78" s="17" t="str">
        <f>VLOOKUP(A78,policy!B:C,2,0)</f>
        <v>070000174001</v>
      </c>
      <c r="C78" s="1">
        <v>43750</v>
      </c>
      <c r="D78" s="18">
        <f t="shared" si="5"/>
        <v>43750</v>
      </c>
      <c r="E78" s="22" t="s">
        <v>1244</v>
      </c>
      <c r="F78" s="19" t="str">
        <f t="shared" si="4"/>
        <v>insert into ins_premium_det (premium_rcv_code,assorted_code, rec_amount,premium_rcv_detail_code,remaining_amt, payrec, mode_code,coinsurance_code,class_cd,it_remarks) values</v>
      </c>
      <c r="G78" s="20" t="str">
        <f t="shared" si="6"/>
        <v>('20Feb250031','070000174001','43750',(select max(to_number(i.premium_rcv_detail_code))+1
from ins_premium_det i),'43750','43750','02', '11000003','00','Request by Mr.Saqib Saleem 20-Feb-2025');</v>
      </c>
      <c r="H78" s="21" t="str">
        <f t="shared" si="7"/>
        <v>insert into ins_premium_det (premium_rcv_code,assorted_code, rec_amount,premium_rcv_detail_code,remaining_amt, payrec, mode_code,coinsurance_code,class_cd,it_remarks) values('20Feb250031','070000174001','43750',(select max(to_number(i.premium_rcv_detail_code))+1
from ins_premium_det i),'43750','43750','02', '11000003','00','Request by Mr.Saqib Saleem 20-Feb-2025');</v>
      </c>
    </row>
    <row r="79" spans="1:8" ht="105">
      <c r="A79" s="1" t="s">
        <v>803</v>
      </c>
      <c r="B79" s="17" t="str">
        <f>VLOOKUP(A79,policy!B:C,2,0)</f>
        <v>070000174109</v>
      </c>
      <c r="C79" s="1">
        <v>82425</v>
      </c>
      <c r="D79" s="18">
        <f t="shared" si="5"/>
        <v>82425</v>
      </c>
      <c r="E79" s="22" t="s">
        <v>1244</v>
      </c>
      <c r="F79" s="19" t="str">
        <f t="shared" si="4"/>
        <v>insert into ins_premium_det (premium_rcv_code,assorted_code, rec_amount,premium_rcv_detail_code,remaining_amt, payrec, mode_code,coinsurance_code,class_cd,it_remarks) values</v>
      </c>
      <c r="G79" s="20" t="str">
        <f t="shared" si="6"/>
        <v>('20Feb250031','070000174109','82425',(select max(to_number(i.premium_rcv_detail_code))+1
from ins_premium_det i),'82425','82425','02', '11000003','00','Request by Mr.Saqib Saleem 20-Feb-2025');</v>
      </c>
      <c r="H79" s="21" t="str">
        <f t="shared" si="7"/>
        <v>insert into ins_premium_det (premium_rcv_code,assorted_code, rec_amount,premium_rcv_detail_code,remaining_amt, payrec, mode_code,coinsurance_code,class_cd,it_remarks) values('20Feb250031','070000174109','82425',(select max(to_number(i.premium_rcv_detail_code))+1
from ins_premium_det i),'82425','82425','02', '11000003','00','Request by Mr.Saqib Saleem 20-Feb-2025');</v>
      </c>
    </row>
    <row r="80" spans="1:8" ht="105">
      <c r="A80" s="1" t="s">
        <v>804</v>
      </c>
      <c r="B80" s="17" t="str">
        <f>VLOOKUP(A80,policy!B:C,2,0)</f>
        <v>070000174138</v>
      </c>
      <c r="C80" s="1">
        <v>47373</v>
      </c>
      <c r="D80" s="18">
        <f t="shared" si="5"/>
        <v>47373</v>
      </c>
      <c r="E80" s="22" t="s">
        <v>1244</v>
      </c>
      <c r="F80" s="19" t="str">
        <f t="shared" si="4"/>
        <v>insert into ins_premium_det (premium_rcv_code,assorted_code, rec_amount,premium_rcv_detail_code,remaining_amt, payrec, mode_code,coinsurance_code,class_cd,it_remarks) values</v>
      </c>
      <c r="G80" s="20" t="str">
        <f t="shared" si="6"/>
        <v>('20Feb250031','070000174138','47373',(select max(to_number(i.premium_rcv_detail_code))+1
from ins_premium_det i),'47373','47373','02', '11000003','00','Request by Mr.Saqib Saleem 20-Feb-2025');</v>
      </c>
      <c r="H80" s="21" t="str">
        <f t="shared" si="7"/>
        <v>insert into ins_premium_det (premium_rcv_code,assorted_code, rec_amount,premium_rcv_detail_code,remaining_amt, payrec, mode_code,coinsurance_code,class_cd,it_remarks) values('20Feb250031','070000174138','47373',(select max(to_number(i.premium_rcv_detail_code))+1
from ins_premium_det i),'47373','47373','02', '11000003','00','Request by Mr.Saqib Saleem 20-Feb-2025');</v>
      </c>
    </row>
    <row r="81" spans="1:8" ht="105">
      <c r="A81" s="1" t="s">
        <v>805</v>
      </c>
      <c r="B81" s="17" t="str">
        <f>VLOOKUP(A81,policy!B:C,2,0)</f>
        <v>070000174137</v>
      </c>
      <c r="C81" s="1">
        <v>47373</v>
      </c>
      <c r="D81" s="18">
        <f t="shared" si="5"/>
        <v>47373</v>
      </c>
      <c r="E81" s="22" t="s">
        <v>1244</v>
      </c>
      <c r="F81" s="19" t="str">
        <f t="shared" si="4"/>
        <v>insert into ins_premium_det (premium_rcv_code,assorted_code, rec_amount,premium_rcv_detail_code,remaining_amt, payrec, mode_code,coinsurance_code,class_cd,it_remarks) values</v>
      </c>
      <c r="G81" s="20" t="str">
        <f t="shared" si="6"/>
        <v>('20Feb250031','070000174137','47373',(select max(to_number(i.premium_rcv_detail_code))+1
from ins_premium_det i),'47373','47373','02', '11000003','00','Request by Mr.Saqib Saleem 20-Feb-2025');</v>
      </c>
      <c r="H81" s="21" t="str">
        <f t="shared" si="7"/>
        <v>insert into ins_premium_det (premium_rcv_code,assorted_code, rec_amount,premium_rcv_detail_code,remaining_amt, payrec, mode_code,coinsurance_code,class_cd,it_remarks) values('20Feb250031','070000174137','47373',(select max(to_number(i.premium_rcv_detail_code))+1
from ins_premium_det i),'47373','47373','02', '11000003','00','Request by Mr.Saqib Saleem 20-Feb-2025');</v>
      </c>
    </row>
    <row r="82" spans="1:8" ht="105">
      <c r="A82" s="1" t="s">
        <v>806</v>
      </c>
      <c r="B82" s="17" t="str">
        <f>VLOOKUP(A82,policy!B:C,2,0)</f>
        <v>070000174196</v>
      </c>
      <c r="C82" s="1">
        <v>48983</v>
      </c>
      <c r="D82" s="18">
        <f t="shared" si="5"/>
        <v>48983</v>
      </c>
      <c r="E82" s="22" t="s">
        <v>1244</v>
      </c>
      <c r="F82" s="19" t="str">
        <f t="shared" si="4"/>
        <v>insert into ins_premium_det (premium_rcv_code,assorted_code, rec_amount,premium_rcv_detail_code,remaining_amt, payrec, mode_code,coinsurance_code,class_cd,it_remarks) values</v>
      </c>
      <c r="G82" s="20" t="str">
        <f t="shared" si="6"/>
        <v>('20Feb250031','070000174196','48983',(select max(to_number(i.premium_rcv_detail_code))+1
from ins_premium_det i),'48983','48983','02', '11000003','00','Request by Mr.Saqib Saleem 20-Feb-2025');</v>
      </c>
      <c r="H82" s="21" t="str">
        <f t="shared" si="7"/>
        <v>insert into ins_premium_det (premium_rcv_code,assorted_code, rec_amount,premium_rcv_detail_code,remaining_amt, payrec, mode_code,coinsurance_code,class_cd,it_remarks) values('20Feb250031','070000174196','48983',(select max(to_number(i.premium_rcv_detail_code))+1
from ins_premium_det i),'48983','48983','02', '11000003','00','Request by Mr.Saqib Saleem 20-Feb-2025');</v>
      </c>
    </row>
    <row r="83" spans="1:8" ht="105">
      <c r="A83" s="1" t="s">
        <v>915</v>
      </c>
      <c r="B83" s="17" t="str">
        <f>VLOOKUP(A83,policy!B:C,2,0)</f>
        <v>070000174423</v>
      </c>
      <c r="C83" s="1">
        <v>57750</v>
      </c>
      <c r="D83" s="18">
        <f t="shared" si="5"/>
        <v>57750</v>
      </c>
      <c r="E83" s="22" t="s">
        <v>1244</v>
      </c>
      <c r="F83" s="19" t="str">
        <f t="shared" si="4"/>
        <v>insert into ins_premium_det (premium_rcv_code,assorted_code, rec_amount,premium_rcv_detail_code,remaining_amt, payrec, mode_code,coinsurance_code,class_cd,it_remarks) values</v>
      </c>
      <c r="G83" s="20" t="str">
        <f t="shared" si="6"/>
        <v>('20Feb250031','070000174423','57750',(select max(to_number(i.premium_rcv_detail_code))+1
from ins_premium_det i),'57750','57750','02', '11000003','00','Request by Mr.Saqib Saleem 20-Feb-2025');</v>
      </c>
      <c r="H83" s="21" t="str">
        <f t="shared" si="7"/>
        <v>insert into ins_premium_det (premium_rcv_code,assorted_code, rec_amount,premium_rcv_detail_code,remaining_amt, payrec, mode_code,coinsurance_code,class_cd,it_remarks) values('20Feb250031','070000174423','57750',(select max(to_number(i.premium_rcv_detail_code))+1
from ins_premium_det i),'57750','57750','02', '11000003','00','Request by Mr.Saqib Saleem 20-Feb-2025');</v>
      </c>
    </row>
    <row r="84" spans="1:8" ht="105">
      <c r="A84" s="1" t="s">
        <v>807</v>
      </c>
      <c r="B84" s="17" t="str">
        <f>VLOOKUP(A84,policy!B:C,2,0)</f>
        <v>070000174813</v>
      </c>
      <c r="C84" s="1">
        <v>53288</v>
      </c>
      <c r="D84" s="18">
        <f t="shared" si="5"/>
        <v>53288</v>
      </c>
      <c r="E84" s="22" t="s">
        <v>1244</v>
      </c>
      <c r="F84" s="19" t="str">
        <f t="shared" si="4"/>
        <v>insert into ins_premium_det (premium_rcv_code,assorted_code, rec_amount,premium_rcv_detail_code,remaining_amt, payrec, mode_code,coinsurance_code,class_cd,it_remarks) values</v>
      </c>
      <c r="G84" s="20" t="str">
        <f t="shared" si="6"/>
        <v>('20Feb250031','070000174813','53288',(select max(to_number(i.premium_rcv_detail_code))+1
from ins_premium_det i),'53288','53288','02', '11000003','00','Request by Mr.Saqib Saleem 20-Feb-2025');</v>
      </c>
      <c r="H84" s="21" t="str">
        <f t="shared" si="7"/>
        <v>insert into ins_premium_det (premium_rcv_code,assorted_code, rec_amount,premium_rcv_detail_code,remaining_amt, payrec, mode_code,coinsurance_code,class_cd,it_remarks) values('20Feb250031','070000174813','53288',(select max(to_number(i.premium_rcv_detail_code))+1
from ins_premium_det i),'53288','53288','02', '11000003','00','Request by Mr.Saqib Saleem 20-Feb-2025');</v>
      </c>
    </row>
    <row r="85" spans="1:8" ht="105">
      <c r="A85" s="1" t="s">
        <v>808</v>
      </c>
      <c r="B85" s="17" t="str">
        <f>VLOOKUP(A85,policy!B:C,2,0)</f>
        <v>070000174815</v>
      </c>
      <c r="C85" s="1">
        <v>38850</v>
      </c>
      <c r="D85" s="18">
        <f t="shared" si="5"/>
        <v>38850</v>
      </c>
      <c r="E85" s="22" t="s">
        <v>1244</v>
      </c>
      <c r="F85" s="19" t="str">
        <f t="shared" si="4"/>
        <v>insert into ins_premium_det (premium_rcv_code,assorted_code, rec_amount,premium_rcv_detail_code,remaining_amt, payrec, mode_code,coinsurance_code,class_cd,it_remarks) values</v>
      </c>
      <c r="G85" s="20" t="str">
        <f t="shared" si="6"/>
        <v>('20Feb250031','070000174815','38850',(select max(to_number(i.premium_rcv_detail_code))+1
from ins_premium_det i),'38850','38850','02', '11000003','00','Request by Mr.Saqib Saleem 20-Feb-2025');</v>
      </c>
      <c r="H85" s="21" t="str">
        <f t="shared" si="7"/>
        <v>insert into ins_premium_det (premium_rcv_code,assorted_code, rec_amount,premium_rcv_detail_code,remaining_amt, payrec, mode_code,coinsurance_code,class_cd,it_remarks) values('20Feb250031','070000174815','38850',(select max(to_number(i.premium_rcv_detail_code))+1
from ins_premium_det i),'38850','38850','02', '11000003','00','Request by Mr.Saqib Saleem 20-Feb-2025');</v>
      </c>
    </row>
    <row r="86" spans="1:8" ht="105">
      <c r="A86" s="1" t="s">
        <v>916</v>
      </c>
      <c r="B86" s="17" t="str">
        <f>VLOOKUP(A86,policy!B:C,2,0)</f>
        <v>070000174814</v>
      </c>
      <c r="C86" s="1">
        <v>53288</v>
      </c>
      <c r="D86" s="18">
        <f t="shared" si="5"/>
        <v>53288</v>
      </c>
      <c r="E86" s="22" t="s">
        <v>1244</v>
      </c>
      <c r="F86" s="19" t="str">
        <f t="shared" si="4"/>
        <v>insert into ins_premium_det (premium_rcv_code,assorted_code, rec_amount,premium_rcv_detail_code,remaining_amt, payrec, mode_code,coinsurance_code,class_cd,it_remarks) values</v>
      </c>
      <c r="G86" s="20" t="str">
        <f t="shared" si="6"/>
        <v>('20Feb250031','070000174814','53288',(select max(to_number(i.premium_rcv_detail_code))+1
from ins_premium_det i),'53288','53288','02', '11000003','00','Request by Mr.Saqib Saleem 20-Feb-2025');</v>
      </c>
      <c r="H86" s="21" t="str">
        <f t="shared" si="7"/>
        <v>insert into ins_premium_det (premium_rcv_code,assorted_code, rec_amount,premium_rcv_detail_code,remaining_amt, payrec, mode_code,coinsurance_code,class_cd,it_remarks) values('20Feb250031','070000174814','53288',(select max(to_number(i.premium_rcv_detail_code))+1
from ins_premium_det i),'53288','53288','02', '11000003','00','Request by Mr.Saqib Saleem 20-Feb-2025');</v>
      </c>
    </row>
    <row r="87" spans="1:8" ht="105">
      <c r="A87" s="1" t="s">
        <v>809</v>
      </c>
      <c r="B87" s="17" t="str">
        <f>VLOOKUP(A87,policy!B:C,2,0)</f>
        <v>070000174823</v>
      </c>
      <c r="C87" s="1">
        <v>24500</v>
      </c>
      <c r="D87" s="18">
        <f t="shared" si="5"/>
        <v>24500</v>
      </c>
      <c r="E87" s="22" t="s">
        <v>1244</v>
      </c>
      <c r="F87" s="19" t="str">
        <f t="shared" si="4"/>
        <v>insert into ins_premium_det (premium_rcv_code,assorted_code, rec_amount,premium_rcv_detail_code,remaining_amt, payrec, mode_code,coinsurance_code,class_cd,it_remarks) values</v>
      </c>
      <c r="G87" s="20" t="str">
        <f t="shared" si="6"/>
        <v>('20Feb250031','070000174823','24500',(select max(to_number(i.premium_rcv_detail_code))+1
from ins_premium_det i),'24500','24500','02', '11000003','00','Request by Mr.Saqib Saleem 20-Feb-2025');</v>
      </c>
      <c r="H87" s="21" t="str">
        <f t="shared" si="7"/>
        <v>insert into ins_premium_det (premium_rcv_code,assorted_code, rec_amount,premium_rcv_detail_code,remaining_amt, payrec, mode_code,coinsurance_code,class_cd,it_remarks) values('20Feb250031','070000174823','24500',(select max(to_number(i.premium_rcv_detail_code))+1
from ins_premium_det i),'24500','24500','02', '11000003','00','Request by Mr.Saqib Saleem 20-Feb-2025');</v>
      </c>
    </row>
    <row r="88" spans="1:8" ht="105">
      <c r="A88" s="1" t="s">
        <v>810</v>
      </c>
      <c r="B88" s="17" t="str">
        <f>VLOOKUP(A88,policy!B:C,2,0)</f>
        <v>070000174085</v>
      </c>
      <c r="C88" s="1">
        <v>53358</v>
      </c>
      <c r="D88" s="18">
        <f t="shared" si="5"/>
        <v>53358</v>
      </c>
      <c r="E88" s="22" t="s">
        <v>1244</v>
      </c>
      <c r="F88" s="19" t="str">
        <f t="shared" si="4"/>
        <v>insert into ins_premium_det (premium_rcv_code,assorted_code, rec_amount,premium_rcv_detail_code,remaining_amt, payrec, mode_code,coinsurance_code,class_cd,it_remarks) values</v>
      </c>
      <c r="G88" s="20" t="str">
        <f t="shared" si="6"/>
        <v>('20Feb250031','070000174085','53358',(select max(to_number(i.premium_rcv_detail_code))+1
from ins_premium_det i),'53358','53358','02', '11000003','00','Request by Mr.Saqib Saleem 20-Feb-2025');</v>
      </c>
      <c r="H88" s="21" t="str">
        <f t="shared" si="7"/>
        <v>insert into ins_premium_det (premium_rcv_code,assorted_code, rec_amount,premium_rcv_detail_code,remaining_amt, payrec, mode_code,coinsurance_code,class_cd,it_remarks) values('20Feb250031','070000174085','53358',(select max(to_number(i.premium_rcv_detail_code))+1
from ins_premium_det i),'53358','53358','02', '11000003','00','Request by Mr.Saqib Saleem 20-Feb-2025');</v>
      </c>
    </row>
    <row r="89" spans="1:8" ht="105">
      <c r="A89" s="1" t="s">
        <v>811</v>
      </c>
      <c r="B89" s="17" t="str">
        <f>VLOOKUP(A89,policy!B:C,2,0)</f>
        <v>070000174994</v>
      </c>
      <c r="C89" s="1">
        <v>50575</v>
      </c>
      <c r="D89" s="18">
        <f t="shared" si="5"/>
        <v>50575</v>
      </c>
      <c r="E89" s="22" t="s">
        <v>1244</v>
      </c>
      <c r="F89" s="19" t="str">
        <f t="shared" si="4"/>
        <v>insert into ins_premium_det (premium_rcv_code,assorted_code, rec_amount,premium_rcv_detail_code,remaining_amt, payrec, mode_code,coinsurance_code,class_cd,it_remarks) values</v>
      </c>
      <c r="G89" s="20" t="str">
        <f t="shared" si="6"/>
        <v>('20Feb250031','070000174994','50575',(select max(to_number(i.premium_rcv_detail_code))+1
from ins_premium_det i),'50575','50575','02', '11000003','00','Request by Mr.Saqib Saleem 20-Feb-2025');</v>
      </c>
      <c r="H89" s="21" t="str">
        <f t="shared" si="7"/>
        <v>insert into ins_premium_det (premium_rcv_code,assorted_code, rec_amount,premium_rcv_detail_code,remaining_amt, payrec, mode_code,coinsurance_code,class_cd,it_remarks) values('20Feb250031','070000174994','50575',(select max(to_number(i.premium_rcv_detail_code))+1
from ins_premium_det i),'50575','50575','02', '11000003','00','Request by Mr.Saqib Saleem 20-Feb-2025');</v>
      </c>
    </row>
    <row r="90" spans="1:8" ht="105">
      <c r="A90" s="1" t="s">
        <v>812</v>
      </c>
      <c r="B90" s="17" t="str">
        <f>VLOOKUP(A90,policy!B:C,2,0)</f>
        <v>070000174995</v>
      </c>
      <c r="C90" s="1">
        <v>41125</v>
      </c>
      <c r="D90" s="18">
        <f t="shared" si="5"/>
        <v>41125</v>
      </c>
      <c r="E90" s="22" t="s">
        <v>1244</v>
      </c>
      <c r="F90" s="19" t="str">
        <f t="shared" si="4"/>
        <v>insert into ins_premium_det (premium_rcv_code,assorted_code, rec_amount,premium_rcv_detail_code,remaining_amt, payrec, mode_code,coinsurance_code,class_cd,it_remarks) values</v>
      </c>
      <c r="G90" s="20" t="str">
        <f t="shared" si="6"/>
        <v>('20Feb250031','070000174995','41125',(select max(to_number(i.premium_rcv_detail_code))+1
from ins_premium_det i),'41125','41125','02', '11000003','00','Request by Mr.Saqib Saleem 20-Feb-2025');</v>
      </c>
      <c r="H90" s="21" t="str">
        <f t="shared" si="7"/>
        <v>insert into ins_premium_det (premium_rcv_code,assorted_code, rec_amount,premium_rcv_detail_code,remaining_amt, payrec, mode_code,coinsurance_code,class_cd,it_remarks) values('20Feb250031','070000174995','41125',(select max(to_number(i.premium_rcv_detail_code))+1
from ins_premium_det i),'41125','41125','02', '11000003','00','Request by Mr.Saqib Saleem 20-Feb-2025');</v>
      </c>
    </row>
    <row r="91" spans="1:8" ht="105">
      <c r="A91" s="1" t="s">
        <v>813</v>
      </c>
      <c r="B91" s="17" t="str">
        <f>VLOOKUP(A91,policy!B:C,2,0)</f>
        <v>070000175142</v>
      </c>
      <c r="C91" s="1">
        <v>60638</v>
      </c>
      <c r="D91" s="18">
        <f t="shared" si="5"/>
        <v>60638</v>
      </c>
      <c r="E91" s="22" t="s">
        <v>1244</v>
      </c>
      <c r="F91" s="19" t="str">
        <f t="shared" si="4"/>
        <v>insert into ins_premium_det (premium_rcv_code,assorted_code, rec_amount,premium_rcv_detail_code,remaining_amt, payrec, mode_code,coinsurance_code,class_cd,it_remarks) values</v>
      </c>
      <c r="G91" s="20" t="str">
        <f t="shared" si="6"/>
        <v>('20Feb250031','070000175142','60638',(select max(to_number(i.premium_rcv_detail_code))+1
from ins_premium_det i),'60638','60638','02', '11000003','00','Request by Mr.Saqib Saleem 20-Feb-2025');</v>
      </c>
      <c r="H91" s="21" t="str">
        <f t="shared" si="7"/>
        <v>insert into ins_premium_det (premium_rcv_code,assorted_code, rec_amount,premium_rcv_detail_code,remaining_amt, payrec, mode_code,coinsurance_code,class_cd,it_remarks) values('20Feb250031','070000175142','60638',(select max(to_number(i.premium_rcv_detail_code))+1
from ins_premium_det i),'60638','60638','02', '11000003','00','Request by Mr.Saqib Saleem 20-Feb-2025');</v>
      </c>
    </row>
    <row r="92" spans="1:8" ht="105">
      <c r="A92" s="1" t="s">
        <v>814</v>
      </c>
      <c r="B92" s="17" t="str">
        <f>VLOOKUP(A92,policy!B:C,2,0)</f>
        <v>070000175498</v>
      </c>
      <c r="C92" s="1">
        <v>80675</v>
      </c>
      <c r="D92" s="18">
        <f t="shared" si="5"/>
        <v>80675</v>
      </c>
      <c r="E92" s="22" t="s">
        <v>1244</v>
      </c>
      <c r="F92" s="19" t="str">
        <f t="shared" si="4"/>
        <v>insert into ins_premium_det (premium_rcv_code,assorted_code, rec_amount,premium_rcv_detail_code,remaining_amt, payrec, mode_code,coinsurance_code,class_cd,it_remarks) values</v>
      </c>
      <c r="G92" s="20" t="str">
        <f t="shared" si="6"/>
        <v>('20Feb250031','070000175498','80675',(select max(to_number(i.premium_rcv_detail_code))+1
from ins_premium_det i),'80675','80675','02', '11000003','00','Request by Mr.Saqib Saleem 20-Feb-2025');</v>
      </c>
      <c r="H92" s="21" t="str">
        <f t="shared" si="7"/>
        <v>insert into ins_premium_det (premium_rcv_code,assorted_code, rec_amount,premium_rcv_detail_code,remaining_amt, payrec, mode_code,coinsurance_code,class_cd,it_remarks) values('20Feb250031','070000175498','80675',(select max(to_number(i.premium_rcv_detail_code))+1
from ins_premium_det i),'80675','80675','02', '11000003','00','Request by Mr.Saqib Saleem 20-Feb-2025');</v>
      </c>
    </row>
    <row r="93" spans="1:8" ht="105">
      <c r="A93" s="1" t="s">
        <v>815</v>
      </c>
      <c r="B93" s="17" t="str">
        <f>VLOOKUP(A93,policy!B:C,2,0)</f>
        <v>070000175454</v>
      </c>
      <c r="C93" s="1">
        <v>87500</v>
      </c>
      <c r="D93" s="18">
        <f t="shared" si="5"/>
        <v>87500</v>
      </c>
      <c r="E93" s="22" t="s">
        <v>1244</v>
      </c>
      <c r="F93" s="19" t="str">
        <f t="shared" si="4"/>
        <v>insert into ins_premium_det (premium_rcv_code,assorted_code, rec_amount,premium_rcv_detail_code,remaining_amt, payrec, mode_code,coinsurance_code,class_cd,it_remarks) values</v>
      </c>
      <c r="G93" s="20" t="str">
        <f t="shared" si="6"/>
        <v>('20Feb250031','070000175454','87500',(select max(to_number(i.premium_rcv_detail_code))+1
from ins_premium_det i),'87500','87500','02', '11000003','00','Request by Mr.Saqib Saleem 20-Feb-2025');</v>
      </c>
      <c r="H93" s="21" t="str">
        <f t="shared" si="7"/>
        <v>insert into ins_premium_det (premium_rcv_code,assorted_code, rec_amount,premium_rcv_detail_code,remaining_amt, payrec, mode_code,coinsurance_code,class_cd,it_remarks) values('20Feb250031','070000175454','87500',(select max(to_number(i.premium_rcv_detail_code))+1
from ins_premium_det i),'87500','87500','02', '11000003','00','Request by Mr.Saqib Saleem 20-Feb-2025');</v>
      </c>
    </row>
    <row r="94" spans="1:8" ht="105">
      <c r="A94" s="1" t="s">
        <v>917</v>
      </c>
      <c r="B94" s="17" t="str">
        <f>VLOOKUP(A94,policy!B:C,2,0)</f>
        <v>070000175482</v>
      </c>
      <c r="C94" s="1">
        <v>53358</v>
      </c>
      <c r="D94" s="18">
        <f t="shared" si="5"/>
        <v>53358</v>
      </c>
      <c r="E94" s="22" t="s">
        <v>1244</v>
      </c>
      <c r="F94" s="19" t="str">
        <f t="shared" si="4"/>
        <v>insert into ins_premium_det (premium_rcv_code,assorted_code, rec_amount,premium_rcv_detail_code,remaining_amt, payrec, mode_code,coinsurance_code,class_cd,it_remarks) values</v>
      </c>
      <c r="G94" s="20" t="str">
        <f t="shared" si="6"/>
        <v>('20Feb250031','070000175482','53358',(select max(to_number(i.premium_rcv_detail_code))+1
from ins_premium_det i),'53358','53358','02', '11000003','00','Request by Mr.Saqib Saleem 20-Feb-2025');</v>
      </c>
      <c r="H94" s="21" t="str">
        <f t="shared" si="7"/>
        <v>insert into ins_premium_det (premium_rcv_code,assorted_code, rec_amount,premium_rcv_detail_code,remaining_amt, payrec, mode_code,coinsurance_code,class_cd,it_remarks) values('20Feb250031','070000175482','53358',(select max(to_number(i.premium_rcv_detail_code))+1
from ins_premium_det i),'53358','53358','02', '11000003','00','Request by Mr.Saqib Saleem 20-Feb-2025');</v>
      </c>
    </row>
    <row r="95" spans="1:8" ht="105">
      <c r="A95" s="1" t="s">
        <v>816</v>
      </c>
      <c r="B95" s="17" t="str">
        <f>VLOOKUP(A95,policy!B:C,2,0)</f>
        <v>070000176293</v>
      </c>
      <c r="C95" s="1">
        <v>89250</v>
      </c>
      <c r="D95" s="18">
        <f t="shared" si="5"/>
        <v>89250</v>
      </c>
      <c r="E95" s="22" t="s">
        <v>1244</v>
      </c>
      <c r="F95" s="19" t="str">
        <f t="shared" si="4"/>
        <v>insert into ins_premium_det (premium_rcv_code,assorted_code, rec_amount,premium_rcv_detail_code,remaining_amt, payrec, mode_code,coinsurance_code,class_cd,it_remarks) values</v>
      </c>
      <c r="G95" s="20" t="str">
        <f t="shared" si="6"/>
        <v>('20Feb250031','070000176293','89250',(select max(to_number(i.premium_rcv_detail_code))+1
from ins_premium_det i),'89250','89250','02', '11000003','00','Request by Mr.Saqib Saleem 20-Feb-2025');</v>
      </c>
      <c r="H95" s="21" t="str">
        <f t="shared" si="7"/>
        <v>insert into ins_premium_det (premium_rcv_code,assorted_code, rec_amount,premium_rcv_detail_code,remaining_amt, payrec, mode_code,coinsurance_code,class_cd,it_remarks) values('20Feb250031','070000176293','89250',(select max(to_number(i.premium_rcv_detail_code))+1
from ins_premium_det i),'89250','89250','02', '11000003','00','Request by Mr.Saqib Saleem 20-Feb-2025');</v>
      </c>
    </row>
    <row r="96" spans="1:8" ht="105">
      <c r="A96" s="1" t="s">
        <v>817</v>
      </c>
      <c r="B96" s="17" t="str">
        <f>VLOOKUP(A96,policy!B:C,2,0)</f>
        <v>070000174063</v>
      </c>
      <c r="C96" s="1">
        <v>53288</v>
      </c>
      <c r="D96" s="18">
        <f t="shared" si="5"/>
        <v>53288</v>
      </c>
      <c r="E96" s="22" t="s">
        <v>1244</v>
      </c>
      <c r="F96" s="19" t="str">
        <f t="shared" si="4"/>
        <v>insert into ins_premium_det (premium_rcv_code,assorted_code, rec_amount,premium_rcv_detail_code,remaining_amt, payrec, mode_code,coinsurance_code,class_cd,it_remarks) values</v>
      </c>
      <c r="G96" s="20" t="str">
        <f t="shared" si="6"/>
        <v>('20Feb250031','070000174063','53288',(select max(to_number(i.premium_rcv_detail_code))+1
from ins_premium_det i),'53288','53288','02', '11000003','00','Request by Mr.Saqib Saleem 20-Feb-2025');</v>
      </c>
      <c r="H96" s="21" t="str">
        <f t="shared" si="7"/>
        <v>insert into ins_premium_det (premium_rcv_code,assorted_code, rec_amount,premium_rcv_detail_code,remaining_amt, payrec, mode_code,coinsurance_code,class_cd,it_remarks) values('20Feb250031','070000174063','53288',(select max(to_number(i.premium_rcv_detail_code))+1
from ins_premium_det i),'53288','53288','02', '11000003','00','Request by Mr.Saqib Saleem 20-Feb-2025');</v>
      </c>
    </row>
    <row r="97" spans="1:8" ht="105">
      <c r="A97" s="1" t="s">
        <v>818</v>
      </c>
      <c r="B97" s="17" t="str">
        <f>VLOOKUP(A97,policy!B:C,2,0)</f>
        <v>070000176338</v>
      </c>
      <c r="C97" s="1">
        <v>70000</v>
      </c>
      <c r="D97" s="18">
        <f t="shared" si="5"/>
        <v>70000</v>
      </c>
      <c r="E97" s="22" t="s">
        <v>1244</v>
      </c>
      <c r="F97" s="19" t="str">
        <f t="shared" si="4"/>
        <v>insert into ins_premium_det (premium_rcv_code,assorted_code, rec_amount,premium_rcv_detail_code,remaining_amt, payrec, mode_code,coinsurance_code,class_cd,it_remarks) values</v>
      </c>
      <c r="G97" s="20" t="str">
        <f t="shared" si="6"/>
        <v>('20Feb250031','070000176338','70000',(select max(to_number(i.premium_rcv_detail_code))+1
from ins_premium_det i),'70000','70000','02', '11000003','00','Request by Mr.Saqib Saleem 20-Feb-2025');</v>
      </c>
      <c r="H97" s="21" t="str">
        <f t="shared" si="7"/>
        <v>insert into ins_premium_det (premium_rcv_code,assorted_code, rec_amount,premium_rcv_detail_code,remaining_amt, payrec, mode_code,coinsurance_code,class_cd,it_remarks) values('20Feb250031','070000176338','70000',(select max(to_number(i.premium_rcv_detail_code))+1
from ins_premium_det i),'70000','70000','02', '11000003','00','Request by Mr.Saqib Saleem 20-Feb-2025');</v>
      </c>
    </row>
    <row r="98" spans="1:8" ht="105">
      <c r="A98" s="1" t="s">
        <v>819</v>
      </c>
      <c r="B98" s="17" t="str">
        <f>VLOOKUP(A98,policy!B:C,2,0)</f>
        <v>070000176330</v>
      </c>
      <c r="C98" s="1">
        <v>41125</v>
      </c>
      <c r="D98" s="18">
        <f t="shared" si="5"/>
        <v>41125</v>
      </c>
      <c r="E98" s="22" t="s">
        <v>1244</v>
      </c>
      <c r="F98" s="19" t="str">
        <f t="shared" si="4"/>
        <v>insert into ins_premium_det (premium_rcv_code,assorted_code, rec_amount,premium_rcv_detail_code,remaining_amt, payrec, mode_code,coinsurance_code,class_cd,it_remarks) values</v>
      </c>
      <c r="G98" s="20" t="str">
        <f t="shared" si="6"/>
        <v>('20Feb250031','070000176330','41125',(select max(to_number(i.premium_rcv_detail_code))+1
from ins_premium_det i),'41125','41125','02', '11000003','00','Request by Mr.Saqib Saleem 20-Feb-2025');</v>
      </c>
      <c r="H98" s="21" t="str">
        <f t="shared" si="7"/>
        <v>insert into ins_premium_det (premium_rcv_code,assorted_code, rec_amount,premium_rcv_detail_code,remaining_amt, payrec, mode_code,coinsurance_code,class_cd,it_remarks) values('20Feb250031','070000176330','41125',(select max(to_number(i.premium_rcv_detail_code))+1
from ins_premium_det i),'41125','41125','02', '11000003','00','Request by Mr.Saqib Saleem 20-Feb-2025');</v>
      </c>
    </row>
    <row r="99" spans="1:8" ht="105">
      <c r="A99" s="1" t="s">
        <v>820</v>
      </c>
      <c r="B99" s="17" t="str">
        <f>VLOOKUP(A99,policy!B:C,2,0)</f>
        <v>070000175439</v>
      </c>
      <c r="C99" s="1">
        <v>70000</v>
      </c>
      <c r="D99" s="18">
        <f t="shared" si="5"/>
        <v>70000</v>
      </c>
      <c r="E99" s="22" t="s">
        <v>1244</v>
      </c>
      <c r="F99" s="19" t="str">
        <f t="shared" si="4"/>
        <v>insert into ins_premium_det (premium_rcv_code,assorted_code, rec_amount,premium_rcv_detail_code,remaining_amt, payrec, mode_code,coinsurance_code,class_cd,it_remarks) values</v>
      </c>
      <c r="G99" s="20" t="str">
        <f t="shared" si="6"/>
        <v>('20Feb250031','070000175439','70000',(select max(to_number(i.premium_rcv_detail_code))+1
from ins_premium_det i),'70000','70000','02', '11000003','00','Request by Mr.Saqib Saleem 20-Feb-2025');</v>
      </c>
      <c r="H99" s="21" t="str">
        <f t="shared" si="7"/>
        <v>insert into ins_premium_det (premium_rcv_code,assorted_code, rec_amount,premium_rcv_detail_code,remaining_amt, payrec, mode_code,coinsurance_code,class_cd,it_remarks) values('20Feb250031','070000175439','70000',(select max(to_number(i.premium_rcv_detail_code))+1
from ins_premium_det i),'70000','70000','02', '11000003','00','Request by Mr.Saqib Saleem 20-Feb-2025');</v>
      </c>
    </row>
    <row r="100" spans="1:8" ht="105">
      <c r="A100" s="1" t="s">
        <v>918</v>
      </c>
      <c r="B100" s="17" t="str">
        <f>VLOOKUP(A100,policy!B:C,2,0)</f>
        <v>070000176326</v>
      </c>
      <c r="C100" s="1">
        <v>45500</v>
      </c>
      <c r="D100" s="18">
        <f t="shared" si="5"/>
        <v>45500</v>
      </c>
      <c r="E100" s="22" t="s">
        <v>1244</v>
      </c>
      <c r="F100" s="19" t="str">
        <f t="shared" si="4"/>
        <v>insert into ins_premium_det (premium_rcv_code,assorted_code, rec_amount,premium_rcv_detail_code,remaining_amt, payrec, mode_code,coinsurance_code,class_cd,it_remarks) values</v>
      </c>
      <c r="G100" s="20" t="str">
        <f t="shared" si="6"/>
        <v>('20Feb250031','070000176326','45500',(select max(to_number(i.premium_rcv_detail_code))+1
from ins_premium_det i),'45500','45500','02', '11000003','00','Request by Mr.Saqib Saleem 20-Feb-2025');</v>
      </c>
      <c r="H100" s="21" t="str">
        <f t="shared" si="7"/>
        <v>insert into ins_premium_det (premium_rcv_code,assorted_code, rec_amount,premium_rcv_detail_code,remaining_amt, payrec, mode_code,coinsurance_code,class_cd,it_remarks) values('20Feb250031','070000176326','45500',(select max(to_number(i.premium_rcv_detail_code))+1
from ins_premium_det i),'45500','45500','02', '11000003','00','Request by Mr.Saqib Saleem 20-Feb-2025');</v>
      </c>
    </row>
    <row r="101" spans="1:8" ht="105">
      <c r="A101" s="1" t="s">
        <v>821</v>
      </c>
      <c r="B101" s="17" t="str">
        <f>VLOOKUP(A101,policy!B:C,2,0)</f>
        <v>070000176362</v>
      </c>
      <c r="C101" s="1">
        <v>58013</v>
      </c>
      <c r="D101" s="18">
        <f t="shared" si="5"/>
        <v>58013</v>
      </c>
      <c r="E101" s="22" t="s">
        <v>1244</v>
      </c>
      <c r="F101" s="19" t="str">
        <f t="shared" si="4"/>
        <v>insert into ins_premium_det (premium_rcv_code,assorted_code, rec_amount,premium_rcv_detail_code,remaining_amt, payrec, mode_code,coinsurance_code,class_cd,it_remarks) values</v>
      </c>
      <c r="G101" s="20" t="str">
        <f t="shared" si="6"/>
        <v>('20Feb250031','070000176362','58013',(select max(to_number(i.premium_rcv_detail_code))+1
from ins_premium_det i),'58013','58013','02', '11000003','00','Request by Mr.Saqib Saleem 20-Feb-2025');</v>
      </c>
      <c r="H101" s="21" t="str">
        <f t="shared" si="7"/>
        <v>insert into ins_premium_det (premium_rcv_code,assorted_code, rec_amount,premium_rcv_detail_code,remaining_amt, payrec, mode_code,coinsurance_code,class_cd,it_remarks) values('20Feb250031','070000176362','58013',(select max(to_number(i.premium_rcv_detail_code))+1
from ins_premium_det i),'58013','58013','02', '11000003','00','Request by Mr.Saqib Saleem 20-Feb-2025');</v>
      </c>
    </row>
    <row r="102" spans="1:8" ht="105">
      <c r="A102" s="1" t="s">
        <v>822</v>
      </c>
      <c r="B102" s="17" t="str">
        <f>VLOOKUP(A102,policy!B:C,2,0)</f>
        <v>070000176358</v>
      </c>
      <c r="C102" s="1">
        <v>81646</v>
      </c>
      <c r="D102" s="18">
        <f t="shared" si="5"/>
        <v>81646</v>
      </c>
      <c r="E102" s="22" t="s">
        <v>1244</v>
      </c>
      <c r="F102" s="19" t="str">
        <f t="shared" si="4"/>
        <v>insert into ins_premium_det (premium_rcv_code,assorted_code, rec_amount,premium_rcv_detail_code,remaining_amt, payrec, mode_code,coinsurance_code,class_cd,it_remarks) values</v>
      </c>
      <c r="G102" s="20" t="str">
        <f t="shared" si="6"/>
        <v>('20Feb250031','070000176358','81646',(select max(to_number(i.premium_rcv_detail_code))+1
from ins_premium_det i),'81646','81646','02', '11000003','00','Request by Mr.Saqib Saleem 20-Feb-2025');</v>
      </c>
      <c r="H102" s="21" t="str">
        <f t="shared" si="7"/>
        <v>insert into ins_premium_det (premium_rcv_code,assorted_code, rec_amount,premium_rcv_detail_code,remaining_amt, payrec, mode_code,coinsurance_code,class_cd,it_remarks) values('20Feb250031','070000176358','81646',(select max(to_number(i.premium_rcv_detail_code))+1
from ins_premium_det i),'81646','81646','02', '11000003','00','Request by Mr.Saqib Saleem 20-Feb-2025');</v>
      </c>
    </row>
    <row r="103" spans="1:8" ht="105">
      <c r="A103" s="1" t="s">
        <v>919</v>
      </c>
      <c r="B103" s="17" t="str">
        <f>VLOOKUP(A103,policy!B:C,2,0)</f>
        <v>070000176353</v>
      </c>
      <c r="C103" s="1">
        <v>64750</v>
      </c>
      <c r="D103" s="18">
        <f t="shared" si="5"/>
        <v>64750</v>
      </c>
      <c r="E103" s="22" t="s">
        <v>1244</v>
      </c>
      <c r="F103" s="19" t="str">
        <f t="shared" si="4"/>
        <v>insert into ins_premium_det (premium_rcv_code,assorted_code, rec_amount,premium_rcv_detail_code,remaining_amt, payrec, mode_code,coinsurance_code,class_cd,it_remarks) values</v>
      </c>
      <c r="G103" s="20" t="str">
        <f t="shared" si="6"/>
        <v>('20Feb250031','070000176353','64750',(select max(to_number(i.premium_rcv_detail_code))+1
from ins_premium_det i),'64750','64750','02', '11000003','00','Request by Mr.Saqib Saleem 20-Feb-2025');</v>
      </c>
      <c r="H103" s="21" t="str">
        <f t="shared" si="7"/>
        <v>insert into ins_premium_det (premium_rcv_code,assorted_code, rec_amount,premium_rcv_detail_code,remaining_amt, payrec, mode_code,coinsurance_code,class_cd,it_remarks) values('20Feb250031','070000176353','64750',(select max(to_number(i.premium_rcv_detail_code))+1
from ins_premium_det i),'64750','64750','02', '11000003','00','Request by Mr.Saqib Saleem 20-Feb-2025');</v>
      </c>
    </row>
    <row r="104" spans="1:8" ht="105">
      <c r="A104" s="1" t="s">
        <v>823</v>
      </c>
      <c r="B104" s="17" t="str">
        <f>VLOOKUP(A104,policy!B:C,2,0)</f>
        <v>070000173929</v>
      </c>
      <c r="C104" s="1">
        <v>83300</v>
      </c>
      <c r="D104" s="18">
        <f t="shared" si="5"/>
        <v>83300</v>
      </c>
      <c r="E104" s="22" t="s">
        <v>1244</v>
      </c>
      <c r="F104" s="19" t="str">
        <f t="shared" si="4"/>
        <v>insert into ins_premium_det (premium_rcv_code,assorted_code, rec_amount,premium_rcv_detail_code,remaining_amt, payrec, mode_code,coinsurance_code,class_cd,it_remarks) values</v>
      </c>
      <c r="G104" s="20" t="str">
        <f t="shared" si="6"/>
        <v>('20Feb250031','070000173929','83300',(select max(to_number(i.premium_rcv_detail_code))+1
from ins_premium_det i),'83300','83300','02', '11000003','00','Request by Mr.Saqib Saleem 20-Feb-2025');</v>
      </c>
      <c r="H104" s="21" t="str">
        <f t="shared" si="7"/>
        <v>insert into ins_premium_det (premium_rcv_code,assorted_code, rec_amount,premium_rcv_detail_code,remaining_amt, payrec, mode_code,coinsurance_code,class_cd,it_remarks) values('20Feb250031','070000173929','83300',(select max(to_number(i.premium_rcv_detail_code))+1
from ins_premium_det i),'83300','83300','02', '11000003','00','Request by Mr.Saqib Saleem 20-Feb-2025');</v>
      </c>
    </row>
    <row r="105" spans="1:8" ht="105">
      <c r="A105" s="1" t="s">
        <v>824</v>
      </c>
      <c r="B105" s="17" t="str">
        <f>VLOOKUP(A105,policy!B:C,2,0)</f>
        <v>070000174095</v>
      </c>
      <c r="C105" s="1">
        <v>95200</v>
      </c>
      <c r="D105" s="18">
        <f t="shared" si="5"/>
        <v>95200</v>
      </c>
      <c r="E105" s="22" t="s">
        <v>1244</v>
      </c>
      <c r="F105" s="19" t="str">
        <f t="shared" si="4"/>
        <v>insert into ins_premium_det (premium_rcv_code,assorted_code, rec_amount,premium_rcv_detail_code,remaining_amt, payrec, mode_code,coinsurance_code,class_cd,it_remarks) values</v>
      </c>
      <c r="G105" s="20" t="str">
        <f t="shared" si="6"/>
        <v>('20Feb250031','070000174095','95200',(select max(to_number(i.premium_rcv_detail_code))+1
from ins_premium_det i),'95200','95200','02', '11000003','00','Request by Mr.Saqib Saleem 20-Feb-2025');</v>
      </c>
      <c r="H105" s="21" t="str">
        <f t="shared" si="7"/>
        <v>insert into ins_premium_det (premium_rcv_code,assorted_code, rec_amount,premium_rcv_detail_code,remaining_amt, payrec, mode_code,coinsurance_code,class_cd,it_remarks) values('20Feb250031','070000174095','95200',(select max(to_number(i.premium_rcv_detail_code))+1
from ins_premium_det i),'95200','95200','02', '11000003','00','Request by Mr.Saqib Saleem 20-Feb-2025');</v>
      </c>
    </row>
    <row r="106" spans="1:8" ht="105">
      <c r="A106" s="1" t="s">
        <v>825</v>
      </c>
      <c r="B106" s="17" t="str">
        <f>VLOOKUP(A106,policy!B:C,2,0)</f>
        <v>070000174108</v>
      </c>
      <c r="C106" s="1">
        <v>60900</v>
      </c>
      <c r="D106" s="18">
        <f t="shared" si="5"/>
        <v>60900</v>
      </c>
      <c r="E106" s="22" t="s">
        <v>1244</v>
      </c>
      <c r="F106" s="19" t="str">
        <f t="shared" si="4"/>
        <v>insert into ins_premium_det (premium_rcv_code,assorted_code, rec_amount,premium_rcv_detail_code,remaining_amt, payrec, mode_code,coinsurance_code,class_cd,it_remarks) values</v>
      </c>
      <c r="G106" s="20" t="str">
        <f t="shared" si="6"/>
        <v>('20Feb250031','070000174108','60900',(select max(to_number(i.premium_rcv_detail_code))+1
from ins_premium_det i),'60900','60900','02', '11000003','00','Request by Mr.Saqib Saleem 20-Feb-2025');</v>
      </c>
      <c r="H106" s="21" t="str">
        <f t="shared" si="7"/>
        <v>insert into ins_premium_det (premium_rcv_code,assorted_code, rec_amount,premium_rcv_detail_code,remaining_amt, payrec, mode_code,coinsurance_code,class_cd,it_remarks) values('20Feb250031','070000174108','60900',(select max(to_number(i.premium_rcv_detail_code))+1
from ins_premium_det i),'60900','60900','02', '11000003','00','Request by Mr.Saqib Saleem 20-Feb-2025');</v>
      </c>
    </row>
    <row r="107" spans="1:8" ht="105">
      <c r="A107" s="1" t="s">
        <v>826</v>
      </c>
      <c r="B107" s="17" t="str">
        <f>VLOOKUP(A107,policy!B:C,2,0)</f>
        <v>070000174042</v>
      </c>
      <c r="C107" s="1">
        <v>94380</v>
      </c>
      <c r="D107" s="18">
        <f t="shared" si="5"/>
        <v>94380</v>
      </c>
      <c r="E107" s="22" t="s">
        <v>1244</v>
      </c>
      <c r="F107" s="19" t="str">
        <f t="shared" si="4"/>
        <v>insert into ins_premium_det (premium_rcv_code,assorted_code, rec_amount,premium_rcv_detail_code,remaining_amt, payrec, mode_code,coinsurance_code,class_cd,it_remarks) values</v>
      </c>
      <c r="G107" s="20" t="str">
        <f t="shared" si="6"/>
        <v>('20Feb250031','070000174042','94380',(select max(to_number(i.premium_rcv_detail_code))+1
from ins_premium_det i),'94380','94380','02', '11000003','00','Request by Mr.Saqib Saleem 20-Feb-2025');</v>
      </c>
      <c r="H107" s="21" t="str">
        <f t="shared" si="7"/>
        <v>insert into ins_premium_det (premium_rcv_code,assorted_code, rec_amount,premium_rcv_detail_code,remaining_amt, payrec, mode_code,coinsurance_code,class_cd,it_remarks) values('20Feb250031','070000174042','94380',(select max(to_number(i.premium_rcv_detail_code))+1
from ins_premium_det i),'94380','94380','02', '11000003','00','Request by Mr.Saqib Saleem 20-Feb-2025');</v>
      </c>
    </row>
    <row r="108" spans="1:8" ht="105">
      <c r="A108" s="1" t="s">
        <v>827</v>
      </c>
      <c r="B108" t="s">
        <v>1241</v>
      </c>
      <c r="C108" s="1">
        <v>66483</v>
      </c>
      <c r="D108" s="18">
        <f t="shared" si="5"/>
        <v>66483</v>
      </c>
      <c r="E108" s="22" t="s">
        <v>1244</v>
      </c>
      <c r="F108" s="19" t="str">
        <f t="shared" si="4"/>
        <v>insert into ins_premium_det (premium_rcv_code,assorted_code, rec_amount,premium_rcv_detail_code,remaining_amt, payrec, mode_code,coinsurance_code,class_cd,it_remarks) values</v>
      </c>
      <c r="G108" s="20" t="str">
        <f t="shared" si="6"/>
        <v>('20Feb250031','070000174041','66483',(select max(to_number(i.premium_rcv_detail_code))+1
from ins_premium_det i),'66483','66483','02', '11000003','00','Request by Mr.Saqib Saleem 20-Feb-2025');</v>
      </c>
      <c r="H108" s="21" t="str">
        <f t="shared" si="7"/>
        <v>insert into ins_premium_det (premium_rcv_code,assorted_code, rec_amount,premium_rcv_detail_code,remaining_amt, payrec, mode_code,coinsurance_code,class_cd,it_remarks) values('20Feb250031','070000174041','66483',(select max(to_number(i.premium_rcv_detail_code))+1
from ins_premium_det i),'66483','66483','02', '11000003','00','Request by Mr.Saqib Saleem 20-Feb-2025');</v>
      </c>
    </row>
    <row r="109" spans="1:8" ht="105">
      <c r="A109" s="1" t="s">
        <v>828</v>
      </c>
      <c r="B109" s="17" t="str">
        <f>VLOOKUP(A109,policy!B:C,2,0)</f>
        <v>070000173680</v>
      </c>
      <c r="C109" s="1">
        <v>75250</v>
      </c>
      <c r="D109" s="18">
        <f t="shared" si="5"/>
        <v>75250</v>
      </c>
      <c r="E109" s="22" t="s">
        <v>1244</v>
      </c>
      <c r="F109" s="19" t="str">
        <f t="shared" si="4"/>
        <v>insert into ins_premium_det (premium_rcv_code,assorted_code, rec_amount,premium_rcv_detail_code,remaining_amt, payrec, mode_code,coinsurance_code,class_cd,it_remarks) values</v>
      </c>
      <c r="G109" s="20" t="str">
        <f t="shared" si="6"/>
        <v>('20Feb250031','070000173680','75250',(select max(to_number(i.premium_rcv_detail_code))+1
from ins_premium_det i),'75250','75250','02', '11000003','00','Request by Mr.Saqib Saleem 20-Feb-2025');</v>
      </c>
      <c r="H109" s="21" t="str">
        <f t="shared" si="7"/>
        <v>insert into ins_premium_det (premium_rcv_code,assorted_code, rec_amount,premium_rcv_detail_code,remaining_amt, payrec, mode_code,coinsurance_code,class_cd,it_remarks) values('20Feb250031','070000173680','75250',(select max(to_number(i.premium_rcv_detail_code))+1
from ins_premium_det i),'75250','75250','02', '11000003','00','Request by Mr.Saqib Saleem 20-Feb-2025');</v>
      </c>
    </row>
    <row r="110" spans="1:8" ht="105">
      <c r="A110" s="1" t="s">
        <v>829</v>
      </c>
      <c r="B110" s="17" t="str">
        <f>VLOOKUP(A110,policy!B:C,2,0)</f>
        <v>070000173846</v>
      </c>
      <c r="C110" s="1">
        <v>34000</v>
      </c>
      <c r="D110" s="18">
        <f t="shared" si="5"/>
        <v>34000</v>
      </c>
      <c r="E110" s="22" t="s">
        <v>1244</v>
      </c>
      <c r="F110" s="19" t="str">
        <f t="shared" si="4"/>
        <v>insert into ins_premium_det (premium_rcv_code,assorted_code, rec_amount,premium_rcv_detail_code,remaining_amt, payrec, mode_code,coinsurance_code,class_cd,it_remarks) values</v>
      </c>
      <c r="G110" s="20" t="str">
        <f t="shared" si="6"/>
        <v>('20Feb250031','070000173846','34000',(select max(to_number(i.premium_rcv_detail_code))+1
from ins_premium_det i),'34000','34000','02', '11000003','00','Request by Mr.Saqib Saleem 20-Feb-2025');</v>
      </c>
      <c r="H110" s="21" t="str">
        <f t="shared" si="7"/>
        <v>insert into ins_premium_det (premium_rcv_code,assorted_code, rec_amount,premium_rcv_detail_code,remaining_amt, payrec, mode_code,coinsurance_code,class_cd,it_remarks) values('20Feb250031','070000173846','34000',(select max(to_number(i.premium_rcv_detail_code))+1
from ins_premium_det i),'34000','34000','02', '11000003','00','Request by Mr.Saqib Saleem 20-Feb-2025');</v>
      </c>
    </row>
    <row r="111" spans="1:8" ht="105">
      <c r="A111" s="1" t="s">
        <v>830</v>
      </c>
      <c r="B111" s="17" t="str">
        <f>VLOOKUP(A111,policy!B:C,2,0)</f>
        <v>070000173881</v>
      </c>
      <c r="C111" s="1">
        <v>70000</v>
      </c>
      <c r="D111" s="18">
        <f t="shared" si="5"/>
        <v>70000</v>
      </c>
      <c r="E111" s="22" t="s">
        <v>1244</v>
      </c>
      <c r="F111" s="19" t="str">
        <f t="shared" si="4"/>
        <v>insert into ins_premium_det (premium_rcv_code,assorted_code, rec_amount,premium_rcv_detail_code,remaining_amt, payrec, mode_code,coinsurance_code,class_cd,it_remarks) values</v>
      </c>
      <c r="G111" s="20" t="str">
        <f t="shared" si="6"/>
        <v>('20Feb250031','070000173881','70000',(select max(to_number(i.premium_rcv_detail_code))+1
from ins_premium_det i),'70000','70000','02', '11000003','00','Request by Mr.Saqib Saleem 20-Feb-2025');</v>
      </c>
      <c r="H111" s="21" t="str">
        <f t="shared" si="7"/>
        <v>insert into ins_premium_det (premium_rcv_code,assorted_code, rec_amount,premium_rcv_detail_code,remaining_amt, payrec, mode_code,coinsurance_code,class_cd,it_remarks) values('20Feb250031','070000173881','70000',(select max(to_number(i.premium_rcv_detail_code))+1
from ins_premium_det i),'70000','70000','02', '11000003','00','Request by Mr.Saqib Saleem 20-Feb-2025');</v>
      </c>
    </row>
    <row r="112" spans="1:8" ht="105">
      <c r="A112" s="1" t="s">
        <v>920</v>
      </c>
      <c r="B112" s="17" t="str">
        <f>VLOOKUP(A112,policy!B:C,2,0)</f>
        <v>070000173828</v>
      </c>
      <c r="C112" s="1">
        <v>68700</v>
      </c>
      <c r="D112" s="18">
        <f t="shared" si="5"/>
        <v>68700</v>
      </c>
      <c r="E112" s="22" t="s">
        <v>1244</v>
      </c>
      <c r="F112" s="19" t="str">
        <f t="shared" si="4"/>
        <v>insert into ins_premium_det (premium_rcv_code,assorted_code, rec_amount,premium_rcv_detail_code,remaining_amt, payrec, mode_code,coinsurance_code,class_cd,it_remarks) values</v>
      </c>
      <c r="G112" s="20" t="str">
        <f t="shared" si="6"/>
        <v>('20Feb250031','070000173828','68700',(select max(to_number(i.premium_rcv_detail_code))+1
from ins_premium_det i),'68700','68700','02', '11000003','00','Request by Mr.Saqib Saleem 20-Feb-2025');</v>
      </c>
      <c r="H112" s="21" t="str">
        <f t="shared" si="7"/>
        <v>insert into ins_premium_det (premium_rcv_code,assorted_code, rec_amount,premium_rcv_detail_code,remaining_amt, payrec, mode_code,coinsurance_code,class_cd,it_remarks) values('20Feb250031','070000173828','68700',(select max(to_number(i.premium_rcv_detail_code))+1
from ins_premium_det i),'68700','68700','02', '11000003','00','Request by Mr.Saqib Saleem 20-Feb-2025');</v>
      </c>
    </row>
    <row r="113" spans="1:8" ht="105">
      <c r="A113" s="1" t="s">
        <v>831</v>
      </c>
      <c r="B113" s="17" t="str">
        <f>VLOOKUP(A113,policy!B:C,2,0)</f>
        <v>070000173993</v>
      </c>
      <c r="C113" s="1">
        <v>62125</v>
      </c>
      <c r="D113" s="18">
        <f t="shared" si="5"/>
        <v>62125</v>
      </c>
      <c r="E113" s="22" t="s">
        <v>1244</v>
      </c>
      <c r="F113" s="19" t="str">
        <f t="shared" si="4"/>
        <v>insert into ins_premium_det (premium_rcv_code,assorted_code, rec_amount,premium_rcv_detail_code,remaining_amt, payrec, mode_code,coinsurance_code,class_cd,it_remarks) values</v>
      </c>
      <c r="G113" s="20" t="str">
        <f t="shared" si="6"/>
        <v>('20Feb250031','070000173993','62125',(select max(to_number(i.premium_rcv_detail_code))+1
from ins_premium_det i),'62125','62125','02', '11000003','00','Request by Mr.Saqib Saleem 20-Feb-2025');</v>
      </c>
      <c r="H113" s="21" t="str">
        <f t="shared" si="7"/>
        <v>insert into ins_premium_det (premium_rcv_code,assorted_code, rec_amount,premium_rcv_detail_code,remaining_amt, payrec, mode_code,coinsurance_code,class_cd,it_remarks) values('20Feb250031','070000173993','62125',(select max(to_number(i.premium_rcv_detail_code))+1
from ins_premium_det i),'62125','62125','02', '11000003','00','Request by Mr.Saqib Saleem 20-Feb-2025');</v>
      </c>
    </row>
    <row r="114" spans="1:8" ht="105">
      <c r="A114" s="1" t="s">
        <v>832</v>
      </c>
      <c r="B114" s="17" t="str">
        <f>VLOOKUP(A114,policy!B:C,2,0)</f>
        <v>070000174007</v>
      </c>
      <c r="C114" s="1">
        <v>83300</v>
      </c>
      <c r="D114" s="18">
        <f t="shared" si="5"/>
        <v>83300</v>
      </c>
      <c r="E114" s="22" t="s">
        <v>1244</v>
      </c>
      <c r="F114" s="19" t="str">
        <f t="shared" si="4"/>
        <v>insert into ins_premium_det (premium_rcv_code,assorted_code, rec_amount,premium_rcv_detail_code,remaining_amt, payrec, mode_code,coinsurance_code,class_cd,it_remarks) values</v>
      </c>
      <c r="G114" s="20" t="str">
        <f t="shared" si="6"/>
        <v>('20Feb250031','070000174007','83300',(select max(to_number(i.premium_rcv_detail_code))+1
from ins_premium_det i),'83300','83300','02', '11000003','00','Request by Mr.Saqib Saleem 20-Feb-2025');</v>
      </c>
      <c r="H114" s="21" t="str">
        <f t="shared" si="7"/>
        <v>insert into ins_premium_det (premium_rcv_code,assorted_code, rec_amount,premium_rcv_detail_code,remaining_amt, payrec, mode_code,coinsurance_code,class_cd,it_remarks) values('20Feb250031','070000174007','83300',(select max(to_number(i.premium_rcv_detail_code))+1
from ins_premium_det i),'83300','83300','02', '11000003','00','Request by Mr.Saqib Saleem 20-Feb-2025');</v>
      </c>
    </row>
    <row r="115" spans="1:8" ht="105">
      <c r="A115" s="1" t="s">
        <v>833</v>
      </c>
      <c r="B115" s="17" t="str">
        <f>VLOOKUP(A115,policy!B:C,2,0)</f>
        <v>070000174011</v>
      </c>
      <c r="C115" s="1">
        <v>68250</v>
      </c>
      <c r="D115" s="18">
        <f t="shared" si="5"/>
        <v>68250</v>
      </c>
      <c r="E115" s="22" t="s">
        <v>1244</v>
      </c>
      <c r="F115" s="19" t="str">
        <f t="shared" si="4"/>
        <v>insert into ins_premium_det (premium_rcv_code,assorted_code, rec_amount,premium_rcv_detail_code,remaining_amt, payrec, mode_code,coinsurance_code,class_cd,it_remarks) values</v>
      </c>
      <c r="G115" s="20" t="str">
        <f t="shared" si="6"/>
        <v>('20Feb250031','070000174011','68250',(select max(to_number(i.premium_rcv_detail_code))+1
from ins_premium_det i),'68250','68250','02', '11000003','00','Request by Mr.Saqib Saleem 20-Feb-2025');</v>
      </c>
      <c r="H115" s="21" t="str">
        <f t="shared" si="7"/>
        <v>insert into ins_premium_det (premium_rcv_code,assorted_code, rec_amount,premium_rcv_detail_code,remaining_amt, payrec, mode_code,coinsurance_code,class_cd,it_remarks) values('20Feb250031','070000174011','68250',(select max(to_number(i.premium_rcv_detail_code))+1
from ins_premium_det i),'68250','68250','02', '11000003','00','Request by Mr.Saqib Saleem 20-Feb-2025');</v>
      </c>
    </row>
    <row r="116" spans="1:8" ht="105">
      <c r="A116" s="1" t="s">
        <v>834</v>
      </c>
      <c r="B116" t="s">
        <v>1242</v>
      </c>
      <c r="C116" s="1">
        <v>84490</v>
      </c>
      <c r="D116" s="18">
        <f t="shared" si="5"/>
        <v>84490</v>
      </c>
      <c r="E116" s="22" t="s">
        <v>1244</v>
      </c>
      <c r="F116" s="19" t="str">
        <f t="shared" si="4"/>
        <v>insert into ins_premium_det (premium_rcv_code,assorted_code, rec_amount,premium_rcv_detail_code,remaining_amt, payrec, mode_code,coinsurance_code,class_cd,it_remarks) values</v>
      </c>
      <c r="G116" s="20" t="str">
        <f t="shared" si="6"/>
        <v>('20Feb250031','070000173934','84490',(select max(to_number(i.premium_rcv_detail_code))+1
from ins_premium_det i),'84490','84490','02', '11000003','00','Request by Mr.Saqib Saleem 20-Feb-2025');</v>
      </c>
      <c r="H116" s="21" t="str">
        <f t="shared" si="7"/>
        <v>insert into ins_premium_det (premium_rcv_code,assorted_code, rec_amount,premium_rcv_detail_code,remaining_amt, payrec, mode_code,coinsurance_code,class_cd,it_remarks) values('20Feb250031','070000173934','84490',(select max(to_number(i.premium_rcv_detail_code))+1
from ins_premium_det i),'84490','84490','02', '11000003','00','Request by Mr.Saqib Saleem 20-Feb-2025');</v>
      </c>
    </row>
    <row r="117" spans="1:8" ht="105">
      <c r="A117" s="1" t="s">
        <v>921</v>
      </c>
      <c r="B117" s="17" t="str">
        <f>VLOOKUP(A117,policy!B:C,2,0)</f>
        <v>070000174052</v>
      </c>
      <c r="C117" s="1">
        <v>73500</v>
      </c>
      <c r="D117" s="18">
        <f t="shared" si="5"/>
        <v>73500</v>
      </c>
      <c r="E117" s="22" t="s">
        <v>1244</v>
      </c>
      <c r="F117" s="19" t="str">
        <f t="shared" si="4"/>
        <v>insert into ins_premium_det (premium_rcv_code,assorted_code, rec_amount,premium_rcv_detail_code,remaining_amt, payrec, mode_code,coinsurance_code,class_cd,it_remarks) values</v>
      </c>
      <c r="G117" s="20" t="str">
        <f t="shared" si="6"/>
        <v>('20Feb250031','070000174052','73500',(select max(to_number(i.premium_rcv_detail_code))+1
from ins_premium_det i),'73500','73500','02', '11000003','00','Request by Mr.Saqib Saleem 20-Feb-2025');</v>
      </c>
      <c r="H117" s="21" t="str">
        <f t="shared" si="7"/>
        <v>insert into ins_premium_det (premium_rcv_code,assorted_code, rec_amount,premium_rcv_detail_code,remaining_amt, payrec, mode_code,coinsurance_code,class_cd,it_remarks) values('20Feb250031','070000174052','73500',(select max(to_number(i.premium_rcv_detail_code))+1
from ins_premium_det i),'73500','73500','02', '11000003','00','Request by Mr.Saqib Saleem 20-Feb-2025');</v>
      </c>
    </row>
    <row r="118" spans="1:8" ht="105">
      <c r="A118" s="1" t="s">
        <v>835</v>
      </c>
      <c r="B118" s="17" t="str">
        <f>VLOOKUP(A118,policy!B:C,2,0)</f>
        <v>070000174090</v>
      </c>
      <c r="C118" s="1">
        <v>74900</v>
      </c>
      <c r="D118" s="18">
        <f t="shared" si="5"/>
        <v>74900</v>
      </c>
      <c r="E118" s="22" t="s">
        <v>1244</v>
      </c>
      <c r="F118" s="19" t="str">
        <f t="shared" si="4"/>
        <v>insert into ins_premium_det (premium_rcv_code,assorted_code, rec_amount,premium_rcv_detail_code,remaining_amt, payrec, mode_code,coinsurance_code,class_cd,it_remarks) values</v>
      </c>
      <c r="G118" s="20" t="str">
        <f t="shared" si="6"/>
        <v>('20Feb250031','070000174090','74900',(select max(to_number(i.premium_rcv_detail_code))+1
from ins_premium_det i),'74900','74900','02', '11000003','00','Request by Mr.Saqib Saleem 20-Feb-2025');</v>
      </c>
      <c r="H118" s="21" t="str">
        <f t="shared" si="7"/>
        <v>insert into ins_premium_det (premium_rcv_code,assorted_code, rec_amount,premium_rcv_detail_code,remaining_amt, payrec, mode_code,coinsurance_code,class_cd,it_remarks) values('20Feb250031','070000174090','74900',(select max(to_number(i.premium_rcv_detail_code))+1
from ins_premium_det i),'74900','74900','02', '11000003','00','Request by Mr.Saqib Saleem 20-Feb-2025');</v>
      </c>
    </row>
    <row r="119" spans="1:8" ht="105">
      <c r="A119" s="1" t="s">
        <v>922</v>
      </c>
      <c r="B119" s="17" t="str">
        <f>VLOOKUP(A119,policy!B:C,2,0)</f>
        <v>070000174060</v>
      </c>
      <c r="C119" s="1">
        <v>78750</v>
      </c>
      <c r="D119" s="18">
        <f t="shared" si="5"/>
        <v>78750</v>
      </c>
      <c r="E119" s="22" t="s">
        <v>1244</v>
      </c>
      <c r="F119" s="19" t="str">
        <f t="shared" si="4"/>
        <v>insert into ins_premium_det (premium_rcv_code,assorted_code, rec_amount,premium_rcv_detail_code,remaining_amt, payrec, mode_code,coinsurance_code,class_cd,it_remarks) values</v>
      </c>
      <c r="G119" s="20" t="str">
        <f t="shared" si="6"/>
        <v>('20Feb250031','070000174060','78750',(select max(to_number(i.premium_rcv_detail_code))+1
from ins_premium_det i),'78750','78750','02', '11000003','00','Request by Mr.Saqib Saleem 20-Feb-2025');</v>
      </c>
      <c r="H119" s="21" t="str">
        <f t="shared" si="7"/>
        <v>insert into ins_premium_det (premium_rcv_code,assorted_code, rec_amount,premium_rcv_detail_code,remaining_amt, payrec, mode_code,coinsurance_code,class_cd,it_remarks) values('20Feb250031','070000174060','78750',(select max(to_number(i.premium_rcv_detail_code))+1
from ins_premium_det i),'78750','78750','02', '11000003','00','Request by Mr.Saqib Saleem 20-Feb-2025');</v>
      </c>
    </row>
    <row r="120" spans="1:8" ht="105">
      <c r="A120" s="1" t="s">
        <v>836</v>
      </c>
      <c r="B120" s="17" t="str">
        <f>VLOOKUP(A120,policy!B:C,2,0)</f>
        <v>070000174061</v>
      </c>
      <c r="C120" s="1">
        <v>36750</v>
      </c>
      <c r="D120" s="18">
        <f t="shared" si="5"/>
        <v>36750</v>
      </c>
      <c r="E120" s="22" t="s">
        <v>1244</v>
      </c>
      <c r="F120" s="19" t="str">
        <f t="shared" si="4"/>
        <v>insert into ins_premium_det (premium_rcv_code,assorted_code, rec_amount,premium_rcv_detail_code,remaining_amt, payrec, mode_code,coinsurance_code,class_cd,it_remarks) values</v>
      </c>
      <c r="G120" s="20" t="str">
        <f t="shared" si="6"/>
        <v>('20Feb250031','070000174061','36750',(select max(to_number(i.premium_rcv_detail_code))+1
from ins_premium_det i),'36750','36750','02', '11000003','00','Request by Mr.Saqib Saleem 20-Feb-2025');</v>
      </c>
      <c r="H120" s="21" t="str">
        <f t="shared" si="7"/>
        <v>insert into ins_premium_det (premium_rcv_code,assorted_code, rec_amount,premium_rcv_detail_code,remaining_amt, payrec, mode_code,coinsurance_code,class_cd,it_remarks) values('20Feb250031','070000174061','36750',(select max(to_number(i.premium_rcv_detail_code))+1
from ins_premium_det i),'36750','36750','02', '11000003','00','Request by Mr.Saqib Saleem 20-Feb-2025');</v>
      </c>
    </row>
    <row r="121" spans="1:8" ht="105">
      <c r="A121" s="1" t="s">
        <v>837</v>
      </c>
      <c r="B121" s="17" t="str">
        <f>VLOOKUP(A121,policy!B:C,2,0)</f>
        <v>070000174087</v>
      </c>
      <c r="C121" s="1">
        <v>42875</v>
      </c>
      <c r="D121" s="18">
        <f t="shared" si="5"/>
        <v>42875</v>
      </c>
      <c r="E121" s="22" t="s">
        <v>1244</v>
      </c>
      <c r="F121" s="19" t="str">
        <f t="shared" si="4"/>
        <v>insert into ins_premium_det (premium_rcv_code,assorted_code, rec_amount,premium_rcv_detail_code,remaining_amt, payrec, mode_code,coinsurance_code,class_cd,it_remarks) values</v>
      </c>
      <c r="G121" s="20" t="str">
        <f t="shared" si="6"/>
        <v>('20Feb250031','070000174087','42875',(select max(to_number(i.premium_rcv_detail_code))+1
from ins_premium_det i),'42875','42875','02', '11000003','00','Request by Mr.Saqib Saleem 20-Feb-2025');</v>
      </c>
      <c r="H121" s="21" t="str">
        <f t="shared" si="7"/>
        <v>insert into ins_premium_det (premium_rcv_code,assorted_code, rec_amount,premium_rcv_detail_code,remaining_amt, payrec, mode_code,coinsurance_code,class_cd,it_remarks) values('20Feb250031','070000174087','42875',(select max(to_number(i.premium_rcv_detail_code))+1
from ins_premium_det i),'42875','42875','02', '11000003','00','Request by Mr.Saqib Saleem 20-Feb-2025');</v>
      </c>
    </row>
    <row r="122" spans="1:8" ht="105">
      <c r="A122" s="1" t="s">
        <v>838</v>
      </c>
      <c r="B122" s="17" t="str">
        <f>VLOOKUP(A122,policy!B:C,2,0)</f>
        <v>070000174104</v>
      </c>
      <c r="C122" s="1">
        <v>57750</v>
      </c>
      <c r="D122" s="18">
        <f t="shared" si="5"/>
        <v>57750</v>
      </c>
      <c r="E122" s="22" t="s">
        <v>1244</v>
      </c>
      <c r="F122" s="19" t="str">
        <f t="shared" si="4"/>
        <v>insert into ins_premium_det (premium_rcv_code,assorted_code, rec_amount,premium_rcv_detail_code,remaining_amt, payrec, mode_code,coinsurance_code,class_cd,it_remarks) values</v>
      </c>
      <c r="G122" s="20" t="str">
        <f t="shared" si="6"/>
        <v>('20Feb250031','070000174104','57750',(select max(to_number(i.premium_rcv_detail_code))+1
from ins_premium_det i),'57750','57750','02', '11000003','00','Request by Mr.Saqib Saleem 20-Feb-2025');</v>
      </c>
      <c r="H122" s="21" t="str">
        <f t="shared" si="7"/>
        <v>insert into ins_premium_det (premium_rcv_code,assorted_code, rec_amount,premium_rcv_detail_code,remaining_amt, payrec, mode_code,coinsurance_code,class_cd,it_remarks) values('20Feb250031','070000174104','57750',(select max(to_number(i.premium_rcv_detail_code))+1
from ins_premium_det i),'57750','57750','02', '11000003','00','Request by Mr.Saqib Saleem 20-Feb-2025');</v>
      </c>
    </row>
    <row r="123" spans="1:8" ht="105">
      <c r="A123" s="1" t="s">
        <v>839</v>
      </c>
      <c r="B123" s="17" t="str">
        <f>VLOOKUP(A123,policy!B:C,2,0)</f>
        <v>070000174160</v>
      </c>
      <c r="C123" s="1">
        <v>82583</v>
      </c>
      <c r="D123" s="18">
        <f t="shared" si="5"/>
        <v>82583</v>
      </c>
      <c r="E123" s="22" t="s">
        <v>1244</v>
      </c>
      <c r="F123" s="19" t="str">
        <f t="shared" si="4"/>
        <v>insert into ins_premium_det (premium_rcv_code,assorted_code, rec_amount,premium_rcv_detail_code,remaining_amt, payrec, mode_code,coinsurance_code,class_cd,it_remarks) values</v>
      </c>
      <c r="G123" s="20" t="str">
        <f t="shared" si="6"/>
        <v>('20Feb250031','070000174160','82583',(select max(to_number(i.premium_rcv_detail_code))+1
from ins_premium_det i),'82583','82583','02', '11000003','00','Request by Mr.Saqib Saleem 20-Feb-2025');</v>
      </c>
      <c r="H123" s="21" t="str">
        <f t="shared" si="7"/>
        <v>insert into ins_premium_det (premium_rcv_code,assorted_code, rec_amount,premium_rcv_detail_code,remaining_amt, payrec, mode_code,coinsurance_code,class_cd,it_remarks) values('20Feb250031','070000174160','82583',(select max(to_number(i.premium_rcv_detail_code))+1
from ins_premium_det i),'82583','82583','02', '11000003','00','Request by Mr.Saqib Saleem 20-Feb-2025');</v>
      </c>
    </row>
    <row r="124" spans="1:8" ht="105">
      <c r="A124" s="1" t="s">
        <v>923</v>
      </c>
      <c r="B124" s="17" t="str">
        <f>VLOOKUP(A124,policy!B:C,2,0)</f>
        <v>070000174441</v>
      </c>
      <c r="C124" s="1">
        <v>87000</v>
      </c>
      <c r="D124" s="18">
        <f t="shared" si="5"/>
        <v>87000</v>
      </c>
      <c r="E124" s="22" t="s">
        <v>1244</v>
      </c>
      <c r="F124" s="19" t="str">
        <f t="shared" si="4"/>
        <v>insert into ins_premium_det (premium_rcv_code,assorted_code, rec_amount,premium_rcv_detail_code,remaining_amt, payrec, mode_code,coinsurance_code,class_cd,it_remarks) values</v>
      </c>
      <c r="G124" s="20" t="str">
        <f t="shared" si="6"/>
        <v>('20Feb250031','070000174441','87000',(select max(to_number(i.premium_rcv_detail_code))+1
from ins_premium_det i),'87000','87000','02', '11000003','00','Request by Mr.Saqib Saleem 20-Feb-2025');</v>
      </c>
      <c r="H124" s="21" t="str">
        <f t="shared" si="7"/>
        <v>insert into ins_premium_det (premium_rcv_code,assorted_code, rec_amount,premium_rcv_detail_code,remaining_amt, payrec, mode_code,coinsurance_code,class_cd,it_remarks) values('20Feb250031','070000174441','87000',(select max(to_number(i.premium_rcv_detail_code))+1
from ins_premium_det i),'87000','87000','02', '11000003','00','Request by Mr.Saqib Saleem 20-Feb-2025');</v>
      </c>
    </row>
    <row r="125" spans="1:8" ht="105">
      <c r="A125" s="1" t="s">
        <v>840</v>
      </c>
      <c r="B125" s="17" t="str">
        <f>VLOOKUP(A125,policy!B:C,2,0)</f>
        <v>070000174419</v>
      </c>
      <c r="C125" s="1">
        <v>53288</v>
      </c>
      <c r="D125" s="18">
        <f t="shared" si="5"/>
        <v>53288</v>
      </c>
      <c r="E125" s="22" t="s">
        <v>1244</v>
      </c>
      <c r="F125" s="19" t="str">
        <f t="shared" si="4"/>
        <v>insert into ins_premium_det (premium_rcv_code,assorted_code, rec_amount,premium_rcv_detail_code,remaining_amt, payrec, mode_code,coinsurance_code,class_cd,it_remarks) values</v>
      </c>
      <c r="G125" s="20" t="str">
        <f t="shared" si="6"/>
        <v>('20Feb250031','070000174419','53288',(select max(to_number(i.premium_rcv_detail_code))+1
from ins_premium_det i),'53288','53288','02', '11000003','00','Request by Mr.Saqib Saleem 20-Feb-2025');</v>
      </c>
      <c r="H125" s="21" t="str">
        <f t="shared" si="7"/>
        <v>insert into ins_premium_det (premium_rcv_code,assorted_code, rec_amount,premium_rcv_detail_code,remaining_amt, payrec, mode_code,coinsurance_code,class_cd,it_remarks) values('20Feb250031','070000174419','53288',(select max(to_number(i.premium_rcv_detail_code))+1
from ins_premium_det i),'53288','53288','02', '11000003','00','Request by Mr.Saqib Saleem 20-Feb-2025');</v>
      </c>
    </row>
    <row r="126" spans="1:8" ht="105">
      <c r="A126" s="1" t="s">
        <v>841</v>
      </c>
      <c r="B126" s="17" t="str">
        <f>VLOOKUP(A126,policy!B:C,2,0)</f>
        <v>070000174201</v>
      </c>
      <c r="C126" s="1">
        <v>41125</v>
      </c>
      <c r="D126" s="18">
        <f t="shared" si="5"/>
        <v>41125</v>
      </c>
      <c r="E126" s="22" t="s">
        <v>1244</v>
      </c>
      <c r="F126" s="19" t="str">
        <f t="shared" si="4"/>
        <v>insert into ins_premium_det (premium_rcv_code,assorted_code, rec_amount,premium_rcv_detail_code,remaining_amt, payrec, mode_code,coinsurance_code,class_cd,it_remarks) values</v>
      </c>
      <c r="G126" s="20" t="str">
        <f t="shared" si="6"/>
        <v>('20Feb250031','070000174201','41125',(select max(to_number(i.premium_rcv_detail_code))+1
from ins_premium_det i),'41125','41125','02', '11000003','00','Request by Mr.Saqib Saleem 20-Feb-2025');</v>
      </c>
      <c r="H126" s="21" t="str">
        <f t="shared" si="7"/>
        <v>insert into ins_premium_det (premium_rcv_code,assorted_code, rec_amount,premium_rcv_detail_code,remaining_amt, payrec, mode_code,coinsurance_code,class_cd,it_remarks) values('20Feb250031','070000174201','41125',(select max(to_number(i.premium_rcv_detail_code))+1
from ins_premium_det i),'41125','41125','02', '11000003','00','Request by Mr.Saqib Saleem 20-Feb-2025');</v>
      </c>
    </row>
    <row r="127" spans="1:8" ht="105">
      <c r="A127" s="1" t="s">
        <v>842</v>
      </c>
      <c r="B127" s="17" t="str">
        <f>VLOOKUP(A127,policy!B:C,2,0)</f>
        <v>070000174450</v>
      </c>
      <c r="C127" s="1">
        <v>73500</v>
      </c>
      <c r="D127" s="18">
        <f t="shared" si="5"/>
        <v>73500</v>
      </c>
      <c r="E127" s="22" t="s">
        <v>1244</v>
      </c>
      <c r="F127" s="19" t="str">
        <f t="shared" si="4"/>
        <v>insert into ins_premium_det (premium_rcv_code,assorted_code, rec_amount,premium_rcv_detail_code,remaining_amt, payrec, mode_code,coinsurance_code,class_cd,it_remarks) values</v>
      </c>
      <c r="G127" s="20" t="str">
        <f t="shared" si="6"/>
        <v>('20Feb250031','070000174450','73500',(select max(to_number(i.premium_rcv_detail_code))+1
from ins_premium_det i),'73500','73500','02', '11000003','00','Request by Mr.Saqib Saleem 20-Feb-2025');</v>
      </c>
      <c r="H127" s="21" t="str">
        <f t="shared" si="7"/>
        <v>insert into ins_premium_det (premium_rcv_code,assorted_code, rec_amount,premium_rcv_detail_code,remaining_amt, payrec, mode_code,coinsurance_code,class_cd,it_remarks) values('20Feb250031','070000174450','73500',(select max(to_number(i.premium_rcv_detail_code))+1
from ins_premium_det i),'73500','73500','02', '11000003','00','Request by Mr.Saqib Saleem 20-Feb-2025');</v>
      </c>
    </row>
    <row r="128" spans="1:8" ht="105">
      <c r="A128" s="1" t="s">
        <v>924</v>
      </c>
      <c r="B128" s="17" t="str">
        <f>VLOOKUP(A128,policy!B:C,2,0)</f>
        <v>070000174810</v>
      </c>
      <c r="C128" s="1">
        <v>83423</v>
      </c>
      <c r="D128" s="18">
        <f t="shared" si="5"/>
        <v>83423</v>
      </c>
      <c r="E128" s="22" t="s">
        <v>1244</v>
      </c>
      <c r="F128" s="19" t="str">
        <f t="shared" si="4"/>
        <v>insert into ins_premium_det (premium_rcv_code,assorted_code, rec_amount,premium_rcv_detail_code,remaining_amt, payrec, mode_code,coinsurance_code,class_cd,it_remarks) values</v>
      </c>
      <c r="G128" s="20" t="str">
        <f t="shared" si="6"/>
        <v>('20Feb250031','070000174810','83423',(select max(to_number(i.premium_rcv_detail_code))+1
from ins_premium_det i),'83423','83423','02', '11000003','00','Request by Mr.Saqib Saleem 20-Feb-2025');</v>
      </c>
      <c r="H128" s="21" t="str">
        <f t="shared" si="7"/>
        <v>insert into ins_premium_det (premium_rcv_code,assorted_code, rec_amount,premium_rcv_detail_code,remaining_amt, payrec, mode_code,coinsurance_code,class_cd,it_remarks) values('20Feb250031','070000174810','83423',(select max(to_number(i.premium_rcv_detail_code))+1
from ins_premium_det i),'83423','83423','02', '11000003','00','Request by Mr.Saqib Saleem 20-Feb-2025');</v>
      </c>
    </row>
    <row r="129" spans="1:8" ht="105">
      <c r="A129" s="1" t="s">
        <v>843</v>
      </c>
      <c r="B129" s="17" t="str">
        <f>VLOOKUP(A129,policy!B:C,2,0)</f>
        <v>070000175292</v>
      </c>
      <c r="C129" s="1">
        <v>174980</v>
      </c>
      <c r="D129" s="18">
        <f t="shared" si="5"/>
        <v>174980</v>
      </c>
      <c r="E129" s="22" t="s">
        <v>1244</v>
      </c>
      <c r="F129" s="19" t="str">
        <f t="shared" si="4"/>
        <v>insert into ins_premium_det (premium_rcv_code,assorted_code, rec_amount,premium_rcv_detail_code,remaining_amt, payrec, mode_code,coinsurance_code,class_cd,it_remarks) values</v>
      </c>
      <c r="G129" s="20" t="str">
        <f t="shared" si="6"/>
        <v>('20Feb250031','070000175292','174980',(select max(to_number(i.premium_rcv_detail_code))+1
from ins_premium_det i),'174980','174980','02', '11000003','00','Request by Mr.Saqib Saleem 20-Feb-2025');</v>
      </c>
      <c r="H129" s="21" t="str">
        <f t="shared" si="7"/>
        <v>insert into ins_premium_det (premium_rcv_code,assorted_code, rec_amount,premium_rcv_detail_code,remaining_amt, payrec, mode_code,coinsurance_code,class_cd,it_remarks) values('20Feb250031','070000175292','174980',(select max(to_number(i.premium_rcv_detail_code))+1
from ins_premium_det i),'174980','174980','02', '11000003','00','Request by Mr.Saqib Saleem 20-Feb-2025');</v>
      </c>
    </row>
    <row r="130" spans="1:8" ht="105">
      <c r="A130" s="1" t="s">
        <v>844</v>
      </c>
      <c r="B130" s="17" t="str">
        <f>VLOOKUP(A130,policy!B:C,2,0)</f>
        <v>070000175141</v>
      </c>
      <c r="C130" s="1">
        <v>208696</v>
      </c>
      <c r="D130" s="18">
        <f t="shared" si="5"/>
        <v>208696</v>
      </c>
      <c r="E130" s="22" t="s">
        <v>1244</v>
      </c>
      <c r="F130" s="19" t="str">
        <f t="shared" ref="F130:F151" si="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30" s="20" t="str">
        <f t="shared" si="6"/>
        <v>('20Feb250031','070000175141','208696',(select max(to_number(i.premium_rcv_detail_code))+1
from ins_premium_det i),'208696','208696','02', '11000003','00','Request by Mr.Saqib Saleem 20-Feb-2025');</v>
      </c>
      <c r="H130" s="21" t="str">
        <f t="shared" si="7"/>
        <v>insert into ins_premium_det (premium_rcv_code,assorted_code, rec_amount,premium_rcv_detail_code,remaining_amt, payrec, mode_code,coinsurance_code,class_cd,it_remarks) values('20Feb250031','070000175141','208696',(select max(to_number(i.premium_rcv_detail_code))+1
from ins_premium_det i),'208696','208696','02', '11000003','00','Request by Mr.Saqib Saleem 20-Feb-2025');</v>
      </c>
    </row>
    <row r="131" spans="1:8" ht="105">
      <c r="A131" s="1" t="s">
        <v>845</v>
      </c>
      <c r="B131" t="s">
        <v>1243</v>
      </c>
      <c r="C131" s="1">
        <v>102883</v>
      </c>
      <c r="D131" s="18">
        <f t="shared" ref="D131:D151" si="9">ROUND(C131,0)</f>
        <v>102883</v>
      </c>
      <c r="E131" s="22" t="s">
        <v>1244</v>
      </c>
      <c r="F131" s="19" t="str">
        <f t="shared" si="8"/>
        <v>insert into ins_premium_det (premium_rcv_code,assorted_code, rec_amount,premium_rcv_detail_code,remaining_amt, payrec, mode_code,coinsurance_code,class_cd,it_remarks) values</v>
      </c>
      <c r="G131" s="20" t="str">
        <f t="shared" ref="G131:G151" si="10">"('"&amp;E131&amp;"','"&amp;B131&amp;"','"&amp;D131&amp;"',(select max(to_number(i.premium_rcv_detail_code))+1
from ins_premium_det i),'"&amp;D131&amp;"','"&amp;D131&amp;"','02', '11000003','00','Request by Mr.Saqib Saleem 20-Feb-2025');"</f>
        <v>('20Feb250031','070000176206','102883',(select max(to_number(i.premium_rcv_detail_code))+1
from ins_premium_det i),'102883','102883','02', '11000003','00','Request by Mr.Saqib Saleem 20-Feb-2025');</v>
      </c>
      <c r="H131" s="21" t="str">
        <f t="shared" ref="H131:H151" si="11">F131&amp;G131</f>
        <v>insert into ins_premium_det (premium_rcv_code,assorted_code, rec_amount,premium_rcv_detail_code,remaining_amt, payrec, mode_code,coinsurance_code,class_cd,it_remarks) values('20Feb250031','070000176206','102883',(select max(to_number(i.premium_rcv_detail_code))+1
from ins_premium_det i),'102883','102883','02', '11000003','00','Request by Mr.Saqib Saleem 20-Feb-2025');</v>
      </c>
    </row>
    <row r="132" spans="1:8" ht="105">
      <c r="A132" s="1" t="s">
        <v>924</v>
      </c>
      <c r="B132" s="17" t="str">
        <f>VLOOKUP(A132,policy!B:C,2,0)</f>
        <v>070000174810</v>
      </c>
      <c r="C132" s="1">
        <v>83423</v>
      </c>
      <c r="D132" s="18">
        <f t="shared" si="9"/>
        <v>83423</v>
      </c>
      <c r="E132" s="22" t="s">
        <v>1244</v>
      </c>
      <c r="F132" s="19" t="str">
        <f t="shared" si="8"/>
        <v>insert into ins_premium_det (premium_rcv_code,assorted_code, rec_amount,premium_rcv_detail_code,remaining_amt, payrec, mode_code,coinsurance_code,class_cd,it_remarks) values</v>
      </c>
      <c r="G132" s="20" t="str">
        <f t="shared" si="10"/>
        <v>('20Feb250031','070000174810','83423',(select max(to_number(i.premium_rcv_detail_code))+1
from ins_premium_det i),'83423','83423','02', '11000003','00','Request by Mr.Saqib Saleem 20-Feb-2025');</v>
      </c>
      <c r="H132" s="21" t="str">
        <f t="shared" si="11"/>
        <v>insert into ins_premium_det (premium_rcv_code,assorted_code, rec_amount,premium_rcv_detail_code,remaining_amt, payrec, mode_code,coinsurance_code,class_cd,it_remarks) values('20Feb250031','070000174810','83423',(select max(to_number(i.premium_rcv_detail_code))+1
from ins_premium_det i),'83423','83423','02', '11000003','00','Request by Mr.Saqib Saleem 20-Feb-2025');</v>
      </c>
    </row>
    <row r="133" spans="1:8" ht="105">
      <c r="A133" s="1" t="s">
        <v>846</v>
      </c>
      <c r="B133" s="17" t="str">
        <f>VLOOKUP(A133,policy!B:C,2,0)</f>
        <v>070000176315</v>
      </c>
      <c r="C133" s="1">
        <v>82583</v>
      </c>
      <c r="D133" s="18">
        <f t="shared" si="9"/>
        <v>82583</v>
      </c>
      <c r="E133" s="22" t="s">
        <v>1244</v>
      </c>
      <c r="F133" s="19" t="str">
        <f t="shared" si="8"/>
        <v>insert into ins_premium_det (premium_rcv_code,assorted_code, rec_amount,premium_rcv_detail_code,remaining_amt, payrec, mode_code,coinsurance_code,class_cd,it_remarks) values</v>
      </c>
      <c r="G133" s="20" t="str">
        <f t="shared" si="10"/>
        <v>('20Feb250031','070000176315','82583',(select max(to_number(i.premium_rcv_detail_code))+1
from ins_premium_det i),'82583','82583','02', '11000003','00','Request by Mr.Saqib Saleem 20-Feb-2025');</v>
      </c>
      <c r="H133" s="21" t="str">
        <f t="shared" si="11"/>
        <v>insert into ins_premium_det (premium_rcv_code,assorted_code, rec_amount,premium_rcv_detail_code,remaining_amt, payrec, mode_code,coinsurance_code,class_cd,it_remarks) values('20Feb250031','070000176315','82583',(select max(to_number(i.premium_rcv_detail_code))+1
from ins_premium_det i),'82583','82583','02', '11000003','00','Request by Mr.Saqib Saleem 20-Feb-2025');</v>
      </c>
    </row>
    <row r="134" spans="1:8" ht="105">
      <c r="A134" s="1" t="s">
        <v>847</v>
      </c>
      <c r="B134" s="17" t="str">
        <f>VLOOKUP(A134,policy!B:C,2,0)</f>
        <v>070000174982</v>
      </c>
      <c r="C134" s="1">
        <v>47688</v>
      </c>
      <c r="D134" s="18">
        <f t="shared" si="9"/>
        <v>47688</v>
      </c>
      <c r="E134" s="22" t="s">
        <v>1244</v>
      </c>
      <c r="F134" s="19" t="str">
        <f t="shared" si="8"/>
        <v>insert into ins_premium_det (premium_rcv_code,assorted_code, rec_amount,premium_rcv_detail_code,remaining_amt, payrec, mode_code,coinsurance_code,class_cd,it_remarks) values</v>
      </c>
      <c r="G134" s="20" t="str">
        <f t="shared" si="10"/>
        <v>('20Feb250031','070000174982','47688',(select max(to_number(i.premium_rcv_detail_code))+1
from ins_premium_det i),'47688','47688','02', '11000003','00','Request by Mr.Saqib Saleem 20-Feb-2025');</v>
      </c>
      <c r="H134" s="21" t="str">
        <f t="shared" si="11"/>
        <v>insert into ins_premium_det (premium_rcv_code,assorted_code, rec_amount,premium_rcv_detail_code,remaining_amt, payrec, mode_code,coinsurance_code,class_cd,it_remarks) values('20Feb250031','070000174982','47688',(select max(to_number(i.premium_rcv_detail_code))+1
from ins_premium_det i),'47688','47688','02', '11000003','00','Request by Mr.Saqib Saleem 20-Feb-2025');</v>
      </c>
    </row>
    <row r="135" spans="1:8" ht="105">
      <c r="A135" s="1" t="s">
        <v>848</v>
      </c>
      <c r="B135" s="17" t="str">
        <f>VLOOKUP(A135,policy!B:C,2,0)</f>
        <v>070000175571</v>
      </c>
      <c r="C135" s="1">
        <v>82583</v>
      </c>
      <c r="D135" s="18">
        <f t="shared" si="9"/>
        <v>82583</v>
      </c>
      <c r="E135" s="22" t="s">
        <v>1244</v>
      </c>
      <c r="F135" s="19" t="str">
        <f t="shared" si="8"/>
        <v>insert into ins_premium_det (premium_rcv_code,assorted_code, rec_amount,premium_rcv_detail_code,remaining_amt, payrec, mode_code,coinsurance_code,class_cd,it_remarks) values</v>
      </c>
      <c r="G135" s="20" t="str">
        <f t="shared" si="10"/>
        <v>('20Feb250031','070000175571','82583',(select max(to_number(i.premium_rcv_detail_code))+1
from ins_premium_det i),'82583','82583','02', '11000003','00','Request by Mr.Saqib Saleem 20-Feb-2025');</v>
      </c>
      <c r="H135" s="21" t="str">
        <f t="shared" si="11"/>
        <v>insert into ins_premium_det (premium_rcv_code,assorted_code, rec_amount,premium_rcv_detail_code,remaining_amt, payrec, mode_code,coinsurance_code,class_cd,it_remarks) values('20Feb250031','070000175571','82583',(select max(to_number(i.premium_rcv_detail_code))+1
from ins_premium_det i),'82583','82583','02', '11000003','00','Request by Mr.Saqib Saleem 20-Feb-2025');</v>
      </c>
    </row>
    <row r="136" spans="1:8" ht="105">
      <c r="A136" s="1" t="s">
        <v>925</v>
      </c>
      <c r="B136" s="17" t="str">
        <f>VLOOKUP(A136,policy!B:C,2,0)</f>
        <v>070000175430</v>
      </c>
      <c r="C136" s="1">
        <v>47373</v>
      </c>
      <c r="D136" s="18">
        <f t="shared" si="9"/>
        <v>47373</v>
      </c>
      <c r="E136" s="22" t="s">
        <v>1244</v>
      </c>
      <c r="F136" s="19" t="str">
        <f t="shared" si="8"/>
        <v>insert into ins_premium_det (premium_rcv_code,assorted_code, rec_amount,premium_rcv_detail_code,remaining_amt, payrec, mode_code,coinsurance_code,class_cd,it_remarks) values</v>
      </c>
      <c r="G136" s="20" t="str">
        <f t="shared" si="10"/>
        <v>('20Feb250031','070000175430','47373',(select max(to_number(i.premium_rcv_detail_code))+1
from ins_premium_det i),'47373','47373','02', '11000003','00','Request by Mr.Saqib Saleem 20-Feb-2025');</v>
      </c>
      <c r="H136" s="21" t="str">
        <f t="shared" si="11"/>
        <v>insert into ins_premium_det (premium_rcv_code,assorted_code, rec_amount,premium_rcv_detail_code,remaining_amt, payrec, mode_code,coinsurance_code,class_cd,it_remarks) values('20Feb250031','070000175430','47373',(select max(to_number(i.premium_rcv_detail_code))+1
from ins_premium_det i),'47373','47373','02', '11000003','00','Request by Mr.Saqib Saleem 20-Feb-2025');</v>
      </c>
    </row>
    <row r="137" spans="1:8" ht="105">
      <c r="A137" s="1" t="s">
        <v>849</v>
      </c>
      <c r="B137" s="17" t="str">
        <f>VLOOKUP(A137,policy!B:C,2,0)</f>
        <v>070000174822</v>
      </c>
      <c r="C137" s="1">
        <v>38500</v>
      </c>
      <c r="D137" s="18">
        <f t="shared" si="9"/>
        <v>38500</v>
      </c>
      <c r="E137" s="22" t="s">
        <v>1244</v>
      </c>
      <c r="F137" s="19" t="str">
        <f t="shared" si="8"/>
        <v>insert into ins_premium_det (premium_rcv_code,assorted_code, rec_amount,premium_rcv_detail_code,remaining_amt, payrec, mode_code,coinsurance_code,class_cd,it_remarks) values</v>
      </c>
      <c r="G137" s="20" t="str">
        <f t="shared" si="10"/>
        <v>('20Feb250031','070000174822','38500',(select max(to_number(i.premium_rcv_detail_code))+1
from ins_premium_det i),'38500','38500','02', '11000003','00','Request by Mr.Saqib Saleem 20-Feb-2025');</v>
      </c>
      <c r="H137" s="21" t="str">
        <f t="shared" si="11"/>
        <v>insert into ins_premium_det (premium_rcv_code,assorted_code, rec_amount,premium_rcv_detail_code,remaining_amt, payrec, mode_code,coinsurance_code,class_cd,it_remarks) values('20Feb250031','070000174822','38500',(select max(to_number(i.premium_rcv_detail_code))+1
from ins_premium_det i),'38500','38500','02', '11000003','00','Request by Mr.Saqib Saleem 20-Feb-2025');</v>
      </c>
    </row>
    <row r="138" spans="1:8" ht="105">
      <c r="A138" s="1" t="s">
        <v>850</v>
      </c>
      <c r="B138" s="17" t="str">
        <f>VLOOKUP(A138,policy!B:C,2,0)</f>
        <v>070000176237</v>
      </c>
      <c r="C138" s="1">
        <v>47373</v>
      </c>
      <c r="D138" s="18">
        <f t="shared" si="9"/>
        <v>47373</v>
      </c>
      <c r="E138" s="22" t="s">
        <v>1244</v>
      </c>
      <c r="F138" s="19" t="str">
        <f t="shared" si="8"/>
        <v>insert into ins_premium_det (premium_rcv_code,assorted_code, rec_amount,premium_rcv_detail_code,remaining_amt, payrec, mode_code,coinsurance_code,class_cd,it_remarks) values</v>
      </c>
      <c r="G138" s="20" t="str">
        <f t="shared" si="10"/>
        <v>('20Feb250031','070000176237','47373',(select max(to_number(i.premium_rcv_detail_code))+1
from ins_premium_det i),'47373','47373','02', '11000003','00','Request by Mr.Saqib Saleem 20-Feb-2025');</v>
      </c>
      <c r="H138" s="21" t="str">
        <f t="shared" si="11"/>
        <v>insert into ins_premium_det (premium_rcv_code,assorted_code, rec_amount,premium_rcv_detail_code,remaining_amt, payrec, mode_code,coinsurance_code,class_cd,it_remarks) values('20Feb250031','070000176237','47373',(select max(to_number(i.premium_rcv_detail_code))+1
from ins_premium_det i),'47373','47373','02', '11000003','00','Request by Mr.Saqib Saleem 20-Feb-2025');</v>
      </c>
    </row>
    <row r="139" spans="1:8" ht="105">
      <c r="A139" s="1" t="s">
        <v>851</v>
      </c>
      <c r="B139" s="17" t="str">
        <f>VLOOKUP(A139,policy!B:C,2,0)</f>
        <v>070000176356</v>
      </c>
      <c r="C139" s="1">
        <v>65188</v>
      </c>
      <c r="D139" s="18">
        <f t="shared" si="9"/>
        <v>65188</v>
      </c>
      <c r="E139" s="22" t="s">
        <v>1244</v>
      </c>
      <c r="F139" s="19" t="str">
        <f t="shared" si="8"/>
        <v>insert into ins_premium_det (premium_rcv_code,assorted_code, rec_amount,premium_rcv_detail_code,remaining_amt, payrec, mode_code,coinsurance_code,class_cd,it_remarks) values</v>
      </c>
      <c r="G139" s="20" t="str">
        <f t="shared" si="10"/>
        <v>('20Feb250031','070000176356','65188',(select max(to_number(i.premium_rcv_detail_code))+1
from ins_premium_det i),'65188','65188','02', '11000003','00','Request by Mr.Saqib Saleem 20-Feb-2025');</v>
      </c>
      <c r="H139" s="21" t="str">
        <f t="shared" si="11"/>
        <v>insert into ins_premium_det (premium_rcv_code,assorted_code, rec_amount,premium_rcv_detail_code,remaining_amt, payrec, mode_code,coinsurance_code,class_cd,it_remarks) values('20Feb250031','070000176356','65188',(select max(to_number(i.premium_rcv_detail_code))+1
from ins_premium_det i),'65188','65188','02', '11000003','00','Request by Mr.Saqib Saleem 20-Feb-2025');</v>
      </c>
    </row>
    <row r="140" spans="1:8" ht="105">
      <c r="A140" s="1" t="s">
        <v>852</v>
      </c>
      <c r="B140" s="17" t="str">
        <f>VLOOKUP(A140,policy!B:C,2,0)</f>
        <v>070000176354</v>
      </c>
      <c r="C140" s="1">
        <v>73500</v>
      </c>
      <c r="D140" s="18">
        <f t="shared" si="9"/>
        <v>73500</v>
      </c>
      <c r="E140" s="22" t="s">
        <v>1244</v>
      </c>
      <c r="F140" s="19" t="str">
        <f t="shared" si="8"/>
        <v>insert into ins_premium_det (premium_rcv_code,assorted_code, rec_amount,premium_rcv_detail_code,remaining_amt, payrec, mode_code,coinsurance_code,class_cd,it_remarks) values</v>
      </c>
      <c r="G140" s="20" t="str">
        <f t="shared" si="10"/>
        <v>('20Feb250031','070000176354','73500',(select max(to_number(i.premium_rcv_detail_code))+1
from ins_premium_det i),'73500','73500','02', '11000003','00','Request by Mr.Saqib Saleem 20-Feb-2025');</v>
      </c>
      <c r="H140" s="21" t="str">
        <f t="shared" si="11"/>
        <v>insert into ins_premium_det (premium_rcv_code,assorted_code, rec_amount,premium_rcv_detail_code,remaining_amt, payrec, mode_code,coinsurance_code,class_cd,it_remarks) values('20Feb250031','070000176354','73500',(select max(to_number(i.premium_rcv_detail_code))+1
from ins_premium_det i),'73500','73500','02', '11000003','00','Request by Mr.Saqib Saleem 20-Feb-2025');</v>
      </c>
    </row>
    <row r="141" spans="1:8" ht="105">
      <c r="A141" s="1" t="s">
        <v>853</v>
      </c>
      <c r="B141" s="17" t="str">
        <f>VLOOKUP(A141,policy!B:C,2,0)</f>
        <v>070000176359</v>
      </c>
      <c r="C141" s="1">
        <v>46550</v>
      </c>
      <c r="D141" s="18">
        <f t="shared" si="9"/>
        <v>46550</v>
      </c>
      <c r="E141" s="22" t="s">
        <v>1244</v>
      </c>
      <c r="F141" s="19" t="str">
        <f t="shared" si="8"/>
        <v>insert into ins_premium_det (premium_rcv_code,assorted_code, rec_amount,premium_rcv_detail_code,remaining_amt, payrec, mode_code,coinsurance_code,class_cd,it_remarks) values</v>
      </c>
      <c r="G141" s="20" t="str">
        <f t="shared" si="10"/>
        <v>('20Feb250031','070000176359','46550',(select max(to_number(i.premium_rcv_detail_code))+1
from ins_premium_det i),'46550','46550','02', '11000003','00','Request by Mr.Saqib Saleem 20-Feb-2025');</v>
      </c>
      <c r="H141" s="21" t="str">
        <f t="shared" si="11"/>
        <v>insert into ins_premium_det (premium_rcv_code,assorted_code, rec_amount,premium_rcv_detail_code,remaining_amt, payrec, mode_code,coinsurance_code,class_cd,it_remarks) values('20Feb250031','070000176359','46550',(select max(to_number(i.premium_rcv_detail_code))+1
from ins_premium_det i),'46550','46550','02', '11000003','00','Request by Mr.Saqib Saleem 20-Feb-2025');</v>
      </c>
    </row>
    <row r="142" spans="1:8" ht="105">
      <c r="A142" s="1" t="s">
        <v>926</v>
      </c>
      <c r="B142" s="17" t="str">
        <f>VLOOKUP(A142,policy!B:C,2,0)</f>
        <v>070000176337</v>
      </c>
      <c r="C142" s="1">
        <v>29750</v>
      </c>
      <c r="D142" s="18">
        <f t="shared" si="9"/>
        <v>29750</v>
      </c>
      <c r="E142" s="22" t="s">
        <v>1244</v>
      </c>
      <c r="F142" s="19" t="str">
        <f t="shared" si="8"/>
        <v>insert into ins_premium_det (premium_rcv_code,assorted_code, rec_amount,premium_rcv_detail_code,remaining_amt, payrec, mode_code,coinsurance_code,class_cd,it_remarks) values</v>
      </c>
      <c r="G142" s="20" t="str">
        <f t="shared" si="10"/>
        <v>('20Feb250031','070000176337','29750',(select max(to_number(i.premium_rcv_detail_code))+1
from ins_premium_det i),'29750','29750','02', '11000003','00','Request by Mr.Saqib Saleem 20-Feb-2025');</v>
      </c>
      <c r="H142" s="21" t="str">
        <f t="shared" si="11"/>
        <v>insert into ins_premium_det (premium_rcv_code,assorted_code, rec_amount,premium_rcv_detail_code,remaining_amt, payrec, mode_code,coinsurance_code,class_cd,it_remarks) values('20Feb250031','070000176337','29750',(select max(to_number(i.premium_rcv_detail_code))+1
from ins_premium_det i),'29750','29750','02', '11000003','00','Request by Mr.Saqib Saleem 20-Feb-2025');</v>
      </c>
    </row>
    <row r="143" spans="1:8" ht="105">
      <c r="A143" s="1" t="s">
        <v>854</v>
      </c>
      <c r="B143" s="17" t="str">
        <f>VLOOKUP(A143,policy!B:C,2,0)</f>
        <v>070000176361</v>
      </c>
      <c r="C143" s="1">
        <v>47373</v>
      </c>
      <c r="D143" s="18">
        <f t="shared" si="9"/>
        <v>47373</v>
      </c>
      <c r="E143" s="22" t="s">
        <v>1244</v>
      </c>
      <c r="F143" s="19" t="str">
        <f t="shared" si="8"/>
        <v>insert into ins_premium_det (premium_rcv_code,assorted_code, rec_amount,premium_rcv_detail_code,remaining_amt, payrec, mode_code,coinsurance_code,class_cd,it_remarks) values</v>
      </c>
      <c r="G143" s="20" t="str">
        <f t="shared" si="10"/>
        <v>('20Feb250031','070000176361','47373',(select max(to_number(i.premium_rcv_detail_code))+1
from ins_premium_det i),'47373','47373','02', '11000003','00','Request by Mr.Saqib Saleem 20-Feb-2025');</v>
      </c>
      <c r="H143" s="21" t="str">
        <f t="shared" si="11"/>
        <v>insert into ins_premium_det (premium_rcv_code,assorted_code, rec_amount,premium_rcv_detail_code,remaining_amt, payrec, mode_code,coinsurance_code,class_cd,it_remarks) values('20Feb250031','070000176361','47373',(select max(to_number(i.premium_rcv_detail_code))+1
from ins_premium_det i),'47373','47373','02', '11000003','00','Request by Mr.Saqib Saleem 20-Feb-2025');</v>
      </c>
    </row>
    <row r="144" spans="1:8" ht="105">
      <c r="A144" s="1" t="s">
        <v>855</v>
      </c>
      <c r="B144" s="17" t="str">
        <f>VLOOKUP(A144,policy!B:C,2,0)</f>
        <v>070000176364</v>
      </c>
      <c r="C144" s="1">
        <v>96000</v>
      </c>
      <c r="D144" s="18">
        <f t="shared" si="9"/>
        <v>96000</v>
      </c>
      <c r="E144" s="22" t="s">
        <v>1244</v>
      </c>
      <c r="F144" s="19" t="str">
        <f t="shared" si="8"/>
        <v>insert into ins_premium_det (premium_rcv_code,assorted_code, rec_amount,premium_rcv_detail_code,remaining_amt, payrec, mode_code,coinsurance_code,class_cd,it_remarks) values</v>
      </c>
      <c r="G144" s="20" t="str">
        <f t="shared" si="10"/>
        <v>('20Feb250031','070000176364','96000',(select max(to_number(i.premium_rcv_detail_code))+1
from ins_premium_det i),'96000','96000','02', '11000003','00','Request by Mr.Saqib Saleem 20-Feb-2025');</v>
      </c>
      <c r="H144" s="21" t="str">
        <f t="shared" si="11"/>
        <v>insert into ins_premium_det (premium_rcv_code,assorted_code, rec_amount,premium_rcv_detail_code,remaining_amt, payrec, mode_code,coinsurance_code,class_cd,it_remarks) values('20Feb250031','070000176364','96000',(select max(to_number(i.premium_rcv_detail_code))+1
from ins_premium_det i),'96000','96000','02', '11000003','00','Request by Mr.Saqib Saleem 20-Feb-2025');</v>
      </c>
    </row>
    <row r="145" spans="1:8" ht="105">
      <c r="A145" s="1" t="s">
        <v>856</v>
      </c>
      <c r="B145" s="17" t="str">
        <f>VLOOKUP(A145,policy!B:C,2,0)</f>
        <v>070000173815</v>
      </c>
      <c r="C145" s="1">
        <v>47373</v>
      </c>
      <c r="D145" s="18">
        <f t="shared" si="9"/>
        <v>47373</v>
      </c>
      <c r="E145" s="22" t="s">
        <v>1244</v>
      </c>
      <c r="F145" s="19" t="str">
        <f t="shared" si="8"/>
        <v>insert into ins_premium_det (premium_rcv_code,assorted_code, rec_amount,premium_rcv_detail_code,remaining_amt, payrec, mode_code,coinsurance_code,class_cd,it_remarks) values</v>
      </c>
      <c r="G145" s="20" t="str">
        <f t="shared" si="10"/>
        <v>('20Feb250031','070000173815','47373',(select max(to_number(i.premium_rcv_detail_code))+1
from ins_premium_det i),'47373','47373','02', '11000003','00','Request by Mr.Saqib Saleem 20-Feb-2025');</v>
      </c>
      <c r="H145" s="21" t="str">
        <f t="shared" si="11"/>
        <v>insert into ins_premium_det (premium_rcv_code,assorted_code, rec_amount,premium_rcv_detail_code,remaining_amt, payrec, mode_code,coinsurance_code,class_cd,it_remarks) values('20Feb250031','070000173815','47373',(select max(to_number(i.premium_rcv_detail_code))+1
from ins_premium_det i),'47373','47373','02', '11000003','00','Request by Mr.Saqib Saleem 20-Feb-2025');</v>
      </c>
    </row>
    <row r="146" spans="1:8" ht="105">
      <c r="A146" s="1" t="s">
        <v>857</v>
      </c>
      <c r="B146" s="17" t="str">
        <f>VLOOKUP(A146,policy!B:C,2,0)</f>
        <v>070000174103</v>
      </c>
      <c r="C146" s="1">
        <v>38500</v>
      </c>
      <c r="D146" s="18">
        <f t="shared" si="9"/>
        <v>38500</v>
      </c>
      <c r="E146" s="22" t="s">
        <v>1244</v>
      </c>
      <c r="F146" s="19" t="str">
        <f t="shared" si="8"/>
        <v>insert into ins_premium_det (premium_rcv_code,assorted_code, rec_amount,premium_rcv_detail_code,remaining_amt, payrec, mode_code,coinsurance_code,class_cd,it_remarks) values</v>
      </c>
      <c r="G146" s="20" t="str">
        <f t="shared" si="10"/>
        <v>('20Feb250031','070000174103','38500',(select max(to_number(i.premium_rcv_detail_code))+1
from ins_premium_det i),'38500','38500','02', '11000003','00','Request by Mr.Saqib Saleem 20-Feb-2025');</v>
      </c>
      <c r="H146" s="21" t="str">
        <f t="shared" si="11"/>
        <v>insert into ins_premium_det (premium_rcv_code,assorted_code, rec_amount,premium_rcv_detail_code,remaining_amt, payrec, mode_code,coinsurance_code,class_cd,it_remarks) values('20Feb250031','070000174103','38500',(select max(to_number(i.premium_rcv_detail_code))+1
from ins_premium_det i),'38500','38500','02', '11000003','00','Request by Mr.Saqib Saleem 20-Feb-2025');</v>
      </c>
    </row>
    <row r="147" spans="1:8" ht="105">
      <c r="A147" s="1" t="s">
        <v>858</v>
      </c>
      <c r="B147" s="17" t="str">
        <f>VLOOKUP(A147,policy!B:C,2,0)</f>
        <v>070000173854</v>
      </c>
      <c r="C147" s="1">
        <v>41125</v>
      </c>
      <c r="D147" s="18">
        <f t="shared" si="9"/>
        <v>41125</v>
      </c>
      <c r="E147" s="22" t="s">
        <v>1244</v>
      </c>
      <c r="F147" s="19" t="str">
        <f t="shared" si="8"/>
        <v>insert into ins_premium_det (premium_rcv_code,assorted_code, rec_amount,premium_rcv_detail_code,remaining_amt, payrec, mode_code,coinsurance_code,class_cd,it_remarks) values</v>
      </c>
      <c r="G147" s="20" t="str">
        <f t="shared" si="10"/>
        <v>('20Feb250031','070000173854','41125',(select max(to_number(i.premium_rcv_detail_code))+1
from ins_premium_det i),'41125','41125','02', '11000003','00','Request by Mr.Saqib Saleem 20-Feb-2025');</v>
      </c>
      <c r="H147" s="21" t="str">
        <f t="shared" si="11"/>
        <v>insert into ins_premium_det (premium_rcv_code,assorted_code, rec_amount,premium_rcv_detail_code,remaining_amt, payrec, mode_code,coinsurance_code,class_cd,it_remarks) values('20Feb250031','070000173854','41125',(select max(to_number(i.premium_rcv_detail_code))+1
from ins_premium_det i),'41125','41125','02', '11000003','00','Request by Mr.Saqib Saleem 20-Feb-2025');</v>
      </c>
    </row>
    <row r="148" spans="1:8" ht="105">
      <c r="A148" s="1" t="s">
        <v>859</v>
      </c>
      <c r="B148" s="17" t="str">
        <f>VLOOKUP(A148,policy!B:C,2,0)</f>
        <v>070000173923</v>
      </c>
      <c r="C148" s="1">
        <v>87500</v>
      </c>
      <c r="D148" s="18">
        <f t="shared" si="9"/>
        <v>87500</v>
      </c>
      <c r="E148" s="22" t="s">
        <v>1244</v>
      </c>
      <c r="F148" s="19" t="str">
        <f t="shared" si="8"/>
        <v>insert into ins_premium_det (premium_rcv_code,assorted_code, rec_amount,premium_rcv_detail_code,remaining_amt, payrec, mode_code,coinsurance_code,class_cd,it_remarks) values</v>
      </c>
      <c r="G148" s="20" t="str">
        <f t="shared" si="10"/>
        <v>('20Feb250031','070000173923','87500',(select max(to_number(i.premium_rcv_detail_code))+1
from ins_premium_det i),'87500','87500','02', '11000003','00','Request by Mr.Saqib Saleem 20-Feb-2025');</v>
      </c>
      <c r="H148" s="21" t="str">
        <f t="shared" si="11"/>
        <v>insert into ins_premium_det (premium_rcv_code,assorted_code, rec_amount,premium_rcv_detail_code,remaining_amt, payrec, mode_code,coinsurance_code,class_cd,it_remarks) values('20Feb250031','070000173923','87500',(select max(to_number(i.premium_rcv_detail_code))+1
from ins_premium_det i),'87500','87500','02', '11000003','00','Request by Mr.Saqib Saleem 20-Feb-2025');</v>
      </c>
    </row>
    <row r="149" spans="1:8" ht="105">
      <c r="A149" s="1" t="s">
        <v>860</v>
      </c>
      <c r="B149" s="17" t="str">
        <f>VLOOKUP(A149,policy!B:C,2,0)</f>
        <v>070000174092</v>
      </c>
      <c r="C149" s="1">
        <v>74375</v>
      </c>
      <c r="D149" s="18">
        <f t="shared" si="9"/>
        <v>74375</v>
      </c>
      <c r="E149" s="22" t="s">
        <v>1244</v>
      </c>
      <c r="F149" s="19" t="str">
        <f t="shared" si="8"/>
        <v>insert into ins_premium_det (premium_rcv_code,assorted_code, rec_amount,premium_rcv_detail_code,remaining_amt, payrec, mode_code,coinsurance_code,class_cd,it_remarks) values</v>
      </c>
      <c r="G149" s="20" t="str">
        <f t="shared" si="10"/>
        <v>('20Feb250031','070000174092','74375',(select max(to_number(i.premium_rcv_detail_code))+1
from ins_premium_det i),'74375','74375','02', '11000003','00','Request by Mr.Saqib Saleem 20-Feb-2025');</v>
      </c>
      <c r="H149" s="21" t="str">
        <f t="shared" si="11"/>
        <v>insert into ins_premium_det (premium_rcv_code,assorted_code, rec_amount,premium_rcv_detail_code,remaining_amt, payrec, mode_code,coinsurance_code,class_cd,it_remarks) values('20Feb250031','070000174092','74375',(select max(to_number(i.premium_rcv_detail_code))+1
from ins_premium_det i),'74375','74375','02', '11000003','00','Request by Mr.Saqib Saleem 20-Feb-2025');</v>
      </c>
    </row>
    <row r="150" spans="1:8" ht="105">
      <c r="A150" s="1" t="s">
        <v>861</v>
      </c>
      <c r="B150" s="17" t="str">
        <f>VLOOKUP(A150,policy!B:C,2,0)</f>
        <v>070000174193</v>
      </c>
      <c r="C150" s="1">
        <v>43575</v>
      </c>
      <c r="D150" s="18">
        <f t="shared" si="9"/>
        <v>43575</v>
      </c>
      <c r="E150" s="22" t="s">
        <v>1244</v>
      </c>
      <c r="F150" s="19" t="str">
        <f t="shared" si="8"/>
        <v>insert into ins_premium_det (premium_rcv_code,assorted_code, rec_amount,premium_rcv_detail_code,remaining_amt, payrec, mode_code,coinsurance_code,class_cd,it_remarks) values</v>
      </c>
      <c r="G150" s="20" t="str">
        <f t="shared" si="10"/>
        <v>('20Feb250031','070000174193','43575',(select max(to_number(i.premium_rcv_detail_code))+1
from ins_premium_det i),'43575','43575','02', '11000003','00','Request by Mr.Saqib Saleem 20-Feb-2025');</v>
      </c>
      <c r="H150" s="21" t="str">
        <f t="shared" si="11"/>
        <v>insert into ins_premium_det (premium_rcv_code,assorted_code, rec_amount,premium_rcv_detail_code,remaining_amt, payrec, mode_code,coinsurance_code,class_cd,it_remarks) values('20Feb250031','070000174193','43575',(select max(to_number(i.premium_rcv_detail_code))+1
from ins_premium_det i),'43575','43575','02', '11000003','00','Request by Mr.Saqib Saleem 20-Feb-2025');</v>
      </c>
    </row>
    <row r="151" spans="1:8" ht="105">
      <c r="A151" s="1" t="s">
        <v>862</v>
      </c>
      <c r="B151" s="17" t="str">
        <f>VLOOKUP(A151,policy!B:C,2,0)</f>
        <v>070000174418</v>
      </c>
      <c r="C151" s="1">
        <v>45325</v>
      </c>
      <c r="D151" s="18">
        <f t="shared" si="9"/>
        <v>45325</v>
      </c>
      <c r="E151" s="22" t="s">
        <v>1244</v>
      </c>
      <c r="F151" s="19" t="str">
        <f t="shared" si="8"/>
        <v>insert into ins_premium_det (premium_rcv_code,assorted_code, rec_amount,premium_rcv_detail_code,remaining_amt, payrec, mode_code,coinsurance_code,class_cd,it_remarks) values</v>
      </c>
      <c r="G151" s="20" t="str">
        <f t="shared" si="10"/>
        <v>('20Feb250031','070000174418','45325',(select max(to_number(i.premium_rcv_detail_code))+1
from ins_premium_det i),'45325','45325','02', '11000003','00','Request by Mr.Saqib Saleem 20-Feb-2025');</v>
      </c>
      <c r="H151" s="21" t="str">
        <f t="shared" si="11"/>
        <v>insert into ins_premium_det (premium_rcv_code,assorted_code, rec_amount,premium_rcv_detail_code,remaining_amt, payrec, mode_code,coinsurance_code,class_cd,it_remarks) values('20Feb250031','070000174418','45325',(select max(to_number(i.premium_rcv_detail_code))+1
from ins_premium_det i),'45325','45325','02', '11000003','00','Request by Mr.Saqib Saleem 20-Feb-2025');</v>
      </c>
    </row>
    <row r="153" spans="1:8">
      <c r="D153" s="3">
        <f>SUM(D2:D151)</f>
        <v>9890310</v>
      </c>
    </row>
  </sheetData>
  <conditionalFormatting sqref="A1">
    <cfRule type="duplicateValues" dxfId="4" priority="2"/>
  </conditionalFormatting>
  <conditionalFormatting sqref="B2:B151">
    <cfRule type="duplicateValues" dxfId="3" priority="3"/>
    <cfRule type="duplicateValues" dxfId="2" priority="4"/>
    <cfRule type="duplicateValues" dxfId="1" priority="5"/>
  </conditionalFormatting>
  <conditionalFormatting sqref="A2:A151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E6BD8-1EE6-4DB0-BBF7-9C31BE099715}">
  <dimension ref="A1:J151"/>
  <sheetViews>
    <sheetView topLeftCell="A118" workbookViewId="0">
      <selection activeCell="F136" sqref="F136"/>
    </sheetView>
  </sheetViews>
  <sheetFormatPr defaultRowHeight="15"/>
  <cols>
    <col min="1" max="1" width="44.28515625" bestFit="1" customWidth="1"/>
  </cols>
  <sheetData>
    <row r="1" spans="1:10">
      <c r="H1" t="s">
        <v>1087</v>
      </c>
    </row>
    <row r="2" spans="1:10">
      <c r="A2" s="6" t="s">
        <v>927</v>
      </c>
      <c r="B2" t="s">
        <v>1088</v>
      </c>
      <c r="H2">
        <v>52321</v>
      </c>
      <c r="I2" t="s">
        <v>938</v>
      </c>
      <c r="J2" t="str">
        <f>"ia.assorted_string like '%"&amp;H2&amp;"-"&amp;I2&amp;B2&amp;"%' or"</f>
        <v>ia.assorted_string like '%52321-00001-02-2025%' or</v>
      </c>
    </row>
    <row r="3" spans="1:10">
      <c r="A3" s="1" t="s">
        <v>896</v>
      </c>
      <c r="B3" t="s">
        <v>1089</v>
      </c>
      <c r="H3">
        <v>105332</v>
      </c>
      <c r="I3" t="s">
        <v>939</v>
      </c>
      <c r="J3" t="str">
        <f t="shared" ref="J3:J66" si="0">"ia.assorted_string like '%"&amp;H3&amp;"-"&amp;I3&amp;B3&amp;"%' or"</f>
        <v>ia.assorted_string like '%105332-00097-01-2025%' or</v>
      </c>
    </row>
    <row r="4" spans="1:10">
      <c r="A4" s="6" t="s">
        <v>928</v>
      </c>
      <c r="B4" t="s">
        <v>1088</v>
      </c>
      <c r="H4">
        <v>52321</v>
      </c>
      <c r="I4" t="s">
        <v>940</v>
      </c>
      <c r="J4" t="str">
        <f t="shared" si="0"/>
        <v>ia.assorted_string like '%52321-00118-02-2025%' or</v>
      </c>
    </row>
    <row r="5" spans="1:10">
      <c r="A5" s="1" t="s">
        <v>897</v>
      </c>
      <c r="B5" t="s">
        <v>1089</v>
      </c>
      <c r="H5">
        <v>105332</v>
      </c>
      <c r="I5" t="s">
        <v>941</v>
      </c>
      <c r="J5" t="str">
        <f t="shared" si="0"/>
        <v>ia.assorted_string like '%105332-00005-01-2025%' or</v>
      </c>
    </row>
    <row r="6" spans="1:10">
      <c r="A6" s="1" t="s">
        <v>748</v>
      </c>
      <c r="B6" t="s">
        <v>1089</v>
      </c>
      <c r="H6">
        <v>105332</v>
      </c>
      <c r="I6" t="s">
        <v>942</v>
      </c>
      <c r="J6" t="str">
        <f t="shared" si="0"/>
        <v>ia.assorted_string like '%105332-00002-01-2025%' or</v>
      </c>
    </row>
    <row r="7" spans="1:10">
      <c r="A7" s="6" t="s">
        <v>929</v>
      </c>
      <c r="B7" t="s">
        <v>1088</v>
      </c>
      <c r="H7">
        <v>52321</v>
      </c>
      <c r="I7" t="s">
        <v>943</v>
      </c>
      <c r="J7" t="str">
        <f t="shared" si="0"/>
        <v>ia.assorted_string like '%52321-00009-02-2025%' or</v>
      </c>
    </row>
    <row r="8" spans="1:10">
      <c r="A8" s="1" t="s">
        <v>750</v>
      </c>
      <c r="B8" t="s">
        <v>1089</v>
      </c>
      <c r="H8">
        <v>105332</v>
      </c>
      <c r="I8" t="s">
        <v>944</v>
      </c>
      <c r="J8" t="str">
        <f t="shared" si="0"/>
        <v>ia.assorted_string like '%105332-00011-01-2025%' or</v>
      </c>
    </row>
    <row r="9" spans="1:10">
      <c r="A9" s="1" t="s">
        <v>751</v>
      </c>
      <c r="B9" t="s">
        <v>1089</v>
      </c>
      <c r="H9">
        <v>105332</v>
      </c>
      <c r="I9" t="s">
        <v>945</v>
      </c>
      <c r="J9" t="str">
        <f t="shared" si="0"/>
        <v>ia.assorted_string like '%105332-00012-01-2025%' or</v>
      </c>
    </row>
    <row r="10" spans="1:10">
      <c r="A10" s="1" t="s">
        <v>752</v>
      </c>
      <c r="B10" t="s">
        <v>1089</v>
      </c>
      <c r="H10">
        <v>105332</v>
      </c>
      <c r="I10" t="s">
        <v>946</v>
      </c>
      <c r="J10" t="str">
        <f t="shared" si="0"/>
        <v>ia.assorted_string like '%105332-00013-01-2025%' or</v>
      </c>
    </row>
    <row r="11" spans="1:10">
      <c r="A11" s="1" t="s">
        <v>753</v>
      </c>
      <c r="B11" t="s">
        <v>1089</v>
      </c>
      <c r="H11">
        <v>105332</v>
      </c>
      <c r="I11" t="s">
        <v>947</v>
      </c>
      <c r="J11" t="str">
        <f t="shared" si="0"/>
        <v>ia.assorted_string like '%105332-00006-01-2025%' or</v>
      </c>
    </row>
    <row r="12" spans="1:10">
      <c r="A12" s="1" t="s">
        <v>754</v>
      </c>
      <c r="B12" t="s">
        <v>1089</v>
      </c>
      <c r="H12">
        <v>105332</v>
      </c>
      <c r="I12" t="s">
        <v>948</v>
      </c>
      <c r="J12" t="str">
        <f t="shared" si="0"/>
        <v>ia.assorted_string like '%105332-00020-01-2025%' or</v>
      </c>
    </row>
    <row r="13" spans="1:10">
      <c r="A13" s="1" t="s">
        <v>755</v>
      </c>
      <c r="B13" t="s">
        <v>1089</v>
      </c>
      <c r="H13">
        <v>105332</v>
      </c>
      <c r="I13" t="s">
        <v>949</v>
      </c>
      <c r="J13" t="str">
        <f t="shared" si="0"/>
        <v>ia.assorted_string like '%105332-00025-01-2025%' or</v>
      </c>
    </row>
    <row r="14" spans="1:10">
      <c r="A14" s="1" t="s">
        <v>756</v>
      </c>
      <c r="B14" t="s">
        <v>1089</v>
      </c>
      <c r="H14">
        <v>105332</v>
      </c>
      <c r="I14" t="s">
        <v>950</v>
      </c>
      <c r="J14" t="str">
        <f t="shared" si="0"/>
        <v>ia.assorted_string like '%105332-00030-01-2025%' or</v>
      </c>
    </row>
    <row r="15" spans="1:10">
      <c r="A15" s="1" t="s">
        <v>757</v>
      </c>
      <c r="B15" t="s">
        <v>1089</v>
      </c>
      <c r="H15">
        <v>105332</v>
      </c>
      <c r="I15" t="s">
        <v>951</v>
      </c>
      <c r="J15" t="str">
        <f t="shared" si="0"/>
        <v>ia.assorted_string like '%105332-00028-01-2025%' or</v>
      </c>
    </row>
    <row r="16" spans="1:10">
      <c r="A16" s="1" t="s">
        <v>758</v>
      </c>
      <c r="B16" t="s">
        <v>1089</v>
      </c>
      <c r="H16">
        <v>105332</v>
      </c>
      <c r="I16" t="s">
        <v>952</v>
      </c>
      <c r="J16" t="str">
        <f t="shared" si="0"/>
        <v>ia.assorted_string like '%105332-00021-01-2025%' or</v>
      </c>
    </row>
    <row r="17" spans="1:10">
      <c r="A17" s="1" t="s">
        <v>759</v>
      </c>
      <c r="B17" t="s">
        <v>1089</v>
      </c>
      <c r="H17">
        <v>105332</v>
      </c>
      <c r="I17" t="s">
        <v>953</v>
      </c>
      <c r="J17" t="str">
        <f t="shared" si="0"/>
        <v>ia.assorted_string like '%105332-00039-01-2025%' or</v>
      </c>
    </row>
    <row r="18" spans="1:10">
      <c r="A18" s="1" t="s">
        <v>760</v>
      </c>
      <c r="B18" t="s">
        <v>1089</v>
      </c>
      <c r="H18">
        <v>105332</v>
      </c>
      <c r="I18" t="s">
        <v>954</v>
      </c>
      <c r="J18" t="str">
        <f t="shared" si="0"/>
        <v>ia.assorted_string like '%105332-00050-01-2025%' or</v>
      </c>
    </row>
    <row r="19" spans="1:10">
      <c r="A19" s="1" t="s">
        <v>761</v>
      </c>
      <c r="B19" t="s">
        <v>1089</v>
      </c>
      <c r="H19">
        <v>105332</v>
      </c>
      <c r="I19" t="s">
        <v>955</v>
      </c>
      <c r="J19" t="str">
        <f t="shared" si="0"/>
        <v>ia.assorted_string like '%105332-00035-01-2025%' or</v>
      </c>
    </row>
    <row r="20" spans="1:10">
      <c r="A20" s="1" t="s">
        <v>762</v>
      </c>
      <c r="B20" t="s">
        <v>1089</v>
      </c>
      <c r="H20">
        <v>105332</v>
      </c>
      <c r="I20" t="s">
        <v>956</v>
      </c>
      <c r="J20" t="str">
        <f t="shared" si="0"/>
        <v>ia.assorted_string like '%105332-00044-01-2025%' or</v>
      </c>
    </row>
    <row r="21" spans="1:10">
      <c r="A21" s="1" t="s">
        <v>763</v>
      </c>
      <c r="B21" t="s">
        <v>1089</v>
      </c>
      <c r="H21">
        <v>105332</v>
      </c>
      <c r="I21" t="s">
        <v>957</v>
      </c>
      <c r="J21" t="str">
        <f t="shared" si="0"/>
        <v>ia.assorted_string like '%105332-00037-01-2025%' or</v>
      </c>
    </row>
    <row r="22" spans="1:10">
      <c r="A22" s="1" t="s">
        <v>764</v>
      </c>
      <c r="B22" t="s">
        <v>1089</v>
      </c>
      <c r="H22">
        <v>105332</v>
      </c>
      <c r="I22" t="s">
        <v>958</v>
      </c>
      <c r="J22" t="str">
        <f t="shared" si="0"/>
        <v>ia.assorted_string like '%105332-00060-01-2025%' or</v>
      </c>
    </row>
    <row r="23" spans="1:10">
      <c r="A23" s="1" t="s">
        <v>765</v>
      </c>
      <c r="B23" t="s">
        <v>1089</v>
      </c>
      <c r="H23">
        <v>105332</v>
      </c>
      <c r="I23" t="s">
        <v>959</v>
      </c>
      <c r="J23" t="str">
        <f t="shared" si="0"/>
        <v>ia.assorted_string like '%105332-00064-01-2025%' or</v>
      </c>
    </row>
    <row r="24" spans="1:10">
      <c r="A24" s="1" t="s">
        <v>766</v>
      </c>
      <c r="B24" t="s">
        <v>1089</v>
      </c>
      <c r="H24">
        <v>105332</v>
      </c>
      <c r="I24" t="s">
        <v>960</v>
      </c>
      <c r="J24" t="str">
        <f t="shared" si="0"/>
        <v>ia.assorted_string like '%105332-00061-01-2025%' or</v>
      </c>
    </row>
    <row r="25" spans="1:10">
      <c r="A25" s="1" t="s">
        <v>767</v>
      </c>
      <c r="B25" t="s">
        <v>1089</v>
      </c>
      <c r="H25">
        <v>105332</v>
      </c>
      <c r="I25" t="s">
        <v>961</v>
      </c>
      <c r="J25" t="str">
        <f t="shared" si="0"/>
        <v>ia.assorted_string like '%105332-00057-01-2025%' or</v>
      </c>
    </row>
    <row r="26" spans="1:10">
      <c r="A26" s="1" t="s">
        <v>768</v>
      </c>
      <c r="B26" t="s">
        <v>1089</v>
      </c>
      <c r="H26">
        <v>105332</v>
      </c>
      <c r="I26" t="s">
        <v>962</v>
      </c>
      <c r="J26" t="str">
        <f t="shared" si="0"/>
        <v>ia.assorted_string like '%105332-00068-01-2025%' or</v>
      </c>
    </row>
    <row r="27" spans="1:10">
      <c r="A27" s="1" t="s">
        <v>769</v>
      </c>
      <c r="B27" t="s">
        <v>1089</v>
      </c>
      <c r="H27">
        <v>105332</v>
      </c>
      <c r="I27" t="s">
        <v>963</v>
      </c>
      <c r="J27" t="str">
        <f t="shared" si="0"/>
        <v>ia.assorted_string like '%105332-00069-01-2025%' or</v>
      </c>
    </row>
    <row r="28" spans="1:10">
      <c r="A28" s="1" t="s">
        <v>770</v>
      </c>
      <c r="B28" t="s">
        <v>1089</v>
      </c>
      <c r="H28">
        <v>105332</v>
      </c>
      <c r="I28" t="s">
        <v>964</v>
      </c>
      <c r="J28" t="str">
        <f t="shared" si="0"/>
        <v>ia.assorted_string like '%105332-00073-01-2025%' or</v>
      </c>
    </row>
    <row r="29" spans="1:10">
      <c r="A29" s="1" t="s">
        <v>771</v>
      </c>
      <c r="B29" t="s">
        <v>1089</v>
      </c>
      <c r="H29">
        <v>105332</v>
      </c>
      <c r="I29" t="s">
        <v>965</v>
      </c>
      <c r="J29" t="str">
        <f t="shared" si="0"/>
        <v>ia.assorted_string like '%105332-00072-01-2025%' or</v>
      </c>
    </row>
    <row r="30" spans="1:10">
      <c r="A30" s="1" t="s">
        <v>898</v>
      </c>
      <c r="B30" t="s">
        <v>1089</v>
      </c>
      <c r="H30">
        <v>105332</v>
      </c>
      <c r="I30" t="s">
        <v>966</v>
      </c>
      <c r="J30" t="str">
        <f t="shared" si="0"/>
        <v>ia.assorted_string like '%105332-00082-01-2025%' or</v>
      </c>
    </row>
    <row r="31" spans="1:10">
      <c r="A31" s="1" t="s">
        <v>899</v>
      </c>
      <c r="B31" t="s">
        <v>1089</v>
      </c>
      <c r="H31">
        <v>105332</v>
      </c>
      <c r="I31" t="s">
        <v>967</v>
      </c>
      <c r="J31" t="str">
        <f t="shared" si="0"/>
        <v>ia.assorted_string like '%105332-00075-01-2025%' or</v>
      </c>
    </row>
    <row r="32" spans="1:10">
      <c r="A32" s="1" t="s">
        <v>772</v>
      </c>
      <c r="B32" t="s">
        <v>1089</v>
      </c>
      <c r="H32">
        <v>105332</v>
      </c>
      <c r="I32" t="s">
        <v>968</v>
      </c>
      <c r="J32" t="str">
        <f t="shared" si="0"/>
        <v>ia.assorted_string like '%105332-00077-01-2025%' or</v>
      </c>
    </row>
    <row r="33" spans="1:10">
      <c r="A33" s="1" t="s">
        <v>773</v>
      </c>
      <c r="B33" t="s">
        <v>1089</v>
      </c>
      <c r="H33">
        <v>105332</v>
      </c>
      <c r="I33" t="s">
        <v>969</v>
      </c>
      <c r="J33" t="str">
        <f t="shared" si="0"/>
        <v>ia.assorted_string like '%105332-00087-01-2025%' or</v>
      </c>
    </row>
    <row r="34" spans="1:10">
      <c r="A34" s="1" t="s">
        <v>774</v>
      </c>
      <c r="B34" t="s">
        <v>1089</v>
      </c>
      <c r="H34">
        <v>105332</v>
      </c>
      <c r="I34" t="s">
        <v>970</v>
      </c>
      <c r="J34" t="str">
        <f t="shared" si="0"/>
        <v>ia.assorted_string like '%105332-00081-01-2025%' or</v>
      </c>
    </row>
    <row r="35" spans="1:10">
      <c r="A35" s="1" t="s">
        <v>775</v>
      </c>
      <c r="B35" t="s">
        <v>1089</v>
      </c>
      <c r="H35">
        <v>105332</v>
      </c>
      <c r="I35" t="s">
        <v>971</v>
      </c>
      <c r="J35" t="str">
        <f t="shared" si="0"/>
        <v>ia.assorted_string like '%105332-00086-01-2025%' or</v>
      </c>
    </row>
    <row r="36" spans="1:10">
      <c r="A36" s="1" t="s">
        <v>776</v>
      </c>
      <c r="B36" t="s">
        <v>1089</v>
      </c>
      <c r="H36">
        <v>105332</v>
      </c>
      <c r="I36" t="s">
        <v>972</v>
      </c>
      <c r="J36" t="str">
        <f t="shared" si="0"/>
        <v>ia.assorted_string like '%105332-00094-01-2025%' or</v>
      </c>
    </row>
    <row r="37" spans="1:10">
      <c r="A37" s="1" t="s">
        <v>777</v>
      </c>
      <c r="B37" t="s">
        <v>1089</v>
      </c>
      <c r="H37">
        <v>105332</v>
      </c>
      <c r="I37" t="s">
        <v>973</v>
      </c>
      <c r="J37" t="str">
        <f t="shared" si="0"/>
        <v>ia.assorted_string like '%105332-00098-01-2025%' or</v>
      </c>
    </row>
    <row r="38" spans="1:10">
      <c r="A38" s="1" t="s">
        <v>900</v>
      </c>
      <c r="B38" t="s">
        <v>1089</v>
      </c>
      <c r="H38">
        <v>105332</v>
      </c>
      <c r="I38" t="s">
        <v>974</v>
      </c>
      <c r="J38" t="str">
        <f t="shared" si="0"/>
        <v>ia.assorted_string like '%105332-00084-01-2025%' or</v>
      </c>
    </row>
    <row r="39" spans="1:10">
      <c r="A39" s="1" t="s">
        <v>778</v>
      </c>
      <c r="B39" t="s">
        <v>1089</v>
      </c>
      <c r="H39">
        <v>105332</v>
      </c>
      <c r="I39" t="s">
        <v>975</v>
      </c>
      <c r="J39" t="str">
        <f t="shared" si="0"/>
        <v>ia.assorted_string like '%105332-00101-01-2025%' or</v>
      </c>
    </row>
    <row r="40" spans="1:10">
      <c r="A40" s="1" t="s">
        <v>779</v>
      </c>
      <c r="B40" t="s">
        <v>1089</v>
      </c>
      <c r="H40">
        <v>105332</v>
      </c>
      <c r="I40" t="s">
        <v>976</v>
      </c>
      <c r="J40" t="str">
        <f t="shared" si="0"/>
        <v>ia.assorted_string like '%105332-00099-01-2025%' or</v>
      </c>
    </row>
    <row r="41" spans="1:10">
      <c r="A41" s="1" t="s">
        <v>780</v>
      </c>
      <c r="B41" t="s">
        <v>1089</v>
      </c>
      <c r="H41">
        <v>105332</v>
      </c>
      <c r="I41" t="s">
        <v>977</v>
      </c>
      <c r="J41" t="str">
        <f t="shared" si="0"/>
        <v>ia.assorted_string like '%105332-00110-01-2025%' or</v>
      </c>
    </row>
    <row r="42" spans="1:10">
      <c r="A42" s="1" t="s">
        <v>901</v>
      </c>
      <c r="B42" t="s">
        <v>1089</v>
      </c>
      <c r="H42">
        <v>105332</v>
      </c>
      <c r="I42" t="s">
        <v>978</v>
      </c>
      <c r="J42" t="str">
        <f t="shared" si="0"/>
        <v>ia.assorted_string like '%105332-00114-01-2025%' or</v>
      </c>
    </row>
    <row r="43" spans="1:10">
      <c r="A43" s="1" t="s">
        <v>902</v>
      </c>
      <c r="B43" t="s">
        <v>1089</v>
      </c>
      <c r="H43">
        <v>105332</v>
      </c>
      <c r="I43" t="s">
        <v>979</v>
      </c>
      <c r="J43" t="str">
        <f t="shared" si="0"/>
        <v>ia.assorted_string like '%105332-00109-01-2025%' or</v>
      </c>
    </row>
    <row r="44" spans="1:10">
      <c r="A44" s="1" t="s">
        <v>781</v>
      </c>
      <c r="B44" t="s">
        <v>1089</v>
      </c>
      <c r="H44">
        <v>105332</v>
      </c>
      <c r="I44" t="s">
        <v>980</v>
      </c>
      <c r="J44" t="str">
        <f t="shared" si="0"/>
        <v>ia.assorted_string like '%105332-00108-01-2025%' or</v>
      </c>
    </row>
    <row r="45" spans="1:10">
      <c r="A45" s="1" t="s">
        <v>782</v>
      </c>
      <c r="B45" t="s">
        <v>1089</v>
      </c>
      <c r="H45">
        <v>105332</v>
      </c>
      <c r="I45" t="s">
        <v>981</v>
      </c>
      <c r="J45" t="str">
        <f t="shared" si="0"/>
        <v>ia.assorted_string like '%105332-00128-01-2025%' or</v>
      </c>
    </row>
    <row r="46" spans="1:10">
      <c r="A46" s="1" t="s">
        <v>783</v>
      </c>
      <c r="B46" t="s">
        <v>1089</v>
      </c>
      <c r="H46">
        <v>105332</v>
      </c>
      <c r="I46" t="s">
        <v>982</v>
      </c>
      <c r="J46" t="str">
        <f t="shared" si="0"/>
        <v>ia.assorted_string like '%105332-00126-01-2025%' or</v>
      </c>
    </row>
    <row r="47" spans="1:10">
      <c r="A47" s="1" t="s">
        <v>784</v>
      </c>
      <c r="B47" t="s">
        <v>1089</v>
      </c>
      <c r="H47">
        <v>105332</v>
      </c>
      <c r="I47" t="s">
        <v>983</v>
      </c>
      <c r="J47" t="str">
        <f t="shared" si="0"/>
        <v>ia.assorted_string like '%105332-00106-01-2025%' or</v>
      </c>
    </row>
    <row r="48" spans="1:10">
      <c r="A48" s="1" t="s">
        <v>785</v>
      </c>
      <c r="B48" t="s">
        <v>1089</v>
      </c>
      <c r="H48">
        <v>105332</v>
      </c>
      <c r="I48" t="s">
        <v>984</v>
      </c>
      <c r="J48" t="str">
        <f t="shared" si="0"/>
        <v>ia.assorted_string like '%105332-00124-01-2025%' or</v>
      </c>
    </row>
    <row r="49" spans="1:10">
      <c r="A49" s="1" t="s">
        <v>786</v>
      </c>
      <c r="B49" t="s">
        <v>1089</v>
      </c>
      <c r="H49">
        <v>105332</v>
      </c>
      <c r="I49" t="s">
        <v>985</v>
      </c>
      <c r="J49" t="str">
        <f t="shared" si="0"/>
        <v>ia.assorted_string like '%105332-00093-01-2025%' or</v>
      </c>
    </row>
    <row r="50" spans="1:10">
      <c r="A50" s="1" t="s">
        <v>787</v>
      </c>
      <c r="B50" t="s">
        <v>1089</v>
      </c>
      <c r="H50">
        <v>105332</v>
      </c>
      <c r="I50" t="s">
        <v>986</v>
      </c>
      <c r="J50" t="str">
        <f t="shared" si="0"/>
        <v>ia.assorted_string like '%105332-00135-01-2025%' or</v>
      </c>
    </row>
    <row r="51" spans="1:10">
      <c r="A51" s="1" t="s">
        <v>788</v>
      </c>
      <c r="B51" t="s">
        <v>1089</v>
      </c>
      <c r="H51">
        <v>105332</v>
      </c>
      <c r="I51" t="s">
        <v>987</v>
      </c>
      <c r="J51" t="str">
        <f t="shared" si="0"/>
        <v>ia.assorted_string like '%105332-00134-01-2025%' or</v>
      </c>
    </row>
    <row r="52" spans="1:10">
      <c r="A52" s="1" t="s">
        <v>903</v>
      </c>
      <c r="B52" t="s">
        <v>1089</v>
      </c>
      <c r="H52">
        <v>105332</v>
      </c>
      <c r="I52" t="s">
        <v>988</v>
      </c>
      <c r="J52" t="str">
        <f t="shared" si="0"/>
        <v>ia.assorted_string like '%105332-00133-01-2025%' or</v>
      </c>
    </row>
    <row r="53" spans="1:10">
      <c r="A53" s="1" t="s">
        <v>904</v>
      </c>
      <c r="B53" t="s">
        <v>1089</v>
      </c>
      <c r="H53">
        <v>105332</v>
      </c>
      <c r="I53" t="s">
        <v>989</v>
      </c>
      <c r="J53" t="str">
        <f t="shared" si="0"/>
        <v>ia.assorted_string like '%105332-00117-01-2025%' or</v>
      </c>
    </row>
    <row r="54" spans="1:10">
      <c r="A54" s="1" t="s">
        <v>789</v>
      </c>
      <c r="B54" t="s">
        <v>1089</v>
      </c>
      <c r="H54">
        <v>105332</v>
      </c>
      <c r="I54" t="s">
        <v>990</v>
      </c>
      <c r="J54" t="str">
        <f t="shared" si="0"/>
        <v>ia.assorted_string like '%105332-00136-01-2025%' or</v>
      </c>
    </row>
    <row r="55" spans="1:10">
      <c r="A55" s="1" t="s">
        <v>905</v>
      </c>
      <c r="B55" t="s">
        <v>1089</v>
      </c>
      <c r="H55">
        <v>105332</v>
      </c>
      <c r="I55" t="s">
        <v>991</v>
      </c>
      <c r="J55" t="str">
        <f t="shared" si="0"/>
        <v>ia.assorted_string like '%105332-00127-01-2025%' or</v>
      </c>
    </row>
    <row r="56" spans="1:10">
      <c r="A56" s="1" t="s">
        <v>906</v>
      </c>
      <c r="B56" t="s">
        <v>1089</v>
      </c>
      <c r="H56">
        <v>105332</v>
      </c>
      <c r="I56" t="s">
        <v>992</v>
      </c>
      <c r="J56" t="str">
        <f t="shared" si="0"/>
        <v>ia.assorted_string like '%105332-00140-01-2025%' or</v>
      </c>
    </row>
    <row r="57" spans="1:10">
      <c r="A57" s="1" t="s">
        <v>790</v>
      </c>
      <c r="B57" t="s">
        <v>1089</v>
      </c>
      <c r="H57">
        <v>105332</v>
      </c>
      <c r="I57" t="s">
        <v>993</v>
      </c>
      <c r="J57" t="str">
        <f t="shared" si="0"/>
        <v>ia.assorted_string like '%105332-00130-01-2025%' or</v>
      </c>
    </row>
    <row r="58" spans="1:10">
      <c r="A58" s="6" t="s">
        <v>930</v>
      </c>
      <c r="B58" t="s">
        <v>1088</v>
      </c>
      <c r="H58">
        <v>52321</v>
      </c>
      <c r="I58" t="s">
        <v>994</v>
      </c>
      <c r="J58" t="str">
        <f t="shared" si="0"/>
        <v>ia.assorted_string like '%52321-00143-02-2025%' or</v>
      </c>
    </row>
    <row r="59" spans="1:10">
      <c r="A59" s="1" t="s">
        <v>908</v>
      </c>
      <c r="B59" t="s">
        <v>1089</v>
      </c>
      <c r="H59">
        <v>105332</v>
      </c>
      <c r="I59" t="s">
        <v>995</v>
      </c>
      <c r="J59" t="str">
        <f t="shared" si="0"/>
        <v>ia.assorted_string like '%105332-00137-01-2025%' or</v>
      </c>
    </row>
    <row r="60" spans="1:10">
      <c r="A60" s="1" t="s">
        <v>909</v>
      </c>
      <c r="B60" t="s">
        <v>1089</v>
      </c>
      <c r="H60">
        <v>105332</v>
      </c>
      <c r="I60" t="s">
        <v>996</v>
      </c>
      <c r="J60" t="str">
        <f t="shared" si="0"/>
        <v>ia.assorted_string like '%105332-00139-01-2025%' or</v>
      </c>
    </row>
    <row r="61" spans="1:10">
      <c r="A61" s="1" t="s">
        <v>910</v>
      </c>
      <c r="B61" t="s">
        <v>1089</v>
      </c>
      <c r="H61">
        <v>105332</v>
      </c>
      <c r="I61" t="s">
        <v>997</v>
      </c>
      <c r="J61" t="str">
        <f t="shared" si="0"/>
        <v>ia.assorted_string like '%105332-00141-01-2025%' or</v>
      </c>
    </row>
    <row r="62" spans="1:10">
      <c r="A62" s="1" t="s">
        <v>791</v>
      </c>
      <c r="B62" t="s">
        <v>1089</v>
      </c>
      <c r="H62">
        <v>105332</v>
      </c>
      <c r="I62" t="s">
        <v>998</v>
      </c>
      <c r="J62" t="str">
        <f t="shared" si="0"/>
        <v>ia.assorted_string like '%105332-00147-01-2025%' or</v>
      </c>
    </row>
    <row r="63" spans="1:10">
      <c r="A63" s="1" t="s">
        <v>894</v>
      </c>
      <c r="B63" t="s">
        <v>1089</v>
      </c>
      <c r="H63">
        <v>105332</v>
      </c>
      <c r="I63" t="s">
        <v>999</v>
      </c>
      <c r="J63" t="str">
        <f t="shared" si="0"/>
        <v>ia.assorted_string like '%105332-00159-01-2025%' or</v>
      </c>
    </row>
    <row r="64" spans="1:10">
      <c r="A64" s="1" t="s">
        <v>911</v>
      </c>
      <c r="B64" t="s">
        <v>1089</v>
      </c>
      <c r="H64">
        <v>105332</v>
      </c>
      <c r="I64" t="s">
        <v>1000</v>
      </c>
      <c r="J64" t="str">
        <f t="shared" si="0"/>
        <v>ia.assorted_string like '%105332-00150-01-2025%' or</v>
      </c>
    </row>
    <row r="65" spans="1:10">
      <c r="A65" s="1" t="s">
        <v>912</v>
      </c>
      <c r="B65" t="s">
        <v>1089</v>
      </c>
      <c r="H65">
        <v>105332</v>
      </c>
      <c r="I65" t="s">
        <v>1001</v>
      </c>
      <c r="J65" t="str">
        <f t="shared" si="0"/>
        <v>ia.assorted_string like '%105332-00153-01-2025%' or</v>
      </c>
    </row>
    <row r="66" spans="1:10">
      <c r="A66" s="1" t="s">
        <v>792</v>
      </c>
      <c r="B66" t="s">
        <v>1089</v>
      </c>
      <c r="H66">
        <v>105332</v>
      </c>
      <c r="I66" t="s">
        <v>1002</v>
      </c>
      <c r="J66" t="str">
        <f t="shared" si="0"/>
        <v>ia.assorted_string like '%105332-00149-01-2025%' or</v>
      </c>
    </row>
    <row r="67" spans="1:10">
      <c r="A67" s="1" t="s">
        <v>913</v>
      </c>
      <c r="B67" t="s">
        <v>1089</v>
      </c>
      <c r="H67">
        <v>105332</v>
      </c>
      <c r="I67" t="s">
        <v>1003</v>
      </c>
      <c r="J67" t="str">
        <f t="shared" ref="J67:J130" si="1">"ia.assorted_string like '%"&amp;H67&amp;"-"&amp;I67&amp;B67&amp;"%' or"</f>
        <v>ia.assorted_string like '%105332-00003-01-2025%' or</v>
      </c>
    </row>
    <row r="68" spans="1:10">
      <c r="A68" s="1" t="s">
        <v>793</v>
      </c>
      <c r="B68" t="s">
        <v>1089</v>
      </c>
      <c r="H68">
        <v>105332</v>
      </c>
      <c r="I68" t="s">
        <v>1004</v>
      </c>
      <c r="J68" t="str">
        <f t="shared" si="1"/>
        <v>ia.assorted_string like '%105332-00007-01-2025%' or</v>
      </c>
    </row>
    <row r="69" spans="1:10">
      <c r="A69" s="1" t="s">
        <v>914</v>
      </c>
      <c r="B69" t="s">
        <v>1089</v>
      </c>
      <c r="H69">
        <v>105332</v>
      </c>
      <c r="I69" t="s">
        <v>1005</v>
      </c>
      <c r="J69" t="str">
        <f t="shared" si="1"/>
        <v>ia.assorted_string like '%105332-00016-01-2025%' or</v>
      </c>
    </row>
    <row r="70" spans="1:10">
      <c r="A70" s="1" t="s">
        <v>794</v>
      </c>
      <c r="B70" t="s">
        <v>1089</v>
      </c>
      <c r="H70">
        <v>105332</v>
      </c>
      <c r="I70" t="s">
        <v>1006</v>
      </c>
      <c r="J70" t="str">
        <f t="shared" si="1"/>
        <v>ia.assorted_string like '%105332-00018-01-2025%' or</v>
      </c>
    </row>
    <row r="71" spans="1:10">
      <c r="A71" s="1" t="s">
        <v>795</v>
      </c>
      <c r="B71" t="s">
        <v>1089</v>
      </c>
      <c r="H71">
        <v>105332</v>
      </c>
      <c r="I71" t="s">
        <v>1007</v>
      </c>
      <c r="J71" t="str">
        <f t="shared" si="1"/>
        <v>ia.assorted_string like '%105332-00024-01-2025%' or</v>
      </c>
    </row>
    <row r="72" spans="1:10">
      <c r="A72" s="1" t="s">
        <v>796</v>
      </c>
      <c r="B72" t="s">
        <v>1089</v>
      </c>
      <c r="H72">
        <v>105332</v>
      </c>
      <c r="I72" t="s">
        <v>1008</v>
      </c>
      <c r="J72" t="str">
        <f t="shared" si="1"/>
        <v>ia.assorted_string like '%105332-00019-01-2025%' or</v>
      </c>
    </row>
    <row r="73" spans="1:10">
      <c r="A73" s="1" t="s">
        <v>797</v>
      </c>
      <c r="B73" t="s">
        <v>1089</v>
      </c>
      <c r="H73">
        <v>105332</v>
      </c>
      <c r="I73" t="s">
        <v>1009</v>
      </c>
      <c r="J73" t="str">
        <f t="shared" si="1"/>
        <v>ia.assorted_string like '%105332-00027-01-2025%' or</v>
      </c>
    </row>
    <row r="74" spans="1:10">
      <c r="A74" s="1" t="s">
        <v>798</v>
      </c>
      <c r="B74" t="s">
        <v>1089</v>
      </c>
      <c r="H74">
        <v>105332</v>
      </c>
      <c r="I74" t="s">
        <v>1010</v>
      </c>
      <c r="J74" t="str">
        <f t="shared" si="1"/>
        <v>ia.assorted_string like '%105332-00045-01-2025%' or</v>
      </c>
    </row>
    <row r="75" spans="1:10">
      <c r="A75" s="1" t="s">
        <v>799</v>
      </c>
      <c r="B75" t="s">
        <v>1089</v>
      </c>
      <c r="H75">
        <v>105332</v>
      </c>
      <c r="I75" t="s">
        <v>1011</v>
      </c>
      <c r="J75" t="str">
        <f t="shared" si="1"/>
        <v>ia.assorted_string like '%105332-00031-01-2025%' or</v>
      </c>
    </row>
    <row r="76" spans="1:10">
      <c r="A76" s="1" t="s">
        <v>800</v>
      </c>
      <c r="B76" t="s">
        <v>1089</v>
      </c>
      <c r="H76">
        <v>105332</v>
      </c>
      <c r="I76" t="s">
        <v>1012</v>
      </c>
      <c r="J76" t="str">
        <f t="shared" si="1"/>
        <v>ia.assorted_string like '%105332-00042-01-2025%' or</v>
      </c>
    </row>
    <row r="77" spans="1:10">
      <c r="A77" s="1" t="s">
        <v>801</v>
      </c>
      <c r="B77" t="s">
        <v>1089</v>
      </c>
      <c r="H77">
        <v>105332</v>
      </c>
      <c r="I77" t="s">
        <v>1013</v>
      </c>
      <c r="J77" t="str">
        <f t="shared" si="1"/>
        <v>ia.assorted_string like '%105332-00033-01-2025%' or</v>
      </c>
    </row>
    <row r="78" spans="1:10">
      <c r="A78" s="1" t="s">
        <v>802</v>
      </c>
      <c r="B78" t="s">
        <v>1089</v>
      </c>
      <c r="H78">
        <v>105332</v>
      </c>
      <c r="I78" t="s">
        <v>1014</v>
      </c>
      <c r="J78" t="str">
        <f t="shared" si="1"/>
        <v>ia.assorted_string like '%105332-00034-01-2025%' or</v>
      </c>
    </row>
    <row r="79" spans="1:10">
      <c r="A79" s="1" t="s">
        <v>803</v>
      </c>
      <c r="B79" t="s">
        <v>1089</v>
      </c>
      <c r="H79">
        <v>105332</v>
      </c>
      <c r="I79" t="s">
        <v>1015</v>
      </c>
      <c r="J79" t="str">
        <f t="shared" si="1"/>
        <v>ia.assorted_string like '%105332-00063-01-2025%' or</v>
      </c>
    </row>
    <row r="80" spans="1:10">
      <c r="A80" s="1" t="s">
        <v>804</v>
      </c>
      <c r="B80" t="s">
        <v>1089</v>
      </c>
      <c r="H80">
        <v>105332</v>
      </c>
      <c r="I80" t="s">
        <v>1016</v>
      </c>
      <c r="J80" t="str">
        <f t="shared" si="1"/>
        <v>ia.assorted_string like '%105332-00067-01-2025%' or</v>
      </c>
    </row>
    <row r="81" spans="1:10">
      <c r="A81" s="1" t="s">
        <v>805</v>
      </c>
      <c r="B81" t="s">
        <v>1089</v>
      </c>
      <c r="H81">
        <v>105332</v>
      </c>
      <c r="I81" t="s">
        <v>1017</v>
      </c>
      <c r="J81" t="str">
        <f t="shared" si="1"/>
        <v>ia.assorted_string like '%105332-00066-01-2025%' or</v>
      </c>
    </row>
    <row r="82" spans="1:10">
      <c r="A82" s="1" t="s">
        <v>806</v>
      </c>
      <c r="B82" t="s">
        <v>1089</v>
      </c>
      <c r="H82">
        <v>105332</v>
      </c>
      <c r="I82" t="s">
        <v>1018</v>
      </c>
      <c r="J82" t="str">
        <f t="shared" si="1"/>
        <v>ia.assorted_string like '%105332-00074-01-2025%' or</v>
      </c>
    </row>
    <row r="83" spans="1:10">
      <c r="A83" s="1" t="s">
        <v>915</v>
      </c>
      <c r="B83" t="s">
        <v>1089</v>
      </c>
      <c r="H83">
        <v>105332</v>
      </c>
      <c r="I83" t="s">
        <v>1019</v>
      </c>
      <c r="J83" t="str">
        <f t="shared" si="1"/>
        <v>ia.assorted_string like '%105332-00080-01-2025%' or</v>
      </c>
    </row>
    <row r="84" spans="1:10">
      <c r="A84" s="1" t="s">
        <v>807</v>
      </c>
      <c r="B84" t="s">
        <v>1089</v>
      </c>
      <c r="H84">
        <v>105332</v>
      </c>
      <c r="I84" t="s">
        <v>1020</v>
      </c>
      <c r="J84" t="str">
        <f t="shared" si="1"/>
        <v>ia.assorted_string like '%105332-00089-01-2025%' or</v>
      </c>
    </row>
    <row r="85" spans="1:10">
      <c r="A85" s="1" t="s">
        <v>808</v>
      </c>
      <c r="B85" t="s">
        <v>1089</v>
      </c>
      <c r="H85">
        <v>105332</v>
      </c>
      <c r="I85" t="s">
        <v>1021</v>
      </c>
      <c r="J85" t="str">
        <f t="shared" si="1"/>
        <v>ia.assorted_string like '%105332-00091-01-2025%' or</v>
      </c>
    </row>
    <row r="86" spans="1:10">
      <c r="A86" s="1" t="s">
        <v>916</v>
      </c>
      <c r="B86" t="s">
        <v>1089</v>
      </c>
      <c r="H86">
        <v>105332</v>
      </c>
      <c r="I86" t="s">
        <v>1022</v>
      </c>
      <c r="J86" t="str">
        <f t="shared" si="1"/>
        <v>ia.assorted_string like '%105332-00090-01-2025%' or</v>
      </c>
    </row>
    <row r="87" spans="1:10">
      <c r="A87" s="1" t="s">
        <v>809</v>
      </c>
      <c r="B87" t="s">
        <v>1089</v>
      </c>
      <c r="H87">
        <v>105332</v>
      </c>
      <c r="I87" t="s">
        <v>1023</v>
      </c>
      <c r="J87" t="str">
        <f t="shared" si="1"/>
        <v>ia.assorted_string like '%105332-00096-01-2025%' or</v>
      </c>
    </row>
    <row r="88" spans="1:10">
      <c r="A88" s="1" t="s">
        <v>810</v>
      </c>
      <c r="B88" t="s">
        <v>1089</v>
      </c>
      <c r="H88">
        <v>105332</v>
      </c>
      <c r="I88" t="s">
        <v>1024</v>
      </c>
      <c r="J88" t="str">
        <f t="shared" si="1"/>
        <v>ia.assorted_string like '%105332-00051-01-2025%' or</v>
      </c>
    </row>
    <row r="89" spans="1:10">
      <c r="A89" s="1" t="s">
        <v>811</v>
      </c>
      <c r="B89" t="s">
        <v>1089</v>
      </c>
      <c r="H89">
        <v>105332</v>
      </c>
      <c r="I89" t="s">
        <v>1025</v>
      </c>
      <c r="J89" t="str">
        <f t="shared" si="1"/>
        <v>ia.assorted_string like '%105332-00104-01-2025%' or</v>
      </c>
    </row>
    <row r="90" spans="1:10">
      <c r="A90" s="1" t="s">
        <v>812</v>
      </c>
      <c r="B90" t="s">
        <v>1089</v>
      </c>
      <c r="H90">
        <v>105332</v>
      </c>
      <c r="I90" t="s">
        <v>1026</v>
      </c>
      <c r="J90" t="str">
        <f t="shared" si="1"/>
        <v>ia.assorted_string like '%105332-00105-01-2025%' or</v>
      </c>
    </row>
    <row r="91" spans="1:10">
      <c r="A91" s="1" t="s">
        <v>813</v>
      </c>
      <c r="B91" t="s">
        <v>1089</v>
      </c>
      <c r="H91">
        <v>105332</v>
      </c>
      <c r="I91" t="s">
        <v>1027</v>
      </c>
      <c r="J91" t="str">
        <f t="shared" si="1"/>
        <v>ia.assorted_string like '%105332-00113-01-2025%' or</v>
      </c>
    </row>
    <row r="92" spans="1:10">
      <c r="A92" s="1" t="s">
        <v>814</v>
      </c>
      <c r="B92" t="s">
        <v>1089</v>
      </c>
      <c r="H92">
        <v>105332</v>
      </c>
      <c r="I92" t="s">
        <v>1028</v>
      </c>
      <c r="J92" t="str">
        <f t="shared" si="1"/>
        <v>ia.assorted_string like '%105332-00123-01-2025%' or</v>
      </c>
    </row>
    <row r="93" spans="1:10">
      <c r="A93" s="1" t="s">
        <v>815</v>
      </c>
      <c r="B93" t="s">
        <v>1089</v>
      </c>
      <c r="H93">
        <v>105332</v>
      </c>
      <c r="I93" t="s">
        <v>1029</v>
      </c>
      <c r="J93" t="str">
        <f t="shared" si="1"/>
        <v>ia.assorted_string like '%105332-00121-01-2025%' or</v>
      </c>
    </row>
    <row r="94" spans="1:10">
      <c r="A94" s="1" t="s">
        <v>917</v>
      </c>
      <c r="B94" t="s">
        <v>1089</v>
      </c>
      <c r="H94">
        <v>105332</v>
      </c>
      <c r="I94" t="s">
        <v>1030</v>
      </c>
      <c r="J94" t="str">
        <f t="shared" si="1"/>
        <v>ia.assorted_string like '%105332-00122-01-2025%' or</v>
      </c>
    </row>
    <row r="95" spans="1:10">
      <c r="A95" s="1" t="s">
        <v>816</v>
      </c>
      <c r="B95" t="s">
        <v>1089</v>
      </c>
      <c r="H95">
        <v>105332</v>
      </c>
      <c r="I95" t="s">
        <v>1031</v>
      </c>
      <c r="J95" t="str">
        <f t="shared" si="1"/>
        <v>ia.assorted_string like '%105332-00132-01-2025%' or</v>
      </c>
    </row>
    <row r="96" spans="1:10">
      <c r="A96" s="1" t="s">
        <v>817</v>
      </c>
      <c r="B96" t="s">
        <v>1089</v>
      </c>
      <c r="H96">
        <v>105332</v>
      </c>
      <c r="I96" t="s">
        <v>1032</v>
      </c>
      <c r="J96" t="str">
        <f t="shared" si="1"/>
        <v>ia.assorted_string like '%105332-00049-01-2025%' or</v>
      </c>
    </row>
    <row r="97" spans="1:10">
      <c r="A97" s="1" t="s">
        <v>818</v>
      </c>
      <c r="B97" t="s">
        <v>1089</v>
      </c>
      <c r="H97">
        <v>105332</v>
      </c>
      <c r="I97" t="s">
        <v>1033</v>
      </c>
      <c r="J97" t="str">
        <f t="shared" si="1"/>
        <v>ia.assorted_string like '%105332-00146-01-2025%' or</v>
      </c>
    </row>
    <row r="98" spans="1:10">
      <c r="A98" s="1" t="s">
        <v>819</v>
      </c>
      <c r="B98" t="s">
        <v>1089</v>
      </c>
      <c r="H98">
        <v>105332</v>
      </c>
      <c r="I98" t="s">
        <v>1034</v>
      </c>
      <c r="J98" t="str">
        <f t="shared" si="1"/>
        <v>ia.assorted_string like '%105332-00144-01-2025%' or</v>
      </c>
    </row>
    <row r="99" spans="1:10">
      <c r="A99" s="1" t="s">
        <v>820</v>
      </c>
      <c r="B99" t="s">
        <v>1089</v>
      </c>
      <c r="H99">
        <v>105332</v>
      </c>
      <c r="I99" t="s">
        <v>1035</v>
      </c>
      <c r="J99" t="str">
        <f t="shared" si="1"/>
        <v>ia.assorted_string like '%105332-00120-01-2025%' or</v>
      </c>
    </row>
    <row r="100" spans="1:10">
      <c r="A100" s="1" t="s">
        <v>918</v>
      </c>
      <c r="B100" t="s">
        <v>1089</v>
      </c>
      <c r="H100">
        <v>105332</v>
      </c>
      <c r="I100" t="s">
        <v>1036</v>
      </c>
      <c r="J100" t="str">
        <f t="shared" si="1"/>
        <v>ia.assorted_string like '%105332-00142-01-2025%' or</v>
      </c>
    </row>
    <row r="101" spans="1:10">
      <c r="A101" s="1" t="s">
        <v>821</v>
      </c>
      <c r="B101" t="s">
        <v>1089</v>
      </c>
      <c r="H101">
        <v>105332</v>
      </c>
      <c r="I101" t="s">
        <v>1037</v>
      </c>
      <c r="J101" t="str">
        <f t="shared" si="1"/>
        <v>ia.assorted_string like '%105332-00158-01-2025%' or</v>
      </c>
    </row>
    <row r="102" spans="1:10">
      <c r="A102" s="1" t="s">
        <v>822</v>
      </c>
      <c r="B102" t="s">
        <v>1089</v>
      </c>
      <c r="H102">
        <v>105332</v>
      </c>
      <c r="I102" t="s">
        <v>1038</v>
      </c>
      <c r="J102" t="str">
        <f t="shared" si="1"/>
        <v>ia.assorted_string like '%105332-00155-01-2025%' or</v>
      </c>
    </row>
    <row r="103" spans="1:10">
      <c r="A103" s="1" t="s">
        <v>919</v>
      </c>
      <c r="B103" t="s">
        <v>1089</v>
      </c>
      <c r="H103">
        <v>105332</v>
      </c>
      <c r="I103" t="s">
        <v>1039</v>
      </c>
      <c r="J103" t="str">
        <f t="shared" si="1"/>
        <v>ia.assorted_string like '%105332-00151-01-2025%' or</v>
      </c>
    </row>
    <row r="104" spans="1:10">
      <c r="A104" s="1" t="s">
        <v>823</v>
      </c>
      <c r="B104" t="s">
        <v>1089</v>
      </c>
      <c r="H104">
        <v>105332</v>
      </c>
      <c r="I104" t="s">
        <v>1040</v>
      </c>
      <c r="J104" t="str">
        <f t="shared" si="1"/>
        <v>ia.assorted_string like '%105332-00026-01-2025%' or</v>
      </c>
    </row>
    <row r="105" spans="1:10">
      <c r="A105" s="1" t="s">
        <v>824</v>
      </c>
      <c r="B105" t="s">
        <v>1089</v>
      </c>
      <c r="H105">
        <v>105332</v>
      </c>
      <c r="I105" t="s">
        <v>1041</v>
      </c>
      <c r="J105" t="str">
        <f t="shared" si="1"/>
        <v>ia.assorted_string like '%105332-00055-01-2025%' or</v>
      </c>
    </row>
    <row r="106" spans="1:10">
      <c r="A106" s="1" t="s">
        <v>825</v>
      </c>
      <c r="B106" t="s">
        <v>1089</v>
      </c>
      <c r="H106">
        <v>105332</v>
      </c>
      <c r="I106" t="s">
        <v>1042</v>
      </c>
      <c r="J106" t="str">
        <f t="shared" si="1"/>
        <v>ia.assorted_string like '%105332-00062-01-2025%' or</v>
      </c>
    </row>
    <row r="107" spans="1:10">
      <c r="A107" s="1" t="s">
        <v>826</v>
      </c>
      <c r="B107" t="s">
        <v>1089</v>
      </c>
      <c r="H107">
        <v>105332</v>
      </c>
      <c r="I107" t="s">
        <v>1043</v>
      </c>
      <c r="J107" t="str">
        <f t="shared" si="1"/>
        <v>ia.assorted_string like '%105332-00041-01-2025%' or</v>
      </c>
    </row>
    <row r="108" spans="1:10">
      <c r="A108" s="6" t="s">
        <v>931</v>
      </c>
      <c r="B108" t="s">
        <v>1088</v>
      </c>
      <c r="H108">
        <v>52321</v>
      </c>
      <c r="I108" t="s">
        <v>1044</v>
      </c>
      <c r="J108" t="str">
        <f t="shared" si="1"/>
        <v>ia.assorted_string like '%52321-00040-02-2025%' or</v>
      </c>
    </row>
    <row r="109" spans="1:10">
      <c r="A109" s="1" t="s">
        <v>828</v>
      </c>
      <c r="B109" t="s">
        <v>1089</v>
      </c>
      <c r="H109">
        <v>105332</v>
      </c>
      <c r="I109" t="s">
        <v>1045</v>
      </c>
      <c r="J109" t="str">
        <f t="shared" si="1"/>
        <v>ia.assorted_string like '%105332-00004-01-2025%' or</v>
      </c>
    </row>
    <row r="110" spans="1:10">
      <c r="A110" s="1" t="s">
        <v>829</v>
      </c>
      <c r="B110" t="s">
        <v>1089</v>
      </c>
      <c r="H110">
        <v>105332</v>
      </c>
      <c r="I110" t="s">
        <v>1046</v>
      </c>
      <c r="J110" t="str">
        <f t="shared" si="1"/>
        <v>ia.assorted_string like '%105332-00014-01-2025%' or</v>
      </c>
    </row>
    <row r="111" spans="1:10">
      <c r="A111" s="1" t="s">
        <v>830</v>
      </c>
      <c r="B111" t="s">
        <v>1089</v>
      </c>
      <c r="H111">
        <v>105332</v>
      </c>
      <c r="I111" t="s">
        <v>1047</v>
      </c>
      <c r="J111" t="str">
        <f t="shared" si="1"/>
        <v>ia.assorted_string like '%105332-00017-01-2025%' or</v>
      </c>
    </row>
    <row r="112" spans="1:10">
      <c r="A112" s="1" t="s">
        <v>920</v>
      </c>
      <c r="B112" t="s">
        <v>1089</v>
      </c>
      <c r="H112">
        <v>105332</v>
      </c>
      <c r="I112" t="s">
        <v>1048</v>
      </c>
      <c r="J112" t="str">
        <f t="shared" si="1"/>
        <v>ia.assorted_string like '%105332-00010-01-2025%' or</v>
      </c>
    </row>
    <row r="113" spans="1:10">
      <c r="A113" s="1" t="s">
        <v>831</v>
      </c>
      <c r="B113" t="s">
        <v>1089</v>
      </c>
      <c r="H113">
        <v>105332</v>
      </c>
      <c r="I113" t="s">
        <v>1049</v>
      </c>
      <c r="J113" t="str">
        <f t="shared" si="1"/>
        <v>ia.assorted_string like '%105332-00032-01-2025%' or</v>
      </c>
    </row>
    <row r="114" spans="1:10">
      <c r="A114" s="1" t="s">
        <v>832</v>
      </c>
      <c r="B114" t="s">
        <v>1089</v>
      </c>
      <c r="H114">
        <v>105332</v>
      </c>
      <c r="I114" t="s">
        <v>1050</v>
      </c>
      <c r="J114" t="str">
        <f t="shared" si="1"/>
        <v>ia.assorted_string like '%105332-00036-01-2025%' or</v>
      </c>
    </row>
    <row r="115" spans="1:10">
      <c r="A115" s="1" t="s">
        <v>833</v>
      </c>
      <c r="B115" t="s">
        <v>1089</v>
      </c>
      <c r="H115">
        <v>105332</v>
      </c>
      <c r="I115" t="s">
        <v>1051</v>
      </c>
      <c r="J115" t="str">
        <f t="shared" si="1"/>
        <v>ia.assorted_string like '%105332-00038-01-2025%' or</v>
      </c>
    </row>
    <row r="116" spans="1:10">
      <c r="A116" s="6" t="s">
        <v>932</v>
      </c>
      <c r="B116" t="s">
        <v>1088</v>
      </c>
      <c r="H116">
        <v>52321</v>
      </c>
      <c r="I116" t="s">
        <v>1052</v>
      </c>
      <c r="J116" t="str">
        <f t="shared" si="1"/>
        <v>ia.assorted_string like '%52321-00029-02-2025%' or</v>
      </c>
    </row>
    <row r="117" spans="1:10">
      <c r="A117" s="1" t="s">
        <v>921</v>
      </c>
      <c r="B117" t="s">
        <v>1089</v>
      </c>
      <c r="H117">
        <v>105332</v>
      </c>
      <c r="I117" t="s">
        <v>1053</v>
      </c>
      <c r="J117" t="str">
        <f t="shared" si="1"/>
        <v>ia.assorted_string like '%105332-00043-01-2025%' or</v>
      </c>
    </row>
    <row r="118" spans="1:10">
      <c r="A118" s="1" t="s">
        <v>835</v>
      </c>
      <c r="B118" t="s">
        <v>1089</v>
      </c>
      <c r="H118">
        <v>105332</v>
      </c>
      <c r="I118" t="s">
        <v>1054</v>
      </c>
      <c r="J118" t="str">
        <f t="shared" si="1"/>
        <v>ia.assorted_string like '%105332-00053-01-2025%' or</v>
      </c>
    </row>
    <row r="119" spans="1:10">
      <c r="A119" s="1" t="s">
        <v>922</v>
      </c>
      <c r="B119" t="s">
        <v>1089</v>
      </c>
      <c r="H119">
        <v>105332</v>
      </c>
      <c r="I119" t="s">
        <v>1055</v>
      </c>
      <c r="J119" t="str">
        <f t="shared" si="1"/>
        <v>ia.assorted_string like '%105332-00047-01-2025%' or</v>
      </c>
    </row>
    <row r="120" spans="1:10">
      <c r="A120" s="1" t="s">
        <v>836</v>
      </c>
      <c r="B120" t="s">
        <v>1089</v>
      </c>
      <c r="H120">
        <v>105332</v>
      </c>
      <c r="I120" t="s">
        <v>1056</v>
      </c>
      <c r="J120" t="str">
        <f t="shared" si="1"/>
        <v>ia.assorted_string like '%105332-00048-01-2025%' or</v>
      </c>
    </row>
    <row r="121" spans="1:10">
      <c r="A121" s="1" t="s">
        <v>837</v>
      </c>
      <c r="B121" t="s">
        <v>1089</v>
      </c>
      <c r="H121">
        <v>105332</v>
      </c>
      <c r="I121" t="s">
        <v>1057</v>
      </c>
      <c r="J121" t="str">
        <f t="shared" si="1"/>
        <v>ia.assorted_string like '%105332-00052-01-2025%' or</v>
      </c>
    </row>
    <row r="122" spans="1:10">
      <c r="A122" s="1" t="s">
        <v>838</v>
      </c>
      <c r="B122" t="s">
        <v>1089</v>
      </c>
      <c r="H122">
        <v>105332</v>
      </c>
      <c r="I122" t="s">
        <v>1058</v>
      </c>
      <c r="J122" t="str">
        <f t="shared" si="1"/>
        <v>ia.assorted_string like '%105332-00059-01-2025%' or</v>
      </c>
    </row>
    <row r="123" spans="1:10">
      <c r="A123" s="1" t="s">
        <v>839</v>
      </c>
      <c r="B123" t="s">
        <v>1089</v>
      </c>
      <c r="H123">
        <v>105332</v>
      </c>
      <c r="I123" t="s">
        <v>1059</v>
      </c>
      <c r="J123" t="str">
        <f t="shared" si="1"/>
        <v>ia.assorted_string like '%105332-00070-01-2025%' or</v>
      </c>
    </row>
    <row r="124" spans="1:10">
      <c r="A124" s="1" t="s">
        <v>923</v>
      </c>
      <c r="B124" t="s">
        <v>1089</v>
      </c>
      <c r="H124">
        <v>105332</v>
      </c>
      <c r="I124" t="s">
        <v>1060</v>
      </c>
      <c r="J124" t="str">
        <f t="shared" si="1"/>
        <v>ia.assorted_string like '%105332-00083-01-2025%' or</v>
      </c>
    </row>
    <row r="125" spans="1:10">
      <c r="A125" s="1" t="s">
        <v>840</v>
      </c>
      <c r="B125" t="s">
        <v>1089</v>
      </c>
      <c r="H125">
        <v>105332</v>
      </c>
      <c r="I125" t="s">
        <v>1061</v>
      </c>
      <c r="J125" t="str">
        <f t="shared" si="1"/>
        <v>ia.assorted_string like '%105332-00079-01-2025%' or</v>
      </c>
    </row>
    <row r="126" spans="1:10">
      <c r="A126" s="1" t="s">
        <v>841</v>
      </c>
      <c r="B126" t="s">
        <v>1089</v>
      </c>
      <c r="H126">
        <v>105332</v>
      </c>
      <c r="I126" t="s">
        <v>1062</v>
      </c>
      <c r="J126" t="str">
        <f t="shared" si="1"/>
        <v>ia.assorted_string like '%105332-00076-01-2025%' or</v>
      </c>
    </row>
    <row r="127" spans="1:10">
      <c r="A127" s="1" t="s">
        <v>842</v>
      </c>
      <c r="B127" t="s">
        <v>1089</v>
      </c>
      <c r="H127">
        <v>105332</v>
      </c>
      <c r="I127" t="s">
        <v>1063</v>
      </c>
      <c r="J127" t="str">
        <f t="shared" si="1"/>
        <v>ia.assorted_string like '%105332-00085-01-2025%' or</v>
      </c>
    </row>
    <row r="128" spans="1:10">
      <c r="A128" s="1" t="s">
        <v>924</v>
      </c>
      <c r="B128" t="s">
        <v>1089</v>
      </c>
      <c r="H128">
        <v>105332</v>
      </c>
      <c r="I128" t="s">
        <v>1064</v>
      </c>
      <c r="J128" t="str">
        <f t="shared" si="1"/>
        <v>ia.assorted_string like '%105332-00088-01-2025%' or</v>
      </c>
    </row>
    <row r="129" spans="1:10">
      <c r="A129" s="1" t="s">
        <v>843</v>
      </c>
      <c r="B129" t="s">
        <v>1089</v>
      </c>
      <c r="H129">
        <v>105332</v>
      </c>
      <c r="I129" t="s">
        <v>1065</v>
      </c>
      <c r="J129" t="str">
        <f t="shared" si="1"/>
        <v>ia.assorted_string like '%105332-00116-01-2025%' or</v>
      </c>
    </row>
    <row r="130" spans="1:10">
      <c r="A130" s="1" t="s">
        <v>844</v>
      </c>
      <c r="B130" t="s">
        <v>1089</v>
      </c>
      <c r="H130">
        <v>105332</v>
      </c>
      <c r="I130" t="s">
        <v>1066</v>
      </c>
      <c r="J130" t="str">
        <f t="shared" si="1"/>
        <v>ia.assorted_string like '%105332-00112-01-2025%' or</v>
      </c>
    </row>
    <row r="131" spans="1:10">
      <c r="A131" s="6" t="s">
        <v>933</v>
      </c>
      <c r="B131" t="s">
        <v>1088</v>
      </c>
      <c r="H131">
        <v>52321</v>
      </c>
      <c r="I131" t="s">
        <v>1067</v>
      </c>
      <c r="J131" t="str">
        <f t="shared" ref="J131:J151" si="2">"ia.assorted_string like '%"&amp;H131&amp;"-"&amp;I131&amp;B131&amp;"%' or"</f>
        <v>ia.assorted_string like '%52321-00129-02-2025%' or</v>
      </c>
    </row>
    <row r="132" spans="1:10">
      <c r="A132" s="6" t="s">
        <v>934</v>
      </c>
      <c r="B132" t="s">
        <v>1088</v>
      </c>
      <c r="H132">
        <v>52321</v>
      </c>
      <c r="I132" t="s">
        <v>1064</v>
      </c>
      <c r="J132" t="str">
        <f t="shared" si="2"/>
        <v>ia.assorted_string like '%52321-00088-02-2025%' or</v>
      </c>
    </row>
    <row r="133" spans="1:10">
      <c r="A133" s="1" t="s">
        <v>846</v>
      </c>
      <c r="B133" t="s">
        <v>1089</v>
      </c>
      <c r="H133">
        <v>105332</v>
      </c>
      <c r="I133" t="s">
        <v>1068</v>
      </c>
      <c r="J133" t="str">
        <f t="shared" si="2"/>
        <v>ia.assorted_string like '%105332-00138-01-2025%' or</v>
      </c>
    </row>
    <row r="134" spans="1:10">
      <c r="A134" s="1" t="s">
        <v>847</v>
      </c>
      <c r="B134" t="s">
        <v>1089</v>
      </c>
      <c r="H134">
        <v>105332</v>
      </c>
      <c r="I134" t="s">
        <v>1069</v>
      </c>
      <c r="J134" t="str">
        <f t="shared" si="2"/>
        <v>ia.assorted_string like '%105332-00100-01-2025%' or</v>
      </c>
    </row>
    <row r="135" spans="1:10">
      <c r="A135" s="1" t="s">
        <v>848</v>
      </c>
      <c r="B135" t="s">
        <v>1089</v>
      </c>
      <c r="H135">
        <v>105332</v>
      </c>
      <c r="I135" t="s">
        <v>1070</v>
      </c>
      <c r="J135" t="str">
        <f t="shared" si="2"/>
        <v>ia.assorted_string like '%105332-00125-01-2025%' or</v>
      </c>
    </row>
    <row r="136" spans="1:10">
      <c r="A136" s="1" t="s">
        <v>925</v>
      </c>
      <c r="B136" t="s">
        <v>1089</v>
      </c>
      <c r="H136">
        <v>105332</v>
      </c>
      <c r="I136" t="s">
        <v>1071</v>
      </c>
      <c r="J136" t="str">
        <f t="shared" si="2"/>
        <v>ia.assorted_string like '%105332-00119-01-2025%' or</v>
      </c>
    </row>
    <row r="137" spans="1:10">
      <c r="A137" s="1" t="s">
        <v>849</v>
      </c>
      <c r="B137" t="s">
        <v>1089</v>
      </c>
      <c r="H137">
        <v>105332</v>
      </c>
      <c r="I137" t="s">
        <v>1072</v>
      </c>
      <c r="J137" t="str">
        <f t="shared" si="2"/>
        <v>ia.assorted_string like '%105332-00095-01-2025%' or</v>
      </c>
    </row>
    <row r="138" spans="1:10">
      <c r="A138" s="1" t="s">
        <v>850</v>
      </c>
      <c r="B138" t="s">
        <v>1089</v>
      </c>
      <c r="H138">
        <v>105332</v>
      </c>
      <c r="I138" t="s">
        <v>1073</v>
      </c>
      <c r="J138" t="str">
        <f t="shared" si="2"/>
        <v>ia.assorted_string like '%105332-00131-01-2025%' or</v>
      </c>
    </row>
    <row r="139" spans="1:10">
      <c r="A139" s="1" t="s">
        <v>851</v>
      </c>
      <c r="B139" t="s">
        <v>1089</v>
      </c>
      <c r="H139">
        <v>105332</v>
      </c>
      <c r="I139" t="s">
        <v>1074</v>
      </c>
      <c r="J139" t="str">
        <f t="shared" si="2"/>
        <v>ia.assorted_string like '%105332-00154-01-2025%' or</v>
      </c>
    </row>
    <row r="140" spans="1:10">
      <c r="A140" s="1" t="s">
        <v>852</v>
      </c>
      <c r="B140" t="s">
        <v>1089</v>
      </c>
      <c r="H140">
        <v>105332</v>
      </c>
      <c r="I140" t="s">
        <v>1075</v>
      </c>
      <c r="J140" t="str">
        <f t="shared" si="2"/>
        <v>ia.assorted_string like '%105332-00152-01-2025%' or</v>
      </c>
    </row>
    <row r="141" spans="1:10">
      <c r="A141" s="1" t="s">
        <v>853</v>
      </c>
      <c r="B141" t="s">
        <v>1089</v>
      </c>
      <c r="H141">
        <v>105332</v>
      </c>
      <c r="I141" t="s">
        <v>1076</v>
      </c>
      <c r="J141" t="str">
        <f t="shared" si="2"/>
        <v>ia.assorted_string like '%105332-00156-01-2025%' or</v>
      </c>
    </row>
    <row r="142" spans="1:10">
      <c r="A142" s="1" t="s">
        <v>926</v>
      </c>
      <c r="B142" t="s">
        <v>1089</v>
      </c>
      <c r="H142">
        <v>105332</v>
      </c>
      <c r="I142" t="s">
        <v>1077</v>
      </c>
      <c r="J142" t="str">
        <f t="shared" si="2"/>
        <v>ia.assorted_string like '%105332-00145-01-2025%' or</v>
      </c>
    </row>
    <row r="143" spans="1:10">
      <c r="A143" s="1" t="s">
        <v>854</v>
      </c>
      <c r="B143" t="s">
        <v>1089</v>
      </c>
      <c r="H143">
        <v>105332</v>
      </c>
      <c r="I143" t="s">
        <v>1078</v>
      </c>
      <c r="J143" t="str">
        <f t="shared" si="2"/>
        <v>ia.assorted_string like '%105332-00157-01-2025%' or</v>
      </c>
    </row>
    <row r="144" spans="1:10">
      <c r="A144" s="1" t="s">
        <v>855</v>
      </c>
      <c r="B144" t="s">
        <v>1089</v>
      </c>
      <c r="H144">
        <v>105332</v>
      </c>
      <c r="I144" t="s">
        <v>1079</v>
      </c>
      <c r="J144" t="str">
        <f t="shared" si="2"/>
        <v>ia.assorted_string like '%105332-00160-01-2025%' or</v>
      </c>
    </row>
    <row r="145" spans="1:10">
      <c r="A145" s="1" t="s">
        <v>856</v>
      </c>
      <c r="B145" t="s">
        <v>1089</v>
      </c>
      <c r="H145">
        <v>105332</v>
      </c>
      <c r="I145" t="s">
        <v>1080</v>
      </c>
      <c r="J145" t="str">
        <f t="shared" si="2"/>
        <v>ia.assorted_string like '%105332-00008-01-2025%' or</v>
      </c>
    </row>
    <row r="146" spans="1:10">
      <c r="A146" s="1" t="s">
        <v>857</v>
      </c>
      <c r="B146" t="s">
        <v>1089</v>
      </c>
      <c r="H146">
        <v>105332</v>
      </c>
      <c r="I146" t="s">
        <v>1081</v>
      </c>
      <c r="J146" t="str">
        <f t="shared" si="2"/>
        <v>ia.assorted_string like '%105332-00058-01-2025%' or</v>
      </c>
    </row>
    <row r="147" spans="1:10">
      <c r="A147" s="1" t="s">
        <v>858</v>
      </c>
      <c r="B147" t="s">
        <v>1089</v>
      </c>
      <c r="H147">
        <v>105332</v>
      </c>
      <c r="I147" t="s">
        <v>1082</v>
      </c>
      <c r="J147" t="str">
        <f t="shared" si="2"/>
        <v>ia.assorted_string like '%105332-00015-01-2025%' or</v>
      </c>
    </row>
    <row r="148" spans="1:10">
      <c r="A148" s="1" t="s">
        <v>859</v>
      </c>
      <c r="B148" t="s">
        <v>1089</v>
      </c>
      <c r="H148">
        <v>105332</v>
      </c>
      <c r="I148" t="s">
        <v>1083</v>
      </c>
      <c r="J148" t="str">
        <f t="shared" si="2"/>
        <v>ia.assorted_string like '%105332-00023-01-2025%' or</v>
      </c>
    </row>
    <row r="149" spans="1:10">
      <c r="A149" s="1" t="s">
        <v>860</v>
      </c>
      <c r="B149" t="s">
        <v>1089</v>
      </c>
      <c r="H149">
        <v>105332</v>
      </c>
      <c r="I149" t="s">
        <v>1084</v>
      </c>
      <c r="J149" t="str">
        <f t="shared" si="2"/>
        <v>ia.assorted_string like '%105332-00054-01-2025%' or</v>
      </c>
    </row>
    <row r="150" spans="1:10">
      <c r="A150" s="1" t="s">
        <v>861</v>
      </c>
      <c r="B150" t="s">
        <v>1089</v>
      </c>
      <c r="H150">
        <v>105332</v>
      </c>
      <c r="I150" t="s">
        <v>1085</v>
      </c>
      <c r="J150" t="str">
        <f t="shared" si="2"/>
        <v>ia.assorted_string like '%105332-00071-01-2025%' or</v>
      </c>
    </row>
    <row r="151" spans="1:10">
      <c r="A151" s="1" t="s">
        <v>862</v>
      </c>
      <c r="B151" t="s">
        <v>1089</v>
      </c>
      <c r="H151">
        <v>105332</v>
      </c>
      <c r="I151" t="s">
        <v>1086</v>
      </c>
      <c r="J151" t="str">
        <f t="shared" si="2"/>
        <v>ia.assorted_string like '%105332-00078-01-2025%' or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80CD1-AE6F-40A7-939C-734D20E8A565}">
  <dimension ref="A1:C143"/>
  <sheetViews>
    <sheetView topLeftCell="A64" workbookViewId="0">
      <selection activeCell="B74" sqref="B74"/>
    </sheetView>
  </sheetViews>
  <sheetFormatPr defaultColWidth="7.85546875" defaultRowHeight="15"/>
  <cols>
    <col min="1" max="1" width="4" bestFit="1" customWidth="1"/>
    <col min="2" max="2" width="44.28515625" bestFit="1" customWidth="1"/>
    <col min="3" max="3" width="15" bestFit="1" customWidth="1"/>
  </cols>
  <sheetData>
    <row r="1" spans="1:3" s="14" customFormat="1" ht="12">
      <c r="A1" s="14" t="s">
        <v>1090</v>
      </c>
      <c r="B1" s="14" t="s">
        <v>1091</v>
      </c>
      <c r="C1" s="14" t="s">
        <v>1092</v>
      </c>
    </row>
    <row r="2" spans="1:3">
      <c r="A2">
        <v>1</v>
      </c>
      <c r="B2" t="s">
        <v>805</v>
      </c>
      <c r="C2" t="s">
        <v>1093</v>
      </c>
    </row>
    <row r="3" spans="1:3">
      <c r="A3">
        <v>2</v>
      </c>
      <c r="B3" t="s">
        <v>804</v>
      </c>
      <c r="C3" t="s">
        <v>1094</v>
      </c>
    </row>
    <row r="4" spans="1:3">
      <c r="A4">
        <v>3</v>
      </c>
      <c r="B4" t="s">
        <v>851</v>
      </c>
      <c r="C4" t="s">
        <v>1095</v>
      </c>
    </row>
    <row r="5" spans="1:3">
      <c r="A5">
        <v>4</v>
      </c>
      <c r="B5" t="s">
        <v>822</v>
      </c>
      <c r="C5" t="s">
        <v>1096</v>
      </c>
    </row>
    <row r="6" spans="1:3">
      <c r="A6">
        <v>5</v>
      </c>
      <c r="B6" t="s">
        <v>853</v>
      </c>
      <c r="C6" t="s">
        <v>1097</v>
      </c>
    </row>
    <row r="7" spans="1:3">
      <c r="A7">
        <v>6</v>
      </c>
      <c r="B7" t="s">
        <v>854</v>
      </c>
      <c r="C7" t="s">
        <v>1098</v>
      </c>
    </row>
    <row r="8" spans="1:3">
      <c r="A8">
        <v>7</v>
      </c>
      <c r="B8" t="s">
        <v>752</v>
      </c>
      <c r="C8" t="s">
        <v>1099</v>
      </c>
    </row>
    <row r="9" spans="1:3">
      <c r="A9">
        <v>8</v>
      </c>
      <c r="B9" t="s">
        <v>758</v>
      </c>
      <c r="C9" t="s">
        <v>1100</v>
      </c>
    </row>
    <row r="10" spans="1:3">
      <c r="A10">
        <v>9</v>
      </c>
      <c r="B10" t="s">
        <v>823</v>
      </c>
      <c r="C10" t="s">
        <v>1101</v>
      </c>
    </row>
    <row r="11" spans="1:3">
      <c r="A11">
        <v>10</v>
      </c>
      <c r="B11" t="s">
        <v>859</v>
      </c>
      <c r="C11" t="s">
        <v>1102</v>
      </c>
    </row>
    <row r="12" spans="1:3">
      <c r="A12">
        <v>11</v>
      </c>
      <c r="B12" t="s">
        <v>795</v>
      </c>
      <c r="C12" t="s">
        <v>1103</v>
      </c>
    </row>
    <row r="13" spans="1:3">
      <c r="A13">
        <v>12</v>
      </c>
      <c r="B13" t="s">
        <v>925</v>
      </c>
      <c r="C13" t="s">
        <v>1104</v>
      </c>
    </row>
    <row r="14" spans="1:3">
      <c r="A14">
        <v>13</v>
      </c>
      <c r="B14" t="s">
        <v>763</v>
      </c>
      <c r="C14" t="s">
        <v>1105</v>
      </c>
    </row>
    <row r="15" spans="1:3">
      <c r="A15">
        <v>14</v>
      </c>
      <c r="B15" t="s">
        <v>855</v>
      </c>
      <c r="C15" t="s">
        <v>1106</v>
      </c>
    </row>
    <row r="16" spans="1:3">
      <c r="A16">
        <v>15</v>
      </c>
      <c r="B16" t="s">
        <v>799</v>
      </c>
      <c r="C16" t="s">
        <v>1107</v>
      </c>
    </row>
    <row r="17" spans="1:3">
      <c r="A17">
        <v>16</v>
      </c>
      <c r="B17" t="s">
        <v>831</v>
      </c>
      <c r="C17" t="s">
        <v>1108</v>
      </c>
    </row>
    <row r="18" spans="1:3">
      <c r="A18">
        <v>17</v>
      </c>
      <c r="B18" t="s">
        <v>833</v>
      </c>
      <c r="C18" t="s">
        <v>1109</v>
      </c>
    </row>
    <row r="19" spans="1:3">
      <c r="A19">
        <v>18</v>
      </c>
      <c r="B19" t="s">
        <v>837</v>
      </c>
      <c r="C19" t="s">
        <v>1110</v>
      </c>
    </row>
    <row r="20" spans="1:3">
      <c r="A20">
        <v>19</v>
      </c>
      <c r="B20" t="s">
        <v>835</v>
      </c>
      <c r="C20" t="s">
        <v>1111</v>
      </c>
    </row>
    <row r="21" spans="1:3">
      <c r="A21">
        <v>20</v>
      </c>
      <c r="B21" t="s">
        <v>839</v>
      </c>
      <c r="C21" t="s">
        <v>1112</v>
      </c>
    </row>
    <row r="22" spans="1:3">
      <c r="A22">
        <v>21</v>
      </c>
      <c r="B22" t="s">
        <v>806</v>
      </c>
      <c r="C22" t="s">
        <v>1113</v>
      </c>
    </row>
    <row r="23" spans="1:3">
      <c r="A23">
        <v>22</v>
      </c>
      <c r="B23" t="s">
        <v>825</v>
      </c>
      <c r="C23" t="s">
        <v>1114</v>
      </c>
    </row>
    <row r="24" spans="1:3">
      <c r="A24">
        <v>23</v>
      </c>
      <c r="B24" t="s">
        <v>803</v>
      </c>
      <c r="C24" t="s">
        <v>1115</v>
      </c>
    </row>
    <row r="25" spans="1:3">
      <c r="A25">
        <v>24</v>
      </c>
      <c r="B25" t="s">
        <v>768</v>
      </c>
      <c r="C25" t="s">
        <v>1116</v>
      </c>
    </row>
    <row r="26" spans="1:3">
      <c r="A26">
        <v>25</v>
      </c>
      <c r="B26" t="s">
        <v>769</v>
      </c>
      <c r="C26" t="s">
        <v>1117</v>
      </c>
    </row>
    <row r="27" spans="1:3">
      <c r="A27">
        <v>26</v>
      </c>
      <c r="B27" t="s">
        <v>783</v>
      </c>
      <c r="C27" t="s">
        <v>1118</v>
      </c>
    </row>
    <row r="28" spans="1:3">
      <c r="A28">
        <v>27</v>
      </c>
      <c r="B28" t="s">
        <v>905</v>
      </c>
      <c r="C28" t="s">
        <v>1119</v>
      </c>
    </row>
    <row r="29" spans="1:3">
      <c r="A29">
        <v>28</v>
      </c>
      <c r="B29" t="s">
        <v>861</v>
      </c>
      <c r="C29" t="s">
        <v>1120</v>
      </c>
    </row>
    <row r="30" spans="1:3">
      <c r="A30">
        <v>29</v>
      </c>
      <c r="B30" t="s">
        <v>771</v>
      </c>
      <c r="C30" t="s">
        <v>1121</v>
      </c>
    </row>
    <row r="31" spans="1:3">
      <c r="A31">
        <v>30</v>
      </c>
      <c r="B31" t="s">
        <v>818</v>
      </c>
      <c r="C31" t="s">
        <v>1122</v>
      </c>
    </row>
    <row r="32" spans="1:3">
      <c r="A32">
        <v>31</v>
      </c>
      <c r="B32" t="s">
        <v>842</v>
      </c>
      <c r="C32" t="s">
        <v>1123</v>
      </c>
    </row>
    <row r="33" spans="1:3">
      <c r="A33">
        <v>32</v>
      </c>
      <c r="B33" t="s">
        <v>847</v>
      </c>
      <c r="C33" t="s">
        <v>1124</v>
      </c>
    </row>
    <row r="34" spans="1:3">
      <c r="A34">
        <v>33</v>
      </c>
      <c r="B34" t="s">
        <v>778</v>
      </c>
      <c r="C34" t="s">
        <v>1125</v>
      </c>
    </row>
    <row r="35" spans="1:3">
      <c r="A35">
        <v>34</v>
      </c>
      <c r="B35" t="s">
        <v>756</v>
      </c>
      <c r="C35" t="s">
        <v>1126</v>
      </c>
    </row>
    <row r="36" spans="1:3">
      <c r="A36">
        <v>35</v>
      </c>
      <c r="B36" t="s">
        <v>779</v>
      </c>
      <c r="C36" t="s">
        <v>1127</v>
      </c>
    </row>
    <row r="37" spans="1:3">
      <c r="A37">
        <v>36</v>
      </c>
      <c r="B37" t="s">
        <v>848</v>
      </c>
      <c r="C37" t="s">
        <v>1128</v>
      </c>
    </row>
    <row r="38" spans="1:3">
      <c r="A38">
        <v>37</v>
      </c>
      <c r="B38" t="s">
        <v>920</v>
      </c>
      <c r="C38" t="s">
        <v>1129</v>
      </c>
    </row>
    <row r="39" spans="1:3">
      <c r="A39">
        <v>38</v>
      </c>
      <c r="B39" t="s">
        <v>926</v>
      </c>
      <c r="C39" t="s">
        <v>1130</v>
      </c>
    </row>
    <row r="40" spans="1:3">
      <c r="A40">
        <v>39</v>
      </c>
      <c r="B40" t="s">
        <v>791</v>
      </c>
      <c r="C40" t="s">
        <v>1131</v>
      </c>
    </row>
    <row r="41" spans="1:3">
      <c r="A41">
        <v>40</v>
      </c>
      <c r="B41" t="s">
        <v>821</v>
      </c>
      <c r="C41" t="s">
        <v>1132</v>
      </c>
    </row>
    <row r="42" spans="1:3">
      <c r="A42">
        <v>41</v>
      </c>
      <c r="B42" t="s">
        <v>894</v>
      </c>
      <c r="C42" t="s">
        <v>1133</v>
      </c>
    </row>
    <row r="43" spans="1:3">
      <c r="A43">
        <v>42</v>
      </c>
      <c r="B43" t="s">
        <v>836</v>
      </c>
      <c r="C43" t="s">
        <v>1134</v>
      </c>
    </row>
    <row r="44" spans="1:3">
      <c r="A44">
        <v>43</v>
      </c>
      <c r="B44" t="s">
        <v>857</v>
      </c>
      <c r="C44" t="s">
        <v>1135</v>
      </c>
    </row>
    <row r="45" spans="1:3">
      <c r="A45">
        <v>44</v>
      </c>
      <c r="B45" t="s">
        <v>794</v>
      </c>
      <c r="C45" t="s">
        <v>1136</v>
      </c>
    </row>
    <row r="46" spans="1:3">
      <c r="A46">
        <v>45</v>
      </c>
      <c r="B46" t="s">
        <v>807</v>
      </c>
      <c r="C46" t="s">
        <v>1137</v>
      </c>
    </row>
    <row r="47" spans="1:3">
      <c r="A47">
        <v>46</v>
      </c>
      <c r="B47" t="s">
        <v>843</v>
      </c>
      <c r="C47" t="s">
        <v>1138</v>
      </c>
    </row>
    <row r="48" spans="1:3">
      <c r="A48">
        <v>47</v>
      </c>
      <c r="B48" t="s">
        <v>785</v>
      </c>
      <c r="C48" t="s">
        <v>1139</v>
      </c>
    </row>
    <row r="49" spans="1:3">
      <c r="A49">
        <v>48</v>
      </c>
      <c r="B49" t="s">
        <v>862</v>
      </c>
      <c r="C49" t="s">
        <v>1140</v>
      </c>
    </row>
    <row r="50" spans="1:3">
      <c r="A50">
        <v>49</v>
      </c>
      <c r="B50" t="s">
        <v>840</v>
      </c>
      <c r="C50" t="s">
        <v>1141</v>
      </c>
    </row>
    <row r="51" spans="1:3">
      <c r="A51">
        <v>50</v>
      </c>
      <c r="B51" t="s">
        <v>923</v>
      </c>
      <c r="C51" t="s">
        <v>1142</v>
      </c>
    </row>
    <row r="52" spans="1:3">
      <c r="A52">
        <v>51</v>
      </c>
      <c r="B52" t="s">
        <v>916</v>
      </c>
      <c r="C52" t="s">
        <v>1143</v>
      </c>
    </row>
    <row r="53" spans="1:3">
      <c r="A53">
        <v>52</v>
      </c>
      <c r="B53" t="s">
        <v>913</v>
      </c>
      <c r="C53" t="s">
        <v>1144</v>
      </c>
    </row>
    <row r="54" spans="1:3">
      <c r="A54">
        <v>53</v>
      </c>
      <c r="B54" t="s">
        <v>800</v>
      </c>
      <c r="C54" t="s">
        <v>1145</v>
      </c>
    </row>
    <row r="55" spans="1:3">
      <c r="A55">
        <v>54</v>
      </c>
      <c r="B55" t="s">
        <v>921</v>
      </c>
      <c r="C55" t="s">
        <v>1146</v>
      </c>
    </row>
    <row r="56" spans="1:3">
      <c r="A56">
        <v>55</v>
      </c>
      <c r="B56" t="s">
        <v>904</v>
      </c>
      <c r="C56" t="s">
        <v>1147</v>
      </c>
    </row>
    <row r="57" spans="1:3">
      <c r="A57">
        <v>56</v>
      </c>
      <c r="B57" t="s">
        <v>754</v>
      </c>
      <c r="C57" t="s">
        <v>1148</v>
      </c>
    </row>
    <row r="58" spans="1:3">
      <c r="A58">
        <v>57</v>
      </c>
      <c r="B58" t="s">
        <v>786</v>
      </c>
      <c r="C58" t="s">
        <v>1149</v>
      </c>
    </row>
    <row r="59" spans="1:3">
      <c r="A59">
        <v>58</v>
      </c>
      <c r="B59" t="s">
        <v>829</v>
      </c>
      <c r="C59" t="s">
        <v>1150</v>
      </c>
    </row>
    <row r="60" spans="1:3">
      <c r="A60">
        <v>59</v>
      </c>
      <c r="B60" t="s">
        <v>915</v>
      </c>
      <c r="C60" t="s">
        <v>1151</v>
      </c>
    </row>
    <row r="61" spans="1:3">
      <c r="A61">
        <v>60</v>
      </c>
      <c r="B61" t="s">
        <v>774</v>
      </c>
      <c r="C61" t="s">
        <v>1152</v>
      </c>
    </row>
    <row r="62" spans="1:3">
      <c r="A62">
        <v>61</v>
      </c>
      <c r="B62" t="s">
        <v>898</v>
      </c>
      <c r="C62" t="s">
        <v>1153</v>
      </c>
    </row>
    <row r="63" spans="1:3">
      <c r="A63">
        <v>62</v>
      </c>
      <c r="B63" t="s">
        <v>792</v>
      </c>
      <c r="C63" t="s">
        <v>1154</v>
      </c>
    </row>
    <row r="64" spans="1:3">
      <c r="A64">
        <v>63</v>
      </c>
      <c r="B64" t="s">
        <v>911</v>
      </c>
      <c r="C64" t="s">
        <v>1155</v>
      </c>
    </row>
    <row r="65" spans="1:3">
      <c r="A65">
        <v>64</v>
      </c>
      <c r="B65" t="s">
        <v>919</v>
      </c>
      <c r="C65" t="s">
        <v>1156</v>
      </c>
    </row>
    <row r="66" spans="1:3">
      <c r="A66">
        <v>65</v>
      </c>
      <c r="B66" t="s">
        <v>852</v>
      </c>
      <c r="C66" t="s">
        <v>1157</v>
      </c>
    </row>
    <row r="67" spans="1:3">
      <c r="A67">
        <v>66</v>
      </c>
      <c r="B67" t="s">
        <v>912</v>
      </c>
      <c r="C67" t="s">
        <v>1158</v>
      </c>
    </row>
    <row r="68" spans="1:3">
      <c r="A68">
        <v>67</v>
      </c>
      <c r="B68" t="s">
        <v>856</v>
      </c>
      <c r="C68" t="s">
        <v>1159</v>
      </c>
    </row>
    <row r="69" spans="1:3">
      <c r="A69">
        <v>68</v>
      </c>
      <c r="B69" t="s">
        <v>772</v>
      </c>
      <c r="C69" t="s">
        <v>1160</v>
      </c>
    </row>
    <row r="70" spans="1:3">
      <c r="A70">
        <v>69</v>
      </c>
      <c r="B70" t="s">
        <v>776</v>
      </c>
      <c r="C70" t="s">
        <v>1161</v>
      </c>
    </row>
    <row r="71" spans="1:3">
      <c r="A71">
        <v>70</v>
      </c>
      <c r="B71" t="s">
        <v>826</v>
      </c>
      <c r="C71" t="s">
        <v>1162</v>
      </c>
    </row>
    <row r="72" spans="1:3">
      <c r="A72">
        <v>71</v>
      </c>
      <c r="B72" t="s">
        <v>784</v>
      </c>
      <c r="C72" t="s">
        <v>1163</v>
      </c>
    </row>
    <row r="73" spans="1:3">
      <c r="A73">
        <v>72</v>
      </c>
      <c r="B73" t="s">
        <v>903</v>
      </c>
      <c r="C73" t="s">
        <v>1164</v>
      </c>
    </row>
    <row r="74" spans="1:3">
      <c r="A74">
        <v>73</v>
      </c>
      <c r="B74" t="s">
        <v>788</v>
      </c>
      <c r="C74" t="s">
        <v>1165</v>
      </c>
    </row>
    <row r="75" spans="1:3">
      <c r="A75">
        <v>74</v>
      </c>
      <c r="B75" t="s">
        <v>790</v>
      </c>
      <c r="C75" t="s">
        <v>1166</v>
      </c>
    </row>
    <row r="76" spans="1:3">
      <c r="A76">
        <v>75</v>
      </c>
      <c r="B76" t="s">
        <v>850</v>
      </c>
      <c r="C76" t="s">
        <v>1167</v>
      </c>
    </row>
    <row r="77" spans="1:3">
      <c r="A77">
        <v>76</v>
      </c>
      <c r="B77" t="s">
        <v>908</v>
      </c>
      <c r="C77" t="s">
        <v>1168</v>
      </c>
    </row>
    <row r="78" spans="1:3">
      <c r="A78">
        <v>77</v>
      </c>
      <c r="B78" t="s">
        <v>761</v>
      </c>
      <c r="C78" t="s">
        <v>1169</v>
      </c>
    </row>
    <row r="79" spans="1:3">
      <c r="A79">
        <v>78</v>
      </c>
      <c r="B79" t="s">
        <v>832</v>
      </c>
      <c r="C79" t="s">
        <v>1170</v>
      </c>
    </row>
    <row r="80" spans="1:3">
      <c r="A80">
        <v>79</v>
      </c>
      <c r="B80" t="s">
        <v>817</v>
      </c>
      <c r="C80" t="s">
        <v>1171</v>
      </c>
    </row>
    <row r="81" spans="1:3">
      <c r="A81">
        <v>80</v>
      </c>
      <c r="B81" t="s">
        <v>760</v>
      </c>
      <c r="C81" t="s">
        <v>1172</v>
      </c>
    </row>
    <row r="82" spans="1:3">
      <c r="A82">
        <v>81</v>
      </c>
      <c r="B82" t="s">
        <v>841</v>
      </c>
      <c r="C82" t="s">
        <v>1173</v>
      </c>
    </row>
    <row r="83" spans="1:3">
      <c r="A83">
        <v>82</v>
      </c>
      <c r="B83" t="s">
        <v>773</v>
      </c>
      <c r="C83" t="s">
        <v>1174</v>
      </c>
    </row>
    <row r="84" spans="1:3">
      <c r="A84">
        <v>83</v>
      </c>
      <c r="B84" t="s">
        <v>770</v>
      </c>
      <c r="C84" t="s">
        <v>1175</v>
      </c>
    </row>
    <row r="85" spans="1:3">
      <c r="A85">
        <v>84</v>
      </c>
      <c r="B85" t="s">
        <v>808</v>
      </c>
      <c r="C85" t="s">
        <v>1176</v>
      </c>
    </row>
    <row r="86" spans="1:3">
      <c r="A86">
        <v>85</v>
      </c>
      <c r="B86" t="s">
        <v>849</v>
      </c>
      <c r="C86" t="s">
        <v>1177</v>
      </c>
    </row>
    <row r="87" spans="1:3">
      <c r="A87">
        <v>86</v>
      </c>
      <c r="B87" t="s">
        <v>809</v>
      </c>
      <c r="C87" t="s">
        <v>1178</v>
      </c>
    </row>
    <row r="88" spans="1:3">
      <c r="A88">
        <v>87</v>
      </c>
      <c r="B88" t="s">
        <v>748</v>
      </c>
      <c r="C88" t="s">
        <v>1179</v>
      </c>
    </row>
    <row r="89" spans="1:3">
      <c r="A89">
        <v>88</v>
      </c>
      <c r="B89" t="s">
        <v>802</v>
      </c>
      <c r="C89" t="s">
        <v>1180</v>
      </c>
    </row>
    <row r="90" spans="1:3">
      <c r="A90">
        <v>89</v>
      </c>
      <c r="B90" t="s">
        <v>759</v>
      </c>
      <c r="C90" t="s">
        <v>1181</v>
      </c>
    </row>
    <row r="91" spans="1:3">
      <c r="A91">
        <v>90</v>
      </c>
      <c r="B91" t="s">
        <v>762</v>
      </c>
      <c r="C91" t="s">
        <v>1182</v>
      </c>
    </row>
    <row r="92" spans="1:3">
      <c r="A92">
        <v>91</v>
      </c>
      <c r="B92" t="s">
        <v>798</v>
      </c>
      <c r="C92" t="s">
        <v>1183</v>
      </c>
    </row>
    <row r="93" spans="1:3">
      <c r="A93">
        <v>92</v>
      </c>
      <c r="B93" t="s">
        <v>899</v>
      </c>
      <c r="C93" t="s">
        <v>1184</v>
      </c>
    </row>
    <row r="94" spans="1:3">
      <c r="A94">
        <v>93</v>
      </c>
      <c r="B94" t="s">
        <v>755</v>
      </c>
      <c r="C94" t="s">
        <v>1185</v>
      </c>
    </row>
    <row r="95" spans="1:3">
      <c r="A95">
        <v>94</v>
      </c>
      <c r="B95" t="s">
        <v>801</v>
      </c>
      <c r="C95" t="s">
        <v>1186</v>
      </c>
    </row>
    <row r="96" spans="1:3">
      <c r="A96">
        <v>95</v>
      </c>
      <c r="B96" t="s">
        <v>828</v>
      </c>
      <c r="C96" t="s">
        <v>1187</v>
      </c>
    </row>
    <row r="97" spans="1:3">
      <c r="A97">
        <v>96</v>
      </c>
      <c r="B97" t="s">
        <v>796</v>
      </c>
      <c r="C97" t="s">
        <v>1188</v>
      </c>
    </row>
    <row r="98" spans="1:3">
      <c r="A98">
        <v>97</v>
      </c>
      <c r="B98" t="s">
        <v>897</v>
      </c>
      <c r="C98" t="s">
        <v>1189</v>
      </c>
    </row>
    <row r="99" spans="1:3">
      <c r="A99">
        <v>98</v>
      </c>
      <c r="B99" t="s">
        <v>924</v>
      </c>
      <c r="C99" t="s">
        <v>1190</v>
      </c>
    </row>
    <row r="100" spans="1:3">
      <c r="A100">
        <v>99</v>
      </c>
      <c r="B100" t="s">
        <v>820</v>
      </c>
      <c r="C100" t="s">
        <v>1191</v>
      </c>
    </row>
    <row r="101" spans="1:3">
      <c r="A101">
        <v>100</v>
      </c>
      <c r="B101" t="s">
        <v>815</v>
      </c>
      <c r="C101" t="s">
        <v>1192</v>
      </c>
    </row>
    <row r="102" spans="1:3">
      <c r="A102">
        <v>101</v>
      </c>
      <c r="B102" t="s">
        <v>917</v>
      </c>
      <c r="C102" t="s">
        <v>1193</v>
      </c>
    </row>
    <row r="103" spans="1:3">
      <c r="A103">
        <v>102</v>
      </c>
      <c r="B103" t="s">
        <v>814</v>
      </c>
      <c r="C103" t="s">
        <v>1194</v>
      </c>
    </row>
    <row r="104" spans="1:3">
      <c r="A104">
        <v>103</v>
      </c>
      <c r="B104" t="s">
        <v>860</v>
      </c>
      <c r="C104" t="s">
        <v>1195</v>
      </c>
    </row>
    <row r="105" spans="1:3">
      <c r="A105">
        <v>104</v>
      </c>
      <c r="B105" t="s">
        <v>824</v>
      </c>
      <c r="C105" t="s">
        <v>1196</v>
      </c>
    </row>
    <row r="106" spans="1:3">
      <c r="A106">
        <v>105</v>
      </c>
      <c r="B106" t="s">
        <v>846</v>
      </c>
      <c r="C106" t="s">
        <v>1197</v>
      </c>
    </row>
    <row r="107" spans="1:3">
      <c r="A107">
        <v>106</v>
      </c>
      <c r="B107" t="s">
        <v>750</v>
      </c>
      <c r="C107" t="s">
        <v>1198</v>
      </c>
    </row>
    <row r="108" spans="1:3">
      <c r="A108">
        <v>107</v>
      </c>
      <c r="B108" t="s">
        <v>765</v>
      </c>
      <c r="C108" t="s">
        <v>1199</v>
      </c>
    </row>
    <row r="109" spans="1:3">
      <c r="A109">
        <v>108</v>
      </c>
      <c r="B109" t="s">
        <v>797</v>
      </c>
      <c r="C109" t="s">
        <v>1200</v>
      </c>
    </row>
    <row r="110" spans="1:3">
      <c r="A110">
        <v>109</v>
      </c>
      <c r="B110" t="s">
        <v>757</v>
      </c>
      <c r="C110" t="s">
        <v>1201</v>
      </c>
    </row>
    <row r="111" spans="1:3">
      <c r="A111">
        <v>110</v>
      </c>
      <c r="B111" t="s">
        <v>781</v>
      </c>
      <c r="C111" t="s">
        <v>1202</v>
      </c>
    </row>
    <row r="112" spans="1:3">
      <c r="A112">
        <v>111</v>
      </c>
      <c r="B112" t="s">
        <v>844</v>
      </c>
      <c r="C112" t="s">
        <v>1203</v>
      </c>
    </row>
    <row r="113" spans="1:3">
      <c r="A113">
        <v>112</v>
      </c>
      <c r="B113" t="s">
        <v>813</v>
      </c>
      <c r="C113" t="s">
        <v>1204</v>
      </c>
    </row>
    <row r="114" spans="1:3">
      <c r="A114">
        <v>113</v>
      </c>
      <c r="B114" t="s">
        <v>901</v>
      </c>
      <c r="C114" t="s">
        <v>1205</v>
      </c>
    </row>
    <row r="115" spans="1:3">
      <c r="A115">
        <v>114</v>
      </c>
      <c r="B115" t="s">
        <v>858</v>
      </c>
      <c r="C115" t="s">
        <v>1206</v>
      </c>
    </row>
    <row r="116" spans="1:3">
      <c r="A116">
        <v>115</v>
      </c>
      <c r="B116" t="s">
        <v>767</v>
      </c>
      <c r="C116" t="s">
        <v>1207</v>
      </c>
    </row>
    <row r="117" spans="1:3">
      <c r="A117">
        <v>116</v>
      </c>
      <c r="B117" t="s">
        <v>787</v>
      </c>
      <c r="C117" t="s">
        <v>1208</v>
      </c>
    </row>
    <row r="118" spans="1:3">
      <c r="A118">
        <v>117</v>
      </c>
      <c r="B118" t="s">
        <v>789</v>
      </c>
      <c r="C118" t="s">
        <v>1209</v>
      </c>
    </row>
    <row r="119" spans="1:3">
      <c r="A119">
        <v>118</v>
      </c>
      <c r="B119" t="s">
        <v>909</v>
      </c>
      <c r="C119" t="s">
        <v>1210</v>
      </c>
    </row>
    <row r="120" spans="1:3">
      <c r="A120">
        <v>119</v>
      </c>
      <c r="B120" t="s">
        <v>906</v>
      </c>
      <c r="C120" t="s">
        <v>1211</v>
      </c>
    </row>
    <row r="121" spans="1:3">
      <c r="A121">
        <v>120</v>
      </c>
      <c r="B121" t="s">
        <v>819</v>
      </c>
      <c r="C121" t="s">
        <v>1212</v>
      </c>
    </row>
    <row r="122" spans="1:3">
      <c r="A122">
        <v>121</v>
      </c>
      <c r="B122" t="s">
        <v>753</v>
      </c>
      <c r="C122" t="s">
        <v>1213</v>
      </c>
    </row>
    <row r="123" spans="1:3">
      <c r="A123">
        <v>122</v>
      </c>
      <c r="B123" t="s">
        <v>793</v>
      </c>
      <c r="C123" t="s">
        <v>1214</v>
      </c>
    </row>
    <row r="124" spans="1:3">
      <c r="A124">
        <v>123</v>
      </c>
      <c r="B124" t="s">
        <v>922</v>
      </c>
      <c r="C124" t="s">
        <v>1215</v>
      </c>
    </row>
    <row r="125" spans="1:3">
      <c r="A125">
        <v>124</v>
      </c>
      <c r="B125" t="s">
        <v>830</v>
      </c>
      <c r="C125" t="s">
        <v>1216</v>
      </c>
    </row>
    <row r="126" spans="1:3">
      <c r="A126">
        <v>125</v>
      </c>
      <c r="B126" t="s">
        <v>900</v>
      </c>
      <c r="C126" t="s">
        <v>1217</v>
      </c>
    </row>
    <row r="127" spans="1:3">
      <c r="A127">
        <v>126</v>
      </c>
      <c r="B127" t="s">
        <v>816</v>
      </c>
      <c r="C127" t="s">
        <v>1218</v>
      </c>
    </row>
    <row r="128" spans="1:3">
      <c r="A128">
        <v>127</v>
      </c>
      <c r="B128" t="s">
        <v>782</v>
      </c>
      <c r="C128" t="s">
        <v>1219</v>
      </c>
    </row>
    <row r="129" spans="1:3">
      <c r="A129">
        <v>128</v>
      </c>
      <c r="B129" t="s">
        <v>751</v>
      </c>
      <c r="C129" t="s">
        <v>1220</v>
      </c>
    </row>
    <row r="130" spans="1:3">
      <c r="A130">
        <v>129</v>
      </c>
      <c r="B130" t="s">
        <v>838</v>
      </c>
      <c r="C130" t="s">
        <v>1221</v>
      </c>
    </row>
    <row r="131" spans="1:3">
      <c r="A131">
        <v>130</v>
      </c>
      <c r="B131" t="s">
        <v>764</v>
      </c>
      <c r="C131" t="s">
        <v>1222</v>
      </c>
    </row>
    <row r="132" spans="1:3">
      <c r="A132">
        <v>131</v>
      </c>
      <c r="B132" t="s">
        <v>766</v>
      </c>
      <c r="C132" t="s">
        <v>1223</v>
      </c>
    </row>
    <row r="133" spans="1:3">
      <c r="A133">
        <v>132</v>
      </c>
      <c r="B133" t="s">
        <v>777</v>
      </c>
      <c r="C133" t="s">
        <v>1224</v>
      </c>
    </row>
    <row r="134" spans="1:3">
      <c r="A134">
        <v>133</v>
      </c>
      <c r="B134" t="s">
        <v>896</v>
      </c>
      <c r="C134" t="s">
        <v>1225</v>
      </c>
    </row>
    <row r="135" spans="1:3">
      <c r="A135">
        <v>134</v>
      </c>
      <c r="B135" t="s">
        <v>910</v>
      </c>
      <c r="C135" t="s">
        <v>1226</v>
      </c>
    </row>
    <row r="136" spans="1:3">
      <c r="A136">
        <v>135</v>
      </c>
      <c r="B136" t="s">
        <v>918</v>
      </c>
      <c r="C136" t="s">
        <v>1227</v>
      </c>
    </row>
    <row r="137" spans="1:3">
      <c r="A137">
        <v>136</v>
      </c>
      <c r="B137" t="s">
        <v>811</v>
      </c>
      <c r="C137" t="s">
        <v>1228</v>
      </c>
    </row>
    <row r="138" spans="1:3">
      <c r="A138">
        <v>137</v>
      </c>
      <c r="B138" t="s">
        <v>775</v>
      </c>
      <c r="C138" t="s">
        <v>1229</v>
      </c>
    </row>
    <row r="139" spans="1:3">
      <c r="A139">
        <v>138</v>
      </c>
      <c r="B139" t="s">
        <v>914</v>
      </c>
      <c r="C139" t="s">
        <v>1230</v>
      </c>
    </row>
    <row r="140" spans="1:3">
      <c r="A140">
        <v>139</v>
      </c>
      <c r="B140" t="s">
        <v>810</v>
      </c>
      <c r="C140" t="s">
        <v>1231</v>
      </c>
    </row>
    <row r="141" spans="1:3">
      <c r="A141">
        <v>140</v>
      </c>
      <c r="B141" t="s">
        <v>812</v>
      </c>
      <c r="C141" t="s">
        <v>1232</v>
      </c>
    </row>
    <row r="142" spans="1:3">
      <c r="A142">
        <v>141</v>
      </c>
      <c r="B142" t="s">
        <v>902</v>
      </c>
      <c r="C142" t="s">
        <v>1233</v>
      </c>
    </row>
    <row r="143" spans="1:3">
      <c r="A143">
        <v>142</v>
      </c>
      <c r="B143" t="s">
        <v>780</v>
      </c>
      <c r="C143" t="s">
        <v>1234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Park in advance</vt:lpstr>
      <vt:lpstr>PAYMENT ON MONTH OF JAN-2025</vt:lpstr>
      <vt:lpstr>woking</vt:lpstr>
      <vt:lpstr>sheet</vt:lpstr>
      <vt:lpstr>policy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 Ali</dc:creator>
  <cp:lastModifiedBy>IT User Software</cp:lastModifiedBy>
  <dcterms:created xsi:type="dcterms:W3CDTF">2019-01-18T06:35:24Z</dcterms:created>
  <dcterms:modified xsi:type="dcterms:W3CDTF">2025-02-20T12:30:37Z</dcterms:modified>
</cp:coreProperties>
</file>