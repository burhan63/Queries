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Premium\Premium\Saqib Saleem\26-Mar-2025\"/>
    </mc:Choice>
  </mc:AlternateContent>
  <xr:revisionPtr revIDLastSave="0" documentId="8_{29E4D59C-CD44-48D1-85DE-6667ABAE7BD8}" xr6:coauthVersionLast="47" xr6:coauthVersionMax="47" xr10:uidLastSave="{00000000-0000-0000-0000-000000000000}"/>
  <bookViews>
    <workbookView xWindow="-120" yWindow="-120" windowWidth="20730" windowHeight="11040" activeTab="5" xr2:uid="{00000000-000D-0000-FFFF-FFFF00000000}"/>
  </bookViews>
  <sheets>
    <sheet name="Fresh" sheetId="3" r:id="rId1"/>
    <sheet name="working" sheetId="6" r:id="rId2"/>
    <sheet name="Sheet2" sheetId="7" r:id="rId3"/>
    <sheet name="policy" sheetId="8" r:id="rId4"/>
    <sheet name="Renewal" sheetId="5" r:id="rId5"/>
    <sheet name="wrking" sheetId="9" r:id="rId6"/>
    <sheet name="Sheet5" sheetId="10" r:id="rId7"/>
    <sheet name="plicy" sheetId="11" r:id="rId8"/>
  </sheets>
  <externalReferences>
    <externalReference r:id="rId9"/>
    <externalReference r:id="rId10"/>
  </externalReferences>
  <definedNames>
    <definedName name="_xlnm._FilterDatabase" localSheetId="0" hidden="1">Fresh!$B$1:$AK$77</definedName>
    <definedName name="_xlnm._FilterDatabase" localSheetId="4" hidden="1">Renewal!$B$1:$AK$204</definedName>
    <definedName name="_xlnm._FilterDatabase" localSheetId="2" hidden="1">Sheet2!$H$1:$H$76</definedName>
    <definedName name="_xlnm._FilterDatabase" localSheetId="6" hidden="1">Sheet5!$H$1:$H$204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5" i="9" l="1"/>
  <c r="H3" i="9"/>
  <c r="H4" i="9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85" i="9"/>
  <c r="H86" i="9"/>
  <c r="H87" i="9"/>
  <c r="H88" i="9"/>
  <c r="H89" i="9"/>
  <c r="H90" i="9"/>
  <c r="H91" i="9"/>
  <c r="H92" i="9"/>
  <c r="H93" i="9"/>
  <c r="H94" i="9"/>
  <c r="H95" i="9"/>
  <c r="H96" i="9"/>
  <c r="H97" i="9"/>
  <c r="H98" i="9"/>
  <c r="H99" i="9"/>
  <c r="H100" i="9"/>
  <c r="H101" i="9"/>
  <c r="H102" i="9"/>
  <c r="H103" i="9"/>
  <c r="H104" i="9"/>
  <c r="H105" i="9"/>
  <c r="H106" i="9"/>
  <c r="H107" i="9"/>
  <c r="H108" i="9"/>
  <c r="H109" i="9"/>
  <c r="H110" i="9"/>
  <c r="H111" i="9"/>
  <c r="H112" i="9"/>
  <c r="H113" i="9"/>
  <c r="H114" i="9"/>
  <c r="H115" i="9"/>
  <c r="H116" i="9"/>
  <c r="H117" i="9"/>
  <c r="H118" i="9"/>
  <c r="H119" i="9"/>
  <c r="H120" i="9"/>
  <c r="H121" i="9"/>
  <c r="H122" i="9"/>
  <c r="H123" i="9"/>
  <c r="H124" i="9"/>
  <c r="H125" i="9"/>
  <c r="H126" i="9"/>
  <c r="H127" i="9"/>
  <c r="H128" i="9"/>
  <c r="H129" i="9"/>
  <c r="H130" i="9"/>
  <c r="H131" i="9"/>
  <c r="H132" i="9"/>
  <c r="H133" i="9"/>
  <c r="H134" i="9"/>
  <c r="H135" i="9"/>
  <c r="H136" i="9"/>
  <c r="H137" i="9"/>
  <c r="H138" i="9"/>
  <c r="H139" i="9"/>
  <c r="H140" i="9"/>
  <c r="H141" i="9"/>
  <c r="H142" i="9"/>
  <c r="H143" i="9"/>
  <c r="H144" i="9"/>
  <c r="H145" i="9"/>
  <c r="H146" i="9"/>
  <c r="H147" i="9"/>
  <c r="H148" i="9"/>
  <c r="H149" i="9"/>
  <c r="H150" i="9"/>
  <c r="H151" i="9"/>
  <c r="H152" i="9"/>
  <c r="H153" i="9"/>
  <c r="H154" i="9"/>
  <c r="H155" i="9"/>
  <c r="H156" i="9"/>
  <c r="H157" i="9"/>
  <c r="H158" i="9"/>
  <c r="H159" i="9"/>
  <c r="H160" i="9"/>
  <c r="H161" i="9"/>
  <c r="H162" i="9"/>
  <c r="H163" i="9"/>
  <c r="H164" i="9"/>
  <c r="H165" i="9"/>
  <c r="H166" i="9"/>
  <c r="H167" i="9"/>
  <c r="H168" i="9"/>
  <c r="H169" i="9"/>
  <c r="H170" i="9"/>
  <c r="H171" i="9"/>
  <c r="H172" i="9"/>
  <c r="H173" i="9"/>
  <c r="H174" i="9"/>
  <c r="H175" i="9"/>
  <c r="H176" i="9"/>
  <c r="H177" i="9"/>
  <c r="H178" i="9"/>
  <c r="H179" i="9"/>
  <c r="H180" i="9"/>
  <c r="H181" i="9"/>
  <c r="H182" i="9"/>
  <c r="H183" i="9"/>
  <c r="H184" i="9"/>
  <c r="H185" i="9"/>
  <c r="H186" i="9"/>
  <c r="H187" i="9"/>
  <c r="H188" i="9"/>
  <c r="H189" i="9"/>
  <c r="H190" i="9"/>
  <c r="H191" i="9"/>
  <c r="H192" i="9"/>
  <c r="H193" i="9"/>
  <c r="H194" i="9"/>
  <c r="H195" i="9"/>
  <c r="H196" i="9"/>
  <c r="H197" i="9"/>
  <c r="H198" i="9"/>
  <c r="H199" i="9"/>
  <c r="H200" i="9"/>
  <c r="H201" i="9"/>
  <c r="H202" i="9"/>
  <c r="H203" i="9"/>
  <c r="H204" i="9"/>
  <c r="G3" i="9"/>
  <c r="G4" i="9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50" i="9"/>
  <c r="G51" i="9"/>
  <c r="G52" i="9"/>
  <c r="G53" i="9"/>
  <c r="G54" i="9"/>
  <c r="G55" i="9"/>
  <c r="G56" i="9"/>
  <c r="G57" i="9"/>
  <c r="G58" i="9"/>
  <c r="G59" i="9"/>
  <c r="G60" i="9"/>
  <c r="G61" i="9"/>
  <c r="G62" i="9"/>
  <c r="G63" i="9"/>
  <c r="G64" i="9"/>
  <c r="G65" i="9"/>
  <c r="G66" i="9"/>
  <c r="G67" i="9"/>
  <c r="G68" i="9"/>
  <c r="G69" i="9"/>
  <c r="G70" i="9"/>
  <c r="G71" i="9"/>
  <c r="G72" i="9"/>
  <c r="G73" i="9"/>
  <c r="G74" i="9"/>
  <c r="G75" i="9"/>
  <c r="G76" i="9"/>
  <c r="G77" i="9"/>
  <c r="G78" i="9"/>
  <c r="G79" i="9"/>
  <c r="G80" i="9"/>
  <c r="G81" i="9"/>
  <c r="G82" i="9"/>
  <c r="G83" i="9"/>
  <c r="G84" i="9"/>
  <c r="G85" i="9"/>
  <c r="G86" i="9"/>
  <c r="G87" i="9"/>
  <c r="G88" i="9"/>
  <c r="G89" i="9"/>
  <c r="G90" i="9"/>
  <c r="G91" i="9"/>
  <c r="G92" i="9"/>
  <c r="G93" i="9"/>
  <c r="G94" i="9"/>
  <c r="G95" i="9"/>
  <c r="G96" i="9"/>
  <c r="G97" i="9"/>
  <c r="G98" i="9"/>
  <c r="G99" i="9"/>
  <c r="G100" i="9"/>
  <c r="G101" i="9"/>
  <c r="G102" i="9"/>
  <c r="G103" i="9"/>
  <c r="G104" i="9"/>
  <c r="G105" i="9"/>
  <c r="G106" i="9"/>
  <c r="G107" i="9"/>
  <c r="G108" i="9"/>
  <c r="G109" i="9"/>
  <c r="G110" i="9"/>
  <c r="G111" i="9"/>
  <c r="G112" i="9"/>
  <c r="G113" i="9"/>
  <c r="G114" i="9"/>
  <c r="G115" i="9"/>
  <c r="G116" i="9"/>
  <c r="G117" i="9"/>
  <c r="G118" i="9"/>
  <c r="G119" i="9"/>
  <c r="G120" i="9"/>
  <c r="G121" i="9"/>
  <c r="G122" i="9"/>
  <c r="G123" i="9"/>
  <c r="G124" i="9"/>
  <c r="G125" i="9"/>
  <c r="G126" i="9"/>
  <c r="G127" i="9"/>
  <c r="G128" i="9"/>
  <c r="G129" i="9"/>
  <c r="G130" i="9"/>
  <c r="G131" i="9"/>
  <c r="G132" i="9"/>
  <c r="G133" i="9"/>
  <c r="G134" i="9"/>
  <c r="G135" i="9"/>
  <c r="G136" i="9"/>
  <c r="G137" i="9"/>
  <c r="G138" i="9"/>
  <c r="G139" i="9"/>
  <c r="G140" i="9"/>
  <c r="G141" i="9"/>
  <c r="G142" i="9"/>
  <c r="G143" i="9"/>
  <c r="G144" i="9"/>
  <c r="G145" i="9"/>
  <c r="G146" i="9"/>
  <c r="G147" i="9"/>
  <c r="G148" i="9"/>
  <c r="G149" i="9"/>
  <c r="G150" i="9"/>
  <c r="G151" i="9"/>
  <c r="G152" i="9"/>
  <c r="G153" i="9"/>
  <c r="G154" i="9"/>
  <c r="G155" i="9"/>
  <c r="G156" i="9"/>
  <c r="G157" i="9"/>
  <c r="G158" i="9"/>
  <c r="G159" i="9"/>
  <c r="G160" i="9"/>
  <c r="G161" i="9"/>
  <c r="G162" i="9"/>
  <c r="G163" i="9"/>
  <c r="G164" i="9"/>
  <c r="G165" i="9"/>
  <c r="G166" i="9"/>
  <c r="G167" i="9"/>
  <c r="G168" i="9"/>
  <c r="G169" i="9"/>
  <c r="G170" i="9"/>
  <c r="G171" i="9"/>
  <c r="G172" i="9"/>
  <c r="G173" i="9"/>
  <c r="G174" i="9"/>
  <c r="G175" i="9"/>
  <c r="G176" i="9"/>
  <c r="G177" i="9"/>
  <c r="G178" i="9"/>
  <c r="G179" i="9"/>
  <c r="G180" i="9"/>
  <c r="G181" i="9"/>
  <c r="G182" i="9"/>
  <c r="G183" i="9"/>
  <c r="G184" i="9"/>
  <c r="G185" i="9"/>
  <c r="G186" i="9"/>
  <c r="G187" i="9"/>
  <c r="G188" i="9"/>
  <c r="G189" i="9"/>
  <c r="G190" i="9"/>
  <c r="G191" i="9"/>
  <c r="G192" i="9"/>
  <c r="G193" i="9"/>
  <c r="G194" i="9"/>
  <c r="G195" i="9"/>
  <c r="G196" i="9"/>
  <c r="G197" i="9"/>
  <c r="G198" i="9"/>
  <c r="G199" i="9"/>
  <c r="G200" i="9"/>
  <c r="G201" i="9"/>
  <c r="G202" i="9"/>
  <c r="G203" i="9"/>
  <c r="G204" i="9"/>
  <c r="G2" i="9"/>
  <c r="F3" i="9"/>
  <c r="F4" i="9"/>
  <c r="F5" i="9"/>
  <c r="F6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F33" i="9"/>
  <c r="F34" i="9"/>
  <c r="F35" i="9"/>
  <c r="F36" i="9"/>
  <c r="F37" i="9"/>
  <c r="F38" i="9"/>
  <c r="F39" i="9"/>
  <c r="F40" i="9"/>
  <c r="F41" i="9"/>
  <c r="F42" i="9"/>
  <c r="F43" i="9"/>
  <c r="F44" i="9"/>
  <c r="F45" i="9"/>
  <c r="F46" i="9"/>
  <c r="F47" i="9"/>
  <c r="F48" i="9"/>
  <c r="F49" i="9"/>
  <c r="F50" i="9"/>
  <c r="F51" i="9"/>
  <c r="F52" i="9"/>
  <c r="F53" i="9"/>
  <c r="F54" i="9"/>
  <c r="F55" i="9"/>
  <c r="F56" i="9"/>
  <c r="F57" i="9"/>
  <c r="F58" i="9"/>
  <c r="F59" i="9"/>
  <c r="F60" i="9"/>
  <c r="F61" i="9"/>
  <c r="F62" i="9"/>
  <c r="F63" i="9"/>
  <c r="F64" i="9"/>
  <c r="F65" i="9"/>
  <c r="F66" i="9"/>
  <c r="F67" i="9"/>
  <c r="F68" i="9"/>
  <c r="F69" i="9"/>
  <c r="F70" i="9"/>
  <c r="F71" i="9"/>
  <c r="F72" i="9"/>
  <c r="F73" i="9"/>
  <c r="F74" i="9"/>
  <c r="F75" i="9"/>
  <c r="F76" i="9"/>
  <c r="F77" i="9"/>
  <c r="F78" i="9"/>
  <c r="F79" i="9"/>
  <c r="F80" i="9"/>
  <c r="F81" i="9"/>
  <c r="F82" i="9"/>
  <c r="F83" i="9"/>
  <c r="F84" i="9"/>
  <c r="F85" i="9"/>
  <c r="F86" i="9"/>
  <c r="F87" i="9"/>
  <c r="F88" i="9"/>
  <c r="F89" i="9"/>
  <c r="F90" i="9"/>
  <c r="F91" i="9"/>
  <c r="F92" i="9"/>
  <c r="F93" i="9"/>
  <c r="F94" i="9"/>
  <c r="F95" i="9"/>
  <c r="F96" i="9"/>
  <c r="F97" i="9"/>
  <c r="F98" i="9"/>
  <c r="F99" i="9"/>
  <c r="F100" i="9"/>
  <c r="F101" i="9"/>
  <c r="F102" i="9"/>
  <c r="F103" i="9"/>
  <c r="F104" i="9"/>
  <c r="F105" i="9"/>
  <c r="F106" i="9"/>
  <c r="F107" i="9"/>
  <c r="F108" i="9"/>
  <c r="F109" i="9"/>
  <c r="F110" i="9"/>
  <c r="F111" i="9"/>
  <c r="F112" i="9"/>
  <c r="F113" i="9"/>
  <c r="F114" i="9"/>
  <c r="F115" i="9"/>
  <c r="F116" i="9"/>
  <c r="F117" i="9"/>
  <c r="F118" i="9"/>
  <c r="F119" i="9"/>
  <c r="F120" i="9"/>
  <c r="F121" i="9"/>
  <c r="F122" i="9"/>
  <c r="F123" i="9"/>
  <c r="F124" i="9"/>
  <c r="F125" i="9"/>
  <c r="F126" i="9"/>
  <c r="F127" i="9"/>
  <c r="F128" i="9"/>
  <c r="F129" i="9"/>
  <c r="F130" i="9"/>
  <c r="F131" i="9"/>
  <c r="F132" i="9"/>
  <c r="F133" i="9"/>
  <c r="F134" i="9"/>
  <c r="F135" i="9"/>
  <c r="F136" i="9"/>
  <c r="F137" i="9"/>
  <c r="F138" i="9"/>
  <c r="F139" i="9"/>
  <c r="F140" i="9"/>
  <c r="F141" i="9"/>
  <c r="F142" i="9"/>
  <c r="F143" i="9"/>
  <c r="F144" i="9"/>
  <c r="F145" i="9"/>
  <c r="F146" i="9"/>
  <c r="F147" i="9"/>
  <c r="F148" i="9"/>
  <c r="F149" i="9"/>
  <c r="F150" i="9"/>
  <c r="F151" i="9"/>
  <c r="F152" i="9"/>
  <c r="F153" i="9"/>
  <c r="F154" i="9"/>
  <c r="F155" i="9"/>
  <c r="F156" i="9"/>
  <c r="F157" i="9"/>
  <c r="F158" i="9"/>
  <c r="F159" i="9"/>
  <c r="F160" i="9"/>
  <c r="F161" i="9"/>
  <c r="F162" i="9"/>
  <c r="F163" i="9"/>
  <c r="F164" i="9"/>
  <c r="F165" i="9"/>
  <c r="F166" i="9"/>
  <c r="F167" i="9"/>
  <c r="F168" i="9"/>
  <c r="F169" i="9"/>
  <c r="F170" i="9"/>
  <c r="F171" i="9"/>
  <c r="F172" i="9"/>
  <c r="F173" i="9"/>
  <c r="F174" i="9"/>
  <c r="F175" i="9"/>
  <c r="F176" i="9"/>
  <c r="F177" i="9"/>
  <c r="F178" i="9"/>
  <c r="F179" i="9"/>
  <c r="F180" i="9"/>
  <c r="F181" i="9"/>
  <c r="F182" i="9"/>
  <c r="F183" i="9"/>
  <c r="F184" i="9"/>
  <c r="F185" i="9"/>
  <c r="F186" i="9"/>
  <c r="F187" i="9"/>
  <c r="F188" i="9"/>
  <c r="F189" i="9"/>
  <c r="F190" i="9"/>
  <c r="F191" i="9"/>
  <c r="F192" i="9"/>
  <c r="F193" i="9"/>
  <c r="F194" i="9"/>
  <c r="F195" i="9"/>
  <c r="F196" i="9"/>
  <c r="F197" i="9"/>
  <c r="F198" i="9"/>
  <c r="F199" i="9"/>
  <c r="F200" i="9"/>
  <c r="F201" i="9"/>
  <c r="F202" i="9"/>
  <c r="F203" i="9"/>
  <c r="F204" i="9"/>
  <c r="D3" i="9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77" i="9"/>
  <c r="D78" i="9"/>
  <c r="D79" i="9"/>
  <c r="D80" i="9"/>
  <c r="D81" i="9"/>
  <c r="D82" i="9"/>
  <c r="D83" i="9"/>
  <c r="D84" i="9"/>
  <c r="D85" i="9"/>
  <c r="D86" i="9"/>
  <c r="D87" i="9"/>
  <c r="D88" i="9"/>
  <c r="D89" i="9"/>
  <c r="D90" i="9"/>
  <c r="D91" i="9"/>
  <c r="D92" i="9"/>
  <c r="D93" i="9"/>
  <c r="D94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D111" i="9"/>
  <c r="D112" i="9"/>
  <c r="D113" i="9"/>
  <c r="D114" i="9"/>
  <c r="D115" i="9"/>
  <c r="D116" i="9"/>
  <c r="D117" i="9"/>
  <c r="D118" i="9"/>
  <c r="D119" i="9"/>
  <c r="D120" i="9"/>
  <c r="D121" i="9"/>
  <c r="D122" i="9"/>
  <c r="D123" i="9"/>
  <c r="D124" i="9"/>
  <c r="D125" i="9"/>
  <c r="D126" i="9"/>
  <c r="D127" i="9"/>
  <c r="D128" i="9"/>
  <c r="D129" i="9"/>
  <c r="D130" i="9"/>
  <c r="D131" i="9"/>
  <c r="D132" i="9"/>
  <c r="D133" i="9"/>
  <c r="D134" i="9"/>
  <c r="D135" i="9"/>
  <c r="D136" i="9"/>
  <c r="D137" i="9"/>
  <c r="D138" i="9"/>
  <c r="D139" i="9"/>
  <c r="D140" i="9"/>
  <c r="D141" i="9"/>
  <c r="D142" i="9"/>
  <c r="D143" i="9"/>
  <c r="D144" i="9"/>
  <c r="D145" i="9"/>
  <c r="D146" i="9"/>
  <c r="D147" i="9"/>
  <c r="D148" i="9"/>
  <c r="D149" i="9"/>
  <c r="D150" i="9"/>
  <c r="D151" i="9"/>
  <c r="D152" i="9"/>
  <c r="D153" i="9"/>
  <c r="D154" i="9"/>
  <c r="D155" i="9"/>
  <c r="D156" i="9"/>
  <c r="D157" i="9"/>
  <c r="D158" i="9"/>
  <c r="D159" i="9"/>
  <c r="D160" i="9"/>
  <c r="D161" i="9"/>
  <c r="D162" i="9"/>
  <c r="D163" i="9"/>
  <c r="D164" i="9"/>
  <c r="D165" i="9"/>
  <c r="D166" i="9"/>
  <c r="D167" i="9"/>
  <c r="D168" i="9"/>
  <c r="D169" i="9"/>
  <c r="D170" i="9"/>
  <c r="D171" i="9"/>
  <c r="D172" i="9"/>
  <c r="D173" i="9"/>
  <c r="D174" i="9"/>
  <c r="D175" i="9"/>
  <c r="D176" i="9"/>
  <c r="D177" i="9"/>
  <c r="D178" i="9"/>
  <c r="D179" i="9"/>
  <c r="D180" i="9"/>
  <c r="D181" i="9"/>
  <c r="D182" i="9"/>
  <c r="D183" i="9"/>
  <c r="D184" i="9"/>
  <c r="D185" i="9"/>
  <c r="D186" i="9"/>
  <c r="D187" i="9"/>
  <c r="D188" i="9"/>
  <c r="D189" i="9"/>
  <c r="D190" i="9"/>
  <c r="D191" i="9"/>
  <c r="D192" i="9"/>
  <c r="D193" i="9"/>
  <c r="D194" i="9"/>
  <c r="D195" i="9"/>
  <c r="D196" i="9"/>
  <c r="D197" i="9"/>
  <c r="D198" i="9"/>
  <c r="D199" i="9"/>
  <c r="D200" i="9"/>
  <c r="D201" i="9"/>
  <c r="D202" i="9"/>
  <c r="D203" i="9"/>
  <c r="D204" i="9"/>
  <c r="C204" i="9"/>
  <c r="C203" i="9"/>
  <c r="C202" i="9"/>
  <c r="C201" i="9"/>
  <c r="C200" i="9"/>
  <c r="C199" i="9"/>
  <c r="C198" i="9"/>
  <c r="C197" i="9"/>
  <c r="C196" i="9"/>
  <c r="C195" i="9"/>
  <c r="C194" i="9"/>
  <c r="C193" i="9"/>
  <c r="C192" i="9"/>
  <c r="C191" i="9"/>
  <c r="C190" i="9"/>
  <c r="C189" i="9"/>
  <c r="C188" i="9"/>
  <c r="C187" i="9"/>
  <c r="C186" i="9"/>
  <c r="C185" i="9"/>
  <c r="C184" i="9"/>
  <c r="C183" i="9"/>
  <c r="C182" i="9"/>
  <c r="C181" i="9"/>
  <c r="C180" i="9"/>
  <c r="C179" i="9"/>
  <c r="C178" i="9"/>
  <c r="C177" i="9"/>
  <c r="C176" i="9"/>
  <c r="C175" i="9"/>
  <c r="C174" i="9"/>
  <c r="C173" i="9"/>
  <c r="C172" i="9"/>
  <c r="C171" i="9"/>
  <c r="C170" i="9"/>
  <c r="C169" i="9"/>
  <c r="C168" i="9"/>
  <c r="C167" i="9"/>
  <c r="C166" i="9"/>
  <c r="C165" i="9"/>
  <c r="C164" i="9"/>
  <c r="C163" i="9"/>
  <c r="C162" i="9"/>
  <c r="C161" i="9"/>
  <c r="C160" i="9"/>
  <c r="C159" i="9"/>
  <c r="C158" i="9"/>
  <c r="C157" i="9"/>
  <c r="C156" i="9"/>
  <c r="C155" i="9"/>
  <c r="C154" i="9"/>
  <c r="C153" i="9"/>
  <c r="C152" i="9"/>
  <c r="C151" i="9"/>
  <c r="C150" i="9"/>
  <c r="C149" i="9"/>
  <c r="C148" i="9"/>
  <c r="C147" i="9"/>
  <c r="C146" i="9"/>
  <c r="C145" i="9"/>
  <c r="C144" i="9"/>
  <c r="C143" i="9"/>
  <c r="C142" i="9"/>
  <c r="C141" i="9"/>
  <c r="C140" i="9"/>
  <c r="C139" i="9"/>
  <c r="C138" i="9"/>
  <c r="C137" i="9"/>
  <c r="C136" i="9"/>
  <c r="C135" i="9"/>
  <c r="C134" i="9"/>
  <c r="C133" i="9"/>
  <c r="C132" i="9"/>
  <c r="C131" i="9"/>
  <c r="C130" i="9"/>
  <c r="C129" i="9"/>
  <c r="C128" i="9"/>
  <c r="C127" i="9"/>
  <c r="C126" i="9"/>
  <c r="C125" i="9"/>
  <c r="C124" i="9"/>
  <c r="C123" i="9"/>
  <c r="C122" i="9"/>
  <c r="C121" i="9"/>
  <c r="C120" i="9"/>
  <c r="C119" i="9"/>
  <c r="C118" i="9"/>
  <c r="C117" i="9"/>
  <c r="C116" i="9"/>
  <c r="C115" i="9"/>
  <c r="C114" i="9"/>
  <c r="C113" i="9"/>
  <c r="C112" i="9"/>
  <c r="C111" i="9"/>
  <c r="C110" i="9"/>
  <c r="C109" i="9"/>
  <c r="C108" i="9"/>
  <c r="C107" i="9"/>
  <c r="C106" i="9"/>
  <c r="C105" i="9"/>
  <c r="C104" i="9"/>
  <c r="C103" i="9"/>
  <c r="C102" i="9"/>
  <c r="C101" i="9"/>
  <c r="C100" i="9"/>
  <c r="C99" i="9"/>
  <c r="C98" i="9"/>
  <c r="C97" i="9"/>
  <c r="C96" i="9"/>
  <c r="C95" i="9"/>
  <c r="C94" i="9"/>
  <c r="C93" i="9"/>
  <c r="C92" i="9"/>
  <c r="C91" i="9"/>
  <c r="C90" i="9"/>
  <c r="C89" i="9"/>
  <c r="C88" i="9"/>
  <c r="C87" i="9"/>
  <c r="C86" i="9"/>
  <c r="C85" i="9"/>
  <c r="C84" i="9"/>
  <c r="C83" i="9"/>
  <c r="C82" i="9"/>
  <c r="C81" i="9"/>
  <c r="C80" i="9"/>
  <c r="C79" i="9"/>
  <c r="C78" i="9"/>
  <c r="C77" i="9"/>
  <c r="C76" i="9"/>
  <c r="C75" i="9"/>
  <c r="C74" i="9"/>
  <c r="C73" i="9"/>
  <c r="C72" i="9"/>
  <c r="C71" i="9"/>
  <c r="C70" i="9"/>
  <c r="C69" i="9"/>
  <c r="C68" i="9"/>
  <c r="C67" i="9"/>
  <c r="C66" i="9"/>
  <c r="C65" i="9"/>
  <c r="C64" i="9"/>
  <c r="C63" i="9"/>
  <c r="C62" i="9"/>
  <c r="C61" i="9"/>
  <c r="C60" i="9"/>
  <c r="C59" i="9"/>
  <c r="C58" i="9"/>
  <c r="C57" i="9"/>
  <c r="C56" i="9"/>
  <c r="C55" i="9"/>
  <c r="C54" i="9"/>
  <c r="C53" i="9"/>
  <c r="C52" i="9"/>
  <c r="C51" i="9"/>
  <c r="C50" i="9"/>
  <c r="C49" i="9"/>
  <c r="C48" i="9"/>
  <c r="C47" i="9"/>
  <c r="C46" i="9"/>
  <c r="C45" i="9"/>
  <c r="C44" i="9"/>
  <c r="C43" i="9"/>
  <c r="C42" i="9"/>
  <c r="C41" i="9"/>
  <c r="C40" i="9"/>
  <c r="C39" i="9"/>
  <c r="C38" i="9"/>
  <c r="C37" i="9"/>
  <c r="C36" i="9"/>
  <c r="C35" i="9"/>
  <c r="C34" i="9"/>
  <c r="C33" i="9"/>
  <c r="C32" i="9"/>
  <c r="C31" i="9"/>
  <c r="C30" i="9"/>
  <c r="C29" i="9"/>
  <c r="C28" i="9"/>
  <c r="C27" i="9"/>
  <c r="C26" i="9"/>
  <c r="C25" i="9"/>
  <c r="C24" i="9"/>
  <c r="C23" i="9"/>
  <c r="C22" i="9"/>
  <c r="C21" i="9"/>
  <c r="C20" i="9"/>
  <c r="C19" i="9"/>
  <c r="C18" i="9"/>
  <c r="C17" i="9"/>
  <c r="C16" i="9"/>
  <c r="C15" i="9"/>
  <c r="C14" i="9"/>
  <c r="C13" i="9"/>
  <c r="C12" i="9"/>
  <c r="C11" i="9"/>
  <c r="C10" i="9"/>
  <c r="C9" i="9"/>
  <c r="C8" i="9"/>
  <c r="C7" i="9"/>
  <c r="C6" i="9"/>
  <c r="C5" i="9"/>
  <c r="C4" i="9"/>
  <c r="C3" i="9"/>
  <c r="C2" i="9"/>
  <c r="B3" i="9"/>
  <c r="B4" i="9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52" i="9"/>
  <c r="B53" i="9"/>
  <c r="B54" i="9"/>
  <c r="B55" i="9"/>
  <c r="B56" i="9"/>
  <c r="B57" i="9"/>
  <c r="B58" i="9"/>
  <c r="B59" i="9"/>
  <c r="B60" i="9"/>
  <c r="B61" i="9"/>
  <c r="B62" i="9"/>
  <c r="B63" i="9"/>
  <c r="B64" i="9"/>
  <c r="B65" i="9"/>
  <c r="B66" i="9"/>
  <c r="B67" i="9"/>
  <c r="B68" i="9"/>
  <c r="B69" i="9"/>
  <c r="B70" i="9"/>
  <c r="B71" i="9"/>
  <c r="B72" i="9"/>
  <c r="B73" i="9"/>
  <c r="B74" i="9"/>
  <c r="B75" i="9"/>
  <c r="B76" i="9"/>
  <c r="B77" i="9"/>
  <c r="B78" i="9"/>
  <c r="B79" i="9"/>
  <c r="B80" i="9"/>
  <c r="B81" i="9"/>
  <c r="B82" i="9"/>
  <c r="B83" i="9"/>
  <c r="B84" i="9"/>
  <c r="B85" i="9"/>
  <c r="B86" i="9"/>
  <c r="B87" i="9"/>
  <c r="B88" i="9"/>
  <c r="B89" i="9"/>
  <c r="B90" i="9"/>
  <c r="B91" i="9"/>
  <c r="B92" i="9"/>
  <c r="B93" i="9"/>
  <c r="B94" i="9"/>
  <c r="B95" i="9"/>
  <c r="B96" i="9"/>
  <c r="B97" i="9"/>
  <c r="B98" i="9"/>
  <c r="B99" i="9"/>
  <c r="B100" i="9"/>
  <c r="B101" i="9"/>
  <c r="B102" i="9"/>
  <c r="B103" i="9"/>
  <c r="B104" i="9"/>
  <c r="B105" i="9"/>
  <c r="B106" i="9"/>
  <c r="B107" i="9"/>
  <c r="B108" i="9"/>
  <c r="B109" i="9"/>
  <c r="B110" i="9"/>
  <c r="B111" i="9"/>
  <c r="B112" i="9"/>
  <c r="B113" i="9"/>
  <c r="B114" i="9"/>
  <c r="B115" i="9"/>
  <c r="B116" i="9"/>
  <c r="B117" i="9"/>
  <c r="B118" i="9"/>
  <c r="B119" i="9"/>
  <c r="B120" i="9"/>
  <c r="B121" i="9"/>
  <c r="B122" i="9"/>
  <c r="B123" i="9"/>
  <c r="B124" i="9"/>
  <c r="B125" i="9"/>
  <c r="B126" i="9"/>
  <c r="B127" i="9"/>
  <c r="B128" i="9"/>
  <c r="B129" i="9"/>
  <c r="B130" i="9"/>
  <c r="B131" i="9"/>
  <c r="B132" i="9"/>
  <c r="B133" i="9"/>
  <c r="B134" i="9"/>
  <c r="B135" i="9"/>
  <c r="B136" i="9"/>
  <c r="B137" i="9"/>
  <c r="B138" i="9"/>
  <c r="B139" i="9"/>
  <c r="B140" i="9"/>
  <c r="B141" i="9"/>
  <c r="B142" i="9"/>
  <c r="B143" i="9"/>
  <c r="B144" i="9"/>
  <c r="B145" i="9"/>
  <c r="B146" i="9"/>
  <c r="B147" i="9"/>
  <c r="B148" i="9"/>
  <c r="B149" i="9"/>
  <c r="B150" i="9"/>
  <c r="B151" i="9"/>
  <c r="B152" i="9"/>
  <c r="B153" i="9"/>
  <c r="B154" i="9"/>
  <c r="B155" i="9"/>
  <c r="B156" i="9"/>
  <c r="B157" i="9"/>
  <c r="B158" i="9"/>
  <c r="B159" i="9"/>
  <c r="B160" i="9"/>
  <c r="B161" i="9"/>
  <c r="B162" i="9"/>
  <c r="B163" i="9"/>
  <c r="B164" i="9"/>
  <c r="B165" i="9"/>
  <c r="B166" i="9"/>
  <c r="B167" i="9"/>
  <c r="B168" i="9"/>
  <c r="B169" i="9"/>
  <c r="B170" i="9"/>
  <c r="B171" i="9"/>
  <c r="B172" i="9"/>
  <c r="B173" i="9"/>
  <c r="B174" i="9"/>
  <c r="B175" i="9"/>
  <c r="B176" i="9"/>
  <c r="B177" i="9"/>
  <c r="B178" i="9"/>
  <c r="B179" i="9"/>
  <c r="B180" i="9"/>
  <c r="B181" i="9"/>
  <c r="B182" i="9"/>
  <c r="B183" i="9"/>
  <c r="B184" i="9"/>
  <c r="B185" i="9"/>
  <c r="B186" i="9"/>
  <c r="B187" i="9"/>
  <c r="B188" i="9"/>
  <c r="B189" i="9"/>
  <c r="B190" i="9"/>
  <c r="B191" i="9"/>
  <c r="B192" i="9"/>
  <c r="B193" i="9"/>
  <c r="B194" i="9"/>
  <c r="B195" i="9"/>
  <c r="B196" i="9"/>
  <c r="B197" i="9"/>
  <c r="B198" i="9"/>
  <c r="B199" i="9"/>
  <c r="B200" i="9"/>
  <c r="B201" i="9"/>
  <c r="B202" i="9"/>
  <c r="B203" i="9"/>
  <c r="B204" i="9"/>
  <c r="B2" i="9"/>
  <c r="F2" i="9"/>
  <c r="D2" i="9"/>
  <c r="J3" i="10"/>
  <c r="J4" i="10"/>
  <c r="J5" i="10"/>
  <c r="J6" i="10"/>
  <c r="J7" i="10"/>
  <c r="J8" i="10"/>
  <c r="J9" i="10"/>
  <c r="J10" i="10"/>
  <c r="J11" i="10"/>
  <c r="J12" i="10"/>
  <c r="J13" i="10"/>
  <c r="J14" i="10"/>
  <c r="J15" i="10"/>
  <c r="J16" i="10"/>
  <c r="J17" i="10"/>
  <c r="J18" i="10"/>
  <c r="J19" i="10"/>
  <c r="J20" i="10"/>
  <c r="J21" i="10"/>
  <c r="J22" i="10"/>
  <c r="J23" i="10"/>
  <c r="J24" i="10"/>
  <c r="J25" i="10"/>
  <c r="J26" i="10"/>
  <c r="J27" i="10"/>
  <c r="J28" i="10"/>
  <c r="J29" i="10"/>
  <c r="J30" i="10"/>
  <c r="J31" i="10"/>
  <c r="J32" i="10"/>
  <c r="J33" i="10"/>
  <c r="J34" i="10"/>
  <c r="J35" i="10"/>
  <c r="J36" i="10"/>
  <c r="J37" i="10"/>
  <c r="J38" i="10"/>
  <c r="J39" i="10"/>
  <c r="J40" i="10"/>
  <c r="J41" i="10"/>
  <c r="J42" i="10"/>
  <c r="J43" i="10"/>
  <c r="J44" i="10"/>
  <c r="J45" i="10"/>
  <c r="J46" i="10"/>
  <c r="J47" i="10"/>
  <c r="J48" i="10"/>
  <c r="J49" i="10"/>
  <c r="J50" i="10"/>
  <c r="J51" i="10"/>
  <c r="J52" i="10"/>
  <c r="J53" i="10"/>
  <c r="J54" i="10"/>
  <c r="J55" i="10"/>
  <c r="J56" i="10"/>
  <c r="J57" i="10"/>
  <c r="J58" i="10"/>
  <c r="J59" i="10"/>
  <c r="J60" i="10"/>
  <c r="J61" i="10"/>
  <c r="J62" i="10"/>
  <c r="J63" i="10"/>
  <c r="J64" i="10"/>
  <c r="J65" i="10"/>
  <c r="J66" i="10"/>
  <c r="J67" i="10"/>
  <c r="J68" i="10"/>
  <c r="J69" i="10"/>
  <c r="J70" i="10"/>
  <c r="J71" i="10"/>
  <c r="J72" i="10"/>
  <c r="J73" i="10"/>
  <c r="J74" i="10"/>
  <c r="J75" i="10"/>
  <c r="J76" i="10"/>
  <c r="J77" i="10"/>
  <c r="J78" i="10"/>
  <c r="J79" i="10"/>
  <c r="J80" i="10"/>
  <c r="J81" i="10"/>
  <c r="J82" i="10"/>
  <c r="J83" i="10"/>
  <c r="J84" i="10"/>
  <c r="J85" i="10"/>
  <c r="J86" i="10"/>
  <c r="J87" i="10"/>
  <c r="J88" i="10"/>
  <c r="J89" i="10"/>
  <c r="J90" i="10"/>
  <c r="J91" i="10"/>
  <c r="J92" i="10"/>
  <c r="J93" i="10"/>
  <c r="J94" i="10"/>
  <c r="J95" i="10"/>
  <c r="J96" i="10"/>
  <c r="J97" i="10"/>
  <c r="J98" i="10"/>
  <c r="J99" i="10"/>
  <c r="J100" i="10"/>
  <c r="J101" i="10"/>
  <c r="J102" i="10"/>
  <c r="J103" i="10"/>
  <c r="J104" i="10"/>
  <c r="J105" i="10"/>
  <c r="J106" i="10"/>
  <c r="J107" i="10"/>
  <c r="J108" i="10"/>
  <c r="J109" i="10"/>
  <c r="J110" i="10"/>
  <c r="J111" i="10"/>
  <c r="J112" i="10"/>
  <c r="J113" i="10"/>
  <c r="J114" i="10"/>
  <c r="J115" i="10"/>
  <c r="J116" i="10"/>
  <c r="J117" i="10"/>
  <c r="J118" i="10"/>
  <c r="J119" i="10"/>
  <c r="J120" i="10"/>
  <c r="J121" i="10"/>
  <c r="J122" i="10"/>
  <c r="J123" i="10"/>
  <c r="J124" i="10"/>
  <c r="J125" i="10"/>
  <c r="J126" i="10"/>
  <c r="J127" i="10"/>
  <c r="J128" i="10"/>
  <c r="J129" i="10"/>
  <c r="J130" i="10"/>
  <c r="J131" i="10"/>
  <c r="J132" i="10"/>
  <c r="J133" i="10"/>
  <c r="J134" i="10"/>
  <c r="J135" i="10"/>
  <c r="J136" i="10"/>
  <c r="J137" i="10"/>
  <c r="J138" i="10"/>
  <c r="J139" i="10"/>
  <c r="J140" i="10"/>
  <c r="J141" i="10"/>
  <c r="J142" i="10"/>
  <c r="J143" i="10"/>
  <c r="J144" i="10"/>
  <c r="J145" i="10"/>
  <c r="J146" i="10"/>
  <c r="J147" i="10"/>
  <c r="J148" i="10"/>
  <c r="J149" i="10"/>
  <c r="J150" i="10"/>
  <c r="J151" i="10"/>
  <c r="J152" i="10"/>
  <c r="J153" i="10"/>
  <c r="J154" i="10"/>
  <c r="J155" i="10"/>
  <c r="J156" i="10"/>
  <c r="J157" i="10"/>
  <c r="J158" i="10"/>
  <c r="J159" i="10"/>
  <c r="J160" i="10"/>
  <c r="J161" i="10"/>
  <c r="J162" i="10"/>
  <c r="J163" i="10"/>
  <c r="J164" i="10"/>
  <c r="J165" i="10"/>
  <c r="J166" i="10"/>
  <c r="J167" i="10"/>
  <c r="J168" i="10"/>
  <c r="J169" i="10"/>
  <c r="J170" i="10"/>
  <c r="J171" i="10"/>
  <c r="J172" i="10"/>
  <c r="J173" i="10"/>
  <c r="J174" i="10"/>
  <c r="J175" i="10"/>
  <c r="J176" i="10"/>
  <c r="J177" i="10"/>
  <c r="J178" i="10"/>
  <c r="J179" i="10"/>
  <c r="J180" i="10"/>
  <c r="J181" i="10"/>
  <c r="J182" i="10"/>
  <c r="J183" i="10"/>
  <c r="J184" i="10"/>
  <c r="J185" i="10"/>
  <c r="J186" i="10"/>
  <c r="J187" i="10"/>
  <c r="J188" i="10"/>
  <c r="J189" i="10"/>
  <c r="J190" i="10"/>
  <c r="J191" i="10"/>
  <c r="J192" i="10"/>
  <c r="J193" i="10"/>
  <c r="J194" i="10"/>
  <c r="J195" i="10"/>
  <c r="J196" i="10"/>
  <c r="J197" i="10"/>
  <c r="J198" i="10"/>
  <c r="J199" i="10"/>
  <c r="J200" i="10"/>
  <c r="J201" i="10"/>
  <c r="J202" i="10"/>
  <c r="J203" i="10"/>
  <c r="J204" i="10"/>
  <c r="J2" i="10"/>
  <c r="C79" i="6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2" i="6"/>
  <c r="J2" i="7"/>
  <c r="J3" i="7"/>
  <c r="J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46" i="7"/>
  <c r="J47" i="7"/>
  <c r="J48" i="7"/>
  <c r="J49" i="7"/>
  <c r="J50" i="7"/>
  <c r="J51" i="7"/>
  <c r="J52" i="7"/>
  <c r="J53" i="7"/>
  <c r="J54" i="7"/>
  <c r="J55" i="7"/>
  <c r="J56" i="7"/>
  <c r="J57" i="7"/>
  <c r="J58" i="7"/>
  <c r="J59" i="7"/>
  <c r="J60" i="7"/>
  <c r="J61" i="7"/>
  <c r="J62" i="7"/>
  <c r="J63" i="7"/>
  <c r="J64" i="7"/>
  <c r="J65" i="7"/>
  <c r="J66" i="7"/>
  <c r="J67" i="7"/>
  <c r="J68" i="7"/>
  <c r="J69" i="7"/>
  <c r="J70" i="7"/>
  <c r="J71" i="7"/>
  <c r="J72" i="7"/>
  <c r="J73" i="7"/>
  <c r="J74" i="7"/>
  <c r="J75" i="7"/>
  <c r="J76" i="7"/>
  <c r="J1" i="7"/>
  <c r="F2" i="6"/>
  <c r="D2" i="6"/>
  <c r="H2" i="9" l="1"/>
  <c r="H2" i="6"/>
  <c r="AK5" i="5" l="1"/>
  <c r="AK9" i="5"/>
  <c r="AK13" i="5"/>
  <c r="AK17" i="5"/>
  <c r="AK21" i="5"/>
  <c r="AK25" i="5"/>
  <c r="AK29" i="5"/>
  <c r="AK33" i="5"/>
  <c r="AK37" i="5"/>
  <c r="AK41" i="5"/>
  <c r="AK45" i="5"/>
  <c r="AK49" i="5"/>
  <c r="AK53" i="5"/>
  <c r="AK57" i="5"/>
  <c r="AK61" i="5"/>
  <c r="AK65" i="5"/>
  <c r="AK69" i="5"/>
  <c r="AK73" i="5"/>
  <c r="AK77" i="5"/>
  <c r="AK81" i="5"/>
  <c r="AK85" i="5"/>
  <c r="AK89" i="5"/>
  <c r="AK93" i="5"/>
  <c r="AK97" i="5"/>
  <c r="AK101" i="5"/>
  <c r="AK105" i="5"/>
  <c r="AK109" i="5"/>
  <c r="AK113" i="5"/>
  <c r="AK117" i="5"/>
  <c r="AK121" i="5"/>
  <c r="AK125" i="5"/>
  <c r="AK129" i="5"/>
  <c r="AK133" i="5"/>
  <c r="AK137" i="5"/>
  <c r="AK141" i="5"/>
  <c r="AK145" i="5"/>
  <c r="AK149" i="5"/>
  <c r="AK153" i="5"/>
  <c r="AK157" i="5"/>
  <c r="AK161" i="5"/>
  <c r="AK165" i="5"/>
  <c r="AK169" i="5"/>
  <c r="AK173" i="5"/>
  <c r="AK177" i="5"/>
  <c r="AK181" i="5"/>
  <c r="AK185" i="5"/>
  <c r="AK189" i="5"/>
  <c r="AK193" i="5"/>
  <c r="AK197" i="5"/>
  <c r="AK200" i="5"/>
  <c r="AK201" i="5"/>
  <c r="AK2" i="5"/>
  <c r="Z78" i="3"/>
  <c r="AJ78" i="3"/>
  <c r="Z205" i="5"/>
  <c r="AJ204" i="5"/>
  <c r="AK204" i="5" s="1"/>
  <c r="AJ201" i="5"/>
  <c r="AJ200" i="5"/>
  <c r="AJ3" i="5"/>
  <c r="AK3" i="5" s="1"/>
  <c r="AJ4" i="5"/>
  <c r="AK4" i="5" s="1"/>
  <c r="AJ5" i="5"/>
  <c r="AJ6" i="5"/>
  <c r="AK6" i="5" s="1"/>
  <c r="AJ7" i="5"/>
  <c r="AK7" i="5" s="1"/>
  <c r="AJ8" i="5"/>
  <c r="AK8" i="5" s="1"/>
  <c r="AJ9" i="5"/>
  <c r="AJ10" i="5"/>
  <c r="AK10" i="5" s="1"/>
  <c r="AJ11" i="5"/>
  <c r="AK11" i="5" s="1"/>
  <c r="AJ12" i="5"/>
  <c r="AK12" i="5" s="1"/>
  <c r="AJ13" i="5"/>
  <c r="AJ14" i="5"/>
  <c r="AK14" i="5" s="1"/>
  <c r="AJ15" i="5"/>
  <c r="AK15" i="5" s="1"/>
  <c r="AJ16" i="5"/>
  <c r="AK16" i="5" s="1"/>
  <c r="AJ17" i="5"/>
  <c r="AJ18" i="5"/>
  <c r="AK18" i="5" s="1"/>
  <c r="AJ19" i="5"/>
  <c r="AK19" i="5" s="1"/>
  <c r="AJ20" i="5"/>
  <c r="AK20" i="5" s="1"/>
  <c r="AJ21" i="5"/>
  <c r="AJ22" i="5"/>
  <c r="AK22" i="5" s="1"/>
  <c r="AJ23" i="5"/>
  <c r="AK23" i="5" s="1"/>
  <c r="AJ24" i="5"/>
  <c r="AK24" i="5" s="1"/>
  <c r="AJ25" i="5"/>
  <c r="AJ26" i="5"/>
  <c r="AK26" i="5" s="1"/>
  <c r="AJ27" i="5"/>
  <c r="AK27" i="5" s="1"/>
  <c r="AJ28" i="5"/>
  <c r="AK28" i="5" s="1"/>
  <c r="AJ29" i="5"/>
  <c r="AJ30" i="5"/>
  <c r="AK30" i="5" s="1"/>
  <c r="AJ31" i="5"/>
  <c r="AK31" i="5" s="1"/>
  <c r="AJ32" i="5"/>
  <c r="AK32" i="5" s="1"/>
  <c r="AJ33" i="5"/>
  <c r="AJ34" i="5"/>
  <c r="AK34" i="5" s="1"/>
  <c r="AJ35" i="5"/>
  <c r="AK35" i="5" s="1"/>
  <c r="AJ36" i="5"/>
  <c r="AK36" i="5" s="1"/>
  <c r="AJ37" i="5"/>
  <c r="AJ38" i="5"/>
  <c r="AK38" i="5" s="1"/>
  <c r="AJ39" i="5"/>
  <c r="AK39" i="5" s="1"/>
  <c r="AJ40" i="5"/>
  <c r="AK40" i="5" s="1"/>
  <c r="AJ41" i="5"/>
  <c r="AJ42" i="5"/>
  <c r="AK42" i="5" s="1"/>
  <c r="AJ43" i="5"/>
  <c r="AK43" i="5" s="1"/>
  <c r="AJ44" i="5"/>
  <c r="AK44" i="5" s="1"/>
  <c r="AJ45" i="5"/>
  <c r="AJ46" i="5"/>
  <c r="AK46" i="5" s="1"/>
  <c r="AJ47" i="5"/>
  <c r="AK47" i="5" s="1"/>
  <c r="AJ48" i="5"/>
  <c r="AK48" i="5" s="1"/>
  <c r="AJ49" i="5"/>
  <c r="AJ50" i="5"/>
  <c r="AK50" i="5" s="1"/>
  <c r="AJ51" i="5"/>
  <c r="AK51" i="5" s="1"/>
  <c r="AJ52" i="5"/>
  <c r="AK52" i="5" s="1"/>
  <c r="AJ53" i="5"/>
  <c r="AJ54" i="5"/>
  <c r="AK54" i="5" s="1"/>
  <c r="AJ55" i="5"/>
  <c r="AK55" i="5" s="1"/>
  <c r="AJ56" i="5"/>
  <c r="AK56" i="5" s="1"/>
  <c r="AJ57" i="5"/>
  <c r="AJ58" i="5"/>
  <c r="AK58" i="5" s="1"/>
  <c r="AJ59" i="5"/>
  <c r="AK59" i="5" s="1"/>
  <c r="AJ60" i="5"/>
  <c r="AK60" i="5" s="1"/>
  <c r="AJ61" i="5"/>
  <c r="AJ62" i="5"/>
  <c r="AK62" i="5" s="1"/>
  <c r="AJ63" i="5"/>
  <c r="AK63" i="5" s="1"/>
  <c r="AJ64" i="5"/>
  <c r="AK64" i="5" s="1"/>
  <c r="AJ65" i="5"/>
  <c r="AJ66" i="5"/>
  <c r="AK66" i="5" s="1"/>
  <c r="AJ67" i="5"/>
  <c r="AK67" i="5" s="1"/>
  <c r="AJ68" i="5"/>
  <c r="AK68" i="5" s="1"/>
  <c r="AJ69" i="5"/>
  <c r="AJ70" i="5"/>
  <c r="AK70" i="5" s="1"/>
  <c r="AJ71" i="5"/>
  <c r="AK71" i="5" s="1"/>
  <c r="AJ72" i="5"/>
  <c r="AK72" i="5" s="1"/>
  <c r="AJ73" i="5"/>
  <c r="AJ74" i="5"/>
  <c r="AK74" i="5" s="1"/>
  <c r="AJ75" i="5"/>
  <c r="AK75" i="5" s="1"/>
  <c r="AJ76" i="5"/>
  <c r="AK76" i="5" s="1"/>
  <c r="AJ77" i="5"/>
  <c r="AJ78" i="5"/>
  <c r="AK78" i="5" s="1"/>
  <c r="AJ79" i="5"/>
  <c r="AK79" i="5" s="1"/>
  <c r="AJ80" i="5"/>
  <c r="AK80" i="5" s="1"/>
  <c r="AJ81" i="5"/>
  <c r="AJ82" i="5"/>
  <c r="AK82" i="5" s="1"/>
  <c r="AJ83" i="5"/>
  <c r="AK83" i="5" s="1"/>
  <c r="AJ84" i="5"/>
  <c r="AK84" i="5" s="1"/>
  <c r="AJ85" i="5"/>
  <c r="AJ86" i="5"/>
  <c r="AK86" i="5" s="1"/>
  <c r="AJ87" i="5"/>
  <c r="AK87" i="5" s="1"/>
  <c r="AJ88" i="5"/>
  <c r="AK88" i="5" s="1"/>
  <c r="AJ89" i="5"/>
  <c r="AJ90" i="5"/>
  <c r="AK90" i="5" s="1"/>
  <c r="AJ91" i="5"/>
  <c r="AK91" i="5" s="1"/>
  <c r="AJ92" i="5"/>
  <c r="AK92" i="5" s="1"/>
  <c r="AJ93" i="5"/>
  <c r="AJ94" i="5"/>
  <c r="AK94" i="5" s="1"/>
  <c r="AJ95" i="5"/>
  <c r="AK95" i="5" s="1"/>
  <c r="AJ96" i="5"/>
  <c r="AK96" i="5" s="1"/>
  <c r="AJ97" i="5"/>
  <c r="AJ98" i="5"/>
  <c r="AK98" i="5" s="1"/>
  <c r="AJ99" i="5"/>
  <c r="AK99" i="5" s="1"/>
  <c r="AJ100" i="5"/>
  <c r="AK100" i="5" s="1"/>
  <c r="AJ101" i="5"/>
  <c r="AJ102" i="5"/>
  <c r="AK102" i="5" s="1"/>
  <c r="AJ103" i="5"/>
  <c r="AK103" i="5" s="1"/>
  <c r="AJ104" i="5"/>
  <c r="AK104" i="5" s="1"/>
  <c r="AJ105" i="5"/>
  <c r="AJ106" i="5"/>
  <c r="AK106" i="5" s="1"/>
  <c r="AJ107" i="5"/>
  <c r="AK107" i="5" s="1"/>
  <c r="AJ108" i="5"/>
  <c r="AK108" i="5" s="1"/>
  <c r="AJ109" i="5"/>
  <c r="AJ110" i="5"/>
  <c r="AK110" i="5" s="1"/>
  <c r="AJ111" i="5"/>
  <c r="AK111" i="5" s="1"/>
  <c r="AJ112" i="5"/>
  <c r="AK112" i="5" s="1"/>
  <c r="AJ113" i="5"/>
  <c r="AJ114" i="5"/>
  <c r="AK114" i="5" s="1"/>
  <c r="AJ115" i="5"/>
  <c r="AK115" i="5" s="1"/>
  <c r="AJ116" i="5"/>
  <c r="AK116" i="5" s="1"/>
  <c r="AJ117" i="5"/>
  <c r="AJ118" i="5"/>
  <c r="AK118" i="5" s="1"/>
  <c r="AJ119" i="5"/>
  <c r="AK119" i="5" s="1"/>
  <c r="AJ120" i="5"/>
  <c r="AK120" i="5" s="1"/>
  <c r="AJ121" i="5"/>
  <c r="AJ122" i="5"/>
  <c r="AK122" i="5" s="1"/>
  <c r="AJ123" i="5"/>
  <c r="AK123" i="5" s="1"/>
  <c r="AJ124" i="5"/>
  <c r="AK124" i="5" s="1"/>
  <c r="AJ125" i="5"/>
  <c r="AJ126" i="5"/>
  <c r="AK126" i="5" s="1"/>
  <c r="AJ127" i="5"/>
  <c r="AK127" i="5" s="1"/>
  <c r="AJ128" i="5"/>
  <c r="AK128" i="5" s="1"/>
  <c r="AJ129" i="5"/>
  <c r="AJ130" i="5"/>
  <c r="AK130" i="5" s="1"/>
  <c r="AJ131" i="5"/>
  <c r="AK131" i="5" s="1"/>
  <c r="AJ132" i="5"/>
  <c r="AK132" i="5" s="1"/>
  <c r="AJ133" i="5"/>
  <c r="AJ134" i="5"/>
  <c r="AK134" i="5" s="1"/>
  <c r="AJ135" i="5"/>
  <c r="AK135" i="5" s="1"/>
  <c r="AJ136" i="5"/>
  <c r="AK136" i="5" s="1"/>
  <c r="AJ137" i="5"/>
  <c r="AJ138" i="5"/>
  <c r="AK138" i="5" s="1"/>
  <c r="AJ139" i="5"/>
  <c r="AK139" i="5" s="1"/>
  <c r="AJ140" i="5"/>
  <c r="AK140" i="5" s="1"/>
  <c r="AJ141" i="5"/>
  <c r="AJ142" i="5"/>
  <c r="AK142" i="5" s="1"/>
  <c r="AJ143" i="5"/>
  <c r="AK143" i="5" s="1"/>
  <c r="AJ144" i="5"/>
  <c r="AK144" i="5" s="1"/>
  <c r="AJ145" i="5"/>
  <c r="AJ146" i="5"/>
  <c r="AK146" i="5" s="1"/>
  <c r="AJ147" i="5"/>
  <c r="AK147" i="5" s="1"/>
  <c r="AJ148" i="5"/>
  <c r="AK148" i="5" s="1"/>
  <c r="AJ149" i="5"/>
  <c r="AJ150" i="5"/>
  <c r="AK150" i="5" s="1"/>
  <c r="AJ151" i="5"/>
  <c r="AK151" i="5" s="1"/>
  <c r="AJ152" i="5"/>
  <c r="AK152" i="5" s="1"/>
  <c r="AJ153" i="5"/>
  <c r="AJ154" i="5"/>
  <c r="AK154" i="5" s="1"/>
  <c r="AJ155" i="5"/>
  <c r="AK155" i="5" s="1"/>
  <c r="AJ156" i="5"/>
  <c r="AK156" i="5" s="1"/>
  <c r="AJ157" i="5"/>
  <c r="AJ158" i="5"/>
  <c r="AK158" i="5" s="1"/>
  <c r="AJ159" i="5"/>
  <c r="AK159" i="5" s="1"/>
  <c r="AJ160" i="5"/>
  <c r="AK160" i="5" s="1"/>
  <c r="AJ161" i="5"/>
  <c r="AJ162" i="5"/>
  <c r="AK162" i="5" s="1"/>
  <c r="AJ163" i="5"/>
  <c r="AK163" i="5" s="1"/>
  <c r="AJ164" i="5"/>
  <c r="AK164" i="5" s="1"/>
  <c r="AJ165" i="5"/>
  <c r="AJ166" i="5"/>
  <c r="AK166" i="5" s="1"/>
  <c r="AJ167" i="5"/>
  <c r="AK167" i="5" s="1"/>
  <c r="AJ168" i="5"/>
  <c r="AK168" i="5" s="1"/>
  <c r="AJ169" i="5"/>
  <c r="AJ170" i="5"/>
  <c r="AK170" i="5" s="1"/>
  <c r="AJ171" i="5"/>
  <c r="AK171" i="5" s="1"/>
  <c r="AJ172" i="5"/>
  <c r="AK172" i="5" s="1"/>
  <c r="AJ173" i="5"/>
  <c r="AJ174" i="5"/>
  <c r="AK174" i="5" s="1"/>
  <c r="AJ175" i="5"/>
  <c r="AK175" i="5" s="1"/>
  <c r="AJ176" i="5"/>
  <c r="AK176" i="5" s="1"/>
  <c r="AJ177" i="5"/>
  <c r="AJ178" i="5"/>
  <c r="AK178" i="5" s="1"/>
  <c r="AJ179" i="5"/>
  <c r="AK179" i="5" s="1"/>
  <c r="AJ180" i="5"/>
  <c r="AK180" i="5" s="1"/>
  <c r="AJ181" i="5"/>
  <c r="AJ182" i="5"/>
  <c r="AK182" i="5" s="1"/>
  <c r="AJ183" i="5"/>
  <c r="AK183" i="5" s="1"/>
  <c r="AJ184" i="5"/>
  <c r="AK184" i="5" s="1"/>
  <c r="AJ185" i="5"/>
  <c r="AJ186" i="5"/>
  <c r="AK186" i="5" s="1"/>
  <c r="AJ187" i="5"/>
  <c r="AK187" i="5" s="1"/>
  <c r="AJ188" i="5"/>
  <c r="AK188" i="5" s="1"/>
  <c r="AJ189" i="5"/>
  <c r="AJ190" i="5"/>
  <c r="AK190" i="5" s="1"/>
  <c r="AJ191" i="5"/>
  <c r="AK191" i="5" s="1"/>
  <c r="AJ192" i="5"/>
  <c r="AK192" i="5" s="1"/>
  <c r="AJ193" i="5"/>
  <c r="AJ194" i="5"/>
  <c r="AK194" i="5" s="1"/>
  <c r="AJ195" i="5"/>
  <c r="AK195" i="5" s="1"/>
  <c r="AJ196" i="5"/>
  <c r="AK196" i="5" s="1"/>
  <c r="AJ197" i="5"/>
  <c r="AJ198" i="5"/>
  <c r="AK198" i="5" s="1"/>
  <c r="AJ199" i="5"/>
  <c r="AK199" i="5" s="1"/>
  <c r="AJ202" i="5"/>
  <c r="AK202" i="5" s="1"/>
  <c r="AJ203" i="5"/>
  <c r="AK203" i="5" s="1"/>
  <c r="AJ2" i="5"/>
  <c r="AJ205" i="5" l="1"/>
</calcChain>
</file>

<file path=xl/sharedStrings.xml><?xml version="1.0" encoding="utf-8"?>
<sst xmlns="http://schemas.openxmlformats.org/spreadsheetml/2006/main" count="6480" uniqueCount="2583">
  <si>
    <t xml:space="preserve">Fresh </t>
  </si>
  <si>
    <t>Proposal No.</t>
  </si>
  <si>
    <t>Renewal Month</t>
  </si>
  <si>
    <t>Takaful Company</t>
  </si>
  <si>
    <t>PMD / Cert</t>
  </si>
  <si>
    <t>Takaful Start Date</t>
  </si>
  <si>
    <t xml:space="preserve"> Takaful End Date</t>
  </si>
  <si>
    <t>Customer Name</t>
  </si>
  <si>
    <t>CNIC</t>
  </si>
  <si>
    <t>Vehicle Make</t>
  </si>
  <si>
    <t>Reg. No</t>
  </si>
  <si>
    <t>Engine No</t>
  </si>
  <si>
    <t>Chassis No</t>
  </si>
  <si>
    <t>Region</t>
  </si>
  <si>
    <t>Unit ID</t>
  </si>
  <si>
    <t>BR #</t>
  </si>
  <si>
    <t>Financing Date</t>
  </si>
  <si>
    <t>Maturity Date</t>
  </si>
  <si>
    <t>Asset Value</t>
  </si>
  <si>
    <t>Dep. %</t>
  </si>
  <si>
    <t>Dep. Amount</t>
  </si>
  <si>
    <t>Sum Cover Amount</t>
  </si>
  <si>
    <t>Takaful Rate</t>
  </si>
  <si>
    <t>Premium Amount</t>
  </si>
  <si>
    <t>For Takaful Company Rectifications</t>
  </si>
  <si>
    <t>ALBARAKA Status</t>
  </si>
  <si>
    <t>For COD Status</t>
  </si>
  <si>
    <t>PO No.</t>
  </si>
  <si>
    <t>PO Dates</t>
  </si>
  <si>
    <t>Proposal Status</t>
  </si>
  <si>
    <t>Overdue Days</t>
  </si>
  <si>
    <t>SALAAM TAKAFUL LTD</t>
  </si>
  <si>
    <t>SUZUKI WAGON-R VXL E2</t>
  </si>
  <si>
    <t>Central</t>
  </si>
  <si>
    <t>0804</t>
  </si>
  <si>
    <t>DISBURSED</t>
  </si>
  <si>
    <t>TOYOTA YARIS ATIV AT</t>
  </si>
  <si>
    <t>MUHAMMAD  BILAL</t>
  </si>
  <si>
    <t>SUZUKI Swift GLX CVT</t>
  </si>
  <si>
    <t>0329</t>
  </si>
  <si>
    <t>HONDA CITY 1.2  LS CVT</t>
  </si>
  <si>
    <t>SUZUKI ALTO VXL AGS E-2</t>
  </si>
  <si>
    <t>HONDA HRV-S</t>
  </si>
  <si>
    <t>SUZUKI ALTO VXR E-2</t>
  </si>
  <si>
    <t>South</t>
  </si>
  <si>
    <t>0144</t>
  </si>
  <si>
    <t>0423</t>
  </si>
  <si>
    <t>0471</t>
  </si>
  <si>
    <t>MUHAMMAD  ASIF</t>
  </si>
  <si>
    <t>HONDA CITY I-VTEC 1.2</t>
  </si>
  <si>
    <t>TOYOTA COROLLA ALTIS GRAN</t>
  </si>
  <si>
    <t>TOYOTA YARIS ATIV X 1.5 A</t>
  </si>
  <si>
    <t>SUZUKI WAGON-R</t>
  </si>
  <si>
    <t>0401</t>
  </si>
  <si>
    <t>0431</t>
  </si>
  <si>
    <t>TOYOTA COROLLA ALTIS 1.6</t>
  </si>
  <si>
    <t>HONDA CIVIC VTI  ORIEL PT</t>
  </si>
  <si>
    <t>HONDA BRV I-VTEC S STD</t>
  </si>
  <si>
    <t>TAHIR  MAHMOOD</t>
  </si>
  <si>
    <t>HONDA CITY 1.5 ASPIRE CVT</t>
  </si>
  <si>
    <t>TOYOTA COROLLA GLI M/T 1.</t>
  </si>
  <si>
    <t>HONDA CITY M/T</t>
  </si>
  <si>
    <t>CHANGAN KARVAAN PLUS</t>
  </si>
  <si>
    <t>SUZUKI CULTUS VXL EURO II</t>
  </si>
  <si>
    <t>SUZUKI CULTUS VXL</t>
  </si>
  <si>
    <t>TOYOTA Yaris ATIV X 1.5 (</t>
  </si>
  <si>
    <t>0150</t>
  </si>
  <si>
    <t>HONDA CIVIC</t>
  </si>
  <si>
    <t>SUZUKI ALTO VXR</t>
  </si>
  <si>
    <t>SUZUKI RAVI VX EURO II</t>
  </si>
  <si>
    <t>79961/1</t>
  </si>
  <si>
    <t>KHI/HO/D/MO/PC COMP/C/106977/40/02/2025</t>
  </si>
  <si>
    <t>UMER  TAHIR</t>
  </si>
  <si>
    <t>TOYOTA HILUX REVO ROCCO</t>
  </si>
  <si>
    <t>LED-17-567</t>
  </si>
  <si>
    <t>U951480</t>
  </si>
  <si>
    <t>R-0962306</t>
  </si>
  <si>
    <t>390397</t>
  </si>
  <si>
    <t>paid</t>
  </si>
  <si>
    <t>79962/1</t>
  </si>
  <si>
    <t>KHI/HO/D/MO/PC COMP/C/106977/44/02/2025</t>
  </si>
  <si>
    <t>YASIR   .</t>
  </si>
  <si>
    <t>BH-3721</t>
  </si>
  <si>
    <t>13516046</t>
  </si>
  <si>
    <t>R016057</t>
  </si>
  <si>
    <t>672339</t>
  </si>
  <si>
    <t>78527/1</t>
  </si>
  <si>
    <t>KHI/HO/D/MO/PC COMP/C/106977/16/02/2025</t>
  </si>
  <si>
    <t>DEEBA  SHAHWAR</t>
  </si>
  <si>
    <t>KIA PICANTO 1.0L A/T</t>
  </si>
  <si>
    <t>220474</t>
  </si>
  <si>
    <t>714299</t>
  </si>
  <si>
    <t>556616</t>
  </si>
  <si>
    <t>79848/1</t>
  </si>
  <si>
    <t>KHI/HO/D/MO/PC COMP/C/106977/29/02/2025</t>
  </si>
  <si>
    <t>SAKHAWAT  ALI</t>
  </si>
  <si>
    <t>ADD-317</t>
  </si>
  <si>
    <t>R18Z16920969</t>
  </si>
  <si>
    <t>NFBFC6665MR073246</t>
  </si>
  <si>
    <t>669764</t>
  </si>
  <si>
    <t>79255/1</t>
  </si>
  <si>
    <t>KHI/HO/D/MO/PC COMP/C/106977/32/02/2025</t>
  </si>
  <si>
    <t>JAMSHAID   AKRAM</t>
  </si>
  <si>
    <t>KIA STONIC EX+</t>
  </si>
  <si>
    <t>AJF-270</t>
  </si>
  <si>
    <t>G4LCMS814233</t>
  </si>
  <si>
    <t>NNAYB54BZMT700069</t>
  </si>
  <si>
    <t>671743</t>
  </si>
  <si>
    <t>79977/1</t>
  </si>
  <si>
    <t>KHI/HO/D/MO/PC COMP/C/106977/35/02/2025</t>
  </si>
  <si>
    <t>MUHAMMAD   ARSLAN</t>
  </si>
  <si>
    <t>AAX-528</t>
  </si>
  <si>
    <t>14802471</t>
  </si>
  <si>
    <t>19156</t>
  </si>
  <si>
    <t>672444</t>
  </si>
  <si>
    <t>77958/1</t>
  </si>
  <si>
    <t>KHI/HO/D/MO/PC COMP/C/106977/36/02/2025</t>
  </si>
  <si>
    <t>MUHAMMAD  IQBAL  KHAN</t>
  </si>
  <si>
    <t>BVK-520</t>
  </si>
  <si>
    <t>133143</t>
  </si>
  <si>
    <t>708858</t>
  </si>
  <si>
    <t>87728</t>
  </si>
  <si>
    <t>79285/1</t>
  </si>
  <si>
    <t>KHI/HO/D/MO/PC COMP/C/106977/43/02/2025</t>
  </si>
  <si>
    <t>MUHAMMAD   MEHBOOB</t>
  </si>
  <si>
    <t>ANK-907</t>
  </si>
  <si>
    <t>B1017284</t>
  </si>
  <si>
    <t>R030662</t>
  </si>
  <si>
    <t>671763</t>
  </si>
  <si>
    <t>76402/1</t>
  </si>
  <si>
    <t>KHI/HO/D/MO/PC COMP/C/106977/48/02/2025</t>
  </si>
  <si>
    <t>SYED ABDUL QADIR SHAH</t>
  </si>
  <si>
    <t>TOYOTA COROLLA ALTIS CVT</t>
  </si>
  <si>
    <t>ABE-835</t>
  </si>
  <si>
    <t>Q346587</t>
  </si>
  <si>
    <t>R7045777</t>
  </si>
  <si>
    <t>17826</t>
  </si>
  <si>
    <t>79725/1</t>
  </si>
  <si>
    <t>KHI/HO/D/MO/PC COMP/C/106977/49/02/2025</t>
  </si>
  <si>
    <t>AYAZ  AHMED</t>
  </si>
  <si>
    <t>HONDA BRV - S</t>
  </si>
  <si>
    <t>BK-2488</t>
  </si>
  <si>
    <t>14808316</t>
  </si>
  <si>
    <t>R025001</t>
  </si>
  <si>
    <t>518649</t>
  </si>
  <si>
    <t>78254/1</t>
  </si>
  <si>
    <t>KHI/HO/D/MO/PC COMP/C/106977/50/02/2025</t>
  </si>
  <si>
    <t>FARHAN   ALI</t>
  </si>
  <si>
    <t>HONDA CIVIC VTI ORIEL U.G</t>
  </si>
  <si>
    <t>LEE-17-6506</t>
  </si>
  <si>
    <t>Z12915376</t>
  </si>
  <si>
    <t>HR018753</t>
  </si>
  <si>
    <t>668734</t>
  </si>
  <si>
    <t>78827/1</t>
  </si>
  <si>
    <t>KHI/HO/D/MO/PC COMP/C/106977/51/02/2025</t>
  </si>
  <si>
    <t>RANA MUHAMMAD SHAHZAD NAVEED</t>
  </si>
  <si>
    <t>1032080</t>
  </si>
  <si>
    <t>SR049609</t>
  </si>
  <si>
    <t>670380</t>
  </si>
  <si>
    <t>79176/1</t>
  </si>
  <si>
    <t>KHI/HO/D/MO/PC COMP/C/106977/52/02/2025</t>
  </si>
  <si>
    <t>KHALID FALAK SHER</t>
  </si>
  <si>
    <t>TOYOTA Yaris ATIV 1.3 (CV</t>
  </si>
  <si>
    <t>72954</t>
  </si>
  <si>
    <t>7050077</t>
  </si>
  <si>
    <t>521809</t>
  </si>
  <si>
    <t>79419/1</t>
  </si>
  <si>
    <t>KHI/HO/D/MO/PC COMP/C/106977/47/02/2025</t>
  </si>
  <si>
    <t>Arqam Javed Khan</t>
  </si>
  <si>
    <t>BTZ-489</t>
  </si>
  <si>
    <t>P050848</t>
  </si>
  <si>
    <t>706341</t>
  </si>
  <si>
    <t>672318</t>
  </si>
  <si>
    <t>Not found</t>
  </si>
  <si>
    <t>KHI/HO/D/MO/PC COMP/C/106977/54/02/2025</t>
  </si>
  <si>
    <t>ADIL   BOOTA</t>
  </si>
  <si>
    <t>KIA PICANTO 1.0L M/T</t>
  </si>
  <si>
    <t>AEL-535</t>
  </si>
  <si>
    <t>131919</t>
  </si>
  <si>
    <t>KP500158</t>
  </si>
  <si>
    <t>79538/1</t>
  </si>
  <si>
    <t>672459</t>
  </si>
  <si>
    <t>76968/1</t>
  </si>
  <si>
    <t>KHI/HO/D/MO/PC COMP/C/106977/1/02/2025</t>
  </si>
  <si>
    <t>SAIMA   JAHANGIR</t>
  </si>
  <si>
    <t>51030946</t>
  </si>
  <si>
    <t>048317</t>
  </si>
  <si>
    <t>664913</t>
  </si>
  <si>
    <t>78059/1</t>
  </si>
  <si>
    <t>KHI/HO/D/MO/PC COMP/C/106977/10/02/2025</t>
  </si>
  <si>
    <t>RIAZ  AHMED</t>
  </si>
  <si>
    <t>339116</t>
  </si>
  <si>
    <t>1239100</t>
  </si>
  <si>
    <t>668202</t>
  </si>
  <si>
    <t>78559/1</t>
  </si>
  <si>
    <t>KHI/HO/D/MO/PC COMP/C/106977/11/02/2025</t>
  </si>
  <si>
    <t>WASEEM  ABBAS</t>
  </si>
  <si>
    <t>CHANGAN ALSVIN</t>
  </si>
  <si>
    <t>523382</t>
  </si>
  <si>
    <t>1000388</t>
  </si>
  <si>
    <t>638507</t>
  </si>
  <si>
    <t>78610/1</t>
  </si>
  <si>
    <t>KHI/HO/D/MO/PC COMP/C/106977/12/02/2025</t>
  </si>
  <si>
    <t>CHAUDHRY AAMIR HUSSAIN</t>
  </si>
  <si>
    <t>AXW-144</t>
  </si>
  <si>
    <t>231605</t>
  </si>
  <si>
    <t>10131603</t>
  </si>
  <si>
    <t>0841</t>
  </si>
  <si>
    <t>668708</t>
  </si>
  <si>
    <t>78502/1</t>
  </si>
  <si>
    <t>KHI/HO/D/MO/PC COMP/C/106977/13/02/2025</t>
  </si>
  <si>
    <t>MUHAMMAD   UZAIF</t>
  </si>
  <si>
    <t>BXT-505</t>
  </si>
  <si>
    <t>6R246629</t>
  </si>
  <si>
    <t>H1146623</t>
  </si>
  <si>
    <t>669479</t>
  </si>
  <si>
    <t>78676/1</t>
  </si>
  <si>
    <t>KHI/HO/D/MO/PC COMP/C/106977/14/02/2025</t>
  </si>
  <si>
    <t>HUSSNAIN ALI NAQVI</t>
  </si>
  <si>
    <t>51031354</t>
  </si>
  <si>
    <t>48730</t>
  </si>
  <si>
    <t>670544</t>
  </si>
  <si>
    <t>78757/1</t>
  </si>
  <si>
    <t>KHI/HO/D/MO/PC COMP/C/106977/15/02/2025</t>
  </si>
  <si>
    <t>MUHAMMAD  AKRAM</t>
  </si>
  <si>
    <t>HONDA CITY ASPIRE 1.5  I-</t>
  </si>
  <si>
    <t>ALC-285</t>
  </si>
  <si>
    <t>L15A79793112</t>
  </si>
  <si>
    <t>NFBGM1264JR238250</t>
  </si>
  <si>
    <t>670642</t>
  </si>
  <si>
    <t>78506/1</t>
  </si>
  <si>
    <t>KHI/HO/D/MO/PC COMP/C/106977/17/02/2025</t>
  </si>
  <si>
    <t>SIRAJ  UDDIN</t>
  </si>
  <si>
    <t>BYU-798</t>
  </si>
  <si>
    <t>6R272083</t>
  </si>
  <si>
    <t>6H1172071</t>
  </si>
  <si>
    <t>441080</t>
  </si>
  <si>
    <t>79628/1</t>
  </si>
  <si>
    <t>KHI/HO/D/MO/PC COMP/C/106977/18/02/2025</t>
  </si>
  <si>
    <t>ARSHAN  ISMAIL</t>
  </si>
  <si>
    <t>ACY-572</t>
  </si>
  <si>
    <t>153036</t>
  </si>
  <si>
    <t>1053021</t>
  </si>
  <si>
    <t>579068</t>
  </si>
  <si>
    <t>76383/1</t>
  </si>
  <si>
    <t>KHI/HO/D/MO/PC COMP/C/106977/19/02/2025</t>
  </si>
  <si>
    <t>RIZWAN  .</t>
  </si>
  <si>
    <t>1025765</t>
  </si>
  <si>
    <t>S00208450</t>
  </si>
  <si>
    <t>662887</t>
  </si>
  <si>
    <t>78609/1</t>
  </si>
  <si>
    <t>KHI/HO/D/MO/PC COMP/C/106977/20/02/2025</t>
  </si>
  <si>
    <t>HAFIZ ABDUL RAZZAQ</t>
  </si>
  <si>
    <t>6R338217</t>
  </si>
  <si>
    <t>NF1AET306H1238244</t>
  </si>
  <si>
    <t>669775</t>
  </si>
  <si>
    <t>78596/1</t>
  </si>
  <si>
    <t>KHI/HO/D/MO/PC COMP/C/106977/22/02/2025</t>
  </si>
  <si>
    <t>SAIRA   ALI</t>
  </si>
  <si>
    <t>ANJ-811</t>
  </si>
  <si>
    <t>L12B51017958</t>
  </si>
  <si>
    <t>R031762</t>
  </si>
  <si>
    <t>669655</t>
  </si>
  <si>
    <t>79076/1</t>
  </si>
  <si>
    <t>KHI/HO/D/MO/PC COMP/C/106977/23/02/2025</t>
  </si>
  <si>
    <t>ABUBAKAR   AZHAR</t>
  </si>
  <si>
    <t>AZZ-289</t>
  </si>
  <si>
    <t>238861</t>
  </si>
  <si>
    <t>1138876</t>
  </si>
  <si>
    <t>671223</t>
  </si>
  <si>
    <t>78035/1</t>
  </si>
  <si>
    <t>KHI/HO/D/MO/PC COMP/C/106977/24/02/2025</t>
  </si>
  <si>
    <t>MUHAMMAD  GOHAR</t>
  </si>
  <si>
    <t>SUZUKI MEHRAN VXR EURO-II</t>
  </si>
  <si>
    <t>LEE-17-7453</t>
  </si>
  <si>
    <t>PKB689219</t>
  </si>
  <si>
    <t>SB308PK01227732</t>
  </si>
  <si>
    <t>668063</t>
  </si>
  <si>
    <t>78462/1</t>
  </si>
  <si>
    <t>KHI/HO/D/MO/PC COMP/C/106977/25/02/2025</t>
  </si>
  <si>
    <t>MUHAMMAD MUSA SHEIKH</t>
  </si>
  <si>
    <t>LEB-18-4462</t>
  </si>
  <si>
    <t>534337</t>
  </si>
  <si>
    <t>4160461</t>
  </si>
  <si>
    <t>669063</t>
  </si>
  <si>
    <t>78983/1</t>
  </si>
  <si>
    <t>KHI/HO/D/MO/PC COMP/C/106977/26/02/2025</t>
  </si>
  <si>
    <t>ALI  RAZA</t>
  </si>
  <si>
    <t>R340852</t>
  </si>
  <si>
    <t>H1240675</t>
  </si>
  <si>
    <t>344022</t>
  </si>
  <si>
    <t>78821/1</t>
  </si>
  <si>
    <t>KHI/HO/D/MO/PC COMP/C/106977/27/02/2025</t>
  </si>
  <si>
    <t>USMAN   ALAM</t>
  </si>
  <si>
    <t>HONDA CITY ASPIRE CVT PT</t>
  </si>
  <si>
    <t>1017478</t>
  </si>
  <si>
    <t>SR049269</t>
  </si>
  <si>
    <t>670260</t>
  </si>
  <si>
    <t>77780/1</t>
  </si>
  <si>
    <t>KHI/HO/D/MO/PC COMP/C/106977/28/02/2025</t>
  </si>
  <si>
    <t>NADEEM  SAJJAD</t>
  </si>
  <si>
    <t>HONDA CITY</t>
  </si>
  <si>
    <t>APK-375</t>
  </si>
  <si>
    <t>79797178</t>
  </si>
  <si>
    <t>255879</t>
  </si>
  <si>
    <t>609404</t>
  </si>
  <si>
    <t>78317/1</t>
  </si>
  <si>
    <t>KHI/HO/D/MO/PC COMP/C/106977/3/02/2025</t>
  </si>
  <si>
    <t>ZAHIDA   PARVEEN</t>
  </si>
  <si>
    <t>AGM 269</t>
  </si>
  <si>
    <t>185137</t>
  </si>
  <si>
    <t>1085118</t>
  </si>
  <si>
    <t>668849</t>
  </si>
  <si>
    <t>78595/1</t>
  </si>
  <si>
    <t>KHI/HO/D/MO/PC COMP/C/106977/30/02/2025</t>
  </si>
  <si>
    <t>MUHAMMAD  IRFAN</t>
  </si>
  <si>
    <t>TOYOTA COROLLA XLI 1.3</t>
  </si>
  <si>
    <t>LED-19-8931</t>
  </si>
  <si>
    <t>Z549145</t>
  </si>
  <si>
    <t>4174440</t>
  </si>
  <si>
    <t>0551</t>
  </si>
  <si>
    <t>216671</t>
  </si>
  <si>
    <t>79768/1</t>
  </si>
  <si>
    <t>KHI/HO/D/MO/PC COMP/C/106977/31/02/2025</t>
  </si>
  <si>
    <t>ALI  IMTIAZ</t>
  </si>
  <si>
    <t>HONDA ACCORD CL9</t>
  </si>
  <si>
    <t>LEH-15-2525</t>
  </si>
  <si>
    <t>1020306</t>
  </si>
  <si>
    <t>CR61010293</t>
  </si>
  <si>
    <t>468150</t>
  </si>
  <si>
    <t>79260/1</t>
  </si>
  <si>
    <t>KHI/HO/D/MO/PC COMP/C/106977/33/02/2025</t>
  </si>
  <si>
    <t>TAUQEER   HAIDER</t>
  </si>
  <si>
    <t>51031961</t>
  </si>
  <si>
    <t>SR049488</t>
  </si>
  <si>
    <t>671939</t>
  </si>
  <si>
    <t>77788/1</t>
  </si>
  <si>
    <t>KHI/HO/D/MO/PC COMP/C/106977/34/02/2025</t>
  </si>
  <si>
    <t>MUHAMMAD SHOUZAB RIAZ</t>
  </si>
  <si>
    <t>LE-19A-6810</t>
  </si>
  <si>
    <t>6R105107</t>
  </si>
  <si>
    <t>1005078</t>
  </si>
  <si>
    <t>636008</t>
  </si>
  <si>
    <t>78995/1</t>
  </si>
  <si>
    <t>KHI/HO/D/MO/PC COMP/C/106977/37/02/2025</t>
  </si>
  <si>
    <t>REHAN  AZIZ</t>
  </si>
  <si>
    <t>337363</t>
  </si>
  <si>
    <t>1237301</t>
  </si>
  <si>
    <t>670913</t>
  </si>
  <si>
    <t>79161/1</t>
  </si>
  <si>
    <t>KHI/HO/D/MO/PC COMP/C/106977/38/02/2025</t>
  </si>
  <si>
    <t>MUHAMAMD   HANIF</t>
  </si>
  <si>
    <t>LEC-16-4686</t>
  </si>
  <si>
    <t>149966</t>
  </si>
  <si>
    <t>4070177</t>
  </si>
  <si>
    <t>671280</t>
  </si>
  <si>
    <t>78575/1</t>
  </si>
  <si>
    <t>KHI/HO/D/MO/PC COMP/C/106977/39/02/2025</t>
  </si>
  <si>
    <t>MUHAMMAD   IQBAL</t>
  </si>
  <si>
    <t>TOYOTA COROLLA ALTIS  1.6</t>
  </si>
  <si>
    <t>AJT-397</t>
  </si>
  <si>
    <t>094051</t>
  </si>
  <si>
    <t>6071517</t>
  </si>
  <si>
    <t>669381</t>
  </si>
  <si>
    <t>79149/1</t>
  </si>
  <si>
    <t>KHI/HO/D/MO/PC COMP/C/106977/4/02/2025</t>
  </si>
  <si>
    <t>SAAD  RASOOL</t>
  </si>
  <si>
    <t>KIA SPORTAGE AWD</t>
  </si>
  <si>
    <t>BH-4273</t>
  </si>
  <si>
    <t>H025883</t>
  </si>
  <si>
    <t>KP500574</t>
  </si>
  <si>
    <t>668011</t>
  </si>
  <si>
    <t>78689/1</t>
  </si>
  <si>
    <t>KHI/HO/D/MO/PC COMP/C/106977/41/02/2025</t>
  </si>
  <si>
    <t>ADNAN   ISMAIL</t>
  </si>
  <si>
    <t>TOYOTA COROLLA GLI 1.6 A/</t>
  </si>
  <si>
    <t>AJY-871</t>
  </si>
  <si>
    <t>Z526375</t>
  </si>
  <si>
    <t>4152100</t>
  </si>
  <si>
    <t>669540</t>
  </si>
  <si>
    <t>78675/1</t>
  </si>
  <si>
    <t>KHI/HO/D/MO/PC COMP/C/106977/42/02/2025</t>
  </si>
  <si>
    <t>MIAN   FAIZ</t>
  </si>
  <si>
    <t>ACW-107</t>
  </si>
  <si>
    <t>800635</t>
  </si>
  <si>
    <t>267626</t>
  </si>
  <si>
    <t>672979</t>
  </si>
  <si>
    <t>78425/1</t>
  </si>
  <si>
    <t>KHI/HO/D/MO/PC COMP/C/106977/45/02/2025</t>
  </si>
  <si>
    <t>RAO FAWAD HUSSAIN</t>
  </si>
  <si>
    <t>SUZUKI ALTO VX EURO II</t>
  </si>
  <si>
    <t>R339769</t>
  </si>
  <si>
    <t>1239801</t>
  </si>
  <si>
    <t>334617</t>
  </si>
  <si>
    <t>79001/1</t>
  </si>
  <si>
    <t>KHI/HO/D/MO/PC COMP/C/106977/46/02/2025</t>
  </si>
  <si>
    <t>IMRAN  KHAN</t>
  </si>
  <si>
    <t>1017356</t>
  </si>
  <si>
    <t>SR048613</t>
  </si>
  <si>
    <t>423675</t>
  </si>
  <si>
    <t>78078/1</t>
  </si>
  <si>
    <t>KHI/HO/D/MO/PC COMP/C/106977/5/02/2025</t>
  </si>
  <si>
    <t>QAMAR  SHAHZAD</t>
  </si>
  <si>
    <t>ACF-707</t>
  </si>
  <si>
    <t>6R577163</t>
  </si>
  <si>
    <t>NF1AET306H1057733</t>
  </si>
  <si>
    <t>644120</t>
  </si>
  <si>
    <t>76597/1</t>
  </si>
  <si>
    <t>KHI/HO/D/MO/PC COMP/C/106977/6/02/2025</t>
  </si>
  <si>
    <t>NIAZ AHMAD AWAN</t>
  </si>
  <si>
    <t>AUJ-406</t>
  </si>
  <si>
    <t>336032</t>
  </si>
  <si>
    <t>1236090</t>
  </si>
  <si>
    <t>663431</t>
  </si>
  <si>
    <t>78186/1</t>
  </si>
  <si>
    <t>KHI/HO/D/MO/PC COMP/C/106977/7/02/2025</t>
  </si>
  <si>
    <t>NAWAIZ   MASIH</t>
  </si>
  <si>
    <t>HONDA CIVIC VTI ORIEL I-V</t>
  </si>
  <si>
    <t>ADE-125</t>
  </si>
  <si>
    <t>12907931</t>
  </si>
  <si>
    <t>010752</t>
  </si>
  <si>
    <t>542849</t>
  </si>
  <si>
    <t>78695/1</t>
  </si>
  <si>
    <t>KHI/HO/D/MO/PC COMP/C/106977/8/02/2025</t>
  </si>
  <si>
    <t>AZAN   AHMAD</t>
  </si>
  <si>
    <t>1031400</t>
  </si>
  <si>
    <t>048793</t>
  </si>
  <si>
    <t>595515</t>
  </si>
  <si>
    <t>78302/1</t>
  </si>
  <si>
    <t>KHI/HO/D/MO/PC COMP/C/106977/9/02/2025</t>
  </si>
  <si>
    <t>MUHAMMAD RASHID MAQSOOD MAAN</t>
  </si>
  <si>
    <t>338849</t>
  </si>
  <si>
    <t>1238763</t>
  </si>
  <si>
    <t>668875</t>
  </si>
  <si>
    <t>78621/1</t>
  </si>
  <si>
    <t>KHI/HO/D/MO/CV/C/107227/1/02/2025</t>
  </si>
  <si>
    <t>FARMAN  KHAN</t>
  </si>
  <si>
    <t>SUZUKI RAVI PICK UP</t>
  </si>
  <si>
    <t>395530</t>
  </si>
  <si>
    <t>500198</t>
  </si>
  <si>
    <t>649359</t>
  </si>
  <si>
    <t>79208/1</t>
  </si>
  <si>
    <t>KHI/HO/D/MO/PC COMP/C/106977/53/02/2025</t>
  </si>
  <si>
    <t>SALMAN   BUTT</t>
  </si>
  <si>
    <t>LEF-19-9696</t>
  </si>
  <si>
    <t>R18Z12951501</t>
  </si>
  <si>
    <t>NFBFC666KR054928</t>
  </si>
  <si>
    <t>671574</t>
  </si>
  <si>
    <t>76466/1</t>
  </si>
  <si>
    <t>KHI/HO/D/MO/PC COMP/C/103201/36/12/2024</t>
  </si>
  <si>
    <t>HAMZA  NAVEED</t>
  </si>
  <si>
    <t>LEA-20-3680</t>
  </si>
  <si>
    <t>131361</t>
  </si>
  <si>
    <t>1031359</t>
  </si>
  <si>
    <t>535583</t>
  </si>
  <si>
    <t>76705/1</t>
  </si>
  <si>
    <t>KHI/HO/D/MO/PC COMP/C/103201/37/12/2024</t>
  </si>
  <si>
    <t>MUHAMMAD AHSAN NAZIR</t>
  </si>
  <si>
    <t>51029803</t>
  </si>
  <si>
    <t>R046840</t>
  </si>
  <si>
    <t>663806</t>
  </si>
  <si>
    <t>77566/1</t>
  </si>
  <si>
    <t>KHI/HO/D/MO/PC COMP/C/103201/38/12/2024</t>
  </si>
  <si>
    <t>JAM ATIF SIDDIQ</t>
  </si>
  <si>
    <t>AES-107</t>
  </si>
  <si>
    <t>181399</t>
  </si>
  <si>
    <t>1081315</t>
  </si>
  <si>
    <t>654326</t>
  </si>
  <si>
    <t>77645/1</t>
  </si>
  <si>
    <t>KHI/HO/D/MO/PC COMP/C/103201/39/12/2024</t>
  </si>
  <si>
    <t>FAHIM   IQBAL</t>
  </si>
  <si>
    <t>AUDI A6 4D TFSI</t>
  </si>
  <si>
    <t>LE-18-7788</t>
  </si>
  <si>
    <t>CYV472803</t>
  </si>
  <si>
    <t>WAUZZZ8V3J1002089</t>
  </si>
  <si>
    <t>662910</t>
  </si>
  <si>
    <t>76944/1</t>
  </si>
  <si>
    <t>KHI/HO/D/MO/PC COMP/C/103201/40/12/2024</t>
  </si>
  <si>
    <t>MUHAMMAD  USMAN</t>
  </si>
  <si>
    <t>LE-19A-2271</t>
  </si>
  <si>
    <t>6R111835</t>
  </si>
  <si>
    <t>NF1AET306H1011793</t>
  </si>
  <si>
    <t>659603</t>
  </si>
  <si>
    <t>77784/1</t>
  </si>
  <si>
    <t>KHI/HO/D/MO/PC COMP/C/103201/41/12/2024</t>
  </si>
  <si>
    <t>MUHAMMAD  SHAHID</t>
  </si>
  <si>
    <t>6R330962</t>
  </si>
  <si>
    <t>H1230969</t>
  </si>
  <si>
    <t>662983</t>
  </si>
  <si>
    <t>75530/1</t>
  </si>
  <si>
    <t>KHI/HO/D/MO/PC COMP/C/103201/42/12/2024</t>
  </si>
  <si>
    <t>MUHAMMAD  HUSNAIN  UMAR</t>
  </si>
  <si>
    <t>LEF-19-1605</t>
  </si>
  <si>
    <t>146578</t>
  </si>
  <si>
    <t>10046584</t>
  </si>
  <si>
    <t>637636</t>
  </si>
  <si>
    <t>77436/1</t>
  </si>
  <si>
    <t>KHI/HO/D/MO/PC COMP/C/103201/43/12/2024</t>
  </si>
  <si>
    <t>MUHAMMAD    SHOAIB</t>
  </si>
  <si>
    <t>BYG-502</t>
  </si>
  <si>
    <t>1007873</t>
  </si>
  <si>
    <t>00107862</t>
  </si>
  <si>
    <t>657805</t>
  </si>
  <si>
    <t>77466/1</t>
  </si>
  <si>
    <t>KHI/HO/D/MO/PC COMP/C/103201/44/12/2024</t>
  </si>
  <si>
    <t>JIBRAN ABDUL LATIF</t>
  </si>
  <si>
    <t>TOYOTA YARIS ATIV X CVT 1</t>
  </si>
  <si>
    <t>2A24068</t>
  </si>
  <si>
    <t>7014429</t>
  </si>
  <si>
    <t>172007</t>
  </si>
  <si>
    <t>76975/1</t>
  </si>
  <si>
    <t>KHI/HO/D/MO/PC COMP/C/103201/45/12/2024</t>
  </si>
  <si>
    <t>MUHAMMAD  WASEEM</t>
  </si>
  <si>
    <t>ACK-403</t>
  </si>
  <si>
    <t>6R160085</t>
  </si>
  <si>
    <t>H1060068</t>
  </si>
  <si>
    <t>577231</t>
  </si>
  <si>
    <t>77065/1</t>
  </si>
  <si>
    <t>KHI/HO/D/MO/PC COMP/C/103201/46/12/2024</t>
  </si>
  <si>
    <t>ALIZA   HAIDER</t>
  </si>
  <si>
    <t>ASD-867</t>
  </si>
  <si>
    <t>326460</t>
  </si>
  <si>
    <t>P100279</t>
  </si>
  <si>
    <t>665325</t>
  </si>
  <si>
    <t>77752/1</t>
  </si>
  <si>
    <t>KHI/HO/D/MO/PC COMP/C/103201/47/12/2024</t>
  </si>
  <si>
    <t>RIZWAN   BUTT</t>
  </si>
  <si>
    <t>AQS-800</t>
  </si>
  <si>
    <t>Q065799</t>
  </si>
  <si>
    <t>6043320</t>
  </si>
  <si>
    <t>664905</t>
  </si>
  <si>
    <t>77243/1</t>
  </si>
  <si>
    <t>KHI/HO/D/MO/PC COMP/C/103201/48/12/2024</t>
  </si>
  <si>
    <t>ZIA UR REHMAN</t>
  </si>
  <si>
    <t>AQX-144</t>
  </si>
  <si>
    <t>124147</t>
  </si>
  <si>
    <t>1024112</t>
  </si>
  <si>
    <t>666320</t>
  </si>
  <si>
    <t>77320/1</t>
  </si>
  <si>
    <t>KHI/HO/D/MO/PC COMP/C/103201/49/12/2024</t>
  </si>
  <si>
    <t>AYESHA  RAUF</t>
  </si>
  <si>
    <t>LEH-17-1914</t>
  </si>
  <si>
    <t>12917688</t>
  </si>
  <si>
    <t>R021079</t>
  </si>
  <si>
    <t>666497</t>
  </si>
  <si>
    <t>77734/2</t>
  </si>
  <si>
    <t>KHI/HO/D/MO/PC COMP/C/103201/50/12/2024</t>
  </si>
  <si>
    <t>FAISAL   KALIM</t>
  </si>
  <si>
    <t>ACE-83</t>
  </si>
  <si>
    <t>R18Z12942479</t>
  </si>
  <si>
    <t>NFBFC666XJR045969</t>
  </si>
  <si>
    <t>666061</t>
  </si>
  <si>
    <t>77385/1</t>
  </si>
  <si>
    <t>KHI/HO/D/MO/PC COMP/C/103201/51/12/2024</t>
  </si>
  <si>
    <t>FARHAN  ALI</t>
  </si>
  <si>
    <t>LE-18-3531</t>
  </si>
  <si>
    <t>PK10B147541</t>
  </si>
  <si>
    <t>A1J310PK10047496</t>
  </si>
  <si>
    <t>666683</t>
  </si>
  <si>
    <t>76992/1</t>
  </si>
  <si>
    <t>KHI/HO/D/MO/PC COMP/C/103201/52/12/2024</t>
  </si>
  <si>
    <t>MUHAMMAD  RIZWAN  BASHIR</t>
  </si>
  <si>
    <t>BCA-909</t>
  </si>
  <si>
    <t>1018306</t>
  </si>
  <si>
    <t>201057</t>
  </si>
  <si>
    <t>0822</t>
  </si>
  <si>
    <t>657052</t>
  </si>
  <si>
    <t>77066/1</t>
  </si>
  <si>
    <t>KHI/HO/D/MO/PC COMP/C/103201/53/12/2024</t>
  </si>
  <si>
    <t>SAAD QAMAR SAEED</t>
  </si>
  <si>
    <t>333865</t>
  </si>
  <si>
    <t>1233840</t>
  </si>
  <si>
    <t>665478</t>
  </si>
  <si>
    <t>77578/1</t>
  </si>
  <si>
    <t>KHI/HO/D/MO/PC COMP/C/103201/54/12/2024</t>
  </si>
  <si>
    <t>MUHAMMAD  UMER</t>
  </si>
  <si>
    <t>BCW-200</t>
  </si>
  <si>
    <t>PK10B246188</t>
  </si>
  <si>
    <t>A1J310PK10146189</t>
  </si>
  <si>
    <t>667243</t>
  </si>
  <si>
    <t>75107/1</t>
  </si>
  <si>
    <t>KHI/HO/D/MO/PC COMP/C/103201/55/12/2024</t>
  </si>
  <si>
    <t>ABDUL  REHMAN</t>
  </si>
  <si>
    <t>AEH-507</t>
  </si>
  <si>
    <t>6R134161</t>
  </si>
  <si>
    <t>H1034191</t>
  </si>
  <si>
    <t>577785</t>
  </si>
  <si>
    <t>77375/1</t>
  </si>
  <si>
    <t>KHI/HO/D/MO/PC COMP/C/103201/56/12/2024</t>
  </si>
  <si>
    <t>FAIZAN  AMIR</t>
  </si>
  <si>
    <t>AQC-372</t>
  </si>
  <si>
    <t>R1016987</t>
  </si>
  <si>
    <t>116986</t>
  </si>
  <si>
    <t>666614</t>
  </si>
  <si>
    <t>76918/1</t>
  </si>
  <si>
    <t>KHI/HO/D/MO/CV/C/103846/3/12/2024</t>
  </si>
  <si>
    <t>NOOR  UL WAHAB</t>
  </si>
  <si>
    <t>394494</t>
  </si>
  <si>
    <t>499154</t>
  </si>
  <si>
    <t>581941</t>
  </si>
  <si>
    <t>78126/1</t>
  </si>
  <si>
    <t>KHI/HO/D/MO/PC COMP/C/105285/41/01/2025</t>
  </si>
  <si>
    <t>MUHAMMAD ZEESHAN ISLAM</t>
  </si>
  <si>
    <t>6R336498</t>
  </si>
  <si>
    <t>NF1AET306H1236504</t>
  </si>
  <si>
    <t>612796</t>
  </si>
  <si>
    <t>Policy No.</t>
  </si>
  <si>
    <t>TMS Premium</t>
  </si>
  <si>
    <t>Difference Amount</t>
  </si>
  <si>
    <t>Endorsement No.</t>
  </si>
  <si>
    <t>Renewal</t>
  </si>
  <si>
    <t>Old Takaful Start Date</t>
  </si>
  <si>
    <t>Old Takaful End Date</t>
  </si>
  <si>
    <t>SUZUKI BOLAN STD VX EURO</t>
  </si>
  <si>
    <t>TOYOTA YARIS ATIV X CVT</t>
  </si>
  <si>
    <t>HONDA CITY I-VTEC (M/T)</t>
  </si>
  <si>
    <t>KIA SPORTAGE AWD-CW</t>
  </si>
  <si>
    <t>HONDA CITY I-VTEC A/T PT</t>
  </si>
  <si>
    <t>SUZUKI WAGON-R VXR</t>
  </si>
  <si>
    <t>SUZUKI EVERY WAGON</t>
  </si>
  <si>
    <t>0304</t>
  </si>
  <si>
    <t>0610</t>
  </si>
  <si>
    <t>SUZUKI CULTUS</t>
  </si>
  <si>
    <t>SUZUKI ALTO VX</t>
  </si>
  <si>
    <t>0339</t>
  </si>
  <si>
    <t>SUZUKI SWIFT DLX M/T NAV.</t>
  </si>
  <si>
    <t>0565</t>
  </si>
  <si>
    <t>MUHAMMAD   UMER</t>
  </si>
  <si>
    <t>0413</t>
  </si>
  <si>
    <t>HYUNDAI ELANTRA 2.0 MP1 A</t>
  </si>
  <si>
    <t>HONDA CITY CVT ASPIRE A/T</t>
  </si>
  <si>
    <t>ABDUL   SALAM</t>
  </si>
  <si>
    <t>0416</t>
  </si>
  <si>
    <t>SUZUKI ALTO</t>
  </si>
  <si>
    <t>SUZUKI ALTO VXL AGS</t>
  </si>
  <si>
    <t>0252</t>
  </si>
  <si>
    <t>TOYOTA COROLLA GLI A/T 1.</t>
  </si>
  <si>
    <t>SUZUKI WAGON R VXL</t>
  </si>
  <si>
    <t>SUZUKI CULTUS VXR EURO-II</t>
  </si>
  <si>
    <t>HONDA CITY ASPIRE A/T</t>
  </si>
  <si>
    <t>SUZUKI CULTUS VXR</t>
  </si>
  <si>
    <t>SUZUKI CULTUS VXL AGS</t>
  </si>
  <si>
    <t>MUHAMMAD  SHAFIQUE</t>
  </si>
  <si>
    <t>TOYOTA COROLLA ALTIS CVTI</t>
  </si>
  <si>
    <t xml:space="preserve">Central </t>
  </si>
  <si>
    <t>North</t>
  </si>
  <si>
    <t>SUZUKI WAGON R VXL AGS</t>
  </si>
  <si>
    <t>KIA SPORTAGE FWD</t>
  </si>
  <si>
    <t>SALMAN  ALI</t>
  </si>
  <si>
    <t>SUZUKI RAVI VX</t>
  </si>
  <si>
    <t>TOYOTA COROLLA ALTIS VVT-</t>
  </si>
  <si>
    <t>0441</t>
  </si>
  <si>
    <t>SUZUKI MEHRAN VXR</t>
  </si>
  <si>
    <t>0136</t>
  </si>
  <si>
    <t>69653/1</t>
  </si>
  <si>
    <t>KHI/HO/D/MO/PC COMP/C/107407/1/02/2025</t>
  </si>
  <si>
    <t>MUHAMMAD  ZEESHAN BHATTI</t>
  </si>
  <si>
    <t>AQZ-705</t>
  </si>
  <si>
    <t>293398</t>
  </si>
  <si>
    <t>1193364</t>
  </si>
  <si>
    <t>525730</t>
  </si>
  <si>
    <t>68798/1</t>
  </si>
  <si>
    <t>KHI/HO/D/MO/PC COMP/C/107407/10/02/2025</t>
  </si>
  <si>
    <t>IRFAN  AAMIR</t>
  </si>
  <si>
    <t>AQW-198</t>
  </si>
  <si>
    <t>537247</t>
  </si>
  <si>
    <t>1011419</t>
  </si>
  <si>
    <t>302217</t>
  </si>
  <si>
    <t>54878/1</t>
  </si>
  <si>
    <t>KHI/HO/D/MO/PC COMP/C/107407/100/02/2025</t>
  </si>
  <si>
    <t>MUHAMMAD TALHA ADEEL</t>
  </si>
  <si>
    <t>AJK-441</t>
  </si>
  <si>
    <t>212734</t>
  </si>
  <si>
    <t>1112701</t>
  </si>
  <si>
    <t>565360</t>
  </si>
  <si>
    <t>54839/1</t>
  </si>
  <si>
    <t>KHI/HO/D/MO/PC COMP/C/107407/101/02/2025</t>
  </si>
  <si>
    <t>AJU-717</t>
  </si>
  <si>
    <t>229032</t>
  </si>
  <si>
    <t>10129024</t>
  </si>
  <si>
    <t>54656/1</t>
  </si>
  <si>
    <t>KHI/HO/D/MO/PC COMP/C/107407/102/02/2025</t>
  </si>
  <si>
    <t>ZARMEEN  ZAHRA</t>
  </si>
  <si>
    <t>AGE-752</t>
  </si>
  <si>
    <t>212748</t>
  </si>
  <si>
    <t>1112720</t>
  </si>
  <si>
    <t>561724</t>
  </si>
  <si>
    <t>54800/1</t>
  </si>
  <si>
    <t>KHI/HO/D/MO/PC COMP/C/107407/104/02/2025</t>
  </si>
  <si>
    <t>UMER  SABIR</t>
  </si>
  <si>
    <t>ARU-623</t>
  </si>
  <si>
    <t>159983</t>
  </si>
  <si>
    <t>10060006</t>
  </si>
  <si>
    <t>566881</t>
  </si>
  <si>
    <t>54585/1</t>
  </si>
  <si>
    <t>KHI/HO/D/MO/PC COMP/C/107407/105/02/2025</t>
  </si>
  <si>
    <t>MUHAMMAD   MUSHTAQ</t>
  </si>
  <si>
    <t>AHZ-924</t>
  </si>
  <si>
    <t>192131</t>
  </si>
  <si>
    <t>10092138</t>
  </si>
  <si>
    <t>561212</t>
  </si>
  <si>
    <t>49944/1</t>
  </si>
  <si>
    <t>KHI/HO/D/MO/PC COMP/C/107407/106/02/2025</t>
  </si>
  <si>
    <t>MUHAMMAD  RAFIQ</t>
  </si>
  <si>
    <t>AXT-168</t>
  </si>
  <si>
    <t>H324816</t>
  </si>
  <si>
    <t>P515480</t>
  </si>
  <si>
    <t>542266</t>
  </si>
  <si>
    <t>54857/1</t>
  </si>
  <si>
    <t>KHI/HO/D/MO/PC COMP/C/107407/107/02/2025</t>
  </si>
  <si>
    <t>ABDUL  AHAD KHAN</t>
  </si>
  <si>
    <t>BUY-382</t>
  </si>
  <si>
    <t>189441</t>
  </si>
  <si>
    <t>1089440</t>
  </si>
  <si>
    <t>563321</t>
  </si>
  <si>
    <t>54939/1</t>
  </si>
  <si>
    <t>KHI/HO/D/MO/PC COMP/C/107407/108/02/2025</t>
  </si>
  <si>
    <t>AHY-527</t>
  </si>
  <si>
    <t>6R212217</t>
  </si>
  <si>
    <t>NF1AET306H1112180</t>
  </si>
  <si>
    <t>529629</t>
  </si>
  <si>
    <t>52768/1</t>
  </si>
  <si>
    <t>KHI/HO/D/MO/PC COMP/C/107407/109/02/2025</t>
  </si>
  <si>
    <t>ABID  HUSSAIN</t>
  </si>
  <si>
    <t>AHN-683</t>
  </si>
  <si>
    <t>228455</t>
  </si>
  <si>
    <t>10128415</t>
  </si>
  <si>
    <t>555116</t>
  </si>
  <si>
    <t>67617/1</t>
  </si>
  <si>
    <t>KHI/HO/D/MO/PC COMP/C/107407/11/02/2025</t>
  </si>
  <si>
    <t>HAFIZ MUHAMMAD GULFAM</t>
  </si>
  <si>
    <t>LEB-20-6577</t>
  </si>
  <si>
    <t>17538667</t>
  </si>
  <si>
    <t>LR260454</t>
  </si>
  <si>
    <t>628337</t>
  </si>
  <si>
    <t>54938/1</t>
  </si>
  <si>
    <t>KHI/HO/D/MO/PC COMP/C/107407/110/02/2025</t>
  </si>
  <si>
    <t>MOHSIN  RAZA</t>
  </si>
  <si>
    <t>AFC-953</t>
  </si>
  <si>
    <t>L12B51001785</t>
  </si>
  <si>
    <t>NFBGN8525MR002332</t>
  </si>
  <si>
    <t>567419</t>
  </si>
  <si>
    <t>54904/1</t>
  </si>
  <si>
    <t>KHI/HO/D/MO/PC COMP/C/107407/111/02/2025</t>
  </si>
  <si>
    <t>FAHAD  RAFIQUE</t>
  </si>
  <si>
    <t>AJK-419</t>
  </si>
  <si>
    <t>212890</t>
  </si>
  <si>
    <t>1112932</t>
  </si>
  <si>
    <t>0313</t>
  </si>
  <si>
    <t>547258</t>
  </si>
  <si>
    <t>54906/1</t>
  </si>
  <si>
    <t>KHI/HO/D/MO/PC COMP/C/107407/112/02/2025</t>
  </si>
  <si>
    <t>SARFRAZ SAGHIR AHMAD</t>
  </si>
  <si>
    <t>AHZ-167</t>
  </si>
  <si>
    <t>212874</t>
  </si>
  <si>
    <t>1112906</t>
  </si>
  <si>
    <t>547254</t>
  </si>
  <si>
    <t>55001/1</t>
  </si>
  <si>
    <t>KHI/HO/D/MO/PC COMP/C/107407/113/02/2025</t>
  </si>
  <si>
    <t>HUBAB  .</t>
  </si>
  <si>
    <t>TOYOTA YARIS 1.5 CVT X</t>
  </si>
  <si>
    <t>ADC-839</t>
  </si>
  <si>
    <t>2A02615</t>
  </si>
  <si>
    <t>9501571</t>
  </si>
  <si>
    <t>562675</t>
  </si>
  <si>
    <t>54935/1</t>
  </si>
  <si>
    <t>KHI/HO/D/MO/PC COMP/C/107407/114/02/2025</t>
  </si>
  <si>
    <t>LEA-16-9954</t>
  </si>
  <si>
    <t>7438342</t>
  </si>
  <si>
    <t>178169</t>
  </si>
  <si>
    <t>564075</t>
  </si>
  <si>
    <t>54966/2</t>
  </si>
  <si>
    <t>KHI/HO/D/MO/PC COMP/C/107407/115/02/2025</t>
  </si>
  <si>
    <t>MUHAMMAD WASEEL RAFIQ</t>
  </si>
  <si>
    <t>AJE-721</t>
  </si>
  <si>
    <t>229883</t>
  </si>
  <si>
    <t>10129885</t>
  </si>
  <si>
    <t>559990</t>
  </si>
  <si>
    <t>54910/1</t>
  </si>
  <si>
    <t>KHI/HO/D/MO/PC COMP/C/107407/116/02/2025</t>
  </si>
  <si>
    <t>RAO AZHAR HUSSAIN</t>
  </si>
  <si>
    <t>BLG-322</t>
  </si>
  <si>
    <t>509146</t>
  </si>
  <si>
    <t>4135216</t>
  </si>
  <si>
    <t>566743</t>
  </si>
  <si>
    <t>54381/1</t>
  </si>
  <si>
    <t>KHI/HO/D/MO/PC COMP/C/107407/117/02/2025</t>
  </si>
  <si>
    <t>RIDA   FATIMA</t>
  </si>
  <si>
    <t>AJA-613</t>
  </si>
  <si>
    <t>6R206890</t>
  </si>
  <si>
    <t>1106603</t>
  </si>
  <si>
    <t>565478</t>
  </si>
  <si>
    <t>54947/1</t>
  </si>
  <si>
    <t>KHI/HO/D/MO/PC COMP/C/107407/118/02/2025</t>
  </si>
  <si>
    <t>JAVAID  GULZAR</t>
  </si>
  <si>
    <t>BVZ-932</t>
  </si>
  <si>
    <t>214618</t>
  </si>
  <si>
    <t>1114572</t>
  </si>
  <si>
    <t>516602</t>
  </si>
  <si>
    <t>54999/1</t>
  </si>
  <si>
    <t>KHI/HO/D/MO/PC COMP/C/107407/119/02/2025</t>
  </si>
  <si>
    <t>WASEEM  IFTIKHAR</t>
  </si>
  <si>
    <t>AJT-502</t>
  </si>
  <si>
    <t>212910</t>
  </si>
  <si>
    <t>1112945</t>
  </si>
  <si>
    <t>563432</t>
  </si>
  <si>
    <t>69980/1</t>
  </si>
  <si>
    <t>KHI/HO/D/MO/PC COMP/C/107407/12/02/2025</t>
  </si>
  <si>
    <t>SHAHZAD   SHARIF</t>
  </si>
  <si>
    <t>LED-18A-1423</t>
  </si>
  <si>
    <t>B177998</t>
  </si>
  <si>
    <t>K10077889</t>
  </si>
  <si>
    <t>637684</t>
  </si>
  <si>
    <t>55018/1</t>
  </si>
  <si>
    <t>KHI/HO/D/MO/PC COMP/C/107407/120/02/2025</t>
  </si>
  <si>
    <t>AYAZ  IMTIAZ AHMED KHAN</t>
  </si>
  <si>
    <t>BQR-992</t>
  </si>
  <si>
    <t>147054</t>
  </si>
  <si>
    <t>10047036</t>
  </si>
  <si>
    <t>399886</t>
  </si>
  <si>
    <t>55309/1</t>
  </si>
  <si>
    <t>KHI/HO/D/MO/PC COMP/C/107407/121/02/2025</t>
  </si>
  <si>
    <t>MUHAMMAD   IMRAN</t>
  </si>
  <si>
    <t>AHZ-855</t>
  </si>
  <si>
    <t>6R213126</t>
  </si>
  <si>
    <t>6H1113116</t>
  </si>
  <si>
    <t>0426</t>
  </si>
  <si>
    <t>563119</t>
  </si>
  <si>
    <t>55068/1</t>
  </si>
  <si>
    <t>KHI/HO/D/MO/PC COMP/C/107407/122/02/2025</t>
  </si>
  <si>
    <t>MUHAMMAD   NADEEM</t>
  </si>
  <si>
    <t>AJG-281</t>
  </si>
  <si>
    <t>230036</t>
  </si>
  <si>
    <t>10130054</t>
  </si>
  <si>
    <t>564098</t>
  </si>
  <si>
    <t>55082/1</t>
  </si>
  <si>
    <t>KHI/HO/D/MO/PC COMP/C/107407/123/02/2025</t>
  </si>
  <si>
    <t>MUSARAT  AFTAB GORAR</t>
  </si>
  <si>
    <t>BMV-275</t>
  </si>
  <si>
    <t>121496</t>
  </si>
  <si>
    <t>10021461</t>
  </si>
  <si>
    <t>568557</t>
  </si>
  <si>
    <t>54597/1</t>
  </si>
  <si>
    <t>KHI/HO/D/MO/PC COMP/C/107407/124/02/2025</t>
  </si>
  <si>
    <t>SHAH  MURAD</t>
  </si>
  <si>
    <t>LEF-17-882</t>
  </si>
  <si>
    <t>R18Z12909720</t>
  </si>
  <si>
    <t>R012795</t>
  </si>
  <si>
    <t>221721</t>
  </si>
  <si>
    <t>55044/1</t>
  </si>
  <si>
    <t>KHI/HO/D/MO/PC COMP/C/107407/125/02/2025</t>
  </si>
  <si>
    <t>LEB-18-8510</t>
  </si>
  <si>
    <t>Z517079</t>
  </si>
  <si>
    <t>R-4143124</t>
  </si>
  <si>
    <t>392262</t>
  </si>
  <si>
    <t>55119/1</t>
  </si>
  <si>
    <t>KHI/HO/D/MO/PC COMP/C/107407/126/02/2025</t>
  </si>
  <si>
    <t>MUHAMMAD   SALEH</t>
  </si>
  <si>
    <t>BWB-486</t>
  </si>
  <si>
    <t>213617</t>
  </si>
  <si>
    <t>1113627</t>
  </si>
  <si>
    <t>0215</t>
  </si>
  <si>
    <t>326896</t>
  </si>
  <si>
    <t>54988/1</t>
  </si>
  <si>
    <t>KHI/HO/D/MO/PC COMP/C/107407/128/02/2025</t>
  </si>
  <si>
    <t>MUHAMMAD SAMEEN YOUSUF  KHAN</t>
  </si>
  <si>
    <t>BHB-457</t>
  </si>
  <si>
    <t>632979</t>
  </si>
  <si>
    <t>539846</t>
  </si>
  <si>
    <t>174759</t>
  </si>
  <si>
    <t>55049/1</t>
  </si>
  <si>
    <t>KHI/HO/D/MO/PC COMP/C/107407/129/02/2025</t>
  </si>
  <si>
    <t>MEHBOOB ALAM MALIK</t>
  </si>
  <si>
    <t>AGC-970</t>
  </si>
  <si>
    <t>Q 090674</t>
  </si>
  <si>
    <t>6068137</t>
  </si>
  <si>
    <t>568658</t>
  </si>
  <si>
    <t>54554/1</t>
  </si>
  <si>
    <t>KHI/HO/D/MO/PC COMP/C/107407/130/02/2025</t>
  </si>
  <si>
    <t>ATEEQ  UZ ZAMAN  KHAN</t>
  </si>
  <si>
    <t>ACG-008</t>
  </si>
  <si>
    <t>Q345937</t>
  </si>
  <si>
    <t>7045120</t>
  </si>
  <si>
    <t>566301</t>
  </si>
  <si>
    <t>55086/1</t>
  </si>
  <si>
    <t>KHI/HO/D/MO/PC COMP/C/107407/131/02/2025</t>
  </si>
  <si>
    <t>IJAZ UL HASSAN</t>
  </si>
  <si>
    <t>AJH-577</t>
  </si>
  <si>
    <t>1113157</t>
  </si>
  <si>
    <t>10128911</t>
  </si>
  <si>
    <t>563228</t>
  </si>
  <si>
    <t>55166/1</t>
  </si>
  <si>
    <t>KHI/HO/D/MO/PC COMP/C/107407/132/02/2025</t>
  </si>
  <si>
    <t>FAISAL   MIRZA</t>
  </si>
  <si>
    <t>BNU- 148</t>
  </si>
  <si>
    <t>131212</t>
  </si>
  <si>
    <t>H10031226</t>
  </si>
  <si>
    <t>0139</t>
  </si>
  <si>
    <t>565436</t>
  </si>
  <si>
    <t>55110/1</t>
  </si>
  <si>
    <t>KHI/HO/D/MO/PC COMP/C/107407/133/02/2025</t>
  </si>
  <si>
    <t>MOHSIN  NASEER</t>
  </si>
  <si>
    <t>AJE-758</t>
  </si>
  <si>
    <t>228070</t>
  </si>
  <si>
    <t>10128061</t>
  </si>
  <si>
    <t>566530</t>
  </si>
  <si>
    <t>55109/1</t>
  </si>
  <si>
    <t>KHI/HO/D/MO/PC COMP/C/107407/134/02/2025</t>
  </si>
  <si>
    <t>MALIK HASEEB  AHMAD</t>
  </si>
  <si>
    <t>AHS-427</t>
  </si>
  <si>
    <t>Q357771</t>
  </si>
  <si>
    <t>7056927</t>
  </si>
  <si>
    <t>461505</t>
  </si>
  <si>
    <t>55093/1</t>
  </si>
  <si>
    <t>KHI/HO/D/MO/PC COMP/C/107407/135/02/2025</t>
  </si>
  <si>
    <t>MUHAMMAD  MUNIR</t>
  </si>
  <si>
    <t>AJB-294</t>
  </si>
  <si>
    <t>6R213829</t>
  </si>
  <si>
    <t>H 1113830</t>
  </si>
  <si>
    <t>510774</t>
  </si>
  <si>
    <t>55165/1</t>
  </si>
  <si>
    <t>KHI/HO/D/MO/PC COMP/C/107407/136/02/2025</t>
  </si>
  <si>
    <t>MUHAMMAD  SHAHID TUFAIL  BHATTI</t>
  </si>
  <si>
    <t>AHZ-750</t>
  </si>
  <si>
    <t>K193689</t>
  </si>
  <si>
    <t>H10093713</t>
  </si>
  <si>
    <t>565506</t>
  </si>
  <si>
    <t>55221/1</t>
  </si>
  <si>
    <t>KHI/HO/D/MO/PC COMP/C/107407/137/02/2025</t>
  </si>
  <si>
    <t>AJH-787</t>
  </si>
  <si>
    <t>PK10B229535</t>
  </si>
  <si>
    <t>AIJ310PK10129632</t>
  </si>
  <si>
    <t>393617</t>
  </si>
  <si>
    <t>55154/1</t>
  </si>
  <si>
    <t>KHI/HO/D/MO/PC COMP/C/107407/139/02/2025</t>
  </si>
  <si>
    <t>MUHAMMAD  NAVEED</t>
  </si>
  <si>
    <t>AHW-199</t>
  </si>
  <si>
    <t>6R214486</t>
  </si>
  <si>
    <t>H1114460</t>
  </si>
  <si>
    <t>557406</t>
  </si>
  <si>
    <t>70329/1</t>
  </si>
  <si>
    <t>KHI/HO/D/MO/PC COMP/C/107407/14/02/2025</t>
  </si>
  <si>
    <t>MUHAMMAD   SHAHBAZ</t>
  </si>
  <si>
    <t>AUZ-962</t>
  </si>
  <si>
    <t>6R176226</t>
  </si>
  <si>
    <t>NF1AET306H1076220</t>
  </si>
  <si>
    <t>639123</t>
  </si>
  <si>
    <t>55191/1</t>
  </si>
  <si>
    <t>KHI/HO/D/MO/PC COMP/C/107407/140/02/2025</t>
  </si>
  <si>
    <t>ISMAIL  KHAN</t>
  </si>
  <si>
    <t>BWJ-106</t>
  </si>
  <si>
    <t>195352</t>
  </si>
  <si>
    <t>1113621</t>
  </si>
  <si>
    <t>0271</t>
  </si>
  <si>
    <t>569506</t>
  </si>
  <si>
    <t>50570/1</t>
  </si>
  <si>
    <t>KHI/HO/D/MO/PC COMP/C/107407/141/02/2025</t>
  </si>
  <si>
    <t>QAMAR  ALI</t>
  </si>
  <si>
    <t>AHC-704</t>
  </si>
  <si>
    <t>206071</t>
  </si>
  <si>
    <t>1106101</t>
  </si>
  <si>
    <t>542497</t>
  </si>
  <si>
    <t>55095/1</t>
  </si>
  <si>
    <t>KHI/HO/D/MO/PC COMP/C/107407/142/02/2025</t>
  </si>
  <si>
    <t>MUHAMMAD  HAFEEZ</t>
  </si>
  <si>
    <t>AKY-182</t>
  </si>
  <si>
    <t>171872</t>
  </si>
  <si>
    <t>K10074864</t>
  </si>
  <si>
    <t>568079</t>
  </si>
  <si>
    <t>55181/1</t>
  </si>
  <si>
    <t>KHI/HO/D/MO/PC COMP/C/107407/143/02/2025</t>
  </si>
  <si>
    <t>MUHAMMAD  AQEEL</t>
  </si>
  <si>
    <t>AHB-498</t>
  </si>
  <si>
    <t>1018101</t>
  </si>
  <si>
    <t>1134621</t>
  </si>
  <si>
    <t>490193</t>
  </si>
  <si>
    <t>55226/1</t>
  </si>
  <si>
    <t>KHI/HO/D/MO/PC COMP/C/107407/144/02/2025</t>
  </si>
  <si>
    <t>FAHAD   MAQSOOD</t>
  </si>
  <si>
    <t>AJE-966</t>
  </si>
  <si>
    <t>PK10B 229598</t>
  </si>
  <si>
    <t>PK10129633</t>
  </si>
  <si>
    <t>569257</t>
  </si>
  <si>
    <t>55207/1</t>
  </si>
  <si>
    <t>KHI/HO/D/MO/PC COMP/C/107407/145/02/2025</t>
  </si>
  <si>
    <t>MAQSOOD  SHAHZAD</t>
  </si>
  <si>
    <t>AJK-526</t>
  </si>
  <si>
    <t>230215</t>
  </si>
  <si>
    <t>10130168</t>
  </si>
  <si>
    <t>557758</t>
  </si>
  <si>
    <t>55213/1</t>
  </si>
  <si>
    <t>KHI/HO/D/MO/PC COMP/C/107407/146/02/2025</t>
  </si>
  <si>
    <t>MUHAMMAD  WAQAS</t>
  </si>
  <si>
    <t>AHY-902</t>
  </si>
  <si>
    <t>PK10B229011</t>
  </si>
  <si>
    <t>PK10128996</t>
  </si>
  <si>
    <t>564881</t>
  </si>
  <si>
    <t>55218/1</t>
  </si>
  <si>
    <t>KHI/HO/D/MO/PC COMP/C/107407/147/02/2025</t>
  </si>
  <si>
    <t>MUHAMMAD AMMAR  BADAR</t>
  </si>
  <si>
    <t>AJD-992</t>
  </si>
  <si>
    <t>228204</t>
  </si>
  <si>
    <t>10128202</t>
  </si>
  <si>
    <t>560077</t>
  </si>
  <si>
    <t>55210/1</t>
  </si>
  <si>
    <t>KHI/HO/D/MO/PC COMP/C/107407/148/02/2025</t>
  </si>
  <si>
    <t>SHAHBAZ  ALI</t>
  </si>
  <si>
    <t>AJL-718</t>
  </si>
  <si>
    <t>229946</t>
  </si>
  <si>
    <t>10129944</t>
  </si>
  <si>
    <t>561262</t>
  </si>
  <si>
    <t>55092/2</t>
  </si>
  <si>
    <t>KHI/HO/D/MO/PC COMP/C/107407/149/02/2025</t>
  </si>
  <si>
    <t>MUHAMMAD  BABUR</t>
  </si>
  <si>
    <t>AEA-222</t>
  </si>
  <si>
    <t>3500446</t>
  </si>
  <si>
    <t>HR000392</t>
  </si>
  <si>
    <t>0821</t>
  </si>
  <si>
    <t>566974</t>
  </si>
  <si>
    <t>69493/1</t>
  </si>
  <si>
    <t>KHI/HO/D/MO/PC COMP/C/107407/15/02/2025</t>
  </si>
  <si>
    <t>SAQIB  WAHEED</t>
  </si>
  <si>
    <t>SUZUKI SWIFT DLX</t>
  </si>
  <si>
    <t>AQX-610</t>
  </si>
  <si>
    <t>1019078</t>
  </si>
  <si>
    <t>63500201719</t>
  </si>
  <si>
    <t>340713</t>
  </si>
  <si>
    <t>55179/1</t>
  </si>
  <si>
    <t>KHI/HO/D/MO/PC COMP/C/107407/150/02/2025</t>
  </si>
  <si>
    <t>SHAIKH UMER WAQAS</t>
  </si>
  <si>
    <t>AHZ-510</t>
  </si>
  <si>
    <t>Z524687</t>
  </si>
  <si>
    <t>R4150709</t>
  </si>
  <si>
    <t>221858</t>
  </si>
  <si>
    <t>46329/1</t>
  </si>
  <si>
    <t>KHI/HO/D/MO/PC COMP/C/107407/151/02/2025</t>
  </si>
  <si>
    <t>NASIR  IQBAL</t>
  </si>
  <si>
    <t>LEF-19-7090</t>
  </si>
  <si>
    <t>145243</t>
  </si>
  <si>
    <t>10045243</t>
  </si>
  <si>
    <t>520300</t>
  </si>
  <si>
    <t>46333/1</t>
  </si>
  <si>
    <t>KHI/HO/D/MO/PC COMP/C/107407/152/02/2025</t>
  </si>
  <si>
    <t>ALI  AKBAR</t>
  </si>
  <si>
    <t>SUZUKI SWIFT NV-AT EURO I</t>
  </si>
  <si>
    <t>ACA-272</t>
  </si>
  <si>
    <t>13049726</t>
  </si>
  <si>
    <t>10049721</t>
  </si>
  <si>
    <t>521184</t>
  </si>
  <si>
    <t>46375/1</t>
  </si>
  <si>
    <t>KHI/HO/D/MO/PC COMP/C/107407/153/02/2025</t>
  </si>
  <si>
    <t>SAIF ULLAH  SHAFI</t>
  </si>
  <si>
    <t>ACB-538</t>
  </si>
  <si>
    <t>2A17068</t>
  </si>
  <si>
    <t>NSP151R-9507046</t>
  </si>
  <si>
    <t>519887</t>
  </si>
  <si>
    <t>46499/1</t>
  </si>
  <si>
    <t>KHI/HO/D/MO/PC COMP/C/107407/154/02/2025</t>
  </si>
  <si>
    <t>HAFIZ  MUHAMMAD RIZWAN ANJUM</t>
  </si>
  <si>
    <t>ACC-079</t>
  </si>
  <si>
    <t>6R155251</t>
  </si>
  <si>
    <t>6H1056120</t>
  </si>
  <si>
    <t>0553</t>
  </si>
  <si>
    <t>520931</t>
  </si>
  <si>
    <t>46440/1</t>
  </si>
  <si>
    <t>KHI/HO/D/MO/PC COMP/C/107407/155/02/2025</t>
  </si>
  <si>
    <t>MUHAMMAD KHALID QURESHI</t>
  </si>
  <si>
    <t>ATH-499</t>
  </si>
  <si>
    <t>210384</t>
  </si>
  <si>
    <t>10110380</t>
  </si>
  <si>
    <t>521003</t>
  </si>
  <si>
    <t>46469/1</t>
  </si>
  <si>
    <t>KHI/HO/D/MO/PC COMP/C/107407/156/02/2025</t>
  </si>
  <si>
    <t>MIAN MUHAMMAD ALI RAZA</t>
  </si>
  <si>
    <t>ACE-058</t>
  </si>
  <si>
    <t>210432</t>
  </si>
  <si>
    <t>10110439</t>
  </si>
  <si>
    <t>470545</t>
  </si>
  <si>
    <t>46442/1</t>
  </si>
  <si>
    <t>KHI/HO/D/MO/PC COMP/C/107407/157/02/2025</t>
  </si>
  <si>
    <t>ISHFAQ  AHMAD</t>
  </si>
  <si>
    <t>LEE-16-7098</t>
  </si>
  <si>
    <t>Q316813</t>
  </si>
  <si>
    <t>7015878</t>
  </si>
  <si>
    <t>519479</t>
  </si>
  <si>
    <t>46619/1</t>
  </si>
  <si>
    <t>KHI/HO/D/MO/PC COMP/C/107407/158/02/2025</t>
  </si>
  <si>
    <t>SHIRAZ  HUSSAIN</t>
  </si>
  <si>
    <t>ATD-665</t>
  </si>
  <si>
    <t>1675812</t>
  </si>
  <si>
    <t>113896</t>
  </si>
  <si>
    <t>521557</t>
  </si>
  <si>
    <t>46456/1</t>
  </si>
  <si>
    <t>KHI/HO/D/MO/PC COMP/C/107407/159/02/2025</t>
  </si>
  <si>
    <t>AHSAN SANA ULLAH</t>
  </si>
  <si>
    <t>ACC-184</t>
  </si>
  <si>
    <t>155157</t>
  </si>
  <si>
    <t>1055128</t>
  </si>
  <si>
    <t>0415</t>
  </si>
  <si>
    <t>337835</t>
  </si>
  <si>
    <t>70224/1</t>
  </si>
  <si>
    <t>KHI/HO/D/MO/PC COMP/C/107407/16/02/2025</t>
  </si>
  <si>
    <t>ALI   HASSAN</t>
  </si>
  <si>
    <t>LEF-15-9151</t>
  </si>
  <si>
    <t>17433431</t>
  </si>
  <si>
    <t>172355</t>
  </si>
  <si>
    <t>638800</t>
  </si>
  <si>
    <t>46115/1</t>
  </si>
  <si>
    <t>KHI/HO/D/MO/PC COMP/C/107407/160/02/2025</t>
  </si>
  <si>
    <t>MUHAMMAD  EHSAN</t>
  </si>
  <si>
    <t>ABX-732</t>
  </si>
  <si>
    <t>7544159</t>
  </si>
  <si>
    <t>MR268169</t>
  </si>
  <si>
    <t>508365</t>
  </si>
  <si>
    <t>46508/1</t>
  </si>
  <si>
    <t>KHI/HO/D/MO/PC COMP/C/107407/161/02/2025</t>
  </si>
  <si>
    <t>HAMEES  ZISHAAN</t>
  </si>
  <si>
    <t>ACK-131</t>
  </si>
  <si>
    <t>2A17357</t>
  </si>
  <si>
    <t>NSP151R-9507107</t>
  </si>
  <si>
    <t>459204</t>
  </si>
  <si>
    <t>46535/2</t>
  </si>
  <si>
    <t>KHI/HO/D/MO/PC COMP/C/107407/162/02/2025</t>
  </si>
  <si>
    <t>MUHAMMAD  AMIN</t>
  </si>
  <si>
    <t>LEF-14-2623</t>
  </si>
  <si>
    <t>597595</t>
  </si>
  <si>
    <t>504459</t>
  </si>
  <si>
    <t>524032</t>
  </si>
  <si>
    <t>46540/1</t>
  </si>
  <si>
    <t>KHI/HO/D/MO/PC COMP/C/107407/163/02/2025</t>
  </si>
  <si>
    <t>MUHAMMAD QASIM ALI</t>
  </si>
  <si>
    <t>ACJ-251</t>
  </si>
  <si>
    <t>1009621</t>
  </si>
  <si>
    <t>01126075</t>
  </si>
  <si>
    <t>426926</t>
  </si>
  <si>
    <t>46546/1</t>
  </si>
  <si>
    <t>KHI/HO/D/MO/PC COMP/C/107407/164/02/2025</t>
  </si>
  <si>
    <t>ARSLAN  ASLAM</t>
  </si>
  <si>
    <t>ACB-038</t>
  </si>
  <si>
    <t>155145</t>
  </si>
  <si>
    <t>1055133</t>
  </si>
  <si>
    <t>0419</t>
  </si>
  <si>
    <t>523786</t>
  </si>
  <si>
    <t>46537/1</t>
  </si>
  <si>
    <t>KHI/HO/D/MO/PC COMP/C/107407/165/02/2025</t>
  </si>
  <si>
    <t>ZAFAR  IQBAL</t>
  </si>
  <si>
    <t>ADA-349</t>
  </si>
  <si>
    <t>2A18975</t>
  </si>
  <si>
    <t>9507729</t>
  </si>
  <si>
    <t>520638</t>
  </si>
  <si>
    <t>44832/1</t>
  </si>
  <si>
    <t>KHI/HO/D/MO/PC COMP/C/107407/166/02/2025</t>
  </si>
  <si>
    <t>NOOR  NABI</t>
  </si>
  <si>
    <t>HONDA BRV I-VTEC</t>
  </si>
  <si>
    <t>BJ-0454</t>
  </si>
  <si>
    <t>4803781</t>
  </si>
  <si>
    <t>020477</t>
  </si>
  <si>
    <t>506983</t>
  </si>
  <si>
    <t>46631/1</t>
  </si>
  <si>
    <t>KHI/HO/D/MO/PC COMP/C/107407/167/02/2025</t>
  </si>
  <si>
    <t>MUHAMMAD AMIR ZAHID</t>
  </si>
  <si>
    <t>ACC-875</t>
  </si>
  <si>
    <t>1009968</t>
  </si>
  <si>
    <t>1126482</t>
  </si>
  <si>
    <t>0556</t>
  </si>
  <si>
    <t>523001</t>
  </si>
  <si>
    <t>46731/1</t>
  </si>
  <si>
    <t>KHI/HO/D/MO/PC COMP/C/107407/168/02/2025</t>
  </si>
  <si>
    <t>AHMAD ALI GORAYA</t>
  </si>
  <si>
    <t>LEB-16-4651</t>
  </si>
  <si>
    <t>Q314560</t>
  </si>
  <si>
    <t>R-7013590</t>
  </si>
  <si>
    <t>511027</t>
  </si>
  <si>
    <t>46704/1</t>
  </si>
  <si>
    <t>KHI/HO/D/MO/PC COMP/C/107407/169/02/2025</t>
  </si>
  <si>
    <t>NOMAN  SAFDAR</t>
  </si>
  <si>
    <t>ADG-222</t>
  </si>
  <si>
    <t>157597</t>
  </si>
  <si>
    <t>1057573</t>
  </si>
  <si>
    <t>523840</t>
  </si>
  <si>
    <t>69852/1</t>
  </si>
  <si>
    <t>KHI/HO/D/MO/PC COMP/C/107407/17/02/2025</t>
  </si>
  <si>
    <t>WAQAS  KHAN</t>
  </si>
  <si>
    <t>BDE-196</t>
  </si>
  <si>
    <t>290047</t>
  </si>
  <si>
    <t>1190074</t>
  </si>
  <si>
    <t>637353</t>
  </si>
  <si>
    <t>46595/1</t>
  </si>
  <si>
    <t>KHI/HO/D/MO/PC COMP/C/107407/170/02/2025</t>
  </si>
  <si>
    <t>AFRAZ  AHMAD</t>
  </si>
  <si>
    <t>ACF-676</t>
  </si>
  <si>
    <t>2A19556</t>
  </si>
  <si>
    <t>R9507957</t>
  </si>
  <si>
    <t>522735</t>
  </si>
  <si>
    <t>46655/1</t>
  </si>
  <si>
    <t>KHI/HO/D/MO/PC COMP/C/107407/171/02/2025</t>
  </si>
  <si>
    <t>WAQAR  YOUNIS</t>
  </si>
  <si>
    <t>LE-16-5194</t>
  </si>
  <si>
    <t>Z17437263</t>
  </si>
  <si>
    <t>FR176767</t>
  </si>
  <si>
    <t>520649</t>
  </si>
  <si>
    <t>46640/1</t>
  </si>
  <si>
    <t>KHI/HO/D/MO/PC COMP/C/107407/172/02/2025</t>
  </si>
  <si>
    <t>BILAWAL  ALI</t>
  </si>
  <si>
    <t>ACH-363</t>
  </si>
  <si>
    <t>6R155832</t>
  </si>
  <si>
    <t>NF1AET306H1055807</t>
  </si>
  <si>
    <t>521182</t>
  </si>
  <si>
    <t>46717/1</t>
  </si>
  <si>
    <t>KHI/HO/D/MO/PC COMP/C/107407/173/02/2025</t>
  </si>
  <si>
    <t>MUHAMMAD ALI BHATTI</t>
  </si>
  <si>
    <t>LEE-18-1542</t>
  </si>
  <si>
    <t>110582</t>
  </si>
  <si>
    <t>10010545</t>
  </si>
  <si>
    <t>522226</t>
  </si>
  <si>
    <t>46312/1</t>
  </si>
  <si>
    <t>KHI/HO/D/MO/PC COMP/C/107407/174/02/2025</t>
  </si>
  <si>
    <t>AMJAD  LATIF</t>
  </si>
  <si>
    <t>ABY-633</t>
  </si>
  <si>
    <t>210342</t>
  </si>
  <si>
    <t>10110336</t>
  </si>
  <si>
    <t>516065</t>
  </si>
  <si>
    <t>46726/1</t>
  </si>
  <si>
    <t>KHI/HO/D/MO/PC COMP/C/107407/175/02/2025</t>
  </si>
  <si>
    <t>AHAD  MUNIR</t>
  </si>
  <si>
    <t>LED-16-4227</t>
  </si>
  <si>
    <t>PKT-937913</t>
  </si>
  <si>
    <t>PK01054366</t>
  </si>
  <si>
    <t>521857</t>
  </si>
  <si>
    <t>46043/1</t>
  </si>
  <si>
    <t>KHI/HO/D/MO/PC COMP/C/107407/176/02/2025</t>
  </si>
  <si>
    <t>NADEEM  ALTAF</t>
  </si>
  <si>
    <t>ACA-401</t>
  </si>
  <si>
    <t>H345046</t>
  </si>
  <si>
    <t>P101295</t>
  </si>
  <si>
    <t>519982</t>
  </si>
  <si>
    <t>46747/1</t>
  </si>
  <si>
    <t>KHI/HO/D/MO/PC COMP/C/107407/177/02/2025</t>
  </si>
  <si>
    <t>LEA-15-9575</t>
  </si>
  <si>
    <t>Z193794</t>
  </si>
  <si>
    <t>NZE170R-4018849</t>
  </si>
  <si>
    <t>523267</t>
  </si>
  <si>
    <t>46732/1</t>
  </si>
  <si>
    <t>KHI/HO/D/MO/PC COMP/C/107407/178/02/2025</t>
  </si>
  <si>
    <t>HUSNAIN  SADDIQUE</t>
  </si>
  <si>
    <t>ACS-145</t>
  </si>
  <si>
    <t>2A16587</t>
  </si>
  <si>
    <t>R-9506716</t>
  </si>
  <si>
    <t>524162</t>
  </si>
  <si>
    <t>69730/1</t>
  </si>
  <si>
    <t>KHI/HO/D/MO/PC COMP/C/107407/18/02/2025</t>
  </si>
  <si>
    <t>MUHAMMAD  OWAIS</t>
  </si>
  <si>
    <t>BDS-163</t>
  </si>
  <si>
    <t>R298495</t>
  </si>
  <si>
    <t>1198475</t>
  </si>
  <si>
    <t>638253</t>
  </si>
  <si>
    <t>46724/1</t>
  </si>
  <si>
    <t>KHI/HO/D/MO/PC COMP/C/107407/180/02/2025</t>
  </si>
  <si>
    <t>MUHAMMAD MATEEN UL HASSAN</t>
  </si>
  <si>
    <t>AHE-958</t>
  </si>
  <si>
    <t>R18Z12929908</t>
  </si>
  <si>
    <t>NFBFC6661JR033337</t>
  </si>
  <si>
    <t>524780</t>
  </si>
  <si>
    <t>46740/1</t>
  </si>
  <si>
    <t>KHI/HO/D/MO/PC COMP/C/107407/181/02/2025</t>
  </si>
  <si>
    <t>SHAHRUKH   SHEIKH</t>
  </si>
  <si>
    <t>LEA-17A-879</t>
  </si>
  <si>
    <t>Z12919298</t>
  </si>
  <si>
    <t>HR022689</t>
  </si>
  <si>
    <t>522892</t>
  </si>
  <si>
    <t>46736/1</t>
  </si>
  <si>
    <t>KHI/HO/D/MO/PC COMP/C/107407/182/02/2025</t>
  </si>
  <si>
    <t>FARRUKH   BILAL</t>
  </si>
  <si>
    <t>LED-18-798</t>
  </si>
  <si>
    <t>Z13501378</t>
  </si>
  <si>
    <t>HR001278</t>
  </si>
  <si>
    <t>393958</t>
  </si>
  <si>
    <t>46712/1</t>
  </si>
  <si>
    <t>KHI/HO/D/MO/PC COMP/C/107407/183/02/2025</t>
  </si>
  <si>
    <t>ASIM SADIQ SHEIKH</t>
  </si>
  <si>
    <t>TOYOTA VITZ</t>
  </si>
  <si>
    <t>ACB-147</t>
  </si>
  <si>
    <t>18178431KR</t>
  </si>
  <si>
    <t>2203349</t>
  </si>
  <si>
    <t>29172</t>
  </si>
  <si>
    <t>46725/1</t>
  </si>
  <si>
    <t>KHI/HO/D/MO/PC COMP/C/107407/185/02/2025</t>
  </si>
  <si>
    <t>LEB-17-6947</t>
  </si>
  <si>
    <t>L13Z17457633</t>
  </si>
  <si>
    <t>NFBGM1651HR200222</t>
  </si>
  <si>
    <t>523482</t>
  </si>
  <si>
    <t>46735/1</t>
  </si>
  <si>
    <t>KHI/HO/D/MO/PC COMP/C/107407/187/02/2025</t>
  </si>
  <si>
    <t>MOHSIN  SHAHZAD</t>
  </si>
  <si>
    <t>LEE-18-9482</t>
  </si>
  <si>
    <t>121973</t>
  </si>
  <si>
    <t>10021913</t>
  </si>
  <si>
    <t>508098</t>
  </si>
  <si>
    <t>46760/1</t>
  </si>
  <si>
    <t>KHI/HO/D/MO/PC COMP/C/107407/188/02/2025</t>
  </si>
  <si>
    <t>MUSTANSAR  WASEEM ABID</t>
  </si>
  <si>
    <t>ATJ-277</t>
  </si>
  <si>
    <t>156483</t>
  </si>
  <si>
    <t>1056473</t>
  </si>
  <si>
    <t>524380</t>
  </si>
  <si>
    <t>46761/1</t>
  </si>
  <si>
    <t>KHI/HO/D/MO/PC COMP/C/107407/189/02/2025</t>
  </si>
  <si>
    <t>SABAZ ALI KHAN</t>
  </si>
  <si>
    <t>ATC-640</t>
  </si>
  <si>
    <t>13049930</t>
  </si>
  <si>
    <t>10049943</t>
  </si>
  <si>
    <t>523641</t>
  </si>
  <si>
    <t>69837/1</t>
  </si>
  <si>
    <t>KHI/HO/D/MO/PC COMP/C/107407/19/02/2025</t>
  </si>
  <si>
    <t>AHMED  HASSAN</t>
  </si>
  <si>
    <t>AFH-735</t>
  </si>
  <si>
    <t>12922861</t>
  </si>
  <si>
    <t>HR026248</t>
  </si>
  <si>
    <t>637246</t>
  </si>
  <si>
    <t>46763/1</t>
  </si>
  <si>
    <t>KHI/HO/D/MO/PC COMP/C/107407/190/02/2025</t>
  </si>
  <si>
    <t>MUHAMMAD ASIF MUNIR</t>
  </si>
  <si>
    <t>ATA-756</t>
  </si>
  <si>
    <t>156431</t>
  </si>
  <si>
    <t>1056402</t>
  </si>
  <si>
    <t>524378</t>
  </si>
  <si>
    <t>46320/1</t>
  </si>
  <si>
    <t>KHI/HO/D/MO/PC COMP/C/107407/192/02/2025</t>
  </si>
  <si>
    <t>ABDUR  REHMAN</t>
  </si>
  <si>
    <t>ASX-873</t>
  </si>
  <si>
    <t>154591</t>
  </si>
  <si>
    <t>1054441</t>
  </si>
  <si>
    <t>521056</t>
  </si>
  <si>
    <t>45217/1</t>
  </si>
  <si>
    <t>KHI/HO/D/MO/PC COMP/C/107407/193/02/2025</t>
  </si>
  <si>
    <t xml:space="preserve"> MUJAHID  MEHMOOD SHAHZAD</t>
  </si>
  <si>
    <t>ABW-927</t>
  </si>
  <si>
    <t>153550</t>
  </si>
  <si>
    <t>1053466</t>
  </si>
  <si>
    <t>513217</t>
  </si>
  <si>
    <t>40604/1</t>
  </si>
  <si>
    <t>KHI/HO/D/MO/PC COMP/C/107407/194/02/2025</t>
  </si>
  <si>
    <t>GHULAM  MUSTAFA</t>
  </si>
  <si>
    <t>LEA-20-7658</t>
  </si>
  <si>
    <t>Z575130</t>
  </si>
  <si>
    <t>4200669</t>
  </si>
  <si>
    <t>392631</t>
  </si>
  <si>
    <t>40735/1</t>
  </si>
  <si>
    <t>KHI/HO/D/MO/PC COMP/C/107407/196/02/2025</t>
  </si>
  <si>
    <t>MOAZZAM  ZAIB</t>
  </si>
  <si>
    <t>LEA-20-9678</t>
  </si>
  <si>
    <t>202028</t>
  </si>
  <si>
    <t>10102016</t>
  </si>
  <si>
    <t>483957</t>
  </si>
  <si>
    <t>40757/1</t>
  </si>
  <si>
    <t>KHI/HO/D/MO/PC COMP/C/107407/197/02/2025</t>
  </si>
  <si>
    <t>MUHAMMAD   HAROON</t>
  </si>
  <si>
    <t>DAIHATSU MIRA EIS</t>
  </si>
  <si>
    <t>AGU-760</t>
  </si>
  <si>
    <t>G933517</t>
  </si>
  <si>
    <t>1351046</t>
  </si>
  <si>
    <t>0414</t>
  </si>
  <si>
    <t>466228</t>
  </si>
  <si>
    <t>40477/1</t>
  </si>
  <si>
    <t>KHI/HO/D/MO/PC COMP/C/107407/199/02/2025</t>
  </si>
  <si>
    <t>UMAIR SAJID</t>
  </si>
  <si>
    <t>TOYOTA COROLLA GLI</t>
  </si>
  <si>
    <t>LEE-20-175</t>
  </si>
  <si>
    <t>Z576059</t>
  </si>
  <si>
    <t>4201938</t>
  </si>
  <si>
    <t>474414</t>
  </si>
  <si>
    <t>70060/1</t>
  </si>
  <si>
    <t>KHI/HO/D/MO/PC COMP/C/107407/2/02/2025</t>
  </si>
  <si>
    <t>MUHAMMAD  WALEED</t>
  </si>
  <si>
    <t>ARD-634</t>
  </si>
  <si>
    <t>297289</t>
  </si>
  <si>
    <t>1197300</t>
  </si>
  <si>
    <t>574195</t>
  </si>
  <si>
    <t>70266/1</t>
  </si>
  <si>
    <t>KHI/HO/D/MO/PC COMP/C/107407/20/02/2025</t>
  </si>
  <si>
    <t>SHABBIR   RAFIQUE</t>
  </si>
  <si>
    <t>LE-20-7633</t>
  </si>
  <si>
    <t>R122219</t>
  </si>
  <si>
    <t>1022230</t>
  </si>
  <si>
    <t>638839</t>
  </si>
  <si>
    <t>35822/4</t>
  </si>
  <si>
    <t>KHI/HO/D/MO/PC COMP/C/107407/200/02/2025</t>
  </si>
  <si>
    <t>MUHAMMAD QURBAN SAQIB</t>
  </si>
  <si>
    <t>LEC-19-5993</t>
  </si>
  <si>
    <t>7527493</t>
  </si>
  <si>
    <t>KR245283</t>
  </si>
  <si>
    <t>437226</t>
  </si>
  <si>
    <t>35842/1</t>
  </si>
  <si>
    <t>KHI/HO/D/MO/PC COMP/C/107407/201/02/2025</t>
  </si>
  <si>
    <t>FAISAL   BHATTI</t>
  </si>
  <si>
    <t>SUZUKI BOLAN STV VX EURO</t>
  </si>
  <si>
    <t>LED-19-1681</t>
  </si>
  <si>
    <t>993971</t>
  </si>
  <si>
    <t>01110488</t>
  </si>
  <si>
    <t>435199</t>
  </si>
  <si>
    <t>55174/1</t>
  </si>
  <si>
    <t>KHI/HO/D/MO/PC COMP/C/107407/202/02/2025</t>
  </si>
  <si>
    <t>MUHAMMAD KHALID KHAN</t>
  </si>
  <si>
    <t>BQP-341</t>
  </si>
  <si>
    <t>59197</t>
  </si>
  <si>
    <t>6036603</t>
  </si>
  <si>
    <t>413565</t>
  </si>
  <si>
    <t>70487/1</t>
  </si>
  <si>
    <t>KHI/HO/D/MO/PC COMP/C/107407/21/02/2025</t>
  </si>
  <si>
    <t>AHMAD ALI SHOUKAT</t>
  </si>
  <si>
    <t>HONDA Civic CVT Oriel NAV</t>
  </si>
  <si>
    <t>LE-18A-8619</t>
  </si>
  <si>
    <t>Z12938970</t>
  </si>
  <si>
    <t>R042511</t>
  </si>
  <si>
    <t>639936</t>
  </si>
  <si>
    <t>70736/1</t>
  </si>
  <si>
    <t>KHI/HO/D/MO/PC COMP/C/107407/22/02/2025</t>
  </si>
  <si>
    <t>MUHAMMAD  SHEHROZ</t>
  </si>
  <si>
    <t>SUZUKI CULTUS AGS</t>
  </si>
  <si>
    <t>AAH-026</t>
  </si>
  <si>
    <t>PK10K161367</t>
  </si>
  <si>
    <t>10061355</t>
  </si>
  <si>
    <t>412889</t>
  </si>
  <si>
    <t>70786/1</t>
  </si>
  <si>
    <t>KHI/HO/D/MO/PC COMP/C/107407/24/02/2025</t>
  </si>
  <si>
    <t>ABDUL  WAHEED</t>
  </si>
  <si>
    <t>BH-9397</t>
  </si>
  <si>
    <t>14803503</t>
  </si>
  <si>
    <t>R020205</t>
  </si>
  <si>
    <t>509356</t>
  </si>
  <si>
    <t>69847/1</t>
  </si>
  <si>
    <t>KHI/HO/D/MO/PC COMP/C/107407/26/02/2025</t>
  </si>
  <si>
    <t>SYED TAHIR MEHMOOD  SHAH</t>
  </si>
  <si>
    <t>LEB-17A-2255</t>
  </si>
  <si>
    <t>Q040473</t>
  </si>
  <si>
    <t>R6017957</t>
  </si>
  <si>
    <t>637259</t>
  </si>
  <si>
    <t>70730/1</t>
  </si>
  <si>
    <t>KHI/HO/D/MO/PC COMP/C/107407/27/02/2025</t>
  </si>
  <si>
    <t>MUHAMMAD MATEEN GHANI</t>
  </si>
  <si>
    <t>MNC-15-829</t>
  </si>
  <si>
    <t>PK10B106651</t>
  </si>
  <si>
    <t>PK10006680</t>
  </si>
  <si>
    <t>638178</t>
  </si>
  <si>
    <t>70749/1</t>
  </si>
  <si>
    <t>KHI/HO/D/MO/PC COMP/C/107407/28/02/2025</t>
  </si>
  <si>
    <t>AQEEL AHMED ABBASI</t>
  </si>
  <si>
    <t>AMV-702</t>
  </si>
  <si>
    <t>K139971</t>
  </si>
  <si>
    <t>039978</t>
  </si>
  <si>
    <t>637750</t>
  </si>
  <si>
    <t>70743/1</t>
  </si>
  <si>
    <t>KHI/HO/D/MO/PC COMP/C/107407/29/02/2025</t>
  </si>
  <si>
    <t>MARIAM  FARAH</t>
  </si>
  <si>
    <t>FAW V-2</t>
  </si>
  <si>
    <t>LED-16-5817</t>
  </si>
  <si>
    <t>HE300551</t>
  </si>
  <si>
    <t>LFP72APC7E5B36623</t>
  </si>
  <si>
    <t>638642</t>
  </si>
  <si>
    <t>70282/1</t>
  </si>
  <si>
    <t>KHI/HO/D/MO/PC COMP/C/107407/3/02/2025</t>
  </si>
  <si>
    <t>MUHAMMAD   YASIR</t>
  </si>
  <si>
    <t>APQ-985</t>
  </si>
  <si>
    <t>Q365915</t>
  </si>
  <si>
    <t>R-7065206</t>
  </si>
  <si>
    <t>435524</t>
  </si>
  <si>
    <t>70758/1</t>
  </si>
  <si>
    <t>KHI/HO/D/MO/PC COMP/C/107407/30/02/2025</t>
  </si>
  <si>
    <t>SEHRISH  KHIZAR</t>
  </si>
  <si>
    <t>TOYOTA COROLLA</t>
  </si>
  <si>
    <t>BEN-885</t>
  </si>
  <si>
    <t>3493443</t>
  </si>
  <si>
    <t>4052991</t>
  </si>
  <si>
    <t>633247</t>
  </si>
  <si>
    <t>69967/1</t>
  </si>
  <si>
    <t>KHI/HO/D/MO/PC COMP/C/107407/31/02/2025</t>
  </si>
  <si>
    <t>FURQAN AKHTAR JILANI</t>
  </si>
  <si>
    <t>SUZUKI SWIFT RS DLX</t>
  </si>
  <si>
    <t>BLB-617</t>
  </si>
  <si>
    <t>13038362</t>
  </si>
  <si>
    <t>10038368</t>
  </si>
  <si>
    <t>637609</t>
  </si>
  <si>
    <t>70458/1</t>
  </si>
  <si>
    <t>KHI/HO/D/MO/PC COMP/C/107407/32/02/2025</t>
  </si>
  <si>
    <t>SAJJAD   AHMED</t>
  </si>
  <si>
    <t>ALQ-623</t>
  </si>
  <si>
    <t>R232224</t>
  </si>
  <si>
    <t>H1132221</t>
  </si>
  <si>
    <t>639992</t>
  </si>
  <si>
    <t>70342/1</t>
  </si>
  <si>
    <t>KHI/HO/D/MO/PC COMP/C/107407/33/02/2025</t>
  </si>
  <si>
    <t>MUHAMMAD   FAROOQ</t>
  </si>
  <si>
    <t>LED-17-1283</t>
  </si>
  <si>
    <t>12911144</t>
  </si>
  <si>
    <t>HR014336</t>
  </si>
  <si>
    <t>589248</t>
  </si>
  <si>
    <t>70766/1</t>
  </si>
  <si>
    <t>KHI/HO/D/MO/PC COMP/C/107407/34/02/2025</t>
  </si>
  <si>
    <t>MALIK MUHAMMAD AHSAN SADIQUE</t>
  </si>
  <si>
    <t>LEE-18-6566</t>
  </si>
  <si>
    <t>Z13508646</t>
  </si>
  <si>
    <t>R008655</t>
  </si>
  <si>
    <t>640156</t>
  </si>
  <si>
    <t>70025/1</t>
  </si>
  <si>
    <t>KHI/HO/D/MO/PC COMP/C/107407/35/02/2025</t>
  </si>
  <si>
    <t>TAIMOOR  KHAN</t>
  </si>
  <si>
    <t>LEH-18-6332</t>
  </si>
  <si>
    <t>117944</t>
  </si>
  <si>
    <t>10017914</t>
  </si>
  <si>
    <t>637809</t>
  </si>
  <si>
    <t>70062/1</t>
  </si>
  <si>
    <t>KHI/HO/D/MO/PC COMP/C/107407/36/02/2025</t>
  </si>
  <si>
    <t>MATEEN  AKBAR</t>
  </si>
  <si>
    <t>ABV 720</t>
  </si>
  <si>
    <t>2A18390</t>
  </si>
  <si>
    <t>9502991</t>
  </si>
  <si>
    <t>471815</t>
  </si>
  <si>
    <t>70553/1</t>
  </si>
  <si>
    <t>KHI/HO/D/MO/PC COMP/C/107407/37/02/2025</t>
  </si>
  <si>
    <t>MUHAMMAD TAHIR JAVED</t>
  </si>
  <si>
    <t>ADW-088</t>
  </si>
  <si>
    <t>PK10K171094</t>
  </si>
  <si>
    <t>NF1AVK31H10071023</t>
  </si>
  <si>
    <t>460842</t>
  </si>
  <si>
    <t>70315/1</t>
  </si>
  <si>
    <t>KHI/HO/D/MO/PC COMP/C/107407/38/02/2025</t>
  </si>
  <si>
    <t>TOYOTA COROLLA GLI A/T</t>
  </si>
  <si>
    <t>BPH-610</t>
  </si>
  <si>
    <t>Z547633</t>
  </si>
  <si>
    <t>4173376</t>
  </si>
  <si>
    <t>639084</t>
  </si>
  <si>
    <t>70762/1</t>
  </si>
  <si>
    <t>KHI/HO/D/MO/PC COMP/C/107407/39/02/2025</t>
  </si>
  <si>
    <t>HASNA  ARSHAD</t>
  </si>
  <si>
    <t>AVW-795</t>
  </si>
  <si>
    <t>520103</t>
  </si>
  <si>
    <t>1003682</t>
  </si>
  <si>
    <t>635444</t>
  </si>
  <si>
    <t>69691/1</t>
  </si>
  <si>
    <t>KHI/HO/D/MO/PC COMP/C/107407/4/02/2025</t>
  </si>
  <si>
    <t>SYED ABID  RAZA  RIZVI</t>
  </si>
  <si>
    <t>ARS-464</t>
  </si>
  <si>
    <t>6R298746</t>
  </si>
  <si>
    <t>1198923</t>
  </si>
  <si>
    <t>636842</t>
  </si>
  <si>
    <t>71050/1</t>
  </si>
  <si>
    <t>KHI/HO/D/MO/PC COMP/C/107407/40/02/2025</t>
  </si>
  <si>
    <t>BDK-745</t>
  </si>
  <si>
    <t>295581</t>
  </si>
  <si>
    <t>1195602</t>
  </si>
  <si>
    <t>640278</t>
  </si>
  <si>
    <t>70763/1</t>
  </si>
  <si>
    <t>KHI/HO/D/MO/PC COMP/C/107407/41/02/2025</t>
  </si>
  <si>
    <t>MUHAMMAD ADNAN SIDDIQUE</t>
  </si>
  <si>
    <t>AAY-484</t>
  </si>
  <si>
    <t>2A08021</t>
  </si>
  <si>
    <t>R9503428</t>
  </si>
  <si>
    <t>582033</t>
  </si>
  <si>
    <t>70755/1</t>
  </si>
  <si>
    <t>KHI/HO/D/MO/PC COMP/C/107407/42/02/2025</t>
  </si>
  <si>
    <t>MALIK MUZAFFAR ALI</t>
  </si>
  <si>
    <t>LEB-19-7979</t>
  </si>
  <si>
    <t>Z545431</t>
  </si>
  <si>
    <t>R4171631</t>
  </si>
  <si>
    <t>392447</t>
  </si>
  <si>
    <t>70290/1</t>
  </si>
  <si>
    <t>KHI/HO/D/MO/PC COMP/C/107407/43/02/2025</t>
  </si>
  <si>
    <t>GHULAM  SABIR</t>
  </si>
  <si>
    <t>AMA-804</t>
  </si>
  <si>
    <t>R250782</t>
  </si>
  <si>
    <t>H1150770</t>
  </si>
  <si>
    <t>12018</t>
  </si>
  <si>
    <t>70531/1</t>
  </si>
  <si>
    <t>KHI/HO/D/MO/PC COMP/C/107407/44/02/2025</t>
  </si>
  <si>
    <t>DAUD BIN IMRAN  BALOCH</t>
  </si>
  <si>
    <t>AEW-647</t>
  </si>
  <si>
    <t>R179580</t>
  </si>
  <si>
    <t>1079653</t>
  </si>
  <si>
    <t>603826</t>
  </si>
  <si>
    <t>70596/1</t>
  </si>
  <si>
    <t>KHI/HO/D/MO/PC COMP/C/107407/45/02/2025</t>
  </si>
  <si>
    <t>KHALID  AHMED</t>
  </si>
  <si>
    <t>BJ-0231</t>
  </si>
  <si>
    <t>4802326</t>
  </si>
  <si>
    <t>19009</t>
  </si>
  <si>
    <t>582181</t>
  </si>
  <si>
    <t>70244/1</t>
  </si>
  <si>
    <t>KHI/HO/D/MO/PC COMP/C/107407/48/02/2025</t>
  </si>
  <si>
    <t>AWAIS  ISHTIAQ</t>
  </si>
  <si>
    <t>LEC-17-856</t>
  </si>
  <si>
    <t>R18Z12906534</t>
  </si>
  <si>
    <t>NFBFC66534HR009364</t>
  </si>
  <si>
    <t>639419</t>
  </si>
  <si>
    <t>70080/1</t>
  </si>
  <si>
    <t>KHI/HO/D/MO/PC COMP/C/107407/49/02/2025</t>
  </si>
  <si>
    <t>ASHFAQ  AHMAD</t>
  </si>
  <si>
    <t>ARA-874</t>
  </si>
  <si>
    <t>6R296952</t>
  </si>
  <si>
    <t>6H1196967</t>
  </si>
  <si>
    <t>599444</t>
  </si>
  <si>
    <t>69725/1</t>
  </si>
  <si>
    <t>KHI/HO/D/MO/PC COMP/C/107407/5/02/2025</t>
  </si>
  <si>
    <t>OMER FAROOQ KANJU</t>
  </si>
  <si>
    <t>CHANGAN OSHAN X7 FUTURE S</t>
  </si>
  <si>
    <t>AQW-337</t>
  </si>
  <si>
    <t>544358</t>
  </si>
  <si>
    <t>1004624</t>
  </si>
  <si>
    <t>638034</t>
  </si>
  <si>
    <t>53552/1</t>
  </si>
  <si>
    <t>KHI/HO/D/MO/PC COMP/C/107407/51/02/2025</t>
  </si>
  <si>
    <t>MUHAMMAD JEHANGIR KHAN</t>
  </si>
  <si>
    <t>PROTON PROTON X70 FWD Pre</t>
  </si>
  <si>
    <t>AND-795</t>
  </si>
  <si>
    <t>3G15TDN3WA3109965</t>
  </si>
  <si>
    <t>NKPNL2ERPP001041</t>
  </si>
  <si>
    <t>0567</t>
  </si>
  <si>
    <t>416356</t>
  </si>
  <si>
    <t>62669/1</t>
  </si>
  <si>
    <t>KHI/HO/D/MO/PC COMP/C/107407/52/02/2025</t>
  </si>
  <si>
    <t>MUHAMMAD SAUD AKBAR</t>
  </si>
  <si>
    <t>APH-111</t>
  </si>
  <si>
    <t>Q339805</t>
  </si>
  <si>
    <t>R7038969</t>
  </si>
  <si>
    <t>567370</t>
  </si>
  <si>
    <t>62677/2</t>
  </si>
  <si>
    <t>KHI/HO/D/MO/PC COMP/C/107407/53/02/2025</t>
  </si>
  <si>
    <t>SAKHAWAT   LATIF</t>
  </si>
  <si>
    <t>LEE-18-8904</t>
  </si>
  <si>
    <t>K121508</t>
  </si>
  <si>
    <t>H10021462</t>
  </si>
  <si>
    <t>568365</t>
  </si>
  <si>
    <t>62658/1</t>
  </si>
  <si>
    <t>KHI/HO/D/MO/PC COMP/C/107407/54/02/2025</t>
  </si>
  <si>
    <t>RAO  ZOHAIR  HUSSAIN</t>
  </si>
  <si>
    <t>BRT130</t>
  </si>
  <si>
    <t>6R125324</t>
  </si>
  <si>
    <t>1025347</t>
  </si>
  <si>
    <t>594525</t>
  </si>
  <si>
    <t>62679/2</t>
  </si>
  <si>
    <t>KHI/HO/D/MO/PC COMP/C/107407/55/02/2025</t>
  </si>
  <si>
    <t>ABDUL   SAMAD</t>
  </si>
  <si>
    <t>BRC-561</t>
  </si>
  <si>
    <t>132184</t>
  </si>
  <si>
    <t>700118</t>
  </si>
  <si>
    <t>587819</t>
  </si>
  <si>
    <t>62743/1</t>
  </si>
  <si>
    <t>KHI/HO/D/MO/PC COMP/C/107407/56/02/2025</t>
  </si>
  <si>
    <t>ACY-896</t>
  </si>
  <si>
    <t>128877</t>
  </si>
  <si>
    <t>1028867</t>
  </si>
  <si>
    <t>595118</t>
  </si>
  <si>
    <t>62782/1</t>
  </si>
  <si>
    <t>KHI/HO/D/MO/PC COMP/C/107407/57/02/2025</t>
  </si>
  <si>
    <t>FAROOQ  USMAN</t>
  </si>
  <si>
    <t>HONDA CIVIC 1.8 I-VTEC VT</t>
  </si>
  <si>
    <t>AHB-18</t>
  </si>
  <si>
    <t>12925496</t>
  </si>
  <si>
    <t>2887</t>
  </si>
  <si>
    <t>598485</t>
  </si>
  <si>
    <t>62805/1</t>
  </si>
  <si>
    <t>KHI/HO/D/MO/PC COMP/C/107407/58/02/2025</t>
  </si>
  <si>
    <t>NAZMA   YASMIN</t>
  </si>
  <si>
    <t>AUJ-831</t>
  </si>
  <si>
    <t>191596</t>
  </si>
  <si>
    <t>1091571</t>
  </si>
  <si>
    <t>584185</t>
  </si>
  <si>
    <t>62808/1</t>
  </si>
  <si>
    <t>KHI/HO/D/MO/PC COMP/C/107407/59/02/2025</t>
  </si>
  <si>
    <t>MUHAMMAD BILAL  BASHIR</t>
  </si>
  <si>
    <t>ALK-866</t>
  </si>
  <si>
    <t>L15A-79793492</t>
  </si>
  <si>
    <t>NFBGM2665JR239237</t>
  </si>
  <si>
    <t>597653</t>
  </si>
  <si>
    <t>69818/1</t>
  </si>
  <si>
    <t>KHI/HO/D/MO/PC COMP/C/107407/6/02/2025</t>
  </si>
  <si>
    <t>HAFIZ MUHAMMAD ARSLAN MAQSOOD</t>
  </si>
  <si>
    <t>APV-568</t>
  </si>
  <si>
    <t>150899</t>
  </si>
  <si>
    <t>10050858</t>
  </si>
  <si>
    <t>637333</t>
  </si>
  <si>
    <t>62247/1</t>
  </si>
  <si>
    <t>KHI/HO/D/MO/PC COMP/C/107407/60/02/2025</t>
  </si>
  <si>
    <t>KHALID   NAWAZ</t>
  </si>
  <si>
    <t>ANG-160</t>
  </si>
  <si>
    <t>G4NANH305301</t>
  </si>
  <si>
    <t>311734</t>
  </si>
  <si>
    <t>596260</t>
  </si>
  <si>
    <t>62806/1</t>
  </si>
  <si>
    <t>KHI/HO/D/MO/PC COMP/C/107407/61/02/2025</t>
  </si>
  <si>
    <t>FAISAL   SALEEM</t>
  </si>
  <si>
    <t>ACX 080</t>
  </si>
  <si>
    <t>K171394</t>
  </si>
  <si>
    <t>H10071406</t>
  </si>
  <si>
    <t>599903</t>
  </si>
  <si>
    <t>62771/1</t>
  </si>
  <si>
    <t>KHI/HO/D/MO/PC COMP/C/107407/62/02/2025</t>
  </si>
  <si>
    <t>BWG-968</t>
  </si>
  <si>
    <t>R-159690</t>
  </si>
  <si>
    <t>1059721</t>
  </si>
  <si>
    <t>273185</t>
  </si>
  <si>
    <t>62852/1</t>
  </si>
  <si>
    <t>KHI/HO/D/MO/PC COMP/C/107407/63/02/2025</t>
  </si>
  <si>
    <t>ASIF   FAIZ</t>
  </si>
  <si>
    <t>ANG-429</t>
  </si>
  <si>
    <t>231635</t>
  </si>
  <si>
    <t>1013165</t>
  </si>
  <si>
    <t>597092</t>
  </si>
  <si>
    <t>62819/1</t>
  </si>
  <si>
    <t>KHI/HO/D/MO/PC COMP/C/107407/64/02/2025</t>
  </si>
  <si>
    <t>MUHAMMAD ADEEL SIDDIQUI</t>
  </si>
  <si>
    <t>BPU-137</t>
  </si>
  <si>
    <t>9794821</t>
  </si>
  <si>
    <t>KR246870</t>
  </si>
  <si>
    <t>598827</t>
  </si>
  <si>
    <t>62857/1</t>
  </si>
  <si>
    <t>KHI/HO/D/MO/PC COMP/C/107407/65/02/2025</t>
  </si>
  <si>
    <t>SHAIR AFGAN SUNGLA</t>
  </si>
  <si>
    <t>AEB-875</t>
  </si>
  <si>
    <t>103592</t>
  </si>
  <si>
    <t>10003564</t>
  </si>
  <si>
    <t>34647</t>
  </si>
  <si>
    <t>62856/1</t>
  </si>
  <si>
    <t>KHI/HO/D/MO/PC COMP/C/107407/66/02/2025</t>
  </si>
  <si>
    <t>SAAD  ANWAR</t>
  </si>
  <si>
    <t>BLG-719</t>
  </si>
  <si>
    <t>510048</t>
  </si>
  <si>
    <t>4135896</t>
  </si>
  <si>
    <t>325806</t>
  </si>
  <si>
    <t>62896/1</t>
  </si>
  <si>
    <t>KHI/HO/D/MO/PC COMP/C/107407/67/02/2025</t>
  </si>
  <si>
    <t>ABDUL  RAHMAN</t>
  </si>
  <si>
    <t>APE-379</t>
  </si>
  <si>
    <t>L15ZG1001797</t>
  </si>
  <si>
    <t>NFBRVV3851PR001801</t>
  </si>
  <si>
    <t>601437</t>
  </si>
  <si>
    <t>62889/1</t>
  </si>
  <si>
    <t>KHI/HO/D/MO/PC COMP/C/107407/68/02/2025</t>
  </si>
  <si>
    <t>SOHAIL  ILYAS</t>
  </si>
  <si>
    <t>AKG-852</t>
  </si>
  <si>
    <t>125922</t>
  </si>
  <si>
    <t>10025899</t>
  </si>
  <si>
    <t>549391</t>
  </si>
  <si>
    <t>62934/1</t>
  </si>
  <si>
    <t>KHI/HO/D/MO/PC COMP/C/107407/69/02/2025</t>
  </si>
  <si>
    <t>QAISER  ABBAS</t>
  </si>
  <si>
    <t>LE-19-5822</t>
  </si>
  <si>
    <t>Z17522216</t>
  </si>
  <si>
    <t>R238868</t>
  </si>
  <si>
    <t>600560</t>
  </si>
  <si>
    <t>69527/1</t>
  </si>
  <si>
    <t>KHI/HO/D/MO/PC COMP/C/107407/7/02/2025</t>
  </si>
  <si>
    <t>GHULAM  DASTAGIR</t>
  </si>
  <si>
    <t>ARP-337</t>
  </si>
  <si>
    <t>G3LAPP171847</t>
  </si>
  <si>
    <t>NNATA52AZPP713057</t>
  </si>
  <si>
    <t>635945</t>
  </si>
  <si>
    <t>62929/1</t>
  </si>
  <si>
    <t>KHI/HO/D/MO/PC COMP/C/107407/70/02/2025</t>
  </si>
  <si>
    <t>MUHAMMAD  JUNAID</t>
  </si>
  <si>
    <t>ACC-603</t>
  </si>
  <si>
    <t>K168554</t>
  </si>
  <si>
    <t>H10068542</t>
  </si>
  <si>
    <t>600648</t>
  </si>
  <si>
    <t>62589/1</t>
  </si>
  <si>
    <t>KHI/HO/D/MO/PC COMP/C/107407/71/02/2025</t>
  </si>
  <si>
    <t>MUHAMMAD  ZUHAIB  AKRAM</t>
  </si>
  <si>
    <t>LEA-6977</t>
  </si>
  <si>
    <t>193761</t>
  </si>
  <si>
    <t>10093811</t>
  </si>
  <si>
    <t>596018</t>
  </si>
  <si>
    <t>62927/1</t>
  </si>
  <si>
    <t>KHI/HO/D/MO/PC COMP/C/107407/72/02/2025</t>
  </si>
  <si>
    <t>MUHAMMAD  IJAZ</t>
  </si>
  <si>
    <t>AKW-903</t>
  </si>
  <si>
    <t>PK10B235941</t>
  </si>
  <si>
    <t>A1J310PK10135965</t>
  </si>
  <si>
    <t>600148</t>
  </si>
  <si>
    <t>62947/1</t>
  </si>
  <si>
    <t>KHI/HO/D/MO/PC COMP/C/107407/73/02/2025</t>
  </si>
  <si>
    <t>SALMAN  RASHEED</t>
  </si>
  <si>
    <t>LEA-16A-1930</t>
  </si>
  <si>
    <t>664476</t>
  </si>
  <si>
    <t>1202941</t>
  </si>
  <si>
    <t>599261</t>
  </si>
  <si>
    <t>62961/1</t>
  </si>
  <si>
    <t>KHI/HO/D/MO/PC COMP/C/107407/74/02/2025</t>
  </si>
  <si>
    <t>NAUSHEEN  IMRAN</t>
  </si>
  <si>
    <t>TOYOTA PASSO A/T</t>
  </si>
  <si>
    <t>ACH 983</t>
  </si>
  <si>
    <t>390312</t>
  </si>
  <si>
    <t>146249</t>
  </si>
  <si>
    <t>587688</t>
  </si>
  <si>
    <t>62965/1</t>
  </si>
  <si>
    <t>KHI/HO/D/MO/PC COMP/C/107407/75/02/2025</t>
  </si>
  <si>
    <t>MUHAMMAD  BASHIR</t>
  </si>
  <si>
    <t>AUV-238</t>
  </si>
  <si>
    <t>218485</t>
  </si>
  <si>
    <t>10118484</t>
  </si>
  <si>
    <t>600241</t>
  </si>
  <si>
    <t>62955/1</t>
  </si>
  <si>
    <t>KHI/HO/D/MO/PC COMP/C/107407/76/02/2025</t>
  </si>
  <si>
    <t>MUHAMMAD USMAN  KALEEM</t>
  </si>
  <si>
    <t>ANK-690</t>
  </si>
  <si>
    <t>171619</t>
  </si>
  <si>
    <t>10071601</t>
  </si>
  <si>
    <t>546219</t>
  </si>
  <si>
    <t>62952/1</t>
  </si>
  <si>
    <t>KHI/HO/D/MO/PC COMP/C/107407/77/02/2025</t>
  </si>
  <si>
    <t>MUHAMMAD   TANVEER</t>
  </si>
  <si>
    <t>LE-19A-274</t>
  </si>
  <si>
    <t>6R114144</t>
  </si>
  <si>
    <t>1008696</t>
  </si>
  <si>
    <t>578672</t>
  </si>
  <si>
    <t>62944/1</t>
  </si>
  <si>
    <t>KHI/HO/D/MO/PC COMP/C/107407/78/02/2025</t>
  </si>
  <si>
    <t>MUHAMMAD  SHAHBAZ</t>
  </si>
  <si>
    <t>LEC-18A-8405</t>
  </si>
  <si>
    <t>175438</t>
  </si>
  <si>
    <t>10075440</t>
  </si>
  <si>
    <t>599472</t>
  </si>
  <si>
    <t>62950/1</t>
  </si>
  <si>
    <t>KHI/HO/D/MO/PC COMP/C/107407/79/02/2025</t>
  </si>
  <si>
    <t>WARIS   ALI</t>
  </si>
  <si>
    <t>LE-17A-3652</t>
  </si>
  <si>
    <t>B1388127</t>
  </si>
  <si>
    <t>PK10037884</t>
  </si>
  <si>
    <t>392401</t>
  </si>
  <si>
    <t>70574/1</t>
  </si>
  <si>
    <t>KHI/HO/D/MO/PC COMP/C/107407/8/02/2025</t>
  </si>
  <si>
    <t>MUHAMMAD USMAN SIDDIQUE</t>
  </si>
  <si>
    <t>ABD-736</t>
  </si>
  <si>
    <t>A-14393</t>
  </si>
  <si>
    <t>R-7008461</t>
  </si>
  <si>
    <t>636466</t>
  </si>
  <si>
    <t>62567/1</t>
  </si>
  <si>
    <t>KHI/HO/D/MO/PC COMP/C/107407/80/02/2025</t>
  </si>
  <si>
    <t>MUBASHAR   IQBAL</t>
  </si>
  <si>
    <t>ABF-726</t>
  </si>
  <si>
    <t>K165900</t>
  </si>
  <si>
    <t>H10065939</t>
  </si>
  <si>
    <t>596142</t>
  </si>
  <si>
    <t>62592/1</t>
  </si>
  <si>
    <t>KHI/HO/D/MO/PC COMP/C/107407/81/02/2025</t>
  </si>
  <si>
    <t>SADIA   NASIR</t>
  </si>
  <si>
    <t>AAE-828</t>
  </si>
  <si>
    <t>2A05992</t>
  </si>
  <si>
    <t>NSP151R-9502765</t>
  </si>
  <si>
    <t>595421</t>
  </si>
  <si>
    <t>62664/1</t>
  </si>
  <si>
    <t>KHI/HO/D/MO/PC COMP/C/107407/82/02/2025</t>
  </si>
  <si>
    <t>SHAHBAZ  AHMAD</t>
  </si>
  <si>
    <t>ANS-957</t>
  </si>
  <si>
    <t>G3LANP121178</t>
  </si>
  <si>
    <t>NNATA52AZKP711622</t>
  </si>
  <si>
    <t>581906</t>
  </si>
  <si>
    <t>62690/1</t>
  </si>
  <si>
    <t>KHI/HO/D/MO/PC COMP/C/107407/83/02/2025</t>
  </si>
  <si>
    <t>SUHAIL  AHMED</t>
  </si>
  <si>
    <t>BRJ -165</t>
  </si>
  <si>
    <t>148121</t>
  </si>
  <si>
    <t>700401</t>
  </si>
  <si>
    <t>0110</t>
  </si>
  <si>
    <t>597245</t>
  </si>
  <si>
    <t>54459/1</t>
  </si>
  <si>
    <t>KHI/HO/D/MO/PC COMP/C/107407/84/02/2025</t>
  </si>
  <si>
    <t>MUHAMMAD  IKRAM</t>
  </si>
  <si>
    <t>AHG-297</t>
  </si>
  <si>
    <t>228703</t>
  </si>
  <si>
    <t>10128712</t>
  </si>
  <si>
    <t>562385</t>
  </si>
  <si>
    <t>54639/1</t>
  </si>
  <si>
    <t>KHI/HO/D/MO/PC COMP/C/107407/85/02/2025</t>
  </si>
  <si>
    <t>NASEEM  AHMAD</t>
  </si>
  <si>
    <t>LEB-18-8486</t>
  </si>
  <si>
    <t>B153883</t>
  </si>
  <si>
    <t>K10053861</t>
  </si>
  <si>
    <t>567337</t>
  </si>
  <si>
    <t>50411/1</t>
  </si>
  <si>
    <t>KHI/HO/D/MO/PC COMP/C/107407/86/02/2025</t>
  </si>
  <si>
    <t>MUHAMMAD  NAVEED SHAHZAD</t>
  </si>
  <si>
    <t>LHC-22-439</t>
  </si>
  <si>
    <t>6R209249</t>
  </si>
  <si>
    <t>1109299</t>
  </si>
  <si>
    <t>537751</t>
  </si>
  <si>
    <t>54225/1</t>
  </si>
  <si>
    <t>KHI/HO/D/MO/PC COMP/C/107407/87/02/2025</t>
  </si>
  <si>
    <t>AJB-286</t>
  </si>
  <si>
    <t>6R212090</t>
  </si>
  <si>
    <t>H1111931</t>
  </si>
  <si>
    <t>560211</t>
  </si>
  <si>
    <t>54671/2</t>
  </si>
  <si>
    <t>KHI/HO/D/MO/PC COMP/C/107407/88/02/2025</t>
  </si>
  <si>
    <t>MUHAMMAD  SHAFI</t>
  </si>
  <si>
    <t>AGU-122</t>
  </si>
  <si>
    <t>180361</t>
  </si>
  <si>
    <t>707949</t>
  </si>
  <si>
    <t>401523</t>
  </si>
  <si>
    <t>53947/1</t>
  </si>
  <si>
    <t>KHI/HO/D/MO/PC COMP/C/107407/89/02/2025</t>
  </si>
  <si>
    <t>IFTIKHAR  KHAN</t>
  </si>
  <si>
    <t>AHK-383</t>
  </si>
  <si>
    <t>14808167</t>
  </si>
  <si>
    <t>NR024862</t>
  </si>
  <si>
    <t>561543</t>
  </si>
  <si>
    <t>70118/1</t>
  </si>
  <si>
    <t>KHI/HO/D/MO/PC COMP/C/107407/9/02/2025</t>
  </si>
  <si>
    <t>SAFDAR ALI ARRAR</t>
  </si>
  <si>
    <t>AQZ-517</t>
  </si>
  <si>
    <t>298745</t>
  </si>
  <si>
    <t>1198784</t>
  </si>
  <si>
    <t>638232</t>
  </si>
  <si>
    <t>54722/1</t>
  </si>
  <si>
    <t>KHI/HO/D/MO/PC COMP/C/107407/90/02/2025</t>
  </si>
  <si>
    <t>SIDRA  IQBAL</t>
  </si>
  <si>
    <t>HONDA CITY 1.2 LS MT</t>
  </si>
  <si>
    <t>LED-18-2498</t>
  </si>
  <si>
    <t>17510006</t>
  </si>
  <si>
    <t>JR222816</t>
  </si>
  <si>
    <t>157036</t>
  </si>
  <si>
    <t>54777/1</t>
  </si>
  <si>
    <t>KHI/HO/D/MO/PC COMP/C/107407/91/02/2025</t>
  </si>
  <si>
    <t>SHAHZAD  ALI</t>
  </si>
  <si>
    <t>BUT-142</t>
  </si>
  <si>
    <t>146378</t>
  </si>
  <si>
    <t>1046366</t>
  </si>
  <si>
    <t>564260</t>
  </si>
  <si>
    <t>54743/2</t>
  </si>
  <si>
    <t>KHI/HO/D/MO/PC COMP/C/107407/92/02/2025</t>
  </si>
  <si>
    <t>ASAD ULLAH  SALEEM</t>
  </si>
  <si>
    <t>LEC-18A-3676</t>
  </si>
  <si>
    <t>Z17518230</t>
  </si>
  <si>
    <t>233492</t>
  </si>
  <si>
    <t>554815</t>
  </si>
  <si>
    <t>54858/1</t>
  </si>
  <si>
    <t>KHI/HO/D/MO/PC COMP/C/107407/93/02/2025</t>
  </si>
  <si>
    <t>HASSAM  KHAN</t>
  </si>
  <si>
    <t>BQS-701</t>
  </si>
  <si>
    <t>110730</t>
  </si>
  <si>
    <t>1010722</t>
  </si>
  <si>
    <t>562763</t>
  </si>
  <si>
    <t>51050/1</t>
  </si>
  <si>
    <t>KHI/HO/D/MO/PC COMP/C/107407/94/02/2025</t>
  </si>
  <si>
    <t>MUAHMMAD IBRAR ABBASI</t>
  </si>
  <si>
    <t>AHS-594</t>
  </si>
  <si>
    <t>210216</t>
  </si>
  <si>
    <t>1110005</t>
  </si>
  <si>
    <t>549018</t>
  </si>
  <si>
    <t>55002/1</t>
  </si>
  <si>
    <t>KHI/HO/D/MO/PC COMP/C/107407/95/02/2025</t>
  </si>
  <si>
    <t>SYED TAHIR HUSSAIN SHAH</t>
  </si>
  <si>
    <t>AKD-047</t>
  </si>
  <si>
    <t>229762</t>
  </si>
  <si>
    <t>10129760</t>
  </si>
  <si>
    <t>539755</t>
  </si>
  <si>
    <t>54536/1</t>
  </si>
  <si>
    <t>KHI/HO/D/MO/PC COMP/C/107407/96/02/2025</t>
  </si>
  <si>
    <t>BASIT  NAWAZ</t>
  </si>
  <si>
    <t>SUZUKI BOLAN STD</t>
  </si>
  <si>
    <t>AXC-851</t>
  </si>
  <si>
    <t>1020078</t>
  </si>
  <si>
    <t>1136571</t>
  </si>
  <si>
    <t>552477</t>
  </si>
  <si>
    <t>54798/1</t>
  </si>
  <si>
    <t>KHI/HO/D/MO/PC COMP/C/107407/97/02/2025</t>
  </si>
  <si>
    <t>ASHFAQ  LODHI</t>
  </si>
  <si>
    <t>BMT-370</t>
  </si>
  <si>
    <t>12935726</t>
  </si>
  <si>
    <t>039137</t>
  </si>
  <si>
    <t>567538</t>
  </si>
  <si>
    <t>55009/1</t>
  </si>
  <si>
    <t>KHI/HO/D/MO/PC COMP/C/107407/98/02/2025</t>
  </si>
  <si>
    <t>MUHAMMAD  ARSLAN  AWAIS</t>
  </si>
  <si>
    <t>AHX-641</t>
  </si>
  <si>
    <t>L12B51008778</t>
  </si>
  <si>
    <t>NR013882</t>
  </si>
  <si>
    <t>560878</t>
  </si>
  <si>
    <t>54914/1</t>
  </si>
  <si>
    <t>KHI/HO/D/MO/PC COMP/C/107407/99/02/2025</t>
  </si>
  <si>
    <t>MUHAMMAD OMER RASOOL</t>
  </si>
  <si>
    <t>AJA-556</t>
  </si>
  <si>
    <t>165553</t>
  </si>
  <si>
    <t>KP708870</t>
  </si>
  <si>
    <t>567574</t>
  </si>
  <si>
    <t>46597/2</t>
  </si>
  <si>
    <t>KHI/HO/D/MO/CV/C/107453/1/02/2025</t>
  </si>
  <si>
    <t>SAJJAD WASEEM RAJA</t>
  </si>
  <si>
    <t>TB-284</t>
  </si>
  <si>
    <t>367401</t>
  </si>
  <si>
    <t>472407</t>
  </si>
  <si>
    <t>523869</t>
  </si>
  <si>
    <t>54965/1</t>
  </si>
  <si>
    <t>KHI/HO/D/MO/CV/C/107453/2/02/2025</t>
  </si>
  <si>
    <t>MUHAMMAD  SHAHBAZ AHMAD</t>
  </si>
  <si>
    <t>381124</t>
  </si>
  <si>
    <t>485768</t>
  </si>
  <si>
    <t>565081</t>
  </si>
  <si>
    <t>54867/1</t>
  </si>
  <si>
    <t>KHI/HO/D/MO/CV/C/107453/3/02/2025</t>
  </si>
  <si>
    <t>MUHAMMAD WAQAS ALI</t>
  </si>
  <si>
    <t>TD-409</t>
  </si>
  <si>
    <t>381381</t>
  </si>
  <si>
    <t>486038</t>
  </si>
  <si>
    <t>336255</t>
  </si>
  <si>
    <t>55033/1</t>
  </si>
  <si>
    <t>KHI/HO/D/MO/CV/C/107453/4/02/2025</t>
  </si>
  <si>
    <t>MUHAMMAD  HABIB</t>
  </si>
  <si>
    <t>LB-1941</t>
  </si>
  <si>
    <t>377924</t>
  </si>
  <si>
    <t>482592</t>
  </si>
  <si>
    <t>565604</t>
  </si>
  <si>
    <t>54106/1</t>
  </si>
  <si>
    <t>KHI/HO/D/MO/CV/C/107453/5/02/2025</t>
  </si>
  <si>
    <t>HUMAIR AHMED NASIR</t>
  </si>
  <si>
    <t>MASTER FORLAND C-10</t>
  </si>
  <si>
    <t>LB-2169</t>
  </si>
  <si>
    <t>09255767</t>
  </si>
  <si>
    <t>004117</t>
  </si>
  <si>
    <t>560270</t>
  </si>
  <si>
    <t>55121/1</t>
  </si>
  <si>
    <t>KHI/HO/D/MO/CV/C/107453/6/02/2025</t>
  </si>
  <si>
    <t>MUHAMMAD  KAMIL RAZA</t>
  </si>
  <si>
    <t>CAJ-2933</t>
  </si>
  <si>
    <t>381121</t>
  </si>
  <si>
    <t>485766</t>
  </si>
  <si>
    <t>568320</t>
  </si>
  <si>
    <t>45592/1</t>
  </si>
  <si>
    <t>KHI/HO/D/MO/CV/C/107453/7/02/2025</t>
  </si>
  <si>
    <t>SYED GHULAM MUSTAFA SHERAZI</t>
  </si>
  <si>
    <t>TB-176</t>
  </si>
  <si>
    <t>368162</t>
  </si>
  <si>
    <t>472852</t>
  </si>
  <si>
    <t>516597</t>
  </si>
  <si>
    <t>46437/1</t>
  </si>
  <si>
    <t>KHI/HO/D/MO/CV/C/107454/1/02/2025</t>
  </si>
  <si>
    <t>MUHAMMAD  SHAFIQ</t>
  </si>
  <si>
    <t>TB-313</t>
  </si>
  <si>
    <t>367410</t>
  </si>
  <si>
    <t>472075</t>
  </si>
  <si>
    <t>522621</t>
  </si>
  <si>
    <t>44627/1</t>
  </si>
  <si>
    <t>KHI/HO/D/MO/CV/C/107454/2/02/2025</t>
  </si>
  <si>
    <t>SHERAZ  SHARIF</t>
  </si>
  <si>
    <t>TB-106</t>
  </si>
  <si>
    <t>367941</t>
  </si>
  <si>
    <t>472572</t>
  </si>
  <si>
    <t>509125</t>
  </si>
  <si>
    <t>46624/1</t>
  </si>
  <si>
    <t>KHI/HO/D/MO/CV/C/107454/3/02/2025</t>
  </si>
  <si>
    <t>MUZAFAR  KHAN</t>
  </si>
  <si>
    <t>AB-297</t>
  </si>
  <si>
    <t>367394</t>
  </si>
  <si>
    <t>472057</t>
  </si>
  <si>
    <t>521895</t>
  </si>
  <si>
    <t>46842/1</t>
  </si>
  <si>
    <t>KHI/HO/D/MO/CV/C/107454/4/02/2025</t>
  </si>
  <si>
    <t>MUHAMMAD  HASSAN</t>
  </si>
  <si>
    <t>TB-766</t>
  </si>
  <si>
    <t>367684</t>
  </si>
  <si>
    <t>472343</t>
  </si>
  <si>
    <t>520215</t>
  </si>
  <si>
    <t>47379/2</t>
  </si>
  <si>
    <t>KHI/HO/D/MO/PC COMP/C/102208/16/11/2024</t>
  </si>
  <si>
    <t>ABDUL  SALAM</t>
  </si>
  <si>
    <t>503396</t>
  </si>
  <si>
    <t>1010660</t>
  </si>
  <si>
    <t>529803</t>
  </si>
  <si>
    <t>47828/1</t>
  </si>
  <si>
    <t>KHI/HO/D/MO/PC COMP/C/102208/28/11/2024</t>
  </si>
  <si>
    <t>SOHAIL  AKHTAR</t>
  </si>
  <si>
    <t>TOYOTA COROLLA ALTIS  A/T</t>
  </si>
  <si>
    <t>BVB-717</t>
  </si>
  <si>
    <t>Q083847</t>
  </si>
  <si>
    <t>6061338</t>
  </si>
  <si>
    <t>532430</t>
  </si>
  <si>
    <t>52644/1</t>
  </si>
  <si>
    <t>KHI/HO/D/MO/PC COMP/C/105499/162/01/2025</t>
  </si>
  <si>
    <t>IJAZ  AHMAD</t>
  </si>
  <si>
    <t>AHN-741</t>
  </si>
  <si>
    <t>1007385</t>
  </si>
  <si>
    <t>NR011605</t>
  </si>
  <si>
    <t>554221</t>
  </si>
  <si>
    <t>52502/1</t>
  </si>
  <si>
    <t>KHI/HO/D/MO/PC COMP/C/105499/187/01/2025</t>
  </si>
  <si>
    <t>FAHAD  MUSHTAQ</t>
  </si>
  <si>
    <t>AFH-744</t>
  </si>
  <si>
    <t>962406</t>
  </si>
  <si>
    <t>302794</t>
  </si>
  <si>
    <t>551869</t>
  </si>
  <si>
    <t>50128/1</t>
  </si>
  <si>
    <t>KHI/HO/D/MO/PC COMP/C/71072/62/05/2023</t>
  </si>
  <si>
    <t>RANA  ADEEL FAROOQ SHABBIR</t>
  </si>
  <si>
    <t>ALTIS GRANDE</t>
  </si>
  <si>
    <t>AKS-539</t>
  </si>
  <si>
    <t>Q095597</t>
  </si>
  <si>
    <t>KHI/HO/D/MO/PC COMP/C/108053/1/03/2025</t>
  </si>
  <si>
    <t>S.No.</t>
  </si>
  <si>
    <t>KHI/HO/D/MO/PC COMP/E/58890/00036/03/2025</t>
  </si>
  <si>
    <t>KHI/HO/D/MO/PC COMP/E/58892/00016/03/2025</t>
  </si>
  <si>
    <t>KHI/HO/D/MO/PC COMP/E/58892/00028/03/2025</t>
  </si>
  <si>
    <t>-02-2025</t>
  </si>
  <si>
    <t>-12-2024</t>
  </si>
  <si>
    <t>-01-2025</t>
  </si>
  <si>
    <t>00040</t>
  </si>
  <si>
    <t>00044</t>
  </si>
  <si>
    <t>00016</t>
  </si>
  <si>
    <t>00029</t>
  </si>
  <si>
    <t>00032</t>
  </si>
  <si>
    <t>00035</t>
  </si>
  <si>
    <t>00036</t>
  </si>
  <si>
    <t>00043</t>
  </si>
  <si>
    <t>00048</t>
  </si>
  <si>
    <t>00049</t>
  </si>
  <si>
    <t>00050</t>
  </si>
  <si>
    <t>00051</t>
  </si>
  <si>
    <t>00052</t>
  </si>
  <si>
    <t>00047</t>
  </si>
  <si>
    <t>00054</t>
  </si>
  <si>
    <t>00001</t>
  </si>
  <si>
    <t>00010</t>
  </si>
  <si>
    <t>00011</t>
  </si>
  <si>
    <t>00012</t>
  </si>
  <si>
    <t>00013</t>
  </si>
  <si>
    <t>00014</t>
  </si>
  <si>
    <t>00015</t>
  </si>
  <si>
    <t>00017</t>
  </si>
  <si>
    <t>00018</t>
  </si>
  <si>
    <t>00019</t>
  </si>
  <si>
    <t>00020</t>
  </si>
  <si>
    <t>00022</t>
  </si>
  <si>
    <t>00023</t>
  </si>
  <si>
    <t>00024</t>
  </si>
  <si>
    <t>00025</t>
  </si>
  <si>
    <t>00026</t>
  </si>
  <si>
    <t>00027</t>
  </si>
  <si>
    <t>00028</t>
  </si>
  <si>
    <t>00003</t>
  </si>
  <si>
    <t>00030</t>
  </si>
  <si>
    <t>00031</t>
  </si>
  <si>
    <t>00033</t>
  </si>
  <si>
    <t>00034</t>
  </si>
  <si>
    <t>00037</t>
  </si>
  <si>
    <t>00038</t>
  </si>
  <si>
    <t>00039</t>
  </si>
  <si>
    <t>00004</t>
  </si>
  <si>
    <t>00041</t>
  </si>
  <si>
    <t>00042</t>
  </si>
  <si>
    <t>00045</t>
  </si>
  <si>
    <t>00046</t>
  </si>
  <si>
    <t>00005</t>
  </si>
  <si>
    <t>00006</t>
  </si>
  <si>
    <t>00007</t>
  </si>
  <si>
    <t>00008</t>
  </si>
  <si>
    <t>00009</t>
  </si>
  <si>
    <t>00053</t>
  </si>
  <si>
    <t>00055</t>
  </si>
  <si>
    <t>00056</t>
  </si>
  <si>
    <t xml:space="preserve">   </t>
  </si>
  <si>
    <t>FUNC_ASSORTED_STRING(IA.ASSORTED_CODE)</t>
  </si>
  <si>
    <t>ASSORTED_CODE</t>
  </si>
  <si>
    <t>070000173594</t>
  </si>
  <si>
    <t>070000177695</t>
  </si>
  <si>
    <t>070000177696</t>
  </si>
  <si>
    <t>070000177703</t>
  </si>
  <si>
    <t>070000173573</t>
  </si>
  <si>
    <t>070000173575</t>
  </si>
  <si>
    <t>070000173587</t>
  </si>
  <si>
    <t>070000175570</t>
  </si>
  <si>
    <t>070000176609</t>
  </si>
  <si>
    <t>070000173580</t>
  </si>
  <si>
    <t>070000176608</t>
  </si>
  <si>
    <t>070000177659</t>
  </si>
  <si>
    <t>070000177706</t>
  </si>
  <si>
    <t>070000176754</t>
  </si>
  <si>
    <t>070000172910</t>
  </si>
  <si>
    <t>070000172864</t>
  </si>
  <si>
    <t>070000173549</t>
  </si>
  <si>
    <t>070000173590</t>
  </si>
  <si>
    <t>070000176428</t>
  </si>
  <si>
    <t>070000176440</t>
  </si>
  <si>
    <t>070000177654</t>
  </si>
  <si>
    <t>070000177707</t>
  </si>
  <si>
    <t>070000177710</t>
  </si>
  <si>
    <t>070000177712</t>
  </si>
  <si>
    <t>070000177713</t>
  </si>
  <si>
    <t>070000177715</t>
  </si>
  <si>
    <t>070000173550</t>
  </si>
  <si>
    <t>070000173551</t>
  </si>
  <si>
    <t>070000173595</t>
  </si>
  <si>
    <t>070000176764</t>
  </si>
  <si>
    <t>070000176418</t>
  </si>
  <si>
    <t>070000176613</t>
  </si>
  <si>
    <t>070000177184</t>
  </si>
  <si>
    <t>070000176515</t>
  </si>
  <si>
    <t>070000177736</t>
  </si>
  <si>
    <t>070000172922</t>
  </si>
  <si>
    <t>070000173582</t>
  </si>
  <si>
    <t>070000173583</t>
  </si>
  <si>
    <t>070000173584</t>
  </si>
  <si>
    <t>070000173596</t>
  </si>
  <si>
    <t>070000176617</t>
  </si>
  <si>
    <t>070000176626</t>
  </si>
  <si>
    <t>070000177157</t>
  </si>
  <si>
    <t>070000173506</t>
  </si>
  <si>
    <t>070000173507</t>
  </si>
  <si>
    <t>070000177032</t>
  </si>
  <si>
    <t>070000176420</t>
  </si>
  <si>
    <t>070000177320</t>
  </si>
  <si>
    <t>070000177663</t>
  </si>
  <si>
    <t>070000177739</t>
  </si>
  <si>
    <t>070000177742</t>
  </si>
  <si>
    <t>070000176369</t>
  </si>
  <si>
    <t>070000176403</t>
  </si>
  <si>
    <t>070000177767</t>
  </si>
  <si>
    <t>070000176535</t>
  </si>
  <si>
    <t>070000176564</t>
  </si>
  <si>
    <t>070000176575</t>
  </si>
  <si>
    <t>070000176579</t>
  </si>
  <si>
    <t>070000176612</t>
  </si>
  <si>
    <t>070000172880</t>
  </si>
  <si>
    <t>070000172597</t>
  </si>
  <si>
    <t>070000172863</t>
  </si>
  <si>
    <t>070000177061</t>
  </si>
  <si>
    <t>070000176751</t>
  </si>
  <si>
    <t>070000177065</t>
  </si>
  <si>
    <t>070000177063</t>
  </si>
  <si>
    <t>070000177064</t>
  </si>
  <si>
    <t>070000177180</t>
  </si>
  <si>
    <t>070000177186</t>
  </si>
  <si>
    <t>070000177690</t>
  </si>
  <si>
    <t>070000177693</t>
  </si>
  <si>
    <t>070000177757</t>
  </si>
  <si>
    <t>070000177630</t>
  </si>
  <si>
    <t>070000176807</t>
  </si>
  <si>
    <t>070000177653</t>
  </si>
  <si>
    <t>070000177701</t>
  </si>
  <si>
    <t>POLICY NO.</t>
  </si>
  <si>
    <t>Assorted_code</t>
  </si>
  <si>
    <t>Premium</t>
  </si>
  <si>
    <t>26Mar250058</t>
  </si>
  <si>
    <t>-11-2024</t>
  </si>
  <si>
    <t>-03-2025</t>
  </si>
  <si>
    <t>00100</t>
  </si>
  <si>
    <t>00101</t>
  </si>
  <si>
    <t>00102</t>
  </si>
  <si>
    <t>00104</t>
  </si>
  <si>
    <t>00105</t>
  </si>
  <si>
    <t>00106</t>
  </si>
  <si>
    <t>00107</t>
  </si>
  <si>
    <t>00108</t>
  </si>
  <si>
    <t>00109</t>
  </si>
  <si>
    <t>00110</t>
  </si>
  <si>
    <t>00111</t>
  </si>
  <si>
    <t>00112</t>
  </si>
  <si>
    <t>00113</t>
  </si>
  <si>
    <t>00114</t>
  </si>
  <si>
    <t>00115</t>
  </si>
  <si>
    <t>00116</t>
  </si>
  <si>
    <t>00117</t>
  </si>
  <si>
    <t>00118</t>
  </si>
  <si>
    <t>00119</t>
  </si>
  <si>
    <t>00120</t>
  </si>
  <si>
    <t>00121</t>
  </si>
  <si>
    <t>00122</t>
  </si>
  <si>
    <t>00123</t>
  </si>
  <si>
    <t>00124</t>
  </si>
  <si>
    <t>00125</t>
  </si>
  <si>
    <t>00126</t>
  </si>
  <si>
    <t>00128</t>
  </si>
  <si>
    <t>00129</t>
  </si>
  <si>
    <t>00130</t>
  </si>
  <si>
    <t>00131</t>
  </si>
  <si>
    <t>00132</t>
  </si>
  <si>
    <t>00133</t>
  </si>
  <si>
    <t>00134</t>
  </si>
  <si>
    <t>00135</t>
  </si>
  <si>
    <t>00136</t>
  </si>
  <si>
    <t>00137</t>
  </si>
  <si>
    <t>00139</t>
  </si>
  <si>
    <t>00140</t>
  </si>
  <si>
    <t>00141</t>
  </si>
  <si>
    <t>00142</t>
  </si>
  <si>
    <t>00143</t>
  </si>
  <si>
    <t>00144</t>
  </si>
  <si>
    <t>00145</t>
  </si>
  <si>
    <t>00146</t>
  </si>
  <si>
    <t>00147</t>
  </si>
  <si>
    <t>00148</t>
  </si>
  <si>
    <t>00149</t>
  </si>
  <si>
    <t>00150</t>
  </si>
  <si>
    <t>00151</t>
  </si>
  <si>
    <t>00152</t>
  </si>
  <si>
    <t>00153</t>
  </si>
  <si>
    <t>00154</t>
  </si>
  <si>
    <t>00155</t>
  </si>
  <si>
    <t>00156</t>
  </si>
  <si>
    <t>00157</t>
  </si>
  <si>
    <t>00158</t>
  </si>
  <si>
    <t>00159</t>
  </si>
  <si>
    <t>00160</t>
  </si>
  <si>
    <t>00161</t>
  </si>
  <si>
    <t>00162</t>
  </si>
  <si>
    <t>00163</t>
  </si>
  <si>
    <t>00164</t>
  </si>
  <si>
    <t>00165</t>
  </si>
  <si>
    <t>00166</t>
  </si>
  <si>
    <t>00167</t>
  </si>
  <si>
    <t>00168</t>
  </si>
  <si>
    <t>00169</t>
  </si>
  <si>
    <t>00170</t>
  </si>
  <si>
    <t>00171</t>
  </si>
  <si>
    <t>00172</t>
  </si>
  <si>
    <t>00173</t>
  </si>
  <si>
    <t>00174</t>
  </si>
  <si>
    <t>00175</t>
  </si>
  <si>
    <t>00176</t>
  </si>
  <si>
    <t>00177</t>
  </si>
  <si>
    <t>00178</t>
  </si>
  <si>
    <t>00180</t>
  </si>
  <si>
    <t>00181</t>
  </si>
  <si>
    <t>00182</t>
  </si>
  <si>
    <t>00183</t>
  </si>
  <si>
    <t>00185</t>
  </si>
  <si>
    <t>00187</t>
  </si>
  <si>
    <t>00188</t>
  </si>
  <si>
    <t>00189</t>
  </si>
  <si>
    <t>00190</t>
  </si>
  <si>
    <t>00192</t>
  </si>
  <si>
    <t>00193</t>
  </si>
  <si>
    <t>00194</t>
  </si>
  <si>
    <t>00196</t>
  </si>
  <si>
    <t>00197</t>
  </si>
  <si>
    <t>00199</t>
  </si>
  <si>
    <t>00002</t>
  </si>
  <si>
    <t>00200</t>
  </si>
  <si>
    <t>00201</t>
  </si>
  <si>
    <t>00202</t>
  </si>
  <si>
    <t>00021</t>
  </si>
  <si>
    <t>00057</t>
  </si>
  <si>
    <t>00058</t>
  </si>
  <si>
    <t>00059</t>
  </si>
  <si>
    <t>00060</t>
  </si>
  <si>
    <t>00061</t>
  </si>
  <si>
    <t>00062</t>
  </si>
  <si>
    <t>00063</t>
  </si>
  <si>
    <t>00064</t>
  </si>
  <si>
    <t>00065</t>
  </si>
  <si>
    <t>00066</t>
  </si>
  <si>
    <t>00067</t>
  </si>
  <si>
    <t>00068</t>
  </si>
  <si>
    <t>00069</t>
  </si>
  <si>
    <t>00070</t>
  </si>
  <si>
    <t>00071</t>
  </si>
  <si>
    <t>00072</t>
  </si>
  <si>
    <t>00073</t>
  </si>
  <si>
    <t>00074</t>
  </si>
  <si>
    <t>00075</t>
  </si>
  <si>
    <t>00076</t>
  </si>
  <si>
    <t>00077</t>
  </si>
  <si>
    <t>00078</t>
  </si>
  <si>
    <t>00079</t>
  </si>
  <si>
    <t>00080</t>
  </si>
  <si>
    <t>00081</t>
  </si>
  <si>
    <t>00082</t>
  </si>
  <si>
    <t>00083</t>
  </si>
  <si>
    <t>00084</t>
  </si>
  <si>
    <t>00085</t>
  </si>
  <si>
    <t>00086</t>
  </si>
  <si>
    <t>00087</t>
  </si>
  <si>
    <t>00088</t>
  </si>
  <si>
    <t>00089</t>
  </si>
  <si>
    <t>00090</t>
  </si>
  <si>
    <t>00091</t>
  </si>
  <si>
    <t>00092</t>
  </si>
  <si>
    <t>00093</t>
  </si>
  <si>
    <t>00094</t>
  </si>
  <si>
    <t>00095</t>
  </si>
  <si>
    <t>00096</t>
  </si>
  <si>
    <t>00097</t>
  </si>
  <si>
    <t>00098</t>
  </si>
  <si>
    <t>00099</t>
  </si>
  <si>
    <t>070000177071</t>
  </si>
  <si>
    <t>070000177072</t>
  </si>
  <si>
    <t>070000177073</t>
  </si>
  <si>
    <t>070000177074</t>
  </si>
  <si>
    <t>070000177075</t>
  </si>
  <si>
    <t>070000177076</t>
  </si>
  <si>
    <t>070000177078</t>
  </si>
  <si>
    <t>070000177079</t>
  </si>
  <si>
    <t>070000177080</t>
  </si>
  <si>
    <t>070000177081</t>
  </si>
  <si>
    <t>070000177082</t>
  </si>
  <si>
    <t>070000170074</t>
  </si>
  <si>
    <t>070000170089</t>
  </si>
  <si>
    <t>070000174390</t>
  </si>
  <si>
    <t>070000174365</t>
  </si>
  <si>
    <t>070000178624</t>
  </si>
  <si>
    <t>070000176883</t>
  </si>
  <si>
    <t>070000176895</t>
  </si>
  <si>
    <t>070000176899</t>
  </si>
  <si>
    <t>070000176902</t>
  </si>
  <si>
    <t>070000176822</t>
  </si>
  <si>
    <t>070000176825</t>
  </si>
  <si>
    <t>070000176829</t>
  </si>
  <si>
    <t>070000177000</t>
  </si>
  <si>
    <t>070000177004</t>
  </si>
  <si>
    <t>070000177007</t>
  </si>
  <si>
    <t>070000176971</t>
  </si>
  <si>
    <t>070000176975</t>
  </si>
  <si>
    <t>070000176843</t>
  </si>
  <si>
    <t>070000176847</t>
  </si>
  <si>
    <t>070000176850</t>
  </si>
  <si>
    <t>070000176815</t>
  </si>
  <si>
    <t>070000176818</t>
  </si>
  <si>
    <t>070000176869</t>
  </si>
  <si>
    <t>070000176873</t>
  </si>
  <si>
    <t>070000176876</t>
  </si>
  <si>
    <t>070000176879</t>
  </si>
  <si>
    <t>070000176905</t>
  </si>
  <si>
    <t>070000176909</t>
  </si>
  <si>
    <t>070000176921</t>
  </si>
  <si>
    <t>070000176925</t>
  </si>
  <si>
    <t>070000176928</t>
  </si>
  <si>
    <t>070000176931</t>
  </si>
  <si>
    <t>070000176935</t>
  </si>
  <si>
    <t>070000176947</t>
  </si>
  <si>
    <t>070000176951</t>
  </si>
  <si>
    <t>070000176954</t>
  </si>
  <si>
    <t>070000176958</t>
  </si>
  <si>
    <t>070000176961</t>
  </si>
  <si>
    <t>070000176978</t>
  </si>
  <si>
    <t>070000176982</t>
  </si>
  <si>
    <t>070000176985</t>
  </si>
  <si>
    <t>070000176808</t>
  </si>
  <si>
    <t>070000176809</t>
  </si>
  <si>
    <t>070000176810</t>
  </si>
  <si>
    <t>070000176811</t>
  </si>
  <si>
    <t>070000176812</t>
  </si>
  <si>
    <t>070000176813</t>
  </si>
  <si>
    <t>070000176814</t>
  </si>
  <si>
    <t>070000176816</t>
  </si>
  <si>
    <t>070000176817</t>
  </si>
  <si>
    <t>070000176819</t>
  </si>
  <si>
    <t>070000176821</t>
  </si>
  <si>
    <t>070000176823</t>
  </si>
  <si>
    <t>070000176824</t>
  </si>
  <si>
    <t>070000176826</t>
  </si>
  <si>
    <t>070000176827</t>
  </si>
  <si>
    <t>070000176828</t>
  </si>
  <si>
    <t>070000176831</t>
  </si>
  <si>
    <t>070000176833</t>
  </si>
  <si>
    <t>070000176834</t>
  </si>
  <si>
    <t>070000176835</t>
  </si>
  <si>
    <t>070000176836</t>
  </si>
  <si>
    <t>070000176837</t>
  </si>
  <si>
    <t>070000176838</t>
  </si>
  <si>
    <t>070000176839</t>
  </si>
  <si>
    <t>070000176840</t>
  </si>
  <si>
    <t>070000176841</t>
  </si>
  <si>
    <t>070000176842</t>
  </si>
  <si>
    <t>070000176844</t>
  </si>
  <si>
    <t>070000176845</t>
  </si>
  <si>
    <t>070000176846</t>
  </si>
  <si>
    <t>070000176848</t>
  </si>
  <si>
    <t>070000176849</t>
  </si>
  <si>
    <t>070000176851</t>
  </si>
  <si>
    <t>070000176852</t>
  </si>
  <si>
    <t>070000176855</t>
  </si>
  <si>
    <t>070000176856</t>
  </si>
  <si>
    <t>070000176858</t>
  </si>
  <si>
    <t>070000176859</t>
  </si>
  <si>
    <t>070000176860</t>
  </si>
  <si>
    <t>070000176861</t>
  </si>
  <si>
    <t>070000176862</t>
  </si>
  <si>
    <t>070000176863</t>
  </si>
  <si>
    <t>070000176864</t>
  </si>
  <si>
    <t>070000176865</t>
  </si>
  <si>
    <t>070000176866</t>
  </si>
  <si>
    <t>070000176867</t>
  </si>
  <si>
    <t>070000176868</t>
  </si>
  <si>
    <t>070000176870</t>
  </si>
  <si>
    <t>070000176871</t>
  </si>
  <si>
    <t>070000176872</t>
  </si>
  <si>
    <t>070000176874</t>
  </si>
  <si>
    <t>070000176875</t>
  </si>
  <si>
    <t>070000176877</t>
  </si>
  <si>
    <t>070000176878</t>
  </si>
  <si>
    <t>070000176880</t>
  </si>
  <si>
    <t>070000176881</t>
  </si>
  <si>
    <t>070000176882</t>
  </si>
  <si>
    <t>070000176884</t>
  </si>
  <si>
    <t>070000176885</t>
  </si>
  <si>
    <t>070000176886</t>
  </si>
  <si>
    <t>070000176887</t>
  </si>
  <si>
    <t>070000176888</t>
  </si>
  <si>
    <t>070000176889</t>
  </si>
  <si>
    <t>070000176890</t>
  </si>
  <si>
    <t>070000176891</t>
  </si>
  <si>
    <t>070000176892</t>
  </si>
  <si>
    <t>070000176893</t>
  </si>
  <si>
    <t>070000176894</t>
  </si>
  <si>
    <t>070000176896</t>
  </si>
  <si>
    <t>070000176897</t>
  </si>
  <si>
    <t>070000176898</t>
  </si>
  <si>
    <t>070000176900</t>
  </si>
  <si>
    <t>070000176901</t>
  </si>
  <si>
    <t>070000176903</t>
  </si>
  <si>
    <t>070000176904</t>
  </si>
  <si>
    <t>070000176906</t>
  </si>
  <si>
    <t>070000176907</t>
  </si>
  <si>
    <t>070000176908</t>
  </si>
  <si>
    <t>070000176911</t>
  </si>
  <si>
    <t>070000176912</t>
  </si>
  <si>
    <t>070000176913</t>
  </si>
  <si>
    <t>070000176914</t>
  </si>
  <si>
    <t>070000176915</t>
  </si>
  <si>
    <t>070000176916</t>
  </si>
  <si>
    <t>070000176917</t>
  </si>
  <si>
    <t>070000176918</t>
  </si>
  <si>
    <t>070000176919</t>
  </si>
  <si>
    <t>070000176920</t>
  </si>
  <si>
    <t>070000176922</t>
  </si>
  <si>
    <t>070000176923</t>
  </si>
  <si>
    <t>070000176924</t>
  </si>
  <si>
    <t>070000176926</t>
  </si>
  <si>
    <t>070000176927</t>
  </si>
  <si>
    <t>070000176929</t>
  </si>
  <si>
    <t>070000176930</t>
  </si>
  <si>
    <t>070000176932</t>
  </si>
  <si>
    <t>070000176933</t>
  </si>
  <si>
    <t>070000176936</t>
  </si>
  <si>
    <t>070000176937</t>
  </si>
  <si>
    <t>070000176938</t>
  </si>
  <si>
    <t>070000176939</t>
  </si>
  <si>
    <t>070000176940</t>
  </si>
  <si>
    <t>070000176941</t>
  </si>
  <si>
    <t>070000176942</t>
  </si>
  <si>
    <t>070000176943</t>
  </si>
  <si>
    <t>070000176944</t>
  </si>
  <si>
    <t>070000176946</t>
  </si>
  <si>
    <t>070000176948</t>
  </si>
  <si>
    <t>070000176949</t>
  </si>
  <si>
    <t>070000176950</t>
  </si>
  <si>
    <t>070000176952</t>
  </si>
  <si>
    <t>070000176953</t>
  </si>
  <si>
    <t>070000176955</t>
  </si>
  <si>
    <t>070000176956</t>
  </si>
  <si>
    <t>070000176957</t>
  </si>
  <si>
    <t>070000176959</t>
  </si>
  <si>
    <t>070000176960</t>
  </si>
  <si>
    <t>070000176962</t>
  </si>
  <si>
    <t>070000176963</t>
  </si>
  <si>
    <t>070000176964</t>
  </si>
  <si>
    <t>070000176965</t>
  </si>
  <si>
    <t>070000176966</t>
  </si>
  <si>
    <t>070000176967</t>
  </si>
  <si>
    <t>070000176968</t>
  </si>
  <si>
    <t>070000176969</t>
  </si>
  <si>
    <t>070000176970</t>
  </si>
  <si>
    <t>070000176972</t>
  </si>
  <si>
    <t>070000176973</t>
  </si>
  <si>
    <t>070000176974</t>
  </si>
  <si>
    <t>070000176976</t>
  </si>
  <si>
    <t>070000176977</t>
  </si>
  <si>
    <t>070000176979</t>
  </si>
  <si>
    <t>070000176980</t>
  </si>
  <si>
    <t>070000176981</t>
  </si>
  <si>
    <t>070000176983</t>
  </si>
  <si>
    <t>070000176984</t>
  </si>
  <si>
    <t>070000176987</t>
  </si>
  <si>
    <t>070000176988</t>
  </si>
  <si>
    <t>070000176989</t>
  </si>
  <si>
    <t>070000176990</t>
  </si>
  <si>
    <t>070000176992</t>
  </si>
  <si>
    <t>070000176994</t>
  </si>
  <si>
    <t>070000176995</t>
  </si>
  <si>
    <t>070000176996</t>
  </si>
  <si>
    <t>070000176997</t>
  </si>
  <si>
    <t>070000176999</t>
  </si>
  <si>
    <t>070000177001</t>
  </si>
  <si>
    <t>070000177003</t>
  </si>
  <si>
    <t>070000177006</t>
  </si>
  <si>
    <t>070000177008</t>
  </si>
  <si>
    <t>070000177009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</si>
</sst>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9" x14ac:knownFonts="1">
    <font>
      <sz val="10"/>
      <color indexed="8"/>
      <name val="ARIAL"/>
      <charset val="1"/>
    </font>
    <font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sz val="10"/>
      <color rgb="FF000000"/>
      <name val="Arial"/>
      <family val="2"/>
    </font>
    <font>
      <b/>
      <sz val="10"/>
      <color indexed="8"/>
      <name val="ARIAL"/>
      <family val="2"/>
    </font>
    <font>
      <b/>
      <sz val="11"/>
      <color theme="1"/>
      <name val="Aptos Narrow"/>
      <family val="2"/>
      <scheme val="minor"/>
    </font>
    <font>
      <b/>
      <sz val="9"/>
      <color theme="1"/>
      <name val="Segoe UI"/>
      <family val="2"/>
      <charset val="1"/>
    </font>
    <font>
      <sz val="9"/>
      <color theme="1"/>
      <name val="Segoe UI"/>
      <family val="2"/>
      <charset val="1"/>
    </font>
    <font>
      <sz val="11"/>
      <color rgb="FF1F497D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>
      <alignment vertical="top"/>
    </xf>
    <xf numFmtId="164" fontId="2" fillId="0" borderId="0" applyFont="0" applyFill="0" applyBorder="0" applyAlignment="0" applyProtection="0"/>
    <xf numFmtId="0" fontId="1" fillId="0" borderId="0"/>
    <xf numFmtId="164" fontId="2" fillId="0" borderId="0" applyFont="0" applyFill="0" applyBorder="0" applyAlignment="0" applyProtection="0">
      <alignment vertical="top"/>
    </xf>
    <xf numFmtId="9" fontId="3" fillId="0" borderId="0" applyFont="0" applyFill="0" applyBorder="0" applyAlignment="0" applyProtection="0"/>
  </cellStyleXfs>
  <cellXfs count="21">
    <xf numFmtId="0" fontId="0" fillId="0" borderId="0" xfId="0">
      <alignment vertical="top"/>
    </xf>
    <xf numFmtId="0" fontId="2" fillId="0" borderId="0" xfId="0" applyFont="1">
      <alignment vertical="top"/>
    </xf>
    <xf numFmtId="0" fontId="0" fillId="0" borderId="0" xfId="0" applyAlignment="1">
      <alignment horizontal="center" vertical="top"/>
    </xf>
    <xf numFmtId="165" fontId="0" fillId="0" borderId="0" xfId="0" applyNumberFormat="1">
      <alignment vertical="top"/>
    </xf>
    <xf numFmtId="0" fontId="0" fillId="0" borderId="1" xfId="0" applyBorder="1">
      <alignment vertical="top"/>
    </xf>
    <xf numFmtId="165" fontId="0" fillId="0" borderId="1" xfId="0" applyNumberFormat="1" applyBorder="1">
      <alignment vertical="top"/>
    </xf>
    <xf numFmtId="165" fontId="0" fillId="0" borderId="1" xfId="1" applyNumberFormat="1" applyFont="1" applyBorder="1" applyAlignment="1">
      <alignment vertical="top"/>
    </xf>
    <xf numFmtId="0" fontId="4" fillId="3" borderId="1" xfId="0" applyFont="1" applyFill="1" applyBorder="1">
      <alignment vertical="top"/>
    </xf>
    <xf numFmtId="0" fontId="4" fillId="3" borderId="1" xfId="0" applyFont="1" applyFill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165" fontId="4" fillId="2" borderId="1" xfId="0" applyNumberFormat="1" applyFont="1" applyFill="1" applyBorder="1">
      <alignment vertical="top"/>
    </xf>
    <xf numFmtId="165" fontId="0" fillId="2" borderId="1" xfId="0" applyNumberFormat="1" applyFill="1" applyBorder="1">
      <alignment vertical="top"/>
    </xf>
    <xf numFmtId="0" fontId="0" fillId="0" borderId="0" xfId="0" applyAlignment="1"/>
    <xf numFmtId="0" fontId="6" fillId="0" borderId="0" xfId="0" applyFont="1" applyAlignment="1"/>
    <xf numFmtId="0" fontId="5" fillId="0" borderId="1" xfId="0" applyFont="1" applyBorder="1" applyAlignment="1">
      <alignment horizontal="center"/>
    </xf>
    <xf numFmtId="0" fontId="5" fillId="0" borderId="1" xfId="0" applyFont="1" applyBorder="1" applyAlignment="1"/>
    <xf numFmtId="165" fontId="7" fillId="0" borderId="0" xfId="1" applyNumberFormat="1" applyFont="1" applyAlignment="1">
      <alignment vertical="top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left" vertical="top" wrapText="1"/>
    </xf>
    <xf numFmtId="0" fontId="0" fillId="2" borderId="0" xfId="0" applyFill="1" applyAlignment="1">
      <alignment wrapText="1"/>
    </xf>
    <xf numFmtId="0" fontId="8" fillId="0" borderId="0" xfId="0" applyFont="1">
      <alignment vertical="top"/>
    </xf>
  </cellXfs>
  <cellStyles count="5">
    <cellStyle name="Comma" xfId="1" builtinId="3"/>
    <cellStyle name="Comma 2" xfId="3" xr:uid="{00000000-0005-0000-0000-000001000000}"/>
    <cellStyle name="Normal" xfId="0" builtinId="0"/>
    <cellStyle name="Normal 2 2" xfId="2" xr:uid="{00000000-0005-0000-0000-000003000000}"/>
    <cellStyle name="Percent 2" xfId="4" xr:uid="{00000000-0005-0000-0000-000004000000}"/>
  </cellStyles>
  <dxfs count="4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Book2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ubashir.ahmed\Desktop\New%20folder%20(25)\MIS_REGISTER_UW_NEW_ENG_CHASSIS_NO%20(18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2">
          <cell r="B2" t="str">
            <v>KHI/HO/D/MO/PC COMP/P/107717/02/2025</v>
          </cell>
          <cell r="D2" t="str">
            <v>FRE</v>
          </cell>
          <cell r="E2" t="str">
            <v>27/02/25</v>
          </cell>
          <cell r="F2" t="str">
            <v>27/02/2025</v>
          </cell>
          <cell r="G2" t="str">
            <v>26/02/2026</v>
          </cell>
          <cell r="H2" t="str">
            <v>08004499</v>
          </cell>
          <cell r="I2" t="str">
            <v>AL BARAKA BANK (PAKISTAN) LIMITED</v>
          </cell>
          <cell r="J2" t="str">
            <v>BANK</v>
          </cell>
          <cell r="K2" t="str">
            <v>Mr. Salman Hussain Khan HPA Al Baraka Bank (Staff)
CNIC# 42501-5622196-5
CELL# 0321-2050539</v>
          </cell>
          <cell r="L2" t="str">
            <v>D</v>
          </cell>
          <cell r="M2" t="str">
            <v>09000210</v>
          </cell>
          <cell r="N2">
            <v>100</v>
          </cell>
          <cell r="Q2" t="str">
            <v>11000003</v>
          </cell>
          <cell r="R2" t="str">
            <v>TOYOTA COROLLA ALTIS</v>
          </cell>
          <cell r="S2" t="str">
            <v>2025</v>
          </cell>
          <cell r="U2" t="str">
            <v>Q109622</v>
          </cell>
          <cell r="V2" t="str">
            <v>ZRE171R-6087133</v>
          </cell>
          <cell r="Y2">
            <v>6572000</v>
          </cell>
          <cell r="Z2">
            <v>70388</v>
          </cell>
          <cell r="AA2">
            <v>82150</v>
          </cell>
        </row>
        <row r="3">
          <cell r="B3" t="str">
            <v>KHI/HO/D/MO/PC COMP/P/102212/11/2024</v>
          </cell>
          <cell r="C3" t="str">
            <v>KHI/HO/D/MO/PC COMP/E/51729/00004/01/2025</v>
          </cell>
          <cell r="D3" t="str">
            <v>REN</v>
          </cell>
          <cell r="E3" t="str">
            <v>21/01/25</v>
          </cell>
          <cell r="F3" t="str">
            <v>05/11/2024</v>
          </cell>
          <cell r="G3" t="str">
            <v>04/11/2025</v>
          </cell>
          <cell r="H3" t="str">
            <v>08004499</v>
          </cell>
          <cell r="I3" t="str">
            <v>AL BARAKA BANK (PAKISTAN) LIMITED</v>
          </cell>
          <cell r="J3" t="str">
            <v>BANK</v>
          </cell>
          <cell r="K3" t="str">
            <v>HPA M/s. Al Baraka Bank (Pakistan) Limited
Hpa M/S. Al Baraka Bank (Pakistan) Limited
User: Muhammad   Ahmad</v>
          </cell>
          <cell r="L3" t="str">
            <v>D</v>
          </cell>
          <cell r="M3" t="str">
            <v>09000221</v>
          </cell>
          <cell r="N3">
            <v>100</v>
          </cell>
          <cell r="O3" t="str">
            <v>KARACHI</v>
          </cell>
          <cell r="P3" t="str">
            <v>Chah Allah Ditta PO Chawka Road Kabotri Michinabad  Bahawalnagar</v>
          </cell>
          <cell r="Q3" t="str">
            <v>11000003</v>
          </cell>
          <cell r="R3" t="str">
            <v>SUZUKI ALTO VXR</v>
          </cell>
          <cell r="S3" t="str">
            <v>2019</v>
          </cell>
          <cell r="U3" t="str">
            <v>119291</v>
          </cell>
          <cell r="V3" t="str">
            <v>1019405</v>
          </cell>
          <cell r="W3" t="str">
            <v>05-nov-2025</v>
          </cell>
          <cell r="Y3">
            <v>-915600</v>
          </cell>
          <cell r="Z3">
            <v>-14799</v>
          </cell>
          <cell r="AA3">
            <v>-17167</v>
          </cell>
        </row>
        <row r="4">
          <cell r="B4" t="str">
            <v>KHI/HO/D/MO/PC COMP/P/96721/09/2024</v>
          </cell>
          <cell r="C4" t="str">
            <v>KHI/HO/D/MO/PC COMP/E/51734/00014/01/2025</v>
          </cell>
          <cell r="D4" t="str">
            <v>REN</v>
          </cell>
          <cell r="E4" t="str">
            <v>21/01/25</v>
          </cell>
          <cell r="F4" t="str">
            <v>16/09/2024</v>
          </cell>
          <cell r="G4" t="str">
            <v>15/09/2025</v>
          </cell>
          <cell r="H4" t="str">
            <v>08004499</v>
          </cell>
          <cell r="I4" t="str">
            <v>AL BARAKA BANK (PAKISTAN) LIMITED</v>
          </cell>
          <cell r="J4" t="str">
            <v>BANK</v>
          </cell>
          <cell r="K4" t="str">
            <v>HPA M/s. Al Baraka Bank (Pakistan) Limited
Mr. Nasir Mahmood               
HPA M/s. Al Baraka Bank (Pakistan) Limited</v>
          </cell>
          <cell r="L4" t="str">
            <v>D</v>
          </cell>
          <cell r="M4" t="str">
            <v>09000221</v>
          </cell>
          <cell r="N4">
            <v>100</v>
          </cell>
          <cell r="O4" t="str">
            <v>LAHORE</v>
          </cell>
          <cell r="P4" t="str">
            <v>House No. 133 Block A-3 Johar Town Lahore</v>
          </cell>
          <cell r="Q4" t="str">
            <v>11000003</v>
          </cell>
          <cell r="R4" t="str">
            <v>HONDA CITY I-VTEC (M/T)</v>
          </cell>
          <cell r="S4" t="str">
            <v>2016</v>
          </cell>
          <cell r="T4" t="str">
            <v>LEF-16-449</v>
          </cell>
          <cell r="U4" t="str">
            <v>L13Z17448590</v>
          </cell>
          <cell r="V4" t="str">
            <v>GR190063</v>
          </cell>
          <cell r="X4" t="str">
            <v>3</v>
          </cell>
          <cell r="Y4">
            <v>1120000</v>
          </cell>
          <cell r="Z4">
            <v>9444</v>
          </cell>
          <cell r="AA4">
            <v>10955</v>
          </cell>
        </row>
        <row r="5">
          <cell r="B5" t="str">
            <v>KHI/HO/D/MO/PC COMP/P/88626/05/2024</v>
          </cell>
          <cell r="C5" t="str">
            <v>KHI/HO/D/MO/PC COMP/E/51797/00065/01/2025</v>
          </cell>
          <cell r="D5" t="str">
            <v>REN</v>
          </cell>
          <cell r="E5" t="str">
            <v>22/01/25</v>
          </cell>
          <cell r="F5" t="str">
            <v>31/05/2024</v>
          </cell>
          <cell r="G5" t="str">
            <v>30/05/2025</v>
          </cell>
          <cell r="H5" t="str">
            <v>08004499</v>
          </cell>
          <cell r="I5" t="str">
            <v>AL BARAKA BANK (PAKISTAN) LIMITED</v>
          </cell>
          <cell r="J5" t="str">
            <v>BANK</v>
          </cell>
          <cell r="K5" t="str">
            <v>Mr. 
HPA M/s. Al Baraka Bank (Pakistan) Limited
Mr. 
Hpa M/S. Al Baraka Bank (Pakistan) Limited 
User:Abdul   Aziz</v>
          </cell>
          <cell r="L5" t="str">
            <v>D</v>
          </cell>
          <cell r="M5" t="str">
            <v>09000221</v>
          </cell>
          <cell r="N5">
            <v>100</v>
          </cell>
          <cell r="O5" t="str">
            <v>KARACHI</v>
          </cell>
          <cell r="P5" t="str">
            <v>Po Rohi Mills Chak No. 65 Distr Kot Radha Kishan Kasur</v>
          </cell>
          <cell r="Q5" t="str">
            <v>11000003</v>
          </cell>
          <cell r="R5" t="str">
            <v>SUZUKI WAGON-R VXR</v>
          </cell>
          <cell r="S5" t="str">
            <v>2021</v>
          </cell>
          <cell r="T5" t="str">
            <v>ADH-322</v>
          </cell>
          <cell r="U5" t="str">
            <v>213505</v>
          </cell>
          <cell r="V5" t="str">
            <v>10113513</v>
          </cell>
          <cell r="W5" t="str">
            <v>05-jun-2026</v>
          </cell>
          <cell r="Y5">
            <v>-1384000</v>
          </cell>
          <cell r="Z5">
            <v>-3794</v>
          </cell>
          <cell r="AA5">
            <v>-3832</v>
          </cell>
        </row>
        <row r="6">
          <cell r="B6" t="str">
            <v>KHI/HO/D/MO/PC COMP/P/90920/06/2024</v>
          </cell>
          <cell r="C6" t="str">
            <v>KHI/HO/D/MO/PC COMP/E/51836/00051/01/2025</v>
          </cell>
          <cell r="D6" t="str">
            <v>REN</v>
          </cell>
          <cell r="E6" t="str">
            <v>24/01/25</v>
          </cell>
          <cell r="F6" t="str">
            <v>21/06/2024</v>
          </cell>
          <cell r="G6" t="str">
            <v>20/06/2025</v>
          </cell>
          <cell r="H6" t="str">
            <v>08004499</v>
          </cell>
          <cell r="I6" t="str">
            <v>AL BARAKA BANK (PAKISTAN) LIMITED</v>
          </cell>
          <cell r="J6" t="str">
            <v>BANK</v>
          </cell>
          <cell r="K6" t="str">
            <v>M/s. Al Baraka Bank (Pakistan) Limited
M/S. Al Baraka Bank (Pakistan) Limited
User:Nazim  Hussain</v>
          </cell>
          <cell r="L6" t="str">
            <v>D</v>
          </cell>
          <cell r="M6" t="str">
            <v>09000221</v>
          </cell>
          <cell r="N6">
            <v>100</v>
          </cell>
          <cell r="O6" t="str">
            <v>KARACHI</v>
          </cell>
          <cell r="P6" t="str">
            <v>H # 2 Street 2 Mohallah Akhtarabad Foji Gali Khanpur</v>
          </cell>
          <cell r="Q6" t="str">
            <v>11000003</v>
          </cell>
          <cell r="R6" t="str">
            <v>SUZUKI ALTO VXR E-2</v>
          </cell>
          <cell r="S6" t="str">
            <v>2022</v>
          </cell>
          <cell r="T6" t="str">
            <v>ALC-835</v>
          </cell>
          <cell r="U6" t="str">
            <v>6R236029</v>
          </cell>
          <cell r="V6" t="str">
            <v>1136014</v>
          </cell>
          <cell r="W6" t="str">
            <v>05-jul-2025</v>
          </cell>
          <cell r="Y6">
            <v>-1314100</v>
          </cell>
          <cell r="Z6">
            <v>-2522</v>
          </cell>
          <cell r="AA6">
            <v>-2547</v>
          </cell>
        </row>
        <row r="7">
          <cell r="B7" t="str">
            <v>KHI/HO/D/MO/PC COMP/P/98823/10/2024</v>
          </cell>
          <cell r="C7" t="str">
            <v>KHI/HO/D/MO/PC COMP/E/51869/00034/01/2025</v>
          </cell>
          <cell r="D7" t="str">
            <v>FRE</v>
          </cell>
          <cell r="E7" t="str">
            <v>27/01/25</v>
          </cell>
          <cell r="F7" t="str">
            <v>30/10/2024</v>
          </cell>
          <cell r="G7" t="str">
            <v>29/10/2025</v>
          </cell>
          <cell r="H7" t="str">
            <v>08004499</v>
          </cell>
          <cell r="I7" t="str">
            <v>AL BARAKA BANK (PAKISTAN) LIMITED</v>
          </cell>
          <cell r="J7" t="str">
            <v>BANK</v>
          </cell>
          <cell r="K7" t="str">
            <v>Mr. 
HPA M/s. Al Baraka Bank Pakistan Limited
Mr. Haris Zahid Butt
HPA M/s. Al Baraka Bank Pakistan Limited</v>
          </cell>
          <cell r="L7" t="str">
            <v>D</v>
          </cell>
          <cell r="M7" t="str">
            <v>09000221</v>
          </cell>
          <cell r="N7">
            <v>100</v>
          </cell>
          <cell r="P7" t="str">
            <v>H No 07 Block B-3 China Scheme Gujar Pura Lahore</v>
          </cell>
          <cell r="Q7" t="str">
            <v>11000003</v>
          </cell>
          <cell r="R7" t="str">
            <v>SUZUKI SWIFT DLX A/T NAV.</v>
          </cell>
          <cell r="S7" t="str">
            <v>2019</v>
          </cell>
          <cell r="T7" t="str">
            <v>LED-19-2722</v>
          </cell>
          <cell r="U7" t="str">
            <v>PKS13045075</v>
          </cell>
          <cell r="V7" t="str">
            <v>PK100450</v>
          </cell>
          <cell r="Y7">
            <v>-2300000</v>
          </cell>
          <cell r="Z7">
            <v>-19827</v>
          </cell>
          <cell r="AA7">
            <v>-22999</v>
          </cell>
        </row>
        <row r="8">
          <cell r="B8" t="str">
            <v>KHI/HO/D/MO/PC COMP/P/105499/01/2025</v>
          </cell>
          <cell r="C8" t="str">
            <v>KHI/HO/D/MO/PC COMP/E/51914/00132/01/2025</v>
          </cell>
          <cell r="D8" t="str">
            <v>REN</v>
          </cell>
          <cell r="E8" t="str">
            <v>28/01/25</v>
          </cell>
          <cell r="F8" t="str">
            <v>04/01/2025</v>
          </cell>
          <cell r="G8" t="str">
            <v>03/01/2026</v>
          </cell>
          <cell r="H8" t="str">
            <v>08004499</v>
          </cell>
          <cell r="I8" t="str">
            <v>AL BARAKA BANK (PAKISTAN) LIMITED</v>
          </cell>
          <cell r="J8" t="str">
            <v>BANK</v>
          </cell>
          <cell r="K8" t="str">
            <v>Al Baraka Bank Pakistan Limited
Mr. 
Al Baraka Bank Pakistan Limited 
User: Ali  Raza</v>
          </cell>
          <cell r="L8" t="str">
            <v>D</v>
          </cell>
          <cell r="M8" t="str">
            <v>09000221</v>
          </cell>
          <cell r="N8">
            <v>100</v>
          </cell>
          <cell r="O8" t="str">
            <v>KARACHI</v>
          </cell>
          <cell r="P8" t="str">
            <v>Hussain Street Khokhar Road Badami Bagh Lahore</v>
          </cell>
          <cell r="Q8" t="str">
            <v>11000003</v>
          </cell>
          <cell r="R8" t="str">
            <v>SUZUKI ALTO VX EURO II</v>
          </cell>
          <cell r="S8" t="str">
            <v>2021</v>
          </cell>
          <cell r="T8" t="str">
            <v>AGW-475</v>
          </cell>
          <cell r="U8" t="str">
            <v>6R197046</v>
          </cell>
          <cell r="V8" t="str">
            <v>1097039</v>
          </cell>
          <cell r="W8" t="str">
            <v>05-jan-2027</v>
          </cell>
          <cell r="Y8">
            <v>-890400</v>
          </cell>
          <cell r="Z8">
            <v>-19190</v>
          </cell>
          <cell r="AA8">
            <v>-22260</v>
          </cell>
        </row>
        <row r="9">
          <cell r="B9" t="str">
            <v>KHI/HO/D/MO/CV/P/103846/12/2024</v>
          </cell>
          <cell r="C9" t="str">
            <v>KHI/HO/D/MO/CV/E/52028/00001/02/2025</v>
          </cell>
          <cell r="D9" t="str">
            <v>FRE</v>
          </cell>
          <cell r="E9" t="str">
            <v>04/02/25</v>
          </cell>
          <cell r="F9" t="str">
            <v>12/12/2024</v>
          </cell>
          <cell r="G9" t="str">
            <v>11/12/2025</v>
          </cell>
          <cell r="H9" t="str">
            <v>08004499</v>
          </cell>
          <cell r="I9" t="str">
            <v>AL BARAKA BANK (PAKISTAN) LIMITED</v>
          </cell>
          <cell r="J9" t="str">
            <v>BANK</v>
          </cell>
          <cell r="K9" t="str">
            <v>Mr. 
HPA M/s. Al Baraka Bank Pakistan Limited
Mr. Ali
HPA M/s. Al Baraka Bank Pakistan Limited</v>
          </cell>
          <cell r="L9" t="str">
            <v>D</v>
          </cell>
          <cell r="M9" t="str">
            <v>09000221</v>
          </cell>
          <cell r="N9">
            <v>100</v>
          </cell>
          <cell r="P9" t="str">
            <v>H No 2012 990 Javed Street Karma Wali Masjid Islam Guni Lahore</v>
          </cell>
          <cell r="Q9" t="str">
            <v>11000003</v>
          </cell>
          <cell r="R9" t="str">
            <v>SUZUKI RAVI PICK UP</v>
          </cell>
          <cell r="S9" t="str">
            <v>2024</v>
          </cell>
          <cell r="U9" t="str">
            <v>394454</v>
          </cell>
          <cell r="V9" t="str">
            <v>499094</v>
          </cell>
          <cell r="Y9">
            <v>-1856000</v>
          </cell>
          <cell r="Z9">
            <v>-19731</v>
          </cell>
          <cell r="AA9">
            <v>-22887</v>
          </cell>
        </row>
        <row r="10">
          <cell r="B10" t="str">
            <v>KHI/HO/D/MO/PC COMP/P/103201/12/2024</v>
          </cell>
          <cell r="C10" t="str">
            <v>KHI/HO/D/MO/PC COMP/E/52031/00001/02/2025</v>
          </cell>
          <cell r="D10" t="str">
            <v>FRE</v>
          </cell>
          <cell r="E10" t="str">
            <v>04/02/25</v>
          </cell>
          <cell r="F10" t="str">
            <v>02/12/2024</v>
          </cell>
          <cell r="G10" t="str">
            <v>01/12/2025</v>
          </cell>
          <cell r="H10" t="str">
            <v>08004499</v>
          </cell>
          <cell r="I10" t="str">
            <v>AL BARAKA BANK (PAKISTAN) LIMITED</v>
          </cell>
          <cell r="J10" t="str">
            <v>BANK</v>
          </cell>
          <cell r="K10" t="str">
            <v>Mr. 
HPA M/s. Al Baraka Bank (Pakistan) Limited
Mr. Muhammad Aslam
HPA Mr. Al Baraka Bank Pakistan Limited</v>
          </cell>
          <cell r="L10" t="str">
            <v>D</v>
          </cell>
          <cell r="M10" t="str">
            <v>09000221</v>
          </cell>
          <cell r="N10">
            <v>100</v>
          </cell>
          <cell r="P10" t="str">
            <v>H No 146 C Zaman Park Thoker Niaz Baig Near Jutt Chowk Mohallah LDA Society Phase 1 Lahore</v>
          </cell>
          <cell r="Q10" t="str">
            <v>11000003</v>
          </cell>
          <cell r="R10" t="str">
            <v>SUZUKI ALTO VX</v>
          </cell>
          <cell r="S10" t="str">
            <v>2024</v>
          </cell>
          <cell r="T10" t="str">
            <v>ATP-677</v>
          </cell>
          <cell r="U10" t="str">
            <v>6R328756</v>
          </cell>
          <cell r="V10" t="str">
            <v>H1228748</v>
          </cell>
          <cell r="Y10">
            <v>-376000</v>
          </cell>
          <cell r="Z10">
            <v>-6483</v>
          </cell>
          <cell r="AA10">
            <v>-7520</v>
          </cell>
        </row>
        <row r="11">
          <cell r="B11" t="str">
            <v>KHI/HO/D/MO/PC COMP/P/96721/09/2024</v>
          </cell>
          <cell r="C11" t="str">
            <v>KHI/HO/D/MO/PC COMP/E/52077/00004/02/2025</v>
          </cell>
          <cell r="D11" t="str">
            <v>REN</v>
          </cell>
          <cell r="E11" t="str">
            <v>06/02/25</v>
          </cell>
          <cell r="F11" t="str">
            <v>06/09/2024</v>
          </cell>
          <cell r="G11" t="str">
            <v>05/09/2025</v>
          </cell>
          <cell r="H11" t="str">
            <v>08004499</v>
          </cell>
          <cell r="I11" t="str">
            <v>AL BARAKA BANK (PAKISTAN) LIMITED</v>
          </cell>
          <cell r="J11" t="str">
            <v>BANK</v>
          </cell>
          <cell r="K11" t="str">
            <v>HPA M/s. Al Baraka Bank (Pakistan) Limited
Mr. Dilshad Hussain  
HPA M/s. Al Baraka Bank (Pakistan) Limited</v>
          </cell>
          <cell r="L11" t="str">
            <v>D</v>
          </cell>
          <cell r="M11" t="str">
            <v>09000221</v>
          </cell>
          <cell r="N11">
            <v>100</v>
          </cell>
          <cell r="O11" t="str">
            <v>LAHORE</v>
          </cell>
          <cell r="P11" t="str">
            <v>House No. 173 S Block Model Town Lahore</v>
          </cell>
          <cell r="Q11" t="str">
            <v>11000003</v>
          </cell>
          <cell r="R11" t="str">
            <v>SUZUKI WAGON-R VXL E2</v>
          </cell>
          <cell r="S11" t="str">
            <v>2021</v>
          </cell>
          <cell r="T11" t="str">
            <v>AEV-672</v>
          </cell>
          <cell r="U11" t="str">
            <v>219848</v>
          </cell>
          <cell r="V11" t="str">
            <v>10119798</v>
          </cell>
          <cell r="X11" t="str">
            <v>3</v>
          </cell>
          <cell r="Y11">
            <v>912000</v>
          </cell>
          <cell r="Z11">
            <v>10603</v>
          </cell>
          <cell r="AA11">
            <v>12300</v>
          </cell>
        </row>
        <row r="12">
          <cell r="B12" t="str">
            <v>KHI/HO/D/MO/PC COMP/P/96721/09/2024</v>
          </cell>
          <cell r="C12" t="str">
            <v>KHI/HO/D/MO/PC COMP/E/52077/00015/02/2025</v>
          </cell>
          <cell r="D12" t="str">
            <v>REN</v>
          </cell>
          <cell r="E12" t="str">
            <v>06/02/25</v>
          </cell>
          <cell r="F12" t="str">
            <v>17/09/2024</v>
          </cell>
          <cell r="G12" t="str">
            <v>16/09/2025</v>
          </cell>
          <cell r="H12" t="str">
            <v>08004499</v>
          </cell>
          <cell r="I12" t="str">
            <v>AL BARAKA BANK (PAKISTAN) LIMITED</v>
          </cell>
          <cell r="J12" t="str">
            <v>BANK</v>
          </cell>
          <cell r="K12" t="str">
            <v>HPA M/s. Al Baraka Bank (Pakistan) Limited
Mr. Abrar Ahmad Khan                 
HPA M/s. Al Baraka Bank (Pakistan) Limited</v>
          </cell>
          <cell r="L12" t="str">
            <v>D</v>
          </cell>
          <cell r="M12" t="str">
            <v>09000221</v>
          </cell>
          <cell r="N12">
            <v>100</v>
          </cell>
          <cell r="O12" t="str">
            <v>RAWALPINDI</v>
          </cell>
          <cell r="P12" t="str">
            <v>House No. E-106 Satellite Town Block E Rawalpindi</v>
          </cell>
          <cell r="Q12" t="str">
            <v>11000003</v>
          </cell>
          <cell r="R12" t="str">
            <v>SUZUKI CULTUS VXL EURO II</v>
          </cell>
          <cell r="S12" t="str">
            <v>2021</v>
          </cell>
          <cell r="T12" t="str">
            <v>AVC-778</v>
          </cell>
          <cell r="U12" t="str">
            <v>183570</v>
          </cell>
          <cell r="V12" t="str">
            <v>10083560</v>
          </cell>
          <cell r="X12" t="str">
            <v>3</v>
          </cell>
          <cell r="Y12">
            <v>-1464000</v>
          </cell>
          <cell r="Z12">
            <v>-7888</v>
          </cell>
          <cell r="AA12">
            <v>-7967</v>
          </cell>
        </row>
        <row r="13">
          <cell r="B13" t="str">
            <v>KHI/HO/D/MO/PC COMP/P/96721/09/2024</v>
          </cell>
          <cell r="C13" t="str">
            <v>KHI/HO/D/MO/PC COMP/E/52077/00019/02/2025</v>
          </cell>
          <cell r="D13" t="str">
            <v>REN</v>
          </cell>
          <cell r="E13" t="str">
            <v>06/02/25</v>
          </cell>
          <cell r="F13" t="str">
            <v>21/09/2024</v>
          </cell>
          <cell r="G13" t="str">
            <v>20/09/2025</v>
          </cell>
          <cell r="H13" t="str">
            <v>08004499</v>
          </cell>
          <cell r="I13" t="str">
            <v>AL BARAKA BANK (PAKISTAN) LIMITED</v>
          </cell>
          <cell r="J13" t="str">
            <v>BANK</v>
          </cell>
          <cell r="K13" t="str">
            <v>HPA M/s. Al Baraka Bank (Pakistan) Limited
Mr. Imtiaz Ahmed                     
HPA M/s. Al Baraka Bank (Pakistan) Limited</v>
          </cell>
          <cell r="L13" t="str">
            <v>D</v>
          </cell>
          <cell r="M13" t="str">
            <v>09000221</v>
          </cell>
          <cell r="N13">
            <v>100</v>
          </cell>
          <cell r="O13" t="str">
            <v>FAISALABAD</v>
          </cell>
          <cell r="P13" t="str">
            <v>House No. 458-A Gulshan Colony Faisalabad</v>
          </cell>
          <cell r="Q13" t="str">
            <v>11000003</v>
          </cell>
          <cell r="R13" t="str">
            <v>SUZUKI WAGON-R VXL E2</v>
          </cell>
          <cell r="S13" t="str">
            <v>2021</v>
          </cell>
          <cell r="T13" t="str">
            <v>AVC-458</v>
          </cell>
          <cell r="U13" t="str">
            <v>PK10B319808</v>
          </cell>
          <cell r="V13" t="str">
            <v>A1J310PK10119807</v>
          </cell>
          <cell r="X13" t="str">
            <v>3</v>
          </cell>
          <cell r="Y13">
            <v>-1288000</v>
          </cell>
          <cell r="Z13">
            <v>-6939</v>
          </cell>
          <cell r="AA13">
            <v>-7008</v>
          </cell>
        </row>
        <row r="14">
          <cell r="B14" t="str">
            <v>KHI/HO/D/MO/PC COMP/P/96721/09/2024</v>
          </cell>
          <cell r="C14" t="str">
            <v>KHI/HO/D/MO/PC COMP/E/52077/00036/02/2025</v>
          </cell>
          <cell r="D14" t="str">
            <v>REN</v>
          </cell>
          <cell r="E14" t="str">
            <v>06/02/25</v>
          </cell>
          <cell r="F14" t="str">
            <v>30/09/2024</v>
          </cell>
          <cell r="G14" t="str">
            <v>29/09/2025</v>
          </cell>
          <cell r="H14" t="str">
            <v>08004499</v>
          </cell>
          <cell r="I14" t="str">
            <v>AL BARAKA BANK (PAKISTAN) LIMITED</v>
          </cell>
          <cell r="J14" t="str">
            <v>BANK</v>
          </cell>
          <cell r="K14" t="str">
            <v>HPA M/s. Al Baraka Bank (Pakistan) Limited
Mr. Ehsan Ali 
HPA M/s. Al Baraka Bank (Pakistan) Limited</v>
          </cell>
          <cell r="L14" t="str">
            <v>D</v>
          </cell>
          <cell r="M14" t="str">
            <v>09000221</v>
          </cell>
          <cell r="N14">
            <v>100</v>
          </cell>
          <cell r="O14" t="str">
            <v>LAHORE</v>
          </cell>
          <cell r="P14" t="str">
            <v>House No. 159 A-1 Mohallah Johar Town Lahore</v>
          </cell>
          <cell r="Q14" t="str">
            <v>11000003</v>
          </cell>
          <cell r="R14" t="str">
            <v>SUZUKI ALTO VXL AGS E-2</v>
          </cell>
          <cell r="S14" t="str">
            <v>2019</v>
          </cell>
          <cell r="T14" t="str">
            <v>LE-19A-8146</v>
          </cell>
          <cell r="U14" t="str">
            <v>6R113663</v>
          </cell>
          <cell r="V14" t="str">
            <v>306H1013648</v>
          </cell>
          <cell r="X14" t="str">
            <v>3</v>
          </cell>
          <cell r="Y14">
            <v>892000</v>
          </cell>
          <cell r="Z14">
            <v>12114</v>
          </cell>
          <cell r="AA14">
            <v>14052</v>
          </cell>
        </row>
        <row r="15">
          <cell r="B15" t="str">
            <v>KHI/HO/D/MO/PC COMP/P/103764/12/2024</v>
          </cell>
          <cell r="C15" t="str">
            <v>KHI/HO/D/MO/PC COMP/E/52157/00029/02/2025</v>
          </cell>
          <cell r="D15" t="str">
            <v>REN</v>
          </cell>
          <cell r="E15" t="str">
            <v>10/02/25</v>
          </cell>
          <cell r="F15" t="str">
            <v>11/12/2024</v>
          </cell>
          <cell r="G15" t="str">
            <v>10/12/2025</v>
          </cell>
          <cell r="H15" t="str">
            <v>08004499</v>
          </cell>
          <cell r="I15" t="str">
            <v>AL BARAKA BANK (PAKISTAN) LIMITED</v>
          </cell>
          <cell r="J15" t="str">
            <v>BANK</v>
          </cell>
          <cell r="K15" t="str">
            <v>M/s. Al Baraka Bank (Pakistan) Limited
M/S. Al Baraka Bank (Pakistan) Limited 
User: Muhammad Tayyab Lakhvi</v>
          </cell>
          <cell r="L15" t="str">
            <v>D</v>
          </cell>
          <cell r="M15" t="str">
            <v>09000221</v>
          </cell>
          <cell r="N15">
            <v>100</v>
          </cell>
          <cell r="O15" t="str">
            <v>KARACHI</v>
          </cell>
          <cell r="P15" t="str">
            <v>Main Road Mohallah Green City Phasse 2 Deepalpur</v>
          </cell>
          <cell r="Q15" t="str">
            <v>11000003</v>
          </cell>
          <cell r="R15" t="str">
            <v>SUZUKI WAGON-R VXL E2</v>
          </cell>
          <cell r="S15" t="str">
            <v>2019</v>
          </cell>
          <cell r="T15" t="str">
            <v>LEF-19-8890</v>
          </cell>
          <cell r="U15" t="str">
            <v>PK10B197443</v>
          </cell>
          <cell r="V15" t="str">
            <v>PK10097547</v>
          </cell>
          <cell r="W15" t="str">
            <v>12-feb-2029</v>
          </cell>
          <cell r="Y15">
            <v>2137500</v>
          </cell>
          <cell r="Z15">
            <v>33420</v>
          </cell>
          <cell r="AA15">
            <v>38768</v>
          </cell>
        </row>
        <row r="16">
          <cell r="B16" t="str">
            <v>KHI/HO/D/MO/PC COMP/P/90920/06/2024</v>
          </cell>
          <cell r="C16" t="str">
            <v>KHI/HO/D/MO/PC COMP/E/52168/00117/02/2025</v>
          </cell>
          <cell r="D16" t="str">
            <v>REN</v>
          </cell>
          <cell r="E16" t="str">
            <v>10/02/25</v>
          </cell>
          <cell r="F16" t="str">
            <v>24/06/2024</v>
          </cell>
          <cell r="G16" t="str">
            <v>23/06/2025</v>
          </cell>
          <cell r="H16" t="str">
            <v>08004499</v>
          </cell>
          <cell r="I16" t="str">
            <v>AL BARAKA BANK (PAKISTAN) LIMITED</v>
          </cell>
          <cell r="J16" t="str">
            <v>BANK</v>
          </cell>
          <cell r="K16" t="str">
            <v>M/s. Al Baraka Bank (Pakistan) Limited
M/S. Al Baraka Bank (Pakistan) Limited
User:Ali  Asghar</v>
          </cell>
          <cell r="L16" t="str">
            <v>D</v>
          </cell>
          <cell r="M16" t="str">
            <v>09000221</v>
          </cell>
          <cell r="N16">
            <v>100</v>
          </cell>
          <cell r="O16" t="str">
            <v>KARACHI</v>
          </cell>
          <cell r="P16" t="str">
            <v>House No. P-147 Street 08 Mohallah Altaf Ghani Faisalabad</v>
          </cell>
          <cell r="Q16" t="str">
            <v>11000003</v>
          </cell>
          <cell r="R16" t="str">
            <v>HONDA CIVIC VTI  ORIEL PT</v>
          </cell>
          <cell r="S16" t="str">
            <v>2021</v>
          </cell>
          <cell r="T16" t="str">
            <v>AUY-122</v>
          </cell>
          <cell r="U16" t="str">
            <v>R18Z16921412</v>
          </cell>
          <cell r="V16" t="str">
            <v>NFBFC6669MR073802</v>
          </cell>
          <cell r="W16" t="str">
            <v>06-jul-2026</v>
          </cell>
          <cell r="Y16">
            <v>-3306800</v>
          </cell>
          <cell r="Z16">
            <v>-5439</v>
          </cell>
          <cell r="AA16">
            <v>-5493</v>
          </cell>
        </row>
        <row r="17">
          <cell r="B17" t="str">
            <v>KHI/HO/D/MO/PC COMP/P/90920/06/2024</v>
          </cell>
          <cell r="C17" t="str">
            <v>KHI/HO/D/MO/PC COMP/E/52168/00155/02/2025</v>
          </cell>
          <cell r="D17" t="str">
            <v>REN</v>
          </cell>
          <cell r="E17" t="str">
            <v>10/02/25</v>
          </cell>
          <cell r="F17" t="str">
            <v>23/06/2024</v>
          </cell>
          <cell r="G17" t="str">
            <v>22/06/2025</v>
          </cell>
          <cell r="H17" t="str">
            <v>08004499</v>
          </cell>
          <cell r="I17" t="str">
            <v>AL BARAKA BANK (PAKISTAN) LIMITED</v>
          </cell>
          <cell r="J17" t="str">
            <v>BANK</v>
          </cell>
          <cell r="K17" t="str">
            <v>M/s. Al Baraka Bank (Pakistan) Limited
M/S. Al Baraka Bank (Pakistan) Limited
User:Muhammad  Saleem</v>
          </cell>
          <cell r="L17" t="str">
            <v>D</v>
          </cell>
          <cell r="M17" t="str">
            <v>09000221</v>
          </cell>
          <cell r="N17">
            <v>100</v>
          </cell>
          <cell r="O17" t="str">
            <v>KARACHI</v>
          </cell>
          <cell r="P17" t="str">
            <v>House No. 181 F Punjab Co Operative Housing Society Lahore</v>
          </cell>
          <cell r="Q17" t="str">
            <v>11000003</v>
          </cell>
          <cell r="R17" t="str">
            <v>SUZUKI WAGON-R VXL E2</v>
          </cell>
          <cell r="S17" t="str">
            <v>2019</v>
          </cell>
          <cell r="T17" t="str">
            <v>LEB-20-8359</v>
          </cell>
          <cell r="U17" t="str">
            <v>202197</v>
          </cell>
          <cell r="V17" t="str">
            <v>10102175</v>
          </cell>
          <cell r="W17" t="str">
            <v>05-jul-2025</v>
          </cell>
          <cell r="Y17">
            <v>-1271250</v>
          </cell>
          <cell r="Z17">
            <v>-5227</v>
          </cell>
          <cell r="AA17">
            <v>-5279</v>
          </cell>
        </row>
        <row r="18">
          <cell r="B18" t="str">
            <v>KHI/HO/D/MO/PC COMP/P/105499/01/2025</v>
          </cell>
          <cell r="C18" t="str">
            <v>KHI/HO/D/MO/PC COMP/E/52186/00093/02/2025</v>
          </cell>
          <cell r="D18" t="str">
            <v>REN</v>
          </cell>
          <cell r="E18" t="str">
            <v>11/02/25</v>
          </cell>
          <cell r="F18" t="str">
            <v>01/02/2025</v>
          </cell>
          <cell r="G18" t="str">
            <v>31/01/2026</v>
          </cell>
          <cell r="H18" t="str">
            <v>08004499</v>
          </cell>
          <cell r="I18" t="str">
            <v>AL BARAKA BANK (PAKISTAN) LIMITED</v>
          </cell>
          <cell r="J18" t="str">
            <v>BANK</v>
          </cell>
          <cell r="K18" t="str">
            <v>Al Baraka Bank Pakistan Limited
Mr. 
Al Baraka Bank Pakistan Limited 
User: Maqbool  Ahmed</v>
          </cell>
          <cell r="L18" t="str">
            <v>D</v>
          </cell>
          <cell r="M18" t="str">
            <v>09000221</v>
          </cell>
          <cell r="N18">
            <v>100</v>
          </cell>
          <cell r="O18" t="str">
            <v>KARACHI</v>
          </cell>
          <cell r="P18" t="str">
            <v>House No. N-645 Sector 11-J North Karachi Karachi</v>
          </cell>
          <cell r="Q18" t="str">
            <v>11000003</v>
          </cell>
          <cell r="R18" t="str">
            <v>TOYOTA COROLLA ALTIS GRAN</v>
          </cell>
          <cell r="S18" t="str">
            <v>2018</v>
          </cell>
          <cell r="T18" t="str">
            <v>BPG-599</v>
          </cell>
          <cell r="U18" t="str">
            <v>Q337547</v>
          </cell>
          <cell r="V18" t="str">
            <v>7036359</v>
          </cell>
          <cell r="W18" t="str">
            <v>05-jan-2026</v>
          </cell>
          <cell r="Y18">
            <v>-1887600</v>
          </cell>
          <cell r="Z18">
            <v>-61022</v>
          </cell>
          <cell r="AA18">
            <v>-70785</v>
          </cell>
        </row>
        <row r="19">
          <cell r="B19" t="str">
            <v>KHI/HO/D/MO/PC COMP/P/105499/01/2025</v>
          </cell>
          <cell r="C19" t="str">
            <v>KHI/HO/D/MO/PC COMP/E/52186/00094/02/2025</v>
          </cell>
          <cell r="D19" t="str">
            <v>REN</v>
          </cell>
          <cell r="E19" t="str">
            <v>11/02/25</v>
          </cell>
          <cell r="F19" t="str">
            <v>01/02/2025</v>
          </cell>
          <cell r="G19" t="str">
            <v>31/01/2026</v>
          </cell>
          <cell r="H19" t="str">
            <v>08004499</v>
          </cell>
          <cell r="I19" t="str">
            <v>AL BARAKA BANK (PAKISTAN) LIMITED</v>
          </cell>
          <cell r="J19" t="str">
            <v>BANK</v>
          </cell>
          <cell r="K19" t="str">
            <v>Al Baraka Bank Pakistan Limited
Al Baraka Bank Pakistan Limited 
User: Irtaza Jaffry</v>
          </cell>
          <cell r="L19" t="str">
            <v>D</v>
          </cell>
          <cell r="M19" t="str">
            <v>09000221</v>
          </cell>
          <cell r="N19">
            <v>100</v>
          </cell>
          <cell r="O19" t="str">
            <v>KARACHI</v>
          </cell>
          <cell r="P19" t="str">
            <v>H#. 88 Block C Usman Ghani Lane Military Accounts, Lahore</v>
          </cell>
          <cell r="Q19" t="str">
            <v>11000003</v>
          </cell>
          <cell r="R19" t="str">
            <v>SUZUKI CULTUS VXR</v>
          </cell>
          <cell r="S19" t="str">
            <v>2019</v>
          </cell>
          <cell r="T19" t="str">
            <v>LEB-19-1932</v>
          </cell>
          <cell r="U19" t="str">
            <v>137020</v>
          </cell>
          <cell r="V19" t="str">
            <v>10037020</v>
          </cell>
          <cell r="W19" t="str">
            <v>05-feb-2026</v>
          </cell>
          <cell r="Y19">
            <v>-916500</v>
          </cell>
          <cell r="Z19">
            <v>-29629</v>
          </cell>
          <cell r="AA19">
            <v>-34369</v>
          </cell>
        </row>
        <row r="20">
          <cell r="B20" t="str">
            <v>KHI/HO/D/MO/PC COMP/P/105499/01/2025</v>
          </cell>
          <cell r="C20" t="str">
            <v>KHI/HO/D/MO/PC COMP/E/52186/00140/02/2025</v>
          </cell>
          <cell r="D20" t="str">
            <v>REN</v>
          </cell>
          <cell r="E20" t="str">
            <v>11/02/25</v>
          </cell>
          <cell r="F20" t="str">
            <v>04/01/2025</v>
          </cell>
          <cell r="G20" t="str">
            <v>03/01/2026</v>
          </cell>
          <cell r="H20" t="str">
            <v>08004499</v>
          </cell>
          <cell r="I20" t="str">
            <v>AL BARAKA BANK (PAKISTAN) LIMITED</v>
          </cell>
          <cell r="J20" t="str">
            <v>BANK</v>
          </cell>
          <cell r="K20" t="str">
            <v>Al Baraka Bank Pakistan Limited
Mr. 
Al Baraka Bank Pakistan Limited 
User: Wajid  Ali</v>
          </cell>
          <cell r="L20" t="str">
            <v>D</v>
          </cell>
          <cell r="M20" t="str">
            <v>09000221</v>
          </cell>
          <cell r="N20">
            <v>100</v>
          </cell>
          <cell r="O20" t="str">
            <v>KARACHI</v>
          </cell>
          <cell r="P20" t="str">
            <v>H # 1 Rehmat Colony Near Shahbaz Book Center Wandala Road Shahdrah Lahore</v>
          </cell>
          <cell r="Q20" t="str">
            <v>11000003</v>
          </cell>
          <cell r="R20" t="str">
            <v>SUZUKI WAGON-R VXL E2</v>
          </cell>
          <cell r="S20" t="str">
            <v>2015</v>
          </cell>
          <cell r="T20" t="str">
            <v>LE-16-5878</v>
          </cell>
          <cell r="U20" t="str">
            <v>110106</v>
          </cell>
          <cell r="V20" t="str">
            <v>10010103</v>
          </cell>
          <cell r="W20" t="str">
            <v>05-jan-2027</v>
          </cell>
          <cell r="Y20">
            <v>-1080000</v>
          </cell>
          <cell r="Z20">
            <v>-16293</v>
          </cell>
          <cell r="AA20">
            <v>-18900</v>
          </cell>
        </row>
        <row r="21">
          <cell r="B21" t="str">
            <v>KHI/HO/D/MO/PC COMP/P/105499/01/2025</v>
          </cell>
          <cell r="C21" t="str">
            <v>KHI/HO/D/MO/PC COMP/E/52186/00006/02/2025</v>
          </cell>
          <cell r="D21" t="str">
            <v>REN</v>
          </cell>
          <cell r="E21" t="str">
            <v>11/02/25</v>
          </cell>
          <cell r="F21" t="str">
            <v>15/01/2025</v>
          </cell>
          <cell r="G21" t="str">
            <v>14/01/2026</v>
          </cell>
          <cell r="H21" t="str">
            <v>08004499</v>
          </cell>
          <cell r="I21" t="str">
            <v>AL BARAKA BANK (PAKISTAN) LIMITED</v>
          </cell>
          <cell r="J21" t="str">
            <v>BANK</v>
          </cell>
          <cell r="K21" t="str">
            <v>Al Baraka Bank Pakistan Limited
Mr. 
Al Baraka Bank Pakistan Limited 
User: Hafiz Shakil Ahmed Qureshi</v>
          </cell>
          <cell r="L21" t="str">
            <v>D</v>
          </cell>
          <cell r="M21" t="str">
            <v>09000221</v>
          </cell>
          <cell r="N21">
            <v>100</v>
          </cell>
          <cell r="O21" t="str">
            <v>KARACHI</v>
          </cell>
          <cell r="P21" t="str">
            <v>H No 21 St 28 F-6/1 Islamabad</v>
          </cell>
          <cell r="Q21" t="str">
            <v>11000003</v>
          </cell>
          <cell r="R21" t="str">
            <v>SUZUKI CULTUS AGS</v>
          </cell>
          <cell r="S21" t="str">
            <v>2021</v>
          </cell>
          <cell r="T21" t="str">
            <v>AVJ-278</v>
          </cell>
          <cell r="U21" t="str">
            <v>171324</v>
          </cell>
          <cell r="V21" t="str">
            <v>10071324</v>
          </cell>
          <cell r="W21" t="str">
            <v>05-feb-2029</v>
          </cell>
          <cell r="Y21">
            <v>-2880000</v>
          </cell>
          <cell r="Z21">
            <v>-49655</v>
          </cell>
          <cell r="AA21">
            <v>-57600</v>
          </cell>
        </row>
        <row r="22">
          <cell r="B22" t="str">
            <v>KHI/HO/D/MO/PC COMP/P/100245/10/2024</v>
          </cell>
          <cell r="C22" t="str">
            <v>KHI/HO/D/MO/PC COMP/E/52263/00001/02/2025</v>
          </cell>
          <cell r="D22" t="str">
            <v>REN</v>
          </cell>
          <cell r="E22" t="str">
            <v>12/02/25</v>
          </cell>
          <cell r="F22" t="str">
            <v>23/10/2024</v>
          </cell>
          <cell r="G22" t="str">
            <v>22/10/2025</v>
          </cell>
          <cell r="H22" t="str">
            <v>08004499</v>
          </cell>
          <cell r="I22" t="str">
            <v>AL BARAKA BANK (PAKISTAN) LIMITED</v>
          </cell>
          <cell r="J22" t="str">
            <v>BANK</v>
          </cell>
          <cell r="K22" t="str">
            <v>M/s. Al Baraka Bank (Pakistan) Limited
Mr Syed Sajid Ali Shah
HPA M/s. Al Baraka Bank (Pakistan) Limited</v>
          </cell>
          <cell r="L22" t="str">
            <v>D</v>
          </cell>
          <cell r="M22" t="str">
            <v>09000221</v>
          </cell>
          <cell r="N22">
            <v>100</v>
          </cell>
          <cell r="P22" t="str">
            <v>H # 101 Block C PCSIR Staff Colony College Road Lahore</v>
          </cell>
          <cell r="Q22" t="str">
            <v>11000003</v>
          </cell>
          <cell r="R22" t="str">
            <v>SUZUKI CULTUS VXR EURO-II</v>
          </cell>
          <cell r="S22" t="str">
            <v>2017</v>
          </cell>
          <cell r="T22" t="str">
            <v>LEH-17-9557</v>
          </cell>
          <cell r="U22" t="str">
            <v>104380</v>
          </cell>
          <cell r="V22" t="str">
            <v>10004378</v>
          </cell>
          <cell r="X22" t="str">
            <v>3</v>
          </cell>
          <cell r="Y22">
            <v>1290000</v>
          </cell>
          <cell r="Z22">
            <v>22242</v>
          </cell>
          <cell r="AA22">
            <v>25800</v>
          </cell>
        </row>
        <row r="23">
          <cell r="B23" t="str">
            <v>KHI/HO/D/MO/PC COMP/P/100245/10/2024</v>
          </cell>
          <cell r="C23" t="str">
            <v>KHI/HO/D/MO/PC COMP/E/52263/00023/02/2025</v>
          </cell>
          <cell r="D23" t="str">
            <v>REN</v>
          </cell>
          <cell r="E23" t="str">
            <v>12/02/25</v>
          </cell>
          <cell r="F23" t="str">
            <v>27/10/2024</v>
          </cell>
          <cell r="G23" t="str">
            <v>26/10/2025</v>
          </cell>
          <cell r="H23" t="str">
            <v>08004499</v>
          </cell>
          <cell r="I23" t="str">
            <v>AL BARAKA BANK (PAKISTAN) LIMITED</v>
          </cell>
          <cell r="J23" t="str">
            <v>BANK</v>
          </cell>
          <cell r="K23" t="str">
            <v>M/s. Al Baraka Bank (Pakistan) Limited
M/S. Al Baraka Bank (Pakistan) Limited 
User:Hafiz Muhammad Azeem</v>
          </cell>
          <cell r="L23" t="str">
            <v>D</v>
          </cell>
          <cell r="M23" t="str">
            <v>09000221</v>
          </cell>
          <cell r="N23">
            <v>100</v>
          </cell>
          <cell r="O23" t="str">
            <v>KARACHI</v>
          </cell>
          <cell r="P23" t="str">
            <v>H No 410-N St No 18 Block D Pwd Housing Society Islamabad</v>
          </cell>
          <cell r="Q23" t="str">
            <v>11000003</v>
          </cell>
          <cell r="R23" t="str">
            <v>SUZUKI ALTO VXR</v>
          </cell>
          <cell r="S23" t="str">
            <v>2022</v>
          </cell>
          <cell r="T23" t="str">
            <v>BAT-497</v>
          </cell>
          <cell r="U23" t="str">
            <v>253972</v>
          </cell>
          <cell r="V23" t="str">
            <v>1153982</v>
          </cell>
          <cell r="W23" t="str">
            <v>05-nov-2025</v>
          </cell>
          <cell r="Y23">
            <v>-1473050</v>
          </cell>
          <cell r="Z23">
            <v>-11905</v>
          </cell>
          <cell r="AA23">
            <v>-12024</v>
          </cell>
        </row>
        <row r="24">
          <cell r="B24" t="str">
            <v>KHI/HO/D/MO/PC COMP/P/100245/10/2024</v>
          </cell>
          <cell r="C24" t="str">
            <v>KHI/HO/D/MO/PC COMP/E/52263/00055/02/2025</v>
          </cell>
          <cell r="D24" t="str">
            <v>REN</v>
          </cell>
          <cell r="E24" t="str">
            <v>12/02/25</v>
          </cell>
          <cell r="F24" t="str">
            <v>05/10/2024</v>
          </cell>
          <cell r="G24" t="str">
            <v>04/10/2025</v>
          </cell>
          <cell r="H24" t="str">
            <v>08004499</v>
          </cell>
          <cell r="I24" t="str">
            <v>AL BARAKA BANK (PAKISTAN) LIMITED</v>
          </cell>
          <cell r="J24" t="str">
            <v>BANK</v>
          </cell>
          <cell r="K24" t="str">
            <v>M/s. Al Baraka Bank (Pakistan) Limited
M/S. Al Baraka Bank (Pakistan) Limited 
User:Muhammad Riaz</v>
          </cell>
          <cell r="L24" t="str">
            <v>D</v>
          </cell>
          <cell r="M24" t="str">
            <v>09000221</v>
          </cell>
          <cell r="N24">
            <v>100</v>
          </cell>
          <cell r="O24" t="str">
            <v>KARACHI</v>
          </cell>
          <cell r="P24" t="str">
            <v>House 6 Street 1 Moh Bilal Gunj Jaranwala District Faisalabad</v>
          </cell>
          <cell r="Q24" t="str">
            <v>11000003</v>
          </cell>
          <cell r="R24" t="str">
            <v>SUZUKI HUSTLER</v>
          </cell>
          <cell r="S24" t="str">
            <v>2014</v>
          </cell>
          <cell r="T24" t="str">
            <v>LEF-18-9188</v>
          </cell>
          <cell r="U24" t="str">
            <v>R06AF623590</v>
          </cell>
          <cell r="V24" t="str">
            <v>MR31S257835</v>
          </cell>
          <cell r="W24" t="str">
            <v>05-nov-2025</v>
          </cell>
          <cell r="Y24">
            <v>1200000</v>
          </cell>
          <cell r="Z24">
            <v>25862</v>
          </cell>
          <cell r="AA24">
            <v>30000</v>
          </cell>
        </row>
        <row r="25">
          <cell r="B25" t="str">
            <v>KHI/HO/D/MO/PC COMP/P/100245/10/2024</v>
          </cell>
          <cell r="C25" t="str">
            <v>KHI/HO/D/MO/PC COMP/E/52263/00106/02/2025</v>
          </cell>
          <cell r="D25" t="str">
            <v>REN</v>
          </cell>
          <cell r="E25" t="str">
            <v>12/02/25</v>
          </cell>
          <cell r="F25" t="str">
            <v>31/10/2024</v>
          </cell>
          <cell r="G25" t="str">
            <v>30/10/2025</v>
          </cell>
          <cell r="H25" t="str">
            <v>08004499</v>
          </cell>
          <cell r="I25" t="str">
            <v>AL BARAKA BANK (PAKISTAN) LIMITED</v>
          </cell>
          <cell r="J25" t="str">
            <v>BANK</v>
          </cell>
          <cell r="K25" t="str">
            <v>M/s. Al Baraka Bank (Pakistan) Limited
M/S. Al Baraka Bank (Pakistan) Limited 
User:Oumais Mushtaq</v>
          </cell>
          <cell r="L25" t="str">
            <v>D</v>
          </cell>
          <cell r="M25" t="str">
            <v>09000221</v>
          </cell>
          <cell r="N25">
            <v>100</v>
          </cell>
          <cell r="O25" t="str">
            <v>KARACHI</v>
          </cell>
          <cell r="P25" t="str">
            <v>H # C-102 Gr Floor Block 11 Fb Area Karachi</v>
          </cell>
          <cell r="Q25" t="str">
            <v>11000003</v>
          </cell>
          <cell r="R25" t="str">
            <v>SUZUKI ALTO VXL AGS E-2</v>
          </cell>
          <cell r="S25" t="str">
            <v>2022</v>
          </cell>
          <cell r="T25" t="str">
            <v>BVU-336</v>
          </cell>
          <cell r="U25" t="str">
            <v>209568</v>
          </cell>
          <cell r="V25" t="str">
            <v>1109624</v>
          </cell>
          <cell r="W25" t="str">
            <v>05-nov-2025</v>
          </cell>
          <cell r="Y25">
            <v>-1887000</v>
          </cell>
          <cell r="Z25">
            <v>-12201</v>
          </cell>
          <cell r="AA25">
            <v>-12323</v>
          </cell>
        </row>
        <row r="26">
          <cell r="B26" t="str">
            <v>KHI/HO/D/MO/PC COMP/P/100245/10/2024</v>
          </cell>
          <cell r="C26" t="str">
            <v>KHI/HO/D/MO/PC COMP/E/52263/00163/02/2025</v>
          </cell>
          <cell r="D26" t="str">
            <v>REN</v>
          </cell>
          <cell r="E26" t="str">
            <v>12/02/25</v>
          </cell>
          <cell r="F26" t="str">
            <v>30/10/2024</v>
          </cell>
          <cell r="G26" t="str">
            <v>29/10/2025</v>
          </cell>
          <cell r="H26" t="str">
            <v>08004499</v>
          </cell>
          <cell r="I26" t="str">
            <v>AL BARAKA BANK (PAKISTAN) LIMITED</v>
          </cell>
          <cell r="J26" t="str">
            <v>BANK</v>
          </cell>
          <cell r="K26" t="str">
            <v>M/s. Al Baraka Bank (Pakistan) Limited
M/S. Al Baraka Bank (Pakistan) Limited 
User:Mohsin Ali</v>
          </cell>
          <cell r="L26" t="str">
            <v>D</v>
          </cell>
          <cell r="M26" t="str">
            <v>09000221</v>
          </cell>
          <cell r="N26">
            <v>100</v>
          </cell>
          <cell r="O26" t="str">
            <v>KARACHI</v>
          </cell>
          <cell r="P26" t="str">
            <v>Pindi Wala Chowkara Chak 79 Sb Sargodha</v>
          </cell>
          <cell r="Q26" t="str">
            <v>11000003</v>
          </cell>
          <cell r="R26" t="str">
            <v>HONDA CIVIC</v>
          </cell>
          <cell r="S26" t="str">
            <v>2019</v>
          </cell>
          <cell r="T26" t="str">
            <v>APU-823</v>
          </cell>
          <cell r="U26" t="str">
            <v>2953959</v>
          </cell>
          <cell r="V26" t="str">
            <v>057451</v>
          </cell>
          <cell r="W26" t="str">
            <v>05-nov-2025</v>
          </cell>
          <cell r="Y26">
            <v>-2734900</v>
          </cell>
          <cell r="Z26">
            <v>-13262</v>
          </cell>
          <cell r="AA26">
            <v>-13262</v>
          </cell>
        </row>
        <row r="27">
          <cell r="B27" t="str">
            <v>KHI/HO/D/MO/PC COMP/P/102191/11/2024</v>
          </cell>
          <cell r="C27" t="str">
            <v>KHI/HO/D/MO/PC COMP/E/52303/00022/02/2025</v>
          </cell>
          <cell r="D27" t="str">
            <v>REN</v>
          </cell>
          <cell r="E27" t="str">
            <v>12/02/25</v>
          </cell>
          <cell r="F27" t="str">
            <v>25/11/2024</v>
          </cell>
          <cell r="G27" t="str">
            <v>24/11/2025</v>
          </cell>
          <cell r="H27" t="str">
            <v>08004499</v>
          </cell>
          <cell r="I27" t="str">
            <v>AL BARAKA BANK (PAKISTAN) LIMITED</v>
          </cell>
          <cell r="J27" t="str">
            <v>BANK</v>
          </cell>
          <cell r="K27" t="str">
            <v>Mr. 
HPA M/s Al Baraka Bank ( Pakistan ) Limited
Ms. Sadia Nadeem
HPA M/s Al Baraka Bank ( Pakistan ) Limited</v>
          </cell>
          <cell r="L27" t="str">
            <v>D</v>
          </cell>
          <cell r="M27" t="str">
            <v>09000221</v>
          </cell>
          <cell r="N27">
            <v>100</v>
          </cell>
          <cell r="P27" t="str">
            <v>H No 11 Street 31 Jinnah Garden Islamabad</v>
          </cell>
          <cell r="Q27" t="str">
            <v>11000003</v>
          </cell>
          <cell r="R27" t="str">
            <v>SUZUKI WAGON R VXL</v>
          </cell>
          <cell r="S27" t="str">
            <v>2022</v>
          </cell>
          <cell r="T27" t="str">
            <v>BAY-541</v>
          </cell>
          <cell r="U27" t="str">
            <v>240557</v>
          </cell>
          <cell r="V27" t="str">
            <v>10140568</v>
          </cell>
          <cell r="X27" t="str">
            <v>5</v>
          </cell>
          <cell r="Y27">
            <v>-2179400</v>
          </cell>
          <cell r="Z27">
            <v>-18788</v>
          </cell>
          <cell r="AA27">
            <v>-18976</v>
          </cell>
        </row>
        <row r="28">
          <cell r="B28" t="str">
            <v>KHI/HO/D/MO/PC COMP/P/102191/11/2024</v>
          </cell>
          <cell r="C28" t="str">
            <v>KHI/HO/D/MO/PC COMP/E/52303/00023/02/2025</v>
          </cell>
          <cell r="D28" t="str">
            <v>REN</v>
          </cell>
          <cell r="E28" t="str">
            <v>12/02/25</v>
          </cell>
          <cell r="F28" t="str">
            <v>28/11/2024</v>
          </cell>
          <cell r="G28" t="str">
            <v>27/11/2025</v>
          </cell>
          <cell r="H28" t="str">
            <v>08004499</v>
          </cell>
          <cell r="I28" t="str">
            <v>AL BARAKA BANK (PAKISTAN) LIMITED</v>
          </cell>
          <cell r="J28" t="str">
            <v>BANK</v>
          </cell>
          <cell r="K28" t="str">
            <v>Mr. 
HPA M/s Al Baraka Bank ( Pakistan ) Limited
Mr. Daud Sarwar
HPA M/s Al Baraka Bank ( Pakistan ) Limited</v>
          </cell>
          <cell r="L28" t="str">
            <v>D</v>
          </cell>
          <cell r="M28" t="str">
            <v>09000221</v>
          </cell>
          <cell r="N28">
            <v>100</v>
          </cell>
          <cell r="P28" t="str">
            <v>H-314/2 St 3 Siddiqui Lane Gulistan Colony Rawalpindi</v>
          </cell>
          <cell r="Q28" t="str">
            <v>11000003</v>
          </cell>
          <cell r="R28" t="str">
            <v>HONDA CIVIC VTI</v>
          </cell>
          <cell r="S28" t="str">
            <v>2018</v>
          </cell>
          <cell r="T28" t="str">
            <v>AKU-021</v>
          </cell>
          <cell r="U28" t="str">
            <v>2941344</v>
          </cell>
          <cell r="V28" t="str">
            <v>044773</v>
          </cell>
          <cell r="Y28">
            <v>-3400000</v>
          </cell>
          <cell r="Z28">
            <v>-43965</v>
          </cell>
          <cell r="AA28">
            <v>-51000</v>
          </cell>
        </row>
        <row r="29">
          <cell r="B29" t="str">
            <v>KHI/HO/D/MO/PC COMP/P/102191/11/2024</v>
          </cell>
          <cell r="C29" t="str">
            <v>KHI/HO/D/MO/PC COMP/E/52303/00024/02/2025</v>
          </cell>
          <cell r="D29" t="str">
            <v>REN</v>
          </cell>
          <cell r="E29" t="str">
            <v>12/02/25</v>
          </cell>
          <cell r="F29" t="str">
            <v>28/11/2024</v>
          </cell>
          <cell r="G29" t="str">
            <v>27/11/2025</v>
          </cell>
          <cell r="H29" t="str">
            <v>08004499</v>
          </cell>
          <cell r="I29" t="str">
            <v>AL BARAKA BANK (PAKISTAN) LIMITED</v>
          </cell>
          <cell r="J29" t="str">
            <v>BANK</v>
          </cell>
          <cell r="K29" t="str">
            <v>Mr. 
HPA M/s Al Baraka Bank ( Pakistan ) Limited
Ms. Sumeira Nadir
HPA M/s Al Baraka Bank ( Pakistan ) Limited</v>
          </cell>
          <cell r="L29" t="str">
            <v>D</v>
          </cell>
          <cell r="M29" t="str">
            <v>09000221</v>
          </cell>
          <cell r="N29">
            <v>100</v>
          </cell>
          <cell r="P29" t="str">
            <v>H No 428 St No 10 Block B Askari 10 Lahore</v>
          </cell>
          <cell r="Q29" t="str">
            <v>11000003</v>
          </cell>
          <cell r="R29" t="str">
            <v>SUZUKI Swift GLX CVT</v>
          </cell>
          <cell r="S29" t="str">
            <v>2022</v>
          </cell>
          <cell r="T29" t="str">
            <v>AMM-502</v>
          </cell>
          <cell r="U29" t="str">
            <v>1011182</v>
          </cell>
          <cell r="V29" t="str">
            <v>00111194</v>
          </cell>
          <cell r="Y29">
            <v>-2464150</v>
          </cell>
          <cell r="Z29">
            <v>-53107</v>
          </cell>
          <cell r="AA29">
            <v>-61604</v>
          </cell>
        </row>
        <row r="30">
          <cell r="B30" t="str">
            <v>KHI/HO/D/MO/PC COMP/P/102191/11/2024</v>
          </cell>
          <cell r="C30" t="str">
            <v>KHI/HO/D/MO/PC COMP/E/52303/00029/02/2025</v>
          </cell>
          <cell r="D30" t="str">
            <v>REN</v>
          </cell>
          <cell r="E30" t="str">
            <v>12/02/25</v>
          </cell>
          <cell r="F30" t="str">
            <v>29/11/2024</v>
          </cell>
          <cell r="G30" t="str">
            <v>28/11/2025</v>
          </cell>
          <cell r="H30" t="str">
            <v>08004499</v>
          </cell>
          <cell r="I30" t="str">
            <v>AL BARAKA BANK (PAKISTAN) LIMITED</v>
          </cell>
          <cell r="J30" t="str">
            <v>BANK</v>
          </cell>
          <cell r="K30" t="str">
            <v>Mr. 
HPA M/s Al Baraka Bank ( Pakistan ) Limited
Mr. Usman Shaukat 
HPA M/s Al Baraka Bank ( Pakistan ) Limited</v>
          </cell>
          <cell r="L30" t="str">
            <v>D</v>
          </cell>
          <cell r="M30" t="str">
            <v>09000221</v>
          </cell>
          <cell r="N30">
            <v>100</v>
          </cell>
          <cell r="P30" t="str">
            <v>H No 182-A-1 St No 4 Cavalry Ground Lahore Cantt</v>
          </cell>
          <cell r="Q30" t="str">
            <v>11000003</v>
          </cell>
          <cell r="R30" t="str">
            <v>HONDA BRV - S</v>
          </cell>
          <cell r="S30" t="str">
            <v>2019</v>
          </cell>
          <cell r="T30" t="str">
            <v>AMD-845</v>
          </cell>
          <cell r="U30" t="str">
            <v>13513958</v>
          </cell>
          <cell r="V30" t="str">
            <v>R013970</v>
          </cell>
          <cell r="Y30">
            <v>-3485000</v>
          </cell>
          <cell r="Z30">
            <v>-22532</v>
          </cell>
          <cell r="AA30">
            <v>-22757</v>
          </cell>
        </row>
        <row r="31">
          <cell r="B31" t="str">
            <v>KHI/HO/D/MO/PC COMP/P/90920/06/2024</v>
          </cell>
          <cell r="C31" t="str">
            <v>KHI/HO/D/MO/PC COMP/E/52328/00058/02/2025</v>
          </cell>
          <cell r="D31" t="str">
            <v>REN</v>
          </cell>
          <cell r="E31" t="str">
            <v>13/02/25</v>
          </cell>
          <cell r="F31" t="str">
            <v>22/06/2024</v>
          </cell>
          <cell r="G31" t="str">
            <v>21/06/2025</v>
          </cell>
          <cell r="H31" t="str">
            <v>08004499</v>
          </cell>
          <cell r="I31" t="str">
            <v>AL BARAKA BANK (PAKISTAN) LIMITED</v>
          </cell>
          <cell r="J31" t="str">
            <v>BANK</v>
          </cell>
          <cell r="K31" t="str">
            <v>M/s. Al Baraka Bank (Pakistan) Limited
M/S. Al Baraka Bank (Pakistan) Limited
User:Iftikhar Ahmad  Awan</v>
          </cell>
          <cell r="L31" t="str">
            <v>D</v>
          </cell>
          <cell r="M31" t="str">
            <v>09000221</v>
          </cell>
          <cell r="N31">
            <v>100</v>
          </cell>
          <cell r="O31" t="str">
            <v>KARACHI</v>
          </cell>
          <cell r="P31" t="str">
            <v>House # CB-988/A-1 Street # 05 East 
Shabbir Lane Peshawar Rd Rawalpindi</v>
          </cell>
          <cell r="Q31" t="str">
            <v>11000003</v>
          </cell>
          <cell r="R31" t="str">
            <v>SUZUKI ALTO VX</v>
          </cell>
          <cell r="S31" t="str">
            <v>2022</v>
          </cell>
          <cell r="T31" t="str">
            <v>AZJ-820</v>
          </cell>
          <cell r="U31" t="str">
            <v>238136</v>
          </cell>
          <cell r="V31" t="str">
            <v>1138247</v>
          </cell>
          <cell r="W31" t="str">
            <v>05-jul-2027</v>
          </cell>
          <cell r="Y31">
            <v>889900</v>
          </cell>
          <cell r="Z31">
            <v>13425</v>
          </cell>
          <cell r="AA31">
            <v>15573</v>
          </cell>
        </row>
        <row r="32">
          <cell r="B32" t="str">
            <v>KHI/HO/D/MO/PC COMP/P/90920/06/2024</v>
          </cell>
          <cell r="C32" t="str">
            <v>KHI/HO/D/MO/PC COMP/E/52328/00114/02/2025</v>
          </cell>
          <cell r="D32" t="str">
            <v>REN</v>
          </cell>
          <cell r="E32" t="str">
            <v>13/02/25</v>
          </cell>
          <cell r="F32" t="str">
            <v>23/06/2024</v>
          </cell>
          <cell r="G32" t="str">
            <v>22/06/2025</v>
          </cell>
          <cell r="H32" t="str">
            <v>08004499</v>
          </cell>
          <cell r="I32" t="str">
            <v>AL BARAKA BANK (PAKISTAN) LIMITED</v>
          </cell>
          <cell r="J32" t="str">
            <v>BANK</v>
          </cell>
          <cell r="K32" t="str">
            <v>M/s. Al Baraka Bank (Pakistan) Limited
M/S. Al Baraka Bank (Pakistan) Limited
User:Jamal  Ajmal</v>
          </cell>
          <cell r="L32" t="str">
            <v>D</v>
          </cell>
          <cell r="M32" t="str">
            <v>09000221</v>
          </cell>
          <cell r="N32">
            <v>100</v>
          </cell>
          <cell r="O32" t="str">
            <v>KARACHI</v>
          </cell>
          <cell r="P32" t="str">
            <v>House No. 801 Ravi Block Allama Iqbal town Lahore</v>
          </cell>
          <cell r="Q32" t="str">
            <v>11000003</v>
          </cell>
          <cell r="R32" t="str">
            <v>MG HS</v>
          </cell>
          <cell r="S32" t="str">
            <v>2021</v>
          </cell>
          <cell r="T32" t="str">
            <v>AEE-844</v>
          </cell>
          <cell r="U32" t="str">
            <v>2170077</v>
          </cell>
          <cell r="V32" t="str">
            <v>49541</v>
          </cell>
          <cell r="W32" t="str">
            <v>06-jul-2026</v>
          </cell>
          <cell r="Y32">
            <v>1112000</v>
          </cell>
          <cell r="Z32">
            <v>14379</v>
          </cell>
          <cell r="AA32">
            <v>16680</v>
          </cell>
        </row>
        <row r="33">
          <cell r="B33" t="str">
            <v>KHI/HO/D/MO/PC COMP/P/96729/09/2024</v>
          </cell>
          <cell r="C33" t="str">
            <v>KHI/HO/D/MO/PC COMP/E/52338/00049/02/2025</v>
          </cell>
          <cell r="D33" t="str">
            <v>REN</v>
          </cell>
          <cell r="E33" t="str">
            <v>13/02/25</v>
          </cell>
          <cell r="F33" t="str">
            <v>30/09/2024</v>
          </cell>
          <cell r="G33" t="str">
            <v>29/09/2025</v>
          </cell>
          <cell r="H33" t="str">
            <v>08004499</v>
          </cell>
          <cell r="I33" t="str">
            <v>AL BARAKA BANK (PAKISTAN) LIMITED</v>
          </cell>
          <cell r="J33" t="str">
            <v>BANK</v>
          </cell>
          <cell r="K33" t="str">
            <v>Mr. 
HPA M/s.  Al Baraka Bank ( Pakistan ) Limited
Mr. Muhammad Ishaq Kamran 
HPA M/s. Al Baraka Bank ( Pakistan ) Limited</v>
          </cell>
          <cell r="L33" t="str">
            <v>D</v>
          </cell>
          <cell r="M33" t="str">
            <v>09000221</v>
          </cell>
          <cell r="N33">
            <v>100</v>
          </cell>
          <cell r="P33" t="str">
            <v>H # C-76 Tipu Sultan H. Society Check Post 6 Karachi</v>
          </cell>
          <cell r="Q33" t="str">
            <v>11000003</v>
          </cell>
          <cell r="R33" t="str">
            <v>SUZUKI SWIFT DLX A/T NAV.</v>
          </cell>
          <cell r="S33" t="str">
            <v>2020</v>
          </cell>
          <cell r="T33" t="str">
            <v>BSA-248</v>
          </cell>
          <cell r="U33" t="str">
            <v>13048294</v>
          </cell>
          <cell r="V33" t="str">
            <v>10048309</v>
          </cell>
          <cell r="X33" t="str">
            <v>3</v>
          </cell>
          <cell r="Y33">
            <v>2125000</v>
          </cell>
          <cell r="Z33">
            <v>35534</v>
          </cell>
          <cell r="AA33">
            <v>41219</v>
          </cell>
        </row>
        <row r="34">
          <cell r="B34" t="str">
            <v>KHI/HO/D/MO/PC COMP/P/96729/09/2024</v>
          </cell>
          <cell r="C34" t="str">
            <v>KHI/HO/D/MO/PC COMP/E/52338/00008/02/2025</v>
          </cell>
          <cell r="D34" t="str">
            <v>REN</v>
          </cell>
          <cell r="E34" t="str">
            <v>13/02/25</v>
          </cell>
          <cell r="F34" t="str">
            <v>13/09/2024</v>
          </cell>
          <cell r="G34" t="str">
            <v>12/09/2025</v>
          </cell>
          <cell r="H34" t="str">
            <v>08004499</v>
          </cell>
          <cell r="I34" t="str">
            <v>AL BARAKA BANK (PAKISTAN) LIMITED</v>
          </cell>
          <cell r="J34" t="str">
            <v>BANK</v>
          </cell>
          <cell r="K34" t="str">
            <v>Mr. 
HPA M/s.  Al Baraka Bank ( Pakistan ) Limited
Mr. Sarwar Aijaz Siddiqui 
HPA M/s. Al Baraka Bank ( Pakistan ) Limited</v>
          </cell>
          <cell r="L34" t="str">
            <v>D</v>
          </cell>
          <cell r="M34" t="str">
            <v>09000221</v>
          </cell>
          <cell r="N34">
            <v>100</v>
          </cell>
          <cell r="P34" t="str">
            <v>H # A-22 Kehkashan Banglows Block 5 Clifton Karachi</v>
          </cell>
          <cell r="Q34" t="str">
            <v>11000003</v>
          </cell>
          <cell r="R34" t="str">
            <v>TOYOTA Yaris ATIV X 1.5 (</v>
          </cell>
          <cell r="S34" t="str">
            <v>2022</v>
          </cell>
          <cell r="U34" t="str">
            <v>2A56247</v>
          </cell>
          <cell r="V34" t="str">
            <v>7035542</v>
          </cell>
          <cell r="X34" t="str">
            <v>3</v>
          </cell>
          <cell r="Y34">
            <v>-2781872</v>
          </cell>
          <cell r="Z34">
            <v>-8993</v>
          </cell>
          <cell r="AA34">
            <v>-10432</v>
          </cell>
        </row>
        <row r="35">
          <cell r="B35" t="str">
            <v>KHI/HO/D/MO/PC COMP/P/96729/09/2024</v>
          </cell>
          <cell r="C35" t="str">
            <v>KHI/HO/D/MO/PC COMP/E/52338/00030/02/2025</v>
          </cell>
          <cell r="D35" t="str">
            <v>REN</v>
          </cell>
          <cell r="E35" t="str">
            <v>13/02/25</v>
          </cell>
          <cell r="F35" t="str">
            <v>28/09/2024</v>
          </cell>
          <cell r="G35" t="str">
            <v>27/09/2025</v>
          </cell>
          <cell r="H35" t="str">
            <v>08004499</v>
          </cell>
          <cell r="I35" t="str">
            <v>AL BARAKA BANK (PAKISTAN) LIMITED</v>
          </cell>
          <cell r="J35" t="str">
            <v>BANK</v>
          </cell>
          <cell r="K35" t="str">
            <v>Mr. 
HPA M/s.  Al Baraka Bank ( Pakistan ) Limited
Mr. Sheikh Zaka Ullah Javed
HPA M/s.  Al Baraka Bank ( Pakistan ) Limited</v>
          </cell>
          <cell r="L35" t="str">
            <v>D</v>
          </cell>
          <cell r="M35" t="str">
            <v>09000221</v>
          </cell>
          <cell r="N35">
            <v>100</v>
          </cell>
          <cell r="P35" t="str">
            <v>H No E 602 Iqbal Chungi Amar Sidhu Lahore</v>
          </cell>
          <cell r="Q35" t="str">
            <v>11000003</v>
          </cell>
          <cell r="R35" t="str">
            <v>CHANGAN KARVAAN PLUS</v>
          </cell>
          <cell r="S35" t="str">
            <v>2022</v>
          </cell>
          <cell r="T35" t="str">
            <v>AHM-858</v>
          </cell>
          <cell r="U35" t="str">
            <v>U504226</v>
          </cell>
          <cell r="V35" t="str">
            <v>N1016637</v>
          </cell>
          <cell r="Y35">
            <v>-818900</v>
          </cell>
          <cell r="Z35">
            <v>-14119</v>
          </cell>
          <cell r="AA35">
            <v>-16378</v>
          </cell>
        </row>
        <row r="36">
          <cell r="B36" t="str">
            <v>KHI/HO/D/MO/PC COMP/P/96729/09/2024</v>
          </cell>
          <cell r="C36" t="str">
            <v>KHI/HO/D/MO/PC COMP/E/52338/00034/02/2025</v>
          </cell>
          <cell r="D36" t="str">
            <v>REN</v>
          </cell>
          <cell r="E36" t="str">
            <v>13/02/25</v>
          </cell>
          <cell r="F36" t="str">
            <v>28/09/2024</v>
          </cell>
          <cell r="G36" t="str">
            <v>27/09/2025</v>
          </cell>
          <cell r="H36" t="str">
            <v>08004499</v>
          </cell>
          <cell r="I36" t="str">
            <v>AL BARAKA BANK (PAKISTAN) LIMITED</v>
          </cell>
          <cell r="J36" t="str">
            <v>BANK</v>
          </cell>
          <cell r="K36" t="str">
            <v>Mr. 
HPA M/s.  Al Baraka Bank ( Pakistan ) Limited
Mr. Muhammad Mohsin
HPA M/s. Al Baraka Bank ( Pakistan ) Limited</v>
          </cell>
          <cell r="L36" t="str">
            <v>D</v>
          </cell>
          <cell r="M36" t="str">
            <v>09000221</v>
          </cell>
          <cell r="N36">
            <v>100</v>
          </cell>
          <cell r="P36" t="str">
            <v>Pandoki P/O Khas Tehsil Lahore Opp Central Park Lahore</v>
          </cell>
          <cell r="Q36" t="str">
            <v>11000003</v>
          </cell>
          <cell r="R36" t="str">
            <v>SUZUKI WAGON R VXL</v>
          </cell>
          <cell r="S36" t="str">
            <v>2022</v>
          </cell>
          <cell r="T36" t="str">
            <v>AMC-416</v>
          </cell>
          <cell r="U36" t="str">
            <v>240509</v>
          </cell>
          <cell r="V36" t="str">
            <v>10140508</v>
          </cell>
          <cell r="Y36">
            <v>420600</v>
          </cell>
          <cell r="Z36">
            <v>4530</v>
          </cell>
          <cell r="AA36">
            <v>5255</v>
          </cell>
        </row>
        <row r="37">
          <cell r="B37" t="str">
            <v>KHI/HO/D/MO/PC COMP/P/105285/01/2025</v>
          </cell>
          <cell r="C37" t="str">
            <v>KHI/HO/D/MO/PC COMP/E/52358/00005/02/2025</v>
          </cell>
          <cell r="D37" t="str">
            <v>FRE</v>
          </cell>
          <cell r="E37" t="str">
            <v>14/02/25</v>
          </cell>
          <cell r="F37" t="str">
            <v>09/01/2025</v>
          </cell>
          <cell r="G37" t="str">
            <v>08/01/2026</v>
          </cell>
          <cell r="H37" t="str">
            <v>08004499</v>
          </cell>
          <cell r="I37" t="str">
            <v>AL BARAKA BANK (PAKISTAN) LIMITED</v>
          </cell>
          <cell r="J37" t="str">
            <v>BANK</v>
          </cell>
          <cell r="K37" t="str">
            <v>Mr. 
HPA M/s. Al Baraka Bank (Pakistan) Limited
Mr. Tahir Mahmood
HPA M/s. Al Baraka Bank (Pakistan) Limited</v>
          </cell>
          <cell r="L37" t="str">
            <v>D</v>
          </cell>
          <cell r="M37" t="str">
            <v>09000221</v>
          </cell>
          <cell r="N37">
            <v>100</v>
          </cell>
          <cell r="P37" t="str">
            <v>H # 196 ST 1 Village Manawala Badian Road Lahore</v>
          </cell>
          <cell r="Q37" t="str">
            <v>11000003</v>
          </cell>
          <cell r="R37" t="str">
            <v>HONDA CITY 1.3 PT</v>
          </cell>
          <cell r="S37" t="str">
            <v>2020</v>
          </cell>
          <cell r="T37" t="str">
            <v>AAS-317</v>
          </cell>
          <cell r="U37" t="str">
            <v>17541214</v>
          </cell>
          <cell r="V37" t="str">
            <v>264152</v>
          </cell>
          <cell r="Y37">
            <v>-4000000</v>
          </cell>
          <cell r="Z37">
            <v>-51724</v>
          </cell>
          <cell r="AA37">
            <v>-60000</v>
          </cell>
        </row>
        <row r="38">
          <cell r="B38" t="str">
            <v>KHI/HO/D/MO/PC COMP/P/88626/05/2024</v>
          </cell>
          <cell r="C38" t="str">
            <v>KHI/HO/D/MO/PC COMP/E/52429/00137/02/2025</v>
          </cell>
          <cell r="D38" t="str">
            <v>REN</v>
          </cell>
          <cell r="E38" t="str">
            <v>18/02/25</v>
          </cell>
          <cell r="F38" t="str">
            <v>10/05/2024</v>
          </cell>
          <cell r="G38" t="str">
            <v>09/05/2025</v>
          </cell>
          <cell r="H38" t="str">
            <v>08004499</v>
          </cell>
          <cell r="I38" t="str">
            <v>AL BARAKA BANK (PAKISTAN) LIMITED</v>
          </cell>
          <cell r="J38" t="str">
            <v>BANK</v>
          </cell>
          <cell r="K38" t="str">
            <v>HPA M/s. Al Baraka Bank (Pakistan) Limited
Mr. 
Hpa M/S. Al Baraka Bank (Pakistan) Limited 
User:Naveed    Rauf</v>
          </cell>
          <cell r="L38" t="str">
            <v>D</v>
          </cell>
          <cell r="M38" t="str">
            <v>09000221</v>
          </cell>
          <cell r="N38">
            <v>100</v>
          </cell>
          <cell r="O38" t="str">
            <v>KARACHI</v>
          </cell>
          <cell r="P38" t="str">
            <v>Overseas Extension Bahria Town House No. 556 Street 65 Lahore</v>
          </cell>
          <cell r="Q38" t="str">
            <v>11000003</v>
          </cell>
          <cell r="R38" t="str">
            <v>HONDA CIVIC VTI  ORIEL PT</v>
          </cell>
          <cell r="S38" t="str">
            <v>2019</v>
          </cell>
          <cell r="T38" t="str">
            <v>ANK-401</v>
          </cell>
          <cell r="U38" t="str">
            <v>12950769</v>
          </cell>
          <cell r="V38" t="str">
            <v>KR054255</v>
          </cell>
          <cell r="W38" t="str">
            <v>05-jun-2025</v>
          </cell>
          <cell r="Y38">
            <v>2476600</v>
          </cell>
          <cell r="Z38">
            <v>70455</v>
          </cell>
          <cell r="AA38">
            <v>81728</v>
          </cell>
        </row>
        <row r="39">
          <cell r="B39" t="str">
            <v>KHI/HO/D/MO/PC COMP/P/86550/04/2024</v>
          </cell>
          <cell r="C39" t="str">
            <v>KHI/HO/D/MO/PC COMP/E/52430/00005/02/2025</v>
          </cell>
          <cell r="D39" t="str">
            <v>FRE</v>
          </cell>
          <cell r="E39" t="str">
            <v>18/02/25</v>
          </cell>
          <cell r="F39" t="str">
            <v>05/04/2024</v>
          </cell>
          <cell r="G39" t="str">
            <v>04/04/2025</v>
          </cell>
          <cell r="H39" t="str">
            <v>08004499</v>
          </cell>
          <cell r="I39" t="str">
            <v>AL BARAKA BANK (PAKISTAN) LIMITED</v>
          </cell>
          <cell r="J39" t="str">
            <v>BANK</v>
          </cell>
          <cell r="K39" t="str">
            <v>HPA M/s. Al Baraka Bank Pakistan Limited
Mr. Ashar Azfar Hussain
HPA M/s. Al Baraka Bank Pakistan Limited</v>
          </cell>
          <cell r="L39" t="str">
            <v>D</v>
          </cell>
          <cell r="M39" t="str">
            <v>09000221</v>
          </cell>
          <cell r="N39">
            <v>100</v>
          </cell>
          <cell r="P39" t="str">
            <v>House # C-166 Ground Floor Block 10 FB Area Karachi</v>
          </cell>
          <cell r="Q39" t="str">
            <v>11000003</v>
          </cell>
          <cell r="R39" t="str">
            <v>TOYOTA COROLLA ALTIS  1.6</v>
          </cell>
          <cell r="S39" t="str">
            <v>2022</v>
          </cell>
          <cell r="T39" t="str">
            <v>BXS-357</v>
          </cell>
          <cell r="U39" t="str">
            <v>Q096872</v>
          </cell>
          <cell r="V39" t="str">
            <v>R6074367</v>
          </cell>
          <cell r="X39" t="str">
            <v>3</v>
          </cell>
          <cell r="Y39">
            <v>5375000</v>
          </cell>
          <cell r="Z39">
            <v>139009</v>
          </cell>
          <cell r="AA39">
            <v>161250</v>
          </cell>
        </row>
        <row r="40">
          <cell r="B40" t="str">
            <v>KHI/HO/D/MO/PC COMP/P/86550/04/2024</v>
          </cell>
          <cell r="C40" t="str">
            <v>KHI/HO/D/MO/PC COMP/E/52430/00022/02/2025</v>
          </cell>
          <cell r="D40" t="str">
            <v>FRE</v>
          </cell>
          <cell r="E40" t="str">
            <v>18/02/25</v>
          </cell>
          <cell r="F40" t="str">
            <v>22/04/2024</v>
          </cell>
          <cell r="G40" t="str">
            <v>21/04/2025</v>
          </cell>
          <cell r="H40" t="str">
            <v>08004499</v>
          </cell>
          <cell r="I40" t="str">
            <v>AL BARAKA BANK (PAKISTAN) LIMITED</v>
          </cell>
          <cell r="J40" t="str">
            <v>BANK</v>
          </cell>
          <cell r="K40" t="str">
            <v>HPA M/s. Al Baraka Bank Pakistan Limited
User Mr. Khalid Mehmood
HPA M/s. Al Baraka Bank Pakistan Limited</v>
          </cell>
          <cell r="L40" t="str">
            <v>D</v>
          </cell>
          <cell r="M40" t="str">
            <v>09000221</v>
          </cell>
          <cell r="N40">
            <v>100</v>
          </cell>
          <cell r="P40" t="str">
            <v>H No 105 Street No 3 Mohallah Khawaha Garden Hilal Road Faisalabad</v>
          </cell>
          <cell r="Q40" t="str">
            <v>11000003</v>
          </cell>
          <cell r="R40" t="str">
            <v>TOYOTA YARIS</v>
          </cell>
          <cell r="S40" t="str">
            <v>2020</v>
          </cell>
          <cell r="T40" t="str">
            <v>AAN-359</v>
          </cell>
          <cell r="U40" t="str">
            <v>2A08640</v>
          </cell>
          <cell r="V40" t="str">
            <v>NSP151R9503669</v>
          </cell>
          <cell r="X40" t="str">
            <v>3</v>
          </cell>
          <cell r="Y40">
            <v>4100000</v>
          </cell>
          <cell r="Z40">
            <v>-20297</v>
          </cell>
          <cell r="AA40">
            <v>-20500</v>
          </cell>
        </row>
        <row r="41">
          <cell r="B41" t="str">
            <v>KHI/HO/D/MO/PC COMP/P/86550/04/2024</v>
          </cell>
          <cell r="C41" t="str">
            <v>KHI/HO/D/MO/PC COMP/E/52430/00007/02/2025</v>
          </cell>
          <cell r="D41" t="str">
            <v>FRE</v>
          </cell>
          <cell r="E41" t="str">
            <v>18/02/25</v>
          </cell>
          <cell r="F41" t="str">
            <v>08/04/2024</v>
          </cell>
          <cell r="G41" t="str">
            <v>07/04/2025</v>
          </cell>
          <cell r="H41" t="str">
            <v>08004499</v>
          </cell>
          <cell r="I41" t="str">
            <v>AL BARAKA BANK (PAKISTAN) LIMITED</v>
          </cell>
          <cell r="J41" t="str">
            <v>BANK</v>
          </cell>
          <cell r="K41" t="str">
            <v>HPA M/s. Al Baraka Bank Pakistan Limited
Mr. Ashar Azfar Hussain
HPA M/s. Al Baraka Bank Pakistan Limited</v>
          </cell>
          <cell r="L41" t="str">
            <v>D</v>
          </cell>
          <cell r="M41" t="str">
            <v>09000221</v>
          </cell>
          <cell r="N41">
            <v>100</v>
          </cell>
          <cell r="P41" t="str">
            <v>House # C-166 Ground Floor Block-10 FB Area Karachi</v>
          </cell>
          <cell r="Q41" t="str">
            <v>11000003</v>
          </cell>
          <cell r="R41" t="str">
            <v>TOYOTA COROLLA ALTIS  1.6</v>
          </cell>
          <cell r="S41" t="str">
            <v>2022</v>
          </cell>
          <cell r="T41" t="str">
            <v>BXS-357</v>
          </cell>
          <cell r="U41" t="str">
            <v>Q096872</v>
          </cell>
          <cell r="V41" t="str">
            <v>R6074367</v>
          </cell>
          <cell r="X41" t="str">
            <v>3</v>
          </cell>
          <cell r="Y41">
            <v>-5375000</v>
          </cell>
          <cell r="Z41">
            <v>-70724</v>
          </cell>
          <cell r="AA41">
            <v>-80625</v>
          </cell>
        </row>
        <row r="42">
          <cell r="B42" t="str">
            <v>KHI/HO/D/MO/PC COMP/P/86550/04/2024</v>
          </cell>
          <cell r="C42" t="str">
            <v>KHI/HO/D/MO/PC COMP/E/52430/00009/02/2025</v>
          </cell>
          <cell r="D42" t="str">
            <v>FRE</v>
          </cell>
          <cell r="E42" t="str">
            <v>18/02/25</v>
          </cell>
          <cell r="F42" t="str">
            <v>08/04/2024</v>
          </cell>
          <cell r="G42" t="str">
            <v>07/04/2025</v>
          </cell>
          <cell r="H42" t="str">
            <v>08004499</v>
          </cell>
          <cell r="I42" t="str">
            <v>AL BARAKA BANK (PAKISTAN) LIMITED</v>
          </cell>
          <cell r="J42" t="str">
            <v>BANK</v>
          </cell>
          <cell r="K42" t="str">
            <v>HPA M/s. Al Baraka Bank Pakistan Limited
M/s. Meezan Bank Limited Main Branch Karachi
User A/c .MUHAMMAD YUSUF MUNIM MOHAJIR</v>
          </cell>
          <cell r="L42" t="str">
            <v>D</v>
          </cell>
          <cell r="M42" t="str">
            <v>09000221</v>
          </cell>
          <cell r="N42">
            <v>100</v>
          </cell>
          <cell r="P42" t="str">
            <v>SDH 359, FALCON COMPLEX, NEW MALIR, KARACHI (MALIR CANTT CHECPOST 5)</v>
          </cell>
          <cell r="Q42" t="str">
            <v>11000003</v>
          </cell>
          <cell r="R42" t="str">
            <v>SUZUKI ALTO VXR</v>
          </cell>
          <cell r="S42" t="str">
            <v>2024</v>
          </cell>
          <cell r="U42" t="str">
            <v>6R297940</v>
          </cell>
          <cell r="V42" t="str">
            <v>NF1AET306H1197915</v>
          </cell>
          <cell r="X42" t="str">
            <v>3</v>
          </cell>
          <cell r="Y42">
            <v>-2894000</v>
          </cell>
          <cell r="Z42">
            <v>-38079</v>
          </cell>
          <cell r="AA42">
            <v>-43410</v>
          </cell>
        </row>
        <row r="43">
          <cell r="B43" t="str">
            <v>KHI/HO/D/MO/PC COMP/P/96715/09/2024</v>
          </cell>
          <cell r="C43" t="str">
            <v>KHI/HO/D/MO/PC COMP/E/52452/00012/02/2025</v>
          </cell>
          <cell r="D43" t="str">
            <v>REN</v>
          </cell>
          <cell r="E43" t="str">
            <v>19/02/25</v>
          </cell>
          <cell r="F43" t="str">
            <v>28/09/2024</v>
          </cell>
          <cell r="G43" t="str">
            <v>27/09/2025</v>
          </cell>
          <cell r="H43" t="str">
            <v>08004499</v>
          </cell>
          <cell r="I43" t="str">
            <v>AL BARAKA BANK (PAKISTAN) LIMITED</v>
          </cell>
          <cell r="J43" t="str">
            <v>BANK</v>
          </cell>
          <cell r="K43" t="str">
            <v>Mr.  
HPA M/s. Al Baraka Bank (Pakistan) Limited
Mr.  Farhan Khan  
HPA M/s. Al Baraka Bank (Pakistan) Limited</v>
          </cell>
          <cell r="L43" t="str">
            <v>D</v>
          </cell>
          <cell r="M43" t="str">
            <v>09000221</v>
          </cell>
          <cell r="N43">
            <v>100</v>
          </cell>
          <cell r="P43" t="str">
            <v>H # M-1107 Street 52 Ammar pura Rawalpindi</v>
          </cell>
          <cell r="Q43" t="str">
            <v>11000003</v>
          </cell>
          <cell r="R43" t="str">
            <v>SUZUKI SWIFT DLX EURO II</v>
          </cell>
          <cell r="S43" t="str">
            <v>2018</v>
          </cell>
          <cell r="T43" t="str">
            <v>AJU-304</v>
          </cell>
          <cell r="U43" t="str">
            <v>13041541</v>
          </cell>
          <cell r="V43" t="str">
            <v>10041525</v>
          </cell>
          <cell r="X43" t="str">
            <v>3</v>
          </cell>
          <cell r="Y43">
            <v>-562500</v>
          </cell>
          <cell r="Z43">
            <v>-9698</v>
          </cell>
          <cell r="AA43">
            <v>-11250</v>
          </cell>
        </row>
        <row r="44">
          <cell r="B44" t="str">
            <v>KHI/HO/D/MO/PC COMP/P/85019/03/2024</v>
          </cell>
          <cell r="C44" t="str">
            <v>KHI/HO/D/MO/PC COMP/E/52466/00001/02/2025</v>
          </cell>
          <cell r="D44" t="str">
            <v>REN</v>
          </cell>
          <cell r="E44" t="str">
            <v>19/02/25</v>
          </cell>
          <cell r="F44" t="str">
            <v>30/03/2024</v>
          </cell>
          <cell r="G44" t="str">
            <v>29/03/2025</v>
          </cell>
          <cell r="H44" t="str">
            <v>08004499</v>
          </cell>
          <cell r="I44" t="str">
            <v>AL BARAKA BANK (PAKISTAN) LIMITED</v>
          </cell>
          <cell r="J44" t="str">
            <v>BANK</v>
          </cell>
          <cell r="K44" t="str">
            <v>Mr. 
HPA M/s. Al Baraka Bank (Pakistan) Limited
Ms. Salma Shaikh 
HP M/s. Al Baraka Bank (Pakistan) Limited</v>
          </cell>
          <cell r="L44" t="str">
            <v>D</v>
          </cell>
          <cell r="M44" t="str">
            <v>09000221</v>
          </cell>
          <cell r="N44">
            <v>100</v>
          </cell>
          <cell r="P44" t="str">
            <v>Flat No. 3 Rafiq Center Block K North Nazimabad Karachi</v>
          </cell>
          <cell r="Q44" t="str">
            <v>11000003</v>
          </cell>
          <cell r="R44" t="str">
            <v>SUZUKI WAGON-R VXR</v>
          </cell>
          <cell r="S44" t="str">
            <v>2015</v>
          </cell>
          <cell r="T44" t="str">
            <v>BDG-776</v>
          </cell>
          <cell r="U44" t="str">
            <v>102174</v>
          </cell>
          <cell r="V44" t="str">
            <v>10002272</v>
          </cell>
          <cell r="X44" t="str">
            <v>3</v>
          </cell>
          <cell r="Y44">
            <v>-968000</v>
          </cell>
          <cell r="Z44">
            <v>-21184</v>
          </cell>
          <cell r="AA44">
            <v>-24200</v>
          </cell>
        </row>
        <row r="45">
          <cell r="B45" t="str">
            <v>KHI/HO/D/MO/PC COMP/P/102088/11/2024</v>
          </cell>
          <cell r="C45" t="str">
            <v>KHI/HO/D/MO/PC COMP/E/52467/00048/02/2025</v>
          </cell>
          <cell r="D45" t="str">
            <v>REN</v>
          </cell>
          <cell r="E45" t="str">
            <v>19/02/25</v>
          </cell>
          <cell r="F45" t="str">
            <v>24/11/2024</v>
          </cell>
          <cell r="G45" t="str">
            <v>23/11/2025</v>
          </cell>
          <cell r="H45" t="str">
            <v>08004499</v>
          </cell>
          <cell r="I45" t="str">
            <v>AL BARAKA BANK (PAKISTAN) LIMITED</v>
          </cell>
          <cell r="J45" t="str">
            <v>BANK</v>
          </cell>
          <cell r="K45" t="str">
            <v>HPA M/s. Al Baraka Bank (Pakistan) Limited
Hpa M/S. Al Baraka Bank (Pakistan) Limited
User: Muhammad Saleem</v>
          </cell>
          <cell r="L45" t="str">
            <v>D</v>
          </cell>
          <cell r="M45" t="str">
            <v>09000221</v>
          </cell>
          <cell r="N45">
            <v>100</v>
          </cell>
          <cell r="P45" t="str">
            <v>H#5 St # 3 Moh Nain Bazar Astana Naqshbandi Daroghawala Lahore</v>
          </cell>
          <cell r="Q45" t="str">
            <v>11000003</v>
          </cell>
          <cell r="R45" t="str">
            <v>TOYOTA YARIS ATIV CVT</v>
          </cell>
          <cell r="S45" t="str">
            <v>2020</v>
          </cell>
          <cell r="T45" t="str">
            <v>ABA-391</v>
          </cell>
          <cell r="U45" t="str">
            <v>2A12878</v>
          </cell>
          <cell r="V45" t="str">
            <v>7007542</v>
          </cell>
          <cell r="Y45">
            <v>-1873500</v>
          </cell>
          <cell r="Z45">
            <v>-60565</v>
          </cell>
          <cell r="AA45">
            <v>-70256</v>
          </cell>
        </row>
        <row r="46">
          <cell r="B46" t="str">
            <v>KHI/HO/D/MO/PC COMP/P/102088/11/2024</v>
          </cell>
          <cell r="C46" t="str">
            <v>KHI/HO/D/MO/PC COMP/E/52467/00023/02/2025</v>
          </cell>
          <cell r="D46" t="str">
            <v>REN</v>
          </cell>
          <cell r="E46" t="str">
            <v>19/02/25</v>
          </cell>
          <cell r="F46" t="str">
            <v>21/11/2024</v>
          </cell>
          <cell r="G46" t="str">
            <v>20/11/2025</v>
          </cell>
          <cell r="H46" t="str">
            <v>08004499</v>
          </cell>
          <cell r="I46" t="str">
            <v>AL BARAKA BANK (PAKISTAN) LIMITED</v>
          </cell>
          <cell r="J46" t="str">
            <v>BANK</v>
          </cell>
          <cell r="K46" t="str">
            <v>HPA M/s. Al Baraka Bank (Pakistan) Limited
Mr. Muhammad Faisal
HPA M/s. Al Baraka Bank (Pakistan) Limited</v>
          </cell>
          <cell r="L46" t="str">
            <v>D</v>
          </cell>
          <cell r="M46" t="str">
            <v>09000221</v>
          </cell>
          <cell r="N46">
            <v>100</v>
          </cell>
          <cell r="P46" t="str">
            <v>UG-39 Mateen Shopping Galaxy Gulshan 10-A Block Karachi</v>
          </cell>
          <cell r="Q46" t="str">
            <v>11000003</v>
          </cell>
          <cell r="R46" t="str">
            <v>TOYOTA COROLLA ALTIS  1.6</v>
          </cell>
          <cell r="S46" t="str">
            <v>2021</v>
          </cell>
          <cell r="T46" t="str">
            <v>BUZ-973</v>
          </cell>
          <cell r="U46" t="str">
            <v>Q076041</v>
          </cell>
          <cell r="V46" t="str">
            <v>6053544</v>
          </cell>
          <cell r="Y46">
            <v>-4680000</v>
          </cell>
          <cell r="Z46">
            <v>-60517</v>
          </cell>
          <cell r="AA46">
            <v>-70200</v>
          </cell>
        </row>
        <row r="47">
          <cell r="B47" t="str">
            <v>KHI/HO/D/MO/PC COMP/P/102088/11/2024</v>
          </cell>
          <cell r="C47" t="str">
            <v>KHI/HO/D/MO/PC COMP/E/52467/00036/02/2025</v>
          </cell>
          <cell r="D47" t="str">
            <v>REN</v>
          </cell>
          <cell r="E47" t="str">
            <v>19/02/25</v>
          </cell>
          <cell r="F47" t="str">
            <v>29/11/2024</v>
          </cell>
          <cell r="G47" t="str">
            <v>28/11/2025</v>
          </cell>
          <cell r="H47" t="str">
            <v>08004499</v>
          </cell>
          <cell r="I47" t="str">
            <v>AL BARAKA BANK (PAKISTAN) LIMITED</v>
          </cell>
          <cell r="J47" t="str">
            <v>BANK</v>
          </cell>
          <cell r="K47" t="str">
            <v>HPA M/s. Al Baraka Bank (Pakistan) Limited
Mr. Syed Tasawar Hussain Shah
HPA M/s. Al Baraka Bank (Pakistan) Limited</v>
          </cell>
          <cell r="L47" t="str">
            <v>D</v>
          </cell>
          <cell r="M47" t="str">
            <v>09000221</v>
          </cell>
          <cell r="N47">
            <v>100</v>
          </cell>
          <cell r="P47" t="str">
            <v>H No 5 St No 1 Pak Town Shangi Road Lahore</v>
          </cell>
          <cell r="Q47" t="str">
            <v>11000003</v>
          </cell>
          <cell r="R47" t="str">
            <v>KIA SPORTAGE</v>
          </cell>
          <cell r="S47" t="str">
            <v>2019</v>
          </cell>
          <cell r="T47" t="str">
            <v>APY-19-105</v>
          </cell>
          <cell r="U47" t="str">
            <v>H039166</v>
          </cell>
          <cell r="V47" t="str">
            <v>P501200</v>
          </cell>
          <cell r="Y47">
            <v>-6300000</v>
          </cell>
          <cell r="Z47">
            <v>-81465</v>
          </cell>
          <cell r="AA47">
            <v>-94500</v>
          </cell>
        </row>
        <row r="48">
          <cell r="B48" t="str">
            <v>KHI/HO/D/MO/PC COMP/P/102212/11/2024</v>
          </cell>
          <cell r="C48" t="str">
            <v>KHI/HO/D/MO/PC COMP/E/52469/00003/02/2025</v>
          </cell>
          <cell r="D48" t="str">
            <v>REN</v>
          </cell>
          <cell r="E48" t="str">
            <v>19/02/25</v>
          </cell>
          <cell r="F48" t="str">
            <v>05/11/2024</v>
          </cell>
          <cell r="G48" t="str">
            <v>04/11/2025</v>
          </cell>
          <cell r="H48" t="str">
            <v>08004499</v>
          </cell>
          <cell r="I48" t="str">
            <v>AL BARAKA BANK (PAKISTAN) LIMITED</v>
          </cell>
          <cell r="J48" t="str">
            <v>BANK</v>
          </cell>
          <cell r="K48" t="str">
            <v>HPA M/s. Al Baraka Bank (Pakistan) Limited
Hpa M/S. Al Baraka Bank (Pakistan) Limited
User: Muhammad Idrees</v>
          </cell>
          <cell r="L48" t="str">
            <v>D</v>
          </cell>
          <cell r="M48" t="str">
            <v>09000221</v>
          </cell>
          <cell r="N48">
            <v>100</v>
          </cell>
          <cell r="O48" t="str">
            <v>KARACHI</v>
          </cell>
          <cell r="P48" t="str">
            <v>House No. 13 Street 3 Babu Sabu Road Shera Kot Lahore</v>
          </cell>
          <cell r="Q48" t="str">
            <v>11000003</v>
          </cell>
          <cell r="R48" t="str">
            <v>SUZUKI WAGON-R VXL E2</v>
          </cell>
          <cell r="S48" t="str">
            <v>2018</v>
          </cell>
          <cell r="T48" t="str">
            <v>LEC-18A-6259</v>
          </cell>
          <cell r="U48" t="str">
            <v>175093</v>
          </cell>
          <cell r="V48" t="str">
            <v>10075076</v>
          </cell>
          <cell r="W48" t="str">
            <v>05-dec-2025</v>
          </cell>
          <cell r="Y48">
            <v>-769600</v>
          </cell>
          <cell r="Z48">
            <v>-24879</v>
          </cell>
          <cell r="AA48">
            <v>-28860</v>
          </cell>
        </row>
        <row r="49">
          <cell r="B49" t="str">
            <v>KHI/HO/D/MO/PC COMP/P/101342/11/2024</v>
          </cell>
          <cell r="C49" t="str">
            <v>KHI/HO/D/MO/PC COMP/E/52470/00003/02/2025</v>
          </cell>
          <cell r="D49" t="str">
            <v>FRE</v>
          </cell>
          <cell r="E49" t="str">
            <v>19/02/25</v>
          </cell>
          <cell r="F49" t="str">
            <v>05/11/2024</v>
          </cell>
          <cell r="G49" t="str">
            <v>04/11/2025</v>
          </cell>
          <cell r="H49" t="str">
            <v>08004499</v>
          </cell>
          <cell r="I49" t="str">
            <v>AL BARAKA BANK (PAKISTAN) LIMITED</v>
          </cell>
          <cell r="J49" t="str">
            <v>BANK</v>
          </cell>
          <cell r="K49" t="str">
            <v>Mr.
HPA M/s. Al Baraka Bank Pakitan Limited
M/s. Al Baraka Bank Pakistan Limited
User Mr. Salman ul Hasan Farooqui</v>
          </cell>
          <cell r="L49" t="str">
            <v>D</v>
          </cell>
          <cell r="M49" t="str">
            <v>09000221</v>
          </cell>
          <cell r="N49">
            <v>100</v>
          </cell>
          <cell r="P49" t="str">
            <v>3rd Floor Flat no 77, G Street 19, Askari IV Rashid Minhas Road Karachi</v>
          </cell>
          <cell r="Q49" t="str">
            <v>11000003</v>
          </cell>
          <cell r="R49" t="str">
            <v>TOYOTA Yaris ATIV 1.3 (CV</v>
          </cell>
          <cell r="S49" t="str">
            <v>2021</v>
          </cell>
          <cell r="T49" t="str">
            <v>BTJ-559</v>
          </cell>
          <cell r="U49" t="str">
            <v>23589</v>
          </cell>
          <cell r="V49" t="str">
            <v>7014189</v>
          </cell>
          <cell r="X49" t="str">
            <v>3</v>
          </cell>
          <cell r="Y49">
            <v>-3800000</v>
          </cell>
          <cell r="Z49">
            <v>-49138</v>
          </cell>
          <cell r="AA49">
            <v>-57000</v>
          </cell>
        </row>
        <row r="50">
          <cell r="B50" t="str">
            <v>KHI/HO/D/MO/PC COMP/P/98823/10/2024</v>
          </cell>
          <cell r="C50" t="str">
            <v>KHI/HO/D/MO/PC COMP/E/52471/00044/02/2025</v>
          </cell>
          <cell r="D50" t="str">
            <v>FRE</v>
          </cell>
          <cell r="E50" t="str">
            <v>19/02/25</v>
          </cell>
          <cell r="F50" t="str">
            <v>31/10/2024</v>
          </cell>
          <cell r="G50" t="str">
            <v>30/10/2025</v>
          </cell>
          <cell r="H50" t="str">
            <v>08004499</v>
          </cell>
          <cell r="I50" t="str">
            <v>AL BARAKA BANK (PAKISTAN) LIMITED</v>
          </cell>
          <cell r="J50" t="str">
            <v>BANK</v>
          </cell>
          <cell r="K50" t="str">
            <v>Mr. 
HPA M/s. Al Baraka Bank Pakistan Limited
Mr. Muhammad Asghar 
HPA M/s. Al Baraka Bank Pakistan Limited</v>
          </cell>
          <cell r="L50" t="str">
            <v>D</v>
          </cell>
          <cell r="M50" t="str">
            <v>09000221</v>
          </cell>
          <cell r="N50">
            <v>100</v>
          </cell>
          <cell r="P50" t="str">
            <v>Raja Bola Village PO Khas Lahore</v>
          </cell>
          <cell r="Q50" t="str">
            <v>11000003</v>
          </cell>
          <cell r="R50" t="str">
            <v>SUZUKI ALTO VXR E-2</v>
          </cell>
          <cell r="S50" t="str">
            <v>2020</v>
          </cell>
          <cell r="T50" t="str">
            <v>AAK-969</v>
          </cell>
          <cell r="U50" t="str">
            <v>6R138903</v>
          </cell>
          <cell r="V50" t="str">
            <v>H1038896</v>
          </cell>
          <cell r="X50" t="str">
            <v>3</v>
          </cell>
          <cell r="Y50">
            <v>-2150000</v>
          </cell>
          <cell r="Z50">
            <v>-37069</v>
          </cell>
          <cell r="AA50">
            <v>-43000</v>
          </cell>
        </row>
        <row r="51">
          <cell r="B51" t="str">
            <v>KHI/HO/D/MO/PC COMP/P/83022/02/2024</v>
          </cell>
          <cell r="C51" t="str">
            <v>KHI/HO/D/MO/PC COMP/E/52480/00007/02/2025</v>
          </cell>
          <cell r="D51" t="str">
            <v>FRE</v>
          </cell>
          <cell r="E51" t="str">
            <v>19/02/25</v>
          </cell>
          <cell r="F51" t="str">
            <v>09/02/2024</v>
          </cell>
          <cell r="G51" t="str">
            <v>08/02/2025</v>
          </cell>
          <cell r="H51" t="str">
            <v>08004499</v>
          </cell>
          <cell r="I51" t="str">
            <v>AL BARAKA BANK (PAKISTAN) LIMITED</v>
          </cell>
          <cell r="J51" t="str">
            <v>BANK</v>
          </cell>
          <cell r="K51" t="str">
            <v>Mr
HPA M/s. Al Baraka Bank (Pakistan) Limited
Mr Muhammad Tayyab 
HPA M/s. Al Baraka Bank (Pakistan) Limited</v>
          </cell>
          <cell r="L51" t="str">
            <v>D</v>
          </cell>
          <cell r="M51" t="str">
            <v>09000221</v>
          </cell>
          <cell r="N51">
            <v>100</v>
          </cell>
          <cell r="P51" t="str">
            <v>Near Kss School Barkat Colony Shalimar Scheme Daroghawala Lahore</v>
          </cell>
          <cell r="Q51" t="str">
            <v>11000003</v>
          </cell>
          <cell r="R51" t="str">
            <v>SUZUKI CULTUS VXR EURO-II</v>
          </cell>
          <cell r="S51" t="str">
            <v>2017</v>
          </cell>
          <cell r="T51" t="str">
            <v>LEC-17-8578</v>
          </cell>
          <cell r="U51" t="str">
            <v>637250</v>
          </cell>
          <cell r="V51" t="str">
            <v>544125</v>
          </cell>
          <cell r="X51" t="str">
            <v>3</v>
          </cell>
          <cell r="Y51">
            <v>-1450000</v>
          </cell>
          <cell r="Z51">
            <v>-25439</v>
          </cell>
          <cell r="AA51">
            <v>-29000</v>
          </cell>
        </row>
        <row r="52">
          <cell r="B52" t="str">
            <v>KHI/HO/D/MO/PC COMP/P/103764/12/2024</v>
          </cell>
          <cell r="C52" t="str">
            <v>KHI/HO/D/MO/PC COMP/E/52481/00012/02/2025</v>
          </cell>
          <cell r="D52" t="str">
            <v>REN</v>
          </cell>
          <cell r="E52" t="str">
            <v>19/02/25</v>
          </cell>
          <cell r="F52" t="str">
            <v>23/12/2024</v>
          </cell>
          <cell r="G52" t="str">
            <v>22/12/2025</v>
          </cell>
          <cell r="H52" t="str">
            <v>08004499</v>
          </cell>
          <cell r="I52" t="str">
            <v>AL BARAKA BANK (PAKISTAN) LIMITED</v>
          </cell>
          <cell r="J52" t="str">
            <v>BANK</v>
          </cell>
          <cell r="K52" t="str">
            <v>M/s. Al Baraka Bank (Pakistan) Limited
M/S. Al Baraka Bank (Pakistan) Limited 
User: Faisal  .</v>
          </cell>
          <cell r="L52" t="str">
            <v>D</v>
          </cell>
          <cell r="M52" t="str">
            <v>09000221</v>
          </cell>
          <cell r="N52">
            <v>100</v>
          </cell>
          <cell r="O52" t="str">
            <v>KARACHI</v>
          </cell>
          <cell r="P52" t="str">
            <v>H No 261 Street No 20 Azam Basti Mehmoodabad Karachi</v>
          </cell>
          <cell r="Q52" t="str">
            <v>11000003</v>
          </cell>
          <cell r="R52" t="str">
            <v>SUZUKI ALTO</v>
          </cell>
          <cell r="S52" t="str">
            <v>2024</v>
          </cell>
          <cell r="T52" t="str">
            <v>BZH-314</v>
          </cell>
          <cell r="U52" t="str">
            <v>291969</v>
          </cell>
          <cell r="V52" t="str">
            <v>1192048</v>
          </cell>
          <cell r="W52" t="str">
            <v>26-jan-2029</v>
          </cell>
          <cell r="Y52">
            <v>-2350800</v>
          </cell>
          <cell r="Z52">
            <v>-25332</v>
          </cell>
          <cell r="AA52">
            <v>-25585</v>
          </cell>
        </row>
        <row r="53">
          <cell r="B53" t="str">
            <v>KHI/HO/D/MO/PC COMP/P/103764/12/2024</v>
          </cell>
          <cell r="C53" t="str">
            <v>KHI/HO/D/MO/PC COMP/E/52481/00117/02/2025</v>
          </cell>
          <cell r="D53" t="str">
            <v>REN</v>
          </cell>
          <cell r="E53" t="str">
            <v>19/02/25</v>
          </cell>
          <cell r="F53" t="str">
            <v>28/12/2024</v>
          </cell>
          <cell r="G53" t="str">
            <v>27/12/2025</v>
          </cell>
          <cell r="H53" t="str">
            <v>08004499</v>
          </cell>
          <cell r="I53" t="str">
            <v>AL BARAKA BANK (PAKISTAN) LIMITED</v>
          </cell>
          <cell r="J53" t="str">
            <v>BANK</v>
          </cell>
          <cell r="K53" t="str">
            <v>M/s. Al Baraka Bank (Pakistan) Limited
M/S. Al Baraka Bank (Pakistan) Limited 
User: Aleem  Ali</v>
          </cell>
          <cell r="L53" t="str">
            <v>D</v>
          </cell>
          <cell r="M53" t="str">
            <v>09000221</v>
          </cell>
          <cell r="N53">
            <v>100</v>
          </cell>
          <cell r="O53" t="str">
            <v>KARACHI</v>
          </cell>
          <cell r="P53" t="str">
            <v>Chak 466 Gb Shahpur Samundari Faisalabad</v>
          </cell>
          <cell r="Q53" t="str">
            <v>11000003</v>
          </cell>
          <cell r="R53" t="str">
            <v>CHANGAN KARVAAN PLUS</v>
          </cell>
          <cell r="S53" t="str">
            <v>2021</v>
          </cell>
          <cell r="T53" t="str">
            <v>AGJ-740</v>
          </cell>
          <cell r="U53" t="str">
            <v>503297</v>
          </cell>
          <cell r="V53" t="str">
            <v>1011387</v>
          </cell>
          <cell r="W53" t="str">
            <v>11-may-2029</v>
          </cell>
          <cell r="Y53">
            <v>-1231200</v>
          </cell>
          <cell r="Z53">
            <v>-26535</v>
          </cell>
          <cell r="AA53">
            <v>-30780</v>
          </cell>
        </row>
        <row r="54">
          <cell r="B54" t="str">
            <v>KHI/HO/D/MO/PC COMP/P/107407/02/2025</v>
          </cell>
          <cell r="C54" t="str">
            <v>KHI/HO/D/MO/PC COMP/E/52526/00054/02/2025</v>
          </cell>
          <cell r="D54" t="str">
            <v>REN</v>
          </cell>
          <cell r="E54" t="str">
            <v>20/02/25</v>
          </cell>
          <cell r="F54" t="str">
            <v>16/02/2025</v>
          </cell>
          <cell r="G54" t="str">
            <v>15/02/2026</v>
          </cell>
          <cell r="H54" t="str">
            <v>08004499</v>
          </cell>
          <cell r="I54" t="str">
            <v>AL BARAKA BANK (PAKISTAN) LIMITED</v>
          </cell>
          <cell r="J54" t="str">
            <v>BANK</v>
          </cell>
          <cell r="K54" t="str">
            <v>Mr.
HPA M/s. Al Baraka Bank (Pakistan) Limited
Hpa M/S. Al Baraka Bank (Pakistan) Limited 
User: Rao  Zohair  Hussain</v>
          </cell>
          <cell r="L54" t="str">
            <v>D</v>
          </cell>
          <cell r="M54" t="str">
            <v>09000221</v>
          </cell>
          <cell r="N54">
            <v>100</v>
          </cell>
          <cell r="O54" t="str">
            <v>KARACHI</v>
          </cell>
          <cell r="P54" t="str">
            <v>H # R-329 Anwar-e-Ibrahim Malir City Karachi</v>
          </cell>
          <cell r="Q54" t="str">
            <v>11000003</v>
          </cell>
          <cell r="R54" t="str">
            <v>SUZUKI ALTO VXL AGS E-2</v>
          </cell>
          <cell r="S54" t="str">
            <v>2020</v>
          </cell>
          <cell r="T54" t="str">
            <v>BRT-130</v>
          </cell>
          <cell r="U54" t="str">
            <v>6R125324</v>
          </cell>
          <cell r="V54" t="str">
            <v>1025347</v>
          </cell>
          <cell r="W54" t="str">
            <v>06-mar-2028</v>
          </cell>
          <cell r="Y54">
            <v>557500</v>
          </cell>
          <cell r="Z54">
            <v>7210</v>
          </cell>
          <cell r="AA54">
            <v>8363</v>
          </cell>
        </row>
        <row r="55">
          <cell r="B55" t="str">
            <v>KHI/HO/D/MO/CV/P/85008/03/2024</v>
          </cell>
          <cell r="C55" t="str">
            <v>KHI/HO/D/MO/CV/E/52568/00001/02/2025</v>
          </cell>
          <cell r="D55" t="str">
            <v>REN</v>
          </cell>
          <cell r="E55" t="str">
            <v>21/02/25</v>
          </cell>
          <cell r="F55" t="str">
            <v>02/03/2024</v>
          </cell>
          <cell r="G55" t="str">
            <v>01/03/2025</v>
          </cell>
          <cell r="H55" t="str">
            <v>08004499</v>
          </cell>
          <cell r="I55" t="str">
            <v>AL BARAKA BANK (PAKISTAN) LIMITED</v>
          </cell>
          <cell r="J55" t="str">
            <v>BANK</v>
          </cell>
          <cell r="K55" t="str">
            <v>HPA M/s. Al Baraka Bank (Pakistan) Limited
Mr. Atif Khan
HPA M/s. Al Baraka Bank (Pakistan) Limited</v>
          </cell>
          <cell r="L55" t="str">
            <v>D</v>
          </cell>
          <cell r="M55" t="str">
            <v>09000221</v>
          </cell>
          <cell r="N55">
            <v>100</v>
          </cell>
          <cell r="O55" t="str">
            <v>KARACHI</v>
          </cell>
          <cell r="P55" t="str">
            <v>House No. C-38 Block H North Nazimabad Karachi</v>
          </cell>
          <cell r="Q55" t="str">
            <v>11000003</v>
          </cell>
          <cell r="R55" t="str">
            <v>JAC X-200</v>
          </cell>
          <cell r="S55" t="str">
            <v>2021</v>
          </cell>
          <cell r="T55" t="str">
            <v>KZ-7066</v>
          </cell>
          <cell r="U55" t="str">
            <v>L4018839</v>
          </cell>
          <cell r="V55" t="str">
            <v>L1803436</v>
          </cell>
          <cell r="X55" t="str">
            <v>3</v>
          </cell>
          <cell r="Y55">
            <v>1932000</v>
          </cell>
          <cell r="Z55">
            <v>-23911</v>
          </cell>
          <cell r="AA55">
            <v>-24150</v>
          </cell>
        </row>
        <row r="56">
          <cell r="B56" t="str">
            <v>KHI/HO/D/MO/PC COMP/P/70036/04/2023</v>
          </cell>
          <cell r="C56" t="str">
            <v>KHI/HO/D/MO/PC COMP/E/52591/00033/02/2025</v>
          </cell>
          <cell r="D56" t="str">
            <v>REN</v>
          </cell>
          <cell r="E56" t="str">
            <v>24/02/25</v>
          </cell>
          <cell r="F56" t="str">
            <v>28/04/2023</v>
          </cell>
          <cell r="G56" t="str">
            <v>27/04/2024</v>
          </cell>
          <cell r="H56" t="str">
            <v>08004499</v>
          </cell>
          <cell r="I56" t="str">
            <v>AL BARAKA BANK (PAKISTAN) LIMITED</v>
          </cell>
          <cell r="J56" t="str">
            <v>BANK</v>
          </cell>
          <cell r="K56" t="str">
            <v>HPA M/s. Al Baraka Bank Pakistan Limited
Mr. Noman Mehdi 
HPA M/s. Al Baraka Bank Pakistan Limited</v>
          </cell>
          <cell r="L56" t="str">
            <v>D</v>
          </cell>
          <cell r="M56" t="str">
            <v>09000221</v>
          </cell>
          <cell r="N56">
            <v>100</v>
          </cell>
          <cell r="O56" t="str">
            <v>KARACHI</v>
          </cell>
          <cell r="P56" t="str">
            <v>Flat No. 806 Gulf Residency  Gulf tower Karachi</v>
          </cell>
          <cell r="Q56" t="str">
            <v>11000003</v>
          </cell>
          <cell r="R56" t="str">
            <v>TOYOTA YARIS ATIV X CVT</v>
          </cell>
          <cell r="S56" t="str">
            <v>2021</v>
          </cell>
          <cell r="U56" t="str">
            <v>24518</v>
          </cell>
          <cell r="V56" t="str">
            <v>9509772</v>
          </cell>
          <cell r="X56" t="str">
            <v>3</v>
          </cell>
          <cell r="Y56">
            <v>148250</v>
          </cell>
          <cell r="Z56">
            <v>1917</v>
          </cell>
          <cell r="AA56">
            <v>2224</v>
          </cell>
        </row>
        <row r="57">
          <cell r="B57" t="str">
            <v>KHI/HO/D/MO/PC COMP/P/83400/02/2024</v>
          </cell>
          <cell r="C57" t="str">
            <v>KHI/HO/D/MO/PC COMP/E/52598/00001/02/2025</v>
          </cell>
          <cell r="D57" t="str">
            <v>REN</v>
          </cell>
          <cell r="E57" t="str">
            <v>24/02/25</v>
          </cell>
          <cell r="F57" t="str">
            <v>20/03/2022</v>
          </cell>
          <cell r="G57" t="str">
            <v>19/03/2023</v>
          </cell>
          <cell r="H57" t="str">
            <v>08004499</v>
          </cell>
          <cell r="I57" t="str">
            <v>AL BARAKA BANK (PAKISTAN) LIMITED</v>
          </cell>
          <cell r="J57" t="str">
            <v>BANK</v>
          </cell>
          <cell r="K57" t="str">
            <v>M/s. Al Baraka Bank (Pakistan) Limited
Mr. Muhammad Irfan
HPA M/s. Al Baraka Bank (Pakistan) Limited</v>
          </cell>
          <cell r="L57" t="str">
            <v>D</v>
          </cell>
          <cell r="M57" t="str">
            <v>09000221</v>
          </cell>
          <cell r="N57">
            <v>100</v>
          </cell>
          <cell r="P57" t="str">
            <v>Upper Portion H # 383 Block F Gulshan-e-Ravi Lahore</v>
          </cell>
          <cell r="Q57" t="str">
            <v>11000003</v>
          </cell>
          <cell r="R57" t="str">
            <v>HONDA CIVIC VTI  ORIEL PT</v>
          </cell>
          <cell r="S57" t="str">
            <v>2020</v>
          </cell>
          <cell r="T57" t="str">
            <v>LEB-20-1137</v>
          </cell>
          <cell r="U57" t="str">
            <v>Z12957038</v>
          </cell>
          <cell r="V57" t="str">
            <v>LR061017</v>
          </cell>
          <cell r="X57" t="str">
            <v>3</v>
          </cell>
          <cell r="Y57">
            <v>392700</v>
          </cell>
          <cell r="Z57">
            <v>5078</v>
          </cell>
          <cell r="AA57">
            <v>5891</v>
          </cell>
        </row>
        <row r="58">
          <cell r="B58" t="str">
            <v>KHI/HO/D/MO/PC COMP/P/54909/07/2021</v>
          </cell>
          <cell r="C58" t="str">
            <v>KHI/HO/D/MO/PC COMP/E/52787/00030/02/2025</v>
          </cell>
          <cell r="D58" t="str">
            <v>FRE</v>
          </cell>
          <cell r="E58" t="str">
            <v>28/02/25</v>
          </cell>
          <cell r="F58" t="str">
            <v>15/07/2021</v>
          </cell>
          <cell r="G58" t="str">
            <v>14/07/2022</v>
          </cell>
          <cell r="H58" t="str">
            <v>08004499</v>
          </cell>
          <cell r="I58" t="str">
            <v>AL BARAKA BANK (PAKISTAN) LIMITED</v>
          </cell>
          <cell r="J58" t="str">
            <v>BANK</v>
          </cell>
          <cell r="K58" t="str">
            <v>HPA M/s. Al Baraka Bank Pakistan Limited
Mr. Tariq Mehmood Khan   
HPA M/s. Al Baraka Bank Pakistan Limited</v>
          </cell>
          <cell r="L58" t="str">
            <v>D</v>
          </cell>
          <cell r="M58" t="str">
            <v>09000221</v>
          </cell>
          <cell r="N58">
            <v>100</v>
          </cell>
          <cell r="O58" t="str">
            <v>RAWALPINDI</v>
          </cell>
          <cell r="P58" t="str">
            <v>House No. 135 Lane 6 Askari 10 Rawalpindi</v>
          </cell>
          <cell r="Q58" t="str">
            <v>11000003</v>
          </cell>
          <cell r="R58" t="str">
            <v>SUZUKI CULTUS VXL EURO II</v>
          </cell>
          <cell r="S58" t="str">
            <v>2021</v>
          </cell>
          <cell r="U58" t="str">
            <v>178707</v>
          </cell>
          <cell r="V58" t="str">
            <v>10078700</v>
          </cell>
          <cell r="X58" t="str">
            <v>3</v>
          </cell>
          <cell r="Y58">
            <v>120000</v>
          </cell>
          <cell r="Z58">
            <v>2586</v>
          </cell>
          <cell r="AA58">
            <v>3000</v>
          </cell>
        </row>
        <row r="59">
          <cell r="B59" t="str">
            <v>KHI/HO/D/MO/PC COMP/P/72882/07/2023</v>
          </cell>
          <cell r="C59" t="str">
            <v>KHI/HO/D/MO/PC COMP/E/52788/00014/02/2025</v>
          </cell>
          <cell r="D59" t="str">
            <v>REN</v>
          </cell>
          <cell r="E59" t="str">
            <v>28/02/25</v>
          </cell>
          <cell r="F59" t="str">
            <v>15/07/2023</v>
          </cell>
          <cell r="G59" t="str">
            <v>14/07/2024</v>
          </cell>
          <cell r="H59" t="str">
            <v>08004499</v>
          </cell>
          <cell r="I59" t="str">
            <v>AL BARAKA BANK (PAKISTAN) LIMITED</v>
          </cell>
          <cell r="J59" t="str">
            <v>BANK</v>
          </cell>
          <cell r="K59" t="str">
            <v>M/S. AL BARAKA BANK (PAKISTAN ) LIMITED
Mr. Tariq Mehmood Khan
HPA M/s. Al Baraka Bank Pakistan Limited</v>
          </cell>
          <cell r="L59" t="str">
            <v>D</v>
          </cell>
          <cell r="M59" t="str">
            <v>09000221</v>
          </cell>
          <cell r="N59">
            <v>100</v>
          </cell>
          <cell r="P59" t="str">
            <v>House No. 135 Lane 6 Askari 10 Rawalpindi</v>
          </cell>
          <cell r="Q59" t="str">
            <v>11000003</v>
          </cell>
          <cell r="R59" t="str">
            <v>SUZUKI CULTUS VXL EURO II</v>
          </cell>
          <cell r="S59" t="str">
            <v>2021</v>
          </cell>
          <cell r="T59" t="str">
            <v>AUE-852</v>
          </cell>
          <cell r="U59" t="str">
            <v>178707</v>
          </cell>
          <cell r="V59" t="str">
            <v>10078700</v>
          </cell>
          <cell r="X59" t="str">
            <v>3</v>
          </cell>
          <cell r="Y59">
            <v>-95160</v>
          </cell>
          <cell r="Z59">
            <v>-2355</v>
          </cell>
          <cell r="AA59">
            <v>-2379</v>
          </cell>
        </row>
        <row r="60">
          <cell r="B60" t="str">
            <v>KHI/HO/D/MO/PC COMP/P/93460/07/2024</v>
          </cell>
          <cell r="C60" t="str">
            <v>KHI/HO/D/MO/PC COMP/E/52789/00011/02/2025</v>
          </cell>
          <cell r="D60" t="str">
            <v>REN</v>
          </cell>
          <cell r="E60" t="str">
            <v>28/02/25</v>
          </cell>
          <cell r="F60" t="str">
            <v>15/07/2024</v>
          </cell>
          <cell r="G60" t="str">
            <v>14/07/2025</v>
          </cell>
          <cell r="H60" t="str">
            <v>08004499</v>
          </cell>
          <cell r="I60" t="str">
            <v>AL BARAKA BANK (PAKISTAN) LIMITED</v>
          </cell>
          <cell r="J60" t="str">
            <v>BANK</v>
          </cell>
          <cell r="K60" t="str">
            <v>M/S. AL BARAKA BANK (PAKISTAN ) LIMITED
Mr. Tariq Mehmood Khan
HPA M/s. Al Baraka Bank Pakistan Limited</v>
          </cell>
          <cell r="L60" t="str">
            <v>D</v>
          </cell>
          <cell r="M60" t="str">
            <v>09000221</v>
          </cell>
          <cell r="N60">
            <v>100</v>
          </cell>
          <cell r="P60" t="str">
            <v>House No. 135 Lane 6 Askari 10 Rawalpindi</v>
          </cell>
          <cell r="Q60" t="str">
            <v>11000003</v>
          </cell>
          <cell r="R60" t="str">
            <v>SUZUKI CULTUS VXL EURO II</v>
          </cell>
          <cell r="S60" t="str">
            <v>2021</v>
          </cell>
          <cell r="T60" t="str">
            <v>AUE-852</v>
          </cell>
          <cell r="U60" t="str">
            <v>178707</v>
          </cell>
          <cell r="V60" t="str">
            <v>10078700</v>
          </cell>
          <cell r="X60" t="str">
            <v>3</v>
          </cell>
          <cell r="Y60">
            <v>-95160</v>
          </cell>
          <cell r="Z60">
            <v>-2355</v>
          </cell>
          <cell r="AA60">
            <v>-2379</v>
          </cell>
        </row>
        <row r="61">
          <cell r="B61" t="str">
            <v>KHI/HO/D/MO/PC COMP/P/93457/07/2024</v>
          </cell>
          <cell r="C61" t="str">
            <v>KHI/HO/D/MO/PC COMP/E/52795/00034/02/2025</v>
          </cell>
          <cell r="D61" t="str">
            <v>REN</v>
          </cell>
          <cell r="E61" t="str">
            <v>28/02/25</v>
          </cell>
          <cell r="F61" t="str">
            <v>26/07/2024</v>
          </cell>
          <cell r="G61" t="str">
            <v>25/07/2025</v>
          </cell>
          <cell r="H61" t="str">
            <v>08004499</v>
          </cell>
          <cell r="I61" t="str">
            <v>AL BARAKA BANK (PAKISTAN) LIMITED</v>
          </cell>
          <cell r="J61" t="str">
            <v>BANK</v>
          </cell>
          <cell r="K61" t="str">
            <v>HPA M/s. Al Baraka Bank (Pakistan) Limited
Mr. Muhammad Yasir
HPA M/s. Al Baraka Bank (Pakistan) Limited</v>
          </cell>
          <cell r="L61" t="str">
            <v>D</v>
          </cell>
          <cell r="M61" t="str">
            <v>09000221</v>
          </cell>
          <cell r="N61">
            <v>100</v>
          </cell>
          <cell r="P61" t="str">
            <v>H # 27/5-A Waris Rd Lahore</v>
          </cell>
          <cell r="Q61" t="str">
            <v>11000003</v>
          </cell>
          <cell r="R61" t="str">
            <v>HONDA CITY</v>
          </cell>
          <cell r="S61" t="str">
            <v>2022</v>
          </cell>
          <cell r="T61" t="str">
            <v>ANA-752</v>
          </cell>
          <cell r="U61" t="str">
            <v>1013449</v>
          </cell>
          <cell r="V61" t="str">
            <v>NR024550</v>
          </cell>
          <cell r="Y61">
            <v>-2665600</v>
          </cell>
          <cell r="Z61">
            <v>-7181</v>
          </cell>
          <cell r="AA61">
            <v>-7181</v>
          </cell>
        </row>
        <row r="62">
          <cell r="B62" t="str">
            <v>KHI/HO/D/MO/CV/P/83823/02/2024</v>
          </cell>
          <cell r="C62" t="str">
            <v>KHI/HO/D/MO/CV/E/52796/02/2025</v>
          </cell>
          <cell r="D62" t="str">
            <v>FRE</v>
          </cell>
          <cell r="E62" t="str">
            <v>28/02/25</v>
          </cell>
          <cell r="F62" t="str">
            <v>01/02/2024</v>
          </cell>
          <cell r="G62" t="str">
            <v>31/01/2029</v>
          </cell>
          <cell r="H62" t="str">
            <v>08004499</v>
          </cell>
          <cell r="I62" t="str">
            <v>AL BARAKA BANK (PAKISTAN) LIMITED</v>
          </cell>
          <cell r="J62" t="str">
            <v>BANK</v>
          </cell>
          <cell r="K62" t="str">
            <v>Mr. Naseer Ahmad 
CNIC No. 31303-3836555-9
Cell No. 03039795100
...</v>
          </cell>
          <cell r="L62" t="str">
            <v>D</v>
          </cell>
          <cell r="M62" t="str">
            <v>09000221</v>
          </cell>
          <cell r="N62">
            <v>100</v>
          </cell>
          <cell r="O62" t="str">
            <v>RAHIM YAR KHAN</v>
          </cell>
          <cell r="Q62" t="str">
            <v>11000003</v>
          </cell>
          <cell r="R62" t="str">
            <v>MILLAT TRACTOR MF 385</v>
          </cell>
          <cell r="S62" t="str">
            <v>2023</v>
          </cell>
          <cell r="T62" t="str">
            <v>CAR-9912</v>
          </cell>
          <cell r="U62" t="str">
            <v>619338 J</v>
          </cell>
          <cell r="V62" t="str">
            <v>902702423</v>
          </cell>
          <cell r="Y62">
            <v>-3465000</v>
          </cell>
          <cell r="Z62">
            <v>-85718</v>
          </cell>
          <cell r="AA62">
            <v>-86625</v>
          </cell>
        </row>
        <row r="63">
          <cell r="B63" t="str">
            <v>KHI/HO/D/MO/PC COMP/P/88626/05/2024</v>
          </cell>
          <cell r="C63" t="str">
            <v>KHI/HO/D/MO/PC COMP/E/52826/00078/03/2025</v>
          </cell>
          <cell r="D63" t="str">
            <v>REN</v>
          </cell>
          <cell r="E63" t="str">
            <v>03/03/25</v>
          </cell>
          <cell r="F63" t="str">
            <v>11/05/2024</v>
          </cell>
          <cell r="G63" t="str">
            <v>10/05/2025</v>
          </cell>
          <cell r="H63" t="str">
            <v>08004499</v>
          </cell>
          <cell r="I63" t="str">
            <v>AL BARAKA BANK (PAKISTAN) LIMITED</v>
          </cell>
          <cell r="J63" t="str">
            <v>BANK</v>
          </cell>
          <cell r="K63" t="str">
            <v>Mr. 
HPA M/s. Al Baraka Bank (Pakistan) Limited
Mr. 
Hpa M/S. Al Baraka Bank (Pakistan) Limited 
User:Manzoor  Ahmad</v>
          </cell>
          <cell r="L63" t="str">
            <v>D</v>
          </cell>
          <cell r="M63" t="str">
            <v>09000221</v>
          </cell>
          <cell r="N63">
            <v>100</v>
          </cell>
          <cell r="O63" t="str">
            <v>KARACHI</v>
          </cell>
          <cell r="P63" t="str">
            <v>H # 178 Lda Sikandaria Colony Sodaywal Multan Road Lahore</v>
          </cell>
          <cell r="Q63" t="str">
            <v>11000003</v>
          </cell>
          <cell r="R63" t="str">
            <v>SUZUKI ALTO VXR E-2</v>
          </cell>
          <cell r="S63" t="str">
            <v>2022</v>
          </cell>
          <cell r="T63" t="str">
            <v>ADJ-427</v>
          </cell>
          <cell r="U63" t="str">
            <v>6R228551</v>
          </cell>
          <cell r="V63" t="str">
            <v>H1128477</v>
          </cell>
          <cell r="W63" t="str">
            <v>05-jun-2027</v>
          </cell>
          <cell r="Y63">
            <v>170850</v>
          </cell>
          <cell r="Z63">
            <v>3682</v>
          </cell>
          <cell r="AA63">
            <v>4271</v>
          </cell>
        </row>
        <row r="64">
          <cell r="B64" t="str">
            <v>KHI/HO/D/MO/PC COMP/P/88626/05/2024</v>
          </cell>
          <cell r="C64" t="str">
            <v>KHI/HO/D/MO/PC COMP/E/52826/00001/03/2025</v>
          </cell>
          <cell r="D64" t="str">
            <v>REN</v>
          </cell>
          <cell r="E64" t="str">
            <v>03/03/25</v>
          </cell>
          <cell r="F64" t="str">
            <v>03/05/2024</v>
          </cell>
          <cell r="G64" t="str">
            <v>02/05/2025</v>
          </cell>
          <cell r="H64" t="str">
            <v>08004499</v>
          </cell>
          <cell r="I64" t="str">
            <v>AL BARAKA BANK (PAKISTAN) LIMITED</v>
          </cell>
          <cell r="J64" t="str">
            <v>BANK</v>
          </cell>
          <cell r="K64" t="str">
            <v>Mr. 
HPA M/s. Al Baraka Bank (Pakistan) Limited
Mr. Masood Ahmed Khan
HPA M/s. Al Baraka Bank (Pakistan) Limited</v>
          </cell>
          <cell r="L64" t="str">
            <v>D</v>
          </cell>
          <cell r="M64" t="str">
            <v>09000221</v>
          </cell>
          <cell r="N64">
            <v>100</v>
          </cell>
          <cell r="P64" t="str">
            <v>House No. 134 Street 13 Block B PAEC Housing Society Rawat Rawalpindi</v>
          </cell>
          <cell r="Q64" t="str">
            <v>11000003</v>
          </cell>
          <cell r="R64" t="str">
            <v>SUZUKI WAGON-R VXL E2</v>
          </cell>
          <cell r="S64" t="str">
            <v>2021</v>
          </cell>
          <cell r="T64" t="str">
            <v>ATT-837</v>
          </cell>
          <cell r="U64" t="str">
            <v>214064</v>
          </cell>
          <cell r="V64" t="str">
            <v>10114073</v>
          </cell>
          <cell r="X64" t="str">
            <v>3</v>
          </cell>
          <cell r="Y64">
            <v>60550</v>
          </cell>
          <cell r="Z64">
            <v>8050</v>
          </cell>
          <cell r="AA64">
            <v>8131</v>
          </cell>
        </row>
        <row r="65">
          <cell r="B65" t="str">
            <v>KHI/HO/D/MO/PC COMP/P/90321/06/2024</v>
          </cell>
          <cell r="C65" t="str">
            <v>KHI/HO/D/MO/PC COMP/E/52828/00003/03/2025</v>
          </cell>
          <cell r="D65" t="str">
            <v>FRE</v>
          </cell>
          <cell r="E65" t="str">
            <v>03/03/25</v>
          </cell>
          <cell r="F65" t="str">
            <v>10/06/2024</v>
          </cell>
          <cell r="G65" t="str">
            <v>09/06/2025</v>
          </cell>
          <cell r="H65" t="str">
            <v>08004499</v>
          </cell>
          <cell r="I65" t="str">
            <v>AL BARAKA BANK (PAKISTAN) LIMITED</v>
          </cell>
          <cell r="J65" t="str">
            <v>BANK</v>
          </cell>
          <cell r="K65" t="str">
            <v>Mr.
HPA M/s. Al Baraka Bank (Pakistan) Limited
Mr. Kamran Rauf Chaudhary 
HPA M/s. Al Baraka Bank (Pakistan) Limited</v>
          </cell>
          <cell r="L65" t="str">
            <v>D</v>
          </cell>
          <cell r="M65" t="str">
            <v>09000221</v>
          </cell>
          <cell r="N65">
            <v>100</v>
          </cell>
          <cell r="P65" t="str">
            <v>H No 455 Block 3 Sector D 2 Green Town Lahore</v>
          </cell>
          <cell r="Q65" t="str">
            <v>11000003</v>
          </cell>
          <cell r="R65" t="str">
            <v>HONDA CITY PROSMATEC</v>
          </cell>
          <cell r="S65" t="str">
            <v>2020</v>
          </cell>
          <cell r="T65" t="str">
            <v>ABY-162</v>
          </cell>
          <cell r="U65" t="str">
            <v>17542125</v>
          </cell>
          <cell r="V65" t="str">
            <v>265393</v>
          </cell>
          <cell r="Y65">
            <v>3000000</v>
          </cell>
          <cell r="Z65">
            <v>12931</v>
          </cell>
          <cell r="AA65">
            <v>15000</v>
          </cell>
        </row>
        <row r="66">
          <cell r="B66" t="str">
            <v>KHI/HO/D/MO/PC COMP/P/86550/04/2024</v>
          </cell>
          <cell r="C66" t="str">
            <v>KHI/HO/D/MO/PC COMP/E/52829/00039/03/2025</v>
          </cell>
          <cell r="D66" t="str">
            <v>FRE</v>
          </cell>
          <cell r="E66" t="str">
            <v>03/03/25</v>
          </cell>
          <cell r="F66" t="str">
            <v>27/04/2024</v>
          </cell>
          <cell r="G66" t="str">
            <v>26/04/2025</v>
          </cell>
          <cell r="H66" t="str">
            <v>08004499</v>
          </cell>
          <cell r="I66" t="str">
            <v>AL BARAKA BANK (PAKISTAN) LIMITED</v>
          </cell>
          <cell r="J66" t="str">
            <v>BANK</v>
          </cell>
          <cell r="K66" t="str">
            <v>Mr.
HPA M/s. Al Baraka Bank Pakistan Limited
Mr. Ch. Muhammad Mateen 
HPA M/s. Al Baraka Bank Pakistan Limited</v>
          </cell>
          <cell r="L66" t="str">
            <v>D</v>
          </cell>
          <cell r="M66" t="str">
            <v>09000221</v>
          </cell>
          <cell r="N66">
            <v>100</v>
          </cell>
          <cell r="P66" t="str">
            <v>H # 106 Block A Waris  Street Nazir Garden Harbanspura Lahore</v>
          </cell>
          <cell r="Q66" t="str">
            <v>11000003</v>
          </cell>
          <cell r="R66" t="str">
            <v>HONDA CITY I-VTEC (M/T)</v>
          </cell>
          <cell r="S66" t="str">
            <v>2017</v>
          </cell>
          <cell r="T66" t="str">
            <v>LEF-17-8937</v>
          </cell>
          <cell r="U66" t="str">
            <v>459653</v>
          </cell>
          <cell r="V66" t="str">
            <v>HR202418</v>
          </cell>
          <cell r="X66" t="str">
            <v>3</v>
          </cell>
          <cell r="Y66">
            <v>100000</v>
          </cell>
          <cell r="Z66">
            <v>1724</v>
          </cell>
          <cell r="AA66">
            <v>2000</v>
          </cell>
        </row>
        <row r="67">
          <cell r="B67" t="str">
            <v>KHI/HO/D/MO/PC COMP/P/86646/04/2024</v>
          </cell>
          <cell r="C67" t="str">
            <v>KHI/HO/D/MO/PC COMP/E/52830/00050/03/2025</v>
          </cell>
          <cell r="D67" t="str">
            <v>REN</v>
          </cell>
          <cell r="E67" t="str">
            <v>03/03/25</v>
          </cell>
          <cell r="F67" t="str">
            <v>20/04/2024</v>
          </cell>
          <cell r="G67" t="str">
            <v>19/04/2025</v>
          </cell>
          <cell r="H67" t="str">
            <v>08004499</v>
          </cell>
          <cell r="I67" t="str">
            <v>AL BARAKA BANK (PAKISTAN) LIMITED</v>
          </cell>
          <cell r="J67" t="str">
            <v>BANK</v>
          </cell>
          <cell r="K67" t="str">
            <v>M/s. Al Baraka Bank (Pakistan) Limited
Mr. Hafiz Dilawar Hussain 
HPA M/s. Al Baraka Bank (Pakistan) Limited</v>
          </cell>
          <cell r="L67" t="str">
            <v>D</v>
          </cell>
          <cell r="M67" t="str">
            <v>09000221</v>
          </cell>
          <cell r="N67">
            <v>100</v>
          </cell>
          <cell r="P67" t="str">
            <v>Basti Sultana Abad Post Office Shah Pur 
Ablain Tehsil Hasilpur</v>
          </cell>
          <cell r="Q67" t="str">
            <v>11000003</v>
          </cell>
          <cell r="R67" t="str">
            <v>SUZUKI WAGON-R VXR</v>
          </cell>
          <cell r="S67" t="str">
            <v>2022</v>
          </cell>
          <cell r="T67" t="str">
            <v>AGX-876</v>
          </cell>
          <cell r="U67" t="str">
            <v>233940</v>
          </cell>
          <cell r="V67" t="str">
            <v>10133915</v>
          </cell>
          <cell r="Y67">
            <v>1809650</v>
          </cell>
          <cell r="Z67">
            <v>-17917</v>
          </cell>
          <cell r="AA67">
            <v>-18096</v>
          </cell>
        </row>
        <row r="68">
          <cell r="B68" t="str">
            <v>KHI/HO/D/MO/PC COMP/P/85047/03/2024</v>
          </cell>
          <cell r="C68" t="str">
            <v>KHI/HO/D/MO/PC COMP/E/52831/00048/03/2025</v>
          </cell>
          <cell r="D68" t="str">
            <v>REN</v>
          </cell>
          <cell r="E68" t="str">
            <v>03/03/25</v>
          </cell>
          <cell r="F68" t="str">
            <v>24/03/2024</v>
          </cell>
          <cell r="G68" t="str">
            <v>23/03/2025</v>
          </cell>
          <cell r="H68" t="str">
            <v>08004499</v>
          </cell>
          <cell r="I68" t="str">
            <v>AL BARAKA BANK (PAKISTAN) LIMITED</v>
          </cell>
          <cell r="J68" t="str">
            <v>BANK</v>
          </cell>
          <cell r="K68" t="str">
            <v>Mr.
HPA M/S Al Baraka Bank (Pakistan) Limited
Mr. Awais Aslam  
HPA M/S Al Baraka Bank (Pakistan) Limited</v>
          </cell>
          <cell r="L68" t="str">
            <v>D</v>
          </cell>
          <cell r="M68" t="str">
            <v>09000221</v>
          </cell>
          <cell r="N68">
            <v>100</v>
          </cell>
          <cell r="O68" t="str">
            <v>LAHORE</v>
          </cell>
          <cell r="P68" t="str">
            <v>91-N Sabzazar Scheme Multan Road Lahore</v>
          </cell>
          <cell r="Q68" t="str">
            <v>11000003</v>
          </cell>
          <cell r="R68" t="str">
            <v>KIA PICANTO 1.0L A/T</v>
          </cell>
          <cell r="S68" t="str">
            <v>2022</v>
          </cell>
          <cell r="T68" t="str">
            <v>AMJ-889</v>
          </cell>
          <cell r="U68" t="str">
            <v>170011</v>
          </cell>
          <cell r="V68" t="str">
            <v>709496</v>
          </cell>
          <cell r="X68" t="str">
            <v>3</v>
          </cell>
          <cell r="Y68">
            <v>-896750</v>
          </cell>
          <cell r="Z68">
            <v>-894</v>
          </cell>
          <cell r="AA68">
            <v>-903</v>
          </cell>
        </row>
        <row r="69">
          <cell r="B69" t="str">
            <v>KHI/HO/D/MO/PC COMP/P/85047/03/2024</v>
          </cell>
          <cell r="C69" t="str">
            <v>KHI/HO/D/MO/PC COMP/E/52831/00045/03/2025</v>
          </cell>
          <cell r="D69" t="str">
            <v>REN</v>
          </cell>
          <cell r="E69" t="str">
            <v>03/03/25</v>
          </cell>
          <cell r="F69" t="str">
            <v>22/03/2024</v>
          </cell>
          <cell r="G69" t="str">
            <v>21/03/2025</v>
          </cell>
          <cell r="H69" t="str">
            <v>08004499</v>
          </cell>
          <cell r="I69" t="str">
            <v>AL BARAKA BANK (PAKISTAN) LIMITED</v>
          </cell>
          <cell r="J69" t="str">
            <v>BANK</v>
          </cell>
          <cell r="K69" t="str">
            <v>Mr.
HPA M/S Al Baraka Bank (Pakistan) Limited
Mr. Adil Usman 
HPA M/S Al Baraka Bank (Pakistan) Limited</v>
          </cell>
          <cell r="L69" t="str">
            <v>D</v>
          </cell>
          <cell r="M69" t="str">
            <v>09000221</v>
          </cell>
          <cell r="N69">
            <v>100</v>
          </cell>
          <cell r="P69" t="str">
            <v>Jaranawla Road Faisalabad</v>
          </cell>
          <cell r="Q69" t="str">
            <v>11000003</v>
          </cell>
          <cell r="R69" t="str">
            <v>SUZUKI CULTUS VXR</v>
          </cell>
          <cell r="S69" t="str">
            <v>2022</v>
          </cell>
          <cell r="T69" t="str">
            <v>AJD-145</v>
          </cell>
          <cell r="U69" t="str">
            <v>193915</v>
          </cell>
          <cell r="V69" t="str">
            <v>10093892</v>
          </cell>
          <cell r="X69" t="str">
            <v>5</v>
          </cell>
          <cell r="Y69">
            <v>-1925250</v>
          </cell>
          <cell r="Z69">
            <v>-8209</v>
          </cell>
          <cell r="AA69">
            <v>-8291</v>
          </cell>
        </row>
        <row r="70">
          <cell r="B70" t="str">
            <v>KHI/HO/D/MO/PC COMP/P/85065/03/2024</v>
          </cell>
          <cell r="C70" t="str">
            <v>KHI/HO/D/MO/PC COMP/E/52834/00012/03/2025</v>
          </cell>
          <cell r="D70" t="str">
            <v>REN</v>
          </cell>
          <cell r="E70" t="str">
            <v>03/03/25</v>
          </cell>
          <cell r="F70" t="str">
            <v>16/03/2024</v>
          </cell>
          <cell r="G70" t="str">
            <v>15/03/2025</v>
          </cell>
          <cell r="H70" t="str">
            <v>08004499</v>
          </cell>
          <cell r="I70" t="str">
            <v>AL BARAKA BANK (PAKISTAN) LIMITED</v>
          </cell>
          <cell r="J70" t="str">
            <v>BANK</v>
          </cell>
          <cell r="K70" t="str">
            <v>HPA M/s. Al Baraka Bank (Pakistan) Limited
Mr.  Jawaid Gulzar
HPA M/s. Al Baraka Bank (Pakistan) Limited</v>
          </cell>
          <cell r="L70" t="str">
            <v>D</v>
          </cell>
          <cell r="M70" t="str">
            <v>09000221</v>
          </cell>
          <cell r="N70">
            <v>100</v>
          </cell>
          <cell r="O70" t="str">
            <v>KARACHI</v>
          </cell>
          <cell r="P70" t="str">
            <v>House No. 495 Street 07 AFOHS Complex Karachi</v>
          </cell>
          <cell r="Q70" t="str">
            <v>11000003</v>
          </cell>
          <cell r="R70" t="str">
            <v>SUZUKI ALTO VXL AGS E-2</v>
          </cell>
          <cell r="S70" t="str">
            <v>2021</v>
          </cell>
          <cell r="U70" t="str">
            <v>157202</v>
          </cell>
          <cell r="V70" t="str">
            <v>1057189</v>
          </cell>
          <cell r="X70" t="str">
            <v>3</v>
          </cell>
          <cell r="Y70">
            <v>399200</v>
          </cell>
          <cell r="Z70">
            <v>8603</v>
          </cell>
          <cell r="AA70">
            <v>9980</v>
          </cell>
        </row>
        <row r="71">
          <cell r="B71" t="str">
            <v>KHI/HO/D/MO/PC COMP/P/74804/09/2023</v>
          </cell>
          <cell r="C71" t="str">
            <v>KHI/HO/D/MO/PC COMP/E/52919/00009/03/2025</v>
          </cell>
          <cell r="D71" t="str">
            <v>FRE</v>
          </cell>
          <cell r="E71" t="str">
            <v>05/03/25</v>
          </cell>
          <cell r="F71" t="str">
            <v>22/09/2023</v>
          </cell>
          <cell r="G71" t="str">
            <v>21/09/2024</v>
          </cell>
          <cell r="H71" t="str">
            <v>08004499</v>
          </cell>
          <cell r="I71" t="str">
            <v>AL BARAKA BANK (PAKISTAN) LIMITED</v>
          </cell>
          <cell r="J71" t="str">
            <v>BANK</v>
          </cell>
          <cell r="K71" t="str">
            <v>Mr.  
HPA M/s. Al Baraka Bank (Pakistan) Limited
Ms. Hina Iqbal Junaid  
HPA M/s. Al Baraka Bank (Pakistan) Limited</v>
          </cell>
          <cell r="L71" t="str">
            <v>D</v>
          </cell>
          <cell r="M71" t="str">
            <v>09000221</v>
          </cell>
          <cell r="N71">
            <v>100</v>
          </cell>
          <cell r="P71" t="str">
            <v>H # 326 Street 15 Sector G-8/1 Islamabad</v>
          </cell>
          <cell r="Q71" t="str">
            <v>11000003</v>
          </cell>
          <cell r="R71" t="str">
            <v>SUZUKI BOLAN VX  EURO II</v>
          </cell>
          <cell r="S71" t="str">
            <v>2023</v>
          </cell>
          <cell r="U71" t="str">
            <v>1028596</v>
          </cell>
          <cell r="V71" t="str">
            <v>1145121</v>
          </cell>
          <cell r="X71" t="str">
            <v>3</v>
          </cell>
          <cell r="Y71">
            <v>1940000</v>
          </cell>
          <cell r="Z71">
            <v>4254</v>
          </cell>
          <cell r="AA71">
            <v>4296</v>
          </cell>
        </row>
        <row r="72">
          <cell r="B72" t="str">
            <v>KHI/HO/D/MO/PC COMP/P/92394/07/2024</v>
          </cell>
          <cell r="C72" t="str">
            <v>KHI/HO/D/MO/PC COMP/E/52920/00042/03/2025</v>
          </cell>
          <cell r="D72" t="str">
            <v>FRE</v>
          </cell>
          <cell r="E72" t="str">
            <v>05/03/25</v>
          </cell>
          <cell r="F72" t="str">
            <v>30/07/2024</v>
          </cell>
          <cell r="G72" t="str">
            <v>29/07/2025</v>
          </cell>
          <cell r="H72" t="str">
            <v>08004499</v>
          </cell>
          <cell r="I72" t="str">
            <v>AL BARAKA BANK (PAKISTAN) LIMITED</v>
          </cell>
          <cell r="J72" t="str">
            <v>BANK</v>
          </cell>
          <cell r="K72" t="str">
            <v>Mr. 
HPA M/s. Al Baraka Bank ( Pakistan ) Limited
Mr. Sardar Muhammad Ishaq 
HPA M/s. Al Baraka Bank ( Pakistan ) Limited</v>
          </cell>
          <cell r="L72" t="str">
            <v>D</v>
          </cell>
          <cell r="M72" t="str">
            <v>09000221</v>
          </cell>
          <cell r="N72">
            <v>100</v>
          </cell>
          <cell r="P72" t="str">
            <v>H # 448-A Phase 5 DHA Lahore</v>
          </cell>
          <cell r="Q72" t="str">
            <v>11000003</v>
          </cell>
          <cell r="R72" t="str">
            <v>HYUNDAI Elantra GLS Sport</v>
          </cell>
          <cell r="T72" t="str">
            <v>AMD-248</v>
          </cell>
          <cell r="U72" t="str">
            <v>U748934</v>
          </cell>
          <cell r="V72" t="str">
            <v>MMN300145</v>
          </cell>
          <cell r="X72" t="str">
            <v>3</v>
          </cell>
          <cell r="Y72">
            <v>5450000</v>
          </cell>
          <cell r="Z72">
            <v>44046</v>
          </cell>
          <cell r="AA72">
            <v>51094</v>
          </cell>
        </row>
        <row r="73">
          <cell r="B73" t="str">
            <v>KHI/HO/D/MO/PC COMP/C/105285/19/01/2025</v>
          </cell>
          <cell r="D73" t="str">
            <v>FRE</v>
          </cell>
          <cell r="E73" t="str">
            <v>20/01/25</v>
          </cell>
          <cell r="F73" t="str">
            <v>20/01/2025</v>
          </cell>
          <cell r="G73" t="str">
            <v>19/01/2026</v>
          </cell>
          <cell r="H73" t="str">
            <v>08004499</v>
          </cell>
          <cell r="I73" t="str">
            <v>AL BARAKA BANK (PAKISTAN) LIMITED</v>
          </cell>
          <cell r="J73" t="str">
            <v>BANK</v>
          </cell>
          <cell r="K73" t="str">
            <v>Mr. 
HPA M/s. Al Baraka Bank (Pakistan) Limited 
Mr. Waqar Ahmed 
HPA M/s. Al Baraka Bank (Pakistan) Limited</v>
          </cell>
          <cell r="L73" t="str">
            <v>D</v>
          </cell>
          <cell r="M73" t="str">
            <v>09000221</v>
          </cell>
          <cell r="N73">
            <v>100</v>
          </cell>
          <cell r="P73" t="str">
            <v>H # 3034 Frontier Colony Near Aqsa Masjid Shahiabad Orangi Town Karachi</v>
          </cell>
          <cell r="Q73" t="str">
            <v>11000003</v>
          </cell>
          <cell r="R73" t="str">
            <v>SUZUKI ALTO VXR E-2</v>
          </cell>
          <cell r="S73" t="str">
            <v>2022</v>
          </cell>
          <cell r="T73" t="str">
            <v>BXH-484</v>
          </cell>
          <cell r="U73" t="str">
            <v>R-245807</v>
          </cell>
          <cell r="V73" t="str">
            <v>1145808</v>
          </cell>
          <cell r="X73" t="str">
            <v>3</v>
          </cell>
          <cell r="Y73">
            <v>2450000</v>
          </cell>
          <cell r="Z73">
            <v>42242</v>
          </cell>
          <cell r="AA73">
            <v>49000</v>
          </cell>
        </row>
        <row r="74">
          <cell r="B74" t="str">
            <v>KHI/HO/D/MO/PC COMP/C/105285/20/01/2025</v>
          </cell>
          <cell r="D74" t="str">
            <v>FRE</v>
          </cell>
          <cell r="E74" t="str">
            <v>21/01/25</v>
          </cell>
          <cell r="F74" t="str">
            <v>21/01/2025</v>
          </cell>
          <cell r="G74" t="str">
            <v>20/01/2026</v>
          </cell>
          <cell r="H74" t="str">
            <v>08004499</v>
          </cell>
          <cell r="I74" t="str">
            <v>AL BARAKA BANK (PAKISTAN) LIMITED</v>
          </cell>
          <cell r="J74" t="str">
            <v>BANK</v>
          </cell>
          <cell r="K74" t="str">
            <v>Mr. 
HPA M/s. Al Baraka Bank (Pakistan) Limited 
Mr. Muhammad Talha Shah  
HPA M/s. Al Baraka Bank (Pakistan) Limited</v>
          </cell>
          <cell r="L74" t="str">
            <v>D</v>
          </cell>
          <cell r="M74" t="str">
            <v>09000221</v>
          </cell>
          <cell r="N74">
            <v>100</v>
          </cell>
          <cell r="O74" t="str">
            <v>BHAWALPUR</v>
          </cell>
          <cell r="P74" t="str">
            <v>Jillani Colony Backside One Unit Staff Colony Near Tayaba Chakki Bhawalpur</v>
          </cell>
          <cell r="Q74" t="str">
            <v>11000003</v>
          </cell>
          <cell r="R74" t="str">
            <v>SUZUKI ALTO VXR E-2</v>
          </cell>
          <cell r="S74" t="str">
            <v>2019</v>
          </cell>
          <cell r="T74" t="str">
            <v>BQS-174</v>
          </cell>
          <cell r="U74" t="str">
            <v>6R104122</v>
          </cell>
          <cell r="V74" t="str">
            <v>6H1004091</v>
          </cell>
          <cell r="X74" t="str">
            <v>3</v>
          </cell>
          <cell r="Y74">
            <v>2150000</v>
          </cell>
          <cell r="Z74">
            <v>37069</v>
          </cell>
          <cell r="AA74">
            <v>43000</v>
          </cell>
        </row>
        <row r="75">
          <cell r="B75" t="str">
            <v>KHI/HO/D/MO/PC COMP/C/105285/21/01/2025</v>
          </cell>
          <cell r="D75" t="str">
            <v>FRE</v>
          </cell>
          <cell r="E75" t="str">
            <v>21/01/25</v>
          </cell>
          <cell r="F75" t="str">
            <v>21/01/2025</v>
          </cell>
          <cell r="G75" t="str">
            <v>20/01/2026</v>
          </cell>
          <cell r="H75" t="str">
            <v>08004499</v>
          </cell>
          <cell r="I75" t="str">
            <v>AL BARAKA BANK (PAKISTAN) LIMITED</v>
          </cell>
          <cell r="J75" t="str">
            <v>BANK</v>
          </cell>
          <cell r="K75" t="str">
            <v>Mr. 
HPA M/s. Al Baraka Bank (Pakistan) Limited 
Mr. Naeem Khan 
HPA M/s. Al Baraka Bank (Pakistan) Limited</v>
          </cell>
          <cell r="L75" t="str">
            <v>D</v>
          </cell>
          <cell r="M75" t="str">
            <v>09000221</v>
          </cell>
          <cell r="N75">
            <v>100</v>
          </cell>
          <cell r="O75" t="str">
            <v>KARACHI</v>
          </cell>
          <cell r="P75" t="str">
            <v>H # 105 Street 5 Gulshan Aqakhel Scheme 33 Karachi</v>
          </cell>
          <cell r="Q75" t="str">
            <v>11000003</v>
          </cell>
          <cell r="R75" t="str">
            <v>SUZUKI ALTO VXR E-2</v>
          </cell>
          <cell r="S75" t="str">
            <v>2020</v>
          </cell>
          <cell r="T75" t="str">
            <v>BRY-548</v>
          </cell>
          <cell r="U75" t="str">
            <v>133318</v>
          </cell>
          <cell r="V75" t="str">
            <v>1033294</v>
          </cell>
          <cell r="X75" t="str">
            <v>3</v>
          </cell>
          <cell r="Y75">
            <v>2150000</v>
          </cell>
          <cell r="Z75">
            <v>37069</v>
          </cell>
          <cell r="AA75">
            <v>43000</v>
          </cell>
        </row>
        <row r="76">
          <cell r="B76" t="str">
            <v>KHI/HO/D/MO/PC COMP/C/105285/22/01/2025</v>
          </cell>
          <cell r="D76" t="str">
            <v>FRE</v>
          </cell>
          <cell r="E76" t="str">
            <v>21/01/25</v>
          </cell>
          <cell r="F76" t="str">
            <v>21/01/2025</v>
          </cell>
          <cell r="G76" t="str">
            <v>20/01/2026</v>
          </cell>
          <cell r="H76" t="str">
            <v>08004499</v>
          </cell>
          <cell r="I76" t="str">
            <v>AL BARAKA BANK (PAKISTAN) LIMITED</v>
          </cell>
          <cell r="J76" t="str">
            <v>BANK</v>
          </cell>
          <cell r="K76" t="str">
            <v>Mr. 
HPA M/s. Al Baraka Bank (Pakistan) Limited 
Mr. Muhammad Asif  
HPA M/s. Al Baraka Bank (Pakistan) Limited</v>
          </cell>
          <cell r="L76" t="str">
            <v>D</v>
          </cell>
          <cell r="M76" t="str">
            <v>09000221</v>
          </cell>
          <cell r="N76">
            <v>100</v>
          </cell>
          <cell r="O76" t="str">
            <v>FAISALABAD</v>
          </cell>
          <cell r="P76" t="str">
            <v>H # A-129 Mannan Town Millat Road Near Khajoor Wala Bagh Faisalabad</v>
          </cell>
          <cell r="Q76" t="str">
            <v>11000003</v>
          </cell>
          <cell r="R76" t="str">
            <v>SUZUKI WAGON-R VXL E2</v>
          </cell>
          <cell r="S76" t="str">
            <v>2022</v>
          </cell>
          <cell r="T76" t="str">
            <v>ACD-877</v>
          </cell>
          <cell r="U76" t="str">
            <v>PK10B210852</v>
          </cell>
          <cell r="V76" t="str">
            <v>A1J310PK10110822</v>
          </cell>
          <cell r="X76" t="str">
            <v>3</v>
          </cell>
          <cell r="Y76">
            <v>2700000</v>
          </cell>
          <cell r="Z76">
            <v>46551</v>
          </cell>
          <cell r="AA76">
            <v>54000</v>
          </cell>
        </row>
        <row r="77">
          <cell r="B77" t="str">
            <v>KHI/HO/D/MO/CV/C/106429/1/01/2025</v>
          </cell>
          <cell r="D77" t="str">
            <v>REN</v>
          </cell>
          <cell r="E77" t="str">
            <v>21/01/25</v>
          </cell>
          <cell r="F77" t="str">
            <v>11/01/2025</v>
          </cell>
          <cell r="G77" t="str">
            <v>10/01/2026</v>
          </cell>
          <cell r="H77" t="str">
            <v>08004499</v>
          </cell>
          <cell r="I77" t="str">
            <v>AL BARAKA BANK (PAKISTAN) LIMITED</v>
          </cell>
          <cell r="J77" t="str">
            <v>BANK</v>
          </cell>
          <cell r="K77" t="str">
            <v>Mr.
HPA M/s Al Baraka Bank (Pakistan) Limited
Ms. Shehla Ashary 
HPA M/s Al Baraka Bank (Pakistan) Limited</v>
          </cell>
          <cell r="L77" t="str">
            <v>D</v>
          </cell>
          <cell r="M77" t="str">
            <v>09000221</v>
          </cell>
          <cell r="N77">
            <v>100</v>
          </cell>
          <cell r="O77" t="str">
            <v>KARACHI</v>
          </cell>
          <cell r="P77" t="str">
            <v>H # 107 Khayaban-e-Shaheen Phase 6 DHA Karachi</v>
          </cell>
          <cell r="Q77" t="str">
            <v>11000003</v>
          </cell>
          <cell r="R77" t="str">
            <v>SUZUKI RAVI VX EURO II</v>
          </cell>
          <cell r="S77" t="str">
            <v>2021</v>
          </cell>
          <cell r="T77" t="str">
            <v>LB-0912</v>
          </cell>
          <cell r="U77" t="str">
            <v>379847</v>
          </cell>
          <cell r="V77" t="str">
            <v>484510</v>
          </cell>
          <cell r="X77" t="str">
            <v>3</v>
          </cell>
          <cell r="Y77">
            <v>893600</v>
          </cell>
          <cell r="Z77">
            <v>13049</v>
          </cell>
          <cell r="AA77">
            <v>15638</v>
          </cell>
        </row>
        <row r="78">
          <cell r="B78" t="str">
            <v>KHI/HO/D/MO/CV/C/106429/2/01/2025</v>
          </cell>
          <cell r="D78" t="str">
            <v>REN</v>
          </cell>
          <cell r="E78" t="str">
            <v>21/01/25</v>
          </cell>
          <cell r="F78" t="str">
            <v>11/01/2025</v>
          </cell>
          <cell r="G78" t="str">
            <v>10/01/2026</v>
          </cell>
          <cell r="H78" t="str">
            <v>08004499</v>
          </cell>
          <cell r="I78" t="str">
            <v>AL BARAKA BANK (PAKISTAN) LIMITED</v>
          </cell>
          <cell r="J78" t="str">
            <v>BANK</v>
          </cell>
          <cell r="K78" t="str">
            <v>Mr.
HPA M/s Al Baraka Bank (Pakistan) Limited
Mr. Muhammad Raza Rashid 
HPA M/s Al Baraka Bank (Pakistan) Limited</v>
          </cell>
          <cell r="L78" t="str">
            <v>D</v>
          </cell>
          <cell r="M78" t="str">
            <v>09000221</v>
          </cell>
          <cell r="N78">
            <v>100</v>
          </cell>
          <cell r="O78" t="str">
            <v>KARACHI</v>
          </cell>
          <cell r="P78" t="str">
            <v>H # 50-M Block 6 PECHS HBL Nursery Karachi</v>
          </cell>
          <cell r="Q78" t="str">
            <v>11000003</v>
          </cell>
          <cell r="R78" t="str">
            <v>SUZUKI RAVI VX EURO II</v>
          </cell>
          <cell r="S78" t="str">
            <v>2022</v>
          </cell>
          <cell r="T78" t="str">
            <v>LB-1085</v>
          </cell>
          <cell r="U78" t="str">
            <v>379864</v>
          </cell>
          <cell r="V78" t="str">
            <v>484524</v>
          </cell>
          <cell r="X78" t="str">
            <v>3</v>
          </cell>
          <cell r="Y78">
            <v>893600</v>
          </cell>
          <cell r="Z78">
            <v>13481</v>
          </cell>
          <cell r="AA78">
            <v>15638</v>
          </cell>
        </row>
        <row r="79">
          <cell r="B79" t="str">
            <v>KHI/HO/D/MO/CV/C/106429/3/01/2025</v>
          </cell>
          <cell r="D79" t="str">
            <v>REN</v>
          </cell>
          <cell r="E79" t="str">
            <v>21/01/25</v>
          </cell>
          <cell r="F79" t="str">
            <v>19/01/2025</v>
          </cell>
          <cell r="G79" t="str">
            <v>18/01/2026</v>
          </cell>
          <cell r="H79" t="str">
            <v>08004499</v>
          </cell>
          <cell r="I79" t="str">
            <v>AL BARAKA BANK (PAKISTAN) LIMITED</v>
          </cell>
          <cell r="J79" t="str">
            <v>BANK</v>
          </cell>
          <cell r="K79" t="str">
            <v>Mr.
HPA M/s Al Baraka Bank (Pakistan) Limited
Mr. Muhammad Saeed  
HPA M/s Al Baraka Bank (Pakistan) Limited</v>
          </cell>
          <cell r="L79" t="str">
            <v>D</v>
          </cell>
          <cell r="M79" t="str">
            <v>09000221</v>
          </cell>
          <cell r="N79">
            <v>100</v>
          </cell>
          <cell r="O79" t="str">
            <v>LAHORE</v>
          </cell>
          <cell r="P79" t="str">
            <v>H # E-671 Street 5 Madina Colony Walton Road Lahore</v>
          </cell>
          <cell r="Q79" t="str">
            <v>11000003</v>
          </cell>
          <cell r="R79" t="str">
            <v>SUZUKI RAVI VX EURO II</v>
          </cell>
          <cell r="S79" t="str">
            <v>2022</v>
          </cell>
          <cell r="T79" t="str">
            <v>CAH-5801</v>
          </cell>
          <cell r="U79" t="str">
            <v>378768</v>
          </cell>
          <cell r="V79" t="str">
            <v>483428</v>
          </cell>
          <cell r="X79" t="str">
            <v>3</v>
          </cell>
          <cell r="Y79">
            <v>893600</v>
          </cell>
          <cell r="Z79">
            <v>13481</v>
          </cell>
          <cell r="AA79">
            <v>15638</v>
          </cell>
        </row>
        <row r="80">
          <cell r="B80" t="str">
            <v>KHI/HO/D/MO/CV/C/106429/4/01/2025</v>
          </cell>
          <cell r="D80" t="str">
            <v>REN</v>
          </cell>
          <cell r="E80" t="str">
            <v>21/01/25</v>
          </cell>
          <cell r="F80" t="str">
            <v>31/01/2025</v>
          </cell>
          <cell r="G80" t="str">
            <v>30/01/2026</v>
          </cell>
          <cell r="H80" t="str">
            <v>08004499</v>
          </cell>
          <cell r="I80" t="str">
            <v>AL BARAKA BANK (PAKISTAN) LIMITED</v>
          </cell>
          <cell r="J80" t="str">
            <v>BANK</v>
          </cell>
          <cell r="K80" t="str">
            <v>Mr.
HPA M/s Al Baraka Bank (Pakistan) Limited
Mr.Muhammad Asif
HPA M/s Al Baraka Bank (Pakistan) Limited</v>
          </cell>
          <cell r="L80" t="str">
            <v>D</v>
          </cell>
          <cell r="M80" t="str">
            <v>09000221</v>
          </cell>
          <cell r="N80">
            <v>100</v>
          </cell>
          <cell r="O80" t="str">
            <v>JHANG</v>
          </cell>
          <cell r="P80" t="str">
            <v>H No 2 St No 3 Gusia Masjid Malled Nagar Chusa Wali Dheri Fateh Jhang</v>
          </cell>
          <cell r="Q80" t="str">
            <v>11000003</v>
          </cell>
          <cell r="R80" t="str">
            <v>SUZUKI RAVI PICK UP</v>
          </cell>
          <cell r="S80" t="str">
            <v>2022</v>
          </cell>
          <cell r="T80" t="str">
            <v>TA-16</v>
          </cell>
          <cell r="U80" t="str">
            <v>380044</v>
          </cell>
          <cell r="V80" t="str">
            <v>484691</v>
          </cell>
          <cell r="X80" t="str">
            <v>05</v>
          </cell>
          <cell r="Y80">
            <v>893600</v>
          </cell>
          <cell r="Z80">
            <v>13481</v>
          </cell>
          <cell r="AA80">
            <v>15638</v>
          </cell>
        </row>
        <row r="81">
          <cell r="B81" t="str">
            <v>KHI/HO/D/MO/CV/C/106429/5/01/2025</v>
          </cell>
          <cell r="D81" t="str">
            <v>REN</v>
          </cell>
          <cell r="E81" t="str">
            <v>21/01/25</v>
          </cell>
          <cell r="F81" t="str">
            <v>21/01/2025</v>
          </cell>
          <cell r="G81" t="str">
            <v>20/01/2026</v>
          </cell>
          <cell r="H81" t="str">
            <v>08004499</v>
          </cell>
          <cell r="I81" t="str">
            <v>AL BARAKA BANK (PAKISTAN) LIMITED</v>
          </cell>
          <cell r="J81" t="str">
            <v>BANK</v>
          </cell>
          <cell r="K81" t="str">
            <v>Mr.
HPA M/s Al Baraka Bank (Pakistan) Limited
Mr. Tariq Mahmood
HPA M/s Al Baraka Bank (Pakistan) Limited</v>
          </cell>
          <cell r="L81" t="str">
            <v>D</v>
          </cell>
          <cell r="M81" t="str">
            <v>09000221</v>
          </cell>
          <cell r="N81">
            <v>100</v>
          </cell>
          <cell r="O81" t="str">
            <v>LAHORE</v>
          </cell>
          <cell r="P81" t="str">
            <v>H # E/142 New Shoukat Town Ghazi Road Cantt Lahore</v>
          </cell>
          <cell r="Q81" t="str">
            <v>11000003</v>
          </cell>
          <cell r="R81" t="str">
            <v>SUZUKI RAVI VX EURO II</v>
          </cell>
          <cell r="S81" t="str">
            <v>2022</v>
          </cell>
          <cell r="T81" t="str">
            <v>CAK-6569</v>
          </cell>
          <cell r="U81" t="str">
            <v>380343</v>
          </cell>
          <cell r="V81" t="str">
            <v>485020</v>
          </cell>
          <cell r="X81" t="str">
            <v>3</v>
          </cell>
          <cell r="Y81">
            <v>893600</v>
          </cell>
          <cell r="Z81">
            <v>13481</v>
          </cell>
          <cell r="AA81">
            <v>15638</v>
          </cell>
        </row>
        <row r="82">
          <cell r="B82" t="str">
            <v>KHI/HO/D/MO/CV/C/106429/6/01/2025</v>
          </cell>
          <cell r="D82" t="str">
            <v>REN</v>
          </cell>
          <cell r="E82" t="str">
            <v>21/01/25</v>
          </cell>
          <cell r="F82" t="str">
            <v>31/01/2025</v>
          </cell>
          <cell r="G82" t="str">
            <v>30/01/2026</v>
          </cell>
          <cell r="H82" t="str">
            <v>08004499</v>
          </cell>
          <cell r="I82" t="str">
            <v>AL BARAKA BANK (PAKISTAN) LIMITED</v>
          </cell>
          <cell r="J82" t="str">
            <v>BANK</v>
          </cell>
          <cell r="K82" t="str">
            <v>Mr.
HPA M/s Al Baraka Bank (Pakistan) Limited
Mr. Muhammad MAQSOOD ALAM 
HPA M/s Al Baraka Bank (Pakistan) Limited</v>
          </cell>
          <cell r="L82" t="str">
            <v>D</v>
          </cell>
          <cell r="M82" t="str">
            <v>09000221</v>
          </cell>
          <cell r="N82">
            <v>100</v>
          </cell>
          <cell r="P82" t="str">
            <v>H # 22/B Noshahi Road Taj Park Amir Road  Shadbagh Lahore</v>
          </cell>
          <cell r="Q82" t="str">
            <v>11000003</v>
          </cell>
          <cell r="R82" t="str">
            <v>SUZUKI RAVI VX EURO II</v>
          </cell>
          <cell r="S82" t="str">
            <v>2022</v>
          </cell>
          <cell r="T82" t="str">
            <v>CAH-7295</v>
          </cell>
          <cell r="U82" t="str">
            <v>379988</v>
          </cell>
          <cell r="V82" t="str">
            <v>484647</v>
          </cell>
          <cell r="Y82">
            <v>893600</v>
          </cell>
          <cell r="Z82">
            <v>13481</v>
          </cell>
          <cell r="AA82">
            <v>15638</v>
          </cell>
        </row>
        <row r="83">
          <cell r="B83" t="str">
            <v>KHI/HO/D/MO/CV/C/106429/7/01/2025</v>
          </cell>
          <cell r="D83" t="str">
            <v>REN</v>
          </cell>
          <cell r="E83" t="str">
            <v>21/01/25</v>
          </cell>
          <cell r="F83" t="str">
            <v>10/01/2025</v>
          </cell>
          <cell r="G83" t="str">
            <v>09/01/2026</v>
          </cell>
          <cell r="H83" t="str">
            <v>08004499</v>
          </cell>
          <cell r="I83" t="str">
            <v>AL BARAKA BANK (PAKISTAN) LIMITED</v>
          </cell>
          <cell r="J83" t="str">
            <v>BANK</v>
          </cell>
          <cell r="K83" t="str">
            <v>Mr.
HPA M/s Al Baraka Bank (Pakistan) Limited
Mr. Muhammad Bilal Ali
HPA M/s. Al Baraka Bank (Pakistan) Limited</v>
          </cell>
          <cell r="L83" t="str">
            <v>D</v>
          </cell>
          <cell r="M83" t="str">
            <v>09000221</v>
          </cell>
          <cell r="N83">
            <v>100</v>
          </cell>
          <cell r="P83" t="str">
            <v>H No 39 Q Model Town Lahore</v>
          </cell>
          <cell r="Q83" t="str">
            <v>11000003</v>
          </cell>
          <cell r="R83" t="str">
            <v>SUZUKI RAVI VX EURO II</v>
          </cell>
          <cell r="S83" t="str">
            <v>2021</v>
          </cell>
          <cell r="T83" t="str">
            <v>CAH-5710</v>
          </cell>
          <cell r="U83" t="str">
            <v>376581</v>
          </cell>
          <cell r="V83" t="str">
            <v>481228</v>
          </cell>
          <cell r="X83" t="str">
            <v>3</v>
          </cell>
          <cell r="Y83">
            <v>998750</v>
          </cell>
          <cell r="Z83">
            <v>17220</v>
          </cell>
          <cell r="AA83">
            <v>19975</v>
          </cell>
        </row>
        <row r="84">
          <cell r="B84" t="str">
            <v>KHI/HO/D/MO/CV/C/106429/8/01/2025</v>
          </cell>
          <cell r="D84" t="str">
            <v>REN</v>
          </cell>
          <cell r="E84" t="str">
            <v>21/01/25</v>
          </cell>
          <cell r="F84" t="str">
            <v>29/01/2025</v>
          </cell>
          <cell r="G84" t="str">
            <v>28/01/2026</v>
          </cell>
          <cell r="H84" t="str">
            <v>08004499</v>
          </cell>
          <cell r="I84" t="str">
            <v>AL BARAKA BANK (PAKISTAN) LIMITED</v>
          </cell>
          <cell r="J84" t="str">
            <v>BANK</v>
          </cell>
          <cell r="K84" t="str">
            <v>Mr.
HPA M/s Al Baraka Bank (Pakistan) Limited
Mr. Muhammad Mushtaq
HPA M/s. Al Baraka Bank (Pakistan) Limited</v>
          </cell>
          <cell r="L84" t="str">
            <v>D</v>
          </cell>
          <cell r="M84" t="str">
            <v>09000221</v>
          </cell>
          <cell r="N84">
            <v>100</v>
          </cell>
          <cell r="P84" t="str">
            <v>Rao Khan Wala Naya Mohallah Near Railway Phattak Kasur</v>
          </cell>
          <cell r="Q84" t="str">
            <v>11000003</v>
          </cell>
          <cell r="R84" t="str">
            <v>SUZUKI RAVI VX EURO II</v>
          </cell>
          <cell r="S84" t="str">
            <v>2021</v>
          </cell>
          <cell r="T84" t="str">
            <v>CAC-6093</v>
          </cell>
          <cell r="U84" t="str">
            <v>366472</v>
          </cell>
          <cell r="V84" t="str">
            <v>471136</v>
          </cell>
          <cell r="X84" t="str">
            <v>3</v>
          </cell>
          <cell r="Y84">
            <v>775500</v>
          </cell>
          <cell r="Z84">
            <v>16714</v>
          </cell>
          <cell r="AA84">
            <v>19388</v>
          </cell>
        </row>
        <row r="85">
          <cell r="B85" t="str">
            <v>KHI/HO/D/MO/PC COMP/C/105285/23/01/2025</v>
          </cell>
          <cell r="D85" t="str">
            <v>FRE</v>
          </cell>
          <cell r="E85" t="str">
            <v>21/01/25</v>
          </cell>
          <cell r="F85" t="str">
            <v>21/01/2025</v>
          </cell>
          <cell r="G85" t="str">
            <v>20/01/2026</v>
          </cell>
          <cell r="H85" t="str">
            <v>08004499</v>
          </cell>
          <cell r="I85" t="str">
            <v>AL BARAKA BANK (PAKISTAN) LIMITED</v>
          </cell>
          <cell r="J85" t="str">
            <v>BANK</v>
          </cell>
          <cell r="K85" t="str">
            <v>Mr. 
HPA M/s. Al Baraka Bank (Pakistan) Limited 
Mr. Tahir Munir
HPA M/s. Al Baraka Bank (Pakistan) Limited</v>
          </cell>
          <cell r="L85" t="str">
            <v>D</v>
          </cell>
          <cell r="M85" t="str">
            <v>09000221</v>
          </cell>
          <cell r="N85">
            <v>100</v>
          </cell>
          <cell r="O85" t="str">
            <v>LAHORE</v>
          </cell>
          <cell r="P85" t="str">
            <v>H No 20 Sector B Ghouri Block Bahria Town Lahore</v>
          </cell>
          <cell r="Q85" t="str">
            <v>11000003</v>
          </cell>
          <cell r="R85" t="str">
            <v>HONDA CITY 1.2  LS CVT</v>
          </cell>
          <cell r="S85" t="str">
            <v>2025</v>
          </cell>
          <cell r="T85" t="str">
            <v>ATX-149</v>
          </cell>
          <cell r="U85" t="str">
            <v>R045985</v>
          </cell>
          <cell r="V85" t="str">
            <v>51029060</v>
          </cell>
          <cell r="Y85">
            <v>4700000</v>
          </cell>
          <cell r="Z85">
            <v>60776</v>
          </cell>
          <cell r="AA85">
            <v>70500</v>
          </cell>
        </row>
        <row r="86">
          <cell r="B86" t="str">
            <v>KHI/HO/D/MO/PC COMP/C/105285/24/01/2025</v>
          </cell>
          <cell r="D86" t="str">
            <v>FRE</v>
          </cell>
          <cell r="E86" t="str">
            <v>21/01/25</v>
          </cell>
          <cell r="F86" t="str">
            <v>21/01/2025</v>
          </cell>
          <cell r="G86" t="str">
            <v>20/01/2026</v>
          </cell>
          <cell r="H86" t="str">
            <v>08004499</v>
          </cell>
          <cell r="I86" t="str">
            <v>AL BARAKA BANK (PAKISTAN) LIMITED</v>
          </cell>
          <cell r="J86" t="str">
            <v>BANK</v>
          </cell>
          <cell r="K86" t="str">
            <v>Mr. 
HPA M/s. Al Baraka Bank (Pakistan) Limited 
Mr. Farrukh Abbas  
HPA M/s. Al Baraka Bank (Pakistan) Limited</v>
          </cell>
          <cell r="L86" t="str">
            <v>D</v>
          </cell>
          <cell r="M86" t="str">
            <v>09000221</v>
          </cell>
          <cell r="N86">
            <v>100</v>
          </cell>
          <cell r="O86" t="str">
            <v>ISLAMABAD</v>
          </cell>
          <cell r="P86" t="str">
            <v>H # 123 Street 3 Sector G-15/3 Islamabad</v>
          </cell>
          <cell r="Q86" t="str">
            <v>11000003</v>
          </cell>
          <cell r="R86" t="str">
            <v>SUZUKI ALTO VXL AGS E-2</v>
          </cell>
          <cell r="S86" t="str">
            <v>2021</v>
          </cell>
          <cell r="T86" t="str">
            <v>ASJ-390</v>
          </cell>
          <cell r="U86" t="str">
            <v>204631</v>
          </cell>
          <cell r="V86" t="str">
            <v>104583</v>
          </cell>
          <cell r="X86" t="str">
            <v>3</v>
          </cell>
          <cell r="Y86">
            <v>2700000</v>
          </cell>
          <cell r="Z86">
            <v>46551</v>
          </cell>
          <cell r="AA86">
            <v>54000</v>
          </cell>
        </row>
        <row r="87">
          <cell r="B87" t="str">
            <v>KHI/HO/D/MO/PC COMP/C/105285/25/01/2025</v>
          </cell>
          <cell r="D87" t="str">
            <v>FRE</v>
          </cell>
          <cell r="E87" t="str">
            <v>21/01/25</v>
          </cell>
          <cell r="F87" t="str">
            <v>21/01/2025</v>
          </cell>
          <cell r="G87" t="str">
            <v>20/01/2026</v>
          </cell>
          <cell r="H87" t="str">
            <v>08004499</v>
          </cell>
          <cell r="I87" t="str">
            <v>AL BARAKA BANK (PAKISTAN) LIMITED</v>
          </cell>
          <cell r="J87" t="str">
            <v>BANK</v>
          </cell>
          <cell r="K87" t="str">
            <v>Mr. 
HPA M/s. Al Baraka Bank (Pakistan) Limited 
Mr. Sarmad Kamal Khan 
HPA M/s. Al Baraka Bank (Pakistan) Limited</v>
          </cell>
          <cell r="L87" t="str">
            <v>D</v>
          </cell>
          <cell r="M87" t="str">
            <v>09000221</v>
          </cell>
          <cell r="N87">
            <v>100</v>
          </cell>
          <cell r="O87" t="str">
            <v>LAHORE</v>
          </cell>
          <cell r="P87" t="str">
            <v>H # 8 Street 3 Muhammadi Street Near Ghous Darbar Lahore</v>
          </cell>
          <cell r="Q87" t="str">
            <v>11000003</v>
          </cell>
          <cell r="R87" t="str">
            <v>HONDA CITY I-VTEC 1.2</v>
          </cell>
          <cell r="S87" t="str">
            <v>2025</v>
          </cell>
          <cell r="U87" t="str">
            <v>1030592</v>
          </cell>
          <cell r="V87" t="str">
            <v>SR047669</v>
          </cell>
          <cell r="X87" t="str">
            <v>3</v>
          </cell>
          <cell r="Y87">
            <v>5118000</v>
          </cell>
          <cell r="Z87">
            <v>66181</v>
          </cell>
          <cell r="AA87">
            <v>76770</v>
          </cell>
        </row>
        <row r="88">
          <cell r="B88" t="str">
            <v>KHI/HO/D/MO/PC COMP/C/105499/2/01/2025</v>
          </cell>
          <cell r="D88" t="str">
            <v>REN</v>
          </cell>
          <cell r="E88" t="str">
            <v>21/01/25</v>
          </cell>
          <cell r="F88" t="str">
            <v>03/01/2025</v>
          </cell>
          <cell r="G88" t="str">
            <v>02/01/2026</v>
          </cell>
          <cell r="H88" t="str">
            <v>08004499</v>
          </cell>
          <cell r="I88" t="str">
            <v>AL BARAKA BANK (PAKISTAN) LIMITED</v>
          </cell>
          <cell r="J88" t="str">
            <v>BANK</v>
          </cell>
          <cell r="K88" t="str">
            <v>Mr. 
Al Baraka Bank Pakistan Limited 
Mr. 
Al Baraka Bank Pakistan Limited 
User: Tayyab   Mahmood</v>
          </cell>
          <cell r="L88" t="str">
            <v>D</v>
          </cell>
          <cell r="M88" t="str">
            <v>09000221</v>
          </cell>
          <cell r="N88">
            <v>100</v>
          </cell>
          <cell r="P88" t="str">
            <v>P-161 Valancia Garden Samundari Road Faisalabad</v>
          </cell>
          <cell r="Q88" t="str">
            <v>11000003</v>
          </cell>
          <cell r="R88" t="str">
            <v>SUZUKI ALTO VXL AGS E-2</v>
          </cell>
          <cell r="S88" t="str">
            <v>2024</v>
          </cell>
          <cell r="T88" t="str">
            <v>AQL-315</v>
          </cell>
          <cell r="U88" t="str">
            <v>6R292250</v>
          </cell>
          <cell r="V88" t="str">
            <v>NF1AET306H1192277</v>
          </cell>
          <cell r="W88" t="str">
            <v>05-jan-2029</v>
          </cell>
          <cell r="Y88">
            <v>2641500</v>
          </cell>
          <cell r="Z88">
            <v>45544</v>
          </cell>
          <cell r="AA88">
            <v>52830</v>
          </cell>
        </row>
        <row r="89">
          <cell r="B89" t="str">
            <v>KHI/HO/D/MO/PC COMP/C/105499/3/01/2025</v>
          </cell>
          <cell r="D89" t="str">
            <v>REN</v>
          </cell>
          <cell r="E89" t="str">
            <v>21/01/25</v>
          </cell>
          <cell r="F89" t="str">
            <v>12/01/2025</v>
          </cell>
          <cell r="G89" t="str">
            <v>11/01/2026</v>
          </cell>
          <cell r="H89" t="str">
            <v>08004499</v>
          </cell>
          <cell r="I89" t="str">
            <v>AL BARAKA BANK (PAKISTAN) LIMITED</v>
          </cell>
          <cell r="J89" t="str">
            <v>BANK</v>
          </cell>
          <cell r="K89" t="str">
            <v>Mr. 
Al Baraka Bank Pakistan Limited 
Mr. 
Al Baraka Bank Pakistan Limited 
User: Amman Bashir Rathore</v>
          </cell>
          <cell r="L89" t="str">
            <v>D</v>
          </cell>
          <cell r="M89" t="str">
            <v>09000221</v>
          </cell>
          <cell r="N89">
            <v>100</v>
          </cell>
          <cell r="P89" t="str">
            <v>H-Cb-484 Lane 3 Gulistan Colony Rawalpindi</v>
          </cell>
          <cell r="Q89" t="str">
            <v>11000003</v>
          </cell>
          <cell r="R89" t="str">
            <v>SUZUKI ALTO VXL AGS E-2</v>
          </cell>
          <cell r="S89" t="str">
            <v>2024</v>
          </cell>
          <cell r="T89" t="str">
            <v>BDC-475</v>
          </cell>
          <cell r="U89" t="str">
            <v>293508</v>
          </cell>
          <cell r="V89" t="str">
            <v>1193565</v>
          </cell>
          <cell r="W89" t="str">
            <v>05-feb-2027</v>
          </cell>
          <cell r="Y89">
            <v>2641500</v>
          </cell>
          <cell r="Z89">
            <v>45544</v>
          </cell>
          <cell r="AA89">
            <v>52830</v>
          </cell>
        </row>
        <row r="90">
          <cell r="B90" t="str">
            <v>KHI/HO/D/MO/PC COMP/C/105499/4/01/2025</v>
          </cell>
          <cell r="D90" t="str">
            <v>REN</v>
          </cell>
          <cell r="E90" t="str">
            <v>21/01/25</v>
          </cell>
          <cell r="F90" t="str">
            <v>15/01/2025</v>
          </cell>
          <cell r="G90" t="str">
            <v>14/01/2026</v>
          </cell>
          <cell r="H90" t="str">
            <v>08004499</v>
          </cell>
          <cell r="I90" t="str">
            <v>AL BARAKA BANK (PAKISTAN) LIMITED</v>
          </cell>
          <cell r="J90" t="str">
            <v>BANK</v>
          </cell>
          <cell r="K90" t="str">
            <v>Mr. 
Al Baraka Bank Pakistan Limited 
Mr. 
Al Baraka Bank Pakistan Limited 
User: Aiman  Atif</v>
          </cell>
          <cell r="L90" t="str">
            <v>D</v>
          </cell>
          <cell r="M90" t="str">
            <v>09000221</v>
          </cell>
          <cell r="N90">
            <v>100</v>
          </cell>
          <cell r="P90" t="str">
            <v>H No 124 Eden Colleges New Iqbal Park Phase 2 Lahore Cantt</v>
          </cell>
          <cell r="Q90" t="str">
            <v>11000003</v>
          </cell>
          <cell r="R90" t="str">
            <v>TOYOTA COROLLA ALTIS</v>
          </cell>
          <cell r="S90" t="str">
            <v>2016</v>
          </cell>
          <cell r="T90" t="str">
            <v>LEA-16A-9300</v>
          </cell>
          <cell r="U90" t="str">
            <v>Q033998</v>
          </cell>
          <cell r="V90" t="str">
            <v>6011483</v>
          </cell>
          <cell r="W90" t="str">
            <v>05-feb-2027</v>
          </cell>
          <cell r="Y90">
            <v>3150000</v>
          </cell>
          <cell r="Z90">
            <v>40733</v>
          </cell>
          <cell r="AA90">
            <v>47250</v>
          </cell>
        </row>
        <row r="91">
          <cell r="B91" t="str">
            <v>KHI/HO/D/MO/PC COMP/C/105499/5/01/2025</v>
          </cell>
          <cell r="D91" t="str">
            <v>REN</v>
          </cell>
          <cell r="E91" t="str">
            <v>21/01/25</v>
          </cell>
          <cell r="F91" t="str">
            <v>15/01/2025</v>
          </cell>
          <cell r="G91" t="str">
            <v>14/01/2026</v>
          </cell>
          <cell r="H91" t="str">
            <v>08004499</v>
          </cell>
          <cell r="I91" t="str">
            <v>AL BARAKA BANK (PAKISTAN) LIMITED</v>
          </cell>
          <cell r="J91" t="str">
            <v>BANK</v>
          </cell>
          <cell r="K91" t="str">
            <v>Mr. 
Al Baraka Bank Pakistan Limited 
Mr. 
Al Baraka Bank Pakistan Limited 
User: Minahil  Shaukat</v>
          </cell>
          <cell r="L91" t="str">
            <v>D</v>
          </cell>
          <cell r="M91" t="str">
            <v>09000221</v>
          </cell>
          <cell r="N91">
            <v>100</v>
          </cell>
          <cell r="P91" t="str">
            <v>H No 07 Qamar Park Tokey Wala Chowk Shahbagh Lahore</v>
          </cell>
          <cell r="Q91" t="str">
            <v>11000003</v>
          </cell>
          <cell r="R91" t="str">
            <v>HONDA CITY</v>
          </cell>
          <cell r="S91" t="str">
            <v>2024</v>
          </cell>
          <cell r="T91" t="str">
            <v>AQT-751</v>
          </cell>
          <cell r="U91" t="str">
            <v>1021143</v>
          </cell>
          <cell r="V91" t="str">
            <v>PR036205</v>
          </cell>
          <cell r="W91" t="str">
            <v>05-feb-2027</v>
          </cell>
          <cell r="Y91">
            <v>4355100</v>
          </cell>
          <cell r="Z91">
            <v>56317</v>
          </cell>
          <cell r="AA91">
            <v>65327</v>
          </cell>
        </row>
        <row r="92">
          <cell r="B92" t="str">
            <v>KHI/HO/D/MO/PC COMP/C/105499/6/01/2025</v>
          </cell>
          <cell r="D92" t="str">
            <v>REN</v>
          </cell>
          <cell r="E92" t="str">
            <v>21/01/25</v>
          </cell>
          <cell r="F92" t="str">
            <v>15/01/2025</v>
          </cell>
          <cell r="G92" t="str">
            <v>14/01/2026</v>
          </cell>
          <cell r="H92" t="str">
            <v>08004499</v>
          </cell>
          <cell r="I92" t="str">
            <v>AL BARAKA BANK (PAKISTAN) LIMITED</v>
          </cell>
          <cell r="J92" t="str">
            <v>BANK</v>
          </cell>
          <cell r="K92" t="str">
            <v>Mr. 
Al Baraka Bank Pakistan Limited 
Mr. 
Al Baraka Bank Pakistan Limited 
User: Hafiz Shakil Ahmed Qureshi</v>
          </cell>
          <cell r="L92" t="str">
            <v>D</v>
          </cell>
          <cell r="M92" t="str">
            <v>09000221</v>
          </cell>
          <cell r="N92">
            <v>100</v>
          </cell>
          <cell r="P92" t="str">
            <v>H No 21 St 28 F-6/1 Islamabad</v>
          </cell>
          <cell r="Q92" t="str">
            <v>11000003</v>
          </cell>
          <cell r="R92" t="str">
            <v>SUZUKI CULTUS AGS</v>
          </cell>
          <cell r="S92" t="str">
            <v>2021</v>
          </cell>
          <cell r="T92" t="str">
            <v>AVJ-278</v>
          </cell>
          <cell r="U92" t="str">
            <v>171324</v>
          </cell>
          <cell r="V92" t="str">
            <v>10071324</v>
          </cell>
          <cell r="W92" t="str">
            <v>05-feb-2029</v>
          </cell>
          <cell r="Y92">
            <v>2880000</v>
          </cell>
          <cell r="Z92">
            <v>49655</v>
          </cell>
          <cell r="AA92">
            <v>57600</v>
          </cell>
        </row>
        <row r="93">
          <cell r="B93" t="str">
            <v>KHI/HO/D/MO/PC COMP/C/105499/7/01/2025</v>
          </cell>
          <cell r="D93" t="str">
            <v>REN</v>
          </cell>
          <cell r="E93" t="str">
            <v>21/01/25</v>
          </cell>
          <cell r="F93" t="str">
            <v>18/01/2025</v>
          </cell>
          <cell r="G93" t="str">
            <v>17/01/2026</v>
          </cell>
          <cell r="H93" t="str">
            <v>08004499</v>
          </cell>
          <cell r="I93" t="str">
            <v>AL BARAKA BANK (PAKISTAN) LIMITED</v>
          </cell>
          <cell r="J93" t="str">
            <v>BANK</v>
          </cell>
          <cell r="K93" t="str">
            <v>Mr. 
Al Baraka Bank Pakistan Limited 
Mr. 
Al Baraka Bank Pakistan Limited 
User: Faisal  Arshad</v>
          </cell>
          <cell r="L93" t="str">
            <v>D</v>
          </cell>
          <cell r="M93" t="str">
            <v>09000221</v>
          </cell>
          <cell r="N93">
            <v>100</v>
          </cell>
          <cell r="P93" t="str">
            <v>49-D People Colony 1 Faisalabad</v>
          </cell>
          <cell r="Q93" t="str">
            <v>11000003</v>
          </cell>
          <cell r="R93" t="str">
            <v>HYUNDAI TUCSON</v>
          </cell>
          <cell r="S93" t="str">
            <v>2024</v>
          </cell>
          <cell r="T93" t="str">
            <v>BDD-276</v>
          </cell>
          <cell r="U93" t="str">
            <v>G4NAPU372529</v>
          </cell>
          <cell r="V93" t="str">
            <v>PMHJ2813MPN215558</v>
          </cell>
          <cell r="W93" t="str">
            <v>05-feb-2027</v>
          </cell>
          <cell r="Y93">
            <v>7227000</v>
          </cell>
          <cell r="Z93">
            <v>93452</v>
          </cell>
          <cell r="AA93">
            <v>108405</v>
          </cell>
        </row>
        <row r="94">
          <cell r="B94" t="str">
            <v>KHI/HO/D/MO/PC COMP/C/105499/8/01/2025</v>
          </cell>
          <cell r="D94" t="str">
            <v>REN</v>
          </cell>
          <cell r="E94" t="str">
            <v>21/01/25</v>
          </cell>
          <cell r="F94" t="str">
            <v>18/01/2025</v>
          </cell>
          <cell r="G94" t="str">
            <v>17/01/2026</v>
          </cell>
          <cell r="H94" t="str">
            <v>08004499</v>
          </cell>
          <cell r="I94" t="str">
            <v>AL BARAKA BANK (PAKISTAN) LIMITED</v>
          </cell>
          <cell r="J94" t="str">
            <v>BANK</v>
          </cell>
          <cell r="K94" t="str">
            <v>Mr. 
Al Baraka Bank Pakistan Limited 
Mr. 
Al Baraka Bank Pakistan Limited 
User: Sana  Ullah</v>
          </cell>
          <cell r="L94" t="str">
            <v>D</v>
          </cell>
          <cell r="M94" t="str">
            <v>09000221</v>
          </cell>
          <cell r="N94">
            <v>100</v>
          </cell>
          <cell r="P94" t="str">
            <v>H # E-87 Phase 2 Defence View Society Karachi</v>
          </cell>
          <cell r="Q94" t="str">
            <v>11000003</v>
          </cell>
          <cell r="R94" t="str">
            <v>SUZUKI ALTO VXR E-2</v>
          </cell>
          <cell r="S94" t="str">
            <v>2024</v>
          </cell>
          <cell r="T94" t="str">
            <v>BCS-630</v>
          </cell>
          <cell r="U94" t="str">
            <v>290380</v>
          </cell>
          <cell r="V94" t="str">
            <v>1190468</v>
          </cell>
          <cell r="W94" t="str">
            <v>05-feb-2027</v>
          </cell>
          <cell r="Y94">
            <v>2350800</v>
          </cell>
          <cell r="Z94">
            <v>40531</v>
          </cell>
          <cell r="AA94">
            <v>47016</v>
          </cell>
        </row>
        <row r="95">
          <cell r="B95" t="str">
            <v>KHI/HO/D/MO/PC COMP/C/105499/9/01/2025</v>
          </cell>
          <cell r="D95" t="str">
            <v>REN</v>
          </cell>
          <cell r="E95" t="str">
            <v>21/01/25</v>
          </cell>
          <cell r="F95" t="str">
            <v>22/01/2025</v>
          </cell>
          <cell r="G95" t="str">
            <v>21/01/2026</v>
          </cell>
          <cell r="H95" t="str">
            <v>08004499</v>
          </cell>
          <cell r="I95" t="str">
            <v>AL BARAKA BANK (PAKISTAN) LIMITED</v>
          </cell>
          <cell r="J95" t="str">
            <v>BANK</v>
          </cell>
          <cell r="K95" t="str">
            <v>Mr. 
Al Baraka Bank Pakistan Limited 
Mr. 
Al Baraka Bank Pakistan Limited 
User: Maida Tazeen Yousaf</v>
          </cell>
          <cell r="L95" t="str">
            <v>D</v>
          </cell>
          <cell r="M95" t="str">
            <v>09000221</v>
          </cell>
          <cell r="N95">
            <v>100</v>
          </cell>
          <cell r="P95" t="str">
            <v>H # 422 Block H Gulshan-E-Ravi Lahore</v>
          </cell>
          <cell r="Q95" t="str">
            <v>11000003</v>
          </cell>
          <cell r="R95" t="str">
            <v>SUZUKI ALTO VXL AGS E-2</v>
          </cell>
          <cell r="S95" t="str">
            <v>2020</v>
          </cell>
          <cell r="T95" t="str">
            <v>LEA-20-8650</v>
          </cell>
          <cell r="U95" t="str">
            <v>6R129164</v>
          </cell>
          <cell r="V95" t="str">
            <v>1029188</v>
          </cell>
          <cell r="W95" t="str">
            <v>05-feb-2029</v>
          </cell>
          <cell r="Y95">
            <v>2259000</v>
          </cell>
          <cell r="Z95">
            <v>38949</v>
          </cell>
          <cell r="AA95">
            <v>45180</v>
          </cell>
        </row>
        <row r="96">
          <cell r="B96" t="str">
            <v>KHI/HO/D/MO/PC COMP/C/105499/10/01/2025</v>
          </cell>
          <cell r="D96" t="str">
            <v>REN</v>
          </cell>
          <cell r="E96" t="str">
            <v>21/01/25</v>
          </cell>
          <cell r="F96" t="str">
            <v>22/01/2025</v>
          </cell>
          <cell r="G96" t="str">
            <v>21/01/2026</v>
          </cell>
          <cell r="H96" t="str">
            <v>08004499</v>
          </cell>
          <cell r="I96" t="str">
            <v>AL BARAKA BANK (PAKISTAN) LIMITED</v>
          </cell>
          <cell r="J96" t="str">
            <v>BANK</v>
          </cell>
          <cell r="K96" t="str">
            <v>Mr. 
Al Baraka Bank Pakistan Limited 
Mr. 
Al Baraka Bank Pakistan Limited 
User: Hassan   Raza</v>
          </cell>
          <cell r="L96" t="str">
            <v>D</v>
          </cell>
          <cell r="M96" t="str">
            <v>09000221</v>
          </cell>
          <cell r="N96">
            <v>100</v>
          </cell>
          <cell r="P96" t="str">
            <v>H 23 Nayab City Bodla Road Multan</v>
          </cell>
          <cell r="Q96" t="str">
            <v>11000003</v>
          </cell>
          <cell r="R96" t="str">
            <v>SUZUKI ALTO VXL AGS E-2</v>
          </cell>
          <cell r="S96" t="str">
            <v>2022</v>
          </cell>
          <cell r="T96" t="str">
            <v>ANJ-984</v>
          </cell>
          <cell r="U96" t="str">
            <v>6R255866</v>
          </cell>
          <cell r="V96" t="str">
            <v>1155828</v>
          </cell>
          <cell r="W96" t="str">
            <v>05-feb-2028</v>
          </cell>
          <cell r="Y96">
            <v>2430000</v>
          </cell>
          <cell r="Z96">
            <v>41897</v>
          </cell>
          <cell r="AA96">
            <v>48600</v>
          </cell>
        </row>
        <row r="97">
          <cell r="B97" t="str">
            <v>KHI/HO/D/MO/PC COMP/C/105499/11/01/2025</v>
          </cell>
          <cell r="D97" t="str">
            <v>REN</v>
          </cell>
          <cell r="E97" t="str">
            <v>21/01/25</v>
          </cell>
          <cell r="F97" t="str">
            <v>05/01/2025</v>
          </cell>
          <cell r="G97" t="str">
            <v>04/01/2026</v>
          </cell>
          <cell r="H97" t="str">
            <v>08004499</v>
          </cell>
          <cell r="I97" t="str">
            <v>AL BARAKA BANK (PAKISTAN) LIMITED</v>
          </cell>
          <cell r="J97" t="str">
            <v>BANK</v>
          </cell>
          <cell r="K97" t="str">
            <v>Mr. 
Al Baraka Bank Pakistan Limited 
Mr. 
Al Baraka Bank Pakistan Limited 
User: Muhammad Shoaib  Shaukat</v>
          </cell>
          <cell r="L97" t="str">
            <v>D</v>
          </cell>
          <cell r="M97" t="str">
            <v>09000221</v>
          </cell>
          <cell r="N97">
            <v>100</v>
          </cell>
          <cell r="P97" t="str">
            <v>Flat A-204 2Nd Floor Green City Blueline Appartment Karachi</v>
          </cell>
          <cell r="Q97" t="str">
            <v>11000003</v>
          </cell>
          <cell r="R97" t="str">
            <v>SUZUKI ALTO VXR E-2</v>
          </cell>
          <cell r="S97" t="str">
            <v>2021</v>
          </cell>
          <cell r="T97" t="str">
            <v>BTB-930</v>
          </cell>
          <cell r="U97" t="str">
            <v>R-155672</v>
          </cell>
          <cell r="V97" t="str">
            <v>1055646</v>
          </cell>
          <cell r="W97" t="str">
            <v>05-jan-2029</v>
          </cell>
          <cell r="Y97">
            <v>1917000</v>
          </cell>
          <cell r="Z97">
            <v>33051</v>
          </cell>
          <cell r="AA97">
            <v>38340</v>
          </cell>
        </row>
        <row r="98">
          <cell r="B98" t="str">
            <v>KHI/HO/D/MO/PC COMP/C/105499/12/01/2025</v>
          </cell>
          <cell r="D98" t="str">
            <v>REN</v>
          </cell>
          <cell r="E98" t="str">
            <v>21/01/25</v>
          </cell>
          <cell r="F98" t="str">
            <v>23/01/2025</v>
          </cell>
          <cell r="G98" t="str">
            <v>22/01/2026</v>
          </cell>
          <cell r="H98" t="str">
            <v>08004499</v>
          </cell>
          <cell r="I98" t="str">
            <v>AL BARAKA BANK (PAKISTAN) LIMITED</v>
          </cell>
          <cell r="J98" t="str">
            <v>BANK</v>
          </cell>
          <cell r="K98" t="str">
            <v>Mr. 
Al Baraka Bank Pakistan Limited 
Mr. 
Al Baraka Bank Pakistan Limited 
User: Shikoh   Lashari</v>
          </cell>
          <cell r="L98" t="str">
            <v>D</v>
          </cell>
          <cell r="M98" t="str">
            <v>09000221</v>
          </cell>
          <cell r="N98">
            <v>100</v>
          </cell>
          <cell r="P98" t="str">
            <v>278 Block D St No 6 Dha Lahore</v>
          </cell>
          <cell r="Q98" t="str">
            <v>11000003</v>
          </cell>
          <cell r="R98" t="str">
            <v>MG HS 1.5 T</v>
          </cell>
          <cell r="S98" t="str">
            <v>2021</v>
          </cell>
          <cell r="T98" t="str">
            <v>ATX-856</v>
          </cell>
          <cell r="U98" t="str">
            <v>M3190922</v>
          </cell>
          <cell r="V98" t="str">
            <v>N069259</v>
          </cell>
          <cell r="W98" t="str">
            <v>05-feb-2028</v>
          </cell>
          <cell r="Y98">
            <v>6300000</v>
          </cell>
          <cell r="Z98">
            <v>81465</v>
          </cell>
          <cell r="AA98">
            <v>94500</v>
          </cell>
        </row>
        <row r="99">
          <cell r="B99" t="str">
            <v>KHI/HO/D/MO/PC COMP/C/105499/13/01/2025</v>
          </cell>
          <cell r="D99" t="str">
            <v>REN</v>
          </cell>
          <cell r="E99" t="str">
            <v>21/01/25</v>
          </cell>
          <cell r="F99" t="str">
            <v>23/01/2025</v>
          </cell>
          <cell r="G99" t="str">
            <v>22/01/2026</v>
          </cell>
          <cell r="H99" t="str">
            <v>08004499</v>
          </cell>
          <cell r="I99" t="str">
            <v>AL BARAKA BANK (PAKISTAN) LIMITED</v>
          </cell>
          <cell r="J99" t="str">
            <v>BANK</v>
          </cell>
          <cell r="K99" t="str">
            <v>Mr. 
Al Baraka Bank Pakistan Limited 
Mr. 
Al Baraka Bank Pakistan Limited 
User: Imran  Liaqat</v>
          </cell>
          <cell r="L99" t="str">
            <v>D</v>
          </cell>
          <cell r="M99" t="str">
            <v>09000221</v>
          </cell>
          <cell r="N99">
            <v>100</v>
          </cell>
          <cell r="P99" t="str">
            <v>Kot Khadim Hussain Near Chanan Din Park Paradise School  Sui Gas Rd Shahdra Lahore</v>
          </cell>
          <cell r="Q99" t="str">
            <v>11000003</v>
          </cell>
          <cell r="R99" t="str">
            <v>TOYOTA COROLLA XLI 1.3</v>
          </cell>
          <cell r="S99" t="str">
            <v>2015</v>
          </cell>
          <cell r="T99" t="str">
            <v>LEH-15-3147</v>
          </cell>
          <cell r="U99" t="str">
            <v>Z325962</v>
          </cell>
          <cell r="V99" t="str">
            <v>4047298</v>
          </cell>
          <cell r="W99" t="str">
            <v>05-feb-2027</v>
          </cell>
          <cell r="Y99">
            <v>2250000</v>
          </cell>
          <cell r="Z99">
            <v>38793</v>
          </cell>
          <cell r="AA99">
            <v>45000</v>
          </cell>
        </row>
        <row r="100">
          <cell r="B100" t="str">
            <v>KHI/HO/D/MO/PC COMP/C/105499/14/01/2025</v>
          </cell>
          <cell r="D100" t="str">
            <v>REN</v>
          </cell>
          <cell r="E100" t="str">
            <v>21/01/25</v>
          </cell>
          <cell r="F100" t="str">
            <v>24/01/2025</v>
          </cell>
          <cell r="G100" t="str">
            <v>23/01/2026</v>
          </cell>
          <cell r="H100" t="str">
            <v>08004499</v>
          </cell>
          <cell r="I100" t="str">
            <v>AL BARAKA BANK (PAKISTAN) LIMITED</v>
          </cell>
          <cell r="J100" t="str">
            <v>BANK</v>
          </cell>
          <cell r="K100" t="str">
            <v>Mr. 
Al Baraka Bank Pakistan Limited 
Mr. 
Al Baraka Bank Pakistan Limited 
User: Israr  Karamat</v>
          </cell>
          <cell r="L100" t="str">
            <v>D</v>
          </cell>
          <cell r="M100" t="str">
            <v>09000221</v>
          </cell>
          <cell r="N100">
            <v>100</v>
          </cell>
          <cell r="P100" t="str">
            <v>H No 6 St 1 Haq Bao Road Shadra Road Lahore</v>
          </cell>
          <cell r="Q100" t="str">
            <v>11000003</v>
          </cell>
          <cell r="R100" t="str">
            <v>SUZUKI CULTUS</v>
          </cell>
          <cell r="S100" t="str">
            <v>2022</v>
          </cell>
          <cell r="T100" t="str">
            <v>ANA-977</v>
          </cell>
          <cell r="U100" t="str">
            <v>203547</v>
          </cell>
          <cell r="V100" t="str">
            <v>10103539</v>
          </cell>
          <cell r="W100" t="str">
            <v>05-feb-2029</v>
          </cell>
          <cell r="Y100">
            <v>3150000</v>
          </cell>
          <cell r="Z100">
            <v>40733</v>
          </cell>
          <cell r="AA100">
            <v>47250</v>
          </cell>
        </row>
        <row r="101">
          <cell r="B101" t="str">
            <v>KHI/HO/D/MO/PC COMP/C/105499/15/01/2025</v>
          </cell>
          <cell r="D101" t="str">
            <v>REN</v>
          </cell>
          <cell r="E101" t="str">
            <v>21/01/25</v>
          </cell>
          <cell r="F101" t="str">
            <v>25/01/2025</v>
          </cell>
          <cell r="G101" t="str">
            <v>24/01/2026</v>
          </cell>
          <cell r="H101" t="str">
            <v>08004499</v>
          </cell>
          <cell r="I101" t="str">
            <v>AL BARAKA BANK (PAKISTAN) LIMITED</v>
          </cell>
          <cell r="J101" t="str">
            <v>BANK</v>
          </cell>
          <cell r="K101" t="str">
            <v>Mr. 
Al Baraka Bank Pakistan Limited 
Mr. 
Al Baraka Bank Pakistan Limited 
User: Raheel  Waqar  Malik</v>
          </cell>
          <cell r="L101" t="str">
            <v>D</v>
          </cell>
          <cell r="M101" t="str">
            <v>09000221</v>
          </cell>
          <cell r="N101">
            <v>100</v>
          </cell>
          <cell r="P101" t="str">
            <v>H No 18 A Main Road Sector D-12/4 Islamabad</v>
          </cell>
          <cell r="Q101" t="str">
            <v>11000003</v>
          </cell>
          <cell r="R101" t="str">
            <v>HONDA CITY</v>
          </cell>
          <cell r="S101" t="str">
            <v>2024</v>
          </cell>
          <cell r="T101" t="str">
            <v>BDC-192</v>
          </cell>
          <cell r="U101" t="str">
            <v>81014497</v>
          </cell>
          <cell r="V101" t="str">
            <v>033428</v>
          </cell>
          <cell r="W101" t="str">
            <v>05-feb-2027</v>
          </cell>
          <cell r="Y101">
            <v>4922550</v>
          </cell>
          <cell r="Z101">
            <v>63653</v>
          </cell>
          <cell r="AA101">
            <v>73838</v>
          </cell>
        </row>
        <row r="102">
          <cell r="B102" t="str">
            <v>KHI/HO/D/MO/PC COMP/C/105499/16/01/2025</v>
          </cell>
          <cell r="D102" t="str">
            <v>REN</v>
          </cell>
          <cell r="E102" t="str">
            <v>21/01/25</v>
          </cell>
          <cell r="F102" t="str">
            <v>25/01/2025</v>
          </cell>
          <cell r="G102" t="str">
            <v>24/01/2026</v>
          </cell>
          <cell r="H102" t="str">
            <v>08004499</v>
          </cell>
          <cell r="I102" t="str">
            <v>AL BARAKA BANK (PAKISTAN) LIMITED</v>
          </cell>
          <cell r="J102" t="str">
            <v>BANK</v>
          </cell>
          <cell r="K102" t="str">
            <v>Mr. 
Al Baraka Bank Pakistan Limited 
Mr. 
Al Baraka Bank Pakistan Limited 
User: Zain  Humayoun</v>
          </cell>
          <cell r="L102" t="str">
            <v>D</v>
          </cell>
          <cell r="M102" t="str">
            <v>09000221</v>
          </cell>
          <cell r="N102">
            <v>100</v>
          </cell>
          <cell r="P102" t="str">
            <v>H No 547 Woods Block Paragon City Lahore Cantt</v>
          </cell>
          <cell r="Q102" t="str">
            <v>11000003</v>
          </cell>
          <cell r="R102" t="str">
            <v>HYUNDAI TUCSON</v>
          </cell>
          <cell r="S102" t="str">
            <v>2024</v>
          </cell>
          <cell r="T102" t="str">
            <v>AQZ-004</v>
          </cell>
          <cell r="U102" t="str">
            <v>U374540</v>
          </cell>
          <cell r="V102" t="str">
            <v>N215523</v>
          </cell>
          <cell r="W102" t="str">
            <v>05-feb-2027</v>
          </cell>
          <cell r="Y102">
            <v>7249500</v>
          </cell>
          <cell r="Z102">
            <v>93744</v>
          </cell>
          <cell r="AA102">
            <v>108743</v>
          </cell>
        </row>
        <row r="103">
          <cell r="B103" t="str">
            <v>KHI/HO/D/MO/PC COMP/C/105499/17/01/2025</v>
          </cell>
          <cell r="D103" t="str">
            <v>REN</v>
          </cell>
          <cell r="E103" t="str">
            <v>21/01/25</v>
          </cell>
          <cell r="F103" t="str">
            <v>25/01/2025</v>
          </cell>
          <cell r="G103" t="str">
            <v>24/01/2026</v>
          </cell>
          <cell r="H103" t="str">
            <v>08004499</v>
          </cell>
          <cell r="I103" t="str">
            <v>AL BARAKA BANK (PAKISTAN) LIMITED</v>
          </cell>
          <cell r="J103" t="str">
            <v>BANK</v>
          </cell>
          <cell r="K103" t="str">
            <v>Mr. 
Al Baraka Bank Pakistan Limited 
Mr. 
Al Baraka Bank Pakistan Limited 
User: Abdul  Rehman</v>
          </cell>
          <cell r="L103" t="str">
            <v>D</v>
          </cell>
          <cell r="M103" t="str">
            <v>09000221</v>
          </cell>
          <cell r="N103">
            <v>100</v>
          </cell>
          <cell r="P103" t="str">
            <v>H No 978 A Mohallah Raja Ghulam Rasool Nagar Faisalabad</v>
          </cell>
          <cell r="Q103" t="str">
            <v>11000003</v>
          </cell>
          <cell r="R103" t="str">
            <v>TOYOTA YARIS ATIV X CVT</v>
          </cell>
          <cell r="S103" t="str">
            <v>2020</v>
          </cell>
          <cell r="T103" t="str">
            <v>AAD-489</v>
          </cell>
          <cell r="U103" t="str">
            <v>2A05310</v>
          </cell>
          <cell r="V103" t="str">
            <v>NSP151R9502473</v>
          </cell>
          <cell r="W103" t="str">
            <v>05-feb-2027</v>
          </cell>
          <cell r="Y103">
            <v>3600000</v>
          </cell>
          <cell r="Z103">
            <v>46551</v>
          </cell>
          <cell r="AA103">
            <v>54000</v>
          </cell>
        </row>
        <row r="104">
          <cell r="B104" t="str">
            <v>KHI/HO/D/MO/PC COMP/C/105499/18/01/2025</v>
          </cell>
          <cell r="D104" t="str">
            <v>REN</v>
          </cell>
          <cell r="E104" t="str">
            <v>21/01/25</v>
          </cell>
          <cell r="F104" t="str">
            <v>26/01/2025</v>
          </cell>
          <cell r="G104" t="str">
            <v>25/01/2026</v>
          </cell>
          <cell r="H104" t="str">
            <v>08004499</v>
          </cell>
          <cell r="I104" t="str">
            <v>AL BARAKA BANK (PAKISTAN) LIMITED</v>
          </cell>
          <cell r="J104" t="str">
            <v>BANK</v>
          </cell>
          <cell r="K104" t="str">
            <v>Mr. 
Al Baraka Bank Pakistan Limited 
Mr. 
Al Baraka Bank Pakistan Limited 
User: Aqeel  Ahmad</v>
          </cell>
          <cell r="L104" t="str">
            <v>D</v>
          </cell>
          <cell r="M104" t="str">
            <v>09000221</v>
          </cell>
          <cell r="N104">
            <v>100</v>
          </cell>
          <cell r="P104" t="str">
            <v>H # P-65 Street 11 A-7 Ghanabad No. 2 Faisalabad</v>
          </cell>
          <cell r="Q104" t="str">
            <v>11000003</v>
          </cell>
          <cell r="R104" t="str">
            <v>SUZUKI MEHRAN VXR EURO-II</v>
          </cell>
          <cell r="S104" t="str">
            <v>2018</v>
          </cell>
          <cell r="T104" t="str">
            <v>LEE-18-3412</v>
          </cell>
          <cell r="U104" t="str">
            <v>PKB730571</v>
          </cell>
          <cell r="V104" t="str">
            <v>SB308PK01269103</v>
          </cell>
          <cell r="W104" t="str">
            <v>05-feb-2029</v>
          </cell>
          <cell r="Y104">
            <v>1026000</v>
          </cell>
          <cell r="Z104">
            <v>17690</v>
          </cell>
          <cell r="AA104">
            <v>20520</v>
          </cell>
        </row>
        <row r="105">
          <cell r="B105" t="str">
            <v>KHI/HO/D/MO/PC COMP/C/105499/19/01/2025</v>
          </cell>
          <cell r="D105" t="str">
            <v>REN</v>
          </cell>
          <cell r="E105" t="str">
            <v>21/01/25</v>
          </cell>
          <cell r="F105" t="str">
            <v>29/01/2025</v>
          </cell>
          <cell r="G105" t="str">
            <v>28/01/2026</v>
          </cell>
          <cell r="H105" t="str">
            <v>08004499</v>
          </cell>
          <cell r="I105" t="str">
            <v>AL BARAKA BANK (PAKISTAN) LIMITED</v>
          </cell>
          <cell r="J105" t="str">
            <v>BANK</v>
          </cell>
          <cell r="K105" t="str">
            <v>Mr. 
Al Baraka Bank Pakistan Limited 
Mr. 
Al Baraka Bank Pakistan Limited 
User: Muhammad  Fiaz Khan</v>
          </cell>
          <cell r="L105" t="str">
            <v>D</v>
          </cell>
          <cell r="M105" t="str">
            <v>09000221</v>
          </cell>
          <cell r="N105">
            <v>100</v>
          </cell>
          <cell r="P105" t="str">
            <v>H No 38-B Nfc Flat Faisal Town Lahore</v>
          </cell>
          <cell r="Q105" t="str">
            <v>11000003</v>
          </cell>
          <cell r="R105" t="str">
            <v>SUZUKI ALTO AGS A/T</v>
          </cell>
          <cell r="S105" t="str">
            <v>2024</v>
          </cell>
          <cell r="T105" t="str">
            <v>ARA-325</v>
          </cell>
          <cell r="U105" t="str">
            <v>295204</v>
          </cell>
          <cell r="V105" t="str">
            <v>1195253</v>
          </cell>
          <cell r="W105" t="str">
            <v>05-feb-2029</v>
          </cell>
          <cell r="Y105">
            <v>2641500</v>
          </cell>
          <cell r="Z105">
            <v>45544</v>
          </cell>
          <cell r="AA105">
            <v>52830</v>
          </cell>
        </row>
        <row r="106">
          <cell r="B106" t="str">
            <v>KHI/HO/D/MO/PC COMP/C/105499/20/01/2025</v>
          </cell>
          <cell r="D106" t="str">
            <v>REN</v>
          </cell>
          <cell r="E106" t="str">
            <v>21/01/25</v>
          </cell>
          <cell r="F106" t="str">
            <v>29/01/2025</v>
          </cell>
          <cell r="G106" t="str">
            <v>28/01/2026</v>
          </cell>
          <cell r="H106" t="str">
            <v>08004499</v>
          </cell>
          <cell r="I106" t="str">
            <v>AL BARAKA BANK (PAKISTAN) LIMITED</v>
          </cell>
          <cell r="J106" t="str">
            <v>BANK</v>
          </cell>
          <cell r="K106" t="str">
            <v>Mr. 
Al Baraka Bank Pakistan Limited 
Mr. 
Al Baraka Bank Pakistan Limited 
User: Syed Ahmad Hussain</v>
          </cell>
          <cell r="L106" t="str">
            <v>D</v>
          </cell>
          <cell r="M106" t="str">
            <v>09000221</v>
          </cell>
          <cell r="N106">
            <v>100</v>
          </cell>
          <cell r="P106" t="str">
            <v>H #  79 Street 42 Mustafabad Dharam Pura Lahore</v>
          </cell>
          <cell r="Q106" t="str">
            <v>11000003</v>
          </cell>
          <cell r="R106" t="str">
            <v>KIA SPORTAGE AWD-CW</v>
          </cell>
          <cell r="S106" t="str">
            <v>2020</v>
          </cell>
          <cell r="T106" t="str">
            <v>ABG-294</v>
          </cell>
          <cell r="U106" t="str">
            <v>332254</v>
          </cell>
          <cell r="V106" t="str">
            <v>506555</v>
          </cell>
          <cell r="W106" t="str">
            <v>05-feb-2027</v>
          </cell>
          <cell r="Y106">
            <v>5850000</v>
          </cell>
          <cell r="Z106">
            <v>75647</v>
          </cell>
          <cell r="AA106">
            <v>87750</v>
          </cell>
        </row>
        <row r="107">
          <cell r="B107" t="str">
            <v>KHI/HO/D/MO/PC COMP/C/105499/21/01/2025</v>
          </cell>
          <cell r="D107" t="str">
            <v>REN</v>
          </cell>
          <cell r="E107" t="str">
            <v>21/01/25</v>
          </cell>
          <cell r="F107" t="str">
            <v>30/01/2025</v>
          </cell>
          <cell r="G107" t="str">
            <v>29/01/2026</v>
          </cell>
          <cell r="H107" t="str">
            <v>08004499</v>
          </cell>
          <cell r="I107" t="str">
            <v>AL BARAKA BANK (PAKISTAN) LIMITED</v>
          </cell>
          <cell r="J107" t="str">
            <v>BANK</v>
          </cell>
          <cell r="K107" t="str">
            <v>Mr. 
Al Baraka Bank Pakistan Limited 
Mr. 
Al Baraka Bank Pakistan Limited 
User: Imran  Mushtaq</v>
          </cell>
          <cell r="L107" t="str">
            <v>D</v>
          </cell>
          <cell r="M107" t="str">
            <v>09000221</v>
          </cell>
          <cell r="N107">
            <v>100</v>
          </cell>
          <cell r="P107" t="str">
            <v>Chak No. 68 Rb Kalan Jaranwala Faisalabad</v>
          </cell>
          <cell r="Q107" t="str">
            <v>11000003</v>
          </cell>
          <cell r="R107" t="str">
            <v>HONDA CITY ASPIRE I VTEC</v>
          </cell>
          <cell r="S107" t="str">
            <v>2016</v>
          </cell>
          <cell r="T107" t="str">
            <v>LEA-16-5395</v>
          </cell>
          <cell r="U107" t="str">
            <v>L13Z17439779</v>
          </cell>
          <cell r="V107" t="str">
            <v>NFBGM1559GR179782</v>
          </cell>
          <cell r="W107" t="str">
            <v>05-feb-2027</v>
          </cell>
          <cell r="Y107">
            <v>2745000</v>
          </cell>
          <cell r="Z107">
            <v>47328</v>
          </cell>
          <cell r="AA107">
            <v>54900</v>
          </cell>
        </row>
        <row r="108">
          <cell r="B108" t="str">
            <v>KHI/HO/D/MO/PC COMP/C/105499/22/01/2025</v>
          </cell>
          <cell r="D108" t="str">
            <v>REN</v>
          </cell>
          <cell r="E108" t="str">
            <v>21/01/25</v>
          </cell>
          <cell r="F108" t="str">
            <v>05/01/2025</v>
          </cell>
          <cell r="G108" t="str">
            <v>04/01/2026</v>
          </cell>
          <cell r="H108" t="str">
            <v>08004499</v>
          </cell>
          <cell r="I108" t="str">
            <v>AL BARAKA BANK (PAKISTAN) LIMITED</v>
          </cell>
          <cell r="J108" t="str">
            <v>BANK</v>
          </cell>
          <cell r="K108" t="str">
            <v>Mr. 
Al Baraka Bank Pakistan Limited 
Mr. 
Al Baraka Bank Pakistan Limited 
User: Tanveer Naveed Bajwa</v>
          </cell>
          <cell r="L108" t="str">
            <v>D</v>
          </cell>
          <cell r="M108" t="str">
            <v>09000221</v>
          </cell>
          <cell r="N108">
            <v>100</v>
          </cell>
          <cell r="P108" t="str">
            <v>H # 200 Lower Portion Block A-1 Johar Town Lahore</v>
          </cell>
          <cell r="Q108" t="str">
            <v>11000003</v>
          </cell>
          <cell r="R108" t="str">
            <v>TOYOTA AQUA HYBRID</v>
          </cell>
          <cell r="S108" t="str">
            <v>2018</v>
          </cell>
          <cell r="T108" t="str">
            <v>APG-214</v>
          </cell>
          <cell r="U108" t="str">
            <v>625709</v>
          </cell>
          <cell r="V108" t="str">
            <v>106716354</v>
          </cell>
          <cell r="W108" t="str">
            <v>05-jan-2028</v>
          </cell>
          <cell r="Y108">
            <v>3825000</v>
          </cell>
          <cell r="Z108">
            <v>49461</v>
          </cell>
          <cell r="AA108">
            <v>57375</v>
          </cell>
        </row>
        <row r="109">
          <cell r="B109" t="str">
            <v>KHI/HO/D/MO/PC COMP/C/105499/23/01/2025</v>
          </cell>
          <cell r="D109" t="str">
            <v>REN</v>
          </cell>
          <cell r="E109" t="str">
            <v>21/01/25</v>
          </cell>
          <cell r="F109" t="str">
            <v>30/01/2025</v>
          </cell>
          <cell r="G109" t="str">
            <v>29/01/2026</v>
          </cell>
          <cell r="H109" t="str">
            <v>08004499</v>
          </cell>
          <cell r="I109" t="str">
            <v>AL BARAKA BANK (PAKISTAN) LIMITED</v>
          </cell>
          <cell r="J109" t="str">
            <v>BANK</v>
          </cell>
          <cell r="K109" t="str">
            <v>Mr. 
Al Baraka Bank Pakistan Limited 
Mr. 
Al Baraka Bank Pakistan Limited 
User: Ahmad  Bilal</v>
          </cell>
          <cell r="L109" t="str">
            <v>D</v>
          </cell>
          <cell r="M109" t="str">
            <v>09000221</v>
          </cell>
          <cell r="N109">
            <v>100</v>
          </cell>
          <cell r="P109" t="str">
            <v>H # 21/1 Block J Model Town Lahore</v>
          </cell>
          <cell r="Q109" t="str">
            <v>11000003</v>
          </cell>
          <cell r="R109" t="str">
            <v>HAVAL GWM</v>
          </cell>
          <cell r="S109" t="str">
            <v>2018</v>
          </cell>
          <cell r="T109" t="str">
            <v>LEB-17A-612</v>
          </cell>
          <cell r="U109" t="str">
            <v>Z12923041</v>
          </cell>
          <cell r="V109" t="str">
            <v>HR026296</v>
          </cell>
          <cell r="W109" t="str">
            <v>05-feb-2028</v>
          </cell>
          <cell r="Y109">
            <v>4410000</v>
          </cell>
          <cell r="Z109">
            <v>57026</v>
          </cell>
          <cell r="AA109">
            <v>66150</v>
          </cell>
        </row>
        <row r="110">
          <cell r="B110" t="str">
            <v>KHI/HO/D/MO/PC COMP/C/105499/24/01/2025</v>
          </cell>
          <cell r="D110" t="str">
            <v>REN</v>
          </cell>
          <cell r="E110" t="str">
            <v>21/01/25</v>
          </cell>
          <cell r="F110" t="str">
            <v>31/01/2025</v>
          </cell>
          <cell r="G110" t="str">
            <v>30/01/2026</v>
          </cell>
          <cell r="H110" t="str">
            <v>08004499</v>
          </cell>
          <cell r="I110" t="str">
            <v>AL BARAKA BANK (PAKISTAN) LIMITED</v>
          </cell>
          <cell r="J110" t="str">
            <v>BANK</v>
          </cell>
          <cell r="K110" t="str">
            <v>Mr. 
Al Baraka Bank Pakistan Limited 
Mr. 
Al Baraka Bank Pakistan Limited 
User: Hamad  Qayyum</v>
          </cell>
          <cell r="L110" t="str">
            <v>D</v>
          </cell>
          <cell r="M110" t="str">
            <v>09000221</v>
          </cell>
          <cell r="N110">
            <v>100</v>
          </cell>
          <cell r="P110" t="str">
            <v>H No E-63 /11 Near Kamran Masjid Shaheen Colony Walton Lahore</v>
          </cell>
          <cell r="Q110" t="str">
            <v>11000003</v>
          </cell>
          <cell r="R110" t="str">
            <v>SUZUKI ALTO VXL AGS</v>
          </cell>
          <cell r="S110" t="str">
            <v>2024</v>
          </cell>
          <cell r="T110" t="str">
            <v>ARA-469</v>
          </cell>
          <cell r="U110" t="str">
            <v>297202</v>
          </cell>
          <cell r="V110" t="str">
            <v>1197241</v>
          </cell>
          <cell r="W110" t="str">
            <v>05-feb-2029</v>
          </cell>
          <cell r="Y110">
            <v>2641500</v>
          </cell>
          <cell r="Z110">
            <v>45544</v>
          </cell>
          <cell r="AA110">
            <v>52830</v>
          </cell>
        </row>
        <row r="111">
          <cell r="B111" t="str">
            <v>KHI/HO/D/MO/PC COMP/C/105499/25/01/2025</v>
          </cell>
          <cell r="D111" t="str">
            <v>REN</v>
          </cell>
          <cell r="E111" t="str">
            <v>21/01/25</v>
          </cell>
          <cell r="F111" t="str">
            <v>30/01/2025</v>
          </cell>
          <cell r="G111" t="str">
            <v>29/01/2026</v>
          </cell>
          <cell r="H111" t="str">
            <v>08004499</v>
          </cell>
          <cell r="I111" t="str">
            <v>AL BARAKA BANK (PAKISTAN) LIMITED</v>
          </cell>
          <cell r="J111" t="str">
            <v>BANK</v>
          </cell>
          <cell r="K111" t="str">
            <v>Mr. 
Al Baraka Bank Pakistan Limited 
Mr. 
Al Baraka Bank Pakistan Limited 
User: Zahidullah  .</v>
          </cell>
          <cell r="L111" t="str">
            <v>D</v>
          </cell>
          <cell r="M111" t="str">
            <v>09000221</v>
          </cell>
          <cell r="N111">
            <v>100</v>
          </cell>
          <cell r="P111" t="str">
            <v>H No 118/3 St No3 Mohalla Al Noor Town Walton Road Lahore</v>
          </cell>
          <cell r="Q111" t="str">
            <v>11000003</v>
          </cell>
          <cell r="R111" t="str">
            <v>TOYOTA COROLLA GLI A/T 1.</v>
          </cell>
          <cell r="S111" t="str">
            <v>2020</v>
          </cell>
          <cell r="T111" t="str">
            <v>LEB-20-9871</v>
          </cell>
          <cell r="U111" t="str">
            <v>Z580252</v>
          </cell>
          <cell r="V111" t="str">
            <v>R4205360</v>
          </cell>
          <cell r="W111" t="str">
            <v>05-feb-2027</v>
          </cell>
          <cell r="Y111">
            <v>3847500</v>
          </cell>
          <cell r="Z111">
            <v>49752</v>
          </cell>
          <cell r="AA111">
            <v>57713</v>
          </cell>
        </row>
        <row r="112">
          <cell r="B112" t="str">
            <v>KHI/HO/D/MO/PC COMP/C/105499/26/01/2025</v>
          </cell>
          <cell r="D112" t="str">
            <v>REN</v>
          </cell>
          <cell r="E112" t="str">
            <v>21/01/25</v>
          </cell>
          <cell r="F112" t="str">
            <v>30/01/2025</v>
          </cell>
          <cell r="G112" t="str">
            <v>29/01/2026</v>
          </cell>
          <cell r="H112" t="str">
            <v>08004499</v>
          </cell>
          <cell r="I112" t="str">
            <v>AL BARAKA BANK (PAKISTAN) LIMITED</v>
          </cell>
          <cell r="J112" t="str">
            <v>BANK</v>
          </cell>
          <cell r="K112" t="str">
            <v>Mr. 
Al Baraka Bank Pakistan Limited 
Mr. 
Al Baraka Bank Pakistan Limited 
User: Muhammad  Talha  Amir</v>
          </cell>
          <cell r="L112" t="str">
            <v>D</v>
          </cell>
          <cell r="M112" t="str">
            <v>09000221</v>
          </cell>
          <cell r="N112">
            <v>100</v>
          </cell>
          <cell r="P112" t="str">
            <v>H No 733 D Johar Town Lahore</v>
          </cell>
          <cell r="Q112" t="str">
            <v>11000003</v>
          </cell>
          <cell r="R112" t="str">
            <v>SUZUKI Suzuki Swift</v>
          </cell>
          <cell r="S112" t="str">
            <v>2022</v>
          </cell>
          <cell r="T112" t="str">
            <v>ALE-484</v>
          </cell>
          <cell r="U112" t="str">
            <v>1005256</v>
          </cell>
          <cell r="V112" t="str">
            <v>105231</v>
          </cell>
          <cell r="W112" t="str">
            <v>05-feb-2027</v>
          </cell>
          <cell r="Y112">
            <v>3420000</v>
          </cell>
          <cell r="Z112">
            <v>44224</v>
          </cell>
          <cell r="AA112">
            <v>51300</v>
          </cell>
        </row>
        <row r="113">
          <cell r="B113" t="str">
            <v>KHI/HO/D/MO/PC COMP/C/105499/27/01/2025</v>
          </cell>
          <cell r="D113" t="str">
            <v>REN</v>
          </cell>
          <cell r="E113" t="str">
            <v>21/01/25</v>
          </cell>
          <cell r="F113" t="str">
            <v>31/01/2025</v>
          </cell>
          <cell r="G113" t="str">
            <v>30/01/2026</v>
          </cell>
          <cell r="H113" t="str">
            <v>08004499</v>
          </cell>
          <cell r="I113" t="str">
            <v>AL BARAKA BANK (PAKISTAN) LIMITED</v>
          </cell>
          <cell r="J113" t="str">
            <v>BANK</v>
          </cell>
          <cell r="K113" t="str">
            <v>Mr. 
Al Baraka Bank Pakistan Limited 
Mr. 
Al Baraka Bank Pakistan Limited 
User: Ali  Murtaza  Shah</v>
          </cell>
          <cell r="L113" t="str">
            <v>D</v>
          </cell>
          <cell r="M113" t="str">
            <v>09000221</v>
          </cell>
          <cell r="N113">
            <v>100</v>
          </cell>
          <cell r="P113" t="str">
            <v>H # 12 Block A Shadab Colony Ferozepur Road Lahore</v>
          </cell>
          <cell r="Q113" t="str">
            <v>11000003</v>
          </cell>
          <cell r="R113" t="str">
            <v>SUZUKI WAGON-R VXL E2</v>
          </cell>
          <cell r="S113" t="str">
            <v>2019</v>
          </cell>
          <cell r="T113" t="str">
            <v>AAL-235</v>
          </cell>
          <cell r="U113" t="str">
            <v>201223</v>
          </cell>
          <cell r="V113" t="str">
            <v>10101196</v>
          </cell>
          <cell r="W113" t="str">
            <v>05-feb-2029</v>
          </cell>
          <cell r="Y113">
            <v>1935000</v>
          </cell>
          <cell r="Z113">
            <v>33362</v>
          </cell>
          <cell r="AA113">
            <v>38700</v>
          </cell>
        </row>
        <row r="114">
          <cell r="B114" t="str">
            <v>KHI/HO/D/MO/PC COMP/C/105499/28/01/2025</v>
          </cell>
          <cell r="D114" t="str">
            <v>REN</v>
          </cell>
          <cell r="E114" t="str">
            <v>21/01/25</v>
          </cell>
          <cell r="F114" t="str">
            <v>31/01/2025</v>
          </cell>
          <cell r="G114" t="str">
            <v>30/01/2026</v>
          </cell>
          <cell r="H114" t="str">
            <v>08004499</v>
          </cell>
          <cell r="I114" t="str">
            <v>AL BARAKA BANK (PAKISTAN) LIMITED</v>
          </cell>
          <cell r="J114" t="str">
            <v>BANK</v>
          </cell>
          <cell r="K114" t="str">
            <v>Mr. 
Al Baraka Bank Pakistan Limited 
Mr. 
Al Baraka Bank Pakistan Limited 
User: Muhammad Shahid Siraj</v>
          </cell>
          <cell r="L114" t="str">
            <v>D</v>
          </cell>
          <cell r="M114" t="str">
            <v>09000221</v>
          </cell>
          <cell r="N114">
            <v>100</v>
          </cell>
          <cell r="P114" t="str">
            <v>H # 188-B Shah Rukne Alam  Colony Multan</v>
          </cell>
          <cell r="Q114" t="str">
            <v>11000003</v>
          </cell>
          <cell r="R114" t="str">
            <v>HONDA CITY ASPIRE 1.5  I-</v>
          </cell>
          <cell r="S114" t="str">
            <v>2024</v>
          </cell>
          <cell r="T114" t="str">
            <v>AFW-642</v>
          </cell>
          <cell r="U114" t="str">
            <v>1015145</v>
          </cell>
          <cell r="V114" t="str">
            <v>36386</v>
          </cell>
          <cell r="W114" t="str">
            <v>05-feb-2027</v>
          </cell>
          <cell r="Y114">
            <v>5286150</v>
          </cell>
          <cell r="Z114">
            <v>68355</v>
          </cell>
          <cell r="AA114">
            <v>79292</v>
          </cell>
        </row>
        <row r="115">
          <cell r="B115" t="str">
            <v>KHI/HO/D/MO/PC COMP/C/105499/29/01/2025</v>
          </cell>
          <cell r="D115" t="str">
            <v>REN</v>
          </cell>
          <cell r="E115" t="str">
            <v>21/01/25</v>
          </cell>
          <cell r="F115" t="str">
            <v>31/01/2025</v>
          </cell>
          <cell r="G115" t="str">
            <v>30/01/2026</v>
          </cell>
          <cell r="H115" t="str">
            <v>08004499</v>
          </cell>
          <cell r="I115" t="str">
            <v>AL BARAKA BANK (PAKISTAN) LIMITED</v>
          </cell>
          <cell r="J115" t="str">
            <v>BANK</v>
          </cell>
          <cell r="K115" t="str">
            <v>Mr. 
Al Baraka Bank Pakistan Limited 
Mr. 
Al Baraka Bank Pakistan Limited 
User: Zeeshan   Akram</v>
          </cell>
          <cell r="L115" t="str">
            <v>D</v>
          </cell>
          <cell r="M115" t="str">
            <v>09000221</v>
          </cell>
          <cell r="N115">
            <v>100</v>
          </cell>
          <cell r="P115" t="str">
            <v>H No 171 Shahbaz Town Abc Road Faisalabad</v>
          </cell>
          <cell r="Q115" t="str">
            <v>11000003</v>
          </cell>
          <cell r="R115" t="str">
            <v>SUZUKI WAGON R VXL</v>
          </cell>
          <cell r="S115" t="str">
            <v>2018</v>
          </cell>
          <cell r="T115" t="str">
            <v>LEE-18-3416</v>
          </cell>
          <cell r="U115" t="str">
            <v>PK10B158864</v>
          </cell>
          <cell r="V115" t="str">
            <v>A1J310PK10058917</v>
          </cell>
          <cell r="W115" t="str">
            <v>05-feb-2029</v>
          </cell>
          <cell r="Y115">
            <v>2025000</v>
          </cell>
          <cell r="Z115">
            <v>34914</v>
          </cell>
          <cell r="AA115">
            <v>40500</v>
          </cell>
        </row>
        <row r="116">
          <cell r="B116" t="str">
            <v>KHI/HO/D/MO/PC COMP/C/105499/30/01/2025</v>
          </cell>
          <cell r="D116" t="str">
            <v>REN</v>
          </cell>
          <cell r="E116" t="str">
            <v>21/01/25</v>
          </cell>
          <cell r="F116" t="str">
            <v>31/01/2025</v>
          </cell>
          <cell r="G116" t="str">
            <v>30/01/2026</v>
          </cell>
          <cell r="H116" t="str">
            <v>08004499</v>
          </cell>
          <cell r="I116" t="str">
            <v>AL BARAKA BANK (PAKISTAN) LIMITED</v>
          </cell>
          <cell r="J116" t="str">
            <v>BANK</v>
          </cell>
          <cell r="K116" t="str">
            <v>Mr. 
Al Baraka Bank Pakistan Limited 
Mr. 
Al Baraka Bank Pakistan Limited 
User: Javed  Iqbal</v>
          </cell>
          <cell r="L116" t="str">
            <v>D</v>
          </cell>
          <cell r="M116" t="str">
            <v>09000221</v>
          </cell>
          <cell r="N116">
            <v>100</v>
          </cell>
          <cell r="P116" t="str">
            <v>H No 453 Block 4 Sector C2 Green Town Lahore</v>
          </cell>
          <cell r="Q116" t="str">
            <v>11000003</v>
          </cell>
          <cell r="R116" t="str">
            <v>SUZUKI ALTO VXR</v>
          </cell>
          <cell r="S116" t="str">
            <v>2016</v>
          </cell>
          <cell r="T116" t="str">
            <v>LEE-16-3602</v>
          </cell>
          <cell r="U116" t="str">
            <v>624030</v>
          </cell>
          <cell r="V116" t="str">
            <v>530910</v>
          </cell>
          <cell r="W116" t="str">
            <v>05-feb-2028</v>
          </cell>
          <cell r="Y116">
            <v>1350000</v>
          </cell>
          <cell r="Z116">
            <v>23276</v>
          </cell>
          <cell r="AA116">
            <v>27000</v>
          </cell>
        </row>
        <row r="117">
          <cell r="B117" t="str">
            <v>KHI/HO/D/MO/PC COMP/C/105499/31/01/2025</v>
          </cell>
          <cell r="D117" t="str">
            <v>REN</v>
          </cell>
          <cell r="E117" t="str">
            <v>21/01/25</v>
          </cell>
          <cell r="F117" t="str">
            <v>31/01/2025</v>
          </cell>
          <cell r="G117" t="str">
            <v>30/01/2026</v>
          </cell>
          <cell r="H117" t="str">
            <v>08004499</v>
          </cell>
          <cell r="I117" t="str">
            <v>AL BARAKA BANK (PAKISTAN) LIMITED</v>
          </cell>
          <cell r="J117" t="str">
            <v>BANK</v>
          </cell>
          <cell r="K117" t="str">
            <v>Mr. 
Al Baraka Bank Pakistan Limited 
Mr. 
Al Baraka Bank Pakistan Limited 
User: Muhammad Shoaib Adil</v>
          </cell>
          <cell r="L117" t="str">
            <v>D</v>
          </cell>
          <cell r="M117" t="str">
            <v>09000221</v>
          </cell>
          <cell r="N117">
            <v>100</v>
          </cell>
          <cell r="P117" t="str">
            <v>Flat No 101 White Place Tower Khalid Bin Waleed Road Karachi</v>
          </cell>
          <cell r="Q117" t="str">
            <v>11000003</v>
          </cell>
          <cell r="R117" t="str">
            <v>HONDA BRV - S</v>
          </cell>
          <cell r="S117" t="str">
            <v>2017</v>
          </cell>
          <cell r="T117" t="str">
            <v>BG-5139</v>
          </cell>
          <cell r="U117" t="str">
            <v>3503961</v>
          </cell>
          <cell r="V117" t="str">
            <v>R003904</v>
          </cell>
          <cell r="W117" t="str">
            <v>05-feb-2027</v>
          </cell>
          <cell r="Y117">
            <v>3330000</v>
          </cell>
          <cell r="Z117">
            <v>43060</v>
          </cell>
          <cell r="AA117">
            <v>49950</v>
          </cell>
        </row>
        <row r="118">
          <cell r="B118" t="str">
            <v>KHI/HO/D/MO/PC COMP/C/105499/32/01/2025</v>
          </cell>
          <cell r="D118" t="str">
            <v>REN</v>
          </cell>
          <cell r="E118" t="str">
            <v>21/01/25</v>
          </cell>
          <cell r="F118" t="str">
            <v>05/01/2025</v>
          </cell>
          <cell r="G118" t="str">
            <v>04/01/2026</v>
          </cell>
          <cell r="H118" t="str">
            <v>08004499</v>
          </cell>
          <cell r="I118" t="str">
            <v>AL BARAKA BANK (PAKISTAN) LIMITED</v>
          </cell>
          <cell r="J118" t="str">
            <v>BANK</v>
          </cell>
          <cell r="K118" t="str">
            <v>Mr. 
Al Baraka Bank Pakistan Limited 
Mr. 
Al Baraka Bank Pakistan Limited 
User: Muhammad  Imtiaz</v>
          </cell>
          <cell r="L118" t="str">
            <v>D</v>
          </cell>
          <cell r="M118" t="str">
            <v>09000221</v>
          </cell>
          <cell r="N118">
            <v>100</v>
          </cell>
          <cell r="P118" t="str">
            <v>H # 33/16 Street 77 Jattan Wala Shahdra Town Lahore</v>
          </cell>
          <cell r="Q118" t="str">
            <v>11000003</v>
          </cell>
          <cell r="R118" t="str">
            <v>HONDA CITY CVT ASPIRE A/T</v>
          </cell>
          <cell r="S118" t="str">
            <v>2022</v>
          </cell>
          <cell r="T118" t="str">
            <v>AJP-374</v>
          </cell>
          <cell r="U118" t="str">
            <v>51009595</v>
          </cell>
          <cell r="V118" t="str">
            <v>15874</v>
          </cell>
          <cell r="W118" t="str">
            <v>05-jan-2027</v>
          </cell>
          <cell r="Y118">
            <v>3852000</v>
          </cell>
          <cell r="Z118">
            <v>49810</v>
          </cell>
          <cell r="AA118">
            <v>57780</v>
          </cell>
        </row>
        <row r="119">
          <cell r="B119" t="str">
            <v>KHI/HO/D/MO/PC COMP/C/105499/33/01/2025</v>
          </cell>
          <cell r="D119" t="str">
            <v>REN</v>
          </cell>
          <cell r="E119" t="str">
            <v>21/01/25</v>
          </cell>
          <cell r="F119" t="str">
            <v>31/01/2025</v>
          </cell>
          <cell r="G119" t="str">
            <v>30/01/2026</v>
          </cell>
          <cell r="H119" t="str">
            <v>08004499</v>
          </cell>
          <cell r="I119" t="str">
            <v>AL BARAKA BANK (PAKISTAN) LIMITED</v>
          </cell>
          <cell r="J119" t="str">
            <v>BANK</v>
          </cell>
          <cell r="K119" t="str">
            <v>Mr. 
Al Baraka Bank Pakistan Limited 
Mr. 
Al Baraka Bank Pakistan Limited 
User: Syed Nasir Nadeem Akbar</v>
          </cell>
          <cell r="L119" t="str">
            <v>D</v>
          </cell>
          <cell r="M119" t="str">
            <v>09000221</v>
          </cell>
          <cell r="N119">
            <v>100</v>
          </cell>
          <cell r="P119" t="str">
            <v>Dhok Shian P/O Sihala Gagri Tehsil And Distt Islamabad</v>
          </cell>
          <cell r="Q119" t="str">
            <v>11000003</v>
          </cell>
          <cell r="R119" t="str">
            <v>TOYOTA COROLLA GLI M/T 1.</v>
          </cell>
          <cell r="S119" t="str">
            <v>2012</v>
          </cell>
          <cell r="T119" t="str">
            <v>LEF-1550</v>
          </cell>
          <cell r="U119" t="str">
            <v>636672</v>
          </cell>
          <cell r="V119" t="str">
            <v>2151791</v>
          </cell>
          <cell r="W119" t="str">
            <v>05-feb-2028</v>
          </cell>
          <cell r="Y119">
            <v>2340000</v>
          </cell>
          <cell r="Z119">
            <v>40345</v>
          </cell>
          <cell r="AA119">
            <v>46800</v>
          </cell>
        </row>
        <row r="120">
          <cell r="B120" t="str">
            <v>KHI/HO/D/MO/PC COMP/C/105499/34/01/2025</v>
          </cell>
          <cell r="D120" t="str">
            <v>REN</v>
          </cell>
          <cell r="E120" t="str">
            <v>21/01/25</v>
          </cell>
          <cell r="F120" t="str">
            <v>31/01/2025</v>
          </cell>
          <cell r="G120" t="str">
            <v>30/01/2026</v>
          </cell>
          <cell r="H120" t="str">
            <v>08004499</v>
          </cell>
          <cell r="I120" t="str">
            <v>AL BARAKA BANK (PAKISTAN) LIMITED</v>
          </cell>
          <cell r="J120" t="str">
            <v>BANK</v>
          </cell>
          <cell r="K120" t="str">
            <v>Mr. 
Al Baraka Bank Pakistan Limited 
Mr. 
Al Baraka Bank Pakistan Limited 
User: Mudassir  Iqbal</v>
          </cell>
          <cell r="L120" t="str">
            <v>D</v>
          </cell>
          <cell r="M120" t="str">
            <v>09000221</v>
          </cell>
          <cell r="N120">
            <v>100</v>
          </cell>
          <cell r="P120" t="str">
            <v>H No 59 Saher Villas Mps Road Multan</v>
          </cell>
          <cell r="Q120" t="str">
            <v>11000003</v>
          </cell>
          <cell r="R120" t="str">
            <v>SUZUKI ALTO AGS A/T</v>
          </cell>
          <cell r="S120" t="str">
            <v>2023</v>
          </cell>
          <cell r="T120" t="str">
            <v>ARA-087</v>
          </cell>
          <cell r="U120" t="str">
            <v>6R285524</v>
          </cell>
          <cell r="V120" t="str">
            <v>1185539</v>
          </cell>
          <cell r="W120" t="str">
            <v>05-feb-2028</v>
          </cell>
          <cell r="Y120">
            <v>2641500</v>
          </cell>
          <cell r="Z120">
            <v>45544</v>
          </cell>
          <cell r="AA120">
            <v>52830</v>
          </cell>
        </row>
        <row r="121">
          <cell r="B121" t="str">
            <v>KHI/HO/D/MO/PC COMP/C/105499/35/01/2025</v>
          </cell>
          <cell r="D121" t="str">
            <v>REN</v>
          </cell>
          <cell r="E121" t="str">
            <v>21/01/25</v>
          </cell>
          <cell r="F121" t="str">
            <v>31/01/2025</v>
          </cell>
          <cell r="G121" t="str">
            <v>30/01/2026</v>
          </cell>
          <cell r="H121" t="str">
            <v>08004499</v>
          </cell>
          <cell r="I121" t="str">
            <v>AL BARAKA BANK (PAKISTAN) LIMITED</v>
          </cell>
          <cell r="J121" t="str">
            <v>BANK</v>
          </cell>
          <cell r="K121" t="str">
            <v>Mr. 
Al Baraka Bank Pakistan Limited 
Mr. 
Al Baraka Bank Pakistan Limited 
User: Muhammad Umer Iqbal</v>
          </cell>
          <cell r="L121" t="str">
            <v>D</v>
          </cell>
          <cell r="M121" t="str">
            <v>09000221</v>
          </cell>
          <cell r="N121">
            <v>100</v>
          </cell>
          <cell r="P121" t="str">
            <v>Basti Wasaya Raay Budhla Road Po Mumtazabad Multan</v>
          </cell>
          <cell r="Q121" t="str">
            <v>11000003</v>
          </cell>
          <cell r="R121" t="str">
            <v>SUZUKI Swift GLX CVT</v>
          </cell>
          <cell r="S121" t="str">
            <v>2022</v>
          </cell>
          <cell r="T121" t="str">
            <v>AYH-322</v>
          </cell>
          <cell r="U121" t="str">
            <v>1001979</v>
          </cell>
          <cell r="V121" t="str">
            <v>101996</v>
          </cell>
          <cell r="W121" t="str">
            <v>05-feb-2026</v>
          </cell>
          <cell r="Y121">
            <v>3780000</v>
          </cell>
          <cell r="Z121">
            <v>48879</v>
          </cell>
          <cell r="AA121">
            <v>56700</v>
          </cell>
        </row>
        <row r="122">
          <cell r="B122" t="str">
            <v>KHI/HO/D/MO/PC COMP/C/105499/36/01/2025</v>
          </cell>
          <cell r="D122" t="str">
            <v>REN</v>
          </cell>
          <cell r="E122" t="str">
            <v>21/01/25</v>
          </cell>
          <cell r="F122" t="str">
            <v>31/01/2025</v>
          </cell>
          <cell r="G122" t="str">
            <v>30/01/2026</v>
          </cell>
          <cell r="H122" t="str">
            <v>08004499</v>
          </cell>
          <cell r="I122" t="str">
            <v>AL BARAKA BANK (PAKISTAN) LIMITED</v>
          </cell>
          <cell r="J122" t="str">
            <v>BANK</v>
          </cell>
          <cell r="K122" t="str">
            <v>Mr. 
Al Baraka Bank Pakistan Limited 
Mr. 
Al Baraka Bank Pakistan Limited 
User: Muhammad Shoaib Raza Khan</v>
          </cell>
          <cell r="L122" t="str">
            <v>D</v>
          </cell>
          <cell r="M122" t="str">
            <v>09000221</v>
          </cell>
          <cell r="N122">
            <v>100</v>
          </cell>
          <cell r="P122" t="str">
            <v>Boota Kot Jagir Post Office Khas Boman Shah Tehsil Depalpur Distt Okara</v>
          </cell>
          <cell r="Q122" t="str">
            <v>11000003</v>
          </cell>
          <cell r="R122" t="str">
            <v>SUZUKI Swift GLX CVT</v>
          </cell>
          <cell r="S122" t="str">
            <v>2024</v>
          </cell>
          <cell r="T122" t="str">
            <v>AQX-894</v>
          </cell>
          <cell r="U122" t="str">
            <v>1018585</v>
          </cell>
          <cell r="V122" t="str">
            <v>S00201274</v>
          </cell>
          <cell r="W122" t="str">
            <v>05-feb-2027</v>
          </cell>
          <cell r="Y122">
            <v>4536000</v>
          </cell>
          <cell r="Z122">
            <v>58655</v>
          </cell>
          <cell r="AA122">
            <v>68040</v>
          </cell>
        </row>
        <row r="123">
          <cell r="B123" t="str">
            <v>KHI/HO/D/MO/PC COMP/C/105499/37/01/2025</v>
          </cell>
          <cell r="D123" t="str">
            <v>REN</v>
          </cell>
          <cell r="E123" t="str">
            <v>21/01/25</v>
          </cell>
          <cell r="F123" t="str">
            <v>31/01/2025</v>
          </cell>
          <cell r="G123" t="str">
            <v>30/01/2026</v>
          </cell>
          <cell r="H123" t="str">
            <v>08004499</v>
          </cell>
          <cell r="I123" t="str">
            <v>AL BARAKA BANK (PAKISTAN) LIMITED</v>
          </cell>
          <cell r="J123" t="str">
            <v>BANK</v>
          </cell>
          <cell r="K123" t="str">
            <v>Mr. 
Al Baraka Bank Pakistan Limited 
Mr. 
Al Baraka Bank Pakistan Limited 
User: Muhammad Tahir Ashraf</v>
          </cell>
          <cell r="L123" t="str">
            <v>D</v>
          </cell>
          <cell r="M123" t="str">
            <v>09000221</v>
          </cell>
          <cell r="N123">
            <v>100</v>
          </cell>
          <cell r="P123" t="str">
            <v>H No 95 Cca Block Dd Phase 4 Dha Lahore</v>
          </cell>
          <cell r="Q123" t="str">
            <v>11000003</v>
          </cell>
          <cell r="R123" t="str">
            <v>SUZUKI ALTO VXR</v>
          </cell>
          <cell r="S123" t="str">
            <v>2021</v>
          </cell>
          <cell r="T123" t="str">
            <v>ALP-502</v>
          </cell>
          <cell r="U123" t="str">
            <v>R156205</v>
          </cell>
          <cell r="V123" t="str">
            <v>H1056212</v>
          </cell>
          <cell r="W123" t="str">
            <v>05-feb-2027</v>
          </cell>
          <cell r="Y123">
            <v>1890000</v>
          </cell>
          <cell r="Z123">
            <v>32586</v>
          </cell>
          <cell r="AA123">
            <v>37800</v>
          </cell>
        </row>
        <row r="124">
          <cell r="B124" t="str">
            <v>KHI/HO/D/MO/PC COMP/C/105499/38/01/2025</v>
          </cell>
          <cell r="D124" t="str">
            <v>REN</v>
          </cell>
          <cell r="E124" t="str">
            <v>21/01/25</v>
          </cell>
          <cell r="F124" t="str">
            <v>31/01/2025</v>
          </cell>
          <cell r="G124" t="str">
            <v>30/01/2026</v>
          </cell>
          <cell r="H124" t="str">
            <v>08004499</v>
          </cell>
          <cell r="I124" t="str">
            <v>AL BARAKA BANK (PAKISTAN) LIMITED</v>
          </cell>
          <cell r="J124" t="str">
            <v>BANK</v>
          </cell>
          <cell r="K124" t="str">
            <v>Mr. 
Al Baraka Bank Pakistan Limited 
Mr. 
Al Baraka Bank Pakistan Limited 
User: Muhammad   Safdar</v>
          </cell>
          <cell r="L124" t="str">
            <v>D</v>
          </cell>
          <cell r="M124" t="str">
            <v>09000221</v>
          </cell>
          <cell r="N124">
            <v>100</v>
          </cell>
          <cell r="P124" t="str">
            <v>Baradari Road Near Social Security Hospital Lahore</v>
          </cell>
          <cell r="Q124" t="str">
            <v>11000003</v>
          </cell>
          <cell r="R124" t="str">
            <v>SUZUKI CULTUS VXR EURO-II</v>
          </cell>
          <cell r="S124" t="str">
            <v>2017</v>
          </cell>
          <cell r="T124" t="str">
            <v>LEB-17-6517</v>
          </cell>
          <cell r="U124" t="str">
            <v>632626</v>
          </cell>
          <cell r="V124" t="str">
            <v>539490</v>
          </cell>
          <cell r="W124" t="str">
            <v>05-feb-2029</v>
          </cell>
          <cell r="Y124">
            <v>1440000</v>
          </cell>
          <cell r="Z124">
            <v>24828</v>
          </cell>
          <cell r="AA124">
            <v>28800</v>
          </cell>
        </row>
        <row r="125">
          <cell r="B125" t="str">
            <v>KHI/HO/D/MO/PC COMP/C/105499/39/01/2025</v>
          </cell>
          <cell r="D125" t="str">
            <v>REN</v>
          </cell>
          <cell r="E125" t="str">
            <v>21/01/25</v>
          </cell>
          <cell r="F125" t="str">
            <v>31/01/2025</v>
          </cell>
          <cell r="G125" t="str">
            <v>30/01/2026</v>
          </cell>
          <cell r="H125" t="str">
            <v>08004499</v>
          </cell>
          <cell r="I125" t="str">
            <v>AL BARAKA BANK (PAKISTAN) LIMITED</v>
          </cell>
          <cell r="J125" t="str">
            <v>BANK</v>
          </cell>
          <cell r="K125" t="str">
            <v>Mr. 
Al Baraka Bank Pakistan Limited 
Mr. 
Al Baraka Bank Pakistan Limited 
User: Muhammad  Imran</v>
          </cell>
          <cell r="L125" t="str">
            <v>D</v>
          </cell>
          <cell r="M125" t="str">
            <v>09000221</v>
          </cell>
          <cell r="N125">
            <v>100</v>
          </cell>
          <cell r="P125" t="str">
            <v>Plot No 13 St 08 Amir Town Harbanpura Lahore</v>
          </cell>
          <cell r="Q125" t="str">
            <v>11000003</v>
          </cell>
          <cell r="R125" t="str">
            <v>SUZUKI ALTO</v>
          </cell>
          <cell r="S125" t="str">
            <v>2019</v>
          </cell>
          <cell r="T125" t="str">
            <v>AGR-369</v>
          </cell>
          <cell r="U125" t="str">
            <v>202769</v>
          </cell>
          <cell r="V125" t="str">
            <v>1102741</v>
          </cell>
          <cell r="W125" t="str">
            <v>05-feb-2029</v>
          </cell>
          <cell r="Y125">
            <v>1980000</v>
          </cell>
          <cell r="Z125">
            <v>34138</v>
          </cell>
          <cell r="AA125">
            <v>39600</v>
          </cell>
        </row>
        <row r="126">
          <cell r="B126" t="str">
            <v>KHI/HO/D/MO/PC COMP/C/105499/40/01/2025</v>
          </cell>
          <cell r="D126" t="str">
            <v>REN</v>
          </cell>
          <cell r="E126" t="str">
            <v>21/01/25</v>
          </cell>
          <cell r="F126" t="str">
            <v>31/01/2025</v>
          </cell>
          <cell r="G126" t="str">
            <v>30/01/2026</v>
          </cell>
          <cell r="H126" t="str">
            <v>08004499</v>
          </cell>
          <cell r="I126" t="str">
            <v>AL BARAKA BANK (PAKISTAN) LIMITED</v>
          </cell>
          <cell r="J126" t="str">
            <v>BANK</v>
          </cell>
          <cell r="K126" t="str">
            <v>Mr. 
Al Baraka Bank Pakistan Limited 
Mr. 
Al Baraka Bank Pakistan Limited 
User: Hafiz Muhammad  Ameer  Haider</v>
          </cell>
          <cell r="L126" t="str">
            <v>D</v>
          </cell>
          <cell r="M126" t="str">
            <v>09000221</v>
          </cell>
          <cell r="N126">
            <v>100</v>
          </cell>
          <cell r="P126" t="str">
            <v>H No 34 St No 4 Block C Eden Value Homes Multan Road Lahore</v>
          </cell>
          <cell r="Q126" t="str">
            <v>11000003</v>
          </cell>
          <cell r="R126" t="str">
            <v>SUZUKI ALTO VXR</v>
          </cell>
          <cell r="S126" t="str">
            <v>2019</v>
          </cell>
          <cell r="T126" t="str">
            <v>AEH-448</v>
          </cell>
          <cell r="U126" t="str">
            <v>6R109175</v>
          </cell>
          <cell r="V126" t="str">
            <v>H1009158</v>
          </cell>
          <cell r="W126" t="str">
            <v>05-feb-2029</v>
          </cell>
          <cell r="Y126">
            <v>1890000</v>
          </cell>
          <cell r="Z126">
            <v>32586</v>
          </cell>
          <cell r="AA126">
            <v>37800</v>
          </cell>
        </row>
        <row r="127">
          <cell r="B127" t="str">
            <v>KHI/HO/D/MO/PC COMP/C/105499/41/01/2025</v>
          </cell>
          <cell r="D127" t="str">
            <v>REN</v>
          </cell>
          <cell r="E127" t="str">
            <v>21/01/25</v>
          </cell>
          <cell r="F127" t="str">
            <v>31/01/2025</v>
          </cell>
          <cell r="G127" t="str">
            <v>30/01/2026</v>
          </cell>
          <cell r="H127" t="str">
            <v>08004499</v>
          </cell>
          <cell r="I127" t="str">
            <v>AL BARAKA BANK (PAKISTAN) LIMITED</v>
          </cell>
          <cell r="J127" t="str">
            <v>BANK</v>
          </cell>
          <cell r="K127" t="str">
            <v>Mr. 
Al Baraka Bank Pakistan Limited 
Mr. 
Al Baraka Bank Pakistan Limited 
User: Mohammad  Shahbaz</v>
          </cell>
          <cell r="L127" t="str">
            <v>D</v>
          </cell>
          <cell r="M127" t="str">
            <v>09000221</v>
          </cell>
          <cell r="N127">
            <v>100</v>
          </cell>
          <cell r="P127" t="str">
            <v>H # 446-A Lahore Garden Sharqpur Road Lahore</v>
          </cell>
          <cell r="Q127" t="str">
            <v>11000003</v>
          </cell>
          <cell r="R127" t="str">
            <v>SUZUKI WAGON-R VXL E2</v>
          </cell>
          <cell r="S127" t="str">
            <v>2018</v>
          </cell>
          <cell r="T127" t="str">
            <v>LEE-18-1347</v>
          </cell>
          <cell r="U127" t="str">
            <v>158264</v>
          </cell>
          <cell r="V127" t="str">
            <v>10058259</v>
          </cell>
          <cell r="W127" t="str">
            <v>05-feb-2028</v>
          </cell>
          <cell r="Y127">
            <v>1980000</v>
          </cell>
          <cell r="Z127">
            <v>34138</v>
          </cell>
          <cell r="AA127">
            <v>39600</v>
          </cell>
        </row>
        <row r="128">
          <cell r="B128" t="str">
            <v>KHI/HO/D/MO/PC COMP/C/105499/42/01/2025</v>
          </cell>
          <cell r="D128" t="str">
            <v>REN</v>
          </cell>
          <cell r="E128" t="str">
            <v>21/01/25</v>
          </cell>
          <cell r="F128" t="str">
            <v>31/01/2025</v>
          </cell>
          <cell r="G128" t="str">
            <v>30/01/2026</v>
          </cell>
          <cell r="H128" t="str">
            <v>08004499</v>
          </cell>
          <cell r="I128" t="str">
            <v>AL BARAKA BANK (PAKISTAN) LIMITED</v>
          </cell>
          <cell r="J128" t="str">
            <v>BANK</v>
          </cell>
          <cell r="K128" t="str">
            <v>Mr. 
Al Baraka Bank Pakistan Limited 
Mr. 
Al Baraka Bank Pakistan Limited 
User: Nasir  Ali</v>
          </cell>
          <cell r="L128" t="str">
            <v>D</v>
          </cell>
          <cell r="M128" t="str">
            <v>09000221</v>
          </cell>
          <cell r="N128">
            <v>100</v>
          </cell>
          <cell r="P128" t="str">
            <v>H # Zb-5929 1St Floor Badar Colony Peer Wadhai Rawalpindi</v>
          </cell>
          <cell r="Q128" t="str">
            <v>11000003</v>
          </cell>
          <cell r="R128" t="str">
            <v>SUZUKI ALTO VXL AGS E-2</v>
          </cell>
          <cell r="S128" t="str">
            <v>2024</v>
          </cell>
          <cell r="T128" t="str">
            <v>BDD-820</v>
          </cell>
          <cell r="U128" t="str">
            <v>R294567</v>
          </cell>
          <cell r="V128" t="str">
            <v>194592</v>
          </cell>
          <cell r="W128" t="str">
            <v>05-feb-2029</v>
          </cell>
          <cell r="Y128">
            <v>2641500</v>
          </cell>
          <cell r="Z128">
            <v>45544</v>
          </cell>
          <cell r="AA128">
            <v>52830</v>
          </cell>
        </row>
        <row r="129">
          <cell r="B129" t="str">
            <v>KHI/HO/D/MO/PC COMP/C/105499/43/01/2025</v>
          </cell>
          <cell r="D129" t="str">
            <v>REN</v>
          </cell>
          <cell r="E129" t="str">
            <v>21/01/25</v>
          </cell>
          <cell r="F129" t="str">
            <v>05/01/2025</v>
          </cell>
          <cell r="G129" t="str">
            <v>04/01/2026</v>
          </cell>
          <cell r="H129" t="str">
            <v>08004499</v>
          </cell>
          <cell r="I129" t="str">
            <v>AL BARAKA BANK (PAKISTAN) LIMITED</v>
          </cell>
          <cell r="J129" t="str">
            <v>BANK</v>
          </cell>
          <cell r="K129" t="str">
            <v>Mr. 
Al Baraka Bank Pakistan Limited 
Mr. 
Al Baraka Bank Pakistan Limited 
User: Munawar   Hussain</v>
          </cell>
          <cell r="L129" t="str">
            <v>D</v>
          </cell>
          <cell r="M129" t="str">
            <v>09000221</v>
          </cell>
          <cell r="N129">
            <v>100</v>
          </cell>
          <cell r="P129" t="str">
            <v>H # 7 Block C Gowala Colony  Rakh Chand Rai Road Lahore</v>
          </cell>
          <cell r="Q129" t="str">
            <v>11000003</v>
          </cell>
          <cell r="R129" t="str">
            <v>HONDA CITY ASPIRE A/T</v>
          </cell>
          <cell r="S129" t="str">
            <v>2023</v>
          </cell>
          <cell r="T129" t="str">
            <v>APL</v>
          </cell>
          <cell r="U129" t="str">
            <v>51020147</v>
          </cell>
          <cell r="V129" t="str">
            <v>R035031</v>
          </cell>
          <cell r="W129" t="str">
            <v>05-jan-2027</v>
          </cell>
          <cell r="Y129">
            <v>4355100</v>
          </cell>
          <cell r="Z129">
            <v>56317</v>
          </cell>
          <cell r="AA129">
            <v>65327</v>
          </cell>
        </row>
        <row r="130">
          <cell r="B130" t="str">
            <v>KHI/HO/D/MO/PC COMP/C/105499/44/01/2025</v>
          </cell>
          <cell r="D130" t="str">
            <v>REN</v>
          </cell>
          <cell r="E130" t="str">
            <v>21/01/25</v>
          </cell>
          <cell r="F130" t="str">
            <v>31/01/2025</v>
          </cell>
          <cell r="G130" t="str">
            <v>30/01/2026</v>
          </cell>
          <cell r="H130" t="str">
            <v>08004499</v>
          </cell>
          <cell r="I130" t="str">
            <v>AL BARAKA BANK (PAKISTAN) LIMITED</v>
          </cell>
          <cell r="J130" t="str">
            <v>BANK</v>
          </cell>
          <cell r="K130" t="str">
            <v>Mr. 
Al Baraka Bank Pakistan Limited 
Mr. 
Al Baraka Bank Pakistan Limited 
User: Mazhar  Mehmood</v>
          </cell>
          <cell r="L130" t="str">
            <v>D</v>
          </cell>
          <cell r="M130" t="str">
            <v>09000221</v>
          </cell>
          <cell r="N130">
            <v>100</v>
          </cell>
          <cell r="P130" t="str">
            <v>H # 15 Block B Mehran Road Soan Garden Islamabad</v>
          </cell>
          <cell r="Q130" t="str">
            <v>11000003</v>
          </cell>
          <cell r="R130" t="str">
            <v>HONDA CIVIC VTI  ORIEL PT</v>
          </cell>
          <cell r="S130" t="str">
            <v>2017</v>
          </cell>
          <cell r="T130" t="str">
            <v>ADS-194</v>
          </cell>
          <cell r="U130" t="str">
            <v>12911107</v>
          </cell>
          <cell r="V130" t="str">
            <v>014294</v>
          </cell>
          <cell r="W130" t="str">
            <v>05-feb-2027</v>
          </cell>
          <cell r="Y130">
            <v>3757500</v>
          </cell>
          <cell r="Z130">
            <v>48589</v>
          </cell>
          <cell r="AA130">
            <v>56363</v>
          </cell>
        </row>
        <row r="131">
          <cell r="B131" t="str">
            <v>KHI/HO/D/MO/PC COMP/C/105499/45/01/2025</v>
          </cell>
          <cell r="D131" t="str">
            <v>REN</v>
          </cell>
          <cell r="E131" t="str">
            <v>21/01/25</v>
          </cell>
          <cell r="F131" t="str">
            <v>31/01/2025</v>
          </cell>
          <cell r="G131" t="str">
            <v>30/01/2026</v>
          </cell>
          <cell r="H131" t="str">
            <v>08004499</v>
          </cell>
          <cell r="I131" t="str">
            <v>AL BARAKA BANK (PAKISTAN) LIMITED</v>
          </cell>
          <cell r="J131" t="str">
            <v>BANK</v>
          </cell>
          <cell r="K131" t="str">
            <v>Mr. 
Al Baraka Bank Pakistan Limited 
Mr. 
Al Baraka Bank Pakistan Limited 
User: Noman  Ahmed  Khan</v>
          </cell>
          <cell r="L131" t="str">
            <v>D</v>
          </cell>
          <cell r="M131" t="str">
            <v>09000221</v>
          </cell>
          <cell r="N131">
            <v>100</v>
          </cell>
          <cell r="P131" t="str">
            <v>H # R-76 Gohar Green City Malir Karachi</v>
          </cell>
          <cell r="Q131" t="str">
            <v>11000003</v>
          </cell>
          <cell r="R131" t="str">
            <v>HONDA CIVIC VTI  ORIEL PT</v>
          </cell>
          <cell r="S131" t="str">
            <v>2020</v>
          </cell>
          <cell r="T131" t="str">
            <v>BRY-447</v>
          </cell>
          <cell r="U131" t="str">
            <v>6911526</v>
          </cell>
          <cell r="V131" t="str">
            <v>063347</v>
          </cell>
          <cell r="W131" t="str">
            <v>05-feb-2027</v>
          </cell>
          <cell r="Y131">
            <v>4977000</v>
          </cell>
          <cell r="Z131">
            <v>64357</v>
          </cell>
          <cell r="AA131">
            <v>74655</v>
          </cell>
        </row>
        <row r="132">
          <cell r="B132" t="str">
            <v>KHI/HO/D/MO/PC COMP/C/105499/46/01/2025</v>
          </cell>
          <cell r="D132" t="str">
            <v>REN</v>
          </cell>
          <cell r="E132" t="str">
            <v>21/01/25</v>
          </cell>
          <cell r="F132" t="str">
            <v>31/01/2025</v>
          </cell>
          <cell r="G132" t="str">
            <v>30/01/2026</v>
          </cell>
          <cell r="H132" t="str">
            <v>08004499</v>
          </cell>
          <cell r="I132" t="str">
            <v>AL BARAKA BANK (PAKISTAN) LIMITED</v>
          </cell>
          <cell r="J132" t="str">
            <v>BANK</v>
          </cell>
          <cell r="K132" t="str">
            <v>Mr. 
Al Baraka Bank Pakistan Limited 
Mr. 
Al Baraka Bank Pakistan Limited 
User: Shazil  Safdar</v>
          </cell>
          <cell r="L132" t="str">
            <v>D</v>
          </cell>
          <cell r="M132" t="str">
            <v>09000221</v>
          </cell>
          <cell r="N132">
            <v>100</v>
          </cell>
          <cell r="P132" t="str">
            <v>H No 200 St 1 3Rd Floor Hamza Town Ferozpur Road Lahore</v>
          </cell>
          <cell r="Q132" t="str">
            <v>11000003</v>
          </cell>
          <cell r="R132" t="str">
            <v>SUZUKI ALTO</v>
          </cell>
          <cell r="S132" t="str">
            <v>2022</v>
          </cell>
          <cell r="T132" t="str">
            <v>AJQ-647</v>
          </cell>
          <cell r="U132" t="str">
            <v>6R219632</v>
          </cell>
          <cell r="V132" t="str">
            <v>1119626</v>
          </cell>
          <cell r="W132" t="str">
            <v>05-feb-2028</v>
          </cell>
          <cell r="Y132">
            <v>2205000</v>
          </cell>
          <cell r="Z132">
            <v>38017</v>
          </cell>
          <cell r="AA132">
            <v>44100</v>
          </cell>
        </row>
        <row r="133">
          <cell r="B133" t="str">
            <v>KHI/HO/D/MO/PC COMP/C/105499/47/01/2025</v>
          </cell>
          <cell r="D133" t="str">
            <v>REN</v>
          </cell>
          <cell r="E133" t="str">
            <v>21/01/25</v>
          </cell>
          <cell r="F133" t="str">
            <v>31/01/2025</v>
          </cell>
          <cell r="G133" t="str">
            <v>30/01/2026</v>
          </cell>
          <cell r="H133" t="str">
            <v>08004499</v>
          </cell>
          <cell r="I133" t="str">
            <v>AL BARAKA BANK (PAKISTAN) LIMITED</v>
          </cell>
          <cell r="J133" t="str">
            <v>BANK</v>
          </cell>
          <cell r="K133" t="str">
            <v>Mr. 
Al Baraka Bank Pakistan Limited 
Mr. 
Al Baraka Bank Pakistan Limited 
User: Muhammad  Azhar  Javed</v>
          </cell>
          <cell r="L133" t="str">
            <v>D</v>
          </cell>
          <cell r="M133" t="str">
            <v>09000221</v>
          </cell>
          <cell r="N133">
            <v>100</v>
          </cell>
          <cell r="P133" t="str">
            <v>Faisal Street No 3 House No 5 Mehar Suba Park Kot Khawaja Saeed Lahore</v>
          </cell>
          <cell r="Q133" t="str">
            <v>11000003</v>
          </cell>
          <cell r="R133" t="str">
            <v>SUZUKI ALTO VXR</v>
          </cell>
          <cell r="S133" t="str">
            <v>2024</v>
          </cell>
          <cell r="T133" t="str">
            <v>AQV-899</v>
          </cell>
          <cell r="U133" t="str">
            <v>293032</v>
          </cell>
          <cell r="V133" t="str">
            <v>1193022</v>
          </cell>
          <cell r="W133" t="str">
            <v>05-feb-2027</v>
          </cell>
          <cell r="Y133">
            <v>2350800</v>
          </cell>
          <cell r="Z133">
            <v>40531</v>
          </cell>
          <cell r="AA133">
            <v>47016</v>
          </cell>
        </row>
        <row r="134">
          <cell r="B134" t="str">
            <v>KHI/HO/D/MO/PC COMP/C/105499/48/01/2025</v>
          </cell>
          <cell r="D134" t="str">
            <v>REN</v>
          </cell>
          <cell r="E134" t="str">
            <v>21/01/25</v>
          </cell>
          <cell r="F134" t="str">
            <v>31/01/2025</v>
          </cell>
          <cell r="G134" t="str">
            <v>30/01/2026</v>
          </cell>
          <cell r="H134" t="str">
            <v>08004499</v>
          </cell>
          <cell r="I134" t="str">
            <v>AL BARAKA BANK (PAKISTAN) LIMITED</v>
          </cell>
          <cell r="J134" t="str">
            <v>BANK</v>
          </cell>
          <cell r="K134" t="str">
            <v>Mr. 
Al Baraka Bank Pakistan Limited 
Mr. 
Al Baraka Bank Pakistan Limited 
User: Adnan  Khaliq</v>
          </cell>
          <cell r="L134" t="str">
            <v>D</v>
          </cell>
          <cell r="M134" t="str">
            <v>09000221</v>
          </cell>
          <cell r="N134">
            <v>100</v>
          </cell>
          <cell r="P134" t="str">
            <v>1st Floor Chowki Mohallah Ratta Amral Rawalpindi</v>
          </cell>
          <cell r="Q134" t="str">
            <v>11000003</v>
          </cell>
          <cell r="R134" t="str">
            <v>HONDA CIVIC VTI  ORIEL PT</v>
          </cell>
          <cell r="S134" t="str">
            <v>2017</v>
          </cell>
          <cell r="T134" t="str">
            <v>ADV-888</v>
          </cell>
          <cell r="U134" t="str">
            <v>12913145</v>
          </cell>
          <cell r="V134" t="str">
            <v>016384</v>
          </cell>
          <cell r="W134" t="str">
            <v>05-feb-2027</v>
          </cell>
          <cell r="Y134">
            <v>4500000</v>
          </cell>
          <cell r="Z134">
            <v>58190</v>
          </cell>
          <cell r="AA134">
            <v>67500</v>
          </cell>
        </row>
        <row r="135">
          <cell r="B135" t="str">
            <v>KHI/HO/D/MO/PC COMP/C/105499/49/01/2025</v>
          </cell>
          <cell r="D135" t="str">
            <v>REN</v>
          </cell>
          <cell r="E135" t="str">
            <v>21/01/25</v>
          </cell>
          <cell r="F135" t="str">
            <v>08/01/2025</v>
          </cell>
          <cell r="G135" t="str">
            <v>07/01/2026</v>
          </cell>
          <cell r="H135" t="str">
            <v>08004499</v>
          </cell>
          <cell r="I135" t="str">
            <v>AL BARAKA BANK (PAKISTAN) LIMITED</v>
          </cell>
          <cell r="J135" t="str">
            <v>BANK</v>
          </cell>
          <cell r="K135" t="str">
            <v>Mr. 
Al Baraka Bank Pakistan Limited 
Mr. 
Al Baraka Bank Pakistan Limited 
User: Baqer  Ishtiaq</v>
          </cell>
          <cell r="L135" t="str">
            <v>D</v>
          </cell>
          <cell r="M135" t="str">
            <v>09000221</v>
          </cell>
          <cell r="N135">
            <v>100</v>
          </cell>
          <cell r="P135" t="str">
            <v>H # 175 Block K-3 Wapda Town Lahore</v>
          </cell>
          <cell r="Q135" t="str">
            <v>11000003</v>
          </cell>
          <cell r="R135" t="str">
            <v>SUZUKI ALTO VXL AGS E-2</v>
          </cell>
          <cell r="S135" t="str">
            <v>2019</v>
          </cell>
          <cell r="T135" t="str">
            <v>ALU-389</v>
          </cell>
          <cell r="U135" t="str">
            <v>6R120293</v>
          </cell>
          <cell r="V135" t="str">
            <v>NF1AET306H1020378</v>
          </cell>
          <cell r="W135" t="str">
            <v>05-jan-2029</v>
          </cell>
          <cell r="Y135">
            <v>1935000</v>
          </cell>
          <cell r="Z135">
            <v>33362</v>
          </cell>
          <cell r="AA135">
            <v>38700</v>
          </cell>
        </row>
        <row r="136">
          <cell r="B136" t="str">
            <v>KHI/HO/D/MO/PC COMP/C/105499/50/01/2025</v>
          </cell>
          <cell r="D136" t="str">
            <v>REN</v>
          </cell>
          <cell r="E136" t="str">
            <v>21/01/25</v>
          </cell>
          <cell r="F136" t="str">
            <v>08/01/2025</v>
          </cell>
          <cell r="G136" t="str">
            <v>07/01/2026</v>
          </cell>
          <cell r="H136" t="str">
            <v>08004499</v>
          </cell>
          <cell r="I136" t="str">
            <v>AL BARAKA BANK (PAKISTAN) LIMITED</v>
          </cell>
          <cell r="J136" t="str">
            <v>BANK</v>
          </cell>
          <cell r="K136" t="str">
            <v>Mr. 
Al Baraka Bank Pakistan Limited 
Mr. 
Al Baraka Bank Pakistan Limited 
User: Muhammad  Saleem</v>
          </cell>
          <cell r="L136" t="str">
            <v>D</v>
          </cell>
          <cell r="M136" t="str">
            <v>09000221</v>
          </cell>
          <cell r="N136">
            <v>100</v>
          </cell>
          <cell r="P136" t="str">
            <v>H # 131 Street 5 Paf Colony Zarrar Shaheed Road  Lahore Cantt</v>
          </cell>
          <cell r="Q136" t="str">
            <v>11000003</v>
          </cell>
          <cell r="R136" t="str">
            <v>SUZUKI ALTO VXL AGS E-2</v>
          </cell>
          <cell r="S136" t="str">
            <v>2024</v>
          </cell>
          <cell r="T136" t="str">
            <v>AQT-442</v>
          </cell>
          <cell r="U136" t="str">
            <v>290951</v>
          </cell>
          <cell r="V136" t="str">
            <v>1190901</v>
          </cell>
          <cell r="W136" t="str">
            <v>05-jan-2027</v>
          </cell>
          <cell r="Y136">
            <v>2641500</v>
          </cell>
          <cell r="Z136">
            <v>45544</v>
          </cell>
          <cell r="AA136">
            <v>52830</v>
          </cell>
        </row>
        <row r="137">
          <cell r="B137" t="str">
            <v>KHI/HO/D/MO/PC COMP/C/105499/51/01/2025</v>
          </cell>
          <cell r="D137" t="str">
            <v>REN</v>
          </cell>
          <cell r="E137" t="str">
            <v>21/01/25</v>
          </cell>
          <cell r="F137" t="str">
            <v>08/01/2025</v>
          </cell>
          <cell r="G137" t="str">
            <v>07/01/2026</v>
          </cell>
          <cell r="H137" t="str">
            <v>08004499</v>
          </cell>
          <cell r="I137" t="str">
            <v>AL BARAKA BANK (PAKISTAN) LIMITED</v>
          </cell>
          <cell r="J137" t="str">
            <v>BANK</v>
          </cell>
          <cell r="K137" t="str">
            <v>Mr. 
Al Baraka Bank Pakistan Limited 
Mr. 
Al Baraka Bank Pakistan Limited 
User: Nasir  Ali</v>
          </cell>
          <cell r="L137" t="str">
            <v>D</v>
          </cell>
          <cell r="M137" t="str">
            <v>09000221</v>
          </cell>
          <cell r="N137">
            <v>100</v>
          </cell>
          <cell r="P137" t="str">
            <v>H # 476 Sector K-4 Phase 3 Hayatabad Peshawar</v>
          </cell>
          <cell r="Q137" t="str">
            <v>11000003</v>
          </cell>
          <cell r="R137" t="str">
            <v>SUZUKI ALTO VXR EURO II A</v>
          </cell>
          <cell r="S137" t="str">
            <v>2024</v>
          </cell>
          <cell r="T137" t="str">
            <v>BDD-820</v>
          </cell>
          <cell r="U137" t="str">
            <v>285874</v>
          </cell>
          <cell r="V137" t="str">
            <v>1185839</v>
          </cell>
          <cell r="W137" t="str">
            <v>05-feb-2029</v>
          </cell>
          <cell r="Y137">
            <v>2519100</v>
          </cell>
          <cell r="Z137">
            <v>43433</v>
          </cell>
          <cell r="AA137">
            <v>50382</v>
          </cell>
        </row>
        <row r="138">
          <cell r="B138" t="str">
            <v>KHI/HO/D/MO/PC COMP/C/105499/52/01/2025</v>
          </cell>
          <cell r="D138" t="str">
            <v>REN</v>
          </cell>
          <cell r="E138" t="str">
            <v>21/01/25</v>
          </cell>
          <cell r="F138" t="str">
            <v>10/01/2025</v>
          </cell>
          <cell r="G138" t="str">
            <v>09/01/2026</v>
          </cell>
          <cell r="H138" t="str">
            <v>08004499</v>
          </cell>
          <cell r="I138" t="str">
            <v>AL BARAKA BANK (PAKISTAN) LIMITED</v>
          </cell>
          <cell r="J138" t="str">
            <v>BANK</v>
          </cell>
          <cell r="K138" t="str">
            <v>Mr. 
Al Baraka Bank Pakistan Limited 
Mr. 
Al Baraka Bank Pakistan Limited 
User: Hasnain  Haider</v>
          </cell>
          <cell r="L138" t="str">
            <v>D</v>
          </cell>
          <cell r="M138" t="str">
            <v>09000221</v>
          </cell>
          <cell r="N138">
            <v>100</v>
          </cell>
          <cell r="P138" t="str">
            <v>P/O Kot Pandi Das Wandala Nasir Ferozwala Shiekhu Pura</v>
          </cell>
          <cell r="Q138" t="str">
            <v>11000003</v>
          </cell>
          <cell r="R138" t="str">
            <v>SUZUKI CULTUS VXR</v>
          </cell>
          <cell r="S138" t="str">
            <v>2019</v>
          </cell>
          <cell r="T138" t="str">
            <v>LE-19A-4570</v>
          </cell>
          <cell r="U138" t="str">
            <v>147576</v>
          </cell>
          <cell r="V138" t="str">
            <v>10047670</v>
          </cell>
          <cell r="W138" t="str">
            <v>05-jan-2026</v>
          </cell>
          <cell r="Y138">
            <v>2070000</v>
          </cell>
          <cell r="Z138">
            <v>35690</v>
          </cell>
          <cell r="AA138">
            <v>41400</v>
          </cell>
        </row>
        <row r="139">
          <cell r="B139" t="str">
            <v>KHI/HO/D/MO/PC COMP/C/105499/53/01/2025</v>
          </cell>
          <cell r="D139" t="str">
            <v>REN</v>
          </cell>
          <cell r="E139" t="str">
            <v>21/01/25</v>
          </cell>
          <cell r="F139" t="str">
            <v>03/01/2025</v>
          </cell>
          <cell r="G139" t="str">
            <v>02/01/2026</v>
          </cell>
          <cell r="H139" t="str">
            <v>08004499</v>
          </cell>
          <cell r="I139" t="str">
            <v>AL BARAKA BANK (PAKISTAN) LIMITED</v>
          </cell>
          <cell r="J139" t="str">
            <v>BANK</v>
          </cell>
          <cell r="K139" t="str">
            <v>Mr. 
Al Baraka Bank Pakistan Limited 
Mr. 
Al Baraka Bank Pakistan Limited 
User: Iqra  Tahir</v>
          </cell>
          <cell r="L139" t="str">
            <v>D</v>
          </cell>
          <cell r="M139" t="str">
            <v>09000221</v>
          </cell>
          <cell r="N139">
            <v>100</v>
          </cell>
          <cell r="P139" t="str">
            <v>688-F Johar Town Lahore</v>
          </cell>
          <cell r="Q139" t="str">
            <v>11000003</v>
          </cell>
          <cell r="R139" t="str">
            <v>SUZUKI CULTUS VXL EURO II</v>
          </cell>
          <cell r="S139" t="str">
            <v>2022</v>
          </cell>
          <cell r="T139" t="str">
            <v>AMV-371</v>
          </cell>
          <cell r="U139" t="str">
            <v>204333</v>
          </cell>
          <cell r="V139" t="str">
            <v>10104328</v>
          </cell>
          <cell r="W139" t="str">
            <v>05-jan-2028</v>
          </cell>
          <cell r="Y139">
            <v>2570400</v>
          </cell>
          <cell r="Z139">
            <v>44317</v>
          </cell>
          <cell r="AA139">
            <v>51408</v>
          </cell>
        </row>
        <row r="140">
          <cell r="B140" t="str">
            <v>KHI/HO/D/MO/PC COMP/C/105499/54/01/2025</v>
          </cell>
          <cell r="D140" t="str">
            <v>REN</v>
          </cell>
          <cell r="E140" t="str">
            <v>21/01/25</v>
          </cell>
          <cell r="F140" t="str">
            <v>12/01/2025</v>
          </cell>
          <cell r="G140" t="str">
            <v>11/01/2026</v>
          </cell>
          <cell r="H140" t="str">
            <v>08004499</v>
          </cell>
          <cell r="I140" t="str">
            <v>AL BARAKA BANK (PAKISTAN) LIMITED</v>
          </cell>
          <cell r="J140" t="str">
            <v>BANK</v>
          </cell>
          <cell r="K140" t="str">
            <v>Mr. 
Al Baraka Bank Pakistan Limited 
Mr. 
Al Baraka Bank Pakistan Limited 
User: Muhammad Hashim Rabbani Khan</v>
          </cell>
          <cell r="L140" t="str">
            <v>D</v>
          </cell>
          <cell r="M140" t="str">
            <v>09000221</v>
          </cell>
          <cell r="N140">
            <v>100</v>
          </cell>
          <cell r="P140" t="str">
            <v>H # 64 K Formanties H. Society Phase 5 Dha Lahore</v>
          </cell>
          <cell r="Q140" t="str">
            <v>11000003</v>
          </cell>
          <cell r="R140" t="str">
            <v>PEUGEOT ALLURE 2008</v>
          </cell>
          <cell r="S140" t="str">
            <v>2022</v>
          </cell>
          <cell r="T140" t="str">
            <v>ANT-747</v>
          </cell>
          <cell r="U140" t="str">
            <v>1899043</v>
          </cell>
          <cell r="V140" t="str">
            <v>H501398</v>
          </cell>
          <cell r="W140" t="str">
            <v>05-jan-2026</v>
          </cell>
          <cell r="Y140">
            <v>5221550</v>
          </cell>
          <cell r="Z140">
            <v>67520</v>
          </cell>
          <cell r="AA140">
            <v>78323</v>
          </cell>
        </row>
        <row r="141">
          <cell r="B141" t="str">
            <v>KHI/HO/D/MO/PC COMP/C/105499/55/01/2025</v>
          </cell>
          <cell r="D141" t="str">
            <v>REN</v>
          </cell>
          <cell r="E141" t="str">
            <v>21/01/25</v>
          </cell>
          <cell r="F141" t="str">
            <v>12/01/2025</v>
          </cell>
          <cell r="G141" t="str">
            <v>11/01/2026</v>
          </cell>
          <cell r="H141" t="str">
            <v>08004499</v>
          </cell>
          <cell r="I141" t="str">
            <v>AL BARAKA BANK (PAKISTAN) LIMITED</v>
          </cell>
          <cell r="J141" t="str">
            <v>BANK</v>
          </cell>
          <cell r="K141" t="str">
            <v>Mr. 
Al Baraka Bank Pakistan Limited 
Mr. 
Al Baraka Bank Pakistan Limited 
User: Arham  Iqbal</v>
          </cell>
          <cell r="L141" t="str">
            <v>D</v>
          </cell>
          <cell r="M141" t="str">
            <v>09000221</v>
          </cell>
          <cell r="N141">
            <v>100</v>
          </cell>
          <cell r="P141" t="str">
            <v>1St Floor House No 3 Kala Khatai Morr Phatak Number 9 Shahdara Lahore</v>
          </cell>
          <cell r="Q141" t="str">
            <v>11000003</v>
          </cell>
          <cell r="R141" t="str">
            <v>SUZUKI ALTO</v>
          </cell>
          <cell r="S141" t="str">
            <v>2023</v>
          </cell>
          <cell r="T141" t="str">
            <v>AMZ-554</v>
          </cell>
          <cell r="U141" t="str">
            <v>6R268832</v>
          </cell>
          <cell r="V141" t="str">
            <v>H1168830</v>
          </cell>
          <cell r="W141" t="str">
            <v>05-feb-2028</v>
          </cell>
          <cell r="Y141">
            <v>1679600</v>
          </cell>
          <cell r="Z141">
            <v>28958</v>
          </cell>
          <cell r="AA141">
            <v>33592</v>
          </cell>
        </row>
        <row r="142">
          <cell r="B142" t="str">
            <v>KHI/HO/D/MO/PC COMP/C/105499/56/01/2025</v>
          </cell>
          <cell r="D142" t="str">
            <v>REN</v>
          </cell>
          <cell r="E142" t="str">
            <v>21/01/25</v>
          </cell>
          <cell r="F142" t="str">
            <v>10/01/2025</v>
          </cell>
          <cell r="G142" t="str">
            <v>09/01/2026</v>
          </cell>
          <cell r="H142" t="str">
            <v>08004499</v>
          </cell>
          <cell r="I142" t="str">
            <v>AL BARAKA BANK (PAKISTAN) LIMITED</v>
          </cell>
          <cell r="J142" t="str">
            <v>BANK</v>
          </cell>
          <cell r="K142" t="str">
            <v>Mr. 
Al Baraka Bank Pakistan Limited 
Mr. 
Al Baraka Bank Pakistan Limited 
User: Muhammad Alam Khan</v>
          </cell>
          <cell r="L142" t="str">
            <v>D</v>
          </cell>
          <cell r="M142" t="str">
            <v>09000221</v>
          </cell>
          <cell r="N142">
            <v>100</v>
          </cell>
          <cell r="P142" t="str">
            <v>H # D-376 Street 12 Bhitai Colony Korangi Karachi</v>
          </cell>
          <cell r="Q142" t="str">
            <v>11000003</v>
          </cell>
          <cell r="R142" t="str">
            <v>TOYOTA COROLLA ALTIS  1.6</v>
          </cell>
          <cell r="S142" t="str">
            <v>2023</v>
          </cell>
          <cell r="T142" t="str">
            <v>BYD-426</v>
          </cell>
          <cell r="U142" t="str">
            <v>Q102205</v>
          </cell>
          <cell r="V142" t="str">
            <v>6079611</v>
          </cell>
          <cell r="W142" t="str">
            <v>05-jan-2026</v>
          </cell>
          <cell r="Y142">
            <v>3268675</v>
          </cell>
          <cell r="Z142">
            <v>42267</v>
          </cell>
          <cell r="AA142">
            <v>49030</v>
          </cell>
        </row>
        <row r="143">
          <cell r="B143" t="str">
            <v>KHI/HO/D/MO/PC COMP/C/105499/57/01/2025</v>
          </cell>
          <cell r="D143" t="str">
            <v>REN</v>
          </cell>
          <cell r="E143" t="str">
            <v>21/01/25</v>
          </cell>
          <cell r="F143" t="str">
            <v>16/01/2025</v>
          </cell>
          <cell r="G143" t="str">
            <v>15/01/2026</v>
          </cell>
          <cell r="H143" t="str">
            <v>08004499</v>
          </cell>
          <cell r="I143" t="str">
            <v>AL BARAKA BANK (PAKISTAN) LIMITED</v>
          </cell>
          <cell r="J143" t="str">
            <v>BANK</v>
          </cell>
          <cell r="K143" t="str">
            <v>Mr. 
Al Baraka Bank Pakistan Limited 
Mr. 
Al Baraka Bank Pakistan Limited 
User: Muhammad Saud Yousaf</v>
          </cell>
          <cell r="L143" t="str">
            <v>D</v>
          </cell>
          <cell r="M143" t="str">
            <v>09000221</v>
          </cell>
          <cell r="N143">
            <v>100</v>
          </cell>
          <cell r="P143" t="str">
            <v>271 -Y Phase 3 Dha Lahore</v>
          </cell>
          <cell r="Q143" t="str">
            <v>11000003</v>
          </cell>
          <cell r="R143" t="str">
            <v>HONDA CIVIC VTI</v>
          </cell>
          <cell r="S143" t="str">
            <v>2018</v>
          </cell>
          <cell r="T143" t="str">
            <v>LEC-18A-8741</v>
          </cell>
          <cell r="U143" t="str">
            <v>12944884</v>
          </cell>
          <cell r="V143" t="str">
            <v>048309</v>
          </cell>
          <cell r="W143" t="str">
            <v>05-feb-2026</v>
          </cell>
          <cell r="Y143">
            <v>3570000</v>
          </cell>
          <cell r="Z143">
            <v>46163</v>
          </cell>
          <cell r="AA143">
            <v>53550</v>
          </cell>
        </row>
        <row r="144">
          <cell r="B144" t="str">
            <v>KHI/HO/D/MO/PC COMP/C/105499/58/01/2025</v>
          </cell>
          <cell r="D144" t="str">
            <v>REN</v>
          </cell>
          <cell r="E144" t="str">
            <v>21/01/25</v>
          </cell>
          <cell r="F144" t="str">
            <v>17/01/2025</v>
          </cell>
          <cell r="G144" t="str">
            <v>16/01/2026</v>
          </cell>
          <cell r="H144" t="str">
            <v>08004499</v>
          </cell>
          <cell r="I144" t="str">
            <v>AL BARAKA BANK (PAKISTAN) LIMITED</v>
          </cell>
          <cell r="J144" t="str">
            <v>BANK</v>
          </cell>
          <cell r="K144" t="str">
            <v>Mr. 
Al Baraka Bank Pakistan Limited 
Mr. 
Al Baraka Bank Pakistan Limited 
User: Muhammad  Talha</v>
          </cell>
          <cell r="L144" t="str">
            <v>D</v>
          </cell>
          <cell r="M144" t="str">
            <v>09000221</v>
          </cell>
          <cell r="N144">
            <v>100</v>
          </cell>
          <cell r="P144" t="str">
            <v>St No 02 Mohallah Ajmal Town Saidabad Rahim Yar Khan</v>
          </cell>
          <cell r="Q144" t="str">
            <v>11000003</v>
          </cell>
          <cell r="R144" t="str">
            <v>SUZUKI ALTO</v>
          </cell>
          <cell r="S144" t="str">
            <v>2022</v>
          </cell>
          <cell r="T144" t="str">
            <v>ANB-751</v>
          </cell>
          <cell r="U144" t="str">
            <v>266619</v>
          </cell>
          <cell r="V144" t="str">
            <v>1166685</v>
          </cell>
          <cell r="W144" t="str">
            <v>05-feb-2028</v>
          </cell>
          <cell r="Y144">
            <v>1253750</v>
          </cell>
          <cell r="Z144">
            <v>21617</v>
          </cell>
          <cell r="AA144">
            <v>25075</v>
          </cell>
        </row>
        <row r="145">
          <cell r="B145" t="str">
            <v>KHI/HO/D/MO/PC COMP/C/105499/59/01/2025</v>
          </cell>
          <cell r="D145" t="str">
            <v>REN</v>
          </cell>
          <cell r="E145" t="str">
            <v>21/01/25</v>
          </cell>
          <cell r="F145" t="str">
            <v>18/01/2025</v>
          </cell>
          <cell r="G145" t="str">
            <v>17/01/2026</v>
          </cell>
          <cell r="H145" t="str">
            <v>08004499</v>
          </cell>
          <cell r="I145" t="str">
            <v>AL BARAKA BANK (PAKISTAN) LIMITED</v>
          </cell>
          <cell r="J145" t="str">
            <v>BANK</v>
          </cell>
          <cell r="K145" t="str">
            <v>Mr. 
Al Baraka Bank Pakistan Limited 
Mr. 
Al Baraka Bank Pakistan Limited 
User: Akmal  Ashraf</v>
          </cell>
          <cell r="L145" t="str">
            <v>D</v>
          </cell>
          <cell r="M145" t="str">
            <v>09000221</v>
          </cell>
          <cell r="N145">
            <v>100</v>
          </cell>
          <cell r="P145" t="str">
            <v>Al Jannat Housing Scheme Hassanabad Chowk Opp Jameel Medical Store Daroghawala</v>
          </cell>
          <cell r="Q145" t="str">
            <v>11000003</v>
          </cell>
          <cell r="R145" t="str">
            <v>SUZUKI MEHRAN STD</v>
          </cell>
          <cell r="S145" t="str">
            <v>2016</v>
          </cell>
          <cell r="T145" t="str">
            <v>LEA-16A-7413</v>
          </cell>
          <cell r="U145" t="str">
            <v>665238</v>
          </cell>
          <cell r="V145" t="str">
            <v>1203757</v>
          </cell>
          <cell r="W145" t="str">
            <v>05-feb-2028</v>
          </cell>
          <cell r="Y145">
            <v>765000</v>
          </cell>
          <cell r="Z145">
            <v>13190</v>
          </cell>
          <cell r="AA145">
            <v>15300</v>
          </cell>
        </row>
        <row r="146">
          <cell r="B146" t="str">
            <v>KHI/HO/D/MO/PC COMP/C/105499/60/01/2025</v>
          </cell>
          <cell r="D146" t="str">
            <v>REN</v>
          </cell>
          <cell r="E146" t="str">
            <v>21/01/25</v>
          </cell>
          <cell r="F146" t="str">
            <v>19/01/2025</v>
          </cell>
          <cell r="G146" t="str">
            <v>18/01/2026</v>
          </cell>
          <cell r="H146" t="str">
            <v>08004499</v>
          </cell>
          <cell r="I146" t="str">
            <v>AL BARAKA BANK (PAKISTAN) LIMITED</v>
          </cell>
          <cell r="J146" t="str">
            <v>BANK</v>
          </cell>
          <cell r="K146" t="str">
            <v>Mr. 
Al Baraka Bank Pakistan Limited 
Mr. 
Al Baraka Bank Pakistan Limited 
User: Aqeel  Ashraf</v>
          </cell>
          <cell r="L146" t="str">
            <v>D</v>
          </cell>
          <cell r="M146" t="str">
            <v>09000221</v>
          </cell>
          <cell r="N146">
            <v>100</v>
          </cell>
          <cell r="P146" t="str">
            <v>227 Block C Sabzazar Lahore</v>
          </cell>
          <cell r="Q146" t="str">
            <v>11000003</v>
          </cell>
          <cell r="R146" t="str">
            <v>CHANGAN ALSVIN</v>
          </cell>
          <cell r="S146" t="str">
            <v>2023</v>
          </cell>
          <cell r="T146" t="str">
            <v>ANG-939</v>
          </cell>
          <cell r="U146" t="str">
            <v>503009</v>
          </cell>
          <cell r="V146" t="str">
            <v>1001670</v>
          </cell>
          <cell r="W146" t="str">
            <v>05-feb-2026</v>
          </cell>
          <cell r="Y146">
            <v>2714900</v>
          </cell>
          <cell r="Z146">
            <v>46809</v>
          </cell>
          <cell r="AA146">
            <v>54298</v>
          </cell>
        </row>
        <row r="147">
          <cell r="B147" t="str">
            <v>KHI/HO/D/MO/PC COMP/C/105499/61/01/2025</v>
          </cell>
          <cell r="D147" t="str">
            <v>REN</v>
          </cell>
          <cell r="E147" t="str">
            <v>21/01/25</v>
          </cell>
          <cell r="F147" t="str">
            <v>03/01/2025</v>
          </cell>
          <cell r="G147" t="str">
            <v>02/01/2026</v>
          </cell>
          <cell r="H147" t="str">
            <v>08004499</v>
          </cell>
          <cell r="I147" t="str">
            <v>AL BARAKA BANK (PAKISTAN) LIMITED</v>
          </cell>
          <cell r="J147" t="str">
            <v>BANK</v>
          </cell>
          <cell r="K147" t="str">
            <v>Mr. 
Al Baraka Bank Pakistan Limited 
Mr. 
Al Baraka Bank Pakistan Limited 
User: Muhammad  Noman</v>
          </cell>
          <cell r="L147" t="str">
            <v>D</v>
          </cell>
          <cell r="M147" t="str">
            <v>09000221</v>
          </cell>
          <cell r="N147">
            <v>100</v>
          </cell>
          <cell r="P147" t="str">
            <v>H No 164 Street No 03 Pakistan Town Phase No 01 Islamabad</v>
          </cell>
          <cell r="Q147" t="str">
            <v>11000003</v>
          </cell>
          <cell r="R147" t="str">
            <v>SUZUKI ALTO VXR</v>
          </cell>
          <cell r="S147" t="str">
            <v>2022</v>
          </cell>
          <cell r="T147" t="str">
            <v>BAD-282</v>
          </cell>
          <cell r="U147" t="str">
            <v>267725</v>
          </cell>
          <cell r="V147" t="str">
            <v>1167805</v>
          </cell>
          <cell r="W147" t="str">
            <v>05-jan-2028</v>
          </cell>
          <cell r="Y147">
            <v>1658350</v>
          </cell>
          <cell r="Z147">
            <v>35741</v>
          </cell>
          <cell r="AA147">
            <v>41459</v>
          </cell>
        </row>
        <row r="148">
          <cell r="B148" t="str">
            <v>KHI/HO/D/MO/PC COMP/C/105499/62/01/2025</v>
          </cell>
          <cell r="D148" t="str">
            <v>REN</v>
          </cell>
          <cell r="E148" t="str">
            <v>21/01/25</v>
          </cell>
          <cell r="F148" t="str">
            <v>19/01/2025</v>
          </cell>
          <cell r="G148" t="str">
            <v>18/01/2026</v>
          </cell>
          <cell r="H148" t="str">
            <v>08004499</v>
          </cell>
          <cell r="I148" t="str">
            <v>AL BARAKA BANK (PAKISTAN) LIMITED</v>
          </cell>
          <cell r="J148" t="str">
            <v>BANK</v>
          </cell>
          <cell r="K148" t="str">
            <v>Mr. 
Al Baraka Bank Pakistan Limited 
Mr. 
Al Baraka Bank Pakistan Limited 
User: Muhammad Ahmad Raza</v>
          </cell>
          <cell r="L148" t="str">
            <v>D</v>
          </cell>
          <cell r="M148" t="str">
            <v>09000221</v>
          </cell>
          <cell r="N148">
            <v>100</v>
          </cell>
          <cell r="P148" t="str">
            <v>Madina Colony Near Masjid Noor House No 165 Haroonabad</v>
          </cell>
          <cell r="Q148" t="str">
            <v>11000003</v>
          </cell>
          <cell r="R148" t="str">
            <v>SUZUKI CULTUS</v>
          </cell>
          <cell r="S148" t="str">
            <v>2018</v>
          </cell>
          <cell r="T148" t="str">
            <v>LEA-18A-4618</v>
          </cell>
          <cell r="U148" t="str">
            <v>127296</v>
          </cell>
          <cell r="V148" t="str">
            <v>10027259</v>
          </cell>
          <cell r="W148" t="str">
            <v>05-feb-2026</v>
          </cell>
          <cell r="Y148">
            <v>1742500</v>
          </cell>
          <cell r="Z148">
            <v>30044</v>
          </cell>
          <cell r="AA148">
            <v>34850</v>
          </cell>
        </row>
        <row r="149">
          <cell r="B149" t="str">
            <v>KHI/HO/D/MO/PC COMP/C/105499/63/01/2025</v>
          </cell>
          <cell r="D149" t="str">
            <v>REN</v>
          </cell>
          <cell r="E149" t="str">
            <v>21/01/25</v>
          </cell>
          <cell r="F149" t="str">
            <v>20/01/2025</v>
          </cell>
          <cell r="G149" t="str">
            <v>19/01/2026</v>
          </cell>
          <cell r="H149" t="str">
            <v>08004499</v>
          </cell>
          <cell r="I149" t="str">
            <v>AL BARAKA BANK (PAKISTAN) LIMITED</v>
          </cell>
          <cell r="J149" t="str">
            <v>BANK</v>
          </cell>
          <cell r="K149" t="str">
            <v>Mr. 
Al Baraka Bank Pakistan Limited 
Mr. 
Al Baraka Bank Pakistan Limited 
User: Adeela   Adeel</v>
          </cell>
          <cell r="L149" t="str">
            <v>D</v>
          </cell>
          <cell r="M149" t="str">
            <v>09000221</v>
          </cell>
          <cell r="N149">
            <v>100</v>
          </cell>
          <cell r="P149" t="str">
            <v>H # 248 H Yohanabad Ferozepur Road Lahore</v>
          </cell>
          <cell r="Q149" t="str">
            <v>11000003</v>
          </cell>
          <cell r="R149" t="str">
            <v>SUZUKI WAGON-R VXL E2</v>
          </cell>
          <cell r="S149" t="str">
            <v>2021</v>
          </cell>
          <cell r="T149" t="str">
            <v>ACK 866</v>
          </cell>
          <cell r="U149" t="str">
            <v>211434</v>
          </cell>
          <cell r="V149" t="str">
            <v>111420</v>
          </cell>
          <cell r="W149" t="str">
            <v>05-feb-2027</v>
          </cell>
          <cell r="Y149">
            <v>1938000</v>
          </cell>
          <cell r="Z149">
            <v>33414</v>
          </cell>
          <cell r="AA149">
            <v>38760</v>
          </cell>
        </row>
        <row r="150">
          <cell r="B150" t="str">
            <v>KHI/HO/D/MO/PC COMP/C/105499/64/01/2025</v>
          </cell>
          <cell r="D150" t="str">
            <v>REN</v>
          </cell>
          <cell r="E150" t="str">
            <v>21/01/25</v>
          </cell>
          <cell r="F150" t="str">
            <v>23/01/2025</v>
          </cell>
          <cell r="G150" t="str">
            <v>22/01/2026</v>
          </cell>
          <cell r="H150" t="str">
            <v>08004499</v>
          </cell>
          <cell r="I150" t="str">
            <v>AL BARAKA BANK (PAKISTAN) LIMITED</v>
          </cell>
          <cell r="J150" t="str">
            <v>BANK</v>
          </cell>
          <cell r="K150" t="str">
            <v>Mr. 
Al Baraka Bank Pakistan Limited 
Mr. 
Al Baraka Bank Pakistan Limited 
User: Muhammad   Yasin</v>
          </cell>
          <cell r="L150" t="str">
            <v>D</v>
          </cell>
          <cell r="M150" t="str">
            <v>09000221</v>
          </cell>
          <cell r="N150">
            <v>100</v>
          </cell>
          <cell r="P150" t="str">
            <v>P-1859 /32 B St No 2 Abadi Bagh Wali Millat Colony 2 Faisalabad</v>
          </cell>
          <cell r="Q150" t="str">
            <v>11000003</v>
          </cell>
          <cell r="R150" t="str">
            <v>CHANGAN KARVAAN PLUS</v>
          </cell>
          <cell r="S150" t="str">
            <v>2023</v>
          </cell>
          <cell r="T150" t="str">
            <v>ANF-629</v>
          </cell>
          <cell r="U150" t="str">
            <v>JL466Q9N69U503505</v>
          </cell>
          <cell r="V150" t="str">
            <v>NKMAAB3D1N1016315</v>
          </cell>
          <cell r="W150" t="str">
            <v>05-feb-2027</v>
          </cell>
          <cell r="Y150">
            <v>1843650</v>
          </cell>
          <cell r="Z150">
            <v>31787</v>
          </cell>
          <cell r="AA150">
            <v>36873</v>
          </cell>
        </row>
        <row r="151">
          <cell r="B151" t="str">
            <v>KHI/HO/D/MO/PC COMP/C/105499/65/01/2025</v>
          </cell>
          <cell r="D151" t="str">
            <v>REN</v>
          </cell>
          <cell r="E151" t="str">
            <v>21/01/25</v>
          </cell>
          <cell r="F151" t="str">
            <v>23/01/2025</v>
          </cell>
          <cell r="G151" t="str">
            <v>22/01/2026</v>
          </cell>
          <cell r="H151" t="str">
            <v>08004499</v>
          </cell>
          <cell r="I151" t="str">
            <v>AL BARAKA BANK (PAKISTAN) LIMITED</v>
          </cell>
          <cell r="J151" t="str">
            <v>BANK</v>
          </cell>
          <cell r="K151" t="str">
            <v>Mr. 
Al Baraka Bank Pakistan Limited 
Mr. 
Al Baraka Bank Pakistan Limited 
User: Muhammad  Shabir  Malik</v>
          </cell>
          <cell r="L151" t="str">
            <v>D</v>
          </cell>
          <cell r="M151" t="str">
            <v>09000221</v>
          </cell>
          <cell r="N151">
            <v>100</v>
          </cell>
          <cell r="P151" t="str">
            <v>H No 8A St No 26 Shahfareed Abad Sabzazar Multan Road Lahore</v>
          </cell>
          <cell r="Q151" t="str">
            <v>11000003</v>
          </cell>
          <cell r="R151" t="str">
            <v>PRINCE GLORY 580 PRO TURB</v>
          </cell>
          <cell r="S151" t="str">
            <v>2021</v>
          </cell>
          <cell r="T151" t="str">
            <v>AVA -741</v>
          </cell>
          <cell r="U151" t="str">
            <v>21026302</v>
          </cell>
          <cell r="V151" t="str">
            <v>21H1699</v>
          </cell>
          <cell r="W151" t="str">
            <v>05-feb-2026</v>
          </cell>
          <cell r="Y151">
            <v>3825000</v>
          </cell>
          <cell r="Z151">
            <v>49461</v>
          </cell>
          <cell r="AA151">
            <v>57375</v>
          </cell>
        </row>
        <row r="152">
          <cell r="B152" t="str">
            <v>KHI/HO/D/MO/PC COMP/C/105499/66/01/2025</v>
          </cell>
          <cell r="D152" t="str">
            <v>REN</v>
          </cell>
          <cell r="E152" t="str">
            <v>21/01/25</v>
          </cell>
          <cell r="F152" t="str">
            <v>25/01/2025</v>
          </cell>
          <cell r="G152" t="str">
            <v>24/01/2026</v>
          </cell>
          <cell r="H152" t="str">
            <v>08004499</v>
          </cell>
          <cell r="I152" t="str">
            <v>AL BARAKA BANK (PAKISTAN) LIMITED</v>
          </cell>
          <cell r="J152" t="str">
            <v>BANK</v>
          </cell>
          <cell r="K152" t="str">
            <v>Mr. 
Al Baraka Bank Pakistan Limited 
Mr. 
Al Baraka Bank Pakistan Limited 
User: Muhammad  Abbas</v>
          </cell>
          <cell r="L152" t="str">
            <v>D</v>
          </cell>
          <cell r="M152" t="str">
            <v>09000221</v>
          </cell>
          <cell r="N152">
            <v>100</v>
          </cell>
          <cell r="P152" t="str">
            <v>H No 18 St No 90 Muslim Colony Rahat Street Shalimar Link Road Lahore</v>
          </cell>
          <cell r="Q152" t="str">
            <v>11000003</v>
          </cell>
          <cell r="R152" t="str">
            <v>SUZUKI CULTUS VXL AGS</v>
          </cell>
          <cell r="S152" t="str">
            <v>2020</v>
          </cell>
          <cell r="T152" t="str">
            <v>LEB-20-8190</v>
          </cell>
          <cell r="U152" t="str">
            <v>K155905</v>
          </cell>
          <cell r="V152" t="str">
            <v>H10055998</v>
          </cell>
          <cell r="W152" t="str">
            <v>05-feb-2028</v>
          </cell>
          <cell r="Y152">
            <v>2154750</v>
          </cell>
          <cell r="Z152">
            <v>37150</v>
          </cell>
          <cell r="AA152">
            <v>43095</v>
          </cell>
        </row>
        <row r="153">
          <cell r="B153" t="str">
            <v>KHI/HO/D/MO/PC COMP/C/105499/67/01/2025</v>
          </cell>
          <cell r="D153" t="str">
            <v>REN</v>
          </cell>
          <cell r="E153" t="str">
            <v>21/01/25</v>
          </cell>
          <cell r="F153" t="str">
            <v>26/01/2025</v>
          </cell>
          <cell r="G153" t="str">
            <v>25/01/2026</v>
          </cell>
          <cell r="H153" t="str">
            <v>08004499</v>
          </cell>
          <cell r="I153" t="str">
            <v>AL BARAKA BANK (PAKISTAN) LIMITED</v>
          </cell>
          <cell r="J153" t="str">
            <v>BANK</v>
          </cell>
          <cell r="K153" t="str">
            <v>Mr. 
Al Baraka Bank Pakistan Limited 
Mr. 
Al Baraka Bank Pakistan Limited 
User: Abid Hameed  Awan</v>
          </cell>
          <cell r="L153" t="str">
            <v>D</v>
          </cell>
          <cell r="M153" t="str">
            <v>09000221</v>
          </cell>
          <cell r="N153">
            <v>100</v>
          </cell>
          <cell r="P153" t="str">
            <v>H No 894 Street No 28 Sector G-9 Islamabad</v>
          </cell>
          <cell r="Q153" t="str">
            <v>11000003</v>
          </cell>
          <cell r="R153" t="str">
            <v>HONDA CITY ASPIRE</v>
          </cell>
          <cell r="S153" t="str">
            <v>2022</v>
          </cell>
          <cell r="T153" t="str">
            <v>AWW-346</v>
          </cell>
          <cell r="U153" t="str">
            <v>81003503</v>
          </cell>
          <cell r="V153" t="str">
            <v>009867</v>
          </cell>
          <cell r="W153" t="str">
            <v>05-feb-2026</v>
          </cell>
          <cell r="Y153">
            <v>3527500</v>
          </cell>
          <cell r="Z153">
            <v>45615</v>
          </cell>
          <cell r="AA153">
            <v>52913</v>
          </cell>
        </row>
        <row r="154">
          <cell r="B154" t="str">
            <v>KHI/HO/D/MO/PC COMP/C/105499/68/01/2025</v>
          </cell>
          <cell r="D154" t="str">
            <v>REN</v>
          </cell>
          <cell r="E154" t="str">
            <v>21/01/25</v>
          </cell>
          <cell r="F154" t="str">
            <v>26/01/2025</v>
          </cell>
          <cell r="G154" t="str">
            <v>25/01/2026</v>
          </cell>
          <cell r="H154" t="str">
            <v>08004499</v>
          </cell>
          <cell r="I154" t="str">
            <v>AL BARAKA BANK (PAKISTAN) LIMITED</v>
          </cell>
          <cell r="J154" t="str">
            <v>BANK</v>
          </cell>
          <cell r="K154" t="str">
            <v>Mr. 
Al Baraka Bank Pakistan Limited 
Mr. 
Al Baraka Bank Pakistan Limited 
User: Waqas  Ahmed Sheikh</v>
          </cell>
          <cell r="L154" t="str">
            <v>D</v>
          </cell>
          <cell r="M154" t="str">
            <v>09000221</v>
          </cell>
          <cell r="N154">
            <v>100</v>
          </cell>
          <cell r="P154" t="str">
            <v>H No 165 Ff Phase 4 Dha Lahore</v>
          </cell>
          <cell r="Q154" t="str">
            <v>11000003</v>
          </cell>
          <cell r="R154" t="str">
            <v>HONDA CITY 1.2  LS CVT</v>
          </cell>
          <cell r="S154" t="str">
            <v>2023</v>
          </cell>
          <cell r="T154" t="str">
            <v>AND-619</v>
          </cell>
          <cell r="U154" t="str">
            <v>1017227</v>
          </cell>
          <cell r="V154" t="str">
            <v>30604</v>
          </cell>
          <cell r="W154" t="str">
            <v>05-feb-2026</v>
          </cell>
          <cell r="Y154">
            <v>3322650</v>
          </cell>
          <cell r="Z154">
            <v>42965</v>
          </cell>
          <cell r="AA154">
            <v>49840</v>
          </cell>
        </row>
        <row r="155">
          <cell r="B155" t="str">
            <v>KHI/HO/D/MO/PC COMP/C/105499/69/01/2025</v>
          </cell>
          <cell r="D155" t="str">
            <v>REN</v>
          </cell>
          <cell r="E155" t="str">
            <v>21/01/25</v>
          </cell>
          <cell r="F155" t="str">
            <v>27/01/2025</v>
          </cell>
          <cell r="G155" t="str">
            <v>26/01/2026</v>
          </cell>
          <cell r="H155" t="str">
            <v>08004499</v>
          </cell>
          <cell r="I155" t="str">
            <v>AL BARAKA BANK (PAKISTAN) LIMITED</v>
          </cell>
          <cell r="J155" t="str">
            <v>BANK</v>
          </cell>
          <cell r="K155" t="str">
            <v>Mr. 
Al Baraka Bank Pakistan Limited 
Mr. 
Al Baraka Bank Pakistan Limited 
User: Nisma   Zahid</v>
          </cell>
          <cell r="L155" t="str">
            <v>D</v>
          </cell>
          <cell r="M155" t="str">
            <v>09000221</v>
          </cell>
          <cell r="N155">
            <v>100</v>
          </cell>
          <cell r="P155" t="str">
            <v>H No 312 Block L St 9 Phase 6 Dha Lahore</v>
          </cell>
          <cell r="Q155" t="str">
            <v>11000003</v>
          </cell>
          <cell r="R155" t="str">
            <v>SUZUKI ALTO</v>
          </cell>
          <cell r="S155" t="str">
            <v>2019</v>
          </cell>
          <cell r="T155" t="str">
            <v>LEH-19-9548</v>
          </cell>
          <cell r="U155" t="str">
            <v>6R101389</v>
          </cell>
          <cell r="V155" t="str">
            <v>H1001367</v>
          </cell>
          <cell r="W155" t="str">
            <v>05-feb-2028</v>
          </cell>
          <cell r="Y155">
            <v>1487500</v>
          </cell>
          <cell r="Z155">
            <v>25647</v>
          </cell>
          <cell r="AA155">
            <v>29750</v>
          </cell>
        </row>
        <row r="156">
          <cell r="B156" t="str">
            <v>KHI/HO/D/MO/PC COMP/C/105499/70/01/2025</v>
          </cell>
          <cell r="D156" t="str">
            <v>REN</v>
          </cell>
          <cell r="E156" t="str">
            <v>21/01/25</v>
          </cell>
          <cell r="F156" t="str">
            <v>27/01/2025</v>
          </cell>
          <cell r="G156" t="str">
            <v>26/01/2026</v>
          </cell>
          <cell r="H156" t="str">
            <v>08004499</v>
          </cell>
          <cell r="I156" t="str">
            <v>AL BARAKA BANK (PAKISTAN) LIMITED</v>
          </cell>
          <cell r="J156" t="str">
            <v>BANK</v>
          </cell>
          <cell r="K156" t="str">
            <v>Mr. 
Al Baraka Bank Pakistan Limited 
Mr. 
Al Baraka Bank Pakistan Limited 
User: Arshad  Farhan</v>
          </cell>
          <cell r="L156" t="str">
            <v>D</v>
          </cell>
          <cell r="M156" t="str">
            <v>09000221</v>
          </cell>
          <cell r="N156">
            <v>100</v>
          </cell>
          <cell r="P156" t="str">
            <v>H # P-129 Street 2 Satellite Town Faisalabad</v>
          </cell>
          <cell r="Q156" t="str">
            <v>11000003</v>
          </cell>
          <cell r="R156" t="str">
            <v>HONDA CIVIC VTI  ORIEL PT</v>
          </cell>
          <cell r="S156" t="str">
            <v>2020</v>
          </cell>
          <cell r="T156" t="str">
            <v>AAJ-261</v>
          </cell>
          <cell r="U156" t="str">
            <v>R18Z12956816</v>
          </cell>
          <cell r="V156" t="str">
            <v>NFBFC6668LR060764</v>
          </cell>
          <cell r="W156" t="str">
            <v>05-feb-2026</v>
          </cell>
          <cell r="Y156">
            <v>4250000</v>
          </cell>
          <cell r="Z156">
            <v>54956</v>
          </cell>
          <cell r="AA156">
            <v>63750</v>
          </cell>
        </row>
        <row r="157">
          <cell r="B157" t="str">
            <v>KHI/HO/D/MO/PC COMP/C/105499/71/01/2025</v>
          </cell>
          <cell r="D157" t="str">
            <v>REN</v>
          </cell>
          <cell r="E157" t="str">
            <v>21/01/25</v>
          </cell>
          <cell r="F157" t="str">
            <v>05/01/2025</v>
          </cell>
          <cell r="G157" t="str">
            <v>04/01/2026</v>
          </cell>
          <cell r="H157" t="str">
            <v>08004499</v>
          </cell>
          <cell r="I157" t="str">
            <v>AL BARAKA BANK (PAKISTAN) LIMITED</v>
          </cell>
          <cell r="J157" t="str">
            <v>BANK</v>
          </cell>
          <cell r="K157" t="str">
            <v>Mr. 
Al Baraka Bank Pakistan Limited 
Mr. 
Al Baraka Bank Pakistan Limited 
User: Mehroz   Elahi</v>
          </cell>
          <cell r="L157" t="str">
            <v>D</v>
          </cell>
          <cell r="M157" t="str">
            <v>09000221</v>
          </cell>
          <cell r="N157">
            <v>100</v>
          </cell>
          <cell r="P157" t="str">
            <v>8-A Windser Park Ichhra Lahore</v>
          </cell>
          <cell r="Q157" t="str">
            <v>11000003</v>
          </cell>
          <cell r="R157" t="str">
            <v>SUZUKI ALTO VXL AGS</v>
          </cell>
          <cell r="S157" t="str">
            <v>2019</v>
          </cell>
          <cell r="T157" t="str">
            <v>LEA-19-8424</v>
          </cell>
          <cell r="U157" t="str">
            <v>K135890</v>
          </cell>
          <cell r="V157" t="str">
            <v>H100358909</v>
          </cell>
          <cell r="W157" t="str">
            <v>05-jan-2028</v>
          </cell>
          <cell r="Y157">
            <v>1997500</v>
          </cell>
          <cell r="Z157">
            <v>34440</v>
          </cell>
          <cell r="AA157">
            <v>39950</v>
          </cell>
        </row>
        <row r="158">
          <cell r="B158" t="str">
            <v>KHI/HO/D/MO/PC COMP/C/105499/72/01/2025</v>
          </cell>
          <cell r="D158" t="str">
            <v>REN</v>
          </cell>
          <cell r="E158" t="str">
            <v>21/01/25</v>
          </cell>
          <cell r="F158" t="str">
            <v>30/01/2025</v>
          </cell>
          <cell r="G158" t="str">
            <v>29/01/2026</v>
          </cell>
          <cell r="H158" t="str">
            <v>08004499</v>
          </cell>
          <cell r="I158" t="str">
            <v>AL BARAKA BANK (PAKISTAN) LIMITED</v>
          </cell>
          <cell r="J158" t="str">
            <v>BANK</v>
          </cell>
          <cell r="K158" t="str">
            <v>Mr. 
Al Baraka Bank Pakistan Limited 
Mr. 
Al Baraka Bank Pakistan Limited 
User: Imran   Ahmed</v>
          </cell>
          <cell r="L158" t="str">
            <v>D</v>
          </cell>
          <cell r="M158" t="str">
            <v>09000221</v>
          </cell>
          <cell r="N158">
            <v>100</v>
          </cell>
          <cell r="P158" t="str">
            <v>H # 46 Sector 9-D Banaras Town Orangi Town Karachi</v>
          </cell>
          <cell r="Q158" t="str">
            <v>11000003</v>
          </cell>
          <cell r="R158" t="str">
            <v>SUZUKI Swift GLX CVT</v>
          </cell>
          <cell r="S158" t="str">
            <v>2022</v>
          </cell>
          <cell r="T158" t="str">
            <v>BXR-244</v>
          </cell>
          <cell r="U158" t="str">
            <v>1008262</v>
          </cell>
          <cell r="V158" t="str">
            <v>108263</v>
          </cell>
          <cell r="W158" t="str">
            <v>05-feb-2026</v>
          </cell>
          <cell r="Y158">
            <v>3400000</v>
          </cell>
          <cell r="Z158">
            <v>43965</v>
          </cell>
          <cell r="AA158">
            <v>51000</v>
          </cell>
        </row>
        <row r="159">
          <cell r="B159" t="str">
            <v>KHI/HO/D/MO/PC COMP/C/105499/73/01/2025</v>
          </cell>
          <cell r="D159" t="str">
            <v>REN</v>
          </cell>
          <cell r="E159" t="str">
            <v>21/01/25</v>
          </cell>
          <cell r="F159" t="str">
            <v>30/01/2025</v>
          </cell>
          <cell r="G159" t="str">
            <v>29/01/2026</v>
          </cell>
          <cell r="H159" t="str">
            <v>08004499</v>
          </cell>
          <cell r="I159" t="str">
            <v>AL BARAKA BANK (PAKISTAN) LIMITED</v>
          </cell>
          <cell r="J159" t="str">
            <v>BANK</v>
          </cell>
          <cell r="K159" t="str">
            <v>Mr. 
Al Baraka Bank Pakistan Limited 
Mr. 
Al Baraka Bank Pakistan Limited 
User: Shahzad   Ahmed</v>
          </cell>
          <cell r="L159" t="str">
            <v>D</v>
          </cell>
          <cell r="M159" t="str">
            <v>09000221</v>
          </cell>
          <cell r="N159">
            <v>100</v>
          </cell>
          <cell r="P159" t="str">
            <v>H # R-244 Buffer Zone Sector 15-A/5 Karachi</v>
          </cell>
          <cell r="Q159" t="str">
            <v>11000003</v>
          </cell>
          <cell r="R159" t="str">
            <v>SUZUKI WAGON-R VXR</v>
          </cell>
          <cell r="S159" t="str">
            <v>2019</v>
          </cell>
          <cell r="T159" t="str">
            <v>BPZ-010</v>
          </cell>
          <cell r="U159" t="str">
            <v>B186082</v>
          </cell>
          <cell r="V159" t="str">
            <v>PK10086082</v>
          </cell>
          <cell r="W159" t="str">
            <v>05-feb-2028</v>
          </cell>
          <cell r="Y159">
            <v>1530000</v>
          </cell>
          <cell r="Z159">
            <v>26379</v>
          </cell>
          <cell r="AA159">
            <v>30600</v>
          </cell>
        </row>
        <row r="160">
          <cell r="B160" t="str">
            <v>KHI/HO/D/MO/PC COMP/C/105499/74/01/2025</v>
          </cell>
          <cell r="D160" t="str">
            <v>REN</v>
          </cell>
          <cell r="E160" t="str">
            <v>21/01/25</v>
          </cell>
          <cell r="F160" t="str">
            <v>31/01/2025</v>
          </cell>
          <cell r="G160" t="str">
            <v>30/01/2026</v>
          </cell>
          <cell r="H160" t="str">
            <v>08004499</v>
          </cell>
          <cell r="I160" t="str">
            <v>AL BARAKA BANK (PAKISTAN) LIMITED</v>
          </cell>
          <cell r="J160" t="str">
            <v>BANK</v>
          </cell>
          <cell r="K160" t="str">
            <v>Mr. 
Al Baraka Bank Pakistan Limited 
Mr. 
Al Baraka Bank Pakistan Limited 
User: Rizwan  Sohail</v>
          </cell>
          <cell r="L160" t="str">
            <v>D</v>
          </cell>
          <cell r="M160" t="str">
            <v>09000221</v>
          </cell>
          <cell r="N160">
            <v>100</v>
          </cell>
          <cell r="P160" t="str">
            <v>Chak No. 95-6R Po Khas Zila Sahiwal</v>
          </cell>
          <cell r="Q160" t="str">
            <v>11000003</v>
          </cell>
          <cell r="R160" t="str">
            <v>SUZUKI WAGON-R VXL E2</v>
          </cell>
          <cell r="S160" t="str">
            <v>2018</v>
          </cell>
          <cell r="T160" t="str">
            <v>LEE-18-539</v>
          </cell>
          <cell r="U160" t="str">
            <v>PK10B159589</v>
          </cell>
          <cell r="V160" t="str">
            <v>A1J310PK10059581</v>
          </cell>
          <cell r="W160" t="str">
            <v>05-feb-2028</v>
          </cell>
          <cell r="Y160">
            <v>1530000</v>
          </cell>
          <cell r="Z160">
            <v>26379</v>
          </cell>
          <cell r="AA160">
            <v>30600</v>
          </cell>
        </row>
        <row r="161">
          <cell r="B161" t="str">
            <v>KHI/HO/D/MO/PC COMP/C/105499/75/01/2025</v>
          </cell>
          <cell r="D161" t="str">
            <v>REN</v>
          </cell>
          <cell r="E161" t="str">
            <v>21/01/25</v>
          </cell>
          <cell r="F161" t="str">
            <v>31/01/2025</v>
          </cell>
          <cell r="G161" t="str">
            <v>30/01/2026</v>
          </cell>
          <cell r="H161" t="str">
            <v>08004499</v>
          </cell>
          <cell r="I161" t="str">
            <v>AL BARAKA BANK (PAKISTAN) LIMITED</v>
          </cell>
          <cell r="J161" t="str">
            <v>BANK</v>
          </cell>
          <cell r="K161" t="str">
            <v>Mr. 
Al Baraka Bank Pakistan Limited 
Mr. 
Al Baraka Bank Pakistan Limited 
User: Jahanzaib   Afzaal</v>
          </cell>
          <cell r="L161" t="str">
            <v>D</v>
          </cell>
          <cell r="M161" t="str">
            <v>09000221</v>
          </cell>
          <cell r="N161">
            <v>100</v>
          </cell>
          <cell r="P161" t="str">
            <v>H # 75 Street 1 Mohallah Nazir Garden Harbanspura Lahore</v>
          </cell>
          <cell r="Q161" t="str">
            <v>11000003</v>
          </cell>
          <cell r="R161" t="str">
            <v>SUZUKI WAGON-R VXR</v>
          </cell>
          <cell r="S161" t="str">
            <v>2021</v>
          </cell>
          <cell r="T161" t="str">
            <v>AFM-867</v>
          </cell>
          <cell r="U161" t="str">
            <v>221417</v>
          </cell>
          <cell r="V161" t="str">
            <v>10121445</v>
          </cell>
          <cell r="W161" t="str">
            <v>05-feb-2028</v>
          </cell>
          <cell r="Y161">
            <v>1810500</v>
          </cell>
          <cell r="Z161">
            <v>31216</v>
          </cell>
          <cell r="AA161">
            <v>36210</v>
          </cell>
        </row>
        <row r="162">
          <cell r="B162" t="str">
            <v>KHI/HO/D/MO/PC COMP/C/105499/76/01/2025</v>
          </cell>
          <cell r="D162" t="str">
            <v>REN</v>
          </cell>
          <cell r="E162" t="str">
            <v>21/01/25</v>
          </cell>
          <cell r="F162" t="str">
            <v>31/01/2025</v>
          </cell>
          <cell r="G162" t="str">
            <v>30/01/2026</v>
          </cell>
          <cell r="H162" t="str">
            <v>08004499</v>
          </cell>
          <cell r="I162" t="str">
            <v>AL BARAKA BANK (PAKISTAN) LIMITED</v>
          </cell>
          <cell r="J162" t="str">
            <v>BANK</v>
          </cell>
          <cell r="K162" t="str">
            <v>Mr. 
Al Baraka Bank Pakistan Limited 
Mr. 
Al Baraka Bank Pakistan Limited 
User: Syed  Ali  Ahmed</v>
          </cell>
          <cell r="L162" t="str">
            <v>D</v>
          </cell>
          <cell r="M162" t="str">
            <v>09000221</v>
          </cell>
          <cell r="N162">
            <v>100</v>
          </cell>
          <cell r="P162" t="str">
            <v>H # A-191 Saeedabad Society Block 5 Gulistan-E-Johar Karachi</v>
          </cell>
          <cell r="Q162" t="str">
            <v>11000003</v>
          </cell>
          <cell r="R162" t="str">
            <v>SUZUKI Swift GL CVT</v>
          </cell>
          <cell r="S162" t="str">
            <v>2022</v>
          </cell>
          <cell r="T162" t="str">
            <v>BXQ-964</v>
          </cell>
          <cell r="U162" t="str">
            <v>1006295</v>
          </cell>
          <cell r="V162" t="str">
            <v>106284</v>
          </cell>
          <cell r="W162" t="str">
            <v>05-feb-2026</v>
          </cell>
          <cell r="Y162">
            <v>2932500</v>
          </cell>
          <cell r="Z162">
            <v>37921</v>
          </cell>
          <cell r="AA162">
            <v>43988</v>
          </cell>
        </row>
        <row r="163">
          <cell r="B163" t="str">
            <v>KHI/HO/D/MO/PC COMP/C/105499/77/01/2025</v>
          </cell>
          <cell r="D163" t="str">
            <v>REN</v>
          </cell>
          <cell r="E163" t="str">
            <v>21/01/25</v>
          </cell>
          <cell r="F163" t="str">
            <v>31/01/2025</v>
          </cell>
          <cell r="G163" t="str">
            <v>30/01/2026</v>
          </cell>
          <cell r="H163" t="str">
            <v>08004499</v>
          </cell>
          <cell r="I163" t="str">
            <v>AL BARAKA BANK (PAKISTAN) LIMITED</v>
          </cell>
          <cell r="J163" t="str">
            <v>BANK</v>
          </cell>
          <cell r="K163" t="str">
            <v>Mr. 
Al Baraka Bank Pakistan Limited 
Mr. 
Al Baraka Bank Pakistan Limited 
User: Muhammad  Shafique</v>
          </cell>
          <cell r="L163" t="str">
            <v>D</v>
          </cell>
          <cell r="M163" t="str">
            <v>09000221</v>
          </cell>
          <cell r="N163">
            <v>100</v>
          </cell>
          <cell r="P163" t="str">
            <v>H No 2 St No 4 Main Bazar Farozwala Shahzara Lahore</v>
          </cell>
          <cell r="Q163" t="str">
            <v>11000003</v>
          </cell>
          <cell r="R163" t="str">
            <v>HONDA CITY A/T</v>
          </cell>
          <cell r="S163" t="str">
            <v>2023</v>
          </cell>
          <cell r="T163" t="str">
            <v>ANF-498</v>
          </cell>
          <cell r="U163" t="str">
            <v>1017315</v>
          </cell>
          <cell r="V163" t="str">
            <v>PR030693</v>
          </cell>
          <cell r="W163" t="str">
            <v>05-feb-2026</v>
          </cell>
          <cell r="Y163">
            <v>3577650</v>
          </cell>
          <cell r="Z163">
            <v>46263</v>
          </cell>
          <cell r="AA163">
            <v>53665</v>
          </cell>
        </row>
        <row r="164">
          <cell r="B164" t="str">
            <v>KHI/HO/D/MO/PC COMP/C/105499/78/01/2025</v>
          </cell>
          <cell r="D164" t="str">
            <v>REN</v>
          </cell>
          <cell r="E164" t="str">
            <v>21/01/25</v>
          </cell>
          <cell r="F164" t="str">
            <v>31/01/2025</v>
          </cell>
          <cell r="G164" t="str">
            <v>30/01/2026</v>
          </cell>
          <cell r="H164" t="str">
            <v>08004499</v>
          </cell>
          <cell r="I164" t="str">
            <v>AL BARAKA BANK (PAKISTAN) LIMITED</v>
          </cell>
          <cell r="J164" t="str">
            <v>BANK</v>
          </cell>
          <cell r="K164" t="str">
            <v>Mr. 
Al Baraka Bank Pakistan Limited 
Mr. 
Al Baraka Bank Pakistan Limited 
User: Shabana   Nargis</v>
          </cell>
          <cell r="L164" t="str">
            <v>D</v>
          </cell>
          <cell r="M164" t="str">
            <v>09000221</v>
          </cell>
          <cell r="N164">
            <v>100</v>
          </cell>
          <cell r="P164" t="str">
            <v>H No 25 -C Shadman Colony Lahore</v>
          </cell>
          <cell r="Q164" t="str">
            <v>11000003</v>
          </cell>
          <cell r="R164" t="str">
            <v>CHANGAN OSHAN X7 COMFORT</v>
          </cell>
          <cell r="S164" t="str">
            <v>2023</v>
          </cell>
          <cell r="T164" t="str">
            <v>ANQ-892</v>
          </cell>
          <cell r="U164" t="str">
            <v>269985</v>
          </cell>
          <cell r="V164" t="str">
            <v>1000695</v>
          </cell>
          <cell r="W164" t="str">
            <v>05-feb-2026</v>
          </cell>
          <cell r="Y164">
            <v>5855650</v>
          </cell>
          <cell r="Z164">
            <v>75720</v>
          </cell>
          <cell r="AA164">
            <v>87835</v>
          </cell>
        </row>
        <row r="165">
          <cell r="B165" t="str">
            <v>KHI/HO/D/MO/PC COMP/C/105499/79/01/2025</v>
          </cell>
          <cell r="D165" t="str">
            <v>REN</v>
          </cell>
          <cell r="E165" t="str">
            <v>21/01/25</v>
          </cell>
          <cell r="F165" t="str">
            <v>05/01/2025</v>
          </cell>
          <cell r="G165" t="str">
            <v>04/01/2026</v>
          </cell>
          <cell r="H165" t="str">
            <v>08004499</v>
          </cell>
          <cell r="I165" t="str">
            <v>AL BARAKA BANK (PAKISTAN) LIMITED</v>
          </cell>
          <cell r="J165" t="str">
            <v>BANK</v>
          </cell>
          <cell r="K165" t="str">
            <v>Mr. 
Al Baraka Bank Pakistan Limited 
Mr. 
Al Baraka Bank Pakistan Limited 
User: Abdul  Basit</v>
          </cell>
          <cell r="L165" t="str">
            <v>D</v>
          </cell>
          <cell r="M165" t="str">
            <v>09000221</v>
          </cell>
          <cell r="N165">
            <v>100</v>
          </cell>
          <cell r="P165" t="str">
            <v>192-B Johar Town Lahore</v>
          </cell>
          <cell r="Q165" t="str">
            <v>11000003</v>
          </cell>
          <cell r="R165" t="str">
            <v>SUZUKI CULTUS</v>
          </cell>
          <cell r="S165" t="str">
            <v>2018</v>
          </cell>
          <cell r="T165" t="str">
            <v>BLT-041</v>
          </cell>
          <cell r="U165" t="str">
            <v>K116858</v>
          </cell>
          <cell r="V165" t="str">
            <v>10016952</v>
          </cell>
          <cell r="W165" t="str">
            <v>05-jan-2028</v>
          </cell>
          <cell r="Y165">
            <v>1785000</v>
          </cell>
          <cell r="Z165">
            <v>30776</v>
          </cell>
          <cell r="AA165">
            <v>35700</v>
          </cell>
        </row>
        <row r="166">
          <cell r="B166" t="str">
            <v>KHI/HO/D/MO/PC COMP/C/105499/80/01/2025</v>
          </cell>
          <cell r="D166" t="str">
            <v>REN</v>
          </cell>
          <cell r="E166" t="str">
            <v>21/01/25</v>
          </cell>
          <cell r="F166" t="str">
            <v>31/01/2025</v>
          </cell>
          <cell r="G166" t="str">
            <v>30/01/2026</v>
          </cell>
          <cell r="H166" t="str">
            <v>08004499</v>
          </cell>
          <cell r="I166" t="str">
            <v>AL BARAKA BANK (PAKISTAN) LIMITED</v>
          </cell>
          <cell r="J166" t="str">
            <v>BANK</v>
          </cell>
          <cell r="K166" t="str">
            <v>Mr. 
Al Baraka Bank Pakistan Limited 
Mr. 
Al Baraka Bank Pakistan Limited 
User: Waseem  Riaz</v>
          </cell>
          <cell r="L166" t="str">
            <v>D</v>
          </cell>
          <cell r="M166" t="str">
            <v>09000221</v>
          </cell>
          <cell r="N166">
            <v>100</v>
          </cell>
          <cell r="P166" t="str">
            <v>H # 1967-4 X Aqsa Street Hazoori Bagh Road Multan</v>
          </cell>
          <cell r="Q166" t="str">
            <v>11000003</v>
          </cell>
          <cell r="R166" t="str">
            <v>TOYOTA Yaris ATIV 1.3 (CV</v>
          </cell>
          <cell r="S166" t="str">
            <v>2022</v>
          </cell>
          <cell r="T166" t="str">
            <v>AXE-776</v>
          </cell>
          <cell r="U166" t="str">
            <v>2A46485</v>
          </cell>
          <cell r="V166" t="str">
            <v>9517290</v>
          </cell>
          <cell r="W166" t="str">
            <v>05-feb-2026</v>
          </cell>
          <cell r="Y166">
            <v>3655000</v>
          </cell>
          <cell r="Z166">
            <v>47263</v>
          </cell>
          <cell r="AA166">
            <v>54825</v>
          </cell>
        </row>
        <row r="167">
          <cell r="B167" t="str">
            <v>KHI/HO/D/MO/PC COMP/C/105499/81/01/2025</v>
          </cell>
          <cell r="D167" t="str">
            <v>REN</v>
          </cell>
          <cell r="E167" t="str">
            <v>21/01/25</v>
          </cell>
          <cell r="F167" t="str">
            <v>31/01/2025</v>
          </cell>
          <cell r="G167" t="str">
            <v>30/01/2026</v>
          </cell>
          <cell r="H167" t="str">
            <v>08004499</v>
          </cell>
          <cell r="I167" t="str">
            <v>AL BARAKA BANK (PAKISTAN) LIMITED</v>
          </cell>
          <cell r="J167" t="str">
            <v>BANK</v>
          </cell>
          <cell r="K167" t="str">
            <v>Mr. 
Al Baraka Bank Pakistan Limited 
Mr. 
Al Baraka Bank Pakistan Limited 
User: Akmal   Latif</v>
          </cell>
          <cell r="L167" t="str">
            <v>D</v>
          </cell>
          <cell r="M167" t="str">
            <v>09000221</v>
          </cell>
          <cell r="N167">
            <v>100</v>
          </cell>
          <cell r="P167" t="str">
            <v>186-B Ghalib City Faisalabad</v>
          </cell>
          <cell r="Q167" t="str">
            <v>11000003</v>
          </cell>
          <cell r="R167" t="str">
            <v>SUZUKI ALTO</v>
          </cell>
          <cell r="S167" t="str">
            <v>2019</v>
          </cell>
          <cell r="T167" t="str">
            <v>APD-518</v>
          </cell>
          <cell r="U167" t="str">
            <v>6R109169</v>
          </cell>
          <cell r="V167" t="str">
            <v>NF1AET306H1009083</v>
          </cell>
          <cell r="W167" t="str">
            <v>05-feb-2028</v>
          </cell>
          <cell r="Y167">
            <v>1806250</v>
          </cell>
          <cell r="Z167">
            <v>31143</v>
          </cell>
          <cell r="AA167">
            <v>36125</v>
          </cell>
        </row>
        <row r="168">
          <cell r="B168" t="str">
            <v>KHI/HO/D/MO/PC COMP/C/105499/82/01/2025</v>
          </cell>
          <cell r="D168" t="str">
            <v>REN</v>
          </cell>
          <cell r="E168" t="str">
            <v>21/01/25</v>
          </cell>
          <cell r="F168" t="str">
            <v>31/01/2025</v>
          </cell>
          <cell r="G168" t="str">
            <v>30/01/2026</v>
          </cell>
          <cell r="H168" t="str">
            <v>08004499</v>
          </cell>
          <cell r="I168" t="str">
            <v>AL BARAKA BANK (PAKISTAN) LIMITED</v>
          </cell>
          <cell r="J168" t="str">
            <v>BANK</v>
          </cell>
          <cell r="K168" t="str">
            <v>Mr. 
Al Baraka Bank Pakistan Limited 
Mr. 
Al Baraka Bank Pakistan Limited 
User: Waseem  Akram</v>
          </cell>
          <cell r="L168" t="str">
            <v>D</v>
          </cell>
          <cell r="M168" t="str">
            <v>09000221</v>
          </cell>
          <cell r="N168">
            <v>100</v>
          </cell>
          <cell r="P168" t="str">
            <v>H No P-1062,Oppsite Grand Avenue Marriage Hall Street Asghar Mall Rawalpindi</v>
          </cell>
          <cell r="Q168" t="str">
            <v>11000003</v>
          </cell>
          <cell r="R168" t="str">
            <v>HONDA CITY ASPIRE</v>
          </cell>
          <cell r="S168" t="str">
            <v>2018</v>
          </cell>
          <cell r="T168" t="str">
            <v>AGV-031</v>
          </cell>
          <cell r="U168" t="str">
            <v>79789025</v>
          </cell>
          <cell r="V168" t="str">
            <v>220010</v>
          </cell>
          <cell r="W168" t="str">
            <v>05-feb-2026</v>
          </cell>
          <cell r="Y168">
            <v>2550000</v>
          </cell>
          <cell r="Z168">
            <v>43965</v>
          </cell>
          <cell r="AA168">
            <v>51000</v>
          </cell>
        </row>
        <row r="169">
          <cell r="B169" t="str">
            <v>KHI/HO/D/MO/PC COMP/C/105499/83/01/2025</v>
          </cell>
          <cell r="D169" t="str">
            <v>REN</v>
          </cell>
          <cell r="E169" t="str">
            <v>21/01/25</v>
          </cell>
          <cell r="F169" t="str">
            <v>31/01/2025</v>
          </cell>
          <cell r="G169" t="str">
            <v>30/01/2026</v>
          </cell>
          <cell r="H169" t="str">
            <v>08004499</v>
          </cell>
          <cell r="I169" t="str">
            <v>AL BARAKA BANK (PAKISTAN) LIMITED</v>
          </cell>
          <cell r="J169" t="str">
            <v>BANK</v>
          </cell>
          <cell r="K169" t="str">
            <v>Mr. 
Al Baraka Bank Pakistan Limited 
Mr. 
Al Baraka Bank Pakistan Limited 
User: Muhammad Usman Qadeer</v>
          </cell>
          <cell r="L169" t="str">
            <v>D</v>
          </cell>
          <cell r="M169" t="str">
            <v>09000221</v>
          </cell>
          <cell r="N169">
            <v>100</v>
          </cell>
          <cell r="P169" t="str">
            <v>H # 409 Street 33 Street 4-A Ghouri Town Islamabad</v>
          </cell>
          <cell r="Q169" t="str">
            <v>11000003</v>
          </cell>
          <cell r="R169" t="str">
            <v>SUZUKI ALTO VXR E-2</v>
          </cell>
          <cell r="S169" t="str">
            <v>2022</v>
          </cell>
          <cell r="T169" t="str">
            <v>BBK-569</v>
          </cell>
          <cell r="U169" t="str">
            <v>254293</v>
          </cell>
          <cell r="V169" t="str">
            <v>1154291</v>
          </cell>
          <cell r="W169" t="str">
            <v>05-feb-2028</v>
          </cell>
          <cell r="Y169">
            <v>1423750</v>
          </cell>
          <cell r="Z169">
            <v>24548</v>
          </cell>
          <cell r="AA169">
            <v>28475</v>
          </cell>
        </row>
        <row r="170">
          <cell r="B170" t="str">
            <v>KHI/HO/D/MO/PC COMP/C/105499/84/01/2025</v>
          </cell>
          <cell r="D170" t="str">
            <v>REN</v>
          </cell>
          <cell r="E170" t="str">
            <v>21/01/25</v>
          </cell>
          <cell r="F170" t="str">
            <v>31/01/2025</v>
          </cell>
          <cell r="G170" t="str">
            <v>30/01/2026</v>
          </cell>
          <cell r="H170" t="str">
            <v>08004499</v>
          </cell>
          <cell r="I170" t="str">
            <v>AL BARAKA BANK (PAKISTAN) LIMITED</v>
          </cell>
          <cell r="J170" t="str">
            <v>BANK</v>
          </cell>
          <cell r="K170" t="str">
            <v>Mr. 
Al Baraka Bank Pakistan Limited 
Mr. 
Al Baraka Bank Pakistan Limited 
User: Hassaan   Ubaid</v>
          </cell>
          <cell r="L170" t="str">
            <v>D</v>
          </cell>
          <cell r="M170" t="str">
            <v>09000221</v>
          </cell>
          <cell r="N170">
            <v>100</v>
          </cell>
          <cell r="P170" t="str">
            <v>H No 802 Street No 18 Safari Villas Bahria Town Lahore</v>
          </cell>
          <cell r="Q170" t="str">
            <v>11000003</v>
          </cell>
          <cell r="R170" t="str">
            <v>SUZUKI CULTUS</v>
          </cell>
          <cell r="S170" t="str">
            <v>2018</v>
          </cell>
          <cell r="T170" t="str">
            <v>LE-18A-3847</v>
          </cell>
          <cell r="U170" t="str">
            <v>K124048</v>
          </cell>
          <cell r="V170" t="str">
            <v>H10024102</v>
          </cell>
          <cell r="W170" t="str">
            <v>05-feb-2028</v>
          </cell>
          <cell r="Y170">
            <v>1700000</v>
          </cell>
          <cell r="Z170">
            <v>29310</v>
          </cell>
          <cell r="AA170">
            <v>34000</v>
          </cell>
        </row>
        <row r="171">
          <cell r="B171" t="str">
            <v>KHI/HO/D/MO/PC COMP/C/105499/85/01/2025</v>
          </cell>
          <cell r="D171" t="str">
            <v>REN</v>
          </cell>
          <cell r="E171" t="str">
            <v>21/01/25</v>
          </cell>
          <cell r="F171" t="str">
            <v>31/01/2025</v>
          </cell>
          <cell r="G171" t="str">
            <v>30/01/2026</v>
          </cell>
          <cell r="H171" t="str">
            <v>08004499</v>
          </cell>
          <cell r="I171" t="str">
            <v>AL BARAKA BANK (PAKISTAN) LIMITED</v>
          </cell>
          <cell r="J171" t="str">
            <v>BANK</v>
          </cell>
          <cell r="K171" t="str">
            <v>Mr. 
Al Baraka Bank Pakistan Limited 
Mr. 
Al Baraka Bank Pakistan Limited 
User: Subhan   .</v>
          </cell>
          <cell r="L171" t="str">
            <v>D</v>
          </cell>
          <cell r="M171" t="str">
            <v>09000221</v>
          </cell>
          <cell r="N171">
            <v>100</v>
          </cell>
          <cell r="P171" t="str">
            <v>H # B-326 Block 13 Fb Area Karachi</v>
          </cell>
          <cell r="Q171" t="str">
            <v>11000003</v>
          </cell>
          <cell r="R171" t="str">
            <v>TOYOTA AVANZA M/T</v>
          </cell>
          <cell r="S171" t="str">
            <v>2015</v>
          </cell>
          <cell r="T171" t="str">
            <v>BG-1921</v>
          </cell>
          <cell r="U171" t="str">
            <v>DED9660</v>
          </cell>
          <cell r="V171" t="str">
            <v>BK000313</v>
          </cell>
          <cell r="W171" t="str">
            <v>05-feb-2027</v>
          </cell>
          <cell r="Y171">
            <v>2720000</v>
          </cell>
          <cell r="Z171">
            <v>46897</v>
          </cell>
          <cell r="AA171">
            <v>54400</v>
          </cell>
        </row>
        <row r="172">
          <cell r="B172" t="str">
            <v>KHI/HO/D/MO/PC COMP/C/105499/86/01/2025</v>
          </cell>
          <cell r="D172" t="str">
            <v>REN</v>
          </cell>
          <cell r="E172" t="str">
            <v>21/01/25</v>
          </cell>
          <cell r="F172" t="str">
            <v>06/01/2025</v>
          </cell>
          <cell r="G172" t="str">
            <v>05/01/2026</v>
          </cell>
          <cell r="H172" t="str">
            <v>08004499</v>
          </cell>
          <cell r="I172" t="str">
            <v>AL BARAKA BANK (PAKISTAN) LIMITED</v>
          </cell>
          <cell r="J172" t="str">
            <v>BANK</v>
          </cell>
          <cell r="K172" t="str">
            <v>Mr. 
Al Baraka Bank Pakistan Limited 
Mr. 
Al Baraka Bank Pakistan Limited 
User: Uzma  Shaheen</v>
          </cell>
          <cell r="L172" t="str">
            <v>D</v>
          </cell>
          <cell r="M172" t="str">
            <v>09000221</v>
          </cell>
          <cell r="N172">
            <v>100</v>
          </cell>
          <cell r="P172" t="str">
            <v>H No 64 B Anwar Block New Green City Ahlo Road Kahna Lahore</v>
          </cell>
          <cell r="Q172" t="str">
            <v>11000003</v>
          </cell>
          <cell r="R172" t="str">
            <v>SUZUKI ALTO</v>
          </cell>
          <cell r="S172" t="str">
            <v>2023</v>
          </cell>
          <cell r="T172" t="str">
            <v>AMV-728</v>
          </cell>
          <cell r="U172" t="str">
            <v>268569</v>
          </cell>
          <cell r="V172" t="str">
            <v>1168562</v>
          </cell>
          <cell r="W172" t="str">
            <v>05-jan-2027</v>
          </cell>
          <cell r="Y172">
            <v>1253750</v>
          </cell>
          <cell r="Z172">
            <v>21617</v>
          </cell>
          <cell r="AA172">
            <v>25075</v>
          </cell>
        </row>
        <row r="173">
          <cell r="B173" t="str">
            <v>KHI/HO/D/MO/PC COMP/C/105499/87/01/2025</v>
          </cell>
          <cell r="D173" t="str">
            <v>REN</v>
          </cell>
          <cell r="E173" t="str">
            <v>21/01/25</v>
          </cell>
          <cell r="F173" t="str">
            <v>09/01/2025</v>
          </cell>
          <cell r="G173" t="str">
            <v>08/01/2026</v>
          </cell>
          <cell r="H173" t="str">
            <v>08004499</v>
          </cell>
          <cell r="I173" t="str">
            <v>AL BARAKA BANK (PAKISTAN) LIMITED</v>
          </cell>
          <cell r="J173" t="str">
            <v>BANK</v>
          </cell>
          <cell r="K173" t="str">
            <v>Mr. 
Al Baraka Bank Pakistan Limited 
Mr. 
Al Baraka Bank Pakistan Limited 
User: Muhammad Hussain Abdullah</v>
          </cell>
          <cell r="L173" t="str">
            <v>D</v>
          </cell>
          <cell r="M173" t="str">
            <v>09000221</v>
          </cell>
          <cell r="N173">
            <v>100</v>
          </cell>
          <cell r="P173" t="str">
            <v>H No 350 J2 Block Wapda Town Lahore</v>
          </cell>
          <cell r="Q173" t="str">
            <v>11000003</v>
          </cell>
          <cell r="R173" t="str">
            <v>SUZUKI ALTO</v>
          </cell>
          <cell r="S173" t="str">
            <v>2022</v>
          </cell>
          <cell r="T173" t="str">
            <v>AMW-901</v>
          </cell>
          <cell r="U173" t="str">
            <v>6R268806</v>
          </cell>
          <cell r="V173" t="str">
            <v>6H1168795</v>
          </cell>
          <cell r="W173" t="str">
            <v>05-jan-2027</v>
          </cell>
          <cell r="Y173">
            <v>1658350</v>
          </cell>
          <cell r="Z173">
            <v>28592</v>
          </cell>
          <cell r="AA173">
            <v>33167</v>
          </cell>
        </row>
        <row r="174">
          <cell r="B174" t="str">
            <v>KHI/HO/D/MO/PC COMP/C/105499/88/01/2025</v>
          </cell>
          <cell r="D174" t="str">
            <v>REN</v>
          </cell>
          <cell r="E174" t="str">
            <v>21/01/25</v>
          </cell>
          <cell r="F174" t="str">
            <v>09/01/2025</v>
          </cell>
          <cell r="G174" t="str">
            <v>08/01/2026</v>
          </cell>
          <cell r="H174" t="str">
            <v>08004499</v>
          </cell>
          <cell r="I174" t="str">
            <v>AL BARAKA BANK (PAKISTAN) LIMITED</v>
          </cell>
          <cell r="J174" t="str">
            <v>BANK</v>
          </cell>
          <cell r="K174" t="str">
            <v>Mr. 
Al Baraka Bank Pakistan Limited 
Mr. 
Al Baraka Bank Pakistan Limited 
User: Ali  Rasheed</v>
          </cell>
          <cell r="L174" t="str">
            <v>D</v>
          </cell>
          <cell r="M174" t="str">
            <v>09000221</v>
          </cell>
          <cell r="N174">
            <v>100</v>
          </cell>
          <cell r="P174" t="str">
            <v>H # 207 Gulberg Town Near Maqbool Colony Bhawalpur</v>
          </cell>
          <cell r="Q174" t="str">
            <v>11000003</v>
          </cell>
          <cell r="R174" t="str">
            <v>SUZUKI ALTO VXR E-2</v>
          </cell>
          <cell r="S174" t="str">
            <v>2022</v>
          </cell>
          <cell r="T174" t="str">
            <v>ANH-619</v>
          </cell>
          <cell r="U174" t="str">
            <v>263396</v>
          </cell>
          <cell r="V174" t="str">
            <v>1163372</v>
          </cell>
          <cell r="W174" t="str">
            <v>05-feb-2028</v>
          </cell>
          <cell r="Y174">
            <v>1473050</v>
          </cell>
          <cell r="Z174">
            <v>25397</v>
          </cell>
          <cell r="AA174">
            <v>29461</v>
          </cell>
        </row>
        <row r="175">
          <cell r="B175" t="str">
            <v>KHI/HO/D/MO/PC COMP/C/105499/89/01/2025</v>
          </cell>
          <cell r="D175" t="str">
            <v>REN</v>
          </cell>
          <cell r="E175" t="str">
            <v>21/01/25</v>
          </cell>
          <cell r="F175" t="str">
            <v>10/01/2025</v>
          </cell>
          <cell r="G175" t="str">
            <v>09/01/2026</v>
          </cell>
          <cell r="H175" t="str">
            <v>08004499</v>
          </cell>
          <cell r="I175" t="str">
            <v>AL BARAKA BANK (PAKISTAN) LIMITED</v>
          </cell>
          <cell r="J175" t="str">
            <v>BANK</v>
          </cell>
          <cell r="K175" t="str">
            <v>Mr. 
Al Baraka Bank Pakistan Limited 
Mr. 
Al Baraka Bank Pakistan Limited 
User: Syed  Muhammad  Anwar</v>
          </cell>
          <cell r="L175" t="str">
            <v>D</v>
          </cell>
          <cell r="M175" t="str">
            <v>09000221</v>
          </cell>
          <cell r="N175">
            <v>100</v>
          </cell>
          <cell r="P175" t="str">
            <v>H No 21 St No 53 Mohallah Dargah Street Mian Meer Lahore</v>
          </cell>
          <cell r="Q175" t="str">
            <v>11000003</v>
          </cell>
          <cell r="R175" t="str">
            <v>TOYOTA COROLLA ALTIS 1.6</v>
          </cell>
          <cell r="S175" t="str">
            <v>2023</v>
          </cell>
          <cell r="T175" t="str">
            <v>AMX-681</v>
          </cell>
          <cell r="U175" t="str">
            <v>Q102871</v>
          </cell>
          <cell r="V175" t="str">
            <v>6080404</v>
          </cell>
          <cell r="W175" t="str">
            <v>05-jan-2028</v>
          </cell>
          <cell r="Y175">
            <v>3654150</v>
          </cell>
          <cell r="Z175">
            <v>47251</v>
          </cell>
          <cell r="AA175">
            <v>54812</v>
          </cell>
        </row>
        <row r="176">
          <cell r="B176" t="str">
            <v>KHI/HO/D/MO/PC COMP/C/105499/90/01/2025</v>
          </cell>
          <cell r="D176" t="str">
            <v>REN</v>
          </cell>
          <cell r="E176" t="str">
            <v>21/01/25</v>
          </cell>
          <cell r="F176" t="str">
            <v>11/01/2025</v>
          </cell>
          <cell r="G176" t="str">
            <v>10/01/2026</v>
          </cell>
          <cell r="H176" t="str">
            <v>08004499</v>
          </cell>
          <cell r="I176" t="str">
            <v>AL BARAKA BANK (PAKISTAN) LIMITED</v>
          </cell>
          <cell r="J176" t="str">
            <v>BANK</v>
          </cell>
          <cell r="K176" t="str">
            <v>Mr. 
Al Baraka Bank Pakistan Limited 
Mr. 
Al Baraka Bank Pakistan Limited 
User: Muhammad  Ameen</v>
          </cell>
          <cell r="L176" t="str">
            <v>D</v>
          </cell>
          <cell r="M176" t="str">
            <v>09000221</v>
          </cell>
          <cell r="N176">
            <v>100</v>
          </cell>
          <cell r="P176" t="str">
            <v>H No 03 St No 13 Taxali Gate Lahore</v>
          </cell>
          <cell r="Q176" t="str">
            <v>11000003</v>
          </cell>
          <cell r="R176" t="str">
            <v>SUZUKI ALTO VXR</v>
          </cell>
          <cell r="S176" t="str">
            <v>2022</v>
          </cell>
          <cell r="T176" t="str">
            <v>ANC-567</v>
          </cell>
          <cell r="U176" t="str">
            <v>6R268146</v>
          </cell>
          <cell r="V176" t="str">
            <v>1168140</v>
          </cell>
          <cell r="W176" t="str">
            <v>05-jan-2028</v>
          </cell>
          <cell r="Y176">
            <v>1473050</v>
          </cell>
          <cell r="Z176">
            <v>25397</v>
          </cell>
          <cell r="AA176">
            <v>29461</v>
          </cell>
        </row>
        <row r="177">
          <cell r="B177" t="str">
            <v>KHI/HO/D/MO/PC COMP/C/105499/91/01/2025</v>
          </cell>
          <cell r="D177" t="str">
            <v>REN</v>
          </cell>
          <cell r="E177" t="str">
            <v>21/01/25</v>
          </cell>
          <cell r="F177" t="str">
            <v>27/01/2025</v>
          </cell>
          <cell r="G177" t="str">
            <v>26/01/2026</v>
          </cell>
          <cell r="H177" t="str">
            <v>08004499</v>
          </cell>
          <cell r="I177" t="str">
            <v>AL BARAKA BANK (PAKISTAN) LIMITED</v>
          </cell>
          <cell r="J177" t="str">
            <v>BANK</v>
          </cell>
          <cell r="K177" t="str">
            <v>Mr. 
Al Baraka Bank Pakistan Limited 
Mr. 
Al Baraka Bank Pakistan Limited 
User: Muhammad Junaid Ismail</v>
          </cell>
          <cell r="L177" t="str">
            <v>D</v>
          </cell>
          <cell r="M177" t="str">
            <v>09000221</v>
          </cell>
          <cell r="N177">
            <v>100</v>
          </cell>
          <cell r="P177" t="str">
            <v>H # 81 Street 16 Johra Pir Colony Baghbanpura Lahore</v>
          </cell>
          <cell r="Q177" t="str">
            <v>11000003</v>
          </cell>
          <cell r="R177" t="str">
            <v>SUZUKI WAGON-R VXL E2</v>
          </cell>
          <cell r="S177" t="str">
            <v>2021</v>
          </cell>
          <cell r="T177" t="str">
            <v>ADB-21-146</v>
          </cell>
          <cell r="U177" t="str">
            <v>160244</v>
          </cell>
          <cell r="V177" t="str">
            <v>PK1060202</v>
          </cell>
          <cell r="W177" t="str">
            <v>05-feb-2027</v>
          </cell>
          <cell r="Y177">
            <v>1208000</v>
          </cell>
          <cell r="Z177">
            <v>26035</v>
          </cell>
          <cell r="AA177">
            <v>30200</v>
          </cell>
        </row>
        <row r="178">
          <cell r="B178" t="str">
            <v>KHI/HO/D/MO/PC COMP/C/105499/92/01/2025</v>
          </cell>
          <cell r="D178" t="str">
            <v>REN</v>
          </cell>
          <cell r="E178" t="str">
            <v>21/01/25</v>
          </cell>
          <cell r="F178" t="str">
            <v>25/01/2025</v>
          </cell>
          <cell r="G178" t="str">
            <v>24/01/2026</v>
          </cell>
          <cell r="H178" t="str">
            <v>08004499</v>
          </cell>
          <cell r="I178" t="str">
            <v>AL BARAKA BANK (PAKISTAN) LIMITED</v>
          </cell>
          <cell r="J178" t="str">
            <v>BANK</v>
          </cell>
          <cell r="K178" t="str">
            <v>Mr. 
Al Baraka Bank Pakistan Limited 
Mr. 
Al Baraka Bank Pakistan Limited 
User: Amir  Zeb</v>
          </cell>
          <cell r="L178" t="str">
            <v>D</v>
          </cell>
          <cell r="M178" t="str">
            <v>09000221</v>
          </cell>
          <cell r="N178">
            <v>100</v>
          </cell>
          <cell r="P178" t="str">
            <v>Mohallah Mahodand Po Dewlai Samal Bala The Kabal Swat</v>
          </cell>
          <cell r="Q178" t="str">
            <v>11000003</v>
          </cell>
          <cell r="R178" t="str">
            <v>TOYOTA COROLLA ALTIS CVTI</v>
          </cell>
          <cell r="S178" t="str">
            <v>2019</v>
          </cell>
          <cell r="T178" t="str">
            <v>ALG-026</v>
          </cell>
          <cell r="U178" t="str">
            <v>Q342909</v>
          </cell>
          <cell r="V178" t="str">
            <v>7042083</v>
          </cell>
          <cell r="W178" t="str">
            <v>05-feb-2026</v>
          </cell>
          <cell r="Y178">
            <v>2615550</v>
          </cell>
          <cell r="Z178">
            <v>33822</v>
          </cell>
          <cell r="AA178">
            <v>39233</v>
          </cell>
        </row>
        <row r="179">
          <cell r="B179" t="str">
            <v>KHI/HO/D/MO/PC COMP/C/105499/93/01/2025</v>
          </cell>
          <cell r="D179" t="str">
            <v>REN</v>
          </cell>
          <cell r="E179" t="str">
            <v>21/01/25</v>
          </cell>
          <cell r="F179" t="str">
            <v>01/02/2025</v>
          </cell>
          <cell r="G179" t="str">
            <v>31/01/2026</v>
          </cell>
          <cell r="H179" t="str">
            <v>08004499</v>
          </cell>
          <cell r="I179" t="str">
            <v>AL BARAKA BANK (PAKISTAN) LIMITED</v>
          </cell>
          <cell r="J179" t="str">
            <v>BANK</v>
          </cell>
          <cell r="K179" t="str">
            <v>Mr. 
Al Baraka Bank Pakistan Limited 
Mr. 
Al Baraka Bank Pakistan Limited 
User: Maqbool  Ahmed</v>
          </cell>
          <cell r="L179" t="str">
            <v>D</v>
          </cell>
          <cell r="M179" t="str">
            <v>09000221</v>
          </cell>
          <cell r="N179">
            <v>100</v>
          </cell>
          <cell r="P179" t="str">
            <v>House No. N-645 Sector 11-J North Karachi Karachi</v>
          </cell>
          <cell r="Q179" t="str">
            <v>11000003</v>
          </cell>
          <cell r="R179" t="str">
            <v>TOYOTA COROLLA ALTIS GRAN</v>
          </cell>
          <cell r="S179" t="str">
            <v>2018</v>
          </cell>
          <cell r="T179" t="str">
            <v>BPG-599</v>
          </cell>
          <cell r="U179" t="str">
            <v>Q337547</v>
          </cell>
          <cell r="V179" t="str">
            <v>7036359</v>
          </cell>
          <cell r="W179" t="str">
            <v>05-jan-2026</v>
          </cell>
          <cell r="Y179">
            <v>1887600</v>
          </cell>
          <cell r="Z179">
            <v>61022</v>
          </cell>
          <cell r="AA179">
            <v>70785</v>
          </cell>
        </row>
        <row r="180">
          <cell r="B180" t="str">
            <v>KHI/HO/D/MO/PC COMP/C/105499/94/01/2025</v>
          </cell>
          <cell r="D180" t="str">
            <v>REN</v>
          </cell>
          <cell r="E180" t="str">
            <v>21/01/25</v>
          </cell>
          <cell r="F180" t="str">
            <v>01/02/2025</v>
          </cell>
          <cell r="G180" t="str">
            <v>31/01/2026</v>
          </cell>
          <cell r="H180" t="str">
            <v>08004499</v>
          </cell>
          <cell r="I180" t="str">
            <v>AL BARAKA BANK (PAKISTAN) LIMITED</v>
          </cell>
          <cell r="J180" t="str">
            <v>BANK</v>
          </cell>
          <cell r="K180" t="str">
            <v>Mr. 
Al Baraka Bank Pakistan Limited 
Mr. 
Al Baraka Bank Pakistan Limited 
User: Irtaza  Jaffry</v>
          </cell>
          <cell r="L180" t="str">
            <v>D</v>
          </cell>
          <cell r="M180" t="str">
            <v>09000221</v>
          </cell>
          <cell r="N180">
            <v>100</v>
          </cell>
          <cell r="P180" t="str">
            <v>H#. 88 Block C Usman Ghani Lane Military Accounts, Lahore</v>
          </cell>
          <cell r="Q180" t="str">
            <v>11000003</v>
          </cell>
          <cell r="R180" t="str">
            <v>SUZUKI CULTUS VXR</v>
          </cell>
          <cell r="S180" t="str">
            <v>2019</v>
          </cell>
          <cell r="T180" t="str">
            <v>LEB-19-1932</v>
          </cell>
          <cell r="U180" t="str">
            <v>137020</v>
          </cell>
          <cell r="V180" t="str">
            <v>10037020</v>
          </cell>
          <cell r="W180" t="str">
            <v>05-feb-2026</v>
          </cell>
          <cell r="Y180">
            <v>916500</v>
          </cell>
          <cell r="Z180">
            <v>29629</v>
          </cell>
          <cell r="AA180">
            <v>34369</v>
          </cell>
        </row>
        <row r="181">
          <cell r="B181" t="str">
            <v>KHI/HO/D/MO/PC COMP/C/105499/95/01/2025</v>
          </cell>
          <cell r="D181" t="str">
            <v>REN</v>
          </cell>
          <cell r="E181" t="str">
            <v>21/01/25</v>
          </cell>
          <cell r="F181" t="str">
            <v>04/01/2025</v>
          </cell>
          <cell r="G181" t="str">
            <v>03/01/2026</v>
          </cell>
          <cell r="H181" t="str">
            <v>08004499</v>
          </cell>
          <cell r="I181" t="str">
            <v>AL BARAKA BANK (PAKISTAN) LIMITED</v>
          </cell>
          <cell r="J181" t="str">
            <v>BANK</v>
          </cell>
          <cell r="K181" t="str">
            <v>Mr. 
Al Baraka Bank Pakistan Limited 
Mr. 
Al Baraka Bank Pakistan Limited 
User: Rafaqat  Ali</v>
          </cell>
          <cell r="L181" t="str">
            <v>D</v>
          </cell>
          <cell r="M181" t="str">
            <v>09000221</v>
          </cell>
          <cell r="N181">
            <v>100</v>
          </cell>
          <cell r="P181" t="str">
            <v>House No.48 Block D Rehman Garden Jallo Park Lahore</v>
          </cell>
          <cell r="Q181" t="str">
            <v>11000003</v>
          </cell>
          <cell r="R181" t="str">
            <v>SUZUKI WAGON-R VXL E2</v>
          </cell>
          <cell r="S181" t="str">
            <v>2020</v>
          </cell>
          <cell r="T181" t="str">
            <v>ABL-644</v>
          </cell>
          <cell r="U181" t="str">
            <v>208908</v>
          </cell>
          <cell r="V181" t="str">
            <v>10108874</v>
          </cell>
          <cell r="W181" t="str">
            <v>05-jan-2026</v>
          </cell>
          <cell r="Y181">
            <v>1297500</v>
          </cell>
          <cell r="Z181">
            <v>27963</v>
          </cell>
          <cell r="AA181">
            <v>32438</v>
          </cell>
        </row>
        <row r="182">
          <cell r="B182" t="str">
            <v>KHI/HO/D/MO/PC COMP/C/105499/96/01/2025</v>
          </cell>
          <cell r="D182" t="str">
            <v>REN</v>
          </cell>
          <cell r="E182" t="str">
            <v>21/01/25</v>
          </cell>
          <cell r="F182" t="str">
            <v>25/01/2025</v>
          </cell>
          <cell r="G182" t="str">
            <v>24/01/2026</v>
          </cell>
          <cell r="H182" t="str">
            <v>08004499</v>
          </cell>
          <cell r="I182" t="str">
            <v>AL BARAKA BANK (PAKISTAN) LIMITED</v>
          </cell>
          <cell r="J182" t="str">
            <v>BANK</v>
          </cell>
          <cell r="K182" t="str">
            <v>Mr. 
Al Baraka Bank Pakistan Limited 
Mr. 
Al Baraka Bank Pakistan Limited 
User: Nadeem  Abbas</v>
          </cell>
          <cell r="L182" t="str">
            <v>D</v>
          </cell>
          <cell r="M182" t="str">
            <v>09000221</v>
          </cell>
          <cell r="N182">
            <v>100</v>
          </cell>
          <cell r="P182" t="str">
            <v>House No.21 Street 5 Mohallah Usman Nagar Shaziabad Lahore</v>
          </cell>
          <cell r="Q182" t="str">
            <v>11000003</v>
          </cell>
          <cell r="R182" t="str">
            <v>SUZUKI ALTO VXR</v>
          </cell>
          <cell r="S182" t="str">
            <v>2021</v>
          </cell>
          <cell r="T182" t="str">
            <v>ABV-556</v>
          </cell>
          <cell r="U182" t="str">
            <v>150925</v>
          </cell>
          <cell r="V182" t="str">
            <v>1050908</v>
          </cell>
          <cell r="W182" t="str">
            <v>05-feb-2028</v>
          </cell>
          <cell r="Y182">
            <v>1074750</v>
          </cell>
          <cell r="Z182">
            <v>23163</v>
          </cell>
          <cell r="AA182">
            <v>26869</v>
          </cell>
        </row>
        <row r="183">
          <cell r="B183" t="str">
            <v>KHI/HO/D/MO/PC COMP/C/105499/97/01/2025</v>
          </cell>
          <cell r="D183" t="str">
            <v>REN</v>
          </cell>
          <cell r="E183" t="str">
            <v>21/01/25</v>
          </cell>
          <cell r="F183" t="str">
            <v>25/01/2025</v>
          </cell>
          <cell r="G183" t="str">
            <v>24/01/2026</v>
          </cell>
          <cell r="H183" t="str">
            <v>08004499</v>
          </cell>
          <cell r="I183" t="str">
            <v>AL BARAKA BANK (PAKISTAN) LIMITED</v>
          </cell>
          <cell r="J183" t="str">
            <v>BANK</v>
          </cell>
          <cell r="K183" t="str">
            <v>Mr. 
Al Baraka Bank Pakistan Limited 
Mr. 
Al Baraka Bank Pakistan Limited 
User: Qasim  Azam</v>
          </cell>
          <cell r="L183" t="str">
            <v>D</v>
          </cell>
          <cell r="M183" t="str">
            <v>09000221</v>
          </cell>
          <cell r="N183">
            <v>100</v>
          </cell>
          <cell r="P183" t="str">
            <v>House No. 23 Street 22 Azindin Road Sanda Kalan Lahore</v>
          </cell>
          <cell r="Q183" t="str">
            <v>11000003</v>
          </cell>
          <cell r="R183" t="str">
            <v>KIA SPORTAGE AWD-CW</v>
          </cell>
          <cell r="S183" t="str">
            <v>2021</v>
          </cell>
          <cell r="T183" t="str">
            <v>ABR-882</v>
          </cell>
          <cell r="U183" t="str">
            <v>H332381</v>
          </cell>
          <cell r="V183" t="str">
            <v>P506923</v>
          </cell>
          <cell r="W183" t="str">
            <v>05-feb-2026</v>
          </cell>
          <cell r="Y183">
            <v>4072500</v>
          </cell>
          <cell r="Z183">
            <v>52662</v>
          </cell>
          <cell r="AA183">
            <v>61088</v>
          </cell>
        </row>
        <row r="184">
          <cell r="B184" t="str">
            <v>KHI/HO/D/MO/PC COMP/C/105499/98/01/2025</v>
          </cell>
          <cell r="D184" t="str">
            <v>REN</v>
          </cell>
          <cell r="E184" t="str">
            <v>21/01/25</v>
          </cell>
          <cell r="F184" t="str">
            <v>26/01/2025</v>
          </cell>
          <cell r="G184" t="str">
            <v>25/01/2026</v>
          </cell>
          <cell r="H184" t="str">
            <v>08004499</v>
          </cell>
          <cell r="I184" t="str">
            <v>AL BARAKA BANK (PAKISTAN) LIMITED</v>
          </cell>
          <cell r="J184" t="str">
            <v>BANK</v>
          </cell>
          <cell r="K184" t="str">
            <v>Mr. 
Al Baraka Bank Pakistan Limited 
Mr. 
Al Baraka Bank Pakistan Limited 
User: Aftab  Haider</v>
          </cell>
          <cell r="L184" t="str">
            <v>D</v>
          </cell>
          <cell r="M184" t="str">
            <v>09000221</v>
          </cell>
          <cell r="N184">
            <v>100</v>
          </cell>
          <cell r="P184" t="str">
            <v>House No.2 E Block  Valancia Town Lahore</v>
          </cell>
          <cell r="Q184" t="str">
            <v>11000003</v>
          </cell>
          <cell r="R184" t="str">
            <v>SUZUKI WAGON-R VXL E2</v>
          </cell>
          <cell r="S184" t="str">
            <v>2016</v>
          </cell>
          <cell r="T184" t="str">
            <v>LE-16A-1082</v>
          </cell>
          <cell r="U184" t="str">
            <v>118650</v>
          </cell>
          <cell r="V184" t="str">
            <v>10018638</v>
          </cell>
          <cell r="W184" t="str">
            <v>05-feb-2026</v>
          </cell>
          <cell r="Y184">
            <v>975000</v>
          </cell>
          <cell r="Z184">
            <v>21013</v>
          </cell>
          <cell r="AA184">
            <v>24375</v>
          </cell>
        </row>
        <row r="185">
          <cell r="B185" t="str">
            <v>KHI/HO/D/MO/PC COMP/C/105499/99/01/2025</v>
          </cell>
          <cell r="D185" t="str">
            <v>REN</v>
          </cell>
          <cell r="E185" t="str">
            <v>21/01/25</v>
          </cell>
          <cell r="F185" t="str">
            <v>26/01/2025</v>
          </cell>
          <cell r="G185" t="str">
            <v>25/01/2026</v>
          </cell>
          <cell r="H185" t="str">
            <v>08004499</v>
          </cell>
          <cell r="I185" t="str">
            <v>AL BARAKA BANK (PAKISTAN) LIMITED</v>
          </cell>
          <cell r="J185" t="str">
            <v>BANK</v>
          </cell>
          <cell r="K185" t="str">
            <v>Mr. 
Al Baraka Bank Pakistan Limited 
Mr. 
Al Baraka Bank Pakistan Limited 
User: Nadeem  Younas</v>
          </cell>
          <cell r="L185" t="str">
            <v>D</v>
          </cell>
          <cell r="M185" t="str">
            <v>09000221</v>
          </cell>
          <cell r="N185">
            <v>100</v>
          </cell>
          <cell r="P185" t="str">
            <v>House No. 147 Block A Model Town Lahore</v>
          </cell>
          <cell r="Q185" t="str">
            <v>11000003</v>
          </cell>
          <cell r="R185" t="str">
            <v>HONDA CITY I-VTEC A/T PT</v>
          </cell>
          <cell r="S185" t="str">
            <v>2014</v>
          </cell>
          <cell r="T185" t="str">
            <v>LEH-14-1041</v>
          </cell>
          <cell r="U185" t="str">
            <v>7420945</v>
          </cell>
          <cell r="V185" t="str">
            <v>R-157341</v>
          </cell>
          <cell r="W185" t="str">
            <v>05-feb-2026</v>
          </cell>
          <cell r="Y185">
            <v>1387500</v>
          </cell>
          <cell r="Z185">
            <v>29903</v>
          </cell>
          <cell r="AA185">
            <v>34688</v>
          </cell>
        </row>
        <row r="186">
          <cell r="B186" t="str">
            <v>KHI/HO/D/MO/PC COMP/C/105499/100/01/2025</v>
          </cell>
          <cell r="D186" t="str">
            <v>REN</v>
          </cell>
          <cell r="E186" t="str">
            <v>21/01/25</v>
          </cell>
          <cell r="F186" t="str">
            <v>27/01/2025</v>
          </cell>
          <cell r="G186" t="str">
            <v>26/01/2026</v>
          </cell>
          <cell r="H186" t="str">
            <v>08004499</v>
          </cell>
          <cell r="I186" t="str">
            <v>AL BARAKA BANK (PAKISTAN) LIMITED</v>
          </cell>
          <cell r="J186" t="str">
            <v>BANK</v>
          </cell>
          <cell r="K186" t="str">
            <v>Mr. 
Al Baraka Bank Pakistan Limited 
Mr. 
Al Baraka Bank Pakistan Limited 
User: Haseeb Rafiq Qureshi</v>
          </cell>
          <cell r="L186" t="str">
            <v>D</v>
          </cell>
          <cell r="M186" t="str">
            <v>09000221</v>
          </cell>
          <cell r="N186">
            <v>100</v>
          </cell>
          <cell r="P186" t="str">
            <v>House No. 8/38 Street 8 Gole Market Nazimabad Karachi</v>
          </cell>
          <cell r="Q186" t="str">
            <v>11000003</v>
          </cell>
          <cell r="R186" t="str">
            <v>SUZUKI BOLAN STD VX EURO</v>
          </cell>
          <cell r="S186" t="str">
            <v>2021</v>
          </cell>
          <cell r="T186" t="str">
            <v>CZ-1381</v>
          </cell>
          <cell r="U186" t="str">
            <v>1009167</v>
          </cell>
          <cell r="V186" t="str">
            <v>01125673</v>
          </cell>
          <cell r="W186" t="str">
            <v>05-feb-2026</v>
          </cell>
          <cell r="Y186">
            <v>850500</v>
          </cell>
          <cell r="Z186">
            <v>18330</v>
          </cell>
          <cell r="AA186">
            <v>21263</v>
          </cell>
        </row>
        <row r="187">
          <cell r="B187" t="str">
            <v>KHI/HO/D/MO/PC COMP/C/105499/101/01/2025</v>
          </cell>
          <cell r="D187" t="str">
            <v>REN</v>
          </cell>
          <cell r="E187" t="str">
            <v>21/01/25</v>
          </cell>
          <cell r="F187" t="str">
            <v>27/01/2025</v>
          </cell>
          <cell r="G187" t="str">
            <v>26/01/2026</v>
          </cell>
          <cell r="H187" t="str">
            <v>08004499</v>
          </cell>
          <cell r="I187" t="str">
            <v>AL BARAKA BANK (PAKISTAN) LIMITED</v>
          </cell>
          <cell r="J187" t="str">
            <v>BANK</v>
          </cell>
          <cell r="K187" t="str">
            <v>Mr. 
Al Baraka Bank Pakistan Limited 
Mr. 
Al Baraka Bank Pakistan Limited 
User: Muhammad  Tahir</v>
          </cell>
          <cell r="L187" t="str">
            <v>D</v>
          </cell>
          <cell r="M187" t="str">
            <v>09000221</v>
          </cell>
          <cell r="N187">
            <v>100</v>
          </cell>
          <cell r="P187" t="str">
            <v>House No. 23 Mohallah Mahmood Road New Samanabad Lahore</v>
          </cell>
          <cell r="Q187" t="str">
            <v>11000003</v>
          </cell>
          <cell r="R187" t="str">
            <v>TOYOTA YARIS ATIV X CVT</v>
          </cell>
          <cell r="S187" t="str">
            <v>2021</v>
          </cell>
          <cell r="T187" t="str">
            <v>ACR-410</v>
          </cell>
          <cell r="U187" t="str">
            <v>2A17125</v>
          </cell>
          <cell r="V187" t="str">
            <v>9506951</v>
          </cell>
          <cell r="W187" t="str">
            <v>05-feb-2026</v>
          </cell>
          <cell r="Y187">
            <v>2274750</v>
          </cell>
          <cell r="Z187">
            <v>49025</v>
          </cell>
          <cell r="AA187">
            <v>56869</v>
          </cell>
        </row>
        <row r="188">
          <cell r="B188" t="str">
            <v>KHI/HO/D/MO/PC COMP/C/105499/102/01/2025</v>
          </cell>
          <cell r="D188" t="str">
            <v>REN</v>
          </cell>
          <cell r="E188" t="str">
            <v>21/01/25</v>
          </cell>
          <cell r="F188" t="str">
            <v>27/01/2025</v>
          </cell>
          <cell r="G188" t="str">
            <v>26/01/2026</v>
          </cell>
          <cell r="H188" t="str">
            <v>08004499</v>
          </cell>
          <cell r="I188" t="str">
            <v>AL BARAKA BANK (PAKISTAN) LIMITED</v>
          </cell>
          <cell r="J188" t="str">
            <v>BANK</v>
          </cell>
          <cell r="K188" t="str">
            <v>Mr. 
Al Baraka Bank Pakistan Limited 
Mr. 
Al Baraka Bank Pakistan Limited 
User: Muhammad Farooq Jami</v>
          </cell>
          <cell r="L188" t="str">
            <v>D</v>
          </cell>
          <cell r="M188" t="str">
            <v>09000221</v>
          </cell>
          <cell r="N188">
            <v>100</v>
          </cell>
          <cell r="P188" t="str">
            <v>House No. 14 Street 4 Lahore Medical Housing Scheme Lahore Phase Iii</v>
          </cell>
          <cell r="Q188" t="str">
            <v>11000003</v>
          </cell>
          <cell r="R188" t="str">
            <v>SUZUKI ALTO VXL</v>
          </cell>
          <cell r="S188" t="str">
            <v>2019</v>
          </cell>
          <cell r="T188" t="str">
            <v>ABN-085</v>
          </cell>
          <cell r="U188" t="str">
            <v>6R107529</v>
          </cell>
          <cell r="V188" t="str">
            <v>H1007370</v>
          </cell>
          <cell r="W188" t="str">
            <v>05-feb-2026</v>
          </cell>
          <cell r="Y188">
            <v>1020000</v>
          </cell>
          <cell r="Z188">
            <v>21983</v>
          </cell>
          <cell r="AA188">
            <v>25500</v>
          </cell>
        </row>
        <row r="189">
          <cell r="B189" t="str">
            <v>KHI/HO/D/MO/PC COMP/C/105499/103/01/2025</v>
          </cell>
          <cell r="D189" t="str">
            <v>REN</v>
          </cell>
          <cell r="E189" t="str">
            <v>21/01/25</v>
          </cell>
          <cell r="F189" t="str">
            <v>27/01/2025</v>
          </cell>
          <cell r="G189" t="str">
            <v>26/01/2026</v>
          </cell>
          <cell r="H189" t="str">
            <v>08004499</v>
          </cell>
          <cell r="I189" t="str">
            <v>AL BARAKA BANK (PAKISTAN) LIMITED</v>
          </cell>
          <cell r="J189" t="str">
            <v>BANK</v>
          </cell>
          <cell r="K189" t="str">
            <v>Mr. 
Al Baraka Bank Pakistan Limited 
Mr. 
Al Baraka Bank Pakistan Limited 
User: Allah Ditta Ghulam Fareed</v>
          </cell>
          <cell r="L189" t="str">
            <v>D</v>
          </cell>
          <cell r="M189" t="str">
            <v>09000221</v>
          </cell>
          <cell r="N189">
            <v>100</v>
          </cell>
          <cell r="P189" t="str">
            <v>House No. 158 Block J Sabzazar Lahore</v>
          </cell>
          <cell r="Q189" t="str">
            <v>11000003</v>
          </cell>
          <cell r="R189" t="str">
            <v>SUZUKI WAGON-R VXL E2</v>
          </cell>
          <cell r="S189" t="str">
            <v>2021</v>
          </cell>
          <cell r="T189" t="str">
            <v>ACA-562</v>
          </cell>
          <cell r="U189" t="str">
            <v>209791</v>
          </cell>
          <cell r="V189" t="str">
            <v>10109799</v>
          </cell>
          <cell r="W189" t="str">
            <v>05-feb-2026</v>
          </cell>
          <cell r="Y189">
            <v>1297500</v>
          </cell>
          <cell r="Z189">
            <v>27963</v>
          </cell>
          <cell r="AA189">
            <v>32438</v>
          </cell>
        </row>
        <row r="190">
          <cell r="B190" t="str">
            <v>KHI/HO/D/MO/PC COMP/C/105499/104/01/2025</v>
          </cell>
          <cell r="D190" t="str">
            <v>REN</v>
          </cell>
          <cell r="E190" t="str">
            <v>21/01/25</v>
          </cell>
          <cell r="F190" t="str">
            <v>27/01/2025</v>
          </cell>
          <cell r="G190" t="str">
            <v>26/01/2026</v>
          </cell>
          <cell r="H190" t="str">
            <v>08004499</v>
          </cell>
          <cell r="I190" t="str">
            <v>AL BARAKA BANK (PAKISTAN) LIMITED</v>
          </cell>
          <cell r="J190" t="str">
            <v>BANK</v>
          </cell>
          <cell r="K190" t="str">
            <v>Mr. 
Al Baraka Bank Pakistan Limited 
Mr. 
Al Baraka Bank Pakistan Limited 
User: Syed Mohsin Ali Shah</v>
          </cell>
          <cell r="L190" t="str">
            <v>D</v>
          </cell>
          <cell r="M190" t="str">
            <v>09000221</v>
          </cell>
          <cell r="N190">
            <v>100</v>
          </cell>
          <cell r="P190" t="str">
            <v>Near Govt. High School No. 2 Phool Nagar Lahore</v>
          </cell>
          <cell r="Q190" t="str">
            <v>11000003</v>
          </cell>
          <cell r="R190" t="str">
            <v>HONDA CITY I-VTEC (M/T)</v>
          </cell>
          <cell r="S190" t="str">
            <v>2021</v>
          </cell>
          <cell r="T190" t="str">
            <v>ABT-563</v>
          </cell>
          <cell r="U190" t="str">
            <v>7543134</v>
          </cell>
          <cell r="V190" t="str">
            <v>MR266735</v>
          </cell>
          <cell r="W190" t="str">
            <v>05-feb-2026</v>
          </cell>
          <cell r="Y190">
            <v>1983750</v>
          </cell>
          <cell r="Z190">
            <v>42753</v>
          </cell>
          <cell r="AA190">
            <v>49594</v>
          </cell>
        </row>
        <row r="191">
          <cell r="B191" t="str">
            <v>KHI/HO/D/MO/PC COMP/C/105499/105/01/2025</v>
          </cell>
          <cell r="D191" t="str">
            <v>REN</v>
          </cell>
          <cell r="E191" t="str">
            <v>21/01/25</v>
          </cell>
          <cell r="F191" t="str">
            <v>27/01/2025</v>
          </cell>
          <cell r="G191" t="str">
            <v>26/01/2026</v>
          </cell>
          <cell r="H191" t="str">
            <v>08004499</v>
          </cell>
          <cell r="I191" t="str">
            <v>AL BARAKA BANK (PAKISTAN) LIMITED</v>
          </cell>
          <cell r="J191" t="str">
            <v>BANK</v>
          </cell>
          <cell r="K191" t="str">
            <v>Mr. 
Al Baraka Bank Pakistan Limited 
Mr. 
Al Baraka Bank Pakistan Limited 
User: Syed  Noman Shabbir</v>
          </cell>
          <cell r="L191" t="str">
            <v>D</v>
          </cell>
          <cell r="M191" t="str">
            <v>09000221</v>
          </cell>
          <cell r="N191">
            <v>100</v>
          </cell>
          <cell r="P191" t="str">
            <v>House No. 206 Mohallah Dheri Hassanabad Rawalpindi</v>
          </cell>
          <cell r="Q191" t="str">
            <v>11000003</v>
          </cell>
          <cell r="R191" t="str">
            <v>SUZUKI ALTO VXL AGS E-2</v>
          </cell>
          <cell r="S191" t="str">
            <v>2021</v>
          </cell>
          <cell r="T191" t="str">
            <v>ASW-173</v>
          </cell>
          <cell r="U191" t="str">
            <v>152383</v>
          </cell>
          <cell r="V191" t="str">
            <v>1052383</v>
          </cell>
          <cell r="W191" t="str">
            <v>05-feb-2026</v>
          </cell>
          <cell r="Y191">
            <v>1224750</v>
          </cell>
          <cell r="Z191">
            <v>26396</v>
          </cell>
          <cell r="AA191">
            <v>30619</v>
          </cell>
        </row>
        <row r="192">
          <cell r="B192" t="str">
            <v>KHI/HO/D/MO/PC COMP/C/105499/106/01/2025</v>
          </cell>
          <cell r="D192" t="str">
            <v>REN</v>
          </cell>
          <cell r="E192" t="str">
            <v>21/01/25</v>
          </cell>
          <cell r="F192" t="str">
            <v>27/01/2025</v>
          </cell>
          <cell r="G192" t="str">
            <v>26/01/2026</v>
          </cell>
          <cell r="H192" t="str">
            <v>08004499</v>
          </cell>
          <cell r="I192" t="str">
            <v>AL BARAKA BANK (PAKISTAN) LIMITED</v>
          </cell>
          <cell r="J192" t="str">
            <v>BANK</v>
          </cell>
          <cell r="K192" t="str">
            <v>Mr. 
Al Baraka Bank Pakistan Limited 
Mr. 
Al Baraka Bank Pakistan Limited 
User: Syed  Noman Shabbir</v>
          </cell>
          <cell r="L192" t="str">
            <v>D</v>
          </cell>
          <cell r="M192" t="str">
            <v>09000221</v>
          </cell>
          <cell r="N192">
            <v>100</v>
          </cell>
          <cell r="P192" t="str">
            <v>House No. 206 Mohallah Dheri Hassanabad Rawalpindi</v>
          </cell>
          <cell r="Q192" t="str">
            <v>11000003</v>
          </cell>
          <cell r="R192" t="str">
            <v>SUZUKI ALTO VXL AGS E-2</v>
          </cell>
          <cell r="S192" t="str">
            <v>2021</v>
          </cell>
          <cell r="T192" t="str">
            <v>ASW-174</v>
          </cell>
          <cell r="U192" t="str">
            <v>152413</v>
          </cell>
          <cell r="V192" t="str">
            <v>1052414</v>
          </cell>
          <cell r="W192" t="str">
            <v>05-feb-2028</v>
          </cell>
          <cell r="Y192">
            <v>1074750</v>
          </cell>
          <cell r="Z192">
            <v>23163</v>
          </cell>
          <cell r="AA192">
            <v>26869</v>
          </cell>
        </row>
        <row r="193">
          <cell r="B193" t="str">
            <v>KHI/HO/D/MO/PC COMP/C/105499/107/01/2025</v>
          </cell>
          <cell r="D193" t="str">
            <v>REN</v>
          </cell>
          <cell r="E193" t="str">
            <v>21/01/25</v>
          </cell>
          <cell r="F193" t="str">
            <v>27/01/2025</v>
          </cell>
          <cell r="G193" t="str">
            <v>26/01/2026</v>
          </cell>
          <cell r="H193" t="str">
            <v>08004499</v>
          </cell>
          <cell r="I193" t="str">
            <v>AL BARAKA BANK (PAKISTAN) LIMITED</v>
          </cell>
          <cell r="J193" t="str">
            <v>BANK</v>
          </cell>
          <cell r="K193" t="str">
            <v>Mr. 
Al Baraka Bank Pakistan Limited 
Mr. 
Al Baraka Bank Pakistan Limited 
User: Mirza Shoaib Ejaz</v>
          </cell>
          <cell r="L193" t="str">
            <v>D</v>
          </cell>
          <cell r="M193" t="str">
            <v>09000221</v>
          </cell>
          <cell r="N193">
            <v>100</v>
          </cell>
          <cell r="P193" t="str">
            <v>Kot Abdul Malik Kalar Tehsil Ferozewala District Sheikhupura</v>
          </cell>
          <cell r="Q193" t="str">
            <v>11000003</v>
          </cell>
          <cell r="R193" t="str">
            <v>KIA SPORTAGE AWD-CW</v>
          </cell>
          <cell r="S193" t="str">
            <v>2021</v>
          </cell>
          <cell r="T193" t="str">
            <v>ASK-311</v>
          </cell>
          <cell r="U193" t="str">
            <v>341668</v>
          </cell>
          <cell r="V193" t="str">
            <v>508476</v>
          </cell>
          <cell r="W193" t="str">
            <v>05-feb-2026</v>
          </cell>
          <cell r="Y193">
            <v>4072500</v>
          </cell>
          <cell r="Z193">
            <v>52662</v>
          </cell>
          <cell r="AA193">
            <v>61088</v>
          </cell>
        </row>
        <row r="194">
          <cell r="B194" t="str">
            <v>KHI/HO/D/MO/PC COMP/C/105499/108/01/2025</v>
          </cell>
          <cell r="D194" t="str">
            <v>REN</v>
          </cell>
          <cell r="E194" t="str">
            <v>21/01/25</v>
          </cell>
          <cell r="F194" t="str">
            <v>27/01/2025</v>
          </cell>
          <cell r="G194" t="str">
            <v>26/01/2026</v>
          </cell>
          <cell r="H194" t="str">
            <v>08004499</v>
          </cell>
          <cell r="I194" t="str">
            <v>AL BARAKA BANK (PAKISTAN) LIMITED</v>
          </cell>
          <cell r="J194" t="str">
            <v>BANK</v>
          </cell>
          <cell r="K194" t="str">
            <v>Mr. 
Al Baraka Bank Pakistan Limited 
Mr. 
Al Baraka Bank Pakistan Limited 
User: Arshi  Malik</v>
          </cell>
          <cell r="L194" t="str">
            <v>D</v>
          </cell>
          <cell r="M194" t="str">
            <v>09000221</v>
          </cell>
          <cell r="N194">
            <v>100</v>
          </cell>
          <cell r="P194" t="str">
            <v>House No. 26 N Block Sabzazar Scheme Multan Road Lahore</v>
          </cell>
          <cell r="Q194" t="str">
            <v>11000003</v>
          </cell>
          <cell r="R194" t="str">
            <v>SUZUKI ALTO VXL AGS E-2</v>
          </cell>
          <cell r="S194" t="str">
            <v>2021</v>
          </cell>
          <cell r="T194" t="str">
            <v>ABV-325</v>
          </cell>
          <cell r="U194" t="str">
            <v>152060</v>
          </cell>
          <cell r="V194" t="str">
            <v>1052104</v>
          </cell>
          <cell r="W194" t="str">
            <v>05-feb-2026</v>
          </cell>
          <cell r="Y194">
            <v>1224750</v>
          </cell>
          <cell r="Z194">
            <v>26396</v>
          </cell>
          <cell r="AA194">
            <v>30619</v>
          </cell>
        </row>
        <row r="195">
          <cell r="B195" t="str">
            <v>KHI/HO/D/MO/PC COMP/C/105499/109/01/2025</v>
          </cell>
          <cell r="D195" t="str">
            <v>REN</v>
          </cell>
          <cell r="E195" t="str">
            <v>21/01/25</v>
          </cell>
          <cell r="F195" t="str">
            <v>28/01/2025</v>
          </cell>
          <cell r="G195" t="str">
            <v>27/01/2026</v>
          </cell>
          <cell r="H195" t="str">
            <v>08004499</v>
          </cell>
          <cell r="I195" t="str">
            <v>AL BARAKA BANK (PAKISTAN) LIMITED</v>
          </cell>
          <cell r="J195" t="str">
            <v>BANK</v>
          </cell>
          <cell r="K195" t="str">
            <v>Mr. 
Al Baraka Bank Pakistan Limited 
Mr. 
Al Baraka Bank Pakistan Limited 
User: Muhammad   Shahid</v>
          </cell>
          <cell r="L195" t="str">
            <v>D</v>
          </cell>
          <cell r="M195" t="str">
            <v>09000221</v>
          </cell>
          <cell r="N195">
            <v>100</v>
          </cell>
          <cell r="P195" t="str">
            <v>House No. 59-4 D-Ii Mohallah Green Town Lahore</v>
          </cell>
          <cell r="Q195" t="str">
            <v>11000003</v>
          </cell>
          <cell r="R195" t="str">
            <v>SUZUKI CULTUS VXL</v>
          </cell>
          <cell r="S195" t="str">
            <v>2017</v>
          </cell>
          <cell r="T195" t="str">
            <v>LEB-17-9436</v>
          </cell>
          <cell r="U195" t="str">
            <v>104508</v>
          </cell>
          <cell r="V195" t="str">
            <v>10004525</v>
          </cell>
          <cell r="W195" t="str">
            <v>05-feb-2026</v>
          </cell>
          <cell r="Y195">
            <v>1117500</v>
          </cell>
          <cell r="Z195">
            <v>24084</v>
          </cell>
          <cell r="AA195">
            <v>27938</v>
          </cell>
        </row>
        <row r="196">
          <cell r="B196" t="str">
            <v>KHI/HO/D/MO/PC COMP/C/105499/110/01/2025</v>
          </cell>
          <cell r="D196" t="str">
            <v>REN</v>
          </cell>
          <cell r="E196" t="str">
            <v>21/01/25</v>
          </cell>
          <cell r="F196" t="str">
            <v>28/01/2025</v>
          </cell>
          <cell r="G196" t="str">
            <v>27/01/2026</v>
          </cell>
          <cell r="H196" t="str">
            <v>08004499</v>
          </cell>
          <cell r="I196" t="str">
            <v>AL BARAKA BANK (PAKISTAN) LIMITED</v>
          </cell>
          <cell r="J196" t="str">
            <v>BANK</v>
          </cell>
          <cell r="K196" t="str">
            <v>Mr. 
Al Baraka Bank Pakistan Limited 
Mr. 
Al Baraka Bank Pakistan Limited 
User: Mian  Safdar Hussain</v>
          </cell>
          <cell r="L196" t="str">
            <v>D</v>
          </cell>
          <cell r="M196" t="str">
            <v>09000221</v>
          </cell>
          <cell r="N196">
            <v>100</v>
          </cell>
          <cell r="P196" t="str">
            <v>House No. 20 E Phase 8 Dha Lahore</v>
          </cell>
          <cell r="Q196" t="str">
            <v>11000003</v>
          </cell>
          <cell r="R196" t="str">
            <v>HONDA CITY I-VTEC A/T PT</v>
          </cell>
          <cell r="S196" t="str">
            <v>2021</v>
          </cell>
          <cell r="T196" t="str">
            <v>ABU-327</v>
          </cell>
          <cell r="U196" t="str">
            <v>7543425</v>
          </cell>
          <cell r="V196" t="str">
            <v>257216</v>
          </cell>
          <cell r="W196" t="str">
            <v>05-feb-2026</v>
          </cell>
          <cell r="Y196">
            <v>1983750</v>
          </cell>
          <cell r="Z196">
            <v>42753</v>
          </cell>
          <cell r="AA196">
            <v>49594</v>
          </cell>
        </row>
        <row r="197">
          <cell r="B197" t="str">
            <v>KHI/HO/D/MO/PC COMP/C/105499/111/01/2025</v>
          </cell>
          <cell r="D197" t="str">
            <v>REN</v>
          </cell>
          <cell r="E197" t="str">
            <v>21/01/25</v>
          </cell>
          <cell r="F197" t="str">
            <v>28/01/2025</v>
          </cell>
          <cell r="G197" t="str">
            <v>27/01/2026</v>
          </cell>
          <cell r="H197" t="str">
            <v>08004499</v>
          </cell>
          <cell r="I197" t="str">
            <v>AL BARAKA BANK (PAKISTAN) LIMITED</v>
          </cell>
          <cell r="J197" t="str">
            <v>BANK</v>
          </cell>
          <cell r="K197" t="str">
            <v>Mr. 
Al Baraka Bank Pakistan Limited 
Mr. 
Al Baraka Bank Pakistan Limited 
User: Raja Waseem Rasheed</v>
          </cell>
          <cell r="L197" t="str">
            <v>D</v>
          </cell>
          <cell r="M197" t="str">
            <v>09000221</v>
          </cell>
          <cell r="N197">
            <v>100</v>
          </cell>
          <cell r="P197" t="str">
            <v>Chak No. 15/8 R Katcha Khu Mian Channu</v>
          </cell>
          <cell r="Q197" t="str">
            <v>11000003</v>
          </cell>
          <cell r="R197" t="str">
            <v>SUZUKI ALTO VXR</v>
          </cell>
          <cell r="S197" t="str">
            <v>2021</v>
          </cell>
          <cell r="T197" t="str">
            <v>ABV-548</v>
          </cell>
          <cell r="U197" t="str">
            <v>153099</v>
          </cell>
          <cell r="V197" t="str">
            <v>1053111</v>
          </cell>
          <cell r="W197" t="str">
            <v>05-feb-2026</v>
          </cell>
          <cell r="Y197">
            <v>1074750</v>
          </cell>
          <cell r="Z197">
            <v>23163</v>
          </cell>
          <cell r="AA197">
            <v>26869</v>
          </cell>
        </row>
        <row r="198">
          <cell r="B198" t="str">
            <v>KHI/HO/D/MO/PC COMP/C/105499/112/01/2025</v>
          </cell>
          <cell r="D198" t="str">
            <v>REN</v>
          </cell>
          <cell r="E198" t="str">
            <v>21/01/25</v>
          </cell>
          <cell r="F198" t="str">
            <v>05/01/2025</v>
          </cell>
          <cell r="G198" t="str">
            <v>04/01/2026</v>
          </cell>
          <cell r="H198" t="str">
            <v>08004499</v>
          </cell>
          <cell r="I198" t="str">
            <v>AL BARAKA BANK (PAKISTAN) LIMITED</v>
          </cell>
          <cell r="J198" t="str">
            <v>BANK</v>
          </cell>
          <cell r="K198" t="str">
            <v>Mr. 
Al Baraka Bank Pakistan Limited 
Mr. 
Al Baraka Bank Pakistan Limited 
User: Aamir  Ahmed</v>
          </cell>
          <cell r="L198" t="str">
            <v>D</v>
          </cell>
          <cell r="M198" t="str">
            <v>09000221</v>
          </cell>
          <cell r="N198">
            <v>100</v>
          </cell>
          <cell r="P198" t="str">
            <v>Plot # Z/212 Shop 12 Block7-8, Al-Hamra Co-Operative Society, Karachi.</v>
          </cell>
          <cell r="Q198" t="str">
            <v>11000003</v>
          </cell>
          <cell r="R198" t="str">
            <v>TOYOTA HILUX REVO</v>
          </cell>
          <cell r="S198" t="str">
            <v>2020</v>
          </cell>
          <cell r="T198" t="str">
            <v>KZ-4681</v>
          </cell>
          <cell r="U198" t="str">
            <v>1GD0905565</v>
          </cell>
          <cell r="V198" t="str">
            <v>5542349</v>
          </cell>
          <cell r="W198" t="str">
            <v>05-jan-2026</v>
          </cell>
          <cell r="Y198">
            <v>5286375</v>
          </cell>
          <cell r="Z198">
            <v>68358</v>
          </cell>
          <cell r="AA198">
            <v>79296</v>
          </cell>
        </row>
        <row r="199">
          <cell r="B199" t="str">
            <v>KHI/HO/D/MO/PC COMP/C/105499/113/01/2025</v>
          </cell>
          <cell r="D199" t="str">
            <v>REN</v>
          </cell>
          <cell r="E199" t="str">
            <v>21/01/25</v>
          </cell>
          <cell r="F199" t="str">
            <v>28/01/2025</v>
          </cell>
          <cell r="G199" t="str">
            <v>27/01/2026</v>
          </cell>
          <cell r="H199" t="str">
            <v>08004499</v>
          </cell>
          <cell r="I199" t="str">
            <v>AL BARAKA BANK (PAKISTAN) LIMITED</v>
          </cell>
          <cell r="J199" t="str">
            <v>BANK</v>
          </cell>
          <cell r="K199" t="str">
            <v>Mr. 
Al Baraka Bank Pakistan Limited 
Mr. 
Al Baraka Bank Pakistan Limited 
User: Muhammad  Ali</v>
          </cell>
          <cell r="L199" t="str">
            <v>D</v>
          </cell>
          <cell r="M199" t="str">
            <v>09000221</v>
          </cell>
          <cell r="N199">
            <v>100</v>
          </cell>
          <cell r="P199" t="str">
            <v>House No. 5 Adil Abbas Town Near Officers Colony Bahawalpur</v>
          </cell>
          <cell r="Q199" t="str">
            <v>11000003</v>
          </cell>
          <cell r="R199" t="str">
            <v>HONDA CIVIC VTI  ORIEL PT</v>
          </cell>
          <cell r="S199" t="str">
            <v>2021</v>
          </cell>
          <cell r="T199" t="str">
            <v>ATT-026</v>
          </cell>
          <cell r="U199" t="str">
            <v>Z16917186</v>
          </cell>
          <cell r="V199" t="str">
            <v>MR069299</v>
          </cell>
          <cell r="W199" t="str">
            <v>05-feb-2026</v>
          </cell>
          <cell r="Y199">
            <v>3100875</v>
          </cell>
          <cell r="Z199">
            <v>40097</v>
          </cell>
          <cell r="AA199">
            <v>46513</v>
          </cell>
        </row>
        <row r="200">
          <cell r="B200" t="str">
            <v>KHI/HO/D/MO/PC COMP/C/105499/114/01/2025</v>
          </cell>
          <cell r="D200" t="str">
            <v>REN</v>
          </cell>
          <cell r="E200" t="str">
            <v>21/01/25</v>
          </cell>
          <cell r="F200" t="str">
            <v>28/01/2025</v>
          </cell>
          <cell r="G200" t="str">
            <v>27/01/2026</v>
          </cell>
          <cell r="H200" t="str">
            <v>08004499</v>
          </cell>
          <cell r="I200" t="str">
            <v>AL BARAKA BANK (PAKISTAN) LIMITED</v>
          </cell>
          <cell r="J200" t="str">
            <v>BANK</v>
          </cell>
          <cell r="K200" t="str">
            <v>Mr. 
Al Baraka Bank Pakistan Limited 
Mr. 
Al Baraka Bank Pakistan Limited 
User: Adnan Ahmed Saeed</v>
          </cell>
          <cell r="L200" t="str">
            <v>D</v>
          </cell>
          <cell r="M200" t="str">
            <v>09000221</v>
          </cell>
          <cell r="N200">
            <v>100</v>
          </cell>
          <cell r="P200" t="str">
            <v>House No. 696 X Block Street 23 Dha Phase  Iii Lahore</v>
          </cell>
          <cell r="Q200" t="str">
            <v>11000003</v>
          </cell>
          <cell r="R200" t="str">
            <v>HONDA CIVIC VTI  ORIEL PT</v>
          </cell>
          <cell r="S200" t="str">
            <v>2021</v>
          </cell>
          <cell r="T200" t="str">
            <v>ACN-336</v>
          </cell>
          <cell r="U200" t="str">
            <v>16916977</v>
          </cell>
          <cell r="V200" t="str">
            <v>069131</v>
          </cell>
          <cell r="W200" t="str">
            <v>05-feb-2028</v>
          </cell>
          <cell r="Y200">
            <v>3095250</v>
          </cell>
          <cell r="Z200">
            <v>40025</v>
          </cell>
          <cell r="AA200">
            <v>46429</v>
          </cell>
        </row>
        <row r="201">
          <cell r="B201" t="str">
            <v>KHI/HO/D/MO/PC COMP/C/105499/115/01/2025</v>
          </cell>
          <cell r="D201" t="str">
            <v>REN</v>
          </cell>
          <cell r="E201" t="str">
            <v>21/01/25</v>
          </cell>
          <cell r="F201" t="str">
            <v>29/01/2025</v>
          </cell>
          <cell r="G201" t="str">
            <v>28/01/2026</v>
          </cell>
          <cell r="H201" t="str">
            <v>08004499</v>
          </cell>
          <cell r="I201" t="str">
            <v>AL BARAKA BANK (PAKISTAN) LIMITED</v>
          </cell>
          <cell r="J201" t="str">
            <v>BANK</v>
          </cell>
          <cell r="K201" t="str">
            <v>Mr. 
Al Baraka Bank Pakistan Limited 
Mr. 
Al Baraka Bank Pakistan Limited 
User: Imtiaz Ali Ujjan</v>
          </cell>
          <cell r="L201" t="str">
            <v>D</v>
          </cell>
          <cell r="M201" t="str">
            <v>09000221</v>
          </cell>
          <cell r="N201">
            <v>100</v>
          </cell>
          <cell r="P201" t="str">
            <v>Judges Banglows 1 &amp;amp; 2 Ferozenana Road Land Bl 07 Clifton  Kehkashan Karachi</v>
          </cell>
          <cell r="Q201" t="str">
            <v>11000003</v>
          </cell>
          <cell r="R201" t="str">
            <v>SUZUKI CULTUS VXL EURO II</v>
          </cell>
          <cell r="S201" t="str">
            <v>2020</v>
          </cell>
          <cell r="T201" t="str">
            <v>BBL-016</v>
          </cell>
          <cell r="U201" t="str">
            <v>589674</v>
          </cell>
          <cell r="V201" t="str">
            <v>496548</v>
          </cell>
          <cell r="W201" t="str">
            <v>05-feb-2026</v>
          </cell>
          <cell r="Y201">
            <v>675000</v>
          </cell>
          <cell r="Z201">
            <v>14548</v>
          </cell>
          <cell r="AA201">
            <v>16875</v>
          </cell>
        </row>
        <row r="202">
          <cell r="B202" t="str">
            <v>KHI/HO/D/MO/PC COMP/C/105499/116/01/2025</v>
          </cell>
          <cell r="D202" t="str">
            <v>REN</v>
          </cell>
          <cell r="E202" t="str">
            <v>21/01/25</v>
          </cell>
          <cell r="F202" t="str">
            <v>29/01/2025</v>
          </cell>
          <cell r="G202" t="str">
            <v>28/01/2026</v>
          </cell>
          <cell r="H202" t="str">
            <v>08004499</v>
          </cell>
          <cell r="I202" t="str">
            <v>AL BARAKA BANK (PAKISTAN) LIMITED</v>
          </cell>
          <cell r="J202" t="str">
            <v>BANK</v>
          </cell>
          <cell r="K202" t="str">
            <v>Mr. 
Al Baraka Bank Pakistan Limited 
Mr. 
Al Baraka Bank Pakistan Limited 
User: Ahmad  Raza</v>
          </cell>
          <cell r="L202" t="str">
            <v>D</v>
          </cell>
          <cell r="M202" t="str">
            <v>09000221</v>
          </cell>
          <cell r="N202">
            <v>100</v>
          </cell>
          <cell r="P202" t="str">
            <v>Street 3 Moh Muhammad Pura Fareed Town /Gujranwala</v>
          </cell>
          <cell r="Q202" t="str">
            <v>11000003</v>
          </cell>
          <cell r="R202" t="str">
            <v>SUZUKI WAGON-R VXR</v>
          </cell>
          <cell r="S202" t="str">
            <v>2021</v>
          </cell>
          <cell r="T202" t="str">
            <v>ABZ-270</v>
          </cell>
          <cell r="U202" t="str">
            <v>209593</v>
          </cell>
          <cell r="V202" t="str">
            <v>10109597</v>
          </cell>
          <cell r="W202" t="str">
            <v>05-feb-2028</v>
          </cell>
          <cell r="Y202">
            <v>1230000</v>
          </cell>
          <cell r="Z202">
            <v>26509</v>
          </cell>
          <cell r="AA202">
            <v>30750</v>
          </cell>
        </row>
        <row r="203">
          <cell r="B203" t="str">
            <v>KHI/HO/D/MO/PC COMP/C/105499/117/01/2025</v>
          </cell>
          <cell r="D203" t="str">
            <v>REN</v>
          </cell>
          <cell r="E203" t="str">
            <v>21/01/25</v>
          </cell>
          <cell r="F203" t="str">
            <v>29/01/2025</v>
          </cell>
          <cell r="G203" t="str">
            <v>28/01/2026</v>
          </cell>
          <cell r="H203" t="str">
            <v>08004499</v>
          </cell>
          <cell r="I203" t="str">
            <v>AL BARAKA BANK (PAKISTAN) LIMITED</v>
          </cell>
          <cell r="J203" t="str">
            <v>BANK</v>
          </cell>
          <cell r="K203" t="str">
            <v>Mr. 
Al Baraka Bank Pakistan Limited 
Mr. 
Al Baraka Bank Pakistan Limited 
User: Muhammad  Ejaz</v>
          </cell>
          <cell r="L203" t="str">
            <v>D</v>
          </cell>
          <cell r="M203" t="str">
            <v>09000221</v>
          </cell>
          <cell r="N203">
            <v>100</v>
          </cell>
          <cell r="P203" t="str">
            <v>House No. 190 D Block  Naz Town Valancia Town Lahore</v>
          </cell>
          <cell r="Q203" t="str">
            <v>11000003</v>
          </cell>
          <cell r="R203" t="str">
            <v>HONDA CITY ASPIRE M/T</v>
          </cell>
          <cell r="S203" t="str">
            <v>2021</v>
          </cell>
          <cell r="T203" t="str">
            <v>ABU-441</v>
          </cell>
          <cell r="U203" t="str">
            <v>7543618</v>
          </cell>
          <cell r="V203" t="str">
            <v>MR267448</v>
          </cell>
          <cell r="W203" t="str">
            <v>05-feb-2028</v>
          </cell>
          <cell r="Y203">
            <v>1841250</v>
          </cell>
          <cell r="Z203">
            <v>39682</v>
          </cell>
          <cell r="AA203">
            <v>46031</v>
          </cell>
        </row>
        <row r="204">
          <cell r="B204" t="str">
            <v>KHI/HO/D/MO/PC COMP/C/105499/118/01/2025</v>
          </cell>
          <cell r="D204" t="str">
            <v>REN</v>
          </cell>
          <cell r="E204" t="str">
            <v>21/01/25</v>
          </cell>
          <cell r="F204" t="str">
            <v>29/01/2025</v>
          </cell>
          <cell r="G204" t="str">
            <v>28/01/2026</v>
          </cell>
          <cell r="H204" t="str">
            <v>08004499</v>
          </cell>
          <cell r="I204" t="str">
            <v>AL BARAKA BANK (PAKISTAN) LIMITED</v>
          </cell>
          <cell r="J204" t="str">
            <v>BANK</v>
          </cell>
          <cell r="K204" t="str">
            <v>Mr. 
Al Baraka Bank Pakistan Limited 
Mr. 
Al Baraka Bank Pakistan Limited 
User: Abdul  Manan</v>
          </cell>
          <cell r="L204" t="str">
            <v>D</v>
          </cell>
          <cell r="M204" t="str">
            <v>09000221</v>
          </cell>
          <cell r="N204">
            <v>100</v>
          </cell>
          <cell r="P204" t="str">
            <v>House No. 2 Street 24-S Tipu Sultan Road Siddique Park New Mozang Lahoe</v>
          </cell>
          <cell r="Q204" t="str">
            <v>11000003</v>
          </cell>
          <cell r="R204" t="str">
            <v>ROAD PRINCE PEARL</v>
          </cell>
          <cell r="S204" t="str">
            <v>2021</v>
          </cell>
          <cell r="T204" t="str">
            <v>ABX-861</v>
          </cell>
          <cell r="U204" t="str">
            <v>20424097</v>
          </cell>
          <cell r="V204" t="str">
            <v>A20K0556</v>
          </cell>
          <cell r="W204" t="str">
            <v>05-feb-2028</v>
          </cell>
          <cell r="Y204">
            <v>1086750</v>
          </cell>
          <cell r="Z204">
            <v>23422</v>
          </cell>
          <cell r="AA204">
            <v>27169</v>
          </cell>
        </row>
        <row r="205">
          <cell r="B205" t="str">
            <v>KHI/HO/D/MO/PC COMP/C/105499/119/01/2025</v>
          </cell>
          <cell r="D205" t="str">
            <v>REN</v>
          </cell>
          <cell r="E205" t="str">
            <v>21/01/25</v>
          </cell>
          <cell r="F205" t="str">
            <v>29/01/2025</v>
          </cell>
          <cell r="G205" t="str">
            <v>28/01/2026</v>
          </cell>
          <cell r="H205" t="str">
            <v>08004499</v>
          </cell>
          <cell r="I205" t="str">
            <v>AL BARAKA BANK (PAKISTAN) LIMITED</v>
          </cell>
          <cell r="J205" t="str">
            <v>BANK</v>
          </cell>
          <cell r="K205" t="str">
            <v>Mr. 
Al Baraka Bank Pakistan Limited 
Mr. 
Al Baraka Bank Pakistan Limited 
User: Saleem  Ahmed  Sukhera</v>
          </cell>
          <cell r="L205" t="str">
            <v>D</v>
          </cell>
          <cell r="M205" t="str">
            <v>09000221</v>
          </cell>
          <cell r="N205">
            <v>100</v>
          </cell>
          <cell r="P205" t="str">
            <v>Flaat No.215 Opp Street 1 G/Floor Mehaabadi Sector F-11/1 Islamabad</v>
          </cell>
          <cell r="Q205" t="str">
            <v>11000003</v>
          </cell>
          <cell r="R205" t="str">
            <v>SUZUKI BOLAN STD VX EURO</v>
          </cell>
          <cell r="S205" t="str">
            <v>2021</v>
          </cell>
          <cell r="T205" t="str">
            <v>ASW-643</v>
          </cell>
          <cell r="U205" t="str">
            <v>1009114</v>
          </cell>
          <cell r="V205" t="str">
            <v>01125625</v>
          </cell>
          <cell r="W205" t="str">
            <v>05-feb-2026</v>
          </cell>
          <cell r="Y205">
            <v>850500</v>
          </cell>
          <cell r="Z205">
            <v>18330</v>
          </cell>
          <cell r="AA205">
            <v>21263</v>
          </cell>
        </row>
        <row r="206">
          <cell r="B206" t="str">
            <v>KHI/HO/D/MO/PC COMP/C/105499/120/01/2025</v>
          </cell>
          <cell r="D206" t="str">
            <v>REN</v>
          </cell>
          <cell r="E206" t="str">
            <v>21/01/25</v>
          </cell>
          <cell r="F206" t="str">
            <v>29/01/2025</v>
          </cell>
          <cell r="G206" t="str">
            <v>28/01/2026</v>
          </cell>
          <cell r="H206" t="str">
            <v>08004499</v>
          </cell>
          <cell r="I206" t="str">
            <v>AL BARAKA BANK (PAKISTAN) LIMITED</v>
          </cell>
          <cell r="J206" t="str">
            <v>BANK</v>
          </cell>
          <cell r="K206" t="str">
            <v>Mr. 
Al Baraka Bank Pakistan Limited 
Mr. 
Al Baraka Bank Pakistan Limited 
User: Muhammad  Mohsin</v>
          </cell>
          <cell r="L206" t="str">
            <v>D</v>
          </cell>
          <cell r="M206" t="str">
            <v>09000221</v>
          </cell>
          <cell r="N206">
            <v>100</v>
          </cell>
          <cell r="P206" t="str">
            <v>Near New Sabzi Mandi Near Jama Masjid Faiz Rasool Gujranwala</v>
          </cell>
          <cell r="Q206" t="str">
            <v>11000003</v>
          </cell>
          <cell r="R206" t="str">
            <v>SUZUKI EVERY WAGON</v>
          </cell>
          <cell r="S206" t="str">
            <v>2019</v>
          </cell>
          <cell r="T206" t="str">
            <v>ACE-526</v>
          </cell>
          <cell r="U206" t="str">
            <v>R06A-1743275</v>
          </cell>
          <cell r="V206" t="str">
            <v>DA17V-132911</v>
          </cell>
          <cell r="W206" t="str">
            <v>05-feb-2026</v>
          </cell>
          <cell r="Y206">
            <v>1125000</v>
          </cell>
          <cell r="Z206">
            <v>24246</v>
          </cell>
          <cell r="AA206">
            <v>28125</v>
          </cell>
        </row>
        <row r="207">
          <cell r="B207" t="str">
            <v>KHI/HO/D/MO/PC COMP/C/105499/121/01/2025</v>
          </cell>
          <cell r="D207" t="str">
            <v>REN</v>
          </cell>
          <cell r="E207" t="str">
            <v>21/01/25</v>
          </cell>
          <cell r="F207" t="str">
            <v>29/01/2025</v>
          </cell>
          <cell r="G207" t="str">
            <v>28/01/2026</v>
          </cell>
          <cell r="H207" t="str">
            <v>08004499</v>
          </cell>
          <cell r="I207" t="str">
            <v>AL BARAKA BANK (PAKISTAN) LIMITED</v>
          </cell>
          <cell r="J207" t="str">
            <v>BANK</v>
          </cell>
          <cell r="K207" t="str">
            <v>Mr. 
Al Baraka Bank Pakistan Limited 
Mr. 
Al Baraka Bank Pakistan Limited 
User: Khawaja Nadeem Zaheer Butt</v>
          </cell>
          <cell r="L207" t="str">
            <v>D</v>
          </cell>
          <cell r="M207" t="str">
            <v>09000221</v>
          </cell>
          <cell r="N207">
            <v>100</v>
          </cell>
          <cell r="P207" t="str">
            <v>Palak Basyra Building  Moh Shah Abdulmali Road Lahore</v>
          </cell>
          <cell r="Q207" t="str">
            <v>11000003</v>
          </cell>
          <cell r="R207" t="str">
            <v>TOYOTA YARIS ATIV X CVT</v>
          </cell>
          <cell r="S207" t="str">
            <v>2021</v>
          </cell>
          <cell r="T207" t="str">
            <v>ABR-538</v>
          </cell>
          <cell r="U207" t="str">
            <v>2A16172</v>
          </cell>
          <cell r="V207" t="str">
            <v>9506497</v>
          </cell>
          <cell r="W207" t="str">
            <v>05-feb-2026</v>
          </cell>
          <cell r="Y207">
            <v>2244750</v>
          </cell>
          <cell r="Z207">
            <v>48378</v>
          </cell>
          <cell r="AA207">
            <v>56119</v>
          </cell>
        </row>
        <row r="208">
          <cell r="B208" t="str">
            <v>KHI/HO/D/MO/PC COMP/C/105499/122/01/2025</v>
          </cell>
          <cell r="D208" t="str">
            <v>REN</v>
          </cell>
          <cell r="E208" t="str">
            <v>21/01/25</v>
          </cell>
          <cell r="F208" t="str">
            <v>29/01/2025</v>
          </cell>
          <cell r="G208" t="str">
            <v>28/01/2026</v>
          </cell>
          <cell r="H208" t="str">
            <v>08004499</v>
          </cell>
          <cell r="I208" t="str">
            <v>AL BARAKA BANK (PAKISTAN) LIMITED</v>
          </cell>
          <cell r="J208" t="str">
            <v>BANK</v>
          </cell>
          <cell r="K208" t="str">
            <v>Mr. 
Al Baraka Bank Pakistan Limited 
Mr. 
Al Baraka Bank Pakistan Limited 
User: Muhammad  Saleem</v>
          </cell>
          <cell r="L208" t="str">
            <v>D</v>
          </cell>
          <cell r="M208" t="str">
            <v>09000221</v>
          </cell>
          <cell r="N208">
            <v>100</v>
          </cell>
          <cell r="P208" t="str">
            <v>House No. 13 Street 9 Kareem Moh Sodiwal Road Lahore</v>
          </cell>
          <cell r="Q208" t="str">
            <v>11000003</v>
          </cell>
          <cell r="R208" t="str">
            <v>HYUNDAI TUCSON 6A/T</v>
          </cell>
          <cell r="S208" t="str">
            <v>2021</v>
          </cell>
          <cell r="T208" t="str">
            <v>ABS-705</v>
          </cell>
          <cell r="U208" t="str">
            <v>U030242</v>
          </cell>
          <cell r="V208" t="str">
            <v>MN201455</v>
          </cell>
          <cell r="W208" t="str">
            <v>05-feb-2026</v>
          </cell>
          <cell r="Y208">
            <v>4208850</v>
          </cell>
          <cell r="Z208">
            <v>54425</v>
          </cell>
          <cell r="AA208">
            <v>63133</v>
          </cell>
        </row>
        <row r="209">
          <cell r="B209" t="str">
            <v>KHI/HO/D/MO/PC COMP/C/105499/123/01/2025</v>
          </cell>
          <cell r="D209" t="str">
            <v>REN</v>
          </cell>
          <cell r="E209" t="str">
            <v>21/01/25</v>
          </cell>
          <cell r="F209" t="str">
            <v>29/01/2025</v>
          </cell>
          <cell r="G209" t="str">
            <v>28/01/2026</v>
          </cell>
          <cell r="H209" t="str">
            <v>08004499</v>
          </cell>
          <cell r="I209" t="str">
            <v>AL BARAKA BANK (PAKISTAN) LIMITED</v>
          </cell>
          <cell r="J209" t="str">
            <v>BANK</v>
          </cell>
          <cell r="K209" t="str">
            <v>Mr. 
Al Baraka Bank Pakistan Limited 
Mr. 
Al Baraka Bank Pakistan Limited 
User: Syed  Jamal Abbas Rizvi</v>
          </cell>
          <cell r="L209" t="str">
            <v>D</v>
          </cell>
          <cell r="M209" t="str">
            <v>09000221</v>
          </cell>
          <cell r="N209">
            <v>100</v>
          </cell>
          <cell r="P209" t="str">
            <v>House No. R-967 Block 20 Fb Area Karachi</v>
          </cell>
          <cell r="Q209" t="str">
            <v>11000003</v>
          </cell>
          <cell r="R209" t="str">
            <v>SUZUKI ALTO VXR</v>
          </cell>
          <cell r="S209" t="str">
            <v>2019</v>
          </cell>
          <cell r="T209" t="str">
            <v>BSY-319</v>
          </cell>
          <cell r="U209" t="str">
            <v>R103809</v>
          </cell>
          <cell r="V209" t="str">
            <v>1003780</v>
          </cell>
          <cell r="W209" t="str">
            <v>05-feb-2028</v>
          </cell>
          <cell r="Y209">
            <v>993750</v>
          </cell>
          <cell r="Z209">
            <v>21417</v>
          </cell>
          <cell r="AA209">
            <v>24844</v>
          </cell>
        </row>
        <row r="210">
          <cell r="B210" t="str">
            <v>KHI/HO/D/MO/PC COMP/C/105499/124/01/2025</v>
          </cell>
          <cell r="D210" t="str">
            <v>REN</v>
          </cell>
          <cell r="E210" t="str">
            <v>21/01/25</v>
          </cell>
          <cell r="F210" t="str">
            <v>29/01/2025</v>
          </cell>
          <cell r="G210" t="str">
            <v>28/01/2026</v>
          </cell>
          <cell r="H210" t="str">
            <v>08004499</v>
          </cell>
          <cell r="I210" t="str">
            <v>AL BARAKA BANK (PAKISTAN) LIMITED</v>
          </cell>
          <cell r="J210" t="str">
            <v>BANK</v>
          </cell>
          <cell r="K210" t="str">
            <v>Mr. 
Al Baraka Bank Pakistan Limited 
Mr. 
Al Baraka Bank Pakistan Limited 
User: Ahsan Nawaz  Khan</v>
          </cell>
          <cell r="L210" t="str">
            <v>D</v>
          </cell>
          <cell r="M210" t="str">
            <v>09000221</v>
          </cell>
          <cell r="N210">
            <v>100</v>
          </cell>
          <cell r="P210" t="str">
            <v>House No. 21/4 Sahibzad Gul Road Cantt Lahore</v>
          </cell>
          <cell r="Q210" t="str">
            <v>11000003</v>
          </cell>
          <cell r="R210" t="str">
            <v>SUZUKI ALTO VXL AGS E-2</v>
          </cell>
          <cell r="S210" t="str">
            <v>2021</v>
          </cell>
          <cell r="T210" t="str">
            <v>ABX-746</v>
          </cell>
          <cell r="U210" t="str">
            <v>6R148061</v>
          </cell>
          <cell r="V210" t="str">
            <v>H1048046</v>
          </cell>
          <cell r="W210" t="str">
            <v>05-feb-2028</v>
          </cell>
          <cell r="Y210">
            <v>1224750</v>
          </cell>
          <cell r="Z210">
            <v>26396</v>
          </cell>
          <cell r="AA210">
            <v>30619</v>
          </cell>
        </row>
        <row r="211">
          <cell r="B211" t="str">
            <v>KHI/HO/D/MO/PC COMP/C/105499/125/01/2025</v>
          </cell>
          <cell r="D211" t="str">
            <v>REN</v>
          </cell>
          <cell r="E211" t="str">
            <v>21/01/25</v>
          </cell>
          <cell r="F211" t="str">
            <v>29/01/2025</v>
          </cell>
          <cell r="G211" t="str">
            <v>28/01/2026</v>
          </cell>
          <cell r="H211" t="str">
            <v>08004499</v>
          </cell>
          <cell r="I211" t="str">
            <v>AL BARAKA BANK (PAKISTAN) LIMITED</v>
          </cell>
          <cell r="J211" t="str">
            <v>BANK</v>
          </cell>
          <cell r="K211" t="str">
            <v>Mr. 
Al Baraka Bank Pakistan Limited 
Mr. 
Al Baraka Bank Pakistan Limited 
User: Inayatullah  Khan</v>
          </cell>
          <cell r="L211" t="str">
            <v>D</v>
          </cell>
          <cell r="M211" t="str">
            <v>09000221</v>
          </cell>
          <cell r="N211">
            <v>100</v>
          </cell>
          <cell r="P211" t="str">
            <v>House No. D-92 Hasrat Mohani Colony  Manghopir Road Karachi</v>
          </cell>
          <cell r="Q211" t="str">
            <v>11000003</v>
          </cell>
          <cell r="R211" t="str">
            <v>TOYOTA COROLLA GLI M/T 1.</v>
          </cell>
          <cell r="S211" t="str">
            <v>2018</v>
          </cell>
          <cell r="T211" t="str">
            <v>BLW-358</v>
          </cell>
          <cell r="U211" t="str">
            <v>Z513491</v>
          </cell>
          <cell r="V211" t="str">
            <v>4139762</v>
          </cell>
          <cell r="W211" t="str">
            <v>05-feb-2026</v>
          </cell>
          <cell r="Y211">
            <v>1950000</v>
          </cell>
          <cell r="Z211">
            <v>42026</v>
          </cell>
          <cell r="AA211">
            <v>48750</v>
          </cell>
        </row>
        <row r="212">
          <cell r="B212" t="str">
            <v>KHI/HO/D/MO/PC COMP/C/105499/126/01/2025</v>
          </cell>
          <cell r="D212" t="str">
            <v>REN</v>
          </cell>
          <cell r="E212" t="str">
            <v>21/01/25</v>
          </cell>
          <cell r="F212" t="str">
            <v>29/01/2025</v>
          </cell>
          <cell r="G212" t="str">
            <v>28/01/2026</v>
          </cell>
          <cell r="H212" t="str">
            <v>08004499</v>
          </cell>
          <cell r="I212" t="str">
            <v>AL BARAKA BANK (PAKISTAN) LIMITED</v>
          </cell>
          <cell r="J212" t="str">
            <v>BANK</v>
          </cell>
          <cell r="K212" t="str">
            <v>Mr. 
Al Baraka Bank Pakistan Limited 
Mr. 
Al Baraka Bank Pakistan Limited 
User: Zia  Ullah</v>
          </cell>
          <cell r="L212" t="str">
            <v>D</v>
          </cell>
          <cell r="M212" t="str">
            <v>09000221</v>
          </cell>
          <cell r="N212">
            <v>100</v>
          </cell>
          <cell r="P212" t="str">
            <v>Arim Colony Railway Station Mardan</v>
          </cell>
          <cell r="Q212" t="str">
            <v>11000003</v>
          </cell>
          <cell r="R212" t="str">
            <v>SUZUKI WAGON-R VXL E2</v>
          </cell>
          <cell r="S212" t="str">
            <v>2017</v>
          </cell>
          <cell r="T212" t="str">
            <v>AFW-592</v>
          </cell>
          <cell r="U212" t="str">
            <v>10B142640</v>
          </cell>
          <cell r="V212" t="str">
            <v>10042619</v>
          </cell>
          <cell r="W212" t="str">
            <v>05-feb-2026</v>
          </cell>
          <cell r="Y212">
            <v>1147500</v>
          </cell>
          <cell r="Z212">
            <v>24731</v>
          </cell>
          <cell r="AA212">
            <v>28688</v>
          </cell>
        </row>
        <row r="213">
          <cell r="B213" t="str">
            <v>KHI/HO/D/MO/PC COMP/C/105499/127/01/2025</v>
          </cell>
          <cell r="D213" t="str">
            <v>REN</v>
          </cell>
          <cell r="E213" t="str">
            <v>21/01/25</v>
          </cell>
          <cell r="F213" t="str">
            <v>08/01/2025</v>
          </cell>
          <cell r="G213" t="str">
            <v>07/01/2026</v>
          </cell>
          <cell r="H213" t="str">
            <v>08004499</v>
          </cell>
          <cell r="I213" t="str">
            <v>AL BARAKA BANK (PAKISTAN) LIMITED</v>
          </cell>
          <cell r="J213" t="str">
            <v>BANK</v>
          </cell>
          <cell r="K213" t="str">
            <v>Mr. 
Al Baraka Bank Pakistan Limited 
Mr. 
Al Baraka Bank Pakistan Limited 
User: Shahzad  Rasool</v>
          </cell>
          <cell r="L213" t="str">
            <v>D</v>
          </cell>
          <cell r="M213" t="str">
            <v>09000221</v>
          </cell>
          <cell r="N213">
            <v>100</v>
          </cell>
          <cell r="P213" t="str">
            <v>House No.30 Ali Block Awan Town Lahore</v>
          </cell>
          <cell r="Q213" t="str">
            <v>11000003</v>
          </cell>
          <cell r="R213" t="str">
            <v>TOYOTA YARIS ATIV X CVT</v>
          </cell>
          <cell r="S213" t="str">
            <v>2020</v>
          </cell>
          <cell r="T213" t="str">
            <v>LEB-20-345</v>
          </cell>
          <cell r="U213" t="str">
            <v>2A01581</v>
          </cell>
          <cell r="V213" t="str">
            <v>R9501162</v>
          </cell>
          <cell r="W213" t="str">
            <v>05-jan-2026</v>
          </cell>
          <cell r="Y213">
            <v>2212500</v>
          </cell>
          <cell r="Z213">
            <v>47683</v>
          </cell>
          <cell r="AA213">
            <v>55313</v>
          </cell>
        </row>
        <row r="214">
          <cell r="B214" t="str">
            <v>KHI/HO/D/MO/PC COMP/C/105499/128/01/2025</v>
          </cell>
          <cell r="D214" t="str">
            <v>REN</v>
          </cell>
          <cell r="E214" t="str">
            <v>21/01/25</v>
          </cell>
          <cell r="F214" t="str">
            <v>08/01/2025</v>
          </cell>
          <cell r="G214" t="str">
            <v>07/01/2026</v>
          </cell>
          <cell r="H214" t="str">
            <v>08004499</v>
          </cell>
          <cell r="I214" t="str">
            <v>AL BARAKA BANK (PAKISTAN) LIMITED</v>
          </cell>
          <cell r="J214" t="str">
            <v>BANK</v>
          </cell>
          <cell r="K214" t="str">
            <v>Mr. 
Al Baraka Bank Pakistan Limited 
Mr. 
Al Baraka Bank Pakistan Limited 
User: Muhammad  Fahim</v>
          </cell>
          <cell r="L214" t="str">
            <v>D</v>
          </cell>
          <cell r="M214" t="str">
            <v>09000221</v>
          </cell>
          <cell r="N214">
            <v>100</v>
          </cell>
          <cell r="P214" t="str">
            <v>Malpur Maura Malpur Stop Islamabad</v>
          </cell>
          <cell r="Q214" t="str">
            <v>11000003</v>
          </cell>
          <cell r="R214" t="str">
            <v>SUZUKI ALTO VXR</v>
          </cell>
          <cell r="S214" t="str">
            <v>2020</v>
          </cell>
          <cell r="T214" t="str">
            <v>ASE-266</v>
          </cell>
          <cell r="U214" t="str">
            <v>150841</v>
          </cell>
          <cell r="V214" t="str">
            <v>1050819</v>
          </cell>
          <cell r="W214" t="str">
            <v>05-feb-2026</v>
          </cell>
          <cell r="Y214">
            <v>1074750</v>
          </cell>
          <cell r="Z214">
            <v>23163</v>
          </cell>
          <cell r="AA214">
            <v>26869</v>
          </cell>
        </row>
        <row r="215">
          <cell r="B215" t="str">
            <v>KHI/HO/D/MO/PC COMP/C/105499/129/01/2025</v>
          </cell>
          <cell r="D215" t="str">
            <v>REN</v>
          </cell>
          <cell r="E215" t="str">
            <v>21/01/25</v>
          </cell>
          <cell r="F215" t="str">
            <v>18/01/2025</v>
          </cell>
          <cell r="G215" t="str">
            <v>17/01/2026</v>
          </cell>
          <cell r="H215" t="str">
            <v>08004499</v>
          </cell>
          <cell r="I215" t="str">
            <v>AL BARAKA BANK (PAKISTAN) LIMITED</v>
          </cell>
          <cell r="J215" t="str">
            <v>BANK</v>
          </cell>
          <cell r="K215" t="str">
            <v>Mr. 
Al Baraka Bank Pakistan Limited 
Mr. 
Al Baraka Bank Pakistan Limited 
User: Ejaz  Ahmed</v>
          </cell>
          <cell r="L215" t="str">
            <v>D</v>
          </cell>
          <cell r="M215" t="str">
            <v>09000221</v>
          </cell>
          <cell r="N215">
            <v>100</v>
          </cell>
          <cell r="P215" t="str">
            <v>Cheema House Baoo Wala Rohi Nala Line Road Main Barki Road Lahore Cantt</v>
          </cell>
          <cell r="Q215" t="str">
            <v>11000003</v>
          </cell>
          <cell r="R215" t="str">
            <v>TOYOTA COROLLA GLI M/T 1.</v>
          </cell>
          <cell r="S215" t="str">
            <v>2019</v>
          </cell>
          <cell r="T215" t="str">
            <v>LEA-20-5910</v>
          </cell>
          <cell r="U215" t="str">
            <v>570005</v>
          </cell>
          <cell r="V215" t="str">
            <v>4198301</v>
          </cell>
          <cell r="W215" t="str">
            <v>05-feb-2026</v>
          </cell>
          <cell r="Y215">
            <v>2377500</v>
          </cell>
          <cell r="Z215">
            <v>51240</v>
          </cell>
          <cell r="AA215">
            <v>59438</v>
          </cell>
        </row>
        <row r="216">
          <cell r="B216" t="str">
            <v>KHI/HO/D/MO/PC COMP/C/105499/130/01/2025</v>
          </cell>
          <cell r="D216" t="str">
            <v>REN</v>
          </cell>
          <cell r="E216" t="str">
            <v>21/01/25</v>
          </cell>
          <cell r="F216" t="str">
            <v>18/01/2025</v>
          </cell>
          <cell r="G216" t="str">
            <v>17/01/2026</v>
          </cell>
          <cell r="H216" t="str">
            <v>08004499</v>
          </cell>
          <cell r="I216" t="str">
            <v>AL BARAKA BANK (PAKISTAN) LIMITED</v>
          </cell>
          <cell r="J216" t="str">
            <v>BANK</v>
          </cell>
          <cell r="K216" t="str">
            <v>Mr. 
Al Baraka Bank Pakistan Limited 
Mr. 
Al Baraka Bank Pakistan Limited 
User: Waqar  Khan</v>
          </cell>
          <cell r="L216" t="str">
            <v>D</v>
          </cell>
          <cell r="M216" t="str">
            <v>09000221</v>
          </cell>
          <cell r="N216">
            <v>100</v>
          </cell>
          <cell r="P216" t="str">
            <v>House No. 36/6 Street 6 Mohallah Rajput  Colony  Jahangir Road Sir Syed Chowk Rawalpindi</v>
          </cell>
          <cell r="Q216" t="str">
            <v>11000003</v>
          </cell>
          <cell r="R216" t="str">
            <v>SUZUKI MEHRAN VXR EURO-II</v>
          </cell>
          <cell r="S216" t="str">
            <v>2019</v>
          </cell>
          <cell r="T216" t="str">
            <v>RIC-201</v>
          </cell>
          <cell r="U216" t="str">
            <v>763116</v>
          </cell>
          <cell r="V216" t="str">
            <v>01301665</v>
          </cell>
          <cell r="W216" t="str">
            <v>05-feb-2026</v>
          </cell>
          <cell r="Y216">
            <v>712500</v>
          </cell>
          <cell r="Z216">
            <v>15356</v>
          </cell>
          <cell r="AA216">
            <v>17813</v>
          </cell>
        </row>
        <row r="217">
          <cell r="B217" t="str">
            <v>KHI/HO/D/MO/PC COMP/C/105499/131/01/2025</v>
          </cell>
          <cell r="D217" t="str">
            <v>REN</v>
          </cell>
          <cell r="E217" t="str">
            <v>21/01/25</v>
          </cell>
          <cell r="F217" t="str">
            <v>20/01/2025</v>
          </cell>
          <cell r="G217" t="str">
            <v>19/01/2026</v>
          </cell>
          <cell r="H217" t="str">
            <v>08004499</v>
          </cell>
          <cell r="I217" t="str">
            <v>AL BARAKA BANK (PAKISTAN) LIMITED</v>
          </cell>
          <cell r="J217" t="str">
            <v>BANK</v>
          </cell>
          <cell r="K217" t="str">
            <v>Mr. 
Al Baraka Bank Pakistan Limited 
Mr. 
Al Baraka Bank Pakistan Limited 
User: Rafaqat   Masih</v>
          </cell>
          <cell r="L217" t="str">
            <v>D</v>
          </cell>
          <cell r="M217" t="str">
            <v>09000221</v>
          </cell>
          <cell r="N217">
            <v>100</v>
          </cell>
          <cell r="P217" t="str">
            <v>House No.55 Block B Mohallah  Chritan Colony  Raiwind Lahore</v>
          </cell>
          <cell r="Q217" t="str">
            <v>11000003</v>
          </cell>
          <cell r="R217" t="str">
            <v>SUZUKI BOLAN STD VX EURO</v>
          </cell>
          <cell r="S217" t="str">
            <v>2021</v>
          </cell>
          <cell r="T217" t="str">
            <v>ABV-211</v>
          </cell>
          <cell r="U217" t="str">
            <v>1008524</v>
          </cell>
          <cell r="V217" t="str">
            <v>1125039</v>
          </cell>
          <cell r="W217" t="str">
            <v>05-feb-2026</v>
          </cell>
          <cell r="Y217">
            <v>850500</v>
          </cell>
          <cell r="Z217">
            <v>18330</v>
          </cell>
          <cell r="AA217">
            <v>21263</v>
          </cell>
        </row>
        <row r="218">
          <cell r="B218" t="str">
            <v>KHI/HO/D/MO/PC COMP/C/105499/132/01/2025</v>
          </cell>
          <cell r="D218" t="str">
            <v>REN</v>
          </cell>
          <cell r="E218" t="str">
            <v>21/01/25</v>
          </cell>
          <cell r="F218" t="str">
            <v>04/01/2025</v>
          </cell>
          <cell r="G218" t="str">
            <v>03/01/2026</v>
          </cell>
          <cell r="H218" t="str">
            <v>08004499</v>
          </cell>
          <cell r="I218" t="str">
            <v>AL BARAKA BANK (PAKISTAN) LIMITED</v>
          </cell>
          <cell r="J218" t="str">
            <v>BANK</v>
          </cell>
          <cell r="K218" t="str">
            <v>Mr. 
Al Baraka Bank Pakistan Limited 
Mr. 
Al Baraka Bank Pakistan Limited 
User: Ali  Raza</v>
          </cell>
          <cell r="L218" t="str">
            <v>D</v>
          </cell>
          <cell r="M218" t="str">
            <v>09000221</v>
          </cell>
          <cell r="N218">
            <v>100</v>
          </cell>
          <cell r="P218" t="str">
            <v>Hussain Street Khokhar Road Badami Bagh Lahore</v>
          </cell>
          <cell r="Q218" t="str">
            <v>11000003</v>
          </cell>
          <cell r="R218" t="str">
            <v>SUZUKI ALTO VX EURO II</v>
          </cell>
          <cell r="S218" t="str">
            <v>2021</v>
          </cell>
          <cell r="T218" t="str">
            <v>AGW-475</v>
          </cell>
          <cell r="U218" t="str">
            <v>6R197046</v>
          </cell>
          <cell r="V218" t="str">
            <v>1097039</v>
          </cell>
          <cell r="W218" t="str">
            <v>05-jan-2027</v>
          </cell>
          <cell r="Y218">
            <v>890400</v>
          </cell>
          <cell r="Z218">
            <v>19190</v>
          </cell>
          <cell r="AA218">
            <v>22260</v>
          </cell>
        </row>
        <row r="219">
          <cell r="B219" t="str">
            <v>KHI/HO/D/MO/PC COMP/C/105499/133/01/2025</v>
          </cell>
          <cell r="D219" t="str">
            <v>REN</v>
          </cell>
          <cell r="E219" t="str">
            <v>21/01/25</v>
          </cell>
          <cell r="F219" t="str">
            <v>12/01/2025</v>
          </cell>
          <cell r="G219" t="str">
            <v>11/01/2026</v>
          </cell>
          <cell r="H219" t="str">
            <v>08004499</v>
          </cell>
          <cell r="I219" t="str">
            <v>AL BARAKA BANK (PAKISTAN) LIMITED</v>
          </cell>
          <cell r="J219" t="str">
            <v>BANK</v>
          </cell>
          <cell r="K219" t="str">
            <v>Mr. 
Al Baraka Bank Pakistan Limited 
Mr. 
Al Baraka Bank Pakistan Limited 
User: Ali Mesum Raza</v>
          </cell>
          <cell r="L219" t="str">
            <v>D</v>
          </cell>
          <cell r="M219" t="str">
            <v>09000221</v>
          </cell>
          <cell r="N219">
            <v>100</v>
          </cell>
          <cell r="P219" t="str">
            <v>H # 183/T1 Mohallah Jinnah Town Distr Jail Road Multan</v>
          </cell>
          <cell r="Q219" t="str">
            <v>11000003</v>
          </cell>
          <cell r="R219" t="str">
            <v>SUZUKI ALTO VX EURO II</v>
          </cell>
          <cell r="S219" t="str">
            <v>2022</v>
          </cell>
          <cell r="T219" t="str">
            <v>AHE-684</v>
          </cell>
          <cell r="U219" t="str">
            <v>204718</v>
          </cell>
          <cell r="V219" t="str">
            <v>1104741</v>
          </cell>
          <cell r="W219" t="str">
            <v>05-jan-2027</v>
          </cell>
          <cell r="Y219">
            <v>890400</v>
          </cell>
          <cell r="Z219">
            <v>19190</v>
          </cell>
          <cell r="AA219">
            <v>22260</v>
          </cell>
        </row>
        <row r="220">
          <cell r="B220" t="str">
            <v>KHI/HO/D/MO/PC COMP/C/105499/134/01/2025</v>
          </cell>
          <cell r="D220" t="str">
            <v>REN</v>
          </cell>
          <cell r="E220" t="str">
            <v>21/01/25</v>
          </cell>
          <cell r="F220" t="str">
            <v>12/01/2025</v>
          </cell>
          <cell r="G220" t="str">
            <v>11/01/2026</v>
          </cell>
          <cell r="H220" t="str">
            <v>08004499</v>
          </cell>
          <cell r="I220" t="str">
            <v>AL BARAKA BANK (PAKISTAN) LIMITED</v>
          </cell>
          <cell r="J220" t="str">
            <v>BANK</v>
          </cell>
          <cell r="K220" t="str">
            <v>Mr. 
Al Baraka Bank Pakistan Limited 
Mr. 
Al Baraka Bank Pakistan Limited 
User: Muhammad  Zahid</v>
          </cell>
          <cell r="L220" t="str">
            <v>D</v>
          </cell>
          <cell r="M220" t="str">
            <v>09000221</v>
          </cell>
          <cell r="N220">
            <v>100</v>
          </cell>
          <cell r="P220" t="str">
            <v>H # D 22 Family Block D Plot Ht 11 Al Karam Landhi Karachi</v>
          </cell>
          <cell r="Q220" t="str">
            <v>11000003</v>
          </cell>
          <cell r="R220" t="str">
            <v>HONDA CIVIC VTI ORIEL I-V</v>
          </cell>
          <cell r="S220" t="str">
            <v>2020</v>
          </cell>
          <cell r="T220" t="str">
            <v>BQF-455</v>
          </cell>
          <cell r="U220" t="str">
            <v>R18Z12950468</v>
          </cell>
          <cell r="V220" t="str">
            <v>53936.</v>
          </cell>
          <cell r="W220" t="str">
            <v>05-feb-2027</v>
          </cell>
          <cell r="Y220">
            <v>3200000</v>
          </cell>
          <cell r="Z220">
            <v>41379</v>
          </cell>
          <cell r="AA220">
            <v>48000</v>
          </cell>
        </row>
        <row r="221">
          <cell r="B221" t="str">
            <v>KHI/HO/D/MO/PC COMP/C/105499/135/01/2025</v>
          </cell>
          <cell r="D221" t="str">
            <v>REN</v>
          </cell>
          <cell r="E221" t="str">
            <v>21/01/25</v>
          </cell>
          <cell r="F221" t="str">
            <v>13/01/2025</v>
          </cell>
          <cell r="G221" t="str">
            <v>12/01/2026</v>
          </cell>
          <cell r="H221" t="str">
            <v>08004499</v>
          </cell>
          <cell r="I221" t="str">
            <v>AL BARAKA BANK (PAKISTAN) LIMITED</v>
          </cell>
          <cell r="J221" t="str">
            <v>BANK</v>
          </cell>
          <cell r="K221" t="str">
            <v>Mr. 
Al Baraka Bank Pakistan Limited 
Mr. 
Al Baraka Bank Pakistan Limited 
User: Rahul  Akram</v>
          </cell>
          <cell r="L221" t="str">
            <v>D</v>
          </cell>
          <cell r="M221" t="str">
            <v>09000221</v>
          </cell>
          <cell r="N221">
            <v>100</v>
          </cell>
          <cell r="P221" t="str">
            <v>H # 8  Street 2 Kari Das Church Street Sodiwal Bund Road Lahore</v>
          </cell>
          <cell r="Q221" t="str">
            <v>11000003</v>
          </cell>
          <cell r="R221" t="str">
            <v>CHANGAN KARVAAN PLUS</v>
          </cell>
          <cell r="S221" t="str">
            <v>2021</v>
          </cell>
          <cell r="T221" t="str">
            <v>AGS-102</v>
          </cell>
          <cell r="U221" t="str">
            <v>503300</v>
          </cell>
          <cell r="V221" t="str">
            <v>1005527</v>
          </cell>
          <cell r="W221" t="str">
            <v>05-feb-2029</v>
          </cell>
          <cell r="Y221">
            <v>1119200</v>
          </cell>
          <cell r="Z221">
            <v>24121</v>
          </cell>
          <cell r="AA221">
            <v>27980</v>
          </cell>
        </row>
        <row r="222">
          <cell r="B222" t="str">
            <v>KHI/HO/D/MO/PC COMP/C/105499/136/01/2025</v>
          </cell>
          <cell r="D222" t="str">
            <v>REN</v>
          </cell>
          <cell r="E222" t="str">
            <v>21/01/25</v>
          </cell>
          <cell r="F222" t="str">
            <v>13/01/2025</v>
          </cell>
          <cell r="G222" t="str">
            <v>12/01/2026</v>
          </cell>
          <cell r="H222" t="str">
            <v>08004499</v>
          </cell>
          <cell r="I222" t="str">
            <v>AL BARAKA BANK (PAKISTAN) LIMITED</v>
          </cell>
          <cell r="J222" t="str">
            <v>BANK</v>
          </cell>
          <cell r="K222" t="str">
            <v>Mr. 
Al Baraka Bank Pakistan Limited 
Mr. 
Al Baraka Bank Pakistan Limited 
User: Muhammad Ehtesham Shahzad</v>
          </cell>
          <cell r="L222" t="str">
            <v>D</v>
          </cell>
          <cell r="M222" t="str">
            <v>09000221</v>
          </cell>
          <cell r="N222">
            <v>100</v>
          </cell>
          <cell r="P222" t="str">
            <v>House No. 7-4/A Street 7 Sector G-7/2 Islamabad</v>
          </cell>
          <cell r="Q222" t="str">
            <v>11000003</v>
          </cell>
          <cell r="R222" t="str">
            <v>SUZUKI ALTO VXR E-2</v>
          </cell>
          <cell r="S222" t="str">
            <v>2021</v>
          </cell>
          <cell r="T222" t="str">
            <v>AWV-834</v>
          </cell>
          <cell r="U222" t="str">
            <v>196595</v>
          </cell>
          <cell r="V222" t="str">
            <v>1096583</v>
          </cell>
          <cell r="W222" t="str">
            <v>05-jan-2028</v>
          </cell>
          <cell r="Y222">
            <v>1068000</v>
          </cell>
          <cell r="Z222">
            <v>23017</v>
          </cell>
          <cell r="AA222">
            <v>26700</v>
          </cell>
        </row>
        <row r="223">
          <cell r="B223" t="str">
            <v>KHI/HO/D/MO/PC COMP/C/105499/137/01/2025</v>
          </cell>
          <cell r="D223" t="str">
            <v>REN</v>
          </cell>
          <cell r="E223" t="str">
            <v>21/01/25</v>
          </cell>
          <cell r="F223" t="str">
            <v>14/01/2025</v>
          </cell>
          <cell r="G223" t="str">
            <v>13/01/2026</v>
          </cell>
          <cell r="H223" t="str">
            <v>08004499</v>
          </cell>
          <cell r="I223" t="str">
            <v>AL BARAKA BANK (PAKISTAN) LIMITED</v>
          </cell>
          <cell r="J223" t="str">
            <v>BANK</v>
          </cell>
          <cell r="K223" t="str">
            <v>Mr. 
Al Baraka Bank Pakistan Limited 
Mr. 
Al Baraka Bank Pakistan Limited 
User: Fazal  Mahmood</v>
          </cell>
          <cell r="L223" t="str">
            <v>D</v>
          </cell>
          <cell r="M223" t="str">
            <v>09000221</v>
          </cell>
          <cell r="N223">
            <v>100</v>
          </cell>
          <cell r="P223" t="str">
            <v>H # 4 Al Jannat Homes Opp Taj Bagh Gate 3 Harbanspura Road Lahore</v>
          </cell>
          <cell r="Q223" t="str">
            <v>11000003</v>
          </cell>
          <cell r="R223" t="str">
            <v>HONDA CITY I-VTEC (M/T)</v>
          </cell>
          <cell r="S223" t="str">
            <v>2017</v>
          </cell>
          <cell r="T223" t="str">
            <v>LE-18-7056</v>
          </cell>
          <cell r="U223" t="str">
            <v>17502552</v>
          </cell>
          <cell r="V223" t="str">
            <v>212913</v>
          </cell>
          <cell r="W223" t="str">
            <v>05-feb-2027</v>
          </cell>
          <cell r="Y223">
            <v>1776000</v>
          </cell>
          <cell r="Z223">
            <v>26793</v>
          </cell>
          <cell r="AA223">
            <v>31080</v>
          </cell>
        </row>
        <row r="224">
          <cell r="B224" t="str">
            <v>KHI/HO/D/MO/PC COMP/C/105499/138/01/2025</v>
          </cell>
          <cell r="D224" t="str">
            <v>REN</v>
          </cell>
          <cell r="E224" t="str">
            <v>21/01/25</v>
          </cell>
          <cell r="F224" t="str">
            <v>14/01/2025</v>
          </cell>
          <cell r="G224" t="str">
            <v>13/01/2026</v>
          </cell>
          <cell r="H224" t="str">
            <v>08004499</v>
          </cell>
          <cell r="I224" t="str">
            <v>AL BARAKA BANK (PAKISTAN) LIMITED</v>
          </cell>
          <cell r="J224" t="str">
            <v>BANK</v>
          </cell>
          <cell r="K224" t="str">
            <v>Mr. 
Al Baraka Bank Pakistan Limited 
Mr. 
Al Baraka Bank Pakistan Limited 
User: Muhammad  Siddique</v>
          </cell>
          <cell r="L224" t="str">
            <v>D</v>
          </cell>
          <cell r="M224" t="str">
            <v>09000221</v>
          </cell>
          <cell r="N224">
            <v>100</v>
          </cell>
          <cell r="P224" t="str">
            <v>H # 66-A/1 1St Floor Gulshan Shalimar Scheme Baghbanpura Lahore</v>
          </cell>
          <cell r="Q224" t="str">
            <v>11000003</v>
          </cell>
          <cell r="R224" t="str">
            <v>SUZUKI ALTO VXR E-2</v>
          </cell>
          <cell r="S224" t="str">
            <v>2022</v>
          </cell>
          <cell r="T224" t="str">
            <v>AHD-789</v>
          </cell>
          <cell r="U224" t="str">
            <v>6R205286</v>
          </cell>
          <cell r="V224" t="str">
            <v>H1105263</v>
          </cell>
          <cell r="W224" t="str">
            <v>05-feb-2027</v>
          </cell>
          <cell r="Y224">
            <v>1236800</v>
          </cell>
          <cell r="Z224">
            <v>18658</v>
          </cell>
          <cell r="AA224">
            <v>21644</v>
          </cell>
        </row>
        <row r="225">
          <cell r="B225" t="str">
            <v>KHI/HO/D/MO/PC COMP/C/105499/139/01/2025</v>
          </cell>
          <cell r="D225" t="str">
            <v>REN</v>
          </cell>
          <cell r="E225" t="str">
            <v>21/01/25</v>
          </cell>
          <cell r="F225" t="str">
            <v>14/01/2025</v>
          </cell>
          <cell r="G225" t="str">
            <v>13/01/2026</v>
          </cell>
          <cell r="H225" t="str">
            <v>08004499</v>
          </cell>
          <cell r="I225" t="str">
            <v>AL BARAKA BANK (PAKISTAN) LIMITED</v>
          </cell>
          <cell r="J225" t="str">
            <v>BANK</v>
          </cell>
          <cell r="K225" t="str">
            <v>Mr. 
Al Baraka Bank Pakistan Limited 
Mr. 
Al Baraka Bank Pakistan Limited 
User: Bushra  Maqbool</v>
          </cell>
          <cell r="L225" t="str">
            <v>D</v>
          </cell>
          <cell r="M225" t="str">
            <v>09000221</v>
          </cell>
          <cell r="N225">
            <v>100</v>
          </cell>
          <cell r="P225" t="str">
            <v>H # 50-B Wahdat Colony Lahore</v>
          </cell>
          <cell r="Q225" t="str">
            <v>11000003</v>
          </cell>
          <cell r="R225" t="str">
            <v>TOYOTA COROLLA GLI M/T 1.</v>
          </cell>
          <cell r="S225" t="str">
            <v>2016</v>
          </cell>
          <cell r="T225" t="str">
            <v>LEF-16-569</v>
          </cell>
          <cell r="U225" t="str">
            <v>Z443802</v>
          </cell>
          <cell r="V225" t="str">
            <v>NZE170R-4078133</v>
          </cell>
          <cell r="W225" t="str">
            <v>05-feb-2027</v>
          </cell>
          <cell r="Y225">
            <v>1840000</v>
          </cell>
          <cell r="Z225">
            <v>27758</v>
          </cell>
          <cell r="AA225">
            <v>32200</v>
          </cell>
        </row>
        <row r="226">
          <cell r="B226" t="str">
            <v>KHI/HO/D/MO/PC COMP/C/105499/140/01/2025</v>
          </cell>
          <cell r="D226" t="str">
            <v>REN</v>
          </cell>
          <cell r="E226" t="str">
            <v>21/01/25</v>
          </cell>
          <cell r="F226" t="str">
            <v>04/01/2025</v>
          </cell>
          <cell r="G226" t="str">
            <v>03/01/2026</v>
          </cell>
          <cell r="H226" t="str">
            <v>08004499</v>
          </cell>
          <cell r="I226" t="str">
            <v>AL BARAKA BANK (PAKISTAN) LIMITED</v>
          </cell>
          <cell r="J226" t="str">
            <v>BANK</v>
          </cell>
          <cell r="K226" t="str">
            <v>Mr. 
Al Baraka Bank Pakistan Limited 
Mr. 
Al Baraka Bank Pakistan Limited 
User: Wajid  Ali</v>
          </cell>
          <cell r="L226" t="str">
            <v>D</v>
          </cell>
          <cell r="M226" t="str">
            <v>09000221</v>
          </cell>
          <cell r="N226">
            <v>100</v>
          </cell>
          <cell r="P226" t="str">
            <v>H # 1 Rehmat Colony Near Shahbaz Book Center Wandala Road Shahdrah Lahore</v>
          </cell>
          <cell r="Q226" t="str">
            <v>11000003</v>
          </cell>
          <cell r="R226" t="str">
            <v>SUZUKI WAGON-R VXL E2</v>
          </cell>
          <cell r="S226" t="str">
            <v>2015</v>
          </cell>
          <cell r="T226" t="str">
            <v>LE-16-5878</v>
          </cell>
          <cell r="U226" t="str">
            <v>110106</v>
          </cell>
          <cell r="V226" t="str">
            <v>10010103</v>
          </cell>
          <cell r="W226" t="str">
            <v>05-jan-2027</v>
          </cell>
          <cell r="Y226">
            <v>1080000</v>
          </cell>
          <cell r="Z226">
            <v>16293</v>
          </cell>
          <cell r="AA226">
            <v>18900</v>
          </cell>
        </row>
        <row r="227">
          <cell r="B227" t="str">
            <v>KHI/HO/D/MO/PC COMP/C/105499/141/01/2025</v>
          </cell>
          <cell r="D227" t="str">
            <v>REN</v>
          </cell>
          <cell r="E227" t="str">
            <v>21/01/25</v>
          </cell>
          <cell r="F227" t="str">
            <v>17/01/2025</v>
          </cell>
          <cell r="G227" t="str">
            <v>16/01/2026</v>
          </cell>
          <cell r="H227" t="str">
            <v>08004499</v>
          </cell>
          <cell r="I227" t="str">
            <v>AL BARAKA BANK (PAKISTAN) LIMITED</v>
          </cell>
          <cell r="J227" t="str">
            <v>BANK</v>
          </cell>
          <cell r="K227" t="str">
            <v>Mr. 
Al Baraka Bank Pakistan Limited 
Mr. 
Al Baraka Bank Pakistan Limited 
User: Muhammad  Umar</v>
          </cell>
          <cell r="L227" t="str">
            <v>D</v>
          </cell>
          <cell r="M227" t="str">
            <v>09000221</v>
          </cell>
          <cell r="N227">
            <v>100</v>
          </cell>
          <cell r="P227" t="str">
            <v>H -5-A St 07 Wind Sir Park Ichra Lahore</v>
          </cell>
          <cell r="Q227" t="str">
            <v>11000003</v>
          </cell>
          <cell r="R227" t="str">
            <v>SUZUKI ALTO VX</v>
          </cell>
          <cell r="S227" t="str">
            <v>2022</v>
          </cell>
          <cell r="T227" t="str">
            <v>AHC-962</v>
          </cell>
          <cell r="U227" t="str">
            <v>6R197371</v>
          </cell>
          <cell r="V227" t="str">
            <v>1097457</v>
          </cell>
          <cell r="W227" t="str">
            <v>05-feb-2029</v>
          </cell>
          <cell r="Y227">
            <v>890400</v>
          </cell>
          <cell r="Z227">
            <v>19190</v>
          </cell>
          <cell r="AA227">
            <v>22260</v>
          </cell>
        </row>
        <row r="228">
          <cell r="B228" t="str">
            <v>KHI/HO/D/MO/PC COMP/C/105499/142/01/2025</v>
          </cell>
          <cell r="D228" t="str">
            <v>REN</v>
          </cell>
          <cell r="E228" t="str">
            <v>21/01/25</v>
          </cell>
          <cell r="F228" t="str">
            <v>17/01/2025</v>
          </cell>
          <cell r="G228" t="str">
            <v>16/01/2026</v>
          </cell>
          <cell r="H228" t="str">
            <v>08004499</v>
          </cell>
          <cell r="I228" t="str">
            <v>AL BARAKA BANK (PAKISTAN) LIMITED</v>
          </cell>
          <cell r="J228" t="str">
            <v>BANK</v>
          </cell>
          <cell r="K228" t="str">
            <v>Mr. 
Al Baraka Bank Pakistan Limited 
Mr. 
Al Baraka Bank Pakistan Limited 
User: Attique Ur Rehman</v>
          </cell>
          <cell r="L228" t="str">
            <v>D</v>
          </cell>
          <cell r="M228" t="str">
            <v>09000221</v>
          </cell>
          <cell r="N228">
            <v>100</v>
          </cell>
          <cell r="P228" t="str">
            <v>H # 62-B Rahim Town Rachna Town Kps Road Lahore</v>
          </cell>
          <cell r="Q228" t="str">
            <v>11000003</v>
          </cell>
          <cell r="R228" t="str">
            <v>SUZUKI WAGON-R VXR</v>
          </cell>
          <cell r="S228" t="str">
            <v>2022</v>
          </cell>
          <cell r="T228" t="str">
            <v>AHR-549</v>
          </cell>
          <cell r="U228" t="str">
            <v>B227905</v>
          </cell>
          <cell r="V228" t="str">
            <v>PK10127910</v>
          </cell>
          <cell r="W228" t="str">
            <v>05-apr-2027</v>
          </cell>
          <cell r="Y228">
            <v>1501600</v>
          </cell>
          <cell r="Z228">
            <v>22653</v>
          </cell>
          <cell r="AA228">
            <v>26278</v>
          </cell>
        </row>
        <row r="229">
          <cell r="B229" t="str">
            <v>KHI/HO/D/MO/PC COMP/C/105499/143/01/2025</v>
          </cell>
          <cell r="D229" t="str">
            <v>REN</v>
          </cell>
          <cell r="E229" t="str">
            <v>21/01/25</v>
          </cell>
          <cell r="F229" t="str">
            <v>17/01/2025</v>
          </cell>
          <cell r="G229" t="str">
            <v>16/01/2026</v>
          </cell>
          <cell r="H229" t="str">
            <v>08004499</v>
          </cell>
          <cell r="I229" t="str">
            <v>AL BARAKA BANK (PAKISTAN) LIMITED</v>
          </cell>
          <cell r="J229" t="str">
            <v>BANK</v>
          </cell>
          <cell r="K229" t="str">
            <v>Mr. 
Al Baraka Bank Pakistan Limited 
Mr. 
Al Baraka Bank Pakistan Limited 
User: Muhammad  Khalil</v>
          </cell>
          <cell r="L229" t="str">
            <v>D</v>
          </cell>
          <cell r="M229" t="str">
            <v>09000221</v>
          </cell>
          <cell r="N229">
            <v>100</v>
          </cell>
          <cell r="P229" t="str">
            <v>H # 3  Block B Lahore Garden Sharqpur Road Lahore</v>
          </cell>
          <cell r="Q229" t="str">
            <v>11000003</v>
          </cell>
          <cell r="R229" t="str">
            <v>SUZUKI BOLAN STD VX EURO</v>
          </cell>
          <cell r="S229" t="str">
            <v>2022</v>
          </cell>
          <cell r="T229" t="str">
            <v>AHQ-094</v>
          </cell>
          <cell r="U229" t="str">
            <v>1019448</v>
          </cell>
          <cell r="V229" t="str">
            <v>1135970</v>
          </cell>
          <cell r="W229" t="str">
            <v>05-feb-2027</v>
          </cell>
          <cell r="Y229">
            <v>919200</v>
          </cell>
          <cell r="Z229">
            <v>13867</v>
          </cell>
          <cell r="AA229">
            <v>16086</v>
          </cell>
        </row>
        <row r="230">
          <cell r="B230" t="str">
            <v>KHI/HO/D/MO/PC COMP/C/105499/144/01/2025</v>
          </cell>
          <cell r="D230" t="str">
            <v>REN</v>
          </cell>
          <cell r="E230" t="str">
            <v>21/01/25</v>
          </cell>
          <cell r="F230" t="str">
            <v>17/01/2025</v>
          </cell>
          <cell r="G230" t="str">
            <v>16/01/2026</v>
          </cell>
          <cell r="H230" t="str">
            <v>08004499</v>
          </cell>
          <cell r="I230" t="str">
            <v>AL BARAKA BANK (PAKISTAN) LIMITED</v>
          </cell>
          <cell r="J230" t="str">
            <v>BANK</v>
          </cell>
          <cell r="K230" t="str">
            <v>Mr. 
Al Baraka Bank Pakistan Limited 
Mr. 
Al Baraka Bank Pakistan Limited 
User: Faisal  Nawaz</v>
          </cell>
          <cell r="L230" t="str">
            <v>D</v>
          </cell>
          <cell r="M230" t="str">
            <v>09000221</v>
          </cell>
          <cell r="N230">
            <v>100</v>
          </cell>
          <cell r="P230" t="str">
            <v>H # 731/14 Street 13  Gulshan Colony 2 Chungi Ammar Sidhu Lahore</v>
          </cell>
          <cell r="Q230" t="str">
            <v>11000003</v>
          </cell>
          <cell r="R230" t="str">
            <v>SUZUKI CULTUS VXL EURO II</v>
          </cell>
          <cell r="S230" t="str">
            <v>2020</v>
          </cell>
          <cell r="T230" t="str">
            <v>AGZ-807</v>
          </cell>
          <cell r="U230" t="str">
            <v>165779</v>
          </cell>
          <cell r="V230" t="str">
            <v>10065806</v>
          </cell>
          <cell r="W230" t="str">
            <v>05-feb-2027</v>
          </cell>
          <cell r="Y230">
            <v>1440000</v>
          </cell>
          <cell r="Z230">
            <v>21724</v>
          </cell>
          <cell r="AA230">
            <v>25200</v>
          </cell>
        </row>
        <row r="231">
          <cell r="B231" t="str">
            <v>KHI/HO/D/MO/PC COMP/C/105499/145/01/2025</v>
          </cell>
          <cell r="D231" t="str">
            <v>REN</v>
          </cell>
          <cell r="E231" t="str">
            <v>21/01/25</v>
          </cell>
          <cell r="F231" t="str">
            <v>18/01/2025</v>
          </cell>
          <cell r="G231" t="str">
            <v>17/01/2026</v>
          </cell>
          <cell r="H231" t="str">
            <v>08004499</v>
          </cell>
          <cell r="I231" t="str">
            <v>AL BARAKA BANK (PAKISTAN) LIMITED</v>
          </cell>
          <cell r="J231" t="str">
            <v>BANK</v>
          </cell>
          <cell r="K231" t="str">
            <v>Mr. 
Al Baraka Bank Pakistan Limited 
Mr. 
Al Baraka Bank Pakistan Limited 
User: Syed Mansab Ali</v>
          </cell>
          <cell r="L231" t="str">
            <v>D</v>
          </cell>
          <cell r="M231" t="str">
            <v>09000221</v>
          </cell>
          <cell r="N231">
            <v>100</v>
          </cell>
          <cell r="P231" t="str">
            <v>H # 80 Sector 7-D/1 North  Karachi Karachi</v>
          </cell>
          <cell r="Q231" t="str">
            <v>11000003</v>
          </cell>
          <cell r="R231" t="str">
            <v>KIA PICANTO 1.0L A/T</v>
          </cell>
          <cell r="S231" t="str">
            <v>2019</v>
          </cell>
          <cell r="T231" t="str">
            <v>BRD 697</v>
          </cell>
          <cell r="U231" t="str">
            <v>148290</v>
          </cell>
          <cell r="V231" t="str">
            <v>700448</v>
          </cell>
          <cell r="W231" t="str">
            <v>05-feb-2027</v>
          </cell>
          <cell r="Y231">
            <v>1680000</v>
          </cell>
          <cell r="Z231">
            <v>25345</v>
          </cell>
          <cell r="AA231">
            <v>29400</v>
          </cell>
        </row>
        <row r="232">
          <cell r="B232" t="str">
            <v>KHI/HO/D/MO/PC COMP/C/105499/146/01/2025</v>
          </cell>
          <cell r="D232" t="str">
            <v>REN</v>
          </cell>
          <cell r="E232" t="str">
            <v>21/01/25</v>
          </cell>
          <cell r="F232" t="str">
            <v>18/01/2025</v>
          </cell>
          <cell r="G232" t="str">
            <v>17/01/2026</v>
          </cell>
          <cell r="H232" t="str">
            <v>08004499</v>
          </cell>
          <cell r="I232" t="str">
            <v>AL BARAKA BANK (PAKISTAN) LIMITED</v>
          </cell>
          <cell r="J232" t="str">
            <v>BANK</v>
          </cell>
          <cell r="K232" t="str">
            <v>Mr. 
Al Baraka Bank Pakistan Limited 
Mr. 
Al Baraka Bank Pakistan Limited 
User: Muhammad  Abbas</v>
          </cell>
          <cell r="L232" t="str">
            <v>D</v>
          </cell>
          <cell r="M232" t="str">
            <v>09000221</v>
          </cell>
          <cell r="N232">
            <v>100</v>
          </cell>
          <cell r="P232" t="str">
            <v>Mohallah Fakhar Shah Colony Deepal Pur Okara</v>
          </cell>
          <cell r="Q232" t="str">
            <v>11000003</v>
          </cell>
          <cell r="R232" t="str">
            <v>SUZUKI SWIFT DLX M/T NAV.</v>
          </cell>
          <cell r="S232" t="str">
            <v>2019</v>
          </cell>
          <cell r="T232" t="str">
            <v>APJ-989</v>
          </cell>
          <cell r="U232" t="str">
            <v>13047465</v>
          </cell>
          <cell r="V232" t="str">
            <v>10047464</v>
          </cell>
          <cell r="W232" t="str">
            <v>05-feb-2027</v>
          </cell>
          <cell r="Y232">
            <v>1640000</v>
          </cell>
          <cell r="Z232">
            <v>24742</v>
          </cell>
          <cell r="AA232">
            <v>28700</v>
          </cell>
        </row>
        <row r="233">
          <cell r="B233" t="str">
            <v>KHI/HO/D/MO/PC COMP/C/105499/147/01/2025</v>
          </cell>
          <cell r="D233" t="str">
            <v>REN</v>
          </cell>
          <cell r="E233" t="str">
            <v>21/01/25</v>
          </cell>
          <cell r="F233" t="str">
            <v>21/01/2025</v>
          </cell>
          <cell r="G233" t="str">
            <v>20/01/2026</v>
          </cell>
          <cell r="H233" t="str">
            <v>08004499</v>
          </cell>
          <cell r="I233" t="str">
            <v>AL BARAKA BANK (PAKISTAN) LIMITED</v>
          </cell>
          <cell r="J233" t="str">
            <v>BANK</v>
          </cell>
          <cell r="K233" t="str">
            <v>Mr. 
Al Baraka Bank Pakistan Limited 
Mr. 
Al Baraka Bank Pakistan Limited 
User: Iram  Sohail</v>
          </cell>
          <cell r="L233" t="str">
            <v>D</v>
          </cell>
          <cell r="M233" t="str">
            <v>09000221</v>
          </cell>
          <cell r="N233">
            <v>100</v>
          </cell>
          <cell r="P233" t="str">
            <v>H # 4/1 Fazila Colony Shah Kamal Lahore</v>
          </cell>
          <cell r="Q233" t="str">
            <v>11000003</v>
          </cell>
          <cell r="R233" t="str">
            <v>HONDA BRV MTI I-VTEC 1.5L</v>
          </cell>
          <cell r="S233" t="str">
            <v>2018</v>
          </cell>
          <cell r="T233" t="str">
            <v>LE-18A-6393</v>
          </cell>
          <cell r="U233" t="str">
            <v>13511444</v>
          </cell>
          <cell r="V233" t="str">
            <v>11458</v>
          </cell>
          <cell r="W233" t="str">
            <v>05-feb-2027</v>
          </cell>
          <cell r="Y233">
            <v>2400000</v>
          </cell>
          <cell r="Z233">
            <v>36207</v>
          </cell>
          <cell r="AA233">
            <v>42000</v>
          </cell>
        </row>
        <row r="234">
          <cell r="B234" t="str">
            <v>KHI/HO/D/MO/PC COMP/C/105499/148/01/2025</v>
          </cell>
          <cell r="D234" t="str">
            <v>REN</v>
          </cell>
          <cell r="E234" t="str">
            <v>21/01/25</v>
          </cell>
          <cell r="F234" t="str">
            <v>21/01/2025</v>
          </cell>
          <cell r="G234" t="str">
            <v>20/01/2026</v>
          </cell>
          <cell r="H234" t="str">
            <v>08004499</v>
          </cell>
          <cell r="I234" t="str">
            <v>AL BARAKA BANK (PAKISTAN) LIMITED</v>
          </cell>
          <cell r="J234" t="str">
            <v>BANK</v>
          </cell>
          <cell r="K234" t="str">
            <v>Mr. 
Al Baraka Bank Pakistan Limited 
Mr. 
Al Baraka Bank Pakistan Limited 
User: Muhammad   Umer</v>
          </cell>
          <cell r="L234" t="str">
            <v>D</v>
          </cell>
          <cell r="M234" t="str">
            <v>09000221</v>
          </cell>
          <cell r="N234">
            <v>100</v>
          </cell>
          <cell r="P234" t="str">
            <v>H No 4D/1/E St No 187 Mian Muhammad Din Colony Baghban Pura Lahore</v>
          </cell>
          <cell r="Q234" t="str">
            <v>11000003</v>
          </cell>
          <cell r="R234" t="str">
            <v>HONDA CITY 1.2  LS CVT</v>
          </cell>
          <cell r="S234" t="str">
            <v>2022</v>
          </cell>
          <cell r="T234" t="str">
            <v>AHE-924</v>
          </cell>
          <cell r="U234" t="str">
            <v>1007005</v>
          </cell>
          <cell r="V234" t="str">
            <v>NR010955</v>
          </cell>
          <cell r="W234" t="str">
            <v>05-feb-2027</v>
          </cell>
          <cell r="Y234">
            <v>2364000</v>
          </cell>
          <cell r="Z234">
            <v>50949</v>
          </cell>
          <cell r="AA234">
            <v>59100</v>
          </cell>
        </row>
        <row r="235">
          <cell r="B235" t="str">
            <v>KHI/HO/D/MO/PC COMP/C/105499/149/01/2025</v>
          </cell>
          <cell r="D235" t="str">
            <v>REN</v>
          </cell>
          <cell r="E235" t="str">
            <v>21/01/25</v>
          </cell>
          <cell r="F235" t="str">
            <v>21/01/2025</v>
          </cell>
          <cell r="G235" t="str">
            <v>20/01/2026</v>
          </cell>
          <cell r="H235" t="str">
            <v>08004499</v>
          </cell>
          <cell r="I235" t="str">
            <v>AL BARAKA BANK (PAKISTAN) LIMITED</v>
          </cell>
          <cell r="J235" t="str">
            <v>BANK</v>
          </cell>
          <cell r="K235" t="str">
            <v>Mr. 
Al Baraka Bank Pakistan Limited 
Mr. 
Al Baraka Bank Pakistan Limited 
User: Jahanzaib  Ali</v>
          </cell>
          <cell r="L235" t="str">
            <v>D</v>
          </cell>
          <cell r="M235" t="str">
            <v>09000221</v>
          </cell>
          <cell r="N235">
            <v>100</v>
          </cell>
          <cell r="P235" t="str">
            <v>20-G Flat Block N Ext. Model Town Lahore</v>
          </cell>
          <cell r="Q235" t="str">
            <v>11000003</v>
          </cell>
          <cell r="R235" t="str">
            <v>HONDA CITY I-VTEC (M/T)</v>
          </cell>
          <cell r="S235" t="str">
            <v>2020</v>
          </cell>
          <cell r="T235" t="str">
            <v>AAJ 450</v>
          </cell>
          <cell r="U235" t="str">
            <v>17539586</v>
          </cell>
          <cell r="V235" t="str">
            <v>LR261992</v>
          </cell>
          <cell r="W235" t="str">
            <v>05-feb-2027</v>
          </cell>
          <cell r="Y235">
            <v>1840000</v>
          </cell>
          <cell r="Z235">
            <v>27758</v>
          </cell>
          <cell r="AA235">
            <v>32200</v>
          </cell>
        </row>
        <row r="236">
          <cell r="B236" t="str">
            <v>KHI/HO/D/MO/PC COMP/C/105499/150/01/2025</v>
          </cell>
          <cell r="D236" t="str">
            <v>REN</v>
          </cell>
          <cell r="E236" t="str">
            <v>21/01/25</v>
          </cell>
          <cell r="F236" t="str">
            <v>21/01/2025</v>
          </cell>
          <cell r="G236" t="str">
            <v>20/01/2026</v>
          </cell>
          <cell r="H236" t="str">
            <v>08004499</v>
          </cell>
          <cell r="I236" t="str">
            <v>AL BARAKA BANK (PAKISTAN) LIMITED</v>
          </cell>
          <cell r="J236" t="str">
            <v>BANK</v>
          </cell>
          <cell r="K236" t="str">
            <v>Mr. 
Al Baraka Bank Pakistan Limited 
Mr. 
Al Baraka Bank Pakistan Limited 
User: Muzammal   Hussain</v>
          </cell>
          <cell r="L236" t="str">
            <v>D</v>
          </cell>
          <cell r="M236" t="str">
            <v>09000221</v>
          </cell>
          <cell r="N236">
            <v>100</v>
          </cell>
          <cell r="P236" t="str">
            <v>Al Bilala Road St No 6 Moh Shahrukh Colony Gujranwala</v>
          </cell>
          <cell r="Q236" t="str">
            <v>11000003</v>
          </cell>
          <cell r="R236" t="str">
            <v>SUZUKI ALTO VX</v>
          </cell>
          <cell r="S236" t="str">
            <v>2021</v>
          </cell>
          <cell r="T236" t="str">
            <v>AGY-229</v>
          </cell>
          <cell r="U236" t="str">
            <v>6R202585</v>
          </cell>
          <cell r="V236" t="str">
            <v>6H1102591</v>
          </cell>
          <cell r="W236" t="str">
            <v>05-feb-2027</v>
          </cell>
          <cell r="Y236">
            <v>890400</v>
          </cell>
          <cell r="Z236">
            <v>13433</v>
          </cell>
          <cell r="AA236">
            <v>15582</v>
          </cell>
        </row>
        <row r="237">
          <cell r="B237" t="str">
            <v>KHI/HO/D/MO/PC COMP/C/105499/151/01/2025</v>
          </cell>
          <cell r="D237" t="str">
            <v>REN</v>
          </cell>
          <cell r="E237" t="str">
            <v>21/01/25</v>
          </cell>
          <cell r="F237" t="str">
            <v>21/01/2025</v>
          </cell>
          <cell r="G237" t="str">
            <v>20/01/2026</v>
          </cell>
          <cell r="H237" t="str">
            <v>08004499</v>
          </cell>
          <cell r="I237" t="str">
            <v>AL BARAKA BANK (PAKISTAN) LIMITED</v>
          </cell>
          <cell r="J237" t="str">
            <v>BANK</v>
          </cell>
          <cell r="K237" t="str">
            <v>Mr. 
Al Baraka Bank Pakistan Limited 
Mr. 
Al Baraka Bank Pakistan Limited 
User: Sardar  Muhammad</v>
          </cell>
          <cell r="L237" t="str">
            <v>D</v>
          </cell>
          <cell r="M237" t="str">
            <v>09000221</v>
          </cell>
          <cell r="N237">
            <v>100</v>
          </cell>
          <cell r="P237" t="str">
            <v>H No 2 Street No 13 Baloch Khan Chowk Pashtoon Shah Quetta</v>
          </cell>
          <cell r="Q237" t="str">
            <v>11000003</v>
          </cell>
          <cell r="R237" t="str">
            <v>SUZUKI BOLAN VX</v>
          </cell>
          <cell r="S237" t="str">
            <v>2022</v>
          </cell>
          <cell r="T237" t="str">
            <v>CZ-7437</v>
          </cell>
          <cell r="U237" t="str">
            <v>1019173</v>
          </cell>
          <cell r="V237" t="str">
            <v>1135682</v>
          </cell>
          <cell r="W237" t="str">
            <v>05-feb-2027</v>
          </cell>
          <cell r="Y237">
            <v>942400</v>
          </cell>
          <cell r="Z237">
            <v>14217</v>
          </cell>
          <cell r="AA237">
            <v>16492</v>
          </cell>
        </row>
        <row r="238">
          <cell r="B238" t="str">
            <v>KHI/HO/D/MO/PC COMP/C/105499/152/01/2025</v>
          </cell>
          <cell r="D238" t="str">
            <v>REN</v>
          </cell>
          <cell r="E238" t="str">
            <v>21/01/25</v>
          </cell>
          <cell r="F238" t="str">
            <v>24/01/2025</v>
          </cell>
          <cell r="G238" t="str">
            <v>23/01/2026</v>
          </cell>
          <cell r="H238" t="str">
            <v>08004499</v>
          </cell>
          <cell r="I238" t="str">
            <v>AL BARAKA BANK (PAKISTAN) LIMITED</v>
          </cell>
          <cell r="J238" t="str">
            <v>BANK</v>
          </cell>
          <cell r="K238" t="str">
            <v>Mr. 
Al Baraka Bank Pakistan Limited 
Mr. 
Al Baraka Bank Pakistan Limited 
User: Muhammad Sohail Akhtar</v>
          </cell>
          <cell r="L238" t="str">
            <v>D</v>
          </cell>
          <cell r="M238" t="str">
            <v>09000221</v>
          </cell>
          <cell r="N238">
            <v>100</v>
          </cell>
          <cell r="P238" t="str">
            <v>H No 510Moh Model Town B Khanpur</v>
          </cell>
          <cell r="Q238" t="str">
            <v>11000003</v>
          </cell>
          <cell r="R238" t="str">
            <v>SUZUKI CULTUS</v>
          </cell>
          <cell r="S238" t="str">
            <v>2021</v>
          </cell>
          <cell r="T238" t="str">
            <v>BUQ-105</v>
          </cell>
          <cell r="U238" t="str">
            <v>181665</v>
          </cell>
          <cell r="V238" t="str">
            <v>10081664</v>
          </cell>
          <cell r="W238" t="str">
            <v>05-feb-2029</v>
          </cell>
          <cell r="Y238">
            <v>1680000</v>
          </cell>
          <cell r="Z238">
            <v>25345</v>
          </cell>
          <cell r="AA238">
            <v>29400</v>
          </cell>
        </row>
        <row r="239">
          <cell r="B239" t="str">
            <v>KHI/HO/D/MO/PC COMP/C/105499/153/01/2025</v>
          </cell>
          <cell r="D239" t="str">
            <v>REN</v>
          </cell>
          <cell r="E239" t="str">
            <v>21/01/25</v>
          </cell>
          <cell r="F239" t="str">
            <v>24/01/2025</v>
          </cell>
          <cell r="G239" t="str">
            <v>23/01/2026</v>
          </cell>
          <cell r="H239" t="str">
            <v>08004499</v>
          </cell>
          <cell r="I239" t="str">
            <v>AL BARAKA BANK (PAKISTAN) LIMITED</v>
          </cell>
          <cell r="J239" t="str">
            <v>BANK</v>
          </cell>
          <cell r="K239" t="str">
            <v>Mr. 
Al Baraka Bank Pakistan Limited 
Mr. 
Al Baraka Bank Pakistan Limited 
User: Amtul   Basit</v>
          </cell>
          <cell r="L239" t="str">
            <v>D</v>
          </cell>
          <cell r="M239" t="str">
            <v>09000221</v>
          </cell>
          <cell r="N239">
            <v>100</v>
          </cell>
          <cell r="P239" t="str">
            <v>H # 110 Block E Lahore Press Club H. Society Harbanspura Lahore</v>
          </cell>
          <cell r="Q239" t="str">
            <v>11000003</v>
          </cell>
          <cell r="R239" t="str">
            <v>SUZUKI ALTO VXL AGS E-2</v>
          </cell>
          <cell r="S239" t="str">
            <v>2021</v>
          </cell>
          <cell r="T239" t="str">
            <v>AHB-739</v>
          </cell>
          <cell r="U239" t="str">
            <v>6R203758</v>
          </cell>
          <cell r="V239" t="str">
            <v>H1103831</v>
          </cell>
          <cell r="W239" t="str">
            <v>05-feb-2029</v>
          </cell>
          <cell r="Y239">
            <v>1216800</v>
          </cell>
          <cell r="Z239">
            <v>18356</v>
          </cell>
          <cell r="AA239">
            <v>21294</v>
          </cell>
        </row>
        <row r="240">
          <cell r="B240" t="str">
            <v>KHI/HO/D/MO/PC COMP/C/105499/154/01/2025</v>
          </cell>
          <cell r="D240" t="str">
            <v>REN</v>
          </cell>
          <cell r="E240" t="str">
            <v>21/01/25</v>
          </cell>
          <cell r="F240" t="str">
            <v>25/01/2025</v>
          </cell>
          <cell r="G240" t="str">
            <v>24/01/2026</v>
          </cell>
          <cell r="H240" t="str">
            <v>08004499</v>
          </cell>
          <cell r="I240" t="str">
            <v>AL BARAKA BANK (PAKISTAN) LIMITED</v>
          </cell>
          <cell r="J240" t="str">
            <v>BANK</v>
          </cell>
          <cell r="K240" t="str">
            <v>Mr. 
Al Baraka Bank Pakistan Limited 
Mr. 
Al Baraka Bank Pakistan Limited 
User: Muhammad  Usman  Mukhtar</v>
          </cell>
          <cell r="L240" t="str">
            <v>D</v>
          </cell>
          <cell r="M240" t="str">
            <v>09000221</v>
          </cell>
          <cell r="N240">
            <v>100</v>
          </cell>
          <cell r="P240" t="str">
            <v>P-394 St No 10 Tariq Abad Faisalabad</v>
          </cell>
          <cell r="Q240" t="str">
            <v>11000003</v>
          </cell>
          <cell r="R240" t="str">
            <v>CHANGAN ALSVIN DCT 1.5</v>
          </cell>
          <cell r="S240" t="str">
            <v>2022</v>
          </cell>
          <cell r="T240" t="str">
            <v>AXB-377</v>
          </cell>
          <cell r="U240" t="str">
            <v>JL473QFM3CAD529207</v>
          </cell>
          <cell r="V240" t="str">
            <v>NKMA2ASE5N1005993</v>
          </cell>
          <cell r="W240" t="str">
            <v>05-feb-2027</v>
          </cell>
          <cell r="Y240">
            <v>2071200</v>
          </cell>
          <cell r="Z240">
            <v>31247</v>
          </cell>
          <cell r="AA240">
            <v>36246</v>
          </cell>
        </row>
        <row r="241">
          <cell r="B241" t="str">
            <v>KHI/HO/D/MO/PC COMP/C/105499/155/01/2025</v>
          </cell>
          <cell r="D241" t="str">
            <v>REN</v>
          </cell>
          <cell r="E241" t="str">
            <v>21/01/25</v>
          </cell>
          <cell r="F241" t="str">
            <v>25/01/2025</v>
          </cell>
          <cell r="G241" t="str">
            <v>24/01/2026</v>
          </cell>
          <cell r="H241" t="str">
            <v>08004499</v>
          </cell>
          <cell r="I241" t="str">
            <v>AL BARAKA BANK (PAKISTAN) LIMITED</v>
          </cell>
          <cell r="J241" t="str">
            <v>BANK</v>
          </cell>
          <cell r="K241" t="str">
            <v>Mr. 
Al Baraka Bank Pakistan Limited 
Mr. 
Al Baraka Bank Pakistan Limited 
User: Muhammad Shehroz Sardar</v>
          </cell>
          <cell r="L241" t="str">
            <v>D</v>
          </cell>
          <cell r="M241" t="str">
            <v>09000221</v>
          </cell>
          <cell r="N241">
            <v>100</v>
          </cell>
          <cell r="P241" t="str">
            <v>H No 5 Faisal Town Juharabad</v>
          </cell>
          <cell r="Q241" t="str">
            <v>11000003</v>
          </cell>
          <cell r="R241" t="str">
            <v>SUZUKI ALTO VXR</v>
          </cell>
          <cell r="S241" t="str">
            <v>2022</v>
          </cell>
          <cell r="T241" t="str">
            <v>AXJ-516</v>
          </cell>
          <cell r="U241" t="str">
            <v>208827</v>
          </cell>
          <cell r="V241" t="str">
            <v>1108790</v>
          </cell>
          <cell r="W241" t="str">
            <v>05-feb-2027</v>
          </cell>
          <cell r="Y241">
            <v>1236800</v>
          </cell>
          <cell r="Z241">
            <v>18658</v>
          </cell>
          <cell r="AA241">
            <v>21644</v>
          </cell>
        </row>
        <row r="242">
          <cell r="B242" t="str">
            <v>KHI/HO/D/MO/PC COMP/C/105499/156/01/2025</v>
          </cell>
          <cell r="D242" t="str">
            <v>REN</v>
          </cell>
          <cell r="E242" t="str">
            <v>21/01/25</v>
          </cell>
          <cell r="F242" t="str">
            <v>25/01/2025</v>
          </cell>
          <cell r="G242" t="str">
            <v>24/01/2026</v>
          </cell>
          <cell r="H242" t="str">
            <v>08004499</v>
          </cell>
          <cell r="I242" t="str">
            <v>AL BARAKA BANK (PAKISTAN) LIMITED</v>
          </cell>
          <cell r="J242" t="str">
            <v>BANK</v>
          </cell>
          <cell r="K242" t="str">
            <v>Mr. 
Al Baraka Bank Pakistan Limited 
Mr. 
Al Baraka Bank Pakistan Limited 
User: Muhammad Afzal Malik</v>
          </cell>
          <cell r="L242" t="str">
            <v>D</v>
          </cell>
          <cell r="M242" t="str">
            <v>09000221</v>
          </cell>
          <cell r="N242">
            <v>100</v>
          </cell>
          <cell r="P242" t="str">
            <v>H No 17 St No 2 Block X Sosan Road Mohallah Madina Town Faisalabad</v>
          </cell>
          <cell r="Q242" t="str">
            <v>11000003</v>
          </cell>
          <cell r="R242" t="str">
            <v>HYUNDAI ELANTRA 2.0 MP1 A</v>
          </cell>
          <cell r="S242" t="str">
            <v>2021</v>
          </cell>
          <cell r="T242" t="str">
            <v>AXC-519</v>
          </cell>
          <cell r="U242" t="str">
            <v>G4NAMU945343</v>
          </cell>
          <cell r="V242" t="str">
            <v>PMHD841FMMN302208</v>
          </cell>
          <cell r="W242" t="str">
            <v>05-feb-2027</v>
          </cell>
          <cell r="Y242">
            <v>3122400</v>
          </cell>
          <cell r="Z242">
            <v>40376</v>
          </cell>
          <cell r="AA242">
            <v>46836</v>
          </cell>
        </row>
        <row r="243">
          <cell r="B243" t="str">
            <v>KHI/HO/D/MO/PC COMP/C/105499/157/01/2025</v>
          </cell>
          <cell r="D243" t="str">
            <v>REN</v>
          </cell>
          <cell r="E243" t="str">
            <v>21/01/25</v>
          </cell>
          <cell r="F243" t="str">
            <v>07/01/2025</v>
          </cell>
          <cell r="G243" t="str">
            <v>06/01/2026</v>
          </cell>
          <cell r="H243" t="str">
            <v>08004499</v>
          </cell>
          <cell r="I243" t="str">
            <v>AL BARAKA BANK (PAKISTAN) LIMITED</v>
          </cell>
          <cell r="J243" t="str">
            <v>BANK</v>
          </cell>
          <cell r="K243" t="str">
            <v>Mr. 
Al Baraka Bank Pakistan Limited 
Mr. 
Al Baraka Bank Pakistan Limited 
User: Haris  Hamad</v>
          </cell>
          <cell r="L243" t="str">
            <v>D</v>
          </cell>
          <cell r="M243" t="str">
            <v>09000221</v>
          </cell>
          <cell r="N243">
            <v>100</v>
          </cell>
          <cell r="P243" t="str">
            <v>Street 4 Sbazazar Khanpur</v>
          </cell>
          <cell r="Q243" t="str">
            <v>11000003</v>
          </cell>
          <cell r="R243" t="str">
            <v>SUZUKI ALTO VX EURO II</v>
          </cell>
          <cell r="S243" t="str">
            <v>2022</v>
          </cell>
          <cell r="T243" t="str">
            <v>AHE-860</v>
          </cell>
          <cell r="U243" t="str">
            <v>196188</v>
          </cell>
          <cell r="V243" t="str">
            <v>1096162</v>
          </cell>
          <cell r="W243" t="str">
            <v>05-feb-2027</v>
          </cell>
          <cell r="Y243">
            <v>890400</v>
          </cell>
          <cell r="Z243">
            <v>19190</v>
          </cell>
          <cell r="AA243">
            <v>22260</v>
          </cell>
        </row>
        <row r="244">
          <cell r="B244" t="str">
            <v>KHI/HO/D/MO/PC COMP/C/105499/158/01/2025</v>
          </cell>
          <cell r="D244" t="str">
            <v>REN</v>
          </cell>
          <cell r="E244" t="str">
            <v>21/01/25</v>
          </cell>
          <cell r="F244" t="str">
            <v>26/01/2025</v>
          </cell>
          <cell r="G244" t="str">
            <v>25/01/2026</v>
          </cell>
          <cell r="H244" t="str">
            <v>08004499</v>
          </cell>
          <cell r="I244" t="str">
            <v>AL BARAKA BANK (PAKISTAN) LIMITED</v>
          </cell>
          <cell r="J244" t="str">
            <v>BANK</v>
          </cell>
          <cell r="K244" t="str">
            <v>Mr. 
Al Baraka Bank Pakistan Limited 
Mr. 
Al Baraka Bank Pakistan Limited 
User: Muhammad  Talha Saleemi</v>
          </cell>
          <cell r="L244" t="str">
            <v>D</v>
          </cell>
          <cell r="M244" t="str">
            <v>09000221</v>
          </cell>
          <cell r="N244">
            <v>100</v>
          </cell>
          <cell r="P244" t="str">
            <v>H # 682 Ghous Garden Phase 4 Lahore</v>
          </cell>
          <cell r="Q244" t="str">
            <v>11000003</v>
          </cell>
          <cell r="R244" t="str">
            <v>SUZUKI MEHRAN VXR EURO-II</v>
          </cell>
          <cell r="S244" t="str">
            <v>2017</v>
          </cell>
          <cell r="T244" t="str">
            <v>LEA-17A-6560</v>
          </cell>
          <cell r="U244" t="str">
            <v>695903</v>
          </cell>
          <cell r="V244" t="str">
            <v>01234402</v>
          </cell>
          <cell r="W244" t="str">
            <v>05-feb-2027</v>
          </cell>
          <cell r="Y244">
            <v>704000</v>
          </cell>
          <cell r="Z244">
            <v>10621</v>
          </cell>
          <cell r="AA244">
            <v>12320</v>
          </cell>
        </row>
        <row r="245">
          <cell r="B245" t="str">
            <v>KHI/HO/D/MO/PC COMP/C/105499/159/01/2025</v>
          </cell>
          <cell r="D245" t="str">
            <v>REN</v>
          </cell>
          <cell r="E245" t="str">
            <v>21/01/25</v>
          </cell>
          <cell r="F245" t="str">
            <v>26/01/2025</v>
          </cell>
          <cell r="G245" t="str">
            <v>25/01/2026</v>
          </cell>
          <cell r="H245" t="str">
            <v>08004499</v>
          </cell>
          <cell r="I245" t="str">
            <v>AL BARAKA BANK (PAKISTAN) LIMITED</v>
          </cell>
          <cell r="J245" t="str">
            <v>BANK</v>
          </cell>
          <cell r="K245" t="str">
            <v>Mr. 
Al Baraka Bank Pakistan Limited 
Mr. 
Al Baraka Bank Pakistan Limited 
User: Huma  Tariq</v>
          </cell>
          <cell r="L245" t="str">
            <v>D</v>
          </cell>
          <cell r="M245" t="str">
            <v>09000221</v>
          </cell>
          <cell r="N245">
            <v>100</v>
          </cell>
          <cell r="P245" t="str">
            <v>H No 06-E Block B Samanabad Lahore</v>
          </cell>
          <cell r="Q245" t="str">
            <v>11000003</v>
          </cell>
          <cell r="R245" t="str">
            <v>SUZUKI ALTO VXR</v>
          </cell>
          <cell r="S245" t="str">
            <v>2022</v>
          </cell>
          <cell r="T245" t="str">
            <v>AHL-659</v>
          </cell>
          <cell r="U245" t="str">
            <v>208896</v>
          </cell>
          <cell r="V245" t="str">
            <v>1108911</v>
          </cell>
          <cell r="W245" t="str">
            <v>05-feb-2029</v>
          </cell>
          <cell r="Y245">
            <v>1236800</v>
          </cell>
          <cell r="Z245">
            <v>18658</v>
          </cell>
          <cell r="AA245">
            <v>21644</v>
          </cell>
        </row>
        <row r="246">
          <cell r="B246" t="str">
            <v>KHI/HO/D/MO/PC COMP/C/105499/160/01/2025</v>
          </cell>
          <cell r="D246" t="str">
            <v>REN</v>
          </cell>
          <cell r="E246" t="str">
            <v>21/01/25</v>
          </cell>
          <cell r="F246" t="str">
            <v>27/01/2025</v>
          </cell>
          <cell r="G246" t="str">
            <v>26/01/2026</v>
          </cell>
          <cell r="H246" t="str">
            <v>08004499</v>
          </cell>
          <cell r="I246" t="str">
            <v>AL BARAKA BANK (PAKISTAN) LIMITED</v>
          </cell>
          <cell r="J246" t="str">
            <v>BANK</v>
          </cell>
          <cell r="K246" t="str">
            <v>Mr. 
Al Baraka Bank Pakistan Limited 
Mr. 
Al Baraka Bank Pakistan Limited 
User: Rouf   Khalid</v>
          </cell>
          <cell r="L246" t="str">
            <v>D</v>
          </cell>
          <cell r="M246" t="str">
            <v>09000221</v>
          </cell>
          <cell r="N246">
            <v>100</v>
          </cell>
          <cell r="P246" t="str">
            <v>Po Khas Chak 71/ F Hasil Pur</v>
          </cell>
          <cell r="Q246" t="str">
            <v>11000003</v>
          </cell>
          <cell r="R246" t="str">
            <v>PRINCE PEARL</v>
          </cell>
          <cell r="S246" t="str">
            <v>2022</v>
          </cell>
          <cell r="T246" t="str">
            <v>AHT-165</v>
          </cell>
          <cell r="U246" t="str">
            <v>M07606734W</v>
          </cell>
          <cell r="V246" t="str">
            <v>M22A03504</v>
          </cell>
          <cell r="W246" t="str">
            <v>05-feb-2029</v>
          </cell>
          <cell r="Y246">
            <v>1067200</v>
          </cell>
          <cell r="Z246">
            <v>23000</v>
          </cell>
          <cell r="AA246">
            <v>26680</v>
          </cell>
        </row>
        <row r="247">
          <cell r="B247" t="str">
            <v>KHI/HO/D/MO/PC COMP/C/105499/161/01/2025</v>
          </cell>
          <cell r="D247" t="str">
            <v>REN</v>
          </cell>
          <cell r="E247" t="str">
            <v>21/01/25</v>
          </cell>
          <cell r="F247" t="str">
            <v>27/01/2025</v>
          </cell>
          <cell r="G247" t="str">
            <v>26/01/2026</v>
          </cell>
          <cell r="H247" t="str">
            <v>08004499</v>
          </cell>
          <cell r="I247" t="str">
            <v>AL BARAKA BANK (PAKISTAN) LIMITED</v>
          </cell>
          <cell r="J247" t="str">
            <v>BANK</v>
          </cell>
          <cell r="K247" t="str">
            <v>Mr. 
Al Baraka Bank Pakistan Limited 
Mr. 
Al Baraka Bank Pakistan Limited 
User: Mashood  Saleem</v>
          </cell>
          <cell r="L247" t="str">
            <v>D</v>
          </cell>
          <cell r="M247" t="str">
            <v>09000221</v>
          </cell>
          <cell r="N247">
            <v>100</v>
          </cell>
          <cell r="P247" t="str">
            <v>H # 60 Block C Gulshan-E-Lahore Lahore</v>
          </cell>
          <cell r="Q247" t="str">
            <v>11000003</v>
          </cell>
          <cell r="R247" t="str">
            <v>HONDA CITY CVT ASPIRE A/T</v>
          </cell>
          <cell r="S247" t="str">
            <v>2018</v>
          </cell>
          <cell r="T247" t="str">
            <v>LEB-18-6537</v>
          </cell>
          <cell r="U247" t="str">
            <v>Z17507271</v>
          </cell>
          <cell r="V247" t="str">
            <v>JR219550</v>
          </cell>
          <cell r="W247" t="str">
            <v>05-feb-2027</v>
          </cell>
          <cell r="Y247">
            <v>2000000</v>
          </cell>
          <cell r="Z247">
            <v>34483</v>
          </cell>
          <cell r="AA247">
            <v>40000</v>
          </cell>
        </row>
        <row r="248">
          <cell r="B248" t="str">
            <v>KHI/HO/D/MO/PC COMP/C/105499/162/01/2025</v>
          </cell>
          <cell r="D248" t="str">
            <v>REN</v>
          </cell>
          <cell r="E248" t="str">
            <v>21/01/25</v>
          </cell>
          <cell r="F248" t="str">
            <v>28/01/2025</v>
          </cell>
          <cell r="G248" t="str">
            <v>27/01/2026</v>
          </cell>
          <cell r="H248" t="str">
            <v>08004499</v>
          </cell>
          <cell r="I248" t="str">
            <v>AL BARAKA BANK (PAKISTAN) LIMITED</v>
          </cell>
          <cell r="J248" t="str">
            <v>BANK</v>
          </cell>
          <cell r="K248" t="str">
            <v>Mr. 
Al Baraka Bank Pakistan Limited 
Mr. 
Al Baraka Bank Pakistan Limited 
User: Ijaz  Ahmad</v>
          </cell>
          <cell r="L248" t="str">
            <v>D</v>
          </cell>
          <cell r="M248" t="str">
            <v>09000221</v>
          </cell>
          <cell r="N248">
            <v>100</v>
          </cell>
          <cell r="P248" t="str">
            <v>Muhallah Targhar Road 25 Stop Shahdra Lahore</v>
          </cell>
          <cell r="Q248" t="str">
            <v>11000003</v>
          </cell>
          <cell r="R248" t="str">
            <v>HONDA CITY 1.2 LS MT</v>
          </cell>
          <cell r="S248" t="str">
            <v>2022</v>
          </cell>
          <cell r="T248" t="str">
            <v>AHN-741</v>
          </cell>
          <cell r="U248" t="str">
            <v>1007385</v>
          </cell>
          <cell r="V248" t="str">
            <v>NR011605</v>
          </cell>
          <cell r="W248" t="str">
            <v>05-mar-2027</v>
          </cell>
          <cell r="Y248">
            <v>2364000</v>
          </cell>
          <cell r="Z248">
            <v>35663</v>
          </cell>
          <cell r="AA248">
            <v>41370</v>
          </cell>
        </row>
        <row r="249">
          <cell r="B249" t="str">
            <v>KHI/HO/D/MO/PC COMP/C/105499/163/01/2025</v>
          </cell>
          <cell r="D249" t="str">
            <v>REN</v>
          </cell>
          <cell r="E249" t="str">
            <v>21/01/25</v>
          </cell>
          <cell r="F249" t="str">
            <v>28/01/2025</v>
          </cell>
          <cell r="G249" t="str">
            <v>27/01/2026</v>
          </cell>
          <cell r="H249" t="str">
            <v>08004499</v>
          </cell>
          <cell r="I249" t="str">
            <v>AL BARAKA BANK (PAKISTAN) LIMITED</v>
          </cell>
          <cell r="J249" t="str">
            <v>BANK</v>
          </cell>
          <cell r="K249" t="str">
            <v>Mr. 
Al Baraka Bank Pakistan Limited 
Mr. 
Al Baraka Bank Pakistan Limited 
User: Mirza Faizan Baig</v>
          </cell>
          <cell r="L249" t="str">
            <v>D</v>
          </cell>
          <cell r="M249" t="str">
            <v>09000221</v>
          </cell>
          <cell r="N249">
            <v>100</v>
          </cell>
          <cell r="P249" t="str">
            <v>H No K-41 Mohallah 1 Mohallah Machine Jhelum</v>
          </cell>
          <cell r="Q249" t="str">
            <v>11000003</v>
          </cell>
          <cell r="R249" t="str">
            <v>SUZUKI BOLAN STD VX</v>
          </cell>
          <cell r="S249" t="str">
            <v>2022</v>
          </cell>
          <cell r="T249" t="str">
            <v>AXJ-238</v>
          </cell>
          <cell r="U249" t="str">
            <v>1019530</v>
          </cell>
          <cell r="V249" t="str">
            <v>01136043</v>
          </cell>
          <cell r="W249" t="str">
            <v>05-feb-2027</v>
          </cell>
          <cell r="Y249">
            <v>942400</v>
          </cell>
          <cell r="Z249">
            <v>20310</v>
          </cell>
          <cell r="AA249">
            <v>23560</v>
          </cell>
        </row>
        <row r="250">
          <cell r="B250" t="str">
            <v>KHI/HO/D/MO/PC COMP/C/105499/164/01/2025</v>
          </cell>
          <cell r="D250" t="str">
            <v>REN</v>
          </cell>
          <cell r="E250" t="str">
            <v>21/01/25</v>
          </cell>
          <cell r="F250" t="str">
            <v>28/01/2025</v>
          </cell>
          <cell r="G250" t="str">
            <v>27/01/2026</v>
          </cell>
          <cell r="H250" t="str">
            <v>08004499</v>
          </cell>
          <cell r="I250" t="str">
            <v>AL BARAKA BANK (PAKISTAN) LIMITED</v>
          </cell>
          <cell r="J250" t="str">
            <v>BANK</v>
          </cell>
          <cell r="K250" t="str">
            <v>Mr. 
Al Baraka Bank Pakistan Limited 
Mr. 
Al Baraka Bank Pakistan Limited 
User: Hassan Ali Sadiq</v>
          </cell>
          <cell r="L250" t="str">
            <v>D</v>
          </cell>
          <cell r="M250" t="str">
            <v>09000221</v>
          </cell>
          <cell r="N250">
            <v>100</v>
          </cell>
          <cell r="P250" t="str">
            <v>A-804 8Th Floor Ammar Tower Mania Co Opr H. Society Off Shaheed-E-Millat Rd Karachi</v>
          </cell>
          <cell r="Q250" t="str">
            <v>11000003</v>
          </cell>
          <cell r="R250" t="str">
            <v>KIA PICANTO 1.0L A/T</v>
          </cell>
          <cell r="S250" t="str">
            <v>2020</v>
          </cell>
          <cell r="T250" t="str">
            <v>BRD-806</v>
          </cell>
          <cell r="U250" t="str">
            <v>148179</v>
          </cell>
          <cell r="V250" t="str">
            <v>700519</v>
          </cell>
          <cell r="W250" t="str">
            <v>05-feb-2027</v>
          </cell>
          <cell r="Y250">
            <v>1740000</v>
          </cell>
          <cell r="Z250">
            <v>26249</v>
          </cell>
          <cell r="AA250">
            <v>30450</v>
          </cell>
        </row>
        <row r="251">
          <cell r="B251" t="str">
            <v>KHI/HO/D/MO/PC COMP/C/105499/165/01/2025</v>
          </cell>
          <cell r="D251" t="str">
            <v>REN</v>
          </cell>
          <cell r="E251" t="str">
            <v>21/01/25</v>
          </cell>
          <cell r="F251" t="str">
            <v>29/01/2025</v>
          </cell>
          <cell r="G251" t="str">
            <v>28/01/2026</v>
          </cell>
          <cell r="H251" t="str">
            <v>08004499</v>
          </cell>
          <cell r="I251" t="str">
            <v>AL BARAKA BANK (PAKISTAN) LIMITED</v>
          </cell>
          <cell r="J251" t="str">
            <v>BANK</v>
          </cell>
          <cell r="K251" t="str">
            <v>Mr. 
Al Baraka Bank Pakistan Limited 
Mr. 
Al Baraka Bank Pakistan Limited 
User: Zainab  Shabbir</v>
          </cell>
          <cell r="L251" t="str">
            <v>D</v>
          </cell>
          <cell r="M251" t="str">
            <v>09000221</v>
          </cell>
          <cell r="N251">
            <v>100</v>
          </cell>
          <cell r="P251" t="str">
            <v>H # B-31 Block S North Nazimabad Karachi</v>
          </cell>
          <cell r="Q251" t="str">
            <v>11000003</v>
          </cell>
          <cell r="R251" t="str">
            <v>SUZUKI SWIFT DLX EURO II</v>
          </cell>
          <cell r="S251" t="str">
            <v>2019</v>
          </cell>
          <cell r="T251" t="str">
            <v>BQE-293</v>
          </cell>
          <cell r="U251" t="str">
            <v>46234</v>
          </cell>
          <cell r="V251" t="str">
            <v>10046229</v>
          </cell>
          <cell r="W251" t="str">
            <v>05-feb-2027</v>
          </cell>
          <cell r="Y251">
            <v>1696000</v>
          </cell>
          <cell r="Z251">
            <v>25586</v>
          </cell>
          <cell r="AA251">
            <v>29680</v>
          </cell>
        </row>
        <row r="252">
          <cell r="B252" t="str">
            <v>KHI/HO/D/MO/PC COMP/C/105499/166/01/2025</v>
          </cell>
          <cell r="D252" t="str">
            <v>REN</v>
          </cell>
          <cell r="E252" t="str">
            <v>21/01/25</v>
          </cell>
          <cell r="F252" t="str">
            <v>31/01/2025</v>
          </cell>
          <cell r="G252" t="str">
            <v>30/01/2026</v>
          </cell>
          <cell r="H252" t="str">
            <v>08004499</v>
          </cell>
          <cell r="I252" t="str">
            <v>AL BARAKA BANK (PAKISTAN) LIMITED</v>
          </cell>
          <cell r="J252" t="str">
            <v>BANK</v>
          </cell>
          <cell r="K252" t="str">
            <v>Mr. 
Al Baraka Bank Pakistan Limited 
Mr. 
Al Baraka Bank Pakistan Limited 
User: Riaz  Ahmad</v>
          </cell>
          <cell r="L252" t="str">
            <v>D</v>
          </cell>
          <cell r="M252" t="str">
            <v>09000221</v>
          </cell>
          <cell r="N252">
            <v>100</v>
          </cell>
          <cell r="P252" t="str">
            <v>H # 2/3 Street 77-S Mohallah Thapar Street Sham Nagar Chauburji Noorani Masjid Lahore</v>
          </cell>
          <cell r="Q252" t="str">
            <v>11000003</v>
          </cell>
          <cell r="R252" t="str">
            <v>TOYOTA COROLLA GLI M/T 1.</v>
          </cell>
          <cell r="S252" t="str">
            <v>2017</v>
          </cell>
          <cell r="T252" t="str">
            <v>LEB-17-5310</v>
          </cell>
          <cell r="U252" t="str">
            <v>Z482284</v>
          </cell>
          <cell r="V252" t="str">
            <v>4108766</v>
          </cell>
          <cell r="W252" t="str">
            <v>05-feb-2027</v>
          </cell>
          <cell r="Y252">
            <v>2000000</v>
          </cell>
          <cell r="Z252">
            <v>43103</v>
          </cell>
          <cell r="AA252">
            <v>50000</v>
          </cell>
        </row>
        <row r="253">
          <cell r="B253" t="str">
            <v>KHI/HO/D/MO/PC COMP/C/105499/167/01/2025</v>
          </cell>
          <cell r="D253" t="str">
            <v>REN</v>
          </cell>
          <cell r="E253" t="str">
            <v>21/01/25</v>
          </cell>
          <cell r="F253" t="str">
            <v>31/01/2025</v>
          </cell>
          <cell r="G253" t="str">
            <v>30/01/2026</v>
          </cell>
          <cell r="H253" t="str">
            <v>08004499</v>
          </cell>
          <cell r="I253" t="str">
            <v>AL BARAKA BANK (PAKISTAN) LIMITED</v>
          </cell>
          <cell r="J253" t="str">
            <v>BANK</v>
          </cell>
          <cell r="K253" t="str">
            <v>Mr. 
Al Baraka Bank Pakistan Limited 
Mr. 
Al Baraka Bank Pakistan Limited 
User: Wasiq  Ali Tai</v>
          </cell>
          <cell r="L253" t="str">
            <v>D</v>
          </cell>
          <cell r="M253" t="str">
            <v>09000221</v>
          </cell>
          <cell r="N253">
            <v>100</v>
          </cell>
          <cell r="P253" t="str">
            <v>H # 167 Street 24 Sector Dha Phase 1 Lahore</v>
          </cell>
          <cell r="Q253" t="str">
            <v>11000003</v>
          </cell>
          <cell r="R253" t="str">
            <v>SUZUKI BOLAN STD VX EURO</v>
          </cell>
          <cell r="S253" t="str">
            <v>2022</v>
          </cell>
          <cell r="T253" t="str">
            <v>AHP-744</v>
          </cell>
          <cell r="U253" t="str">
            <v>1019840</v>
          </cell>
          <cell r="V253" t="str">
            <v>1136346</v>
          </cell>
          <cell r="W253" t="str">
            <v>05-feb-2029</v>
          </cell>
          <cell r="Y253">
            <v>942400</v>
          </cell>
          <cell r="Z253">
            <v>14217</v>
          </cell>
          <cell r="AA253">
            <v>16492</v>
          </cell>
        </row>
        <row r="254">
          <cell r="B254" t="str">
            <v>KHI/HO/D/MO/PC COMP/C/105499/168/01/2025</v>
          </cell>
          <cell r="D254" t="str">
            <v>REN</v>
          </cell>
          <cell r="E254" t="str">
            <v>21/01/25</v>
          </cell>
          <cell r="F254" t="str">
            <v>31/01/2025</v>
          </cell>
          <cell r="G254" t="str">
            <v>30/01/2026</v>
          </cell>
          <cell r="H254" t="str">
            <v>08004499</v>
          </cell>
          <cell r="I254" t="str">
            <v>AL BARAKA BANK (PAKISTAN) LIMITED</v>
          </cell>
          <cell r="J254" t="str">
            <v>BANK</v>
          </cell>
          <cell r="K254" t="str">
            <v>Mr. 
Al Baraka Bank Pakistan Limited 
Mr. 
Al Baraka Bank Pakistan Limited 
User: Abdul   Salam</v>
          </cell>
          <cell r="L254" t="str">
            <v>D</v>
          </cell>
          <cell r="M254" t="str">
            <v>09000221</v>
          </cell>
          <cell r="N254">
            <v>100</v>
          </cell>
          <cell r="P254" t="str">
            <v>Arzanipur Thang Khalriyan Tehsil Chuian Kasur</v>
          </cell>
          <cell r="Q254" t="str">
            <v>11000003</v>
          </cell>
          <cell r="R254" t="str">
            <v>SUZUKI CULTUS VXL</v>
          </cell>
          <cell r="S254" t="str">
            <v>2018</v>
          </cell>
          <cell r="T254" t="str">
            <v>LEB-19-6730</v>
          </cell>
          <cell r="U254" t="str">
            <v>134079</v>
          </cell>
          <cell r="V254" t="str">
            <v>10033856</v>
          </cell>
          <cell r="W254" t="str">
            <v>05-feb-2027</v>
          </cell>
          <cell r="Y254">
            <v>1440000</v>
          </cell>
          <cell r="Z254">
            <v>31035</v>
          </cell>
          <cell r="AA254">
            <v>36000</v>
          </cell>
        </row>
        <row r="255">
          <cell r="B255" t="str">
            <v>KHI/HO/D/MO/PC COMP/C/105499/169/01/2025</v>
          </cell>
          <cell r="D255" t="str">
            <v>REN</v>
          </cell>
          <cell r="E255" t="str">
            <v>21/01/25</v>
          </cell>
          <cell r="F255" t="str">
            <v>31/01/2025</v>
          </cell>
          <cell r="G255" t="str">
            <v>30/01/2026</v>
          </cell>
          <cell r="H255" t="str">
            <v>08004499</v>
          </cell>
          <cell r="I255" t="str">
            <v>AL BARAKA BANK (PAKISTAN) LIMITED</v>
          </cell>
          <cell r="J255" t="str">
            <v>BANK</v>
          </cell>
          <cell r="K255" t="str">
            <v>Mr. 
Al Baraka Bank Pakistan Limited 
Mr. 
Al Baraka Bank Pakistan Limited 
User: Waseem Arif Bhatti</v>
          </cell>
          <cell r="L255" t="str">
            <v>D</v>
          </cell>
          <cell r="M255" t="str">
            <v>09000221</v>
          </cell>
          <cell r="N255">
            <v>100</v>
          </cell>
          <cell r="P255" t="str">
            <v>H # 336-A Punjab H. Society Phase 1 Pia Road Lahore</v>
          </cell>
          <cell r="Q255" t="str">
            <v>11000003</v>
          </cell>
          <cell r="R255" t="str">
            <v>TOYOTA YARIS ATIV MT 1.3</v>
          </cell>
          <cell r="S255" t="str">
            <v>2022</v>
          </cell>
          <cell r="T255" t="str">
            <v>LHF-22-945</v>
          </cell>
          <cell r="U255" t="str">
            <v>2A43219</v>
          </cell>
          <cell r="V255" t="str">
            <v>7027095</v>
          </cell>
          <cell r="W255" t="str">
            <v>05-feb-2027</v>
          </cell>
          <cell r="Y255">
            <v>2106400</v>
          </cell>
          <cell r="Z255">
            <v>31777</v>
          </cell>
          <cell r="AA255">
            <v>36862</v>
          </cell>
        </row>
        <row r="256">
          <cell r="B256" t="str">
            <v>KHI/HO/D/MO/PC COMP/C/105499/170/01/2025</v>
          </cell>
          <cell r="D256" t="str">
            <v>REN</v>
          </cell>
          <cell r="E256" t="str">
            <v>21/01/25</v>
          </cell>
          <cell r="F256" t="str">
            <v>31/01/2025</v>
          </cell>
          <cell r="G256" t="str">
            <v>30/01/2026</v>
          </cell>
          <cell r="H256" t="str">
            <v>08004499</v>
          </cell>
          <cell r="I256" t="str">
            <v>AL BARAKA BANK (PAKISTAN) LIMITED</v>
          </cell>
          <cell r="J256" t="str">
            <v>BANK</v>
          </cell>
          <cell r="K256" t="str">
            <v>Mr. 
Al Baraka Bank Pakistan Limited 
Mr. 
Al Baraka Bank Pakistan Limited 
User: Balqees  Akhtar</v>
          </cell>
          <cell r="L256" t="str">
            <v>D</v>
          </cell>
          <cell r="M256" t="str">
            <v>09000221</v>
          </cell>
          <cell r="N256">
            <v>100</v>
          </cell>
          <cell r="P256" t="str">
            <v>H # 1 Street 3 Mohallah Main Bazar Fazal Park Shahdra More Lahore</v>
          </cell>
          <cell r="Q256" t="str">
            <v>11000003</v>
          </cell>
          <cell r="R256" t="str">
            <v>SUZUKI BOLAN STD VX EURO</v>
          </cell>
          <cell r="S256" t="str">
            <v>2022</v>
          </cell>
          <cell r="T256" t="str">
            <v>AHJ-590</v>
          </cell>
          <cell r="U256" t="str">
            <v>PKT1019884</v>
          </cell>
          <cell r="V256" t="str">
            <v>SV308PK01136401</v>
          </cell>
          <cell r="W256" t="str">
            <v>05-feb-2027</v>
          </cell>
          <cell r="Y256">
            <v>942400</v>
          </cell>
          <cell r="Z256">
            <v>14217</v>
          </cell>
          <cell r="AA256">
            <v>16492</v>
          </cell>
        </row>
        <row r="257">
          <cell r="B257" t="str">
            <v>KHI/HO/D/MO/PC COMP/C/105499/171/01/2025</v>
          </cell>
          <cell r="D257" t="str">
            <v>REN</v>
          </cell>
          <cell r="E257" t="str">
            <v>21/01/25</v>
          </cell>
          <cell r="F257" t="str">
            <v>31/01/2025</v>
          </cell>
          <cell r="G257" t="str">
            <v>30/01/2026</v>
          </cell>
          <cell r="H257" t="str">
            <v>08004499</v>
          </cell>
          <cell r="I257" t="str">
            <v>AL BARAKA BANK (PAKISTAN) LIMITED</v>
          </cell>
          <cell r="J257" t="str">
            <v>BANK</v>
          </cell>
          <cell r="K257" t="str">
            <v>Mr. 
Al Baraka Bank Pakistan Limited 
Mr. 
Al Baraka Bank Pakistan Limited 
User: Syed Ali Zaheer Haider</v>
          </cell>
          <cell r="L257" t="str">
            <v>D</v>
          </cell>
          <cell r="M257" t="str">
            <v>09000221</v>
          </cell>
          <cell r="N257">
            <v>100</v>
          </cell>
          <cell r="P257" t="str">
            <v>H # 226 Street A -1 Society Johar Town Lahore</v>
          </cell>
          <cell r="Q257" t="str">
            <v>11000003</v>
          </cell>
          <cell r="R257" t="str">
            <v>SUZUKI WAGON-R VXR</v>
          </cell>
          <cell r="S257" t="str">
            <v>2022</v>
          </cell>
          <cell r="T257" t="str">
            <v>AHJ-833</v>
          </cell>
          <cell r="U257" t="str">
            <v>227844</v>
          </cell>
          <cell r="V257" t="str">
            <v>10127866</v>
          </cell>
          <cell r="W257" t="str">
            <v>05-feb-2028</v>
          </cell>
          <cell r="Y257">
            <v>1501600</v>
          </cell>
          <cell r="Z257">
            <v>22653</v>
          </cell>
          <cell r="AA257">
            <v>26278</v>
          </cell>
        </row>
        <row r="258">
          <cell r="B258" t="str">
            <v>KHI/HO/D/MO/PC COMP/C/105499/172/01/2025</v>
          </cell>
          <cell r="D258" t="str">
            <v>REN</v>
          </cell>
          <cell r="E258" t="str">
            <v>21/01/25</v>
          </cell>
          <cell r="F258" t="str">
            <v>31/01/2025</v>
          </cell>
          <cell r="G258" t="str">
            <v>30/01/2026</v>
          </cell>
          <cell r="H258" t="str">
            <v>08004499</v>
          </cell>
          <cell r="I258" t="str">
            <v>AL BARAKA BANK (PAKISTAN) LIMITED</v>
          </cell>
          <cell r="J258" t="str">
            <v>BANK</v>
          </cell>
          <cell r="K258" t="str">
            <v>Mr. 
Al Baraka Bank Pakistan Limited 
Mr. 
Al Baraka Bank Pakistan Limited 
User: Sajjad  Ahmed</v>
          </cell>
          <cell r="L258" t="str">
            <v>D</v>
          </cell>
          <cell r="M258" t="str">
            <v>09000221</v>
          </cell>
          <cell r="N258">
            <v>100</v>
          </cell>
          <cell r="P258" t="str">
            <v>Chak No 37/ 3R P-O Same Tehsil Haroonabad</v>
          </cell>
          <cell r="Q258" t="str">
            <v>11000003</v>
          </cell>
          <cell r="R258" t="str">
            <v>SUZUKI ALTO</v>
          </cell>
          <cell r="S258" t="str">
            <v>2019</v>
          </cell>
          <cell r="T258" t="str">
            <v>LEA-20-7296</v>
          </cell>
          <cell r="U258" t="str">
            <v>6R113505</v>
          </cell>
          <cell r="V258" t="str">
            <v>6H1013456</v>
          </cell>
          <cell r="W258" t="str">
            <v>05-feb-2027</v>
          </cell>
          <cell r="Y258">
            <v>1216000</v>
          </cell>
          <cell r="Z258">
            <v>26207</v>
          </cell>
          <cell r="AA258">
            <v>30400</v>
          </cell>
        </row>
        <row r="259">
          <cell r="B259" t="str">
            <v>KHI/HO/D/MO/PC COMP/C/105499/173/01/2025</v>
          </cell>
          <cell r="D259" t="str">
            <v>REN</v>
          </cell>
          <cell r="E259" t="str">
            <v>21/01/25</v>
          </cell>
          <cell r="F259" t="str">
            <v>31/01/2025</v>
          </cell>
          <cell r="G259" t="str">
            <v>30/01/2026</v>
          </cell>
          <cell r="H259" t="str">
            <v>08004499</v>
          </cell>
          <cell r="I259" t="str">
            <v>AL BARAKA BANK (PAKISTAN) LIMITED</v>
          </cell>
          <cell r="J259" t="str">
            <v>BANK</v>
          </cell>
          <cell r="K259" t="str">
            <v>Mr. 
Al Baraka Bank Pakistan Limited 
Mr. 
Al Baraka Bank Pakistan Limited 
User: Bilal  Miraj</v>
          </cell>
          <cell r="L259" t="str">
            <v>D</v>
          </cell>
          <cell r="M259" t="str">
            <v>09000221</v>
          </cell>
          <cell r="N259">
            <v>100</v>
          </cell>
          <cell r="P259" t="str">
            <v>H # 201 Lda Mohallah Mughlia Park  Maqbara More Lahore</v>
          </cell>
          <cell r="Q259" t="str">
            <v>11000003</v>
          </cell>
          <cell r="R259" t="str">
            <v>CHANGAN KARVAAN PLUS</v>
          </cell>
          <cell r="S259" t="str">
            <v>2022</v>
          </cell>
          <cell r="T259" t="str">
            <v>AHP-527</v>
          </cell>
          <cell r="U259" t="str">
            <v>507496</v>
          </cell>
          <cell r="V259" t="str">
            <v>1011805</v>
          </cell>
          <cell r="W259" t="str">
            <v>05-feb-2029</v>
          </cell>
          <cell r="Y259">
            <v>1371200</v>
          </cell>
          <cell r="Z259">
            <v>20686</v>
          </cell>
          <cell r="AA259">
            <v>23996</v>
          </cell>
        </row>
        <row r="260">
          <cell r="B260" t="str">
            <v>KHI/HO/D/MO/PC COMP/C/105499/174/01/2025</v>
          </cell>
          <cell r="D260" t="str">
            <v>REN</v>
          </cell>
          <cell r="E260" t="str">
            <v>21/01/25</v>
          </cell>
          <cell r="F260" t="str">
            <v>31/01/2025</v>
          </cell>
          <cell r="G260" t="str">
            <v>30/01/2026</v>
          </cell>
          <cell r="H260" t="str">
            <v>08004499</v>
          </cell>
          <cell r="I260" t="str">
            <v>AL BARAKA BANK (PAKISTAN) LIMITED</v>
          </cell>
          <cell r="J260" t="str">
            <v>BANK</v>
          </cell>
          <cell r="K260" t="str">
            <v>Mr. 
Al Baraka Bank Pakistan Limited 
Mr. 
Al Baraka Bank Pakistan Limited 
User: Izhar Ul Haq</v>
          </cell>
          <cell r="L260" t="str">
            <v>D</v>
          </cell>
          <cell r="M260" t="str">
            <v>09000221</v>
          </cell>
          <cell r="N260">
            <v>100</v>
          </cell>
          <cell r="P260" t="str">
            <v>House No 27 Street No 33 Mullah Sony View Park Mujahid  Abad Mughalpura Lhr Cant</v>
          </cell>
          <cell r="Q260" t="str">
            <v>11000003</v>
          </cell>
          <cell r="R260" t="str">
            <v>SUZUKI WAGON-R VXL E2</v>
          </cell>
          <cell r="S260" t="str">
            <v>2019</v>
          </cell>
          <cell r="T260" t="str">
            <v>LEE-19-7840</v>
          </cell>
          <cell r="U260" t="str">
            <v>B192074</v>
          </cell>
          <cell r="V260" t="str">
            <v>10092334</v>
          </cell>
          <cell r="W260" t="str">
            <v>05-feb-2029</v>
          </cell>
          <cell r="Y260">
            <v>1400000</v>
          </cell>
          <cell r="Z260">
            <v>21121</v>
          </cell>
          <cell r="AA260">
            <v>24500</v>
          </cell>
        </row>
        <row r="261">
          <cell r="B261" t="str">
            <v>KHI/HO/D/MO/PC COMP/C/105499/175/01/2025</v>
          </cell>
          <cell r="D261" t="str">
            <v>REN</v>
          </cell>
          <cell r="E261" t="str">
            <v>21/01/25</v>
          </cell>
          <cell r="F261" t="str">
            <v>31/01/2025</v>
          </cell>
          <cell r="G261" t="str">
            <v>30/01/2026</v>
          </cell>
          <cell r="H261" t="str">
            <v>08004499</v>
          </cell>
          <cell r="I261" t="str">
            <v>AL BARAKA BANK (PAKISTAN) LIMITED</v>
          </cell>
          <cell r="J261" t="str">
            <v>BANK</v>
          </cell>
          <cell r="K261" t="str">
            <v>Mr. 
Al Baraka Bank Pakistan Limited 
Mr. 
Al Baraka Bank Pakistan Limited 
User: Sagher  Iqbal</v>
          </cell>
          <cell r="L261" t="str">
            <v>D</v>
          </cell>
          <cell r="M261" t="str">
            <v>09000221</v>
          </cell>
          <cell r="N261">
            <v>100</v>
          </cell>
          <cell r="P261" t="str">
            <v>St 02 Salamat Street Yahana Abad Lahore</v>
          </cell>
          <cell r="Q261" t="str">
            <v>11000003</v>
          </cell>
          <cell r="R261" t="str">
            <v>SUZUKI CULTUS</v>
          </cell>
          <cell r="S261" t="str">
            <v>2017</v>
          </cell>
          <cell r="T261" t="str">
            <v>LED-17-327</v>
          </cell>
          <cell r="U261" t="str">
            <v>PK0K101489</v>
          </cell>
          <cell r="V261" t="str">
            <v>NF1AVK31H10001475</v>
          </cell>
          <cell r="W261" t="str">
            <v>05-feb-2027</v>
          </cell>
          <cell r="Y261">
            <v>1416000</v>
          </cell>
          <cell r="Z261">
            <v>30517</v>
          </cell>
          <cell r="AA261">
            <v>35400</v>
          </cell>
        </row>
        <row r="262">
          <cell r="B262" t="str">
            <v>KHI/HO/D/MO/PC COMP/C/105499/176/01/2025</v>
          </cell>
          <cell r="D262" t="str">
            <v>REN</v>
          </cell>
          <cell r="E262" t="str">
            <v>21/01/25</v>
          </cell>
          <cell r="F262" t="str">
            <v>31/01/2025</v>
          </cell>
          <cell r="G262" t="str">
            <v>30/01/2026</v>
          </cell>
          <cell r="H262" t="str">
            <v>08004499</v>
          </cell>
          <cell r="I262" t="str">
            <v>AL BARAKA BANK (PAKISTAN) LIMITED</v>
          </cell>
          <cell r="J262" t="str">
            <v>BANK</v>
          </cell>
          <cell r="K262" t="str">
            <v>Mr. 
Al Baraka Bank Pakistan Limited 
Mr. 
Al Baraka Bank Pakistan Limited 
User: Malik Muhammad  Amir</v>
          </cell>
          <cell r="L262" t="str">
            <v>D</v>
          </cell>
          <cell r="M262" t="str">
            <v>09000221</v>
          </cell>
          <cell r="N262">
            <v>100</v>
          </cell>
          <cell r="P262" t="str">
            <v>Khalid Park H. No. 212 Street 5 Khokhar Town Bund Road Lahore</v>
          </cell>
          <cell r="Q262" t="str">
            <v>11000003</v>
          </cell>
          <cell r="R262" t="str">
            <v>SUZUKI WAGON-R VXL E2</v>
          </cell>
          <cell r="S262" t="str">
            <v>2018</v>
          </cell>
          <cell r="T262" t="str">
            <v>LEE-18-4684</v>
          </cell>
          <cell r="U262" t="str">
            <v>PK10B156612</v>
          </cell>
          <cell r="V262" t="str">
            <v>10056592</v>
          </cell>
          <cell r="W262" t="str">
            <v>05-feb-2027</v>
          </cell>
          <cell r="Y262">
            <v>1280000</v>
          </cell>
          <cell r="Z262">
            <v>19310</v>
          </cell>
          <cell r="AA262">
            <v>22400</v>
          </cell>
        </row>
        <row r="263">
          <cell r="B263" t="str">
            <v>KHI/HO/D/MO/PC COMP/C/105499/177/01/2025</v>
          </cell>
          <cell r="D263" t="str">
            <v>REN</v>
          </cell>
          <cell r="E263" t="str">
            <v>21/01/25</v>
          </cell>
          <cell r="F263" t="str">
            <v>31/01/2025</v>
          </cell>
          <cell r="G263" t="str">
            <v>30/01/2026</v>
          </cell>
          <cell r="H263" t="str">
            <v>08004499</v>
          </cell>
          <cell r="I263" t="str">
            <v>AL BARAKA BANK (PAKISTAN) LIMITED</v>
          </cell>
          <cell r="J263" t="str">
            <v>BANK</v>
          </cell>
          <cell r="K263" t="str">
            <v>Mr. 
Al Baraka Bank Pakistan Limited 
Mr. 
Al Baraka Bank Pakistan Limited 
User: Waleed  Islam</v>
          </cell>
          <cell r="L263" t="str">
            <v>D</v>
          </cell>
          <cell r="M263" t="str">
            <v>09000221</v>
          </cell>
          <cell r="N263">
            <v>100</v>
          </cell>
          <cell r="P263" t="str">
            <v>House # 10A Military Accounts Society Collage Road Lahore</v>
          </cell>
          <cell r="Q263" t="str">
            <v>11000003</v>
          </cell>
          <cell r="R263" t="str">
            <v>HONDA CIVIC VTI  ORIEL PT</v>
          </cell>
          <cell r="S263" t="str">
            <v>2019</v>
          </cell>
          <cell r="T263" t="str">
            <v>LEH-19-1551</v>
          </cell>
          <cell r="U263" t="str">
            <v>71403538</v>
          </cell>
          <cell r="V263" t="str">
            <v>KR057362</v>
          </cell>
          <cell r="W263" t="str">
            <v>05-feb-2027</v>
          </cell>
          <cell r="Y263">
            <v>3480000</v>
          </cell>
          <cell r="Z263">
            <v>45000</v>
          </cell>
          <cell r="AA263">
            <v>52200</v>
          </cell>
        </row>
        <row r="264">
          <cell r="B264" t="str">
            <v>KHI/HO/D/MO/PC COMP/C/105499/178/01/2025</v>
          </cell>
          <cell r="D264" t="str">
            <v>REN</v>
          </cell>
          <cell r="E264" t="str">
            <v>21/01/25</v>
          </cell>
          <cell r="F264" t="str">
            <v>31/01/2025</v>
          </cell>
          <cell r="G264" t="str">
            <v>30/01/2026</v>
          </cell>
          <cell r="H264" t="str">
            <v>08004499</v>
          </cell>
          <cell r="I264" t="str">
            <v>AL BARAKA BANK (PAKISTAN) LIMITED</v>
          </cell>
          <cell r="J264" t="str">
            <v>BANK</v>
          </cell>
          <cell r="K264" t="str">
            <v>Mr. 
Al Baraka Bank Pakistan Limited 
Mr. 
Al Baraka Bank Pakistan Limited 
User: Waqas  Ahmad</v>
          </cell>
          <cell r="L264" t="str">
            <v>D</v>
          </cell>
          <cell r="M264" t="str">
            <v>09000221</v>
          </cell>
          <cell r="N264">
            <v>100</v>
          </cell>
          <cell r="P264" t="str">
            <v>H # 4 Street 25 Bilal Road Rasheed Pura Baghbanpura Lahore</v>
          </cell>
          <cell r="Q264" t="str">
            <v>11000003</v>
          </cell>
          <cell r="R264" t="str">
            <v>TOYOTA COROLLA ALTIS CVT</v>
          </cell>
          <cell r="S264" t="str">
            <v>2022</v>
          </cell>
          <cell r="T264" t="str">
            <v>AHG-079</v>
          </cell>
          <cell r="U264" t="str">
            <v>Q357236</v>
          </cell>
          <cell r="V264" t="str">
            <v>7056355</v>
          </cell>
          <cell r="W264" t="str">
            <v>05-feb-2027</v>
          </cell>
          <cell r="Y264">
            <v>3390400</v>
          </cell>
          <cell r="Z264">
            <v>43842</v>
          </cell>
          <cell r="AA264">
            <v>50856</v>
          </cell>
        </row>
        <row r="265">
          <cell r="B265" t="str">
            <v>KHI/HO/D/MO/PC COMP/C/105499/179/01/2025</v>
          </cell>
          <cell r="D265" t="str">
            <v>REN</v>
          </cell>
          <cell r="E265" t="str">
            <v>21/01/25</v>
          </cell>
          <cell r="F265" t="str">
            <v>31/01/2025</v>
          </cell>
          <cell r="G265" t="str">
            <v>30/01/2026</v>
          </cell>
          <cell r="H265" t="str">
            <v>08004499</v>
          </cell>
          <cell r="I265" t="str">
            <v>AL BARAKA BANK (PAKISTAN) LIMITED</v>
          </cell>
          <cell r="J265" t="str">
            <v>BANK</v>
          </cell>
          <cell r="K265" t="str">
            <v>Mr. 
Al Baraka Bank Pakistan Limited 
Mr. 
Al Baraka Bank Pakistan Limited 
User: Adeel   Zahid</v>
          </cell>
          <cell r="L265" t="str">
            <v>D</v>
          </cell>
          <cell r="M265" t="str">
            <v>09000221</v>
          </cell>
          <cell r="N265">
            <v>100</v>
          </cell>
          <cell r="P265" t="str">
            <v>P-692 Zeeshan Road Bhatees Street Khayaban 2 Madina Town Faisalabad</v>
          </cell>
          <cell r="Q265" t="str">
            <v>11000003</v>
          </cell>
          <cell r="R265" t="str">
            <v>HONDA CITY I-VTEC (M/T)</v>
          </cell>
          <cell r="S265" t="str">
            <v>2017</v>
          </cell>
          <cell r="T265" t="str">
            <v>AGA-304</v>
          </cell>
          <cell r="U265" t="str">
            <v>L13Z17503378</v>
          </cell>
          <cell r="V265" t="str">
            <v>214098</v>
          </cell>
          <cell r="W265" t="str">
            <v>05-feb-2027</v>
          </cell>
          <cell r="Y265">
            <v>1820000</v>
          </cell>
          <cell r="Z265">
            <v>39224</v>
          </cell>
          <cell r="AA265">
            <v>45500</v>
          </cell>
        </row>
        <row r="266">
          <cell r="B266" t="str">
            <v>KHI/HO/D/MO/PC COMP/C/105499/180/01/2025</v>
          </cell>
          <cell r="D266" t="str">
            <v>REN</v>
          </cell>
          <cell r="E266" t="str">
            <v>21/01/25</v>
          </cell>
          <cell r="F266" t="str">
            <v>31/01/2025</v>
          </cell>
          <cell r="G266" t="str">
            <v>30/01/2026</v>
          </cell>
          <cell r="H266" t="str">
            <v>08004499</v>
          </cell>
          <cell r="I266" t="str">
            <v>AL BARAKA BANK (PAKISTAN) LIMITED</v>
          </cell>
          <cell r="J266" t="str">
            <v>BANK</v>
          </cell>
          <cell r="K266" t="str">
            <v>Mr. 
Al Baraka Bank Pakistan Limited 
Mr. 
Al Baraka Bank Pakistan Limited 
User: Mufti Khurram Shahzad</v>
          </cell>
          <cell r="L266" t="str">
            <v>D</v>
          </cell>
          <cell r="M266" t="str">
            <v>09000221</v>
          </cell>
          <cell r="N266">
            <v>100</v>
          </cell>
          <cell r="P266" t="str">
            <v>H # 4 Street 26 Moh Dev Simaj Ram Nagar Islampura Lahore</v>
          </cell>
          <cell r="Q266" t="str">
            <v>11000003</v>
          </cell>
          <cell r="R266" t="str">
            <v>SUZUKI CULTUS VXL EURO II</v>
          </cell>
          <cell r="S266" t="str">
            <v>2021</v>
          </cell>
          <cell r="T266" t="str">
            <v>AUS-942</v>
          </cell>
          <cell r="U266" t="str">
            <v>180849</v>
          </cell>
          <cell r="V266" t="str">
            <v>10080672</v>
          </cell>
          <cell r="W266" t="str">
            <v>05-feb-2027</v>
          </cell>
          <cell r="Y266">
            <v>1776000</v>
          </cell>
          <cell r="Z266">
            <v>26793</v>
          </cell>
          <cell r="AA266">
            <v>31080</v>
          </cell>
        </row>
        <row r="267">
          <cell r="B267" t="str">
            <v>KHI/HO/D/MO/PC COMP/C/105499/181/01/2025</v>
          </cell>
          <cell r="D267" t="str">
            <v>REN</v>
          </cell>
          <cell r="E267" t="str">
            <v>21/01/25</v>
          </cell>
          <cell r="F267" t="str">
            <v>31/01/2025</v>
          </cell>
          <cell r="G267" t="str">
            <v>30/01/2026</v>
          </cell>
          <cell r="H267" t="str">
            <v>08004499</v>
          </cell>
          <cell r="I267" t="str">
            <v>AL BARAKA BANK (PAKISTAN) LIMITED</v>
          </cell>
          <cell r="J267" t="str">
            <v>BANK</v>
          </cell>
          <cell r="K267" t="str">
            <v>Mr. 
Al Baraka Bank Pakistan Limited 
Mr. 
Al Baraka Bank Pakistan Limited 
User: Ahsan  Khyber</v>
          </cell>
          <cell r="L267" t="str">
            <v>D</v>
          </cell>
          <cell r="M267" t="str">
            <v>09000221</v>
          </cell>
          <cell r="N267">
            <v>100</v>
          </cell>
          <cell r="P267" t="str">
            <v>H # 74-A Jalal Sons Venus H. Scheme Main Boulevard Ferozepur Road Lahore</v>
          </cell>
          <cell r="Q267" t="str">
            <v>11000003</v>
          </cell>
          <cell r="R267" t="str">
            <v>HONDA CITY CVT ASPIRE A/T</v>
          </cell>
          <cell r="S267" t="str">
            <v>2018</v>
          </cell>
          <cell r="T267" t="str">
            <v>LEC-18A-7089</v>
          </cell>
          <cell r="U267" t="str">
            <v>Z17521845</v>
          </cell>
          <cell r="V267" t="str">
            <v>JR238138</v>
          </cell>
          <cell r="W267" t="str">
            <v>05-feb-2027</v>
          </cell>
          <cell r="Y267">
            <v>2080000</v>
          </cell>
          <cell r="Z267">
            <v>31379</v>
          </cell>
          <cell r="AA267">
            <v>36400</v>
          </cell>
        </row>
        <row r="268">
          <cell r="B268" t="str">
            <v>KHI/HO/D/MO/PC COMP/C/105499/182/01/2025</v>
          </cell>
          <cell r="D268" t="str">
            <v>REN</v>
          </cell>
          <cell r="E268" t="str">
            <v>21/01/25</v>
          </cell>
          <cell r="F268" t="str">
            <v>31/01/2025</v>
          </cell>
          <cell r="G268" t="str">
            <v>30/01/2026</v>
          </cell>
          <cell r="H268" t="str">
            <v>08004499</v>
          </cell>
          <cell r="I268" t="str">
            <v>AL BARAKA BANK (PAKISTAN) LIMITED</v>
          </cell>
          <cell r="J268" t="str">
            <v>BANK</v>
          </cell>
          <cell r="K268" t="str">
            <v>Mr. 
Al Baraka Bank Pakistan Limited 
Mr. 
Al Baraka Bank Pakistan Limited 
User: Muhammad  Ramzan</v>
          </cell>
          <cell r="L268" t="str">
            <v>D</v>
          </cell>
          <cell r="M268" t="str">
            <v>09000221</v>
          </cell>
          <cell r="N268">
            <v>100</v>
          </cell>
          <cell r="P268" t="str">
            <v>H No 107 City Gardec Jhangi Wala Road  Bahawalpur</v>
          </cell>
          <cell r="Q268" t="str">
            <v>11000003</v>
          </cell>
          <cell r="R268" t="str">
            <v>HONDA CIVIC VTI MT</v>
          </cell>
          <cell r="S268" t="str">
            <v>2022</v>
          </cell>
          <cell r="T268" t="str">
            <v>AXE-929</v>
          </cell>
          <cell r="U268" t="str">
            <v>6929810</v>
          </cell>
          <cell r="V268" t="str">
            <v>R082392</v>
          </cell>
          <cell r="W268" t="str">
            <v>05-feb-2027</v>
          </cell>
          <cell r="Y268">
            <v>3373200</v>
          </cell>
          <cell r="Z268">
            <v>43619</v>
          </cell>
          <cell r="AA268">
            <v>50598</v>
          </cell>
        </row>
        <row r="269">
          <cell r="B269" t="str">
            <v>KHI/HO/D/MO/PC COMP/C/105499/183/01/2025</v>
          </cell>
          <cell r="D269" t="str">
            <v>REN</v>
          </cell>
          <cell r="E269" t="str">
            <v>21/01/25</v>
          </cell>
          <cell r="F269" t="str">
            <v>11/01/2025</v>
          </cell>
          <cell r="G269" t="str">
            <v>10/01/2026</v>
          </cell>
          <cell r="H269" t="str">
            <v>08004499</v>
          </cell>
          <cell r="I269" t="str">
            <v>AL BARAKA BANK (PAKISTAN) LIMITED</v>
          </cell>
          <cell r="J269" t="str">
            <v>BANK</v>
          </cell>
          <cell r="K269" t="str">
            <v>Mr. 
Al Baraka Bank Pakistan Limited 
Mr. 
Al Baraka Bank Pakistan Limited 
User: Awais  Aslam</v>
          </cell>
          <cell r="L269" t="str">
            <v>D</v>
          </cell>
          <cell r="M269" t="str">
            <v>09000221</v>
          </cell>
          <cell r="N269">
            <v>100</v>
          </cell>
          <cell r="P269" t="str">
            <v>91-N Sabzazar Scheme Multan Road Lahore</v>
          </cell>
          <cell r="Q269" t="str">
            <v>11000003</v>
          </cell>
          <cell r="R269" t="str">
            <v>HONDA CIVIC VTI  ORIEL PT</v>
          </cell>
          <cell r="S269" t="str">
            <v>2017</v>
          </cell>
          <cell r="T269" t="str">
            <v>LEH-17-741</v>
          </cell>
          <cell r="U269" t="str">
            <v>2918064</v>
          </cell>
          <cell r="V269" t="str">
            <v>R021438</v>
          </cell>
          <cell r="W269" t="str">
            <v>05-feb-2027</v>
          </cell>
          <cell r="Y269">
            <v>2700000</v>
          </cell>
          <cell r="Z269">
            <v>40733</v>
          </cell>
          <cell r="AA269">
            <v>47250</v>
          </cell>
        </row>
        <row r="270">
          <cell r="B270" t="str">
            <v>KHI/HO/D/MO/PC COMP/C/105499/184/01/2025</v>
          </cell>
          <cell r="D270" t="str">
            <v>REN</v>
          </cell>
          <cell r="E270" t="str">
            <v>21/01/25</v>
          </cell>
          <cell r="F270" t="str">
            <v>31/01/2025</v>
          </cell>
          <cell r="G270" t="str">
            <v>30/01/2026</v>
          </cell>
          <cell r="H270" t="str">
            <v>08004499</v>
          </cell>
          <cell r="I270" t="str">
            <v>AL BARAKA BANK (PAKISTAN) LIMITED</v>
          </cell>
          <cell r="J270" t="str">
            <v>BANK</v>
          </cell>
          <cell r="K270" t="str">
            <v>Mr. 
Al Baraka Bank Pakistan Limited 
Mr. 
Al Baraka Bank Pakistan Limited 
User: Shahnaz  Malik</v>
          </cell>
          <cell r="L270" t="str">
            <v>D</v>
          </cell>
          <cell r="M270" t="str">
            <v>09000221</v>
          </cell>
          <cell r="N270">
            <v>100</v>
          </cell>
          <cell r="P270" t="str">
            <v>182/2 Main Khayaban-E-Shahbaz Dha Karachi</v>
          </cell>
          <cell r="Q270" t="str">
            <v>11000003</v>
          </cell>
          <cell r="R270" t="str">
            <v>SUZUKI BOLAN STD VX EURO</v>
          </cell>
          <cell r="S270" t="str">
            <v>2022</v>
          </cell>
          <cell r="T270" t="str">
            <v>CZ-7854</v>
          </cell>
          <cell r="U270" t="str">
            <v>1019572</v>
          </cell>
          <cell r="V270" t="str">
            <v>01136082</v>
          </cell>
          <cell r="W270" t="str">
            <v>05-feb-2026</v>
          </cell>
          <cell r="Y270">
            <v>942400</v>
          </cell>
          <cell r="Z270">
            <v>20310</v>
          </cell>
          <cell r="AA270">
            <v>23560</v>
          </cell>
        </row>
        <row r="271">
          <cell r="B271" t="str">
            <v>KHI/HO/D/MO/PC COMP/C/105499/185/01/2025</v>
          </cell>
          <cell r="D271" t="str">
            <v>REN</v>
          </cell>
          <cell r="E271" t="str">
            <v>21/01/25</v>
          </cell>
          <cell r="F271" t="str">
            <v>31/01/2025</v>
          </cell>
          <cell r="G271" t="str">
            <v>30/01/2026</v>
          </cell>
          <cell r="H271" t="str">
            <v>08004499</v>
          </cell>
          <cell r="I271" t="str">
            <v>AL BARAKA BANK (PAKISTAN) LIMITED</v>
          </cell>
          <cell r="J271" t="str">
            <v>BANK</v>
          </cell>
          <cell r="K271" t="str">
            <v>Mr. 
Al Baraka Bank Pakistan Limited 
Mr. 
Al Baraka Bank Pakistan Limited 
User: Syed Shahid Raza Shamsi</v>
          </cell>
          <cell r="L271" t="str">
            <v>D</v>
          </cell>
          <cell r="M271" t="str">
            <v>09000221</v>
          </cell>
          <cell r="N271">
            <v>100</v>
          </cell>
          <cell r="P271" t="str">
            <v>H # Bb-39 2Nd Street Behind Iqra University Defence View Ph 2 Karachi</v>
          </cell>
          <cell r="Q271" t="str">
            <v>11000003</v>
          </cell>
          <cell r="R271" t="str">
            <v>SUZUKI ALTO VXL AGS</v>
          </cell>
          <cell r="S271" t="str">
            <v>2019</v>
          </cell>
          <cell r="T271" t="str">
            <v>BRC-447</v>
          </cell>
          <cell r="U271" t="str">
            <v>6R122691</v>
          </cell>
          <cell r="V271" t="str">
            <v>1022562</v>
          </cell>
          <cell r="W271" t="str">
            <v>05-feb-2027</v>
          </cell>
          <cell r="Y271">
            <v>1392000</v>
          </cell>
          <cell r="Z271">
            <v>21000</v>
          </cell>
          <cell r="AA271">
            <v>24360</v>
          </cell>
        </row>
        <row r="272">
          <cell r="B272" t="str">
            <v>KHI/HO/D/MO/PC COMP/C/105499/186/01/2025</v>
          </cell>
          <cell r="D272" t="str">
            <v>REN</v>
          </cell>
          <cell r="E272" t="str">
            <v>21/01/25</v>
          </cell>
          <cell r="F272" t="str">
            <v>31/01/2025</v>
          </cell>
          <cell r="G272" t="str">
            <v>30/01/2026</v>
          </cell>
          <cell r="H272" t="str">
            <v>08004499</v>
          </cell>
          <cell r="I272" t="str">
            <v>AL BARAKA BANK (PAKISTAN) LIMITED</v>
          </cell>
          <cell r="J272" t="str">
            <v>BANK</v>
          </cell>
          <cell r="K272" t="str">
            <v>Mr. 
Al Baraka Bank Pakistan Limited 
Mr. 
Al Baraka Bank Pakistan Limited 
User: Syed Shujaat Rasool  Shah</v>
          </cell>
          <cell r="L272" t="str">
            <v>D</v>
          </cell>
          <cell r="M272" t="str">
            <v>09000221</v>
          </cell>
          <cell r="N272">
            <v>100</v>
          </cell>
          <cell r="P272" t="str">
            <v>Banglow 9 Street 4 Naqash Villa Qasimabad Hyderabad</v>
          </cell>
          <cell r="Q272" t="str">
            <v>11000003</v>
          </cell>
          <cell r="R272" t="str">
            <v>SUZUKI MEHRAN VX EURO II</v>
          </cell>
          <cell r="S272" t="str">
            <v>2019</v>
          </cell>
          <cell r="T272" t="str">
            <v>BPP-902</v>
          </cell>
          <cell r="U272" t="str">
            <v>759512</v>
          </cell>
          <cell r="V272" t="str">
            <v>01298044</v>
          </cell>
          <cell r="W272" t="str">
            <v>05-feb-2029</v>
          </cell>
          <cell r="Y272">
            <v>800000</v>
          </cell>
          <cell r="Z272">
            <v>12069</v>
          </cell>
          <cell r="AA272">
            <v>14000</v>
          </cell>
        </row>
        <row r="273">
          <cell r="B273" t="str">
            <v>KHI/HO/D/MO/PC COMP/C/105499/187/01/2025</v>
          </cell>
          <cell r="D273" t="str">
            <v>REN</v>
          </cell>
          <cell r="E273" t="str">
            <v>21/01/25</v>
          </cell>
          <cell r="F273" t="str">
            <v>14/01/2025</v>
          </cell>
          <cell r="G273" t="str">
            <v>13/01/2026</v>
          </cell>
          <cell r="H273" t="str">
            <v>08004499</v>
          </cell>
          <cell r="I273" t="str">
            <v>AL BARAKA BANK (PAKISTAN) LIMITED</v>
          </cell>
          <cell r="J273" t="str">
            <v>BANK</v>
          </cell>
          <cell r="K273" t="str">
            <v>Mr. 
Al Baraka Bank Pakistan Limited 
Mr. 
Al Baraka Bank Pakistan Limited 
User: Fahad  Mushtaq</v>
          </cell>
          <cell r="L273" t="str">
            <v>D</v>
          </cell>
          <cell r="M273" t="str">
            <v>09000221</v>
          </cell>
          <cell r="N273">
            <v>100</v>
          </cell>
          <cell r="P273" t="str">
            <v>Moor Maqbara Jahangir Shahdra H # 4 Street 1 Mohallah Ravi Clifton Lahore</v>
          </cell>
          <cell r="Q273" t="str">
            <v>11000003</v>
          </cell>
          <cell r="R273" t="str">
            <v>HYUNDAI ELANTRA 2.0 MP1 A</v>
          </cell>
          <cell r="S273" t="str">
            <v>2022</v>
          </cell>
          <cell r="T273" t="str">
            <v>AFH-744</v>
          </cell>
          <cell r="U273" t="str">
            <v>962406</v>
          </cell>
          <cell r="V273" t="str">
            <v>302794</v>
          </cell>
          <cell r="W273" t="str">
            <v>05-mar-2027</v>
          </cell>
          <cell r="Y273">
            <v>3207040</v>
          </cell>
          <cell r="Z273">
            <v>41470</v>
          </cell>
          <cell r="AA273">
            <v>48106</v>
          </cell>
        </row>
        <row r="274">
          <cell r="B274" t="str">
            <v>KHI/HO/D/MO/PC COMP/C/105499/188/01/2025</v>
          </cell>
          <cell r="D274" t="str">
            <v>REN</v>
          </cell>
          <cell r="E274" t="str">
            <v>21/01/25</v>
          </cell>
          <cell r="F274" t="str">
            <v>27/01/2025</v>
          </cell>
          <cell r="G274" t="str">
            <v>26/01/2026</v>
          </cell>
          <cell r="H274" t="str">
            <v>08004499</v>
          </cell>
          <cell r="I274" t="str">
            <v>AL BARAKA BANK (PAKISTAN) LIMITED</v>
          </cell>
          <cell r="J274" t="str">
            <v>BANK</v>
          </cell>
          <cell r="K274" t="str">
            <v>Mr. 
Al Baraka Bank Pakistan Limited 
Mr. 
Al Baraka Bank Pakistan Limited 
User: Tayyab   Shahzad</v>
          </cell>
          <cell r="L274" t="str">
            <v>D</v>
          </cell>
          <cell r="M274" t="str">
            <v>09000221</v>
          </cell>
          <cell r="N274">
            <v>100</v>
          </cell>
          <cell r="P274" t="str">
            <v>283 D Rizwan Block Awan Town Lahore</v>
          </cell>
          <cell r="Q274" t="str">
            <v>11000003</v>
          </cell>
          <cell r="R274" t="str">
            <v>HONDA CIVIC VTI ORIEL I-V</v>
          </cell>
          <cell r="S274" t="str">
            <v>2017</v>
          </cell>
          <cell r="T274" t="str">
            <v>LE-18-3123</v>
          </cell>
          <cell r="U274" t="str">
            <v>R18Z12925350</v>
          </cell>
          <cell r="V274" t="str">
            <v>NFBFC6661HR028732</v>
          </cell>
          <cell r="W274" t="str">
            <v>05-feb-2027</v>
          </cell>
          <cell r="Y274">
            <v>2800000</v>
          </cell>
          <cell r="Z274">
            <v>36207</v>
          </cell>
          <cell r="AA274">
            <v>42000</v>
          </cell>
        </row>
        <row r="275">
          <cell r="B275" t="str">
            <v>KHI/HO/D/MO/PC COMP/C/105499/189/01/2025</v>
          </cell>
          <cell r="D275" t="str">
            <v>REN</v>
          </cell>
          <cell r="E275" t="str">
            <v>21/01/25</v>
          </cell>
          <cell r="F275" t="str">
            <v>28/01/2025</v>
          </cell>
          <cell r="G275" t="str">
            <v>27/01/2026</v>
          </cell>
          <cell r="H275" t="str">
            <v>08004499</v>
          </cell>
          <cell r="I275" t="str">
            <v>AL BARAKA BANK (PAKISTAN) LIMITED</v>
          </cell>
          <cell r="J275" t="str">
            <v>BANK</v>
          </cell>
          <cell r="K275" t="str">
            <v>Mr. 
Al Baraka Bank Pakistan Limited 
Mr. 
Al Baraka Bank Pakistan Limited 
User: Wasi Ur Rehman Farooq</v>
          </cell>
          <cell r="L275" t="str">
            <v>D</v>
          </cell>
          <cell r="M275" t="str">
            <v>09000221</v>
          </cell>
          <cell r="N275">
            <v>100</v>
          </cell>
          <cell r="P275" t="str">
            <v>House No. 156 Block A-1 Wapda Town Lahore</v>
          </cell>
          <cell r="Q275" t="str">
            <v>11000003</v>
          </cell>
          <cell r="R275" t="str">
            <v>TOYOTA Yaris ATIV 1.3 (CV</v>
          </cell>
          <cell r="S275" t="str">
            <v>2021</v>
          </cell>
          <cell r="T275" t="str">
            <v>ABR-691</v>
          </cell>
          <cell r="U275" t="str">
            <v>2A15864</v>
          </cell>
          <cell r="V275" t="str">
            <v>9506378</v>
          </cell>
          <cell r="W275" t="str">
            <v>05-feb-2026</v>
          </cell>
          <cell r="Y275">
            <v>2244750</v>
          </cell>
          <cell r="Z275">
            <v>48378</v>
          </cell>
          <cell r="AA275">
            <v>56119</v>
          </cell>
        </row>
        <row r="276">
          <cell r="B276" t="str">
            <v>KHI/HO/D/MO/PC COMP/C/105499/190/01/2025</v>
          </cell>
          <cell r="D276" t="str">
            <v>REN</v>
          </cell>
          <cell r="E276" t="str">
            <v>21/01/25</v>
          </cell>
          <cell r="F276" t="str">
            <v>12/01/2025</v>
          </cell>
          <cell r="G276" t="str">
            <v>11/01/2026</v>
          </cell>
          <cell r="H276" t="str">
            <v>08004499</v>
          </cell>
          <cell r="I276" t="str">
            <v>AL BARAKA BANK (PAKISTAN) LIMITED</v>
          </cell>
          <cell r="J276" t="str">
            <v>BANK</v>
          </cell>
          <cell r="K276" t="str">
            <v>Mr. 
Al Baraka Bank Pakistan Limited 
Mr. 
Al Baraka Bank Pakistan Limited 
User: Muhammad  Imran</v>
          </cell>
          <cell r="L276" t="str">
            <v>D</v>
          </cell>
          <cell r="M276" t="str">
            <v>09000221</v>
          </cell>
          <cell r="N276">
            <v>100</v>
          </cell>
          <cell r="P276" t="str">
            <v>H # 370 Mda Officers Co Opr. H. Sociewty M.A. Jinnah Road Multan</v>
          </cell>
          <cell r="Q276" t="str">
            <v>11000003</v>
          </cell>
          <cell r="R276" t="str">
            <v>MG HS MG HS TURBO</v>
          </cell>
          <cell r="S276" t="str">
            <v>2022</v>
          </cell>
          <cell r="T276" t="str">
            <v>AHN-370</v>
          </cell>
          <cell r="U276" t="str">
            <v>8210157</v>
          </cell>
          <cell r="V276" t="str">
            <v>152605</v>
          </cell>
          <cell r="W276" t="str">
            <v>05-feb-2027</v>
          </cell>
          <cell r="Y276">
            <v>4388000</v>
          </cell>
          <cell r="Z276">
            <v>56742</v>
          </cell>
          <cell r="AA276">
            <v>65820</v>
          </cell>
        </row>
        <row r="277">
          <cell r="B277" t="str">
            <v>KHI/HO/D/MO/PC COMP/C/105285/26/01/2025</v>
          </cell>
          <cell r="D277" t="str">
            <v>FRE</v>
          </cell>
          <cell r="E277" t="str">
            <v>22/01/25</v>
          </cell>
          <cell r="F277" t="str">
            <v>22/01/2025</v>
          </cell>
          <cell r="G277" t="str">
            <v>21/01/2026</v>
          </cell>
          <cell r="H277" t="str">
            <v>08004499</v>
          </cell>
          <cell r="I277" t="str">
            <v>AL BARAKA BANK (PAKISTAN) LIMITED</v>
          </cell>
          <cell r="J277" t="str">
            <v>BANK</v>
          </cell>
          <cell r="K277" t="str">
            <v>Mr. 
HPA M/s. Al Baraka Bank (Pakistan) Limited 
Mr. Ali Ullah
HPA M/s. Al Baraka Bank (Pakistan) Limited</v>
          </cell>
          <cell r="L277" t="str">
            <v>D</v>
          </cell>
          <cell r="M277" t="str">
            <v>09000221</v>
          </cell>
          <cell r="N277">
            <v>100</v>
          </cell>
          <cell r="O277" t="str">
            <v>ISLAMABAD</v>
          </cell>
          <cell r="P277" t="str">
            <v>H No 7 St No 41 Jinnah Garden Islamabad</v>
          </cell>
          <cell r="Q277" t="str">
            <v>11000003</v>
          </cell>
          <cell r="R277" t="str">
            <v>TOYOTA COROLLA ALTIS</v>
          </cell>
          <cell r="S277" t="str">
            <v>2022</v>
          </cell>
          <cell r="T277" t="str">
            <v>AZZ-229</v>
          </cell>
          <cell r="U277" t="str">
            <v>099031</v>
          </cell>
          <cell r="V277" t="str">
            <v>076550</v>
          </cell>
          <cell r="X277" t="str">
            <v>03</v>
          </cell>
          <cell r="Y277">
            <v>5500000</v>
          </cell>
          <cell r="Z277">
            <v>71121</v>
          </cell>
          <cell r="AA277">
            <v>82500</v>
          </cell>
        </row>
        <row r="278">
          <cell r="B278" t="str">
            <v>KHI/HO/D/MO/PC COMP/C/105285/27/01/2025</v>
          </cell>
          <cell r="D278" t="str">
            <v>FRE</v>
          </cell>
          <cell r="E278" t="str">
            <v>22/01/25</v>
          </cell>
          <cell r="F278" t="str">
            <v>22/01/2025</v>
          </cell>
          <cell r="G278" t="str">
            <v>21/01/2026</v>
          </cell>
          <cell r="H278" t="str">
            <v>08004499</v>
          </cell>
          <cell r="I278" t="str">
            <v>AL BARAKA BANK (PAKISTAN) LIMITED</v>
          </cell>
          <cell r="J278" t="str">
            <v>BANK</v>
          </cell>
          <cell r="K278" t="str">
            <v>Mr. 
HPA M/s. Al Baraka Bank (Pakistan) Limited 
Mr. Khalid Hussain
HPA M/s. Al Baraka Bank (Pakistan) Limited</v>
          </cell>
          <cell r="L278" t="str">
            <v>D</v>
          </cell>
          <cell r="M278" t="str">
            <v>09000221</v>
          </cell>
          <cell r="N278">
            <v>100</v>
          </cell>
          <cell r="O278" t="str">
            <v>LAHORE</v>
          </cell>
          <cell r="P278" t="str">
            <v>H # 569 Street 1 Block B Bismillah H. Society GT Road Lahore</v>
          </cell>
          <cell r="Q278" t="str">
            <v>11000003</v>
          </cell>
          <cell r="R278" t="str">
            <v>SUZUKI ALTO VXL AGS E-2</v>
          </cell>
          <cell r="S278" t="str">
            <v>2025</v>
          </cell>
          <cell r="U278" t="str">
            <v>336679</v>
          </cell>
          <cell r="V278" t="str">
            <v>1236728</v>
          </cell>
          <cell r="X278" t="str">
            <v>3</v>
          </cell>
          <cell r="Y278">
            <v>3045000</v>
          </cell>
          <cell r="Z278">
            <v>52500</v>
          </cell>
          <cell r="AA278">
            <v>60900</v>
          </cell>
        </row>
        <row r="279">
          <cell r="B279" t="str">
            <v>KHI/HO/D/MO/PC COMP/C/105285/28/01/2025</v>
          </cell>
          <cell r="D279" t="str">
            <v>FRE</v>
          </cell>
          <cell r="E279" t="str">
            <v>23/01/25</v>
          </cell>
          <cell r="F279" t="str">
            <v>23/01/2025</v>
          </cell>
          <cell r="G279" t="str">
            <v>22/01/2026</v>
          </cell>
          <cell r="H279" t="str">
            <v>08004499</v>
          </cell>
          <cell r="I279" t="str">
            <v>AL BARAKA BANK (PAKISTAN) LIMITED</v>
          </cell>
          <cell r="J279" t="str">
            <v>BANK</v>
          </cell>
          <cell r="K279" t="str">
            <v>Mr. 
HPA M/s. Al Baraka Bank (Pakistan) Limited 
Mr. Syed Abdul Rasheed 
HPA M/s. Al Baraka Bank (Pakistan) Limited</v>
          </cell>
          <cell r="L279" t="str">
            <v>D</v>
          </cell>
          <cell r="M279" t="str">
            <v>09000221</v>
          </cell>
          <cell r="N279">
            <v>100</v>
          </cell>
          <cell r="O279" t="str">
            <v>ISLAMABAD</v>
          </cell>
          <cell r="P279" t="str">
            <v>Ali Pur Bank Stop Khan Fabrics Street Near Jinnah Public School New Abadi Ali Pur Islamabad</v>
          </cell>
          <cell r="Q279" t="str">
            <v>11000003</v>
          </cell>
          <cell r="R279" t="str">
            <v>HONDA CITY 1.2  LS CVT</v>
          </cell>
          <cell r="S279" t="str">
            <v>2022</v>
          </cell>
          <cell r="T279" t="str">
            <v>AXT-238</v>
          </cell>
          <cell r="U279" t="str">
            <v>51008287</v>
          </cell>
          <cell r="V279" t="str">
            <v>013265</v>
          </cell>
          <cell r="Y279">
            <v>4200000</v>
          </cell>
          <cell r="Z279">
            <v>54310</v>
          </cell>
          <cell r="AA279">
            <v>63000</v>
          </cell>
        </row>
        <row r="280">
          <cell r="B280" t="str">
            <v>KHI/HO/D/MO/PC COMP/C/105285/29/01/2025</v>
          </cell>
          <cell r="D280" t="str">
            <v>FRE</v>
          </cell>
          <cell r="E280" t="str">
            <v>23/01/25</v>
          </cell>
          <cell r="F280" t="str">
            <v>23/01/2025</v>
          </cell>
          <cell r="G280" t="str">
            <v>22/01/2026</v>
          </cell>
          <cell r="H280" t="str">
            <v>08004499</v>
          </cell>
          <cell r="I280" t="str">
            <v>AL BARAKA BANK (PAKISTAN) LIMITED</v>
          </cell>
          <cell r="J280" t="str">
            <v>BANK</v>
          </cell>
          <cell r="K280" t="str">
            <v>Mr. 
HPA M/s. Al Baraka Bank (Pakistan) Limited 
Mr. Muhammad Ramzan 
HPA M/s. Al Baraka Bank (Pakistan) Limited</v>
          </cell>
          <cell r="L280" t="str">
            <v>D</v>
          </cell>
          <cell r="M280" t="str">
            <v>09000221</v>
          </cell>
          <cell r="N280">
            <v>100</v>
          </cell>
          <cell r="O280" t="str">
            <v>LAHORE</v>
          </cell>
          <cell r="P280" t="str">
            <v>Mohallah Sharif Pura Sameejabad NO. 1 Multan</v>
          </cell>
          <cell r="Q280" t="str">
            <v>11000003</v>
          </cell>
          <cell r="R280" t="str">
            <v>HONDA CIVIC VTI  ORIEL PT</v>
          </cell>
          <cell r="S280" t="str">
            <v>2021</v>
          </cell>
          <cell r="T280" t="str">
            <v>AEX-009</v>
          </cell>
          <cell r="U280" t="str">
            <v>16922735</v>
          </cell>
          <cell r="V280" t="str">
            <v>75079</v>
          </cell>
          <cell r="X280" t="str">
            <v>3</v>
          </cell>
          <cell r="Y280">
            <v>6900000</v>
          </cell>
          <cell r="Z280">
            <v>89224</v>
          </cell>
          <cell r="AA280">
            <v>103500</v>
          </cell>
        </row>
        <row r="281">
          <cell r="B281" t="str">
            <v>KHI/HO/D/MO/PC COMP/C/105285/30/01/2025</v>
          </cell>
          <cell r="D281" t="str">
            <v>FRE</v>
          </cell>
          <cell r="E281" t="str">
            <v>24/01/25</v>
          </cell>
          <cell r="F281" t="str">
            <v>24/01/2025</v>
          </cell>
          <cell r="G281" t="str">
            <v>23/01/2026</v>
          </cell>
          <cell r="H281" t="str">
            <v>08004499</v>
          </cell>
          <cell r="I281" t="str">
            <v>AL BARAKA BANK (PAKISTAN) LIMITED</v>
          </cell>
          <cell r="J281" t="str">
            <v>BANK</v>
          </cell>
          <cell r="K281" t="str">
            <v>Mr. 
HPA M/s. Al Baraka Bank (Pakistan) Limited 
Mr. Khurram Shahzad
HPA M/s. Al Baraka Bank (Pakistan) Limited</v>
          </cell>
          <cell r="L281" t="str">
            <v>D</v>
          </cell>
          <cell r="M281" t="str">
            <v>09000221</v>
          </cell>
          <cell r="N281">
            <v>100</v>
          </cell>
          <cell r="P281" t="str">
            <v>H # 56-A Mohallah River View Housing Society Raiwind Road Lahore</v>
          </cell>
          <cell r="Q281" t="str">
            <v>11000003</v>
          </cell>
          <cell r="R281" t="str">
            <v>SUZUKI Every VXR</v>
          </cell>
          <cell r="S281" t="str">
            <v>2025</v>
          </cell>
          <cell r="U281" t="str">
            <v>R1001909</v>
          </cell>
          <cell r="V281" t="str">
            <v>V00101872</v>
          </cell>
          <cell r="X281" t="str">
            <v>3</v>
          </cell>
          <cell r="Y281">
            <v>2799000</v>
          </cell>
          <cell r="Z281">
            <v>48258</v>
          </cell>
          <cell r="AA281">
            <v>55980</v>
          </cell>
        </row>
        <row r="282">
          <cell r="B282" t="str">
            <v>KHI/HO/D/MO/PC COMP/C/105285/31/01/2025</v>
          </cell>
          <cell r="D282" t="str">
            <v>FRE</v>
          </cell>
          <cell r="E282" t="str">
            <v>24/01/25</v>
          </cell>
          <cell r="F282" t="str">
            <v>24/01/2025</v>
          </cell>
          <cell r="G282" t="str">
            <v>23/01/2026</v>
          </cell>
          <cell r="H282" t="str">
            <v>08004499</v>
          </cell>
          <cell r="I282" t="str">
            <v>AL BARAKA BANK (PAKISTAN) LIMITED</v>
          </cell>
          <cell r="J282" t="str">
            <v>BANK</v>
          </cell>
          <cell r="K282" t="str">
            <v>Mr. 
HPA M/s. Al Baraka Bank (Pakistan) Limited 
Mr. Arshad Ali
HPA M/s. Al Baraka Bank (Pakistan) Limited</v>
          </cell>
          <cell r="L282" t="str">
            <v>D</v>
          </cell>
          <cell r="M282" t="str">
            <v>09000221</v>
          </cell>
          <cell r="N282">
            <v>100</v>
          </cell>
          <cell r="O282" t="str">
            <v>ISLAMABAD</v>
          </cell>
          <cell r="P282" t="str">
            <v>38-40-C Golden Heights Business Square Gulberg Green Islamabad</v>
          </cell>
          <cell r="Q282" t="str">
            <v>11000003</v>
          </cell>
          <cell r="R282" t="str">
            <v>TOYOTA COROLLA ALTIS GRAN</v>
          </cell>
          <cell r="S282" t="str">
            <v>2020</v>
          </cell>
          <cell r="T282" t="str">
            <v>AMJ-080</v>
          </cell>
          <cell r="U282" t="str">
            <v>345423</v>
          </cell>
          <cell r="V282" t="str">
            <v>7044607</v>
          </cell>
          <cell r="X282" t="str">
            <v>3</v>
          </cell>
          <cell r="Y282">
            <v>5600000</v>
          </cell>
          <cell r="Z282">
            <v>72414</v>
          </cell>
          <cell r="AA282">
            <v>84000</v>
          </cell>
        </row>
        <row r="283">
          <cell r="B283" t="str">
            <v>KHI/HO/D/MO/PC COMP/C/105285/32/01/2025</v>
          </cell>
          <cell r="D283" t="str">
            <v>FRE</v>
          </cell>
          <cell r="E283" t="str">
            <v>27/01/25</v>
          </cell>
          <cell r="F283" t="str">
            <v>27/01/2025</v>
          </cell>
          <cell r="G283" t="str">
            <v>26/01/2026</v>
          </cell>
          <cell r="H283" t="str">
            <v>08004499</v>
          </cell>
          <cell r="I283" t="str">
            <v>AL BARAKA BANK (PAKISTAN) LIMITED</v>
          </cell>
          <cell r="J283" t="str">
            <v>BANK</v>
          </cell>
          <cell r="K283" t="str">
            <v>Mr. 
HPA M/s. Al Baraka Bank (Pakistan) Limited 
Mr. Shayan Zafar Qazi
HPA M/s. Al Baraka Bank (Pakistan) Limited</v>
          </cell>
          <cell r="L283" t="str">
            <v>D</v>
          </cell>
          <cell r="M283" t="str">
            <v>09000221</v>
          </cell>
          <cell r="N283">
            <v>100</v>
          </cell>
          <cell r="P283" t="str">
            <v>Flat 202 2nd Floor Phase 1 Urbon Castle Appartment FB Area Block 21 Karachi</v>
          </cell>
          <cell r="Q283" t="str">
            <v>11000003</v>
          </cell>
          <cell r="R283" t="str">
            <v>SUZUKI ALTO VXL AGS E-2</v>
          </cell>
          <cell r="S283" t="str">
            <v>2025</v>
          </cell>
          <cell r="U283" t="str">
            <v>337664</v>
          </cell>
          <cell r="V283" t="str">
            <v>1237681</v>
          </cell>
          <cell r="X283" t="str">
            <v>3</v>
          </cell>
          <cell r="Y283">
            <v>3045000</v>
          </cell>
          <cell r="Z283">
            <v>52500</v>
          </cell>
          <cell r="AA283">
            <v>60900</v>
          </cell>
        </row>
        <row r="284">
          <cell r="B284" t="str">
            <v>KHI/HO/D/MO/PC COMP/C/105285/33/01/2025</v>
          </cell>
          <cell r="D284" t="str">
            <v>FRE</v>
          </cell>
          <cell r="E284" t="str">
            <v>27/01/25</v>
          </cell>
          <cell r="F284" t="str">
            <v>27/01/2025</v>
          </cell>
          <cell r="G284" t="str">
            <v>26/01/2026</v>
          </cell>
          <cell r="H284" t="str">
            <v>08004499</v>
          </cell>
          <cell r="I284" t="str">
            <v>AL BARAKA BANK (PAKISTAN) LIMITED</v>
          </cell>
          <cell r="J284" t="str">
            <v>BANK</v>
          </cell>
          <cell r="K284" t="str">
            <v>Mr. 
HPA M/s. Al Baraka Bank (Pakistan) Limited 
Mr. Ali Yasir Mustafa 
HPA M/s. Al Baraka Bank (Pakistan) Limited</v>
          </cell>
          <cell r="L284" t="str">
            <v>D</v>
          </cell>
          <cell r="M284" t="str">
            <v>09000221</v>
          </cell>
          <cell r="N284">
            <v>100</v>
          </cell>
          <cell r="O284" t="str">
            <v>LAHORE</v>
          </cell>
          <cell r="P284" t="str">
            <v>H No 324 Block L Khayaban E Amin Defence Road Lahore</v>
          </cell>
          <cell r="Q284" t="str">
            <v>11000003</v>
          </cell>
          <cell r="R284" t="str">
            <v>TOYOTA YARIS ATIV X 1.5 A</v>
          </cell>
          <cell r="S284" t="str">
            <v>2020</v>
          </cell>
          <cell r="T284" t="str">
            <v>ABF-113</v>
          </cell>
          <cell r="U284" t="str">
            <v>ZA13783</v>
          </cell>
          <cell r="V284" t="str">
            <v>7008092</v>
          </cell>
          <cell r="Y284">
            <v>4000000</v>
          </cell>
          <cell r="Z284">
            <v>51724</v>
          </cell>
          <cell r="AA284">
            <v>60000</v>
          </cell>
        </row>
        <row r="285">
          <cell r="B285" t="str">
            <v>KHI/HO/D/MO/PC COMP/C/105285/34/01/2025</v>
          </cell>
          <cell r="D285" t="str">
            <v>FRE</v>
          </cell>
          <cell r="E285" t="str">
            <v>27/01/25</v>
          </cell>
          <cell r="F285" t="str">
            <v>27/01/2025</v>
          </cell>
          <cell r="G285" t="str">
            <v>26/01/2026</v>
          </cell>
          <cell r="H285" t="str">
            <v>08004499</v>
          </cell>
          <cell r="I285" t="str">
            <v>AL BARAKA BANK (PAKISTAN) LIMITED</v>
          </cell>
          <cell r="J285" t="str">
            <v>BANK</v>
          </cell>
          <cell r="K285" t="str">
            <v>Mr. 
HPA M/s. Al Baraka Bank (Pakistan) Limited 
Mr. Abubakar Sarfraz
HPA M/s. Al Baraka Bank (Pakistan) Limited</v>
          </cell>
          <cell r="L285" t="str">
            <v>D</v>
          </cell>
          <cell r="M285" t="str">
            <v>09000221</v>
          </cell>
          <cell r="N285">
            <v>100</v>
          </cell>
          <cell r="O285" t="str">
            <v>GUJRANWALA</v>
          </cell>
          <cell r="P285" t="str">
            <v>Near Pindi Bypass St No 11 Mo Samnabad Gujranwala</v>
          </cell>
          <cell r="Q285" t="str">
            <v>11000003</v>
          </cell>
          <cell r="R285" t="str">
            <v>SUZUKI WAGON-R</v>
          </cell>
          <cell r="S285" t="str">
            <v>2018</v>
          </cell>
          <cell r="T285" t="str">
            <v>LEB-18A-991</v>
          </cell>
          <cell r="U285" t="str">
            <v>164647</v>
          </cell>
          <cell r="V285" t="str">
            <v>10064637</v>
          </cell>
          <cell r="Y285">
            <v>2300000</v>
          </cell>
          <cell r="Z285">
            <v>39655</v>
          </cell>
          <cell r="AA285">
            <v>46000</v>
          </cell>
        </row>
        <row r="286">
          <cell r="B286" t="str">
            <v>KHI/HO/D/MO/PC COMP/C/105285/35/01/2025</v>
          </cell>
          <cell r="D286" t="str">
            <v>FRE</v>
          </cell>
          <cell r="E286" t="str">
            <v>28/01/25</v>
          </cell>
          <cell r="F286" t="str">
            <v>28/01/2025</v>
          </cell>
          <cell r="G286" t="str">
            <v>27/01/2026</v>
          </cell>
          <cell r="H286" t="str">
            <v>08004499</v>
          </cell>
          <cell r="I286" t="str">
            <v>AL BARAKA BANK (PAKISTAN) LIMITED</v>
          </cell>
          <cell r="J286" t="str">
            <v>BANK</v>
          </cell>
          <cell r="K286" t="str">
            <v>Mr. 
HPA M/s. Al Baraka Bank (Pakistan) Limited 
Mr. Muhammad Bilal Qamar
HPA M/s. Al Baraka Bank (Pakistan) Limited</v>
          </cell>
          <cell r="L286" t="str">
            <v>D</v>
          </cell>
          <cell r="M286" t="str">
            <v>09000221</v>
          </cell>
          <cell r="N286">
            <v>100</v>
          </cell>
          <cell r="O286" t="str">
            <v>OKARA</v>
          </cell>
          <cell r="P286" t="str">
            <v>Chak Islampura PO Deepalpur Qila Javed Singh Distr Okara  Teh. Deepalpur</v>
          </cell>
          <cell r="Q286" t="str">
            <v>11000003</v>
          </cell>
          <cell r="R286" t="str">
            <v>SUZUKI WAGON-R VXL E2</v>
          </cell>
          <cell r="S286" t="str">
            <v>2020</v>
          </cell>
          <cell r="T286" t="str">
            <v>LEB-20-8115</v>
          </cell>
          <cell r="U286" t="str">
            <v>202039</v>
          </cell>
          <cell r="V286" t="str">
            <v>10102007</v>
          </cell>
          <cell r="X286" t="str">
            <v>3</v>
          </cell>
          <cell r="Y286">
            <v>2300000</v>
          </cell>
          <cell r="Z286">
            <v>39655</v>
          </cell>
          <cell r="AA286">
            <v>46000</v>
          </cell>
        </row>
        <row r="287">
          <cell r="B287" t="str">
            <v>KHI/HO/D/MO/PC COMP/C/105285/36/01/2025</v>
          </cell>
          <cell r="D287" t="str">
            <v>FRE</v>
          </cell>
          <cell r="E287" t="str">
            <v>28/01/25</v>
          </cell>
          <cell r="F287" t="str">
            <v>28/01/2025</v>
          </cell>
          <cell r="G287" t="str">
            <v>27/01/2026</v>
          </cell>
          <cell r="H287" t="str">
            <v>08004499</v>
          </cell>
          <cell r="I287" t="str">
            <v>AL BARAKA BANK (PAKISTAN) LIMITED</v>
          </cell>
          <cell r="J287" t="str">
            <v>BANK</v>
          </cell>
          <cell r="K287" t="str">
            <v>Mr. 
HPA M/s. Al Baraka Bank (Pakistan) Limited 
Mr. Muhammad Ejaz Khan
HPA M/s. Al Baraka Bank (Pakistan) Limited</v>
          </cell>
          <cell r="L287" t="str">
            <v>D</v>
          </cell>
          <cell r="M287" t="str">
            <v>09000221</v>
          </cell>
          <cell r="N287">
            <v>100</v>
          </cell>
          <cell r="O287" t="str">
            <v>MULTAN</v>
          </cell>
          <cell r="P287" t="str">
            <v>H No 282 Block D Phase 1 Wapda Town Multan</v>
          </cell>
          <cell r="Q287" t="str">
            <v>11000003</v>
          </cell>
          <cell r="R287" t="str">
            <v>HONDA CITY 1.2  LS CVT</v>
          </cell>
          <cell r="S287" t="str">
            <v>2025</v>
          </cell>
          <cell r="U287" t="str">
            <v>1030307</v>
          </cell>
          <cell r="V287" t="str">
            <v>047408</v>
          </cell>
          <cell r="Y287">
            <v>4719000</v>
          </cell>
          <cell r="Z287">
            <v>61022</v>
          </cell>
          <cell r="AA287">
            <v>70785</v>
          </cell>
        </row>
        <row r="288">
          <cell r="B288" t="str">
            <v>KHI/HO/D/MO/PC COMP/C/105285/37/01/2025</v>
          </cell>
          <cell r="D288" t="str">
            <v>FRE</v>
          </cell>
          <cell r="E288" t="str">
            <v>28/01/25</v>
          </cell>
          <cell r="F288" t="str">
            <v>28/01/2025</v>
          </cell>
          <cell r="G288" t="str">
            <v>27/01/2026</v>
          </cell>
          <cell r="H288" t="str">
            <v>08004499</v>
          </cell>
          <cell r="I288" t="str">
            <v>AL BARAKA BANK (PAKISTAN) LIMITED</v>
          </cell>
          <cell r="J288" t="str">
            <v>BANK</v>
          </cell>
          <cell r="K288" t="str">
            <v>Mr. 
HPA M/s. Al Baraka Bank (Pakistan) Limited 
Mr. Qamer Javed Hayat
HPA M/s. Al Baraka Bank (Pakistan) Limited</v>
          </cell>
          <cell r="L288" t="str">
            <v>D</v>
          </cell>
          <cell r="M288" t="str">
            <v>09000221</v>
          </cell>
          <cell r="N288">
            <v>100</v>
          </cell>
          <cell r="O288" t="str">
            <v>LAHORE</v>
          </cell>
          <cell r="P288" t="str">
            <v>H No 287 Air Line Society Lahore</v>
          </cell>
          <cell r="Q288" t="str">
            <v>11000003</v>
          </cell>
          <cell r="R288" t="str">
            <v>TOYOTA COROLLA ALTIS 1.6</v>
          </cell>
          <cell r="S288" t="str">
            <v>2025</v>
          </cell>
          <cell r="U288" t="str">
            <v>Q109346</v>
          </cell>
          <cell r="V288" t="str">
            <v>6086857</v>
          </cell>
          <cell r="Y288">
            <v>6641000</v>
          </cell>
          <cell r="Z288">
            <v>85875</v>
          </cell>
          <cell r="AA288">
            <v>99615</v>
          </cell>
        </row>
        <row r="289">
          <cell r="B289" t="str">
            <v>KHI/HO/D/MO/PC COMP/C/105285/38/01/2025</v>
          </cell>
          <cell r="D289" t="str">
            <v>FRE</v>
          </cell>
          <cell r="E289" t="str">
            <v>28/01/25</v>
          </cell>
          <cell r="F289" t="str">
            <v>28/01/2025</v>
          </cell>
          <cell r="G289" t="str">
            <v>27/01/2026</v>
          </cell>
          <cell r="H289" t="str">
            <v>08004499</v>
          </cell>
          <cell r="I289" t="str">
            <v>AL BARAKA BANK (PAKISTAN) LIMITED</v>
          </cell>
          <cell r="J289" t="str">
            <v>BANK</v>
          </cell>
          <cell r="K289" t="str">
            <v>Mr. 
HPA M/s. Al Baraka Bank (Pakistan) Limited 
Mr. Muhammad Tayyab Hassan
HPA M/s. Al Baraka Bank (Pakistan) Limited</v>
          </cell>
          <cell r="L289" t="str">
            <v>D</v>
          </cell>
          <cell r="M289" t="str">
            <v>09000221</v>
          </cell>
          <cell r="N289">
            <v>100</v>
          </cell>
          <cell r="P289" t="str">
            <v>205 Lasani Garden Ismail Road Faisalabad</v>
          </cell>
          <cell r="Q289" t="str">
            <v>11000003</v>
          </cell>
          <cell r="R289" t="str">
            <v>HONDA CIVIC VTI  ORIEL PT</v>
          </cell>
          <cell r="S289" t="str">
            <v>2016</v>
          </cell>
          <cell r="T289" t="str">
            <v>ABT-309</v>
          </cell>
          <cell r="U289" t="str">
            <v>R18Z12902011</v>
          </cell>
          <cell r="V289" t="str">
            <v>NFBFC6659GR002529</v>
          </cell>
          <cell r="X289" t="str">
            <v>3</v>
          </cell>
          <cell r="Y289">
            <v>3500000</v>
          </cell>
          <cell r="Z289">
            <v>45258</v>
          </cell>
          <cell r="AA289">
            <v>52500</v>
          </cell>
        </row>
        <row r="290">
          <cell r="B290" t="str">
            <v>KHI/HO/D/MO/PC COMP/C/105285/39/01/2025</v>
          </cell>
          <cell r="D290" t="str">
            <v>FRE</v>
          </cell>
          <cell r="E290" t="str">
            <v>29/01/25</v>
          </cell>
          <cell r="F290" t="str">
            <v>29/01/2025</v>
          </cell>
          <cell r="G290" t="str">
            <v>28/01/2026</v>
          </cell>
          <cell r="H290" t="str">
            <v>08004499</v>
          </cell>
          <cell r="I290" t="str">
            <v>AL BARAKA BANK (PAKISTAN) LIMITED</v>
          </cell>
          <cell r="J290" t="str">
            <v>BANK</v>
          </cell>
          <cell r="K290" t="str">
            <v>Mr. 
HPA M/s. Al Baraka Bank (Pakistan) Limited 
Mr. Muhammad Asad Gulzar
HPA M/s. Al Baraka Bank (Pakistan) Limited</v>
          </cell>
          <cell r="L290" t="str">
            <v>D</v>
          </cell>
          <cell r="M290" t="str">
            <v>09000221</v>
          </cell>
          <cell r="N290">
            <v>100</v>
          </cell>
          <cell r="O290" t="str">
            <v>RAWALPINDI</v>
          </cell>
          <cell r="P290" t="str">
            <v>H-12 Main Khayaban Villas Chakri Road Rawalpindi</v>
          </cell>
          <cell r="Q290" t="str">
            <v>11000003</v>
          </cell>
          <cell r="R290" t="str">
            <v>HONDA BRV I-VTEC S STD</v>
          </cell>
          <cell r="S290" t="str">
            <v>2017</v>
          </cell>
          <cell r="T290" t="str">
            <v>AFJ-767</v>
          </cell>
          <cell r="U290" t="str">
            <v>504300</v>
          </cell>
          <cell r="V290" t="str">
            <v>004309</v>
          </cell>
          <cell r="X290" t="str">
            <v>3</v>
          </cell>
          <cell r="Y290">
            <v>4200000</v>
          </cell>
          <cell r="Z290">
            <v>54310</v>
          </cell>
          <cell r="AA290">
            <v>63000</v>
          </cell>
        </row>
        <row r="291">
          <cell r="B291" t="str">
            <v>KHI/HO/D/MO/PC COMP/C/105285/40/01/2025</v>
          </cell>
          <cell r="D291" t="str">
            <v>FRE</v>
          </cell>
          <cell r="E291" t="str">
            <v>29/01/25</v>
          </cell>
          <cell r="F291" t="str">
            <v>29/01/2025</v>
          </cell>
          <cell r="G291" t="str">
            <v>28/01/2026</v>
          </cell>
          <cell r="H291" t="str">
            <v>08004499</v>
          </cell>
          <cell r="I291" t="str">
            <v>AL BARAKA BANK (PAKISTAN) LIMITED</v>
          </cell>
          <cell r="J291" t="str">
            <v>BANK</v>
          </cell>
          <cell r="K291" t="str">
            <v>Mr. 
HPA M/s. Al Baraka Bank (Pakistan) Limited 
Mr. Ghulam Raza Jagirani
HPA M/s. Al Baraka Bank (Pakistan) Limited</v>
          </cell>
          <cell r="L291" t="str">
            <v>D</v>
          </cell>
          <cell r="M291" t="str">
            <v>09000221</v>
          </cell>
          <cell r="N291">
            <v>100</v>
          </cell>
          <cell r="O291" t="str">
            <v>KARACHI</v>
          </cell>
          <cell r="P291" t="str">
            <v>Plot FL 1 Fl 5 Flat C-15 Hassan Center Block 16 Gulshan-e-Iqbal Karachi</v>
          </cell>
          <cell r="Q291" t="str">
            <v>11000003</v>
          </cell>
          <cell r="R291" t="str">
            <v>SUZUKI ALTO VXL AGS E-2</v>
          </cell>
          <cell r="S291" t="str">
            <v>2024</v>
          </cell>
          <cell r="T291" t="str">
            <v>BZV-759</v>
          </cell>
          <cell r="U291" t="str">
            <v>6R306254</v>
          </cell>
          <cell r="V291" t="str">
            <v>H1206221</v>
          </cell>
          <cell r="X291" t="str">
            <v>3</v>
          </cell>
          <cell r="Y291">
            <v>3045000</v>
          </cell>
          <cell r="Z291">
            <v>52500</v>
          </cell>
          <cell r="AA291">
            <v>60900</v>
          </cell>
        </row>
        <row r="292">
          <cell r="B292" t="str">
            <v>KHI/HO/D/MO/PC COMP/C/105285/41/01/2025</v>
          </cell>
          <cell r="D292" t="str">
            <v>FRE</v>
          </cell>
          <cell r="E292" t="str">
            <v>30/01/25</v>
          </cell>
          <cell r="F292" t="str">
            <v>30/01/2025</v>
          </cell>
          <cell r="G292" t="str">
            <v>29/01/2026</v>
          </cell>
          <cell r="H292" t="str">
            <v>08004499</v>
          </cell>
          <cell r="I292" t="str">
            <v>AL BARAKA BANK (PAKISTAN) LIMITED</v>
          </cell>
          <cell r="J292" t="str">
            <v>BANK</v>
          </cell>
          <cell r="K292" t="str">
            <v>Mr. 
HPA M/s. Al Baraka Bank (Pakistan) Limited 
Mr. Muhammad Zeeshan Islam 
HPA M/s. Al Baraka Bank (Pakistan) Limited</v>
          </cell>
          <cell r="L292" t="str">
            <v>D</v>
          </cell>
          <cell r="M292" t="str">
            <v>09000221</v>
          </cell>
          <cell r="N292">
            <v>100</v>
          </cell>
          <cell r="P292" t="str">
            <v>H # P-190 Sitara Gold City Satiyana Road Faisalabad</v>
          </cell>
          <cell r="Q292" t="str">
            <v>11000003</v>
          </cell>
          <cell r="R292" t="str">
            <v>SUZUKI ALTO VXR E-2</v>
          </cell>
          <cell r="S292" t="str">
            <v>2025</v>
          </cell>
          <cell r="U292" t="str">
            <v>6R336498</v>
          </cell>
          <cell r="V292" t="str">
            <v>NF1AET306H1236504</v>
          </cell>
          <cell r="X292" t="str">
            <v>3</v>
          </cell>
          <cell r="Y292">
            <v>2707000</v>
          </cell>
          <cell r="Z292">
            <v>46672</v>
          </cell>
          <cell r="AA292">
            <v>54140</v>
          </cell>
        </row>
        <row r="293">
          <cell r="B293" t="str">
            <v>KHI/HO/D/MO/PC COMP/C/105285/42/01/2025</v>
          </cell>
          <cell r="D293" t="str">
            <v>FRE</v>
          </cell>
          <cell r="E293" t="str">
            <v>30/01/25</v>
          </cell>
          <cell r="F293" t="str">
            <v>30/01/2025</v>
          </cell>
          <cell r="G293" t="str">
            <v>29/01/2026</v>
          </cell>
          <cell r="H293" t="str">
            <v>08004499</v>
          </cell>
          <cell r="I293" t="str">
            <v>AL BARAKA BANK (PAKISTAN) LIMITED</v>
          </cell>
          <cell r="J293" t="str">
            <v>BANK</v>
          </cell>
          <cell r="K293" t="str">
            <v>Mr. 
HPA M/s. Al Baraka Bank (Pakistan) Limited 
Mr. Nouman Ahmad 
HPA M/s. Al Baraka Bank (Pakistan) Limited</v>
          </cell>
          <cell r="L293" t="str">
            <v>D</v>
          </cell>
          <cell r="M293" t="str">
            <v>09000221</v>
          </cell>
          <cell r="N293">
            <v>100</v>
          </cell>
          <cell r="O293" t="str">
            <v>LAHORE</v>
          </cell>
          <cell r="P293" t="str">
            <v>H # 1 Street 1 Jalal Park Aray Wali Gali Main Hrabanspura Lahore Near Sali Town</v>
          </cell>
          <cell r="Q293" t="str">
            <v>11000003</v>
          </cell>
          <cell r="R293" t="str">
            <v>TOYOTA COROLLA GLI M/T 1.</v>
          </cell>
          <cell r="S293" t="str">
            <v>2018</v>
          </cell>
          <cell r="T293" t="str">
            <v>LEA-18A-5490</v>
          </cell>
          <cell r="U293" t="str">
            <v>Z532798</v>
          </cell>
          <cell r="V293" t="str">
            <v>NZE170R-4158581</v>
          </cell>
          <cell r="X293" t="str">
            <v>3</v>
          </cell>
          <cell r="Y293">
            <v>3500000</v>
          </cell>
          <cell r="Z293">
            <v>45258</v>
          </cell>
          <cell r="AA293">
            <v>52500</v>
          </cell>
        </row>
        <row r="294">
          <cell r="B294" t="str">
            <v>KHI/HO/D/MO/PC COMP/C/105285/43/01/2025</v>
          </cell>
          <cell r="D294" t="str">
            <v>FRE</v>
          </cell>
          <cell r="E294" t="str">
            <v>30/01/25</v>
          </cell>
          <cell r="F294" t="str">
            <v>30/01/2025</v>
          </cell>
          <cell r="G294" t="str">
            <v>29/01/2026</v>
          </cell>
          <cell r="H294" t="str">
            <v>08004499</v>
          </cell>
          <cell r="I294" t="str">
            <v>AL BARAKA BANK (PAKISTAN) LIMITED</v>
          </cell>
          <cell r="J294" t="str">
            <v>BANK</v>
          </cell>
          <cell r="K294" t="str">
            <v>Mr. 
HPA M/s. Al Baraka Bank (Pakistan) Limited 
Mr. Muhammad Masood Ahmed
HPA M/s. Al Baraka Bank (Pakistan) Limited</v>
          </cell>
          <cell r="L294" t="str">
            <v>D</v>
          </cell>
          <cell r="M294" t="str">
            <v>09000221</v>
          </cell>
          <cell r="N294">
            <v>100</v>
          </cell>
          <cell r="O294" t="str">
            <v>FAISALABAD</v>
          </cell>
          <cell r="P294" t="str">
            <v>St No 04 Mohallah Saif Abad 2 Nemat abad Faisalabad</v>
          </cell>
          <cell r="Q294" t="str">
            <v>11000003</v>
          </cell>
          <cell r="R294" t="str">
            <v>HONDA CITY M/T</v>
          </cell>
          <cell r="S294" t="str">
            <v>2016</v>
          </cell>
          <cell r="T294" t="str">
            <v>LEA-16-9706</v>
          </cell>
          <cell r="U294" t="str">
            <v>17437150</v>
          </cell>
          <cell r="V294" t="str">
            <v>FR176612</v>
          </cell>
          <cell r="Y294">
            <v>3000000</v>
          </cell>
          <cell r="Z294">
            <v>51724</v>
          </cell>
          <cell r="AA294">
            <v>60000</v>
          </cell>
        </row>
        <row r="295">
          <cell r="B295" t="str">
            <v>KHI/HO/D/MO/PC COMP/C/105285/44/01/2025</v>
          </cell>
          <cell r="D295" t="str">
            <v>FRE</v>
          </cell>
          <cell r="E295" t="str">
            <v>31/01/25</v>
          </cell>
          <cell r="F295" t="str">
            <v>31/01/2025</v>
          </cell>
          <cell r="G295" t="str">
            <v>30/01/2026</v>
          </cell>
          <cell r="H295" t="str">
            <v>08004499</v>
          </cell>
          <cell r="I295" t="str">
            <v>AL BARAKA BANK (PAKISTAN) LIMITED</v>
          </cell>
          <cell r="J295" t="str">
            <v>BANK</v>
          </cell>
          <cell r="K295" t="str">
            <v>Mr. 
HPA M/s. Al Baraka Bank (Pakistan) Limited 
Mr. Muhammad Azhar Hussain
HPA M/s. Al Baraka Bank (Pakistan) Limited</v>
          </cell>
          <cell r="L295" t="str">
            <v>D</v>
          </cell>
          <cell r="M295" t="str">
            <v>09000221</v>
          </cell>
          <cell r="N295">
            <v>100</v>
          </cell>
          <cell r="O295" t="str">
            <v>GUJRANWALA</v>
          </cell>
          <cell r="P295" t="str">
            <v>PO Khas Trigri Mohallah Islamabad Gujranwala</v>
          </cell>
          <cell r="Q295" t="str">
            <v>11000003</v>
          </cell>
          <cell r="R295" t="str">
            <v>TOYOTA COROLLA GLI M/T 1.</v>
          </cell>
          <cell r="S295" t="str">
            <v>2018</v>
          </cell>
          <cell r="T295" t="str">
            <v>LED-18-9941</v>
          </cell>
          <cell r="U295" t="str">
            <v>Z517064</v>
          </cell>
          <cell r="V295" t="str">
            <v>4143165</v>
          </cell>
          <cell r="X295" t="str">
            <v>3</v>
          </cell>
          <cell r="Y295">
            <v>3500000</v>
          </cell>
          <cell r="Z295">
            <v>45258</v>
          </cell>
          <cell r="AA295">
            <v>52500</v>
          </cell>
        </row>
        <row r="296">
          <cell r="B296" t="str">
            <v>KHI/HO/D/MO/PC COMP/C/105285/45/01/2025</v>
          </cell>
          <cell r="D296" t="str">
            <v>FRE</v>
          </cell>
          <cell r="E296" t="str">
            <v>31/01/25</v>
          </cell>
          <cell r="F296" t="str">
            <v>31/01/2025</v>
          </cell>
          <cell r="G296" t="str">
            <v>30/01/2026</v>
          </cell>
          <cell r="H296" t="str">
            <v>08004499</v>
          </cell>
          <cell r="I296" t="str">
            <v>AL BARAKA BANK (PAKISTAN) LIMITED</v>
          </cell>
          <cell r="J296" t="str">
            <v>BANK</v>
          </cell>
          <cell r="K296" t="str">
            <v>Mr. 
HPA M/s. Al Baraka Bank (Pakistan) Limited 
Mr. Syed Tasawar Hussain Shah
HPA M/s. Al Baraka Bank (Pakistan) Limited</v>
          </cell>
          <cell r="L296" t="str">
            <v>D</v>
          </cell>
          <cell r="M296" t="str">
            <v>09000221</v>
          </cell>
          <cell r="N296">
            <v>100</v>
          </cell>
          <cell r="P296" t="str">
            <v>H No 5 No 1 Pak Town Shahgai Road Lahore</v>
          </cell>
          <cell r="Q296" t="str">
            <v>11000003</v>
          </cell>
          <cell r="R296" t="str">
            <v>TOYOTA COROLLA ALTIS  1.6</v>
          </cell>
          <cell r="S296" t="str">
            <v>2019</v>
          </cell>
          <cell r="T296" t="str">
            <v>ALX-936</v>
          </cell>
          <cell r="U296" t="str">
            <v>Q062823</v>
          </cell>
          <cell r="V296" t="str">
            <v>R6040328</v>
          </cell>
          <cell r="Y296">
            <v>5200000</v>
          </cell>
          <cell r="Z296">
            <v>67242</v>
          </cell>
          <cell r="AA296">
            <v>78000</v>
          </cell>
        </row>
        <row r="297">
          <cell r="B297" t="str">
            <v>KHI/HO/D/MO/PC COMP/C/105285/46/01/2025</v>
          </cell>
          <cell r="D297" t="str">
            <v>FRE</v>
          </cell>
          <cell r="E297" t="str">
            <v>31/01/25</v>
          </cell>
          <cell r="F297" t="str">
            <v>31/01/2025</v>
          </cell>
          <cell r="G297" t="str">
            <v>30/01/2026</v>
          </cell>
          <cell r="H297" t="str">
            <v>08004499</v>
          </cell>
          <cell r="I297" t="str">
            <v>AL BARAKA BANK (PAKISTAN) LIMITED</v>
          </cell>
          <cell r="J297" t="str">
            <v>BANK</v>
          </cell>
          <cell r="K297" t="str">
            <v>Mr. 
HPA M/s. Al Baraka Bank (Pakistan) Limited 
Mr. Suhaib Manzoor 
HPA M/s. Al Baraka Bank (Pakistan) Limited</v>
          </cell>
          <cell r="L297" t="str">
            <v>D</v>
          </cell>
          <cell r="M297" t="str">
            <v>09000221</v>
          </cell>
          <cell r="N297">
            <v>100</v>
          </cell>
          <cell r="O297" t="str">
            <v>LAHORE</v>
          </cell>
          <cell r="P297" t="str">
            <v>H # 73-A Dil Muhammad Road Lahore</v>
          </cell>
          <cell r="Q297" t="str">
            <v>11000003</v>
          </cell>
          <cell r="R297" t="str">
            <v>HONDA CITY 1.2  LS CVT</v>
          </cell>
          <cell r="S297" t="str">
            <v>2021</v>
          </cell>
          <cell r="T297" t="str">
            <v>AGR-229</v>
          </cell>
          <cell r="U297" t="str">
            <v>B51002558</v>
          </cell>
          <cell r="V297" t="str">
            <v>R003404</v>
          </cell>
          <cell r="X297" t="str">
            <v>3</v>
          </cell>
          <cell r="Y297">
            <v>4200000</v>
          </cell>
          <cell r="Z297">
            <v>54310</v>
          </cell>
          <cell r="AA297">
            <v>63000</v>
          </cell>
        </row>
        <row r="298">
          <cell r="B298" t="str">
            <v>KHI/HO/D/MO/PC COMP/C/105285/47/01/2025</v>
          </cell>
          <cell r="D298" t="str">
            <v>FRE</v>
          </cell>
          <cell r="E298" t="str">
            <v>31/01/25</v>
          </cell>
          <cell r="F298" t="str">
            <v>31/01/2025</v>
          </cell>
          <cell r="G298" t="str">
            <v>30/01/2026</v>
          </cell>
          <cell r="H298" t="str">
            <v>08004499</v>
          </cell>
          <cell r="I298" t="str">
            <v>AL BARAKA BANK (PAKISTAN) LIMITED</v>
          </cell>
          <cell r="J298" t="str">
            <v>BANK</v>
          </cell>
          <cell r="K298" t="str">
            <v>Mr. 
HPA M/s. Al Baraka Bank (Pakistan) Limited 
Mr. Malik Zeeshan 
HPA M/s. Al Baraka Bank (Pakistan) Limited</v>
          </cell>
          <cell r="L298" t="str">
            <v>D</v>
          </cell>
          <cell r="M298" t="str">
            <v>09000221</v>
          </cell>
          <cell r="N298">
            <v>100</v>
          </cell>
          <cell r="O298" t="str">
            <v>ISLAMABAD</v>
          </cell>
          <cell r="P298" t="str">
            <v>Flat No. 1 Block 16 Hana road PHA Appartment Sector G-8/4 Islamabad</v>
          </cell>
          <cell r="Q298" t="str">
            <v>11000003</v>
          </cell>
          <cell r="R298" t="str">
            <v>CHANGAN KARVAAN PLUS</v>
          </cell>
          <cell r="S298" t="str">
            <v>2025</v>
          </cell>
          <cell r="U298" t="str">
            <v>505729</v>
          </cell>
          <cell r="V298" t="str">
            <v>1002785</v>
          </cell>
          <cell r="X298" t="str">
            <v>3</v>
          </cell>
          <cell r="Y298">
            <v>3049000</v>
          </cell>
          <cell r="Z298">
            <v>52569</v>
          </cell>
          <cell r="AA298">
            <v>60980</v>
          </cell>
        </row>
        <row r="299">
          <cell r="B299" t="str">
            <v>KHI/HO/D/MO/PC COMP/C/105285/48/01/2025</v>
          </cell>
          <cell r="D299" t="str">
            <v>FRE</v>
          </cell>
          <cell r="E299" t="str">
            <v>31/01/25</v>
          </cell>
          <cell r="F299" t="str">
            <v>31/01/2025</v>
          </cell>
          <cell r="G299" t="str">
            <v>30/01/2026</v>
          </cell>
          <cell r="H299" t="str">
            <v>08004499</v>
          </cell>
          <cell r="I299" t="str">
            <v>AL BARAKA BANK (PAKISTAN) LIMITED</v>
          </cell>
          <cell r="J299" t="str">
            <v>BANK</v>
          </cell>
          <cell r="K299" t="str">
            <v>Mr. 
HPA M/s. Al Baraka Bank (Pakistan) Limited 
Mr. Zahoor Ul Hassan 
HPA M/s. Al Baraka Bank (Pakistan) Limited</v>
          </cell>
          <cell r="L299" t="str">
            <v>D</v>
          </cell>
          <cell r="M299" t="str">
            <v>09000221</v>
          </cell>
          <cell r="N299">
            <v>100</v>
          </cell>
          <cell r="O299" t="str">
            <v>LAHORE</v>
          </cell>
          <cell r="P299" t="str">
            <v>H # 597-C Block 4 Sector A-2 Township</v>
          </cell>
          <cell r="Q299" t="str">
            <v>11000003</v>
          </cell>
          <cell r="R299" t="str">
            <v>SUZUKI CULTUS VXL EURO II</v>
          </cell>
          <cell r="S299" t="str">
            <v>2021</v>
          </cell>
          <cell r="T299" t="str">
            <v>AGK-238</v>
          </cell>
          <cell r="U299" t="str">
            <v>189091</v>
          </cell>
          <cell r="V299" t="str">
            <v>10089075</v>
          </cell>
          <cell r="X299" t="str">
            <v>3</v>
          </cell>
          <cell r="Y299">
            <v>3000000</v>
          </cell>
          <cell r="Z299">
            <v>51724</v>
          </cell>
          <cell r="AA299">
            <v>60000</v>
          </cell>
        </row>
        <row r="300">
          <cell r="B300" t="str">
            <v>KHI/HO/D/MO/PC COMP/C/105285/49/01/2025</v>
          </cell>
          <cell r="D300" t="str">
            <v>FRE</v>
          </cell>
          <cell r="E300" t="str">
            <v>31/01/25</v>
          </cell>
          <cell r="F300" t="str">
            <v>31/01/2025</v>
          </cell>
          <cell r="G300" t="str">
            <v>30/01/2026</v>
          </cell>
          <cell r="H300" t="str">
            <v>08004499</v>
          </cell>
          <cell r="I300" t="str">
            <v>AL BARAKA BANK (PAKISTAN) LIMITED</v>
          </cell>
          <cell r="J300" t="str">
            <v>BANK</v>
          </cell>
          <cell r="K300" t="str">
            <v>Mr. 
HPA M/s. Al Baraka Bank (Pakistan) Limited 
Mr. Waseem Riaz
HPA M/s. Al Baraka Bank (Pakistan) Limited</v>
          </cell>
          <cell r="L300" t="str">
            <v>D</v>
          </cell>
          <cell r="M300" t="str">
            <v>09000221</v>
          </cell>
          <cell r="N300">
            <v>100</v>
          </cell>
          <cell r="O300" t="str">
            <v>MULTAN</v>
          </cell>
          <cell r="P300" t="str">
            <v>H No 1967-1 Aqsa Street Hazoori Bagh Road Multan</v>
          </cell>
          <cell r="Q300" t="str">
            <v>11000003</v>
          </cell>
          <cell r="R300" t="str">
            <v>SUZUKI CULTUS VXL</v>
          </cell>
          <cell r="S300" t="str">
            <v>2019</v>
          </cell>
          <cell r="T300" t="str">
            <v>LEE-19-9167</v>
          </cell>
          <cell r="U300" t="str">
            <v>140203</v>
          </cell>
          <cell r="V300" t="str">
            <v>10040182</v>
          </cell>
          <cell r="Y300">
            <v>2800000</v>
          </cell>
          <cell r="Z300">
            <v>48276</v>
          </cell>
          <cell r="AA300">
            <v>56000</v>
          </cell>
        </row>
        <row r="301">
          <cell r="B301" t="str">
            <v>KHI/HO/D/MO/PC COMP/C/105285/50/01/2025</v>
          </cell>
          <cell r="D301" t="str">
            <v>FRE</v>
          </cell>
          <cell r="E301" t="str">
            <v>31/01/25</v>
          </cell>
          <cell r="F301" t="str">
            <v>31/01/2025</v>
          </cell>
          <cell r="G301" t="str">
            <v>30/01/2026</v>
          </cell>
          <cell r="H301" t="str">
            <v>08004499</v>
          </cell>
          <cell r="I301" t="str">
            <v>AL BARAKA BANK (PAKISTAN) LIMITED</v>
          </cell>
          <cell r="J301" t="str">
            <v>BANK</v>
          </cell>
          <cell r="K301" t="str">
            <v>Mr. 
HPA M/s. Al Baraka Bank (Pakistan) Limited 
Mr. Asif Nisar
HPA M/s. Al Baraka Bank (Pakistan) Limited</v>
          </cell>
          <cell r="L301" t="str">
            <v>D</v>
          </cell>
          <cell r="M301" t="str">
            <v>09000221</v>
          </cell>
          <cell r="N301">
            <v>100</v>
          </cell>
          <cell r="O301" t="str">
            <v>RAWALPINDI</v>
          </cell>
          <cell r="P301" t="str">
            <v>H NO 291 Lane 3 Sherzaman Colony Lalazar Rawalpindi</v>
          </cell>
          <cell r="Q301" t="str">
            <v>11000003</v>
          </cell>
          <cell r="R301" t="str">
            <v>HONDA CITY 1.2  LS CVT</v>
          </cell>
          <cell r="S301" t="str">
            <v>2025</v>
          </cell>
          <cell r="U301" t="str">
            <v>030860</v>
          </cell>
          <cell r="V301" t="str">
            <v>048197</v>
          </cell>
          <cell r="X301" t="str">
            <v>03</v>
          </cell>
          <cell r="Y301">
            <v>4719000</v>
          </cell>
          <cell r="Z301">
            <v>61022</v>
          </cell>
          <cell r="AA301">
            <v>70785</v>
          </cell>
        </row>
        <row r="302">
          <cell r="B302" t="str">
            <v>KHI/HO/D/MO/PC COMP/C/105285/51/01/2025</v>
          </cell>
          <cell r="D302" t="str">
            <v>FRE</v>
          </cell>
          <cell r="E302" t="str">
            <v>31/01/25</v>
          </cell>
          <cell r="F302" t="str">
            <v>31/01/2025</v>
          </cell>
          <cell r="G302" t="str">
            <v>30/01/2026</v>
          </cell>
          <cell r="H302" t="str">
            <v>08004499</v>
          </cell>
          <cell r="I302" t="str">
            <v>AL BARAKA BANK (PAKISTAN) LIMITED</v>
          </cell>
          <cell r="J302" t="str">
            <v>BANK</v>
          </cell>
          <cell r="K302" t="str">
            <v>Mr. 
HPA M/s. Al Baraka Bank (Pakistan) Limited 
Ms. Samama Bukhari 
HPA M/s. Al Baraka Bank (Pakistan) Limited</v>
          </cell>
          <cell r="L302" t="str">
            <v>D</v>
          </cell>
          <cell r="M302" t="str">
            <v>09000221</v>
          </cell>
          <cell r="N302">
            <v>100</v>
          </cell>
          <cell r="O302" t="str">
            <v>KARACHI</v>
          </cell>
          <cell r="P302" t="str">
            <v>H # C-29 Sector 14-A Shadman Town 1 North Nazimabad Karachi</v>
          </cell>
          <cell r="Q302" t="str">
            <v>11000003</v>
          </cell>
          <cell r="R302" t="str">
            <v>TOYOTA Yaris ATIV X 1.5 (</v>
          </cell>
          <cell r="S302" t="str">
            <v>2021</v>
          </cell>
          <cell r="T302" t="str">
            <v>BSW-520</v>
          </cell>
          <cell r="U302" t="str">
            <v>16691</v>
          </cell>
          <cell r="V302" t="str">
            <v>9506751</v>
          </cell>
          <cell r="X302" t="str">
            <v>3</v>
          </cell>
          <cell r="Y302">
            <v>4150000</v>
          </cell>
          <cell r="Z302">
            <v>53663</v>
          </cell>
          <cell r="AA302">
            <v>62250</v>
          </cell>
        </row>
        <row r="303">
          <cell r="B303" t="str">
            <v>KHI/HO/D/MO/PC COMP/C/105285/52/01/2025</v>
          </cell>
          <cell r="D303" t="str">
            <v>FRE</v>
          </cell>
          <cell r="E303" t="str">
            <v>31/01/25</v>
          </cell>
          <cell r="F303" t="str">
            <v>31/01/2025</v>
          </cell>
          <cell r="G303" t="str">
            <v>30/01/2026</v>
          </cell>
          <cell r="H303" t="str">
            <v>08004499</v>
          </cell>
          <cell r="I303" t="str">
            <v>AL BARAKA BANK (PAKISTAN) LIMITED</v>
          </cell>
          <cell r="J303" t="str">
            <v>BANK</v>
          </cell>
          <cell r="K303" t="str">
            <v>Mr. 
HPA M/s. Al Baraka Bank (Pakistan) Limited 
Mr. Muhammad Mudassar 
HPA M/s. Al Baraka Bank (Pakistan) Limited</v>
          </cell>
          <cell r="L303" t="str">
            <v>D</v>
          </cell>
          <cell r="M303" t="str">
            <v>09000221</v>
          </cell>
          <cell r="N303">
            <v>100</v>
          </cell>
          <cell r="P303" t="str">
            <v>H # 20-A Street 65-A Fazal Park Wassan Pura Lahore</v>
          </cell>
          <cell r="Q303" t="str">
            <v>11000003</v>
          </cell>
          <cell r="R303" t="str">
            <v>SUZUKI Every VXR</v>
          </cell>
          <cell r="S303" t="str">
            <v>2025</v>
          </cell>
          <cell r="U303" t="str">
            <v>1002364</v>
          </cell>
          <cell r="V303" t="str">
            <v>102387</v>
          </cell>
          <cell r="X303" t="str">
            <v>3</v>
          </cell>
          <cell r="Y303">
            <v>2799000</v>
          </cell>
          <cell r="Z303">
            <v>48258</v>
          </cell>
          <cell r="AA303">
            <v>55980</v>
          </cell>
        </row>
        <row r="304">
          <cell r="B304" t="str">
            <v>KHI/HO/D/MO/PC COMP/C/105285/53/01/2025</v>
          </cell>
          <cell r="D304" t="str">
            <v>FRE</v>
          </cell>
          <cell r="E304" t="str">
            <v>31/01/25</v>
          </cell>
          <cell r="F304" t="str">
            <v>31/01/2025</v>
          </cell>
          <cell r="G304" t="str">
            <v>30/01/2026</v>
          </cell>
          <cell r="H304" t="str">
            <v>08004499</v>
          </cell>
          <cell r="I304" t="str">
            <v>AL BARAKA BANK (PAKISTAN) LIMITED</v>
          </cell>
          <cell r="J304" t="str">
            <v>BANK</v>
          </cell>
          <cell r="K304" t="str">
            <v>Mr. 
HPA M/s. Al Baraka Bank (Pakistan) Limited 
Mr. Muhammad Naveed Aslam  
HPA M/s. Al Baraka Bank (Pakistan) Limited</v>
          </cell>
          <cell r="L304" t="str">
            <v>D</v>
          </cell>
          <cell r="M304" t="str">
            <v>09000221</v>
          </cell>
          <cell r="N304">
            <v>100</v>
          </cell>
          <cell r="O304" t="str">
            <v>FAISALABAD</v>
          </cell>
          <cell r="P304" t="str">
            <v>Chak No. 199 RB Guttwala Fakharabad Faisalabad</v>
          </cell>
          <cell r="Q304" t="str">
            <v>11000003</v>
          </cell>
          <cell r="R304" t="str">
            <v>SUZUKI WAGON-R VXL E2</v>
          </cell>
          <cell r="S304" t="str">
            <v>2021</v>
          </cell>
          <cell r="U304" t="str">
            <v>PK10B226253</v>
          </cell>
          <cell r="V304" t="str">
            <v>A1J310PK10126253</v>
          </cell>
          <cell r="X304" t="str">
            <v>3</v>
          </cell>
          <cell r="Y304">
            <v>2400000</v>
          </cell>
          <cell r="Z304">
            <v>41379</v>
          </cell>
          <cell r="AA304">
            <v>48000</v>
          </cell>
        </row>
        <row r="305">
          <cell r="B305" t="str">
            <v>KHI/HO/D/MO/PC COMP/C/105285/54/01/2025</v>
          </cell>
          <cell r="D305" t="str">
            <v>FRE</v>
          </cell>
          <cell r="E305" t="str">
            <v>31/01/25</v>
          </cell>
          <cell r="F305" t="str">
            <v>31/01/2025</v>
          </cell>
          <cell r="G305" t="str">
            <v>30/01/2026</v>
          </cell>
          <cell r="H305" t="str">
            <v>08004499</v>
          </cell>
          <cell r="I305" t="str">
            <v>AL BARAKA BANK (PAKISTAN) LIMITED</v>
          </cell>
          <cell r="J305" t="str">
            <v>BANK</v>
          </cell>
          <cell r="K305" t="str">
            <v>Mr. 
HPA M/s. Al Baraka Bank (Pakistan) Limited 
Mr. Hassan Khalid
HPA M/s. Al Baraka Bank (Pakistan) Limited</v>
          </cell>
          <cell r="L305" t="str">
            <v>D</v>
          </cell>
          <cell r="M305" t="str">
            <v>09000221</v>
          </cell>
          <cell r="N305">
            <v>100</v>
          </cell>
          <cell r="O305" t="str">
            <v>LAHORE</v>
          </cell>
          <cell r="P305" t="str">
            <v>H No 31 St 7 Block M5 Lake City Lahore</v>
          </cell>
          <cell r="Q305" t="str">
            <v>11000003</v>
          </cell>
          <cell r="R305" t="str">
            <v>HONDA CIVIC</v>
          </cell>
          <cell r="S305" t="str">
            <v>2018</v>
          </cell>
          <cell r="T305" t="str">
            <v>LEC-18-4261</v>
          </cell>
          <cell r="U305" t="str">
            <v>12928021</v>
          </cell>
          <cell r="V305" t="str">
            <v>R031301</v>
          </cell>
          <cell r="Y305">
            <v>4500000</v>
          </cell>
          <cell r="Z305">
            <v>58190</v>
          </cell>
          <cell r="AA305">
            <v>67500</v>
          </cell>
        </row>
        <row r="306">
          <cell r="B306" t="str">
            <v>KHI/HO/D/MO/PC COMP/C/105285/55/01/2025</v>
          </cell>
          <cell r="D306" t="str">
            <v>FRE</v>
          </cell>
          <cell r="E306" t="str">
            <v>31/01/25</v>
          </cell>
          <cell r="F306" t="str">
            <v>31/01/2025</v>
          </cell>
          <cell r="G306" t="str">
            <v>30/01/2026</v>
          </cell>
          <cell r="H306" t="str">
            <v>08004499</v>
          </cell>
          <cell r="I306" t="str">
            <v>AL BARAKA BANK (PAKISTAN) LIMITED</v>
          </cell>
          <cell r="J306" t="str">
            <v>BANK</v>
          </cell>
          <cell r="K306" t="str">
            <v>Mr. 
HPA M/s. Al Baraka Bank (Pakistan) Limited 
Mr. Muhammad Safdar
HPA M/s. Al Baraka Bank (Pakistan) Limited</v>
          </cell>
          <cell r="L306" t="str">
            <v>D</v>
          </cell>
          <cell r="M306" t="str">
            <v>09000221</v>
          </cell>
          <cell r="N306">
            <v>100</v>
          </cell>
          <cell r="O306" t="str">
            <v>SAHIWAL</v>
          </cell>
          <cell r="P306" t="str">
            <v>PO Khas Chak No 101/19 The &amp; Distt Sahiwal</v>
          </cell>
          <cell r="Q306" t="str">
            <v>11000003</v>
          </cell>
          <cell r="R306" t="str">
            <v>SUZUKI ALTO VXR</v>
          </cell>
          <cell r="S306" t="str">
            <v>2022</v>
          </cell>
          <cell r="T306" t="str">
            <v>AMK-019</v>
          </cell>
          <cell r="U306" t="str">
            <v>6R214010</v>
          </cell>
          <cell r="V306" t="str">
            <v>6H1113966</v>
          </cell>
          <cell r="Y306">
            <v>2600000</v>
          </cell>
          <cell r="Z306">
            <v>44828</v>
          </cell>
          <cell r="AA306">
            <v>52000</v>
          </cell>
        </row>
        <row r="307">
          <cell r="B307" t="str">
            <v>KHI/HO/D/MO/PC COMP/C/105285/56/01/2025</v>
          </cell>
          <cell r="D307" t="str">
            <v>FRE</v>
          </cell>
          <cell r="E307" t="str">
            <v>31/01/25</v>
          </cell>
          <cell r="F307" t="str">
            <v>31/01/2025</v>
          </cell>
          <cell r="G307" t="str">
            <v>30/01/2026</v>
          </cell>
          <cell r="H307" t="str">
            <v>08004499</v>
          </cell>
          <cell r="I307" t="str">
            <v>AL BARAKA BANK (PAKISTAN) LIMITED</v>
          </cell>
          <cell r="J307" t="str">
            <v>BANK</v>
          </cell>
          <cell r="K307" t="str">
            <v>Mr. 
HPA M/s. Al Baraka Bank (Pakistan) Limited 
Mr.  MUHAMMAD ABID
HPA M/s. Al Baraka Bank (Pakistan) Limited</v>
          </cell>
          <cell r="L307" t="str">
            <v>D</v>
          </cell>
          <cell r="M307" t="str">
            <v>09000221</v>
          </cell>
          <cell r="N307">
            <v>100</v>
          </cell>
          <cell r="O307" t="str">
            <v>FAISALABAD</v>
          </cell>
          <cell r="P307" t="str">
            <v>H No 565D Sir Syed Town Faisalabad</v>
          </cell>
          <cell r="Q307" t="str">
            <v>11000003</v>
          </cell>
          <cell r="R307" t="str">
            <v>HONDA CIVIC</v>
          </cell>
          <cell r="S307" t="str">
            <v>2017</v>
          </cell>
          <cell r="T307" t="str">
            <v>ADY-122</v>
          </cell>
          <cell r="U307" t="str">
            <v>R18Z 12913247</v>
          </cell>
          <cell r="V307" t="str">
            <v>NFBFC6654HR016484</v>
          </cell>
          <cell r="X307" t="str">
            <v>3</v>
          </cell>
          <cell r="Y307">
            <v>3200000</v>
          </cell>
          <cell r="Z307">
            <v>55172</v>
          </cell>
          <cell r="AA307">
            <v>64000</v>
          </cell>
        </row>
        <row r="308">
          <cell r="B308" t="str">
            <v>KHI/HO/D/MO/PC COMP/C/105285/57/01/2025</v>
          </cell>
          <cell r="D308" t="str">
            <v>FRE</v>
          </cell>
          <cell r="E308" t="str">
            <v>31/01/25</v>
          </cell>
          <cell r="F308" t="str">
            <v>31/01/2025</v>
          </cell>
          <cell r="G308" t="str">
            <v>30/01/2026</v>
          </cell>
          <cell r="H308" t="str">
            <v>08004499</v>
          </cell>
          <cell r="I308" t="str">
            <v>AL BARAKA BANK (PAKISTAN) LIMITED</v>
          </cell>
          <cell r="J308" t="str">
            <v>BANK</v>
          </cell>
          <cell r="K308" t="str">
            <v>Mr. 
HPA M/s. Al Baraka Bank (Pakistan) Limited 
Mr. Malik Azhar 
HPA M/s. Al Baraka Bank (Pakistan) Limited</v>
          </cell>
          <cell r="L308" t="str">
            <v>D</v>
          </cell>
          <cell r="M308" t="str">
            <v>09000221</v>
          </cell>
          <cell r="N308">
            <v>100</v>
          </cell>
          <cell r="O308" t="str">
            <v>LAHORE</v>
          </cell>
          <cell r="P308" t="str">
            <v>Near Ghousia Masjid Moh Muhammad Ali Road Dohatta Colony Ichra Lahore</v>
          </cell>
          <cell r="Q308" t="str">
            <v>11000003</v>
          </cell>
          <cell r="R308" t="str">
            <v>TOYOTA COROLLA GLI M/T 1.</v>
          </cell>
          <cell r="S308" t="str">
            <v>2019</v>
          </cell>
          <cell r="T308" t="str">
            <v>LED-19-1502</v>
          </cell>
          <cell r="U308" t="str">
            <v>Z552788</v>
          </cell>
          <cell r="V308" t="str">
            <v>4178527</v>
          </cell>
          <cell r="X308" t="str">
            <v>3</v>
          </cell>
          <cell r="Y308">
            <v>4100000</v>
          </cell>
          <cell r="Z308">
            <v>53017</v>
          </cell>
          <cell r="AA308">
            <v>61500</v>
          </cell>
        </row>
        <row r="309">
          <cell r="B309" t="str">
            <v>KHI/HO/D/MO/PC COMP/C/106977/1/02/2025</v>
          </cell>
          <cell r="D309" t="str">
            <v>FRE</v>
          </cell>
          <cell r="E309" t="str">
            <v>03/02/25</v>
          </cell>
          <cell r="F309" t="str">
            <v>03/02/2025</v>
          </cell>
          <cell r="G309" t="str">
            <v>02/02/2026</v>
          </cell>
          <cell r="H309" t="str">
            <v>08004499</v>
          </cell>
          <cell r="I309" t="str">
            <v>AL BARAKA BANK (PAKISTAN) LIMITED</v>
          </cell>
          <cell r="J309" t="str">
            <v>BANK</v>
          </cell>
          <cell r="K309" t="str">
            <v>Mr. 
HPA M/s. Al Baraka Bank (Pakistan) Limited 
Ms. Saima Jahangir  
HPA M/s. Al Baraka Bank (Pakistan) Limited</v>
          </cell>
          <cell r="L309" t="str">
            <v>D</v>
          </cell>
          <cell r="M309" t="str">
            <v>09000221</v>
          </cell>
          <cell r="N309">
            <v>100</v>
          </cell>
          <cell r="P309" t="str">
            <v>Villa No. 4 Street 1 Block C DHA Villas Ext Park View Lahore Cantt</v>
          </cell>
          <cell r="Q309" t="str">
            <v>11000003</v>
          </cell>
          <cell r="R309" t="str">
            <v>HONDA CITY 1.2  LS CVT</v>
          </cell>
          <cell r="S309" t="str">
            <v>2025</v>
          </cell>
          <cell r="U309" t="str">
            <v>51030946</v>
          </cell>
          <cell r="V309" t="str">
            <v>048317</v>
          </cell>
          <cell r="X309" t="str">
            <v>3</v>
          </cell>
          <cell r="Y309">
            <v>4719000</v>
          </cell>
          <cell r="Z309">
            <v>60590</v>
          </cell>
          <cell r="AA309">
            <v>70785</v>
          </cell>
        </row>
        <row r="310">
          <cell r="B310" t="str">
            <v>KHI/HO/D/MO/PC COMP/C/106977/2/02/2025</v>
          </cell>
          <cell r="D310" t="str">
            <v>FRE</v>
          </cell>
          <cell r="E310" t="str">
            <v>04/02/25</v>
          </cell>
          <cell r="F310" t="str">
            <v>04/02/2025</v>
          </cell>
          <cell r="G310" t="str">
            <v>03/02/2026</v>
          </cell>
          <cell r="H310" t="str">
            <v>08004499</v>
          </cell>
          <cell r="I310" t="str">
            <v>AL BARAKA BANK (PAKISTAN) LIMITED</v>
          </cell>
          <cell r="J310" t="str">
            <v>BANK</v>
          </cell>
          <cell r="K310" t="str">
            <v>Mr. 
HPA M/s. Al Baraka Bank (Pakistan) Limited 
Mr. Nafees Iqbal
HPA M/s. Al Baraka Bank (Pakistan) Limited</v>
          </cell>
          <cell r="L310" t="str">
            <v>D</v>
          </cell>
          <cell r="M310" t="str">
            <v>09000221</v>
          </cell>
          <cell r="N310">
            <v>100</v>
          </cell>
          <cell r="O310" t="str">
            <v>LAHORE</v>
          </cell>
          <cell r="P310" t="str">
            <v>H No 8-G Babar Street Canal Burg Society Lahore</v>
          </cell>
          <cell r="Q310" t="str">
            <v>11000003</v>
          </cell>
          <cell r="R310" t="str">
            <v>SUZUKI ALTO VXR E-2</v>
          </cell>
          <cell r="S310" t="str">
            <v>2025</v>
          </cell>
          <cell r="U310" t="str">
            <v>338698</v>
          </cell>
          <cell r="V310" t="str">
            <v>1238701</v>
          </cell>
          <cell r="Y310">
            <v>2707000</v>
          </cell>
          <cell r="Z310">
            <v>46672</v>
          </cell>
          <cell r="AA310">
            <v>54140</v>
          </cell>
        </row>
        <row r="311">
          <cell r="B311" t="str">
            <v>KHI/HO/D/MO/PC COMP/C/106977/3/02/2025</v>
          </cell>
          <cell r="D311" t="str">
            <v>FRE</v>
          </cell>
          <cell r="E311" t="str">
            <v>04/02/25</v>
          </cell>
          <cell r="F311" t="str">
            <v>04/02/2025</v>
          </cell>
          <cell r="G311" t="str">
            <v>03/02/2026</v>
          </cell>
          <cell r="H311" t="str">
            <v>08004499</v>
          </cell>
          <cell r="I311" t="str">
            <v>AL BARAKA BANK (PAKISTAN) LIMITED</v>
          </cell>
          <cell r="J311" t="str">
            <v>BANK</v>
          </cell>
          <cell r="K311" t="str">
            <v>Mr. 
HPA M/s. Al Baraka Bank (Pakistan) Limited 
Ms. Zahida Parveen  
HPA M/s. Al Baraka Bank (Pakistan) Limited</v>
          </cell>
          <cell r="L311" t="str">
            <v>D</v>
          </cell>
          <cell r="M311" t="str">
            <v>09000221</v>
          </cell>
          <cell r="N311">
            <v>100</v>
          </cell>
          <cell r="O311" t="str">
            <v>LAHORE</v>
          </cell>
          <cell r="P311" t="str">
            <v>Meharpura Ali Chowk Multan Road Lahore</v>
          </cell>
          <cell r="Q311" t="str">
            <v>11000003</v>
          </cell>
          <cell r="R311" t="str">
            <v>SUZUKI ALTO VXR E-2</v>
          </cell>
          <cell r="S311" t="str">
            <v>2021</v>
          </cell>
          <cell r="T311" t="str">
            <v>AGM 269</v>
          </cell>
          <cell r="U311" t="str">
            <v>185137</v>
          </cell>
          <cell r="V311" t="str">
            <v>1085118</v>
          </cell>
          <cell r="X311" t="str">
            <v>3</v>
          </cell>
          <cell r="Y311">
            <v>2300000</v>
          </cell>
          <cell r="Z311">
            <v>39655</v>
          </cell>
          <cell r="AA311">
            <v>46000</v>
          </cell>
        </row>
        <row r="312">
          <cell r="B312" t="str">
            <v>KHI/HO/D/MO/PC COMP/C/106977/4/02/2025</v>
          </cell>
          <cell r="D312" t="str">
            <v>FRE</v>
          </cell>
          <cell r="E312" t="str">
            <v>06/02/25</v>
          </cell>
          <cell r="F312" t="str">
            <v>06/02/2025</v>
          </cell>
          <cell r="G312" t="str">
            <v>05/02/2026</v>
          </cell>
          <cell r="H312" t="str">
            <v>08004499</v>
          </cell>
          <cell r="I312" t="str">
            <v>AL BARAKA BANK (PAKISTAN) LIMITED</v>
          </cell>
          <cell r="J312" t="str">
            <v>BANK</v>
          </cell>
          <cell r="K312" t="str">
            <v>Mr. 
HPA M/s. Al Baraka Bank (Pakistan) Limited 
Mr. Saad Rasool 
HPA M/s. Al Baraka Bank (Pakistan) Limited</v>
          </cell>
          <cell r="L312" t="str">
            <v>D</v>
          </cell>
          <cell r="M312" t="str">
            <v>09000221</v>
          </cell>
          <cell r="N312">
            <v>100</v>
          </cell>
          <cell r="O312" t="str">
            <v>LAHORE</v>
          </cell>
          <cell r="P312" t="str">
            <v>Shahid Town Higen Store Wali Gali Ghazi Road Lahore</v>
          </cell>
          <cell r="Q312" t="str">
            <v>11000003</v>
          </cell>
          <cell r="R312" t="str">
            <v>KIA SPORTAGE AWD</v>
          </cell>
          <cell r="S312" t="str">
            <v>2019</v>
          </cell>
          <cell r="T312" t="str">
            <v>BH-4273</v>
          </cell>
          <cell r="U312" t="str">
            <v>H025883</v>
          </cell>
          <cell r="V312" t="str">
            <v>KP500574</v>
          </cell>
          <cell r="X312" t="str">
            <v>3</v>
          </cell>
          <cell r="Y312">
            <v>6000000</v>
          </cell>
          <cell r="Z312">
            <v>77586</v>
          </cell>
          <cell r="AA312">
            <v>90000</v>
          </cell>
        </row>
        <row r="313">
          <cell r="B313" t="str">
            <v>KHI/HO/D/MO/PC COMP/C/106977/5/02/2025</v>
          </cell>
          <cell r="D313" t="str">
            <v>FRE</v>
          </cell>
          <cell r="E313" t="str">
            <v>06/02/25</v>
          </cell>
          <cell r="F313" t="str">
            <v>06/02/2025</v>
          </cell>
          <cell r="G313" t="str">
            <v>05/02/2026</v>
          </cell>
          <cell r="H313" t="str">
            <v>08004499</v>
          </cell>
          <cell r="I313" t="str">
            <v>AL BARAKA BANK (PAKISTAN) LIMITED</v>
          </cell>
          <cell r="J313" t="str">
            <v>BANK</v>
          </cell>
          <cell r="K313" t="str">
            <v>Mr. 
HPA M/s. Al Baraka Bank (Pakistan) Limited 
Mr. Qamar Shahzad 
HPA M/s. Al Baraka Bank (Pakistan) Limited</v>
          </cell>
          <cell r="L313" t="str">
            <v>D</v>
          </cell>
          <cell r="M313" t="str">
            <v>09000221</v>
          </cell>
          <cell r="N313">
            <v>100</v>
          </cell>
          <cell r="O313" t="str">
            <v>FAISALABAD</v>
          </cell>
          <cell r="P313" t="str">
            <v>Near Khayaban Garden Doctor Colony Lasani Pully Faisalabad</v>
          </cell>
          <cell r="Q313" t="str">
            <v>11000003</v>
          </cell>
          <cell r="R313" t="str">
            <v>SUZUKI ALTO VXR E-2</v>
          </cell>
          <cell r="S313" t="str">
            <v>2021</v>
          </cell>
          <cell r="T313" t="str">
            <v>ACF-707</v>
          </cell>
          <cell r="U313" t="str">
            <v>6R577163</v>
          </cell>
          <cell r="V313" t="str">
            <v>NF1AET306H1057733</v>
          </cell>
          <cell r="X313" t="str">
            <v>3</v>
          </cell>
          <cell r="Y313">
            <v>2300000</v>
          </cell>
          <cell r="Z313">
            <v>39655</v>
          </cell>
          <cell r="AA313">
            <v>46000</v>
          </cell>
        </row>
        <row r="314">
          <cell r="B314" t="str">
            <v>KHI/HO/D/MO/PC COMP/C/106977/6/02/2025</v>
          </cell>
          <cell r="D314" t="str">
            <v>FRE</v>
          </cell>
          <cell r="E314" t="str">
            <v>07/02/25</v>
          </cell>
          <cell r="F314" t="str">
            <v>07/02/2025</v>
          </cell>
          <cell r="G314" t="str">
            <v>06/02/2026</v>
          </cell>
          <cell r="H314" t="str">
            <v>08004499</v>
          </cell>
          <cell r="I314" t="str">
            <v>AL BARAKA BANK (PAKISTAN) LIMITED</v>
          </cell>
          <cell r="J314" t="str">
            <v>BANK</v>
          </cell>
          <cell r="K314" t="str">
            <v>Mr. 
HPA M/s. Al Baraka Bank (Pakistan) Limited 
Mr. Niaz Ahmad Awan
HPA M/s. Al Baraka Bank (Pakistan) Limited</v>
          </cell>
          <cell r="L314" t="str">
            <v>D</v>
          </cell>
          <cell r="M314" t="str">
            <v>09000221</v>
          </cell>
          <cell r="N314">
            <v>100</v>
          </cell>
          <cell r="O314" t="str">
            <v>LAHORE</v>
          </cell>
          <cell r="P314" t="str">
            <v>H No 2 Ayubi St No 5 Ali Muhammad Park Tajpura Lahore</v>
          </cell>
          <cell r="Q314" t="str">
            <v>11000003</v>
          </cell>
          <cell r="R314" t="str">
            <v>SUZUKI ALTO VXR</v>
          </cell>
          <cell r="S314" t="str">
            <v>2025</v>
          </cell>
          <cell r="T314" t="str">
            <v>AUJ-406</v>
          </cell>
          <cell r="U314" t="str">
            <v>336032</v>
          </cell>
          <cell r="V314" t="str">
            <v>1236090</v>
          </cell>
          <cell r="Y314">
            <v>2707000</v>
          </cell>
          <cell r="Z314">
            <v>46672</v>
          </cell>
          <cell r="AA314">
            <v>54140</v>
          </cell>
        </row>
        <row r="315">
          <cell r="B315" t="str">
            <v>KHI/HO/D/MO/PC COMP/C/106977/7/02/2025</v>
          </cell>
          <cell r="D315" t="str">
            <v>FRE</v>
          </cell>
          <cell r="E315" t="str">
            <v>07/02/25</v>
          </cell>
          <cell r="F315" t="str">
            <v>07/02/2025</v>
          </cell>
          <cell r="G315" t="str">
            <v>06/02/2026</v>
          </cell>
          <cell r="H315" t="str">
            <v>08004499</v>
          </cell>
          <cell r="I315" t="str">
            <v>AL BARAKA BANK (PAKISTAN) LIMITED</v>
          </cell>
          <cell r="J315" t="str">
            <v>BANK</v>
          </cell>
          <cell r="K315" t="str">
            <v>Mr. 
HPA M/s. Al Baraka Bank (Pakistan) Limited 
Mr. Nawaiz Masih
HPA M/s. Al Baraka Bank (Pakistan) Limited</v>
          </cell>
          <cell r="L315" t="str">
            <v>D</v>
          </cell>
          <cell r="M315" t="str">
            <v>09000221</v>
          </cell>
          <cell r="N315">
            <v>100</v>
          </cell>
          <cell r="O315" t="str">
            <v>ISLAMABAD</v>
          </cell>
          <cell r="P315" t="str">
            <v>H # 4 Street 10 Zia Masjid Akbar Town Islamabad</v>
          </cell>
          <cell r="Q315" t="str">
            <v>11000003</v>
          </cell>
          <cell r="R315" t="str">
            <v>HONDA CIVIC VTI ORIEL I-V</v>
          </cell>
          <cell r="S315" t="str">
            <v>2017</v>
          </cell>
          <cell r="T315" t="str">
            <v>ADE-125</v>
          </cell>
          <cell r="U315" t="str">
            <v>12907931</v>
          </cell>
          <cell r="V315" t="str">
            <v>010752</v>
          </cell>
          <cell r="X315" t="str">
            <v>3</v>
          </cell>
          <cell r="Y315">
            <v>4500000</v>
          </cell>
          <cell r="Z315">
            <v>58190</v>
          </cell>
          <cell r="AA315">
            <v>67500</v>
          </cell>
        </row>
        <row r="316">
          <cell r="B316" t="str">
            <v>KHI/HO/D/MO/PC COMP/C/106977/8/02/2025</v>
          </cell>
          <cell r="D316" t="str">
            <v>FRE</v>
          </cell>
          <cell r="E316" t="str">
            <v>10/02/25</v>
          </cell>
          <cell r="F316" t="str">
            <v>10/02/2025</v>
          </cell>
          <cell r="G316" t="str">
            <v>09/02/2026</v>
          </cell>
          <cell r="H316" t="str">
            <v>08004499</v>
          </cell>
          <cell r="I316" t="str">
            <v>AL BARAKA BANK (PAKISTAN) LIMITED</v>
          </cell>
          <cell r="J316" t="str">
            <v>BANK</v>
          </cell>
          <cell r="K316" t="str">
            <v>Mr. 
HPA M/s. Al Baraka Bank (Pakistan) Limited 
Mr. Azan Ahmad
HPA M/s. Al Baraka Bank (Pakistan) Limited</v>
          </cell>
          <cell r="L316" t="str">
            <v>D</v>
          </cell>
          <cell r="M316" t="str">
            <v>09000221</v>
          </cell>
          <cell r="N316">
            <v>100</v>
          </cell>
          <cell r="P316" t="str">
            <v>H # 6 Street 15 Block C Eden Value Homes Thokar Niaz Baig Multan Road Lahore</v>
          </cell>
          <cell r="Q316" t="str">
            <v>11000003</v>
          </cell>
          <cell r="R316" t="str">
            <v>HONDA CITY 1.2  LS CVT</v>
          </cell>
          <cell r="S316" t="str">
            <v>2025</v>
          </cell>
          <cell r="U316" t="str">
            <v>1031400</v>
          </cell>
          <cell r="V316" t="str">
            <v>048793</v>
          </cell>
          <cell r="X316" t="str">
            <v>3</v>
          </cell>
          <cell r="Y316">
            <v>4719000</v>
          </cell>
          <cell r="Z316">
            <v>50851</v>
          </cell>
          <cell r="AA316">
            <v>58988</v>
          </cell>
        </row>
        <row r="317">
          <cell r="B317" t="str">
            <v>KHI/HO/D/MO/PC COMP/C/107185/1/02/2025</v>
          </cell>
          <cell r="D317" t="str">
            <v>FRE</v>
          </cell>
          <cell r="E317" t="str">
            <v>10/02/25</v>
          </cell>
          <cell r="F317" t="str">
            <v>09/08/2024</v>
          </cell>
          <cell r="G317" t="str">
            <v>08/08/2025</v>
          </cell>
          <cell r="H317" t="str">
            <v>08004499</v>
          </cell>
          <cell r="I317" t="str">
            <v>AL BARAKA BANK (PAKISTAN) LIMITED</v>
          </cell>
          <cell r="J317" t="str">
            <v>BANK</v>
          </cell>
          <cell r="K317" t="str">
            <v>Mr. 
HPA M/s. Al Baraka Bank (Pakistan) Limited 
Mr. Hafiz Rehan Aftab
HPA M/s. Al Baraka Bank (Pakistan) Limited</v>
          </cell>
          <cell r="L317" t="str">
            <v>D</v>
          </cell>
          <cell r="M317" t="str">
            <v>09000221</v>
          </cell>
          <cell r="N317">
            <v>100</v>
          </cell>
          <cell r="O317" t="str">
            <v>LAHORE</v>
          </cell>
          <cell r="P317" t="str">
            <v>H # 60 Victoria Park Mall Road Lahore</v>
          </cell>
          <cell r="Q317" t="str">
            <v>11000003</v>
          </cell>
          <cell r="R317" t="str">
            <v>TOYOTA Yaris ATIV X 1.5 (</v>
          </cell>
          <cell r="S317" t="str">
            <v>2020</v>
          </cell>
          <cell r="T317" t="str">
            <v>AAQ-924</v>
          </cell>
          <cell r="U317" t="str">
            <v>2A08752</v>
          </cell>
          <cell r="V317" t="str">
            <v>R9503685</v>
          </cell>
          <cell r="X317" t="str">
            <v>3</v>
          </cell>
          <cell r="Y317">
            <v>4200000</v>
          </cell>
          <cell r="Z317">
            <v>53879</v>
          </cell>
          <cell r="AA317">
            <v>63000</v>
          </cell>
        </row>
        <row r="318">
          <cell r="B318" t="str">
            <v>KHI/HO/D/MO/PC COMP/C/106977/9/02/2025</v>
          </cell>
          <cell r="D318" t="str">
            <v>FRE</v>
          </cell>
          <cell r="E318" t="str">
            <v>10/02/25</v>
          </cell>
          <cell r="F318" t="str">
            <v>10/02/2025</v>
          </cell>
          <cell r="G318" t="str">
            <v>09/02/2026</v>
          </cell>
          <cell r="H318" t="str">
            <v>08004499</v>
          </cell>
          <cell r="I318" t="str">
            <v>AL BARAKA BANK (PAKISTAN) LIMITED</v>
          </cell>
          <cell r="J318" t="str">
            <v>BANK</v>
          </cell>
          <cell r="K318" t="str">
            <v>Mr. 
HPA M/s. Al Baraka Bank (Pakistan) Limited 
Mr. Muhammad Rashid Maqsood Maan
HPA M/s. Al Baraka Bank (Pakistan) Limited</v>
          </cell>
          <cell r="L318" t="str">
            <v>D</v>
          </cell>
          <cell r="M318" t="str">
            <v>09000221</v>
          </cell>
          <cell r="N318">
            <v>100</v>
          </cell>
          <cell r="O318" t="str">
            <v>LARKANA</v>
          </cell>
          <cell r="P318" t="str">
            <v>Maan House Ranjha Carpet Street Main Shahdara Mor Lahore</v>
          </cell>
          <cell r="Q318" t="str">
            <v>11000003</v>
          </cell>
          <cell r="R318" t="str">
            <v>SUZUKI ALTO VXR</v>
          </cell>
          <cell r="S318" t="str">
            <v>2025</v>
          </cell>
          <cell r="U318" t="str">
            <v>338849</v>
          </cell>
          <cell r="V318" t="str">
            <v>1238763</v>
          </cell>
          <cell r="Y318">
            <v>2707000</v>
          </cell>
          <cell r="Z318">
            <v>46672</v>
          </cell>
          <cell r="AA318">
            <v>54140</v>
          </cell>
        </row>
        <row r="319">
          <cell r="B319" t="str">
            <v>KHI/HO/D/MO/CV/C/107227/1/02/2025</v>
          </cell>
          <cell r="D319" t="str">
            <v>FRE</v>
          </cell>
          <cell r="E319" t="str">
            <v>11/02/25</v>
          </cell>
          <cell r="F319" t="str">
            <v>11/02/2025</v>
          </cell>
          <cell r="G319" t="str">
            <v>10/02/2026</v>
          </cell>
          <cell r="H319" t="str">
            <v>08004499</v>
          </cell>
          <cell r="I319" t="str">
            <v>AL BARAKA BANK (PAKISTAN) LIMITED</v>
          </cell>
          <cell r="J319" t="str">
            <v>BANK</v>
          </cell>
          <cell r="K319" t="str">
            <v>Mr.
HPA M/s. Al Baraka Bank Pakistan Limited
Mr. Farman Khan
HPA M/s. Al Baraka Bank Pakistan Limited</v>
          </cell>
          <cell r="L319" t="str">
            <v>D</v>
          </cell>
          <cell r="M319" t="str">
            <v>09000138</v>
          </cell>
          <cell r="N319">
            <v>100</v>
          </cell>
          <cell r="P319" t="str">
            <v>Near Bilal Masjid Mohallah Thoeedabad Kohsar Colony Taxila Rawalpindi</v>
          </cell>
          <cell r="Q319" t="str">
            <v>11000003</v>
          </cell>
          <cell r="R319" t="str">
            <v>SUZUKI RAVI PICK UP</v>
          </cell>
          <cell r="S319" t="str">
            <v>2025</v>
          </cell>
          <cell r="U319" t="str">
            <v>395530</v>
          </cell>
          <cell r="V319" t="str">
            <v>500198</v>
          </cell>
          <cell r="Y319">
            <v>1856000</v>
          </cell>
          <cell r="Z319">
            <v>31569</v>
          </cell>
          <cell r="AA319">
            <v>37120</v>
          </cell>
        </row>
        <row r="320">
          <cell r="B320" t="str">
            <v>KHI/HO/D/MO/PC COMP/C/106977/10/02/2025</v>
          </cell>
          <cell r="D320" t="str">
            <v>FRE</v>
          </cell>
          <cell r="E320" t="str">
            <v>12/02/25</v>
          </cell>
          <cell r="F320" t="str">
            <v>12/02/2025</v>
          </cell>
          <cell r="G320" t="str">
            <v>11/02/2026</v>
          </cell>
          <cell r="H320" t="str">
            <v>08004499</v>
          </cell>
          <cell r="I320" t="str">
            <v>AL BARAKA BANK (PAKISTAN) LIMITED</v>
          </cell>
          <cell r="J320" t="str">
            <v>BANK</v>
          </cell>
          <cell r="K320" t="str">
            <v>Mr. 
HPA M/s. Al Baraka Bank (Pakistan) Limited 
Mr. Riaz Ahmed
HPA M/s. Al Baraka Bank (Pakistan) Limited</v>
          </cell>
          <cell r="L320" t="str">
            <v>D</v>
          </cell>
          <cell r="M320" t="str">
            <v>09000221</v>
          </cell>
          <cell r="N320">
            <v>100</v>
          </cell>
          <cell r="P320" t="str">
            <v>Room 3 1st Floor All Difta Market Sector F-11/1 Main Service Golra Road Islamabad</v>
          </cell>
          <cell r="Q320" t="str">
            <v>11000003</v>
          </cell>
          <cell r="R320" t="str">
            <v>SUZUKI ALTO VXR E-2</v>
          </cell>
          <cell r="S320" t="str">
            <v>2025</v>
          </cell>
          <cell r="U320" t="str">
            <v>339116</v>
          </cell>
          <cell r="V320" t="str">
            <v>1239100</v>
          </cell>
          <cell r="Y320">
            <v>2707000</v>
          </cell>
          <cell r="Z320">
            <v>46672</v>
          </cell>
          <cell r="AA320">
            <v>54140</v>
          </cell>
        </row>
        <row r="321">
          <cell r="B321" t="str">
            <v>KHI/HO/D/MO/PC COMP/C/106977/11/02/2025</v>
          </cell>
          <cell r="D321" t="str">
            <v>FRE</v>
          </cell>
          <cell r="E321" t="str">
            <v>12/02/25</v>
          </cell>
          <cell r="F321" t="str">
            <v>12/02/2025</v>
          </cell>
          <cell r="G321" t="str">
            <v>11/02/2026</v>
          </cell>
          <cell r="H321" t="str">
            <v>08004499</v>
          </cell>
          <cell r="I321" t="str">
            <v>AL BARAKA BANK (PAKISTAN) LIMITED</v>
          </cell>
          <cell r="J321" t="str">
            <v>BANK</v>
          </cell>
          <cell r="K321" t="str">
            <v>Mr. 
HPA M/s. Al Baraka Bank (Pakistan) Limited 
Mr. Waseem Abbas
HPA M/s. Al Baraka Bank (Pakistan) Limited</v>
          </cell>
          <cell r="L321" t="str">
            <v>D</v>
          </cell>
          <cell r="M321" t="str">
            <v>09000221</v>
          </cell>
          <cell r="N321">
            <v>100</v>
          </cell>
          <cell r="O321" t="str">
            <v>LAHORE</v>
          </cell>
          <cell r="P321" t="str">
            <v>Ameen street Tibba Qila Khazana Sultan Mehmood Road Lahore</v>
          </cell>
          <cell r="Q321" t="str">
            <v>11000003</v>
          </cell>
          <cell r="R321" t="str">
            <v>CHANGAN ALSVIN</v>
          </cell>
          <cell r="S321" t="str">
            <v>2025</v>
          </cell>
          <cell r="U321" t="str">
            <v>523382</v>
          </cell>
          <cell r="V321" t="str">
            <v>1000388</v>
          </cell>
          <cell r="Y321">
            <v>4574000</v>
          </cell>
          <cell r="Z321">
            <v>59147</v>
          </cell>
          <cell r="AA321">
            <v>68610</v>
          </cell>
        </row>
        <row r="322">
          <cell r="B322" t="str">
            <v>KHI/HO/D/MO/PC COMP/C/106977/12/02/2025</v>
          </cell>
          <cell r="D322" t="str">
            <v>FRE</v>
          </cell>
          <cell r="E322" t="str">
            <v>12/02/25</v>
          </cell>
          <cell r="F322" t="str">
            <v>12/02/2025</v>
          </cell>
          <cell r="G322" t="str">
            <v>11/02/2026</v>
          </cell>
          <cell r="H322" t="str">
            <v>08004499</v>
          </cell>
          <cell r="I322" t="str">
            <v>AL BARAKA BANK (PAKISTAN) LIMITED</v>
          </cell>
          <cell r="J322" t="str">
            <v>BANK</v>
          </cell>
          <cell r="K322" t="str">
            <v>Mr. 
HPA M/s. Al Baraka Bank (Pakistan) Limited 
Mr. Chaudhary Aamir Hussain
HPA M/s. Al Baraka Bank (Pakistan) Limited</v>
          </cell>
          <cell r="L322" t="str">
            <v>D</v>
          </cell>
          <cell r="M322" t="str">
            <v>09000221</v>
          </cell>
          <cell r="N322">
            <v>100</v>
          </cell>
          <cell r="O322" t="str">
            <v>ISLAMABAD</v>
          </cell>
          <cell r="P322" t="str">
            <v>Dera Arain Near Mandi Maweshian Datyal Bypass Talagang</v>
          </cell>
          <cell r="Q322" t="str">
            <v>11000003</v>
          </cell>
          <cell r="R322" t="str">
            <v>SUZUKI WAGON-R VXL E2</v>
          </cell>
          <cell r="S322" t="str">
            <v>2022</v>
          </cell>
          <cell r="T322" t="str">
            <v>AXW-144</v>
          </cell>
          <cell r="U322" t="str">
            <v>231605</v>
          </cell>
          <cell r="V322" t="str">
            <v>10131603</v>
          </cell>
          <cell r="X322" t="str">
            <v>3</v>
          </cell>
          <cell r="Y322">
            <v>2850000</v>
          </cell>
          <cell r="Z322">
            <v>49138</v>
          </cell>
          <cell r="AA322">
            <v>57000</v>
          </cell>
        </row>
        <row r="323">
          <cell r="B323" t="str">
            <v>KHI/HO/D/MO/PC COMP/C/106977/13/02/2025</v>
          </cell>
          <cell r="D323" t="str">
            <v>FRE</v>
          </cell>
          <cell r="E323" t="str">
            <v>12/02/25</v>
          </cell>
          <cell r="F323" t="str">
            <v>12/02/2025</v>
          </cell>
          <cell r="G323" t="str">
            <v>11/02/2026</v>
          </cell>
          <cell r="H323" t="str">
            <v>08004499</v>
          </cell>
          <cell r="I323" t="str">
            <v>AL BARAKA BANK (PAKISTAN) LIMITED</v>
          </cell>
          <cell r="J323" t="str">
            <v>BANK</v>
          </cell>
          <cell r="K323" t="str">
            <v>Mr. 
HPA M/s. Al Baraka Bank (Pakistan) Limited 
Mr. Muhammad Uzaif  
HPA M/s. Al Baraka Bank (Pakistan) Limited</v>
          </cell>
          <cell r="L323" t="str">
            <v>D</v>
          </cell>
          <cell r="M323" t="str">
            <v>09000221</v>
          </cell>
          <cell r="N323">
            <v>100</v>
          </cell>
          <cell r="O323" t="str">
            <v>KARACHI</v>
          </cell>
          <cell r="P323" t="str">
            <v>H # A-65 Central Govt. Eomployee Co-Opr. H. Society Block 19 Gulistan-e-johar KHI</v>
          </cell>
          <cell r="Q323" t="str">
            <v>11000003</v>
          </cell>
          <cell r="R323" t="str">
            <v>SUZUKI ALTO VXL AGS E-2</v>
          </cell>
          <cell r="S323" t="str">
            <v>2022</v>
          </cell>
          <cell r="T323" t="str">
            <v>BXT-505</v>
          </cell>
          <cell r="U323" t="str">
            <v>6R246629</v>
          </cell>
          <cell r="V323" t="str">
            <v>H1146623</v>
          </cell>
          <cell r="X323" t="str">
            <v>3</v>
          </cell>
          <cell r="Y323">
            <v>2700000</v>
          </cell>
          <cell r="Z323">
            <v>46551</v>
          </cell>
          <cell r="AA323">
            <v>54000</v>
          </cell>
        </row>
        <row r="324">
          <cell r="B324" t="str">
            <v>KHI/HO/D/MO/PC COMP/C/106977/14/02/2025</v>
          </cell>
          <cell r="D324" t="str">
            <v>FRE</v>
          </cell>
          <cell r="E324" t="str">
            <v>12/02/25</v>
          </cell>
          <cell r="F324" t="str">
            <v>12/02/2025</v>
          </cell>
          <cell r="G324" t="str">
            <v>11/02/2026</v>
          </cell>
          <cell r="H324" t="str">
            <v>08004499</v>
          </cell>
          <cell r="I324" t="str">
            <v>AL BARAKA BANK (PAKISTAN) LIMITED</v>
          </cell>
          <cell r="J324" t="str">
            <v>BANK</v>
          </cell>
          <cell r="K324" t="str">
            <v>Mr. 
HPA M/s. Al Baraka Bank (Pakistan) Limited 
Mr. Hussnain Ali Naqvi
HPA M/s. Al Baraka Bank (Pakistan) Limited</v>
          </cell>
          <cell r="L324" t="str">
            <v>D</v>
          </cell>
          <cell r="M324" t="str">
            <v>09000221</v>
          </cell>
          <cell r="N324">
            <v>100</v>
          </cell>
          <cell r="O324" t="str">
            <v>LAHORE</v>
          </cell>
          <cell r="P324" t="str">
            <v>H # 14 Block P Al Hafeez Town 80 ft  Road Lahore</v>
          </cell>
          <cell r="Q324" t="str">
            <v>11000003</v>
          </cell>
          <cell r="R324" t="str">
            <v>HONDA CITY 1.2  LS CVT</v>
          </cell>
          <cell r="S324" t="str">
            <v>2025</v>
          </cell>
          <cell r="U324" t="str">
            <v>51031354</v>
          </cell>
          <cell r="V324" t="str">
            <v>48730</v>
          </cell>
          <cell r="X324" t="str">
            <v>3</v>
          </cell>
          <cell r="Y324">
            <v>4719000</v>
          </cell>
          <cell r="Z324">
            <v>61022</v>
          </cell>
          <cell r="AA324">
            <v>70785</v>
          </cell>
        </row>
        <row r="325">
          <cell r="B325" t="str">
            <v>KHI/HO/D/MO/PC COMP/C/106977/15/02/2025</v>
          </cell>
          <cell r="D325" t="str">
            <v>FRE</v>
          </cell>
          <cell r="E325" t="str">
            <v>13/02/25</v>
          </cell>
          <cell r="F325" t="str">
            <v>13/02/2025</v>
          </cell>
          <cell r="G325" t="str">
            <v>12/02/2026</v>
          </cell>
          <cell r="H325" t="str">
            <v>08004499</v>
          </cell>
          <cell r="I325" t="str">
            <v>AL BARAKA BANK (PAKISTAN) LIMITED</v>
          </cell>
          <cell r="J325" t="str">
            <v>BANK</v>
          </cell>
          <cell r="K325" t="str">
            <v>Mr. 
HPA M/s. Al Baraka Bank (Pakistan) Limited 
Mr. Muhammad Akram
HPA M/s. Al Baraka Bank (Pakistan) Limited</v>
          </cell>
          <cell r="L325" t="str">
            <v>D</v>
          </cell>
          <cell r="M325" t="str">
            <v>09000221</v>
          </cell>
          <cell r="N325">
            <v>100</v>
          </cell>
          <cell r="O325" t="str">
            <v>FAISALABAD</v>
          </cell>
          <cell r="P325" t="str">
            <v>H # 57-A Al Rehmat Villas Lower Canal Road Jaranwala Road Faisalabad</v>
          </cell>
          <cell r="Q325" t="str">
            <v>11000003</v>
          </cell>
          <cell r="R325" t="str">
            <v>HONDA CITY ASPIRE 1.5  I-</v>
          </cell>
          <cell r="S325" t="str">
            <v>2018</v>
          </cell>
          <cell r="T325" t="str">
            <v>ALC-285</v>
          </cell>
          <cell r="U325" t="str">
            <v>L15A79793112</v>
          </cell>
          <cell r="V325" t="str">
            <v>NFBGM1264JR238250</v>
          </cell>
          <cell r="X325" t="str">
            <v>3</v>
          </cell>
          <cell r="Y325">
            <v>3700000</v>
          </cell>
          <cell r="Z325">
            <v>47845</v>
          </cell>
          <cell r="AA325">
            <v>55500</v>
          </cell>
        </row>
        <row r="326">
          <cell r="B326" t="str">
            <v>KHI/HO/D/MO/PC COMP/C/106977/16/02/2025</v>
          </cell>
          <cell r="D326" t="str">
            <v>FRE</v>
          </cell>
          <cell r="E326" t="str">
            <v>13/02/25</v>
          </cell>
          <cell r="F326" t="str">
            <v>13/02/2025</v>
          </cell>
          <cell r="G326" t="str">
            <v>12/02/2026</v>
          </cell>
          <cell r="H326" t="str">
            <v>08004499</v>
          </cell>
          <cell r="I326" t="str">
            <v>AL BARAKA BANK (PAKISTAN) LIMITED</v>
          </cell>
          <cell r="J326" t="str">
            <v>BANK</v>
          </cell>
          <cell r="K326" t="str">
            <v>Mr. 
HPA M/s. Al Baraka Bank (Pakistan) Limited 
Ms. Deeba Shahwar  
HPA M/s. Al Baraka Bank (Pakistan) Limited</v>
          </cell>
          <cell r="L326" t="str">
            <v>D</v>
          </cell>
          <cell r="M326" t="str">
            <v>09000221</v>
          </cell>
          <cell r="N326">
            <v>100</v>
          </cell>
          <cell r="O326" t="str">
            <v>MULTAN</v>
          </cell>
          <cell r="P326" t="str">
            <v>H # 169/1 Mohallah Chah Takki Wala Ismail Zai Colony Shah Badar Road Multan</v>
          </cell>
          <cell r="Q326" t="str">
            <v>11000003</v>
          </cell>
          <cell r="R326" t="str">
            <v>KIA PICANTO 1.0L A/T</v>
          </cell>
          <cell r="S326" t="str">
            <v>2025</v>
          </cell>
          <cell r="U326" t="str">
            <v>220474</v>
          </cell>
          <cell r="V326" t="str">
            <v>714299</v>
          </cell>
          <cell r="X326" t="str">
            <v>3</v>
          </cell>
          <cell r="Y326">
            <v>3904000</v>
          </cell>
          <cell r="Z326">
            <v>50483</v>
          </cell>
          <cell r="AA326">
            <v>58560</v>
          </cell>
        </row>
        <row r="327">
          <cell r="B327" t="str">
            <v>KHI/HO/D/MO/PC COMP/C/106977/17/02/2025</v>
          </cell>
          <cell r="D327" t="str">
            <v>FRE</v>
          </cell>
          <cell r="E327" t="str">
            <v>13/02/25</v>
          </cell>
          <cell r="F327" t="str">
            <v>13/02/2025</v>
          </cell>
          <cell r="G327" t="str">
            <v>12/02/2026</v>
          </cell>
          <cell r="H327" t="str">
            <v>08004499</v>
          </cell>
          <cell r="I327" t="str">
            <v>AL BARAKA BANK (PAKISTAN) LIMITED</v>
          </cell>
          <cell r="J327" t="str">
            <v>BANK</v>
          </cell>
          <cell r="K327" t="str">
            <v>Mr. 
HPA M/s. Al Baraka Bank (Pakistan) Limited 
Mr. Siraj Uddin
HPA M/s. Al Baraka Bank (Pakistan) Limited</v>
          </cell>
          <cell r="L327" t="str">
            <v>D</v>
          </cell>
          <cell r="M327" t="str">
            <v>09000221</v>
          </cell>
          <cell r="N327">
            <v>100</v>
          </cell>
          <cell r="O327" t="str">
            <v>KARACHI</v>
          </cell>
          <cell r="P327" t="str">
            <v>H # D-46 Block 3 Metroville SITE Karachi</v>
          </cell>
          <cell r="Q327" t="str">
            <v>11000003</v>
          </cell>
          <cell r="R327" t="str">
            <v>SUZUKI ALTO VXR E-2</v>
          </cell>
          <cell r="S327" t="str">
            <v>2023</v>
          </cell>
          <cell r="T327" t="str">
            <v>BYU-798</v>
          </cell>
          <cell r="U327" t="str">
            <v>6R272083</v>
          </cell>
          <cell r="V327" t="str">
            <v>6H1172071</v>
          </cell>
          <cell r="X327" t="str">
            <v>3</v>
          </cell>
          <cell r="Y327">
            <v>2600000</v>
          </cell>
          <cell r="Z327">
            <v>44828</v>
          </cell>
          <cell r="AA327">
            <v>52000</v>
          </cell>
        </row>
        <row r="328">
          <cell r="B328" t="str">
            <v>KHI/HO/D/MO/PC COMP/C/106977/18/02/2025</v>
          </cell>
          <cell r="D328" t="str">
            <v>FRE</v>
          </cell>
          <cell r="E328" t="str">
            <v>14/02/25</v>
          </cell>
          <cell r="F328" t="str">
            <v>14/02/2025</v>
          </cell>
          <cell r="G328" t="str">
            <v>13/02/2026</v>
          </cell>
          <cell r="H328" t="str">
            <v>08004499</v>
          </cell>
          <cell r="I328" t="str">
            <v>AL BARAKA BANK (PAKISTAN) LIMITED</v>
          </cell>
          <cell r="J328" t="str">
            <v>BANK</v>
          </cell>
          <cell r="K328" t="str">
            <v>Mr. 
HPA M/s. Al Baraka Bank (Pakistan) Limited 
Mr. Arshan Ismail  
HPA M/s. Al Baraka Bank (Pakistan) Limited</v>
          </cell>
          <cell r="L328" t="str">
            <v>D</v>
          </cell>
          <cell r="M328" t="str">
            <v>09000221</v>
          </cell>
          <cell r="N328">
            <v>100</v>
          </cell>
          <cell r="P328" t="str">
            <v>H # 603 Block E Wapda Town Phase 1 Multan</v>
          </cell>
          <cell r="Q328" t="str">
            <v>11000003</v>
          </cell>
          <cell r="R328" t="str">
            <v>SUZUKI ALTO VXR E-2</v>
          </cell>
          <cell r="S328" t="str">
            <v>2021</v>
          </cell>
          <cell r="T328" t="str">
            <v>ACY-572</v>
          </cell>
          <cell r="U328" t="str">
            <v>153036</v>
          </cell>
          <cell r="V328" t="str">
            <v>1053021</v>
          </cell>
          <cell r="X328" t="str">
            <v>3</v>
          </cell>
          <cell r="Y328">
            <v>2400000</v>
          </cell>
          <cell r="Z328">
            <v>41379</v>
          </cell>
          <cell r="AA328">
            <v>48000</v>
          </cell>
        </row>
        <row r="329">
          <cell r="B329" t="str">
            <v>KHI/HO/D/MO/PC COMP/C/106977/19/02/2025</v>
          </cell>
          <cell r="D329" t="str">
            <v>FRE</v>
          </cell>
          <cell r="E329" t="str">
            <v>14/02/25</v>
          </cell>
          <cell r="F329" t="str">
            <v>14/02/2025</v>
          </cell>
          <cell r="G329" t="str">
            <v>13/02/2026</v>
          </cell>
          <cell r="H329" t="str">
            <v>08004499</v>
          </cell>
          <cell r="I329" t="str">
            <v>AL BARAKA BANK (PAKISTAN) LIMITED</v>
          </cell>
          <cell r="J329" t="str">
            <v>BANK</v>
          </cell>
          <cell r="K329" t="str">
            <v>Mr. 
HPA M/s. Al Baraka Bank (Pakistan) Limited 
Mr. Rizwan 
HPA M/s. Al Baraka Bank (Pakistan) Limited</v>
          </cell>
          <cell r="L329" t="str">
            <v>D</v>
          </cell>
          <cell r="M329" t="str">
            <v>09000221</v>
          </cell>
          <cell r="N329">
            <v>100</v>
          </cell>
          <cell r="O329" t="str">
            <v>KARACHI</v>
          </cell>
          <cell r="P329" t="str">
            <v>H # 42 Street 6 Area 36/B Landhi No. 5 Karachi</v>
          </cell>
          <cell r="Q329" t="str">
            <v>11000003</v>
          </cell>
          <cell r="R329" t="str">
            <v>SUZUKI Swift GLX CVT</v>
          </cell>
          <cell r="S329" t="str">
            <v>2025</v>
          </cell>
          <cell r="U329" t="str">
            <v>1025765</v>
          </cell>
          <cell r="V329" t="str">
            <v>S00208450</v>
          </cell>
          <cell r="X329" t="str">
            <v>3</v>
          </cell>
          <cell r="Y329">
            <v>4719000</v>
          </cell>
          <cell r="Z329">
            <v>61022</v>
          </cell>
          <cell r="AA329">
            <v>70785</v>
          </cell>
        </row>
        <row r="330">
          <cell r="B330" t="str">
            <v>KHI/HO/D/MO/PC COMP/C/106977/20/02/2025</v>
          </cell>
          <cell r="D330" t="str">
            <v>FRE</v>
          </cell>
          <cell r="E330" t="str">
            <v>17/02/25</v>
          </cell>
          <cell r="F330" t="str">
            <v>17/02/2025</v>
          </cell>
          <cell r="G330" t="str">
            <v>16/02/2026</v>
          </cell>
          <cell r="H330" t="str">
            <v>08004499</v>
          </cell>
          <cell r="I330" t="str">
            <v>AL BARAKA BANK (PAKISTAN) LIMITED</v>
          </cell>
          <cell r="J330" t="str">
            <v>BANK</v>
          </cell>
          <cell r="K330" t="str">
            <v>Mr. 
HPA M/s. Al Baraka Bank (Pakistan) Limited 
Mr. Hafiz Abdul Razzaq
HPA M/s. Al Baraka Bank (Pakistan) Limited</v>
          </cell>
          <cell r="L330" t="str">
            <v>D</v>
          </cell>
          <cell r="M330" t="str">
            <v>09000221</v>
          </cell>
          <cell r="N330">
            <v>100</v>
          </cell>
          <cell r="P330" t="str">
            <v>H # P-68 Mohallah Kohinoor Town Faisalabad</v>
          </cell>
          <cell r="Q330" t="str">
            <v>11000003</v>
          </cell>
          <cell r="R330" t="str">
            <v>SUZUKI ALTO VXL AGS E-2</v>
          </cell>
          <cell r="S330" t="str">
            <v>2025</v>
          </cell>
          <cell r="U330" t="str">
            <v>6R338217</v>
          </cell>
          <cell r="V330" t="str">
            <v>NF1AET306H1238244</v>
          </cell>
          <cell r="X330" t="str">
            <v>3</v>
          </cell>
          <cell r="Y330">
            <v>3045000</v>
          </cell>
          <cell r="Z330">
            <v>52500</v>
          </cell>
          <cell r="AA330">
            <v>60900</v>
          </cell>
        </row>
        <row r="331">
          <cell r="B331" t="str">
            <v>KHI/HO/D/MO/PC COMP/C/106977/21/02/2025</v>
          </cell>
          <cell r="D331" t="str">
            <v>FRE</v>
          </cell>
          <cell r="E331" t="str">
            <v>17/02/25</v>
          </cell>
          <cell r="F331" t="str">
            <v>17/02/2025</v>
          </cell>
          <cell r="G331" t="str">
            <v>16/02/2026</v>
          </cell>
          <cell r="H331" t="str">
            <v>08004499</v>
          </cell>
          <cell r="I331" t="str">
            <v>AL BARAKA BANK (PAKISTAN) LIMITED</v>
          </cell>
          <cell r="J331" t="str">
            <v>BANK</v>
          </cell>
          <cell r="K331" t="str">
            <v>Mr. 
HPA M/s. Al Baraka Bank (Pakistan) Limited 
Mr. Nafees Iqbal  
HPA M/s. Al Baraka Bank (Pakistan) Limited</v>
          </cell>
          <cell r="L331" t="str">
            <v>D</v>
          </cell>
          <cell r="M331" t="str">
            <v>09000221</v>
          </cell>
          <cell r="N331">
            <v>100</v>
          </cell>
          <cell r="O331" t="str">
            <v>LAHORE</v>
          </cell>
          <cell r="P331" t="str">
            <v>H # 8-G Babar Street Canal Burg Society Lahore</v>
          </cell>
          <cell r="Q331" t="str">
            <v>11000003</v>
          </cell>
          <cell r="R331" t="str">
            <v>SUZUKI ALTO VXR E-2</v>
          </cell>
          <cell r="S331" t="str">
            <v>2025</v>
          </cell>
          <cell r="U331" t="str">
            <v>6R339464</v>
          </cell>
          <cell r="V331" t="str">
            <v>H1239181</v>
          </cell>
          <cell r="X331" t="str">
            <v>3</v>
          </cell>
          <cell r="Y331">
            <v>2707000</v>
          </cell>
          <cell r="Z331">
            <v>46672</v>
          </cell>
          <cell r="AA331">
            <v>54140</v>
          </cell>
        </row>
        <row r="332">
          <cell r="B332" t="str">
            <v>KHI/HO/D/MO/PC COMP/C/106977/22/02/2025</v>
          </cell>
          <cell r="D332" t="str">
            <v>FRE</v>
          </cell>
          <cell r="E332" t="str">
            <v>17/02/25</v>
          </cell>
          <cell r="F332" t="str">
            <v>17/02/2025</v>
          </cell>
          <cell r="G332" t="str">
            <v>16/02/2026</v>
          </cell>
          <cell r="H332" t="str">
            <v>08004499</v>
          </cell>
          <cell r="I332" t="str">
            <v>AL BARAKA BANK (PAKISTAN) LIMITED</v>
          </cell>
          <cell r="J332" t="str">
            <v>BANK</v>
          </cell>
          <cell r="K332" t="str">
            <v>Mr. 
HPA M/s. Al Baraka Bank (Pakistan) Limited 
Ms. Saira Ali  
HPA M/s. Al Baraka Bank (Pakistan) Limited</v>
          </cell>
          <cell r="L332" t="str">
            <v>D</v>
          </cell>
          <cell r="M332" t="str">
            <v>09000221</v>
          </cell>
          <cell r="N332">
            <v>100</v>
          </cell>
          <cell r="O332" t="str">
            <v>LAHORE</v>
          </cell>
          <cell r="P332" t="str">
            <v>H # 309-K Gulberg III Lahore</v>
          </cell>
          <cell r="Q332" t="str">
            <v>11000003</v>
          </cell>
          <cell r="R332" t="str">
            <v>HONDA CITY I-VTEC 1.2</v>
          </cell>
          <cell r="S332" t="str">
            <v>2023</v>
          </cell>
          <cell r="T332" t="str">
            <v>ANJ-811</v>
          </cell>
          <cell r="U332" t="str">
            <v>L12B51017958</v>
          </cell>
          <cell r="V332" t="str">
            <v>R031762</v>
          </cell>
          <cell r="X332" t="str">
            <v>3</v>
          </cell>
          <cell r="Y332">
            <v>4000000</v>
          </cell>
          <cell r="Z332">
            <v>51724</v>
          </cell>
          <cell r="AA332">
            <v>60000</v>
          </cell>
        </row>
        <row r="333">
          <cell r="B333" t="str">
            <v>KHI/HO/D/MO/PC COMP/C/107407/1/02/2025</v>
          </cell>
          <cell r="D333" t="str">
            <v>REN</v>
          </cell>
          <cell r="E333" t="str">
            <v>17/02/25</v>
          </cell>
          <cell r="F333" t="str">
            <v>06/02/2025</v>
          </cell>
          <cell r="G333" t="str">
            <v>05/02/2026</v>
          </cell>
          <cell r="H333" t="str">
            <v>08004499</v>
          </cell>
          <cell r="I333" t="str">
            <v>AL BARAKA BANK (PAKISTAN) LIMITED</v>
          </cell>
          <cell r="J333" t="str">
            <v>BANK</v>
          </cell>
          <cell r="K333" t="str">
            <v xml:space="preserve">
HPA M/s. Al Baraka Bank (Pakistan) Limited 
Hpa M/S. Al Baraka Bank (Pakistan) Limited 
User: Muhammad  Zeeshan Bhatti</v>
          </cell>
          <cell r="L333" t="str">
            <v>D</v>
          </cell>
          <cell r="M333" t="str">
            <v>09000221</v>
          </cell>
          <cell r="N333">
            <v>100</v>
          </cell>
          <cell r="P333" t="str">
            <v>H # 50 Main Bacar Imamia Colony Lahore</v>
          </cell>
          <cell r="Q333" t="str">
            <v>11000003</v>
          </cell>
          <cell r="R333" t="str">
            <v>SUZUKI ALTO VXR E-2</v>
          </cell>
          <cell r="S333" t="str">
            <v>2024</v>
          </cell>
          <cell r="T333" t="str">
            <v>AQZ-705</v>
          </cell>
          <cell r="U333" t="str">
            <v>293398</v>
          </cell>
          <cell r="V333" t="str">
            <v>1193364</v>
          </cell>
          <cell r="W333" t="str">
            <v>05-feb-2029</v>
          </cell>
          <cell r="Y333">
            <v>2350800</v>
          </cell>
          <cell r="Z333">
            <v>40100</v>
          </cell>
          <cell r="AA333">
            <v>47016</v>
          </cell>
        </row>
        <row r="334">
          <cell r="B334" t="str">
            <v>KHI/HO/D/MO/PC COMP/C/107407/2/02/2025</v>
          </cell>
          <cell r="D334" t="str">
            <v>REN</v>
          </cell>
          <cell r="E334" t="str">
            <v>17/02/25</v>
          </cell>
          <cell r="F334" t="str">
            <v>13/02/2025</v>
          </cell>
          <cell r="G334" t="str">
            <v>12/02/2026</v>
          </cell>
          <cell r="H334" t="str">
            <v>08004499</v>
          </cell>
          <cell r="I334" t="str">
            <v>AL BARAKA BANK (PAKISTAN) LIMITED</v>
          </cell>
          <cell r="J334" t="str">
            <v>BANK</v>
          </cell>
          <cell r="K334" t="str">
            <v xml:space="preserve">
HPA M/s. Al Baraka Bank (Pakistan) Limited 
Hpa M/S. Al Baraka Bank (Pakistan) Limited 
User: Muhammad  Waleed</v>
          </cell>
          <cell r="L334" t="str">
            <v>D</v>
          </cell>
          <cell r="M334" t="str">
            <v>09000221</v>
          </cell>
          <cell r="N334">
            <v>100</v>
          </cell>
          <cell r="P334" t="str">
            <v>Gali Munir Jutt Wali Mohalla Sikandar Abad Khushab</v>
          </cell>
          <cell r="Q334" t="str">
            <v>11000003</v>
          </cell>
          <cell r="R334" t="str">
            <v>SUZUKI ALTO</v>
          </cell>
          <cell r="S334" t="str">
            <v>2024</v>
          </cell>
          <cell r="T334" t="str">
            <v>ARD-634</v>
          </cell>
          <cell r="U334" t="str">
            <v>297289</v>
          </cell>
          <cell r="V334" t="str">
            <v>1197300</v>
          </cell>
          <cell r="W334" t="str">
            <v>05-mar-2029</v>
          </cell>
          <cell r="Y334">
            <v>2350800</v>
          </cell>
          <cell r="Z334">
            <v>40531</v>
          </cell>
          <cell r="AA334">
            <v>47016</v>
          </cell>
        </row>
        <row r="335">
          <cell r="B335" t="str">
            <v>KHI/HO/D/MO/PC COMP/C/107407/3/02/2025</v>
          </cell>
          <cell r="D335" t="str">
            <v>REN</v>
          </cell>
          <cell r="E335" t="str">
            <v>17/02/25</v>
          </cell>
          <cell r="F335" t="str">
            <v>14/02/2025</v>
          </cell>
          <cell r="G335" t="str">
            <v>13/02/2026</v>
          </cell>
          <cell r="H335" t="str">
            <v>08004499</v>
          </cell>
          <cell r="I335" t="str">
            <v>AL BARAKA BANK (PAKISTAN) LIMITED</v>
          </cell>
          <cell r="J335" t="str">
            <v>BANK</v>
          </cell>
          <cell r="K335" t="str">
            <v xml:space="preserve">
HPA M/s. Al Baraka Bank (Pakistan) Limited 
Hpa M/S. Al Baraka Bank (Pakistan) Limited 
User: Muhammad   Yasir</v>
          </cell>
          <cell r="L335" t="str">
            <v>D</v>
          </cell>
          <cell r="M335" t="str">
            <v>09000221</v>
          </cell>
          <cell r="N335">
            <v>100</v>
          </cell>
          <cell r="O335" t="str">
            <v>KARACHI</v>
          </cell>
          <cell r="P335" t="str">
            <v>H No 118 St 2 Block C NFC Phase 1 Near Wapda Town Lahore</v>
          </cell>
          <cell r="Q335" t="str">
            <v>11000003</v>
          </cell>
          <cell r="R335" t="str">
            <v>TOYOTA COROLLA ALTIS GRAN</v>
          </cell>
          <cell r="S335" t="str">
            <v>2023</v>
          </cell>
          <cell r="T335" t="str">
            <v>APQ-985</v>
          </cell>
          <cell r="U335" t="str">
            <v>Q365915</v>
          </cell>
          <cell r="V335" t="str">
            <v>R-7065206</v>
          </cell>
          <cell r="W335" t="str">
            <v>05-feb-2027</v>
          </cell>
          <cell r="Y335">
            <v>6300000</v>
          </cell>
          <cell r="Z335">
            <v>81465</v>
          </cell>
          <cell r="AA335">
            <v>94500</v>
          </cell>
        </row>
        <row r="336">
          <cell r="B336" t="str">
            <v>KHI/HO/D/MO/PC COMP/C/107407/4/02/2025</v>
          </cell>
          <cell r="D336" t="str">
            <v>REN</v>
          </cell>
          <cell r="E336" t="str">
            <v>17/02/25</v>
          </cell>
          <cell r="F336" t="str">
            <v>16/02/2025</v>
          </cell>
          <cell r="G336" t="str">
            <v>15/02/2026</v>
          </cell>
          <cell r="H336" t="str">
            <v>08004499</v>
          </cell>
          <cell r="I336" t="str">
            <v>AL BARAKA BANK (PAKISTAN) LIMITED</v>
          </cell>
          <cell r="J336" t="str">
            <v>BANK</v>
          </cell>
          <cell r="K336" t="str">
            <v xml:space="preserve">
HPA M/s. Al Baraka Bank (Pakistan) Limited 
Hpa M/S. Al Baraka Bank (Pakistan) Limited 
User: Syed Abid  Raza  Rizvi</v>
          </cell>
          <cell r="L336" t="str">
            <v>D</v>
          </cell>
          <cell r="M336" t="str">
            <v>09000221</v>
          </cell>
          <cell r="N336">
            <v>100</v>
          </cell>
          <cell r="O336" t="str">
            <v>KARACHI</v>
          </cell>
          <cell r="P336" t="str">
            <v>H # 370 Block F Shah Rukn-e-Alam Colony Multan</v>
          </cell>
          <cell r="Q336" t="str">
            <v>11000003</v>
          </cell>
          <cell r="R336" t="str">
            <v>SUZUKI ALTO VXL AGS E-2</v>
          </cell>
          <cell r="S336" t="str">
            <v>2024</v>
          </cell>
          <cell r="T336" t="str">
            <v>ARS-464</v>
          </cell>
          <cell r="U336" t="str">
            <v>6R298746</v>
          </cell>
          <cell r="V336" t="str">
            <v>1198923</v>
          </cell>
          <cell r="W336" t="str">
            <v>05-mar-2026</v>
          </cell>
          <cell r="Y336">
            <v>2641500</v>
          </cell>
          <cell r="Z336">
            <v>45544</v>
          </cell>
          <cell r="AA336">
            <v>52830</v>
          </cell>
        </row>
        <row r="337">
          <cell r="B337" t="str">
            <v>KHI/HO/D/MO/PC COMP/C/107407/5/02/2025</v>
          </cell>
          <cell r="D337" t="str">
            <v>REN</v>
          </cell>
          <cell r="E337" t="str">
            <v>17/02/25</v>
          </cell>
          <cell r="F337" t="str">
            <v>19/02/2025</v>
          </cell>
          <cell r="G337" t="str">
            <v>18/02/2026</v>
          </cell>
          <cell r="H337" t="str">
            <v>08004499</v>
          </cell>
          <cell r="I337" t="str">
            <v>AL BARAKA BANK (PAKISTAN) LIMITED</v>
          </cell>
          <cell r="J337" t="str">
            <v>BANK</v>
          </cell>
          <cell r="K337" t="str">
            <v xml:space="preserve">
HPA M/s. Al Baraka Bank (Pakistan) Limited 
Hpa M/S. Al Baraka Bank (Pakistan) Limited 
User: Omer Farooq Kanju</v>
          </cell>
          <cell r="L337" t="str">
            <v>D</v>
          </cell>
          <cell r="M337" t="str">
            <v>09000221</v>
          </cell>
          <cell r="N337">
            <v>100</v>
          </cell>
          <cell r="P337" t="str">
            <v>H NO. 43-L Phase 1 DHA Lahore</v>
          </cell>
          <cell r="Q337" t="str">
            <v>11000003</v>
          </cell>
          <cell r="R337" t="str">
            <v>CHANGAN OSHAN X7 FUTURE S</v>
          </cell>
          <cell r="S337" t="str">
            <v>2024</v>
          </cell>
          <cell r="T337" t="str">
            <v>AQW-337</v>
          </cell>
          <cell r="U337" t="str">
            <v>544358</v>
          </cell>
          <cell r="V337" t="str">
            <v>1004624</v>
          </cell>
          <cell r="W337" t="str">
            <v>05-mar-2027</v>
          </cell>
          <cell r="Y337">
            <v>7784100</v>
          </cell>
          <cell r="Z337">
            <v>100656</v>
          </cell>
          <cell r="AA337">
            <v>116762</v>
          </cell>
        </row>
        <row r="338">
          <cell r="B338" t="str">
            <v>KHI/HO/D/MO/PC COMP/C/107407/6/02/2025</v>
          </cell>
          <cell r="D338" t="str">
            <v>REN</v>
          </cell>
          <cell r="E338" t="str">
            <v>17/02/25</v>
          </cell>
          <cell r="F338" t="str">
            <v>19/02/2025</v>
          </cell>
          <cell r="G338" t="str">
            <v>18/02/2026</v>
          </cell>
          <cell r="H338" t="str">
            <v>08004499</v>
          </cell>
          <cell r="I338" t="str">
            <v>AL BARAKA BANK (PAKISTAN) LIMITED</v>
          </cell>
          <cell r="J338" t="str">
            <v>BANK</v>
          </cell>
          <cell r="K338" t="str">
            <v xml:space="preserve">
HPA M/s. Al Baraka Bank (Pakistan) Limited 
Hpa M/S. Al Baraka Bank (Pakistan) Limited 
User: Hafiz Muhammad Arslan Maqsood</v>
          </cell>
          <cell r="L338" t="str">
            <v>D</v>
          </cell>
          <cell r="M338" t="str">
            <v>09000221</v>
          </cell>
          <cell r="N338">
            <v>100</v>
          </cell>
          <cell r="P338" t="str">
            <v>H No 396 Street 122 G-9/3 Islamabad</v>
          </cell>
          <cell r="Q338" t="str">
            <v>11000003</v>
          </cell>
          <cell r="R338" t="str">
            <v>SUZUKI ALTO VXR</v>
          </cell>
          <cell r="S338" t="str">
            <v>2019</v>
          </cell>
          <cell r="T338" t="str">
            <v>APV-568</v>
          </cell>
          <cell r="U338" t="str">
            <v>150899</v>
          </cell>
          <cell r="V338" t="str">
            <v>10050858</v>
          </cell>
          <cell r="W338" t="str">
            <v>05-mar-2029</v>
          </cell>
          <cell r="Y338">
            <v>2295000</v>
          </cell>
          <cell r="Z338">
            <v>39569</v>
          </cell>
          <cell r="AA338">
            <v>45900</v>
          </cell>
        </row>
        <row r="339">
          <cell r="B339" t="str">
            <v>KHI/HO/D/MO/PC COMP/C/107407/7/02/2025</v>
          </cell>
          <cell r="D339" t="str">
            <v>REN</v>
          </cell>
          <cell r="E339" t="str">
            <v>17/02/25</v>
          </cell>
          <cell r="F339" t="str">
            <v>07/02/2025</v>
          </cell>
          <cell r="G339" t="str">
            <v>06/02/2026</v>
          </cell>
          <cell r="H339" t="str">
            <v>08004499</v>
          </cell>
          <cell r="I339" t="str">
            <v>AL BARAKA BANK (PAKISTAN) LIMITED</v>
          </cell>
          <cell r="J339" t="str">
            <v>BANK</v>
          </cell>
          <cell r="K339" t="str">
            <v xml:space="preserve">
HPA M/s. Al Baraka Bank (Pakistan) Limited 
Hpa M/S. Al Baraka Bank (Pakistan) Limited 
User: Ghulam  Dastagir</v>
          </cell>
          <cell r="L339" t="str">
            <v>D</v>
          </cell>
          <cell r="M339" t="str">
            <v>09000221</v>
          </cell>
          <cell r="N339">
            <v>100</v>
          </cell>
          <cell r="O339" t="str">
            <v>KARACHI</v>
          </cell>
          <cell r="P339" t="str">
            <v>H No 337 Block A Chowk GM Abad Faisalabad</v>
          </cell>
          <cell r="Q339" t="str">
            <v>11000003</v>
          </cell>
          <cell r="R339" t="str">
            <v>KIA PICANTO 1.0L A/T</v>
          </cell>
          <cell r="S339" t="str">
            <v>2024</v>
          </cell>
          <cell r="T339" t="str">
            <v>ARP-337</v>
          </cell>
          <cell r="U339" t="str">
            <v>G3LAPP171847</v>
          </cell>
          <cell r="V339" t="str">
            <v>NNATA52AZPP713057</v>
          </cell>
          <cell r="W339" t="str">
            <v>05-feb-2027</v>
          </cell>
          <cell r="Y339">
            <v>3470400</v>
          </cell>
          <cell r="Z339">
            <v>44876</v>
          </cell>
          <cell r="AA339">
            <v>52056</v>
          </cell>
        </row>
        <row r="340">
          <cell r="B340" t="str">
            <v>KHI/HO/D/MO/PC COMP/C/107407/8/02/2025</v>
          </cell>
          <cell r="D340" t="str">
            <v>REN</v>
          </cell>
          <cell r="E340" t="str">
            <v>17/02/25</v>
          </cell>
          <cell r="F340" t="str">
            <v>20/02/2025</v>
          </cell>
          <cell r="G340" t="str">
            <v>19/02/2026</v>
          </cell>
          <cell r="H340" t="str">
            <v>08004499</v>
          </cell>
          <cell r="I340" t="str">
            <v>AL BARAKA BANK (PAKISTAN) LIMITED</v>
          </cell>
          <cell r="J340" t="str">
            <v>BANK</v>
          </cell>
          <cell r="K340" t="str">
            <v xml:space="preserve">
HPA M/s. Al Baraka Bank (Pakistan) Limited 
Hpa M/S. Al Baraka Bank (Pakistan) Limited 
User: Muhammad Usman Siddique</v>
          </cell>
          <cell r="L340" t="str">
            <v>D</v>
          </cell>
          <cell r="M340" t="str">
            <v>09000221</v>
          </cell>
          <cell r="N340">
            <v>100</v>
          </cell>
          <cell r="O340" t="str">
            <v>KARACHI</v>
          </cell>
          <cell r="P340" t="str">
            <v>H No 5/38 Sodiwal Colony Near Jamia Masjid Sodiwal Lahore</v>
          </cell>
          <cell r="Q340" t="str">
            <v>11000003</v>
          </cell>
          <cell r="R340" t="str">
            <v>TOYOTA YARIS ATIV AT</v>
          </cell>
          <cell r="S340" t="str">
            <v>2020</v>
          </cell>
          <cell r="T340" t="str">
            <v>ABD-736</v>
          </cell>
          <cell r="U340" t="str">
            <v>A-14393</v>
          </cell>
          <cell r="V340" t="str">
            <v>R-7008461</v>
          </cell>
          <cell r="W340" t="str">
            <v>06-mar-2028</v>
          </cell>
          <cell r="Y340">
            <v>2700000</v>
          </cell>
          <cell r="Z340">
            <v>46551</v>
          </cell>
          <cell r="AA340">
            <v>54000</v>
          </cell>
        </row>
        <row r="341">
          <cell r="B341" t="str">
            <v>KHI/HO/D/MO/PC COMP/C/107407/9/02/2025</v>
          </cell>
          <cell r="D341" t="str">
            <v>REN</v>
          </cell>
          <cell r="E341" t="str">
            <v>17/02/25</v>
          </cell>
          <cell r="F341" t="str">
            <v>21/02/2025</v>
          </cell>
          <cell r="G341" t="str">
            <v>20/02/2026</v>
          </cell>
          <cell r="H341" t="str">
            <v>08004499</v>
          </cell>
          <cell r="I341" t="str">
            <v>AL BARAKA BANK (PAKISTAN) LIMITED</v>
          </cell>
          <cell r="J341" t="str">
            <v>BANK</v>
          </cell>
          <cell r="K341" t="str">
            <v xml:space="preserve">
HPA M/s. Al Baraka Bank (Pakistan) Limited 
Hpa M/S. Al Baraka Bank (Pakistan) Limited 
User: Safdar Ali Arrar</v>
          </cell>
          <cell r="L341" t="str">
            <v>D</v>
          </cell>
          <cell r="M341" t="str">
            <v>09000221</v>
          </cell>
          <cell r="N341">
            <v>100</v>
          </cell>
          <cell r="P341" t="str">
            <v>H No 188 PGEHF Mohallah Lahore</v>
          </cell>
          <cell r="Q341" t="str">
            <v>11000003</v>
          </cell>
          <cell r="R341" t="str">
            <v>SUZUKI ALTO</v>
          </cell>
          <cell r="S341" t="str">
            <v>2024</v>
          </cell>
          <cell r="T341" t="str">
            <v>AQZ-517</v>
          </cell>
          <cell r="U341" t="str">
            <v>298745</v>
          </cell>
          <cell r="V341" t="str">
            <v>1198784</v>
          </cell>
          <cell r="W341" t="str">
            <v>05-mar-2029</v>
          </cell>
          <cell r="Y341">
            <v>2350800</v>
          </cell>
          <cell r="Z341">
            <v>40531</v>
          </cell>
          <cell r="AA341">
            <v>47016</v>
          </cell>
        </row>
        <row r="342">
          <cell r="B342" t="str">
            <v>KHI/HO/D/MO/PC COMP/C/107407/10/02/2025</v>
          </cell>
          <cell r="D342" t="str">
            <v>REN</v>
          </cell>
          <cell r="E342" t="str">
            <v>17/02/25</v>
          </cell>
          <cell r="F342" t="str">
            <v>21/02/2025</v>
          </cell>
          <cell r="G342" t="str">
            <v>20/02/2026</v>
          </cell>
          <cell r="H342" t="str">
            <v>08004499</v>
          </cell>
          <cell r="I342" t="str">
            <v>AL BARAKA BANK (PAKISTAN) LIMITED</v>
          </cell>
          <cell r="J342" t="str">
            <v>BANK</v>
          </cell>
          <cell r="K342" t="str">
            <v xml:space="preserve">
HPA M/s. Al Baraka Bank (Pakistan) Limited 
Hpa M/S. Al Baraka Bank (Pakistan) Limited 
User: Irfan  Aamir</v>
          </cell>
          <cell r="L342" t="str">
            <v>D</v>
          </cell>
          <cell r="M342" t="str">
            <v>09000221</v>
          </cell>
          <cell r="N342">
            <v>100</v>
          </cell>
          <cell r="P342" t="str">
            <v>Flat 11 Building 6 Sector C Askari 11 Lahore</v>
          </cell>
          <cell r="Q342" t="str">
            <v>11000003</v>
          </cell>
          <cell r="R342" t="str">
            <v>CHANGAN ALSVIN</v>
          </cell>
          <cell r="S342" t="str">
            <v>2024</v>
          </cell>
          <cell r="T342" t="str">
            <v>AQW-198</v>
          </cell>
          <cell r="U342" t="str">
            <v>537247</v>
          </cell>
          <cell r="V342" t="str">
            <v>1011419</v>
          </cell>
          <cell r="W342" t="str">
            <v>05-mar-2027</v>
          </cell>
          <cell r="Y342">
            <v>4094100</v>
          </cell>
          <cell r="Z342">
            <v>52942</v>
          </cell>
          <cell r="AA342">
            <v>61412</v>
          </cell>
        </row>
        <row r="343">
          <cell r="B343" t="str">
            <v>KHI/HO/D/MO/PC COMP/C/107407/11/02/2025</v>
          </cell>
          <cell r="D343" t="str">
            <v>REN</v>
          </cell>
          <cell r="E343" t="str">
            <v>17/02/25</v>
          </cell>
          <cell r="F343" t="str">
            <v>21/02/2025</v>
          </cell>
          <cell r="G343" t="str">
            <v>20/02/2026</v>
          </cell>
          <cell r="H343" t="str">
            <v>08004499</v>
          </cell>
          <cell r="I343" t="str">
            <v>AL BARAKA BANK (PAKISTAN) LIMITED</v>
          </cell>
          <cell r="J343" t="str">
            <v>BANK</v>
          </cell>
          <cell r="K343" t="str">
            <v xml:space="preserve">
HPA M/s. Al Baraka Bank (Pakistan) Limited 
Hpa M/S. Al Baraka Bank (Pakistan) Limited 
User: Hafiz Muhammad Gulfam</v>
          </cell>
          <cell r="L343" t="str">
            <v>D</v>
          </cell>
          <cell r="M343" t="str">
            <v>09000221</v>
          </cell>
          <cell r="N343">
            <v>100</v>
          </cell>
          <cell r="P343" t="str">
            <v>Flat No 3 Kashmir Block DHA Society Near Cooper Store Lahore</v>
          </cell>
          <cell r="Q343" t="str">
            <v>11000003</v>
          </cell>
          <cell r="R343" t="str">
            <v>HONDA CITY ASPIRE A/T</v>
          </cell>
          <cell r="S343" t="str">
            <v>2020</v>
          </cell>
          <cell r="T343" t="str">
            <v>LEB-20-6577</v>
          </cell>
          <cell r="U343" t="str">
            <v>17538667</v>
          </cell>
          <cell r="V343" t="str">
            <v>LR260454</v>
          </cell>
          <cell r="W343" t="str">
            <v>05-mar-2027</v>
          </cell>
          <cell r="Y343">
            <v>3420000</v>
          </cell>
          <cell r="Z343">
            <v>44224</v>
          </cell>
          <cell r="AA343">
            <v>51300</v>
          </cell>
        </row>
        <row r="344">
          <cell r="B344" t="str">
            <v>KHI/HO/D/MO/PC COMP/C/107407/12/02/2025</v>
          </cell>
          <cell r="D344" t="str">
            <v>REN</v>
          </cell>
          <cell r="E344" t="str">
            <v>17/02/25</v>
          </cell>
          <cell r="F344" t="str">
            <v>21/02/2025</v>
          </cell>
          <cell r="G344" t="str">
            <v>20/02/2026</v>
          </cell>
          <cell r="H344" t="str">
            <v>08004499</v>
          </cell>
          <cell r="I344" t="str">
            <v>AL BARAKA BANK (PAKISTAN) LIMITED</v>
          </cell>
          <cell r="J344" t="str">
            <v>BANK</v>
          </cell>
          <cell r="K344" t="str">
            <v xml:space="preserve">
HPA M/s. Al Baraka Bank (Pakistan) Limited 
Hpa M/S. Al Baraka Bank (Pakistan) Limited 
User: Shahzad   Sharif</v>
          </cell>
          <cell r="L344" t="str">
            <v>D</v>
          </cell>
          <cell r="M344" t="str">
            <v>09000221</v>
          </cell>
          <cell r="N344">
            <v>100</v>
          </cell>
          <cell r="O344" t="str">
            <v>KARACHI</v>
          </cell>
          <cell r="P344" t="str">
            <v>H No 11 Bukhri St Rustam Park Multan Road Lahore</v>
          </cell>
          <cell r="Q344" t="str">
            <v>11000003</v>
          </cell>
          <cell r="R344" t="str">
            <v>SUZUKI WAGON-R VXR</v>
          </cell>
          <cell r="S344" t="str">
            <v>2018</v>
          </cell>
          <cell r="T344" t="str">
            <v>LED-18A-1423</v>
          </cell>
          <cell r="U344" t="str">
            <v>B177998</v>
          </cell>
          <cell r="V344" t="str">
            <v>K10077889</v>
          </cell>
          <cell r="W344" t="str">
            <v>05-mar-2029</v>
          </cell>
          <cell r="Y344">
            <v>1980000</v>
          </cell>
          <cell r="Z344">
            <v>34138</v>
          </cell>
          <cell r="AA344">
            <v>39600</v>
          </cell>
        </row>
        <row r="345">
          <cell r="B345" t="str">
            <v>KHI/HO/D/MO/PC COMP/C/107407/13/02/2025</v>
          </cell>
          <cell r="D345" t="str">
            <v>REN</v>
          </cell>
          <cell r="E345" t="str">
            <v>17/02/25</v>
          </cell>
          <cell r="F345" t="str">
            <v>22/02/2025</v>
          </cell>
          <cell r="G345" t="str">
            <v>21/02/2026</v>
          </cell>
          <cell r="H345" t="str">
            <v>08004499</v>
          </cell>
          <cell r="I345" t="str">
            <v>AL BARAKA BANK (PAKISTAN) LIMITED</v>
          </cell>
          <cell r="J345" t="str">
            <v>BANK</v>
          </cell>
          <cell r="K345" t="str">
            <v xml:space="preserve">
HPA M/s. Al Baraka Bank (Pakistan) Limited 
Hpa M/S. Al Baraka Bank (Pakistan) Limited 
User: Umair   Safdar</v>
          </cell>
          <cell r="L345" t="str">
            <v>D</v>
          </cell>
          <cell r="M345" t="str">
            <v>09000221</v>
          </cell>
          <cell r="N345">
            <v>100</v>
          </cell>
          <cell r="P345" t="str">
            <v>H NO 59 St No 2 Mohallah Mushtaq Colony Masoom Shah Road Multan</v>
          </cell>
          <cell r="Q345" t="str">
            <v>11000003</v>
          </cell>
          <cell r="R345" t="str">
            <v>HONDA CITY M/T 1.3</v>
          </cell>
          <cell r="S345" t="str">
            <v>2019</v>
          </cell>
          <cell r="T345" t="str">
            <v>ANZ-232</v>
          </cell>
          <cell r="U345" t="str">
            <v>17534001</v>
          </cell>
          <cell r="V345" t="str">
            <v>253289</v>
          </cell>
          <cell r="W345" t="str">
            <v>05-mar-2027</v>
          </cell>
          <cell r="Y345">
            <v>3060000</v>
          </cell>
          <cell r="Z345">
            <v>52758</v>
          </cell>
          <cell r="AA345">
            <v>61200</v>
          </cell>
        </row>
        <row r="346">
          <cell r="B346" t="str">
            <v>KHI/HO/D/MO/PC COMP/C/107407/14/02/2025</v>
          </cell>
          <cell r="D346" t="str">
            <v>REN</v>
          </cell>
          <cell r="E346" t="str">
            <v>17/02/25</v>
          </cell>
          <cell r="F346" t="str">
            <v>22/02/2025</v>
          </cell>
          <cell r="G346" t="str">
            <v>21/02/2026</v>
          </cell>
          <cell r="H346" t="str">
            <v>08004499</v>
          </cell>
          <cell r="I346" t="str">
            <v>AL BARAKA BANK (PAKISTAN) LIMITED</v>
          </cell>
          <cell r="J346" t="str">
            <v>BANK</v>
          </cell>
          <cell r="K346" t="str">
            <v xml:space="preserve">
HPA M/s. Al Baraka Bank (Pakistan) Limited 
Hpa M/S. Al Baraka Bank (Pakistan) Limited 
User: Muhammad   Shahbaz</v>
          </cell>
          <cell r="L346" t="str">
            <v>D</v>
          </cell>
          <cell r="M346" t="str">
            <v>09000221</v>
          </cell>
          <cell r="N346">
            <v>100</v>
          </cell>
          <cell r="O346" t="str">
            <v>KARACHI</v>
          </cell>
          <cell r="P346" t="str">
            <v>H No 1104 B Mohallah Ghulam Muhammad Abad Faisalabad</v>
          </cell>
          <cell r="Q346" t="str">
            <v>11000003</v>
          </cell>
          <cell r="R346" t="str">
            <v>SUZUKI ALTO VXR</v>
          </cell>
          <cell r="S346" t="str">
            <v>2021</v>
          </cell>
          <cell r="T346" t="str">
            <v>AUZ-962</v>
          </cell>
          <cell r="U346" t="str">
            <v>6R176226</v>
          </cell>
          <cell r="V346" t="str">
            <v>NF1AET306H1076220</v>
          </cell>
          <cell r="W346" t="str">
            <v>05-mar-2029</v>
          </cell>
          <cell r="Y346">
            <v>2070000</v>
          </cell>
          <cell r="Z346">
            <v>35690</v>
          </cell>
          <cell r="AA346">
            <v>41400</v>
          </cell>
        </row>
        <row r="347">
          <cell r="B347" t="str">
            <v>KHI/HO/D/MO/PC COMP/C/107407/15/02/2025</v>
          </cell>
          <cell r="D347" t="str">
            <v>REN</v>
          </cell>
          <cell r="E347" t="str">
            <v>17/02/25</v>
          </cell>
          <cell r="F347" t="str">
            <v>22/02/2025</v>
          </cell>
          <cell r="G347" t="str">
            <v>21/02/2026</v>
          </cell>
          <cell r="H347" t="str">
            <v>08004499</v>
          </cell>
          <cell r="I347" t="str">
            <v>AL BARAKA BANK (PAKISTAN) LIMITED</v>
          </cell>
          <cell r="J347" t="str">
            <v>BANK</v>
          </cell>
          <cell r="K347" t="str">
            <v xml:space="preserve">
HPA M/s. Al Baraka Bank (Pakistan) Limited 
Hpa M/S. Al Baraka Bank (Pakistan) Limited 
User: Saqib  Waheed</v>
          </cell>
          <cell r="L347" t="str">
            <v>D</v>
          </cell>
          <cell r="M347" t="str">
            <v>09000221</v>
          </cell>
          <cell r="N347">
            <v>100</v>
          </cell>
          <cell r="P347" t="str">
            <v>H No 48 Block B1 Punjab Housing PH 1 Wapda Town Lahore</v>
          </cell>
          <cell r="Q347" t="str">
            <v>11000003</v>
          </cell>
          <cell r="R347" t="str">
            <v>SUZUKI SWIFT DLX</v>
          </cell>
          <cell r="S347" t="str">
            <v>2024</v>
          </cell>
          <cell r="T347" t="str">
            <v>AQX-610</v>
          </cell>
          <cell r="U347" t="str">
            <v>1019078</v>
          </cell>
          <cell r="V347" t="str">
            <v>63500201719</v>
          </cell>
          <cell r="W347" t="str">
            <v>05-mar-2026</v>
          </cell>
          <cell r="Y347">
            <v>4536000</v>
          </cell>
          <cell r="Z347">
            <v>58655</v>
          </cell>
          <cell r="AA347">
            <v>68040</v>
          </cell>
        </row>
        <row r="348">
          <cell r="B348" t="str">
            <v>KHI/HO/D/MO/PC COMP/C/107407/16/02/2025</v>
          </cell>
          <cell r="D348" t="str">
            <v>REN</v>
          </cell>
          <cell r="E348" t="str">
            <v>17/02/25</v>
          </cell>
          <cell r="F348" t="str">
            <v>23/02/2025</v>
          </cell>
          <cell r="G348" t="str">
            <v>22/02/2026</v>
          </cell>
          <cell r="H348" t="str">
            <v>08004499</v>
          </cell>
          <cell r="I348" t="str">
            <v>AL BARAKA BANK (PAKISTAN) LIMITED</v>
          </cell>
          <cell r="J348" t="str">
            <v>BANK</v>
          </cell>
          <cell r="K348" t="str">
            <v xml:space="preserve">
HPA M/s. Al Baraka Bank (Pakistan) Limited 
Hpa M/S. Al Baraka Bank (Pakistan) Limited 
User: Ali   Hassan</v>
          </cell>
          <cell r="L348" t="str">
            <v>D</v>
          </cell>
          <cell r="M348" t="str">
            <v>09000221</v>
          </cell>
          <cell r="N348">
            <v>100</v>
          </cell>
          <cell r="P348" t="str">
            <v>H No 26/7 E Umar Street Arif abad Bilal Town Lahore</v>
          </cell>
          <cell r="Q348" t="str">
            <v>11000003</v>
          </cell>
          <cell r="R348" t="str">
            <v>HONDA CITY ASPIRE A/T</v>
          </cell>
          <cell r="S348" t="str">
            <v>2015</v>
          </cell>
          <cell r="T348" t="str">
            <v>LEF-15-9151</v>
          </cell>
          <cell r="U348" t="str">
            <v>17433431</v>
          </cell>
          <cell r="V348" t="str">
            <v>172355</v>
          </cell>
          <cell r="W348" t="str">
            <v>05-mar-2027</v>
          </cell>
          <cell r="Y348">
            <v>2475000</v>
          </cell>
          <cell r="Z348">
            <v>42672</v>
          </cell>
          <cell r="AA348">
            <v>49500</v>
          </cell>
        </row>
        <row r="349">
          <cell r="B349" t="str">
            <v>KHI/HO/D/MO/PC COMP/C/107407/17/02/2025</v>
          </cell>
          <cell r="D349" t="str">
            <v>REN</v>
          </cell>
          <cell r="E349" t="str">
            <v>17/02/25</v>
          </cell>
          <cell r="F349" t="str">
            <v>07/02/2025</v>
          </cell>
          <cell r="G349" t="str">
            <v>06/02/2026</v>
          </cell>
          <cell r="H349" t="str">
            <v>08004499</v>
          </cell>
          <cell r="I349" t="str">
            <v>AL BARAKA BANK (PAKISTAN) LIMITED</v>
          </cell>
          <cell r="J349" t="str">
            <v>BANK</v>
          </cell>
          <cell r="K349" t="str">
            <v xml:space="preserve">
HPA M/s. Al Baraka Bank (Pakistan) Limited 
Hpa M/S. Al Baraka Bank (Pakistan) Limited 
User: Waqas  Khan</v>
          </cell>
          <cell r="L349" t="str">
            <v>D</v>
          </cell>
          <cell r="M349" t="str">
            <v>09000221</v>
          </cell>
          <cell r="N349">
            <v>100</v>
          </cell>
          <cell r="P349" t="str">
            <v>Automan Near Govermamant Pimary School Sohan Islamabad</v>
          </cell>
          <cell r="Q349" t="str">
            <v>11000003</v>
          </cell>
          <cell r="R349" t="str">
            <v>SUZUKI ALTO VXR</v>
          </cell>
          <cell r="S349" t="str">
            <v>2024</v>
          </cell>
          <cell r="T349" t="str">
            <v>BDE-196</v>
          </cell>
          <cell r="U349" t="str">
            <v>290047</v>
          </cell>
          <cell r="V349" t="str">
            <v>1190074</v>
          </cell>
          <cell r="W349" t="str">
            <v>05-feb-2029</v>
          </cell>
          <cell r="Y349">
            <v>2519100</v>
          </cell>
          <cell r="Z349">
            <v>43433</v>
          </cell>
          <cell r="AA349">
            <v>50382</v>
          </cell>
        </row>
        <row r="350">
          <cell r="B350" t="str">
            <v>KHI/HO/D/MO/PC COMP/C/107407/18/02/2025</v>
          </cell>
          <cell r="D350" t="str">
            <v>REN</v>
          </cell>
          <cell r="E350" t="str">
            <v>17/02/25</v>
          </cell>
          <cell r="F350" t="str">
            <v>22/02/2025</v>
          </cell>
          <cell r="G350" t="str">
            <v>21/02/2026</v>
          </cell>
          <cell r="H350" t="str">
            <v>08004499</v>
          </cell>
          <cell r="I350" t="str">
            <v>AL BARAKA BANK (PAKISTAN) LIMITED</v>
          </cell>
          <cell r="J350" t="str">
            <v>BANK</v>
          </cell>
          <cell r="K350" t="str">
            <v xml:space="preserve">
HPA M/s. Al Baraka Bank (Pakistan) Limited 
Hpa M/S. Al Baraka Bank (Pakistan) Limited 
User: Muhammad  Owais</v>
          </cell>
          <cell r="L350" t="str">
            <v>D</v>
          </cell>
          <cell r="M350" t="str">
            <v>09000221</v>
          </cell>
          <cell r="N350">
            <v>100</v>
          </cell>
          <cell r="O350" t="str">
            <v>KARACHI</v>
          </cell>
          <cell r="P350" t="str">
            <v>H No 27 National Housing Scheme 01 Adyala Road Rawalpindi</v>
          </cell>
          <cell r="Q350" t="str">
            <v>11000003</v>
          </cell>
          <cell r="R350" t="str">
            <v>SUZUKI ALTO</v>
          </cell>
          <cell r="S350" t="str">
            <v>2024</v>
          </cell>
          <cell r="T350" t="str">
            <v>BDS-163</v>
          </cell>
          <cell r="U350" t="str">
            <v>R298495</v>
          </cell>
          <cell r="V350" t="str">
            <v>1198475</v>
          </cell>
          <cell r="W350" t="str">
            <v>05-mar-2029</v>
          </cell>
          <cell r="Y350">
            <v>2350800</v>
          </cell>
          <cell r="Z350">
            <v>40531</v>
          </cell>
          <cell r="AA350">
            <v>47016</v>
          </cell>
        </row>
        <row r="351">
          <cell r="B351" t="str">
            <v>KHI/HO/D/MO/PC COMP/C/107407/19/02/2025</v>
          </cell>
          <cell r="D351" t="str">
            <v>REN</v>
          </cell>
          <cell r="E351" t="str">
            <v>17/02/25</v>
          </cell>
          <cell r="F351" t="str">
            <v>23/02/2025</v>
          </cell>
          <cell r="G351" t="str">
            <v>22/02/2026</v>
          </cell>
          <cell r="H351" t="str">
            <v>08004499</v>
          </cell>
          <cell r="I351" t="str">
            <v>AL BARAKA BANK (PAKISTAN) LIMITED</v>
          </cell>
          <cell r="J351" t="str">
            <v>BANK</v>
          </cell>
          <cell r="K351" t="str">
            <v xml:space="preserve">
HPA M/s. Al Baraka Bank (Pakistan) Limited 
Hpa M/S. Al Baraka Bank (Pakistan) Limited 
User: Ahmed  Hassan</v>
          </cell>
          <cell r="L351" t="str">
            <v>D</v>
          </cell>
          <cell r="M351" t="str">
            <v>09000221</v>
          </cell>
          <cell r="N351">
            <v>100</v>
          </cell>
          <cell r="P351" t="str">
            <v>H No 31 Street 39 Z Block DHA Phase 3 Lahore</v>
          </cell>
          <cell r="Q351" t="str">
            <v>11000003</v>
          </cell>
          <cell r="R351" t="str">
            <v>HONDA CIVIC</v>
          </cell>
          <cell r="S351" t="str">
            <v>2017</v>
          </cell>
          <cell r="T351" t="str">
            <v>AFH-735</v>
          </cell>
          <cell r="U351" t="str">
            <v>12922861</v>
          </cell>
          <cell r="V351" t="str">
            <v>HR026248</v>
          </cell>
          <cell r="W351" t="str">
            <v>05-mar-2027</v>
          </cell>
          <cell r="Y351">
            <v>3600000</v>
          </cell>
          <cell r="Z351">
            <v>46551</v>
          </cell>
          <cell r="AA351">
            <v>54000</v>
          </cell>
        </row>
        <row r="352">
          <cell r="B352" t="str">
            <v>KHI/HO/D/MO/PC COMP/C/107407/20/02/2025</v>
          </cell>
          <cell r="D352" t="str">
            <v>REN</v>
          </cell>
          <cell r="E352" t="str">
            <v>17/02/25</v>
          </cell>
          <cell r="F352" t="str">
            <v>26/02/2025</v>
          </cell>
          <cell r="G352" t="str">
            <v>25/02/2026</v>
          </cell>
          <cell r="H352" t="str">
            <v>08004499</v>
          </cell>
          <cell r="I352" t="str">
            <v>AL BARAKA BANK (PAKISTAN) LIMITED</v>
          </cell>
          <cell r="J352" t="str">
            <v>BANK</v>
          </cell>
          <cell r="K352" t="str">
            <v xml:space="preserve">
HPA M/s. Al Baraka Bank (Pakistan) Limited 
Hpa M/S. Al Baraka Bank (Pakistan) Limited 
User: Shabbir   Rafique</v>
          </cell>
          <cell r="L352" t="str">
            <v>D</v>
          </cell>
          <cell r="M352" t="str">
            <v>09000221</v>
          </cell>
          <cell r="N352">
            <v>100</v>
          </cell>
          <cell r="O352" t="str">
            <v>KARACHI</v>
          </cell>
          <cell r="P352" t="str">
            <v>PO Thokar Niaz Baig Gopi Ray Teh Distr Lahore</v>
          </cell>
          <cell r="Q352" t="str">
            <v>11000003</v>
          </cell>
          <cell r="R352" t="str">
            <v>SUZUKI ALTO VXL AGS E-2</v>
          </cell>
          <cell r="S352" t="str">
            <v>2019</v>
          </cell>
          <cell r="T352" t="str">
            <v>LE-20-7633</v>
          </cell>
          <cell r="U352" t="str">
            <v>R122219</v>
          </cell>
          <cell r="V352" t="str">
            <v>1022230</v>
          </cell>
          <cell r="W352" t="str">
            <v>05-mar-2029</v>
          </cell>
          <cell r="Y352">
            <v>1980000</v>
          </cell>
          <cell r="Z352">
            <v>34138</v>
          </cell>
          <cell r="AA352">
            <v>39600</v>
          </cell>
        </row>
        <row r="353">
          <cell r="B353" t="str">
            <v>KHI/HO/D/MO/PC COMP/C/107407/21/02/2025</v>
          </cell>
          <cell r="D353" t="str">
            <v>REN</v>
          </cell>
          <cell r="E353" t="str">
            <v>17/02/25</v>
          </cell>
          <cell r="F353" t="str">
            <v>27/02/2025</v>
          </cell>
          <cell r="G353" t="str">
            <v>26/02/2026</v>
          </cell>
          <cell r="H353" t="str">
            <v>08004499</v>
          </cell>
          <cell r="I353" t="str">
            <v>AL BARAKA BANK (PAKISTAN) LIMITED</v>
          </cell>
          <cell r="J353" t="str">
            <v>BANK</v>
          </cell>
          <cell r="K353" t="str">
            <v xml:space="preserve">
HPA M/s. Al Baraka Bank (Pakistan) Limited 
Hpa M/S. Al Baraka Bank (Pakistan) Limited 
User: Ahmad Ali Shoukat</v>
          </cell>
          <cell r="L353" t="str">
            <v>D</v>
          </cell>
          <cell r="M353" t="str">
            <v>09000221</v>
          </cell>
          <cell r="N353">
            <v>100</v>
          </cell>
          <cell r="O353" t="str">
            <v>KARACHI</v>
          </cell>
          <cell r="P353" t="str">
            <v>H  # E-142-A Madina Chowk Qainchi Ammar Siddhu Lahore</v>
          </cell>
          <cell r="Q353" t="str">
            <v>11000003</v>
          </cell>
          <cell r="R353" t="str">
            <v>HONDA Civic CVT Oriel NAV</v>
          </cell>
          <cell r="S353" t="str">
            <v>2018</v>
          </cell>
          <cell r="T353" t="str">
            <v>LE-18A-8619</v>
          </cell>
          <cell r="U353" t="str">
            <v>Z12938970</v>
          </cell>
          <cell r="V353" t="str">
            <v>R042511</v>
          </cell>
          <cell r="W353" t="str">
            <v>05-mar-2027</v>
          </cell>
          <cell r="Y353">
            <v>4680000</v>
          </cell>
          <cell r="Z353">
            <v>60517</v>
          </cell>
          <cell r="AA353">
            <v>70200</v>
          </cell>
        </row>
        <row r="354">
          <cell r="B354" t="str">
            <v>KHI/HO/D/MO/PC COMP/C/107407/22/02/2025</v>
          </cell>
          <cell r="D354" t="str">
            <v>REN</v>
          </cell>
          <cell r="E354" t="str">
            <v>17/02/25</v>
          </cell>
          <cell r="F354" t="str">
            <v>27/02/2025</v>
          </cell>
          <cell r="G354" t="str">
            <v>26/02/2026</v>
          </cell>
          <cell r="H354" t="str">
            <v>08004499</v>
          </cell>
          <cell r="I354" t="str">
            <v>AL BARAKA BANK (PAKISTAN) LIMITED</v>
          </cell>
          <cell r="J354" t="str">
            <v>BANK</v>
          </cell>
          <cell r="K354" t="str">
            <v xml:space="preserve">
HPA M/s. Al Baraka Bank (Pakistan) Limited 
Hpa M/S. Al Baraka Bank (Pakistan) Limited 
User: Muhammad  Shehroz</v>
          </cell>
          <cell r="L354" t="str">
            <v>D</v>
          </cell>
          <cell r="M354" t="str">
            <v>09000221</v>
          </cell>
          <cell r="N354">
            <v>100</v>
          </cell>
          <cell r="O354" t="str">
            <v>KARACHI</v>
          </cell>
          <cell r="P354" t="str">
            <v>H No 220 F2 Wapda Town Lahore</v>
          </cell>
          <cell r="Q354" t="str">
            <v>11000003</v>
          </cell>
          <cell r="R354" t="str">
            <v>SUZUKI CULTUS AGS</v>
          </cell>
          <cell r="S354" t="str">
            <v>2020</v>
          </cell>
          <cell r="T354" t="str">
            <v>AAH-026</v>
          </cell>
          <cell r="U354" t="str">
            <v>PK10K161367</v>
          </cell>
          <cell r="V354" t="str">
            <v>10061355</v>
          </cell>
          <cell r="W354" t="str">
            <v>05-mar-2029</v>
          </cell>
          <cell r="Y354">
            <v>2677500</v>
          </cell>
          <cell r="Z354">
            <v>46163</v>
          </cell>
          <cell r="AA354">
            <v>53550</v>
          </cell>
        </row>
        <row r="355">
          <cell r="B355" t="str">
            <v>KHI/HO/D/MO/PC COMP/C/107407/23/02/2025</v>
          </cell>
          <cell r="D355" t="str">
            <v>REN</v>
          </cell>
          <cell r="E355" t="str">
            <v>17/02/25</v>
          </cell>
          <cell r="F355" t="str">
            <v>27/02/2025</v>
          </cell>
          <cell r="G355" t="str">
            <v>26/02/2026</v>
          </cell>
          <cell r="H355" t="str">
            <v>08004499</v>
          </cell>
          <cell r="I355" t="str">
            <v>AL BARAKA BANK (PAKISTAN) LIMITED</v>
          </cell>
          <cell r="J355" t="str">
            <v>BANK</v>
          </cell>
          <cell r="K355" t="str">
            <v xml:space="preserve">
HPA M/s. Al Baraka Bank (Pakistan) Limited 
Hpa M/S. Al Baraka Bank (Pakistan) Limited 
User: Rohail  Riaz  Khan</v>
          </cell>
          <cell r="L355" t="str">
            <v>D</v>
          </cell>
          <cell r="M355" t="str">
            <v>09000221</v>
          </cell>
          <cell r="N355">
            <v>100</v>
          </cell>
          <cell r="P355" t="str">
            <v>457 A Jahanzaib Block Allama Iqbal Town Lahore</v>
          </cell>
          <cell r="Q355" t="str">
            <v>11000003</v>
          </cell>
          <cell r="R355" t="str">
            <v>SUZUKI ALTO</v>
          </cell>
          <cell r="S355" t="str">
            <v>2024</v>
          </cell>
          <cell r="T355" t="str">
            <v>ARG-720</v>
          </cell>
          <cell r="U355" t="str">
            <v>293461</v>
          </cell>
          <cell r="V355" t="str">
            <v>1193450</v>
          </cell>
          <cell r="W355" t="str">
            <v>05-apr-2029</v>
          </cell>
          <cell r="Y355">
            <v>2436300</v>
          </cell>
          <cell r="Z355">
            <v>42005</v>
          </cell>
          <cell r="AA355">
            <v>48726</v>
          </cell>
        </row>
        <row r="356">
          <cell r="B356" t="str">
            <v>KHI/HO/D/MO/PC COMP/C/107407/24/02/2025</v>
          </cell>
          <cell r="D356" t="str">
            <v>REN</v>
          </cell>
          <cell r="E356" t="str">
            <v>17/02/25</v>
          </cell>
          <cell r="F356" t="str">
            <v>27/02/2025</v>
          </cell>
          <cell r="G356" t="str">
            <v>26/02/2026</v>
          </cell>
          <cell r="H356" t="str">
            <v>08004499</v>
          </cell>
          <cell r="I356" t="str">
            <v>AL BARAKA BANK (PAKISTAN) LIMITED</v>
          </cell>
          <cell r="J356" t="str">
            <v>BANK</v>
          </cell>
          <cell r="K356" t="str">
            <v xml:space="preserve">
HPA M/s. Al Baraka Bank (Pakistan) Limited 
Hpa M/S. Al Baraka Bank (Pakistan) Limited 
User: Abdul  Waheed</v>
          </cell>
          <cell r="L356" t="str">
            <v>D</v>
          </cell>
          <cell r="M356" t="str">
            <v>09000221</v>
          </cell>
          <cell r="N356">
            <v>100</v>
          </cell>
          <cell r="P356" t="str">
            <v>H No AS -18 Green Park City Qaidabad Landhi Karachi</v>
          </cell>
          <cell r="Q356" t="str">
            <v>11000003</v>
          </cell>
          <cell r="R356" t="str">
            <v>HONDA BRV - S</v>
          </cell>
          <cell r="S356" t="str">
            <v>2021</v>
          </cell>
          <cell r="T356" t="str">
            <v>BH-9397</v>
          </cell>
          <cell r="U356" t="str">
            <v>14803503</v>
          </cell>
          <cell r="V356" t="str">
            <v>R020205</v>
          </cell>
          <cell r="W356" t="str">
            <v>06-mar-2028</v>
          </cell>
          <cell r="Y356">
            <v>4680000</v>
          </cell>
          <cell r="Z356">
            <v>60517</v>
          </cell>
          <cell r="AA356">
            <v>70200</v>
          </cell>
        </row>
        <row r="357">
          <cell r="B357" t="str">
            <v>KHI/HO/D/MO/PC COMP/C/107407/25/02/2025</v>
          </cell>
          <cell r="D357" t="str">
            <v>REN</v>
          </cell>
          <cell r="E357" t="str">
            <v>17/02/25</v>
          </cell>
          <cell r="F357" t="str">
            <v>28/02/2025</v>
          </cell>
          <cell r="G357" t="str">
            <v>27/02/2026</v>
          </cell>
          <cell r="H357" t="str">
            <v>08004499</v>
          </cell>
          <cell r="I357" t="str">
            <v>AL BARAKA BANK (PAKISTAN) LIMITED</v>
          </cell>
          <cell r="J357" t="str">
            <v>BANK</v>
          </cell>
          <cell r="K357" t="str">
            <v xml:space="preserve">
HPA M/s. Al Baraka Bank (Pakistan) Limited 
Hpa M/S. Al Baraka Bank (Pakistan) Limited 
User: Muhammad  Tuqir</v>
          </cell>
          <cell r="L357" t="str">
            <v>D</v>
          </cell>
          <cell r="M357" t="str">
            <v>09000221</v>
          </cell>
          <cell r="N357">
            <v>100</v>
          </cell>
          <cell r="O357" t="str">
            <v>KARACHI</v>
          </cell>
          <cell r="P357" t="str">
            <v>Al Ahmed Colony Metro Politen Corporation Part Dakkhana Allama Iqbal Town Lahore</v>
          </cell>
          <cell r="Q357" t="str">
            <v>11000003</v>
          </cell>
          <cell r="R357" t="str">
            <v>SUZUKI ALTO VX</v>
          </cell>
          <cell r="S357" t="str">
            <v>2024</v>
          </cell>
          <cell r="T357" t="str">
            <v>ARH-745</v>
          </cell>
          <cell r="U357" t="str">
            <v>6R298269</v>
          </cell>
          <cell r="V357" t="str">
            <v>1198102</v>
          </cell>
          <cell r="W357" t="str">
            <v>05-apr-2027</v>
          </cell>
          <cell r="Y357">
            <v>2097900</v>
          </cell>
          <cell r="Z357">
            <v>36170</v>
          </cell>
          <cell r="AA357">
            <v>41958</v>
          </cell>
        </row>
        <row r="358">
          <cell r="B358" t="str">
            <v>KHI/HO/D/MO/PC COMP/C/107407/26/02/2025</v>
          </cell>
          <cell r="D358" t="str">
            <v>REN</v>
          </cell>
          <cell r="E358" t="str">
            <v>17/02/25</v>
          </cell>
          <cell r="F358" t="str">
            <v>09/02/2025</v>
          </cell>
          <cell r="G358" t="str">
            <v>08/02/2026</v>
          </cell>
          <cell r="H358" t="str">
            <v>08004499</v>
          </cell>
          <cell r="I358" t="str">
            <v>AL BARAKA BANK (PAKISTAN) LIMITED</v>
          </cell>
          <cell r="J358" t="str">
            <v>BANK</v>
          </cell>
          <cell r="K358" t="str">
            <v xml:space="preserve">
HPA M/s. Al Baraka Bank (Pakistan) Limited 
Hpa M/S. Al Baraka Bank (Pakistan) Limited 
User: Syed Tahir Mehmood  Shah</v>
          </cell>
          <cell r="L358" t="str">
            <v>D</v>
          </cell>
          <cell r="M358" t="str">
            <v>09000221</v>
          </cell>
          <cell r="N358">
            <v>100</v>
          </cell>
          <cell r="O358" t="str">
            <v>KARACHI</v>
          </cell>
          <cell r="P358" t="str">
            <v>H # 2 Street 2 Rehmat Park Near 80 ft Road Marghzar Colony Lahore</v>
          </cell>
          <cell r="Q358" t="str">
            <v>11000003</v>
          </cell>
          <cell r="R358" t="str">
            <v>TOYOTA COROLLA ALTIS VVT-</v>
          </cell>
          <cell r="S358" t="str">
            <v>2017</v>
          </cell>
          <cell r="T358" t="str">
            <v>LEB-17A-2255</v>
          </cell>
          <cell r="U358" t="str">
            <v>Q040473</v>
          </cell>
          <cell r="V358" t="str">
            <v>R6017957</v>
          </cell>
          <cell r="W358" t="str">
            <v>05-feb-2027</v>
          </cell>
          <cell r="Y358">
            <v>3960000</v>
          </cell>
          <cell r="Z358">
            <v>51207</v>
          </cell>
          <cell r="AA358">
            <v>59400</v>
          </cell>
        </row>
        <row r="359">
          <cell r="B359" t="str">
            <v>KHI/HO/D/MO/PC COMP/C/107407/27/02/2025</v>
          </cell>
          <cell r="D359" t="str">
            <v>REN</v>
          </cell>
          <cell r="E359" t="str">
            <v>17/02/25</v>
          </cell>
          <cell r="F359" t="str">
            <v>28/02/2025</v>
          </cell>
          <cell r="G359" t="str">
            <v>27/02/2026</v>
          </cell>
          <cell r="H359" t="str">
            <v>08004499</v>
          </cell>
          <cell r="I359" t="str">
            <v>AL BARAKA BANK (PAKISTAN) LIMITED</v>
          </cell>
          <cell r="J359" t="str">
            <v>BANK</v>
          </cell>
          <cell r="K359" t="str">
            <v xml:space="preserve">
HPA M/s. Al Baraka Bank (Pakistan) Limited 
Hpa M/S. Al Baraka Bank (Pakistan) Limited 
User: Muhammad Mateen Ghani</v>
          </cell>
          <cell r="L359" t="str">
            <v>D</v>
          </cell>
          <cell r="M359" t="str">
            <v>09000221</v>
          </cell>
          <cell r="N359">
            <v>100</v>
          </cell>
          <cell r="O359" t="str">
            <v>KARACHI</v>
          </cell>
          <cell r="P359" t="str">
            <v>Masoom Shah Road Silver Ka Karhana Writer Colony 1 Multan</v>
          </cell>
          <cell r="Q359" t="str">
            <v>11000003</v>
          </cell>
          <cell r="R359" t="str">
            <v>SUZUKI WAGON R VXL</v>
          </cell>
          <cell r="S359" t="str">
            <v>2015</v>
          </cell>
          <cell r="T359" t="str">
            <v>MNC-15-829</v>
          </cell>
          <cell r="U359" t="str">
            <v>PK10B106651</v>
          </cell>
          <cell r="V359" t="str">
            <v>PK10006680</v>
          </cell>
          <cell r="W359" t="str">
            <v>05-mar-2027</v>
          </cell>
          <cell r="Y359">
            <v>1620000</v>
          </cell>
          <cell r="Z359">
            <v>27931</v>
          </cell>
          <cell r="AA359">
            <v>32400</v>
          </cell>
        </row>
        <row r="360">
          <cell r="B360" t="str">
            <v>KHI/HO/D/MO/PC COMP/C/107407/28/02/2025</v>
          </cell>
          <cell r="D360" t="str">
            <v>REN</v>
          </cell>
          <cell r="E360" t="str">
            <v>17/02/25</v>
          </cell>
          <cell r="F360" t="str">
            <v>28/02/2025</v>
          </cell>
          <cell r="G360" t="str">
            <v>27/02/2026</v>
          </cell>
          <cell r="H360" t="str">
            <v>08004499</v>
          </cell>
          <cell r="I360" t="str">
            <v>AL BARAKA BANK (PAKISTAN) LIMITED</v>
          </cell>
          <cell r="J360" t="str">
            <v>BANK</v>
          </cell>
          <cell r="K360" t="str">
            <v xml:space="preserve">
HPA M/s. Al Baraka Bank (Pakistan) Limited 
Hpa M/S. Al Baraka Bank (Pakistan) Limited 
User: Aqeel Ahmed Abbasi</v>
          </cell>
          <cell r="L360" t="str">
            <v>D</v>
          </cell>
          <cell r="M360" t="str">
            <v>09000221</v>
          </cell>
          <cell r="N360">
            <v>100</v>
          </cell>
          <cell r="O360" t="str">
            <v>KARACHI</v>
          </cell>
          <cell r="P360" t="str">
            <v>H NO KK 311 Street 09 Farooq E Azam Road Near Sadiqabad Rawalpindi</v>
          </cell>
          <cell r="Q360" t="str">
            <v>11000003</v>
          </cell>
          <cell r="R360" t="str">
            <v>SUZUKI CULTUS</v>
          </cell>
          <cell r="S360" t="str">
            <v>2019</v>
          </cell>
          <cell r="T360" t="str">
            <v>AMV-702</v>
          </cell>
          <cell r="U360" t="str">
            <v>K139971</v>
          </cell>
          <cell r="V360" t="str">
            <v>039978</v>
          </cell>
          <cell r="W360" t="str">
            <v>06-mar-2028</v>
          </cell>
          <cell r="Y360">
            <v>2340000</v>
          </cell>
          <cell r="Z360">
            <v>40345</v>
          </cell>
          <cell r="AA360">
            <v>46800</v>
          </cell>
        </row>
        <row r="361">
          <cell r="B361" t="str">
            <v>KHI/HO/D/MO/PC COMP/C/107407/29/02/2025</v>
          </cell>
          <cell r="D361" t="str">
            <v>REN</v>
          </cell>
          <cell r="E361" t="str">
            <v>17/02/25</v>
          </cell>
          <cell r="F361" t="str">
            <v>28/02/2025</v>
          </cell>
          <cell r="G361" t="str">
            <v>27/02/2026</v>
          </cell>
          <cell r="H361" t="str">
            <v>08004499</v>
          </cell>
          <cell r="I361" t="str">
            <v>AL BARAKA BANK (PAKISTAN) LIMITED</v>
          </cell>
          <cell r="J361" t="str">
            <v>BANK</v>
          </cell>
          <cell r="K361" t="str">
            <v xml:space="preserve">
HPA M/s. Al Baraka Bank (Pakistan) Limited 
Hpa M/S. Al Baraka Bank (Pakistan) Limited 
User: Mariam  Farah</v>
          </cell>
          <cell r="L361" t="str">
            <v>D</v>
          </cell>
          <cell r="M361" t="str">
            <v>09000221</v>
          </cell>
          <cell r="N361">
            <v>100</v>
          </cell>
          <cell r="O361" t="str">
            <v>KARACHI</v>
          </cell>
          <cell r="P361" t="str">
            <v>H No 169 St No 3 Warispura Data Chowk Faisalabad</v>
          </cell>
          <cell r="Q361" t="str">
            <v>11000003</v>
          </cell>
          <cell r="R361" t="str">
            <v>FAW V-2</v>
          </cell>
          <cell r="S361" t="str">
            <v>2015</v>
          </cell>
          <cell r="T361" t="str">
            <v>LED-16-5817</v>
          </cell>
          <cell r="U361" t="str">
            <v>HE300551</v>
          </cell>
          <cell r="V361" t="str">
            <v>LFP72APC7E5B36623</v>
          </cell>
          <cell r="W361" t="str">
            <v>05-mar-2027</v>
          </cell>
          <cell r="Y361">
            <v>1170000</v>
          </cell>
          <cell r="Z361">
            <v>20172</v>
          </cell>
          <cell r="AA361">
            <v>23400</v>
          </cell>
        </row>
        <row r="362">
          <cell r="B362" t="str">
            <v>KHI/HO/D/MO/PC COMP/C/107407/30/02/2025</v>
          </cell>
          <cell r="D362" t="str">
            <v>REN</v>
          </cell>
          <cell r="E362" t="str">
            <v>17/02/25</v>
          </cell>
          <cell r="F362" t="str">
            <v>28/02/2025</v>
          </cell>
          <cell r="G362" t="str">
            <v>27/02/2026</v>
          </cell>
          <cell r="H362" t="str">
            <v>08004499</v>
          </cell>
          <cell r="I362" t="str">
            <v>AL BARAKA BANK (PAKISTAN) LIMITED</v>
          </cell>
          <cell r="J362" t="str">
            <v>BANK</v>
          </cell>
          <cell r="K362" t="str">
            <v xml:space="preserve">
HPA M/s. Al Baraka Bank (Pakistan) Limited 
Hpa M/S. Al Baraka Bank (Pakistan) Limited 
User: Sehrish  Khizar</v>
          </cell>
          <cell r="L362" t="str">
            <v>D</v>
          </cell>
          <cell r="M362" t="str">
            <v>09000221</v>
          </cell>
          <cell r="N362">
            <v>100</v>
          </cell>
          <cell r="P362" t="str">
            <v>H No 1251 Street 174 Sector G-11 / I Islamabad</v>
          </cell>
          <cell r="Q362" t="str">
            <v>11000003</v>
          </cell>
          <cell r="R362" t="str">
            <v>TOYOTA COROLLA</v>
          </cell>
          <cell r="S362" t="str">
            <v>2015</v>
          </cell>
          <cell r="T362" t="str">
            <v>BEN-885</v>
          </cell>
          <cell r="U362" t="str">
            <v>3493443</v>
          </cell>
          <cell r="V362" t="str">
            <v>4052991</v>
          </cell>
          <cell r="W362" t="str">
            <v>06-mar-2028</v>
          </cell>
          <cell r="Y362">
            <v>2700000</v>
          </cell>
          <cell r="Z362">
            <v>46551</v>
          </cell>
          <cell r="AA362">
            <v>54000</v>
          </cell>
        </row>
        <row r="363">
          <cell r="B363" t="str">
            <v>KHI/HO/D/MO/PC COMP/C/107407/31/02/2025</v>
          </cell>
          <cell r="D363" t="str">
            <v>REN</v>
          </cell>
          <cell r="E363" t="str">
            <v>17/02/25</v>
          </cell>
          <cell r="F363" t="str">
            <v>28/02/2025</v>
          </cell>
          <cell r="G363" t="str">
            <v>27/02/2026</v>
          </cell>
          <cell r="H363" t="str">
            <v>08004499</v>
          </cell>
          <cell r="I363" t="str">
            <v>AL BARAKA BANK (PAKISTAN) LIMITED</v>
          </cell>
          <cell r="J363" t="str">
            <v>BANK</v>
          </cell>
          <cell r="K363" t="str">
            <v xml:space="preserve">
HPA M/s. Al Baraka Bank (Pakistan) Limited 
Hpa M/S. Al Baraka Bank (Pakistan) Limited 
User: Furqan Akhtar Jilani</v>
          </cell>
          <cell r="L363" t="str">
            <v>D</v>
          </cell>
          <cell r="M363" t="str">
            <v>09000221</v>
          </cell>
          <cell r="N363">
            <v>100</v>
          </cell>
          <cell r="P363" t="str">
            <v>H No R- 478 /15 Block 5 FB Area Karachi</v>
          </cell>
          <cell r="Q363" t="str">
            <v>11000003</v>
          </cell>
          <cell r="R363" t="str">
            <v>SUZUKI SWIFT RS DLX</v>
          </cell>
          <cell r="S363" t="str">
            <v>2017</v>
          </cell>
          <cell r="T363" t="str">
            <v>BLB-617</v>
          </cell>
          <cell r="U363" t="str">
            <v>13038362</v>
          </cell>
          <cell r="V363" t="str">
            <v>10038368</v>
          </cell>
          <cell r="W363" t="str">
            <v>05-mar-2027</v>
          </cell>
          <cell r="Y363">
            <v>2250000</v>
          </cell>
          <cell r="Z363">
            <v>38793</v>
          </cell>
          <cell r="AA363">
            <v>45000</v>
          </cell>
        </row>
        <row r="364">
          <cell r="B364" t="str">
            <v>KHI/HO/D/MO/PC COMP/C/107407/32/02/2025</v>
          </cell>
          <cell r="D364" t="str">
            <v>REN</v>
          </cell>
          <cell r="E364" t="str">
            <v>17/02/25</v>
          </cell>
          <cell r="F364" t="str">
            <v>28/02/2025</v>
          </cell>
          <cell r="G364" t="str">
            <v>27/02/2026</v>
          </cell>
          <cell r="H364" t="str">
            <v>08004499</v>
          </cell>
          <cell r="I364" t="str">
            <v>AL BARAKA BANK (PAKISTAN) LIMITED</v>
          </cell>
          <cell r="J364" t="str">
            <v>BANK</v>
          </cell>
          <cell r="K364" t="str">
            <v xml:space="preserve">
HPA M/s. Al Baraka Bank (Pakistan) Limited 
Hpa M/S. Al Baraka Bank (Pakistan) Limited 
User: Sajjad   Ahmed</v>
          </cell>
          <cell r="L364" t="str">
            <v>D</v>
          </cell>
          <cell r="M364" t="str">
            <v>09000221</v>
          </cell>
          <cell r="N364">
            <v>100</v>
          </cell>
          <cell r="O364" t="str">
            <v>KARACHI</v>
          </cell>
          <cell r="P364" t="str">
            <v>People Colony H No 06 St 01 Ferozwala Shadara</v>
          </cell>
          <cell r="Q364" t="str">
            <v>11000003</v>
          </cell>
          <cell r="R364" t="str">
            <v>SUZUKI ALTO VXR</v>
          </cell>
          <cell r="S364" t="str">
            <v>2021</v>
          </cell>
          <cell r="T364" t="str">
            <v>ALQ-623</v>
          </cell>
          <cell r="U364" t="str">
            <v>R232224</v>
          </cell>
          <cell r="V364" t="str">
            <v>H1132221</v>
          </cell>
          <cell r="W364" t="str">
            <v>05-mar-2027</v>
          </cell>
          <cell r="Y364">
            <v>2160000</v>
          </cell>
          <cell r="Z364">
            <v>37242</v>
          </cell>
          <cell r="AA364">
            <v>43200</v>
          </cell>
        </row>
        <row r="365">
          <cell r="B365" t="str">
            <v>KHI/HO/D/MO/PC COMP/C/107407/33/02/2025</v>
          </cell>
          <cell r="D365" t="str">
            <v>REN</v>
          </cell>
          <cell r="E365" t="str">
            <v>17/02/25</v>
          </cell>
          <cell r="F365" t="str">
            <v>28/02/2025</v>
          </cell>
          <cell r="G365" t="str">
            <v>27/02/2026</v>
          </cell>
          <cell r="H365" t="str">
            <v>08004499</v>
          </cell>
          <cell r="I365" t="str">
            <v>AL BARAKA BANK (PAKISTAN) LIMITED</v>
          </cell>
          <cell r="J365" t="str">
            <v>BANK</v>
          </cell>
          <cell r="K365" t="str">
            <v xml:space="preserve">
HPA M/s. Al Baraka Bank (Pakistan) Limited 
Hpa M/S. Al Baraka Bank (Pakistan) Limited 
User: Muhammad   Farooq</v>
          </cell>
          <cell r="L365" t="str">
            <v>D</v>
          </cell>
          <cell r="M365" t="str">
            <v>09000221</v>
          </cell>
          <cell r="N365">
            <v>100</v>
          </cell>
          <cell r="P365" t="str">
            <v>H No 2 St 6 Muhallah Raiway Stadium Garhi Shahu Lahore</v>
          </cell>
          <cell r="Q365" t="str">
            <v>11000003</v>
          </cell>
          <cell r="R365" t="str">
            <v>HONDA CIVIC</v>
          </cell>
          <cell r="S365" t="str">
            <v>2017</v>
          </cell>
          <cell r="T365" t="str">
            <v>LED-17-1283</v>
          </cell>
          <cell r="U365" t="str">
            <v>12911144</v>
          </cell>
          <cell r="V365" t="str">
            <v>HR014336</v>
          </cell>
          <cell r="W365" t="str">
            <v>05-mar-2027</v>
          </cell>
          <cell r="Y365">
            <v>4365000</v>
          </cell>
          <cell r="Z365">
            <v>56444</v>
          </cell>
          <cell r="AA365">
            <v>65475</v>
          </cell>
        </row>
        <row r="366">
          <cell r="B366" t="str">
            <v>KHI/HO/D/MO/PC COMP/C/107407/34/02/2025</v>
          </cell>
          <cell r="D366" t="str">
            <v>REN</v>
          </cell>
          <cell r="E366" t="str">
            <v>17/02/25</v>
          </cell>
          <cell r="F366" t="str">
            <v>28/02/2025</v>
          </cell>
          <cell r="G366" t="str">
            <v>27/02/2026</v>
          </cell>
          <cell r="H366" t="str">
            <v>08004499</v>
          </cell>
          <cell r="I366" t="str">
            <v>AL BARAKA BANK (PAKISTAN) LIMITED</v>
          </cell>
          <cell r="J366" t="str">
            <v>BANK</v>
          </cell>
          <cell r="K366" t="str">
            <v xml:space="preserve">
HPA M/s. Al Baraka Bank (Pakistan) Limited 
Hpa M/S. Al Baraka Bank (Pakistan) Limited 
User: Malik Muhammad Ahsan Sadique</v>
          </cell>
          <cell r="L366" t="str">
            <v>D</v>
          </cell>
          <cell r="M366" t="str">
            <v>09000221</v>
          </cell>
          <cell r="N366">
            <v>100</v>
          </cell>
          <cell r="O366" t="str">
            <v>KARACHI</v>
          </cell>
          <cell r="P366" t="str">
            <v>H No G682 Street 7 Al Rehman Garden Phase 2 Sharak Pur Road Lahore</v>
          </cell>
          <cell r="Q366" t="str">
            <v>11000003</v>
          </cell>
          <cell r="R366" t="str">
            <v>HONDA BRV - S</v>
          </cell>
          <cell r="S366" t="str">
            <v>2018</v>
          </cell>
          <cell r="T366" t="str">
            <v>LEE-18-6566</v>
          </cell>
          <cell r="U366" t="str">
            <v>Z13508646</v>
          </cell>
          <cell r="V366" t="str">
            <v>R008655</v>
          </cell>
          <cell r="W366" t="str">
            <v>06-mar-2028</v>
          </cell>
          <cell r="Y366">
            <v>3870000</v>
          </cell>
          <cell r="Z366">
            <v>50044</v>
          </cell>
          <cell r="AA366">
            <v>58050</v>
          </cell>
        </row>
        <row r="367">
          <cell r="B367" t="str">
            <v>KHI/HO/D/MO/PC COMP/C/107407/35/02/2025</v>
          </cell>
          <cell r="D367" t="str">
            <v>REN</v>
          </cell>
          <cell r="E367" t="str">
            <v>17/02/25</v>
          </cell>
          <cell r="F367" t="str">
            <v>28/02/2025</v>
          </cell>
          <cell r="G367" t="str">
            <v>27/02/2026</v>
          </cell>
          <cell r="H367" t="str">
            <v>08004499</v>
          </cell>
          <cell r="I367" t="str">
            <v>AL BARAKA BANK (PAKISTAN) LIMITED</v>
          </cell>
          <cell r="J367" t="str">
            <v>BANK</v>
          </cell>
          <cell r="K367" t="str">
            <v xml:space="preserve">
HPA M/s. Al Baraka Bank (Pakistan) Limited 
Hpa M/S. Al Baraka Bank (Pakistan) Limited 
User: Taimoor  Khan</v>
          </cell>
          <cell r="L367" t="str">
            <v>D</v>
          </cell>
          <cell r="M367" t="str">
            <v>09000221</v>
          </cell>
          <cell r="N367">
            <v>100</v>
          </cell>
          <cell r="P367" t="str">
            <v>H No 41 H4 Wapda Town Lahore</v>
          </cell>
          <cell r="Q367" t="str">
            <v>11000003</v>
          </cell>
          <cell r="R367" t="str">
            <v>SUZUKI CULTUS</v>
          </cell>
          <cell r="S367" t="str">
            <v>2018</v>
          </cell>
          <cell r="T367" t="str">
            <v>LEH-18-6332</v>
          </cell>
          <cell r="U367" t="str">
            <v>117944</v>
          </cell>
          <cell r="V367" t="str">
            <v>10017914</v>
          </cell>
          <cell r="W367" t="str">
            <v>05-mar-2029</v>
          </cell>
          <cell r="Y367">
            <v>2160000</v>
          </cell>
          <cell r="Z367">
            <v>37242</v>
          </cell>
          <cell r="AA367">
            <v>43200</v>
          </cell>
        </row>
        <row r="368">
          <cell r="B368" t="str">
            <v>KHI/HO/D/MO/PC COMP/C/107407/36/02/2025</v>
          </cell>
          <cell r="D368" t="str">
            <v>REN</v>
          </cell>
          <cell r="E368" t="str">
            <v>17/02/25</v>
          </cell>
          <cell r="F368" t="str">
            <v>09/02/2025</v>
          </cell>
          <cell r="G368" t="str">
            <v>08/02/2026</v>
          </cell>
          <cell r="H368" t="str">
            <v>08004499</v>
          </cell>
          <cell r="I368" t="str">
            <v>AL BARAKA BANK (PAKISTAN) LIMITED</v>
          </cell>
          <cell r="J368" t="str">
            <v>BANK</v>
          </cell>
          <cell r="K368" t="str">
            <v xml:space="preserve">
HPA M/s. Al Baraka Bank (Pakistan) Limited 
Hpa M/S. Al Baraka Bank (Pakistan) Limited 
User: Mateen  Akbar</v>
          </cell>
          <cell r="L368" t="str">
            <v>D</v>
          </cell>
          <cell r="M368" t="str">
            <v>09000221</v>
          </cell>
          <cell r="N368">
            <v>100</v>
          </cell>
          <cell r="O368" t="str">
            <v>KARACHI</v>
          </cell>
          <cell r="P368" t="str">
            <v>H # 13 Street 50-A Sanat Nagar Lahore</v>
          </cell>
          <cell r="Q368" t="str">
            <v>11000003</v>
          </cell>
          <cell r="R368" t="str">
            <v>TOYOTA Yaris ATIV X 1.5 (</v>
          </cell>
          <cell r="S368" t="str">
            <v>2022</v>
          </cell>
          <cell r="T368" t="str">
            <v>ABV 720</v>
          </cell>
          <cell r="U368" t="str">
            <v>2A18390</v>
          </cell>
          <cell r="V368" t="str">
            <v>9502991</v>
          </cell>
          <cell r="W368" t="str">
            <v>05-feb-2027</v>
          </cell>
          <cell r="Y368">
            <v>3510000</v>
          </cell>
          <cell r="Z368">
            <v>45388</v>
          </cell>
          <cell r="AA368">
            <v>52650</v>
          </cell>
        </row>
        <row r="369">
          <cell r="B369" t="str">
            <v>KHI/HO/D/MO/PC COMP/C/107407/37/02/2025</v>
          </cell>
          <cell r="D369" t="str">
            <v>REN</v>
          </cell>
          <cell r="E369" t="str">
            <v>17/02/25</v>
          </cell>
          <cell r="F369" t="str">
            <v>28/02/2025</v>
          </cell>
          <cell r="G369" t="str">
            <v>27/02/2026</v>
          </cell>
          <cell r="H369" t="str">
            <v>08004499</v>
          </cell>
          <cell r="I369" t="str">
            <v>AL BARAKA BANK (PAKISTAN) LIMITED</v>
          </cell>
          <cell r="J369" t="str">
            <v>BANK</v>
          </cell>
          <cell r="K369" t="str">
            <v xml:space="preserve">
HPA M/s. Al Baraka Bank (Pakistan) Limited 
Hpa M/S. Al Baraka Bank (Pakistan) Limited 
User: Muhammad Tahir Javed</v>
          </cell>
          <cell r="L369" t="str">
            <v>D</v>
          </cell>
          <cell r="M369" t="str">
            <v>09000221</v>
          </cell>
          <cell r="N369">
            <v>100</v>
          </cell>
          <cell r="O369" t="str">
            <v>KARACHI</v>
          </cell>
          <cell r="P369" t="str">
            <v>43- B City  Housing Sargodha Road Faisalabad</v>
          </cell>
          <cell r="Q369" t="str">
            <v>11000003</v>
          </cell>
          <cell r="R369" t="str">
            <v>SUZUKI CULTUS AGS</v>
          </cell>
          <cell r="S369" t="str">
            <v>2021</v>
          </cell>
          <cell r="T369" t="str">
            <v>ADW-088</v>
          </cell>
          <cell r="U369" t="str">
            <v>PK10K171094</v>
          </cell>
          <cell r="V369" t="str">
            <v>NF1AVK31H10071023</v>
          </cell>
          <cell r="W369" t="str">
            <v>05-mar-2026</v>
          </cell>
          <cell r="Y369">
            <v>3307500</v>
          </cell>
          <cell r="Z369">
            <v>42770</v>
          </cell>
          <cell r="AA369">
            <v>49613</v>
          </cell>
        </row>
        <row r="370">
          <cell r="B370" t="str">
            <v>KHI/HO/D/MO/PC COMP/C/107407/38/02/2025</v>
          </cell>
          <cell r="D370" t="str">
            <v>REN</v>
          </cell>
          <cell r="E370" t="str">
            <v>17/02/25</v>
          </cell>
          <cell r="F370" t="str">
            <v>28/02/2025</v>
          </cell>
          <cell r="G370" t="str">
            <v>27/02/2026</v>
          </cell>
          <cell r="H370" t="str">
            <v>08004499</v>
          </cell>
          <cell r="I370" t="str">
            <v>AL BARAKA BANK (PAKISTAN) LIMITED</v>
          </cell>
          <cell r="J370" t="str">
            <v>BANK</v>
          </cell>
          <cell r="K370" t="str">
            <v xml:space="preserve">
HPA M/s. Al Baraka Bank (Pakistan) Limited 
Hpa M/S. Al Baraka Bank (Pakistan) Limited 
User: Abdul   Salam</v>
          </cell>
          <cell r="L370" t="str">
            <v>D</v>
          </cell>
          <cell r="M370" t="str">
            <v>09000221</v>
          </cell>
          <cell r="N370">
            <v>100</v>
          </cell>
          <cell r="O370" t="str">
            <v>KARACHI</v>
          </cell>
          <cell r="P370" t="str">
            <v>Plot No 748 Saeedabad Baldia Town Sec-9 D Karachi</v>
          </cell>
          <cell r="Q370" t="str">
            <v>11000003</v>
          </cell>
          <cell r="R370" t="str">
            <v>TOYOTA COROLLA GLI A/T</v>
          </cell>
          <cell r="S370" t="str">
            <v>2019</v>
          </cell>
          <cell r="T370" t="str">
            <v>BPH-610</v>
          </cell>
          <cell r="U370" t="str">
            <v>Z547633</v>
          </cell>
          <cell r="V370" t="str">
            <v>4173376</v>
          </cell>
          <cell r="W370" t="str">
            <v>05-mar-2027</v>
          </cell>
          <cell r="Y370">
            <v>3690000</v>
          </cell>
          <cell r="Z370">
            <v>47716</v>
          </cell>
          <cell r="AA370">
            <v>55350</v>
          </cell>
        </row>
        <row r="371">
          <cell r="B371" t="str">
            <v>KHI/HO/D/MO/PC COMP/C/107407/39/02/2025</v>
          </cell>
          <cell r="D371" t="str">
            <v>REN</v>
          </cell>
          <cell r="E371" t="str">
            <v>17/02/25</v>
          </cell>
          <cell r="F371" t="str">
            <v>28/02/2025</v>
          </cell>
          <cell r="G371" t="str">
            <v>27/02/2026</v>
          </cell>
          <cell r="H371" t="str">
            <v>08004499</v>
          </cell>
          <cell r="I371" t="str">
            <v>AL BARAKA BANK (PAKISTAN) LIMITED</v>
          </cell>
          <cell r="J371" t="str">
            <v>BANK</v>
          </cell>
          <cell r="K371" t="str">
            <v xml:space="preserve">
HPA M/s. Al Baraka Bank (Pakistan) Limited 
Hpa M/S. Al Baraka Bank (Pakistan) Limited 
User: Hasna  Arshad</v>
          </cell>
          <cell r="L371" t="str">
            <v>D</v>
          </cell>
          <cell r="M371" t="str">
            <v>09000221</v>
          </cell>
          <cell r="N371">
            <v>100</v>
          </cell>
          <cell r="P371" t="str">
            <v>H No 1026 Bahria Town Phase V Road D Islamabad</v>
          </cell>
          <cell r="Q371" t="str">
            <v>11000003</v>
          </cell>
          <cell r="R371" t="str">
            <v>CHANGAN ALSVIN</v>
          </cell>
          <cell r="S371" t="str">
            <v>2021</v>
          </cell>
          <cell r="T371" t="str">
            <v>AVW-795</v>
          </cell>
          <cell r="U371" t="str">
            <v>520103</v>
          </cell>
          <cell r="V371" t="str">
            <v>1003682</v>
          </cell>
          <cell r="W371" t="str">
            <v>05-mar-2027</v>
          </cell>
          <cell r="Y371">
            <v>3060000</v>
          </cell>
          <cell r="Z371">
            <v>52758</v>
          </cell>
          <cell r="AA371">
            <v>61200</v>
          </cell>
        </row>
        <row r="372">
          <cell r="B372" t="str">
            <v>KHI/HO/D/MO/PC COMP/C/107407/40/02/2025</v>
          </cell>
          <cell r="D372" t="str">
            <v>REN</v>
          </cell>
          <cell r="E372" t="str">
            <v>17/02/25</v>
          </cell>
          <cell r="F372" t="str">
            <v>28/02/2025</v>
          </cell>
          <cell r="G372" t="str">
            <v>27/02/2026</v>
          </cell>
          <cell r="H372" t="str">
            <v>08004499</v>
          </cell>
          <cell r="I372" t="str">
            <v>AL BARAKA BANK (PAKISTAN) LIMITED</v>
          </cell>
          <cell r="J372" t="str">
            <v>BANK</v>
          </cell>
          <cell r="K372" t="str">
            <v xml:space="preserve">
HPA M/s. Al Baraka Bank (Pakistan) Limited 
Hpa M/S. Al Baraka Bank (Pakistan) Limited 
User: Imran  Khan</v>
          </cell>
          <cell r="L372" t="str">
            <v>D</v>
          </cell>
          <cell r="M372" t="str">
            <v>09000221</v>
          </cell>
          <cell r="N372">
            <v>100</v>
          </cell>
          <cell r="P372" t="str">
            <v>H No 46 D Street 03 Block DD RWD  Society Islamabad</v>
          </cell>
          <cell r="Q372" t="str">
            <v>11000003</v>
          </cell>
          <cell r="R372" t="str">
            <v>SUZUKI ALTO VX</v>
          </cell>
          <cell r="S372" t="str">
            <v>2024</v>
          </cell>
          <cell r="T372" t="str">
            <v>BDK-745</v>
          </cell>
          <cell r="U372" t="str">
            <v>295581</v>
          </cell>
          <cell r="V372" t="str">
            <v>1195602</v>
          </cell>
          <cell r="W372" t="str">
            <v>05-mar-2029</v>
          </cell>
          <cell r="Y372">
            <v>2097900</v>
          </cell>
          <cell r="Z372">
            <v>36170</v>
          </cell>
          <cell r="AA372">
            <v>41958</v>
          </cell>
        </row>
        <row r="373">
          <cell r="B373" t="str">
            <v>KHI/HO/D/MO/PC COMP/C/107407/41/02/2025</v>
          </cell>
          <cell r="D373" t="str">
            <v>REN</v>
          </cell>
          <cell r="E373" t="str">
            <v>17/02/25</v>
          </cell>
          <cell r="F373" t="str">
            <v>28/02/2025</v>
          </cell>
          <cell r="G373" t="str">
            <v>27/02/2026</v>
          </cell>
          <cell r="H373" t="str">
            <v>08004499</v>
          </cell>
          <cell r="I373" t="str">
            <v>AL BARAKA BANK (PAKISTAN) LIMITED</v>
          </cell>
          <cell r="J373" t="str">
            <v>BANK</v>
          </cell>
          <cell r="K373" t="str">
            <v xml:space="preserve">
HPA M/s. Al Baraka Bank (Pakistan) Limited 
Hpa M/S. Al Baraka Bank (Pakistan) Limited 
User: Muhammad Adnan Siddique</v>
          </cell>
          <cell r="L373" t="str">
            <v>D</v>
          </cell>
          <cell r="M373" t="str">
            <v>09000221</v>
          </cell>
          <cell r="N373">
            <v>100</v>
          </cell>
          <cell r="O373" t="str">
            <v>KARACHI</v>
          </cell>
          <cell r="P373" t="str">
            <v>H # 2 Dr Muhammad Siddique Garrison Homes Phase 2 Near Harbanspura Phatak Lahore</v>
          </cell>
          <cell r="Q373" t="str">
            <v>11000003</v>
          </cell>
          <cell r="R373" t="str">
            <v>TOYOTA YARIS ATIV X CVT</v>
          </cell>
          <cell r="S373" t="str">
            <v>2020</v>
          </cell>
          <cell r="T373" t="str">
            <v>AAY-484</v>
          </cell>
          <cell r="U373" t="str">
            <v>2A08021</v>
          </cell>
          <cell r="V373" t="str">
            <v>R9503428</v>
          </cell>
          <cell r="W373" t="str">
            <v>06-mar-2028</v>
          </cell>
          <cell r="Y373">
            <v>4050000</v>
          </cell>
          <cell r="Z373">
            <v>52370</v>
          </cell>
          <cell r="AA373">
            <v>60750</v>
          </cell>
        </row>
        <row r="374">
          <cell r="B374" t="str">
            <v>KHI/HO/D/MO/PC COMP/C/107407/42/02/2025</v>
          </cell>
          <cell r="D374" t="str">
            <v>REN</v>
          </cell>
          <cell r="E374" t="str">
            <v>17/02/25</v>
          </cell>
          <cell r="F374" t="str">
            <v>28/02/2025</v>
          </cell>
          <cell r="G374" t="str">
            <v>27/02/2026</v>
          </cell>
          <cell r="H374" t="str">
            <v>08004499</v>
          </cell>
          <cell r="I374" t="str">
            <v>AL BARAKA BANK (PAKISTAN) LIMITED</v>
          </cell>
          <cell r="J374" t="str">
            <v>BANK</v>
          </cell>
          <cell r="K374" t="str">
            <v xml:space="preserve">
HPA M/s. Al Baraka Bank (Pakistan) Limited 
Hpa M/S. Al Baraka Bank (Pakistan) Limited 
User: Malik Muzaffar Ali</v>
          </cell>
          <cell r="L374" t="str">
            <v>D</v>
          </cell>
          <cell r="M374" t="str">
            <v>09000221</v>
          </cell>
          <cell r="N374">
            <v>100</v>
          </cell>
          <cell r="O374" t="str">
            <v>KARACHI</v>
          </cell>
          <cell r="P374" t="str">
            <v>H No 130 B Block LDA Shah Jamal Town Walton Lahore</v>
          </cell>
          <cell r="Q374" t="str">
            <v>11000003</v>
          </cell>
          <cell r="R374" t="str">
            <v>TOYOTA COROLLA GLI M/T 1.</v>
          </cell>
          <cell r="S374" t="str">
            <v>2018</v>
          </cell>
          <cell r="T374" t="str">
            <v>LEB-19-7979</v>
          </cell>
          <cell r="U374" t="str">
            <v>Z545431</v>
          </cell>
          <cell r="V374" t="str">
            <v>R4171631</v>
          </cell>
          <cell r="W374" t="str">
            <v>06-mar-2028</v>
          </cell>
          <cell r="Y374">
            <v>3780000</v>
          </cell>
          <cell r="Z374">
            <v>48879</v>
          </cell>
          <cell r="AA374">
            <v>56700</v>
          </cell>
        </row>
        <row r="375">
          <cell r="B375" t="str">
            <v>KHI/HO/D/MO/PC COMP/C/107407/43/02/2025</v>
          </cell>
          <cell r="D375" t="str">
            <v>REN</v>
          </cell>
          <cell r="E375" t="str">
            <v>17/02/25</v>
          </cell>
          <cell r="F375" t="str">
            <v>28/02/2025</v>
          </cell>
          <cell r="G375" t="str">
            <v>27/02/2026</v>
          </cell>
          <cell r="H375" t="str">
            <v>08004499</v>
          </cell>
          <cell r="I375" t="str">
            <v>AL BARAKA BANK (PAKISTAN) LIMITED</v>
          </cell>
          <cell r="J375" t="str">
            <v>BANK</v>
          </cell>
          <cell r="K375" t="str">
            <v xml:space="preserve">
HPA M/s. Al Baraka Bank (Pakistan) Limited 
Hpa M/S. Al Baraka Bank (Pakistan) Limited 
User: Ghulam  Sabir</v>
          </cell>
          <cell r="L375" t="str">
            <v>D</v>
          </cell>
          <cell r="M375" t="str">
            <v>09000221</v>
          </cell>
          <cell r="N375">
            <v>100</v>
          </cell>
          <cell r="O375" t="str">
            <v>KARACHI</v>
          </cell>
          <cell r="P375" t="str">
            <v>H No 334-K Liaqat Chowk Sabzazar Scheme Lahore</v>
          </cell>
          <cell r="Q375" t="str">
            <v>11000003</v>
          </cell>
          <cell r="R375" t="str">
            <v>SUZUKI ALTO</v>
          </cell>
          <cell r="S375" t="str">
            <v>2022</v>
          </cell>
          <cell r="T375" t="str">
            <v>AMA-804</v>
          </cell>
          <cell r="U375" t="str">
            <v>R250782</v>
          </cell>
          <cell r="V375" t="str">
            <v>H1150770</v>
          </cell>
          <cell r="W375" t="str">
            <v>05-mar-2029</v>
          </cell>
          <cell r="Y375">
            <v>2160000</v>
          </cell>
          <cell r="Z375">
            <v>37242</v>
          </cell>
          <cell r="AA375">
            <v>43200</v>
          </cell>
        </row>
        <row r="376">
          <cell r="B376" t="str">
            <v>KHI/HO/D/MO/PC COMP/C/107407/44/02/2025</v>
          </cell>
          <cell r="D376" t="str">
            <v>REN</v>
          </cell>
          <cell r="E376" t="str">
            <v>17/02/25</v>
          </cell>
          <cell r="F376" t="str">
            <v>28/02/2025</v>
          </cell>
          <cell r="G376" t="str">
            <v>27/02/2026</v>
          </cell>
          <cell r="H376" t="str">
            <v>08004499</v>
          </cell>
          <cell r="I376" t="str">
            <v>AL BARAKA BANK (PAKISTAN) LIMITED</v>
          </cell>
          <cell r="J376" t="str">
            <v>BANK</v>
          </cell>
          <cell r="K376" t="str">
            <v xml:space="preserve">
HPA M/s. Al Baraka Bank (Pakistan) Limited 
Hpa M/S. Al Baraka Bank (Pakistan) Limited 
User: Daud Bin Imran  Baloch</v>
          </cell>
          <cell r="L376" t="str">
            <v>D</v>
          </cell>
          <cell r="M376" t="str">
            <v>09000221</v>
          </cell>
          <cell r="N376">
            <v>100</v>
          </cell>
          <cell r="O376" t="str">
            <v>KARACHI</v>
          </cell>
          <cell r="P376" t="str">
            <v>H # 22-E Govt Chauburji Quarters Near Dispensary Multan Road Lahore</v>
          </cell>
          <cell r="Q376" t="str">
            <v>11000003</v>
          </cell>
          <cell r="R376" t="str">
            <v>SUZUKI ALTO VXL AGS E-2</v>
          </cell>
          <cell r="S376" t="str">
            <v>2021</v>
          </cell>
          <cell r="T376" t="str">
            <v>AEW-647</v>
          </cell>
          <cell r="U376" t="str">
            <v>R179580</v>
          </cell>
          <cell r="V376" t="str">
            <v>1079653</v>
          </cell>
          <cell r="W376" t="str">
            <v>05-mar-2029</v>
          </cell>
          <cell r="Y376">
            <v>2340000</v>
          </cell>
          <cell r="Z376">
            <v>40345</v>
          </cell>
          <cell r="AA376">
            <v>46800</v>
          </cell>
        </row>
        <row r="377">
          <cell r="B377" t="str">
            <v>KHI/HO/D/MO/PC COMP/C/107407/45/02/2025</v>
          </cell>
          <cell r="D377" t="str">
            <v>REN</v>
          </cell>
          <cell r="E377" t="str">
            <v>17/02/25</v>
          </cell>
          <cell r="F377" t="str">
            <v>28/02/2025</v>
          </cell>
          <cell r="G377" t="str">
            <v>27/02/2026</v>
          </cell>
          <cell r="H377" t="str">
            <v>08004499</v>
          </cell>
          <cell r="I377" t="str">
            <v>AL BARAKA BANK (PAKISTAN) LIMITED</v>
          </cell>
          <cell r="J377" t="str">
            <v>BANK</v>
          </cell>
          <cell r="K377" t="str">
            <v xml:space="preserve">
HPA M/s. Al Baraka Bank (Pakistan) Limited 
Hpa M/S. Al Baraka Bank (Pakistan) Limited 
User: Khalid  Ahmed</v>
          </cell>
          <cell r="L377" t="str">
            <v>D</v>
          </cell>
          <cell r="M377" t="str">
            <v>09000221</v>
          </cell>
          <cell r="N377">
            <v>100</v>
          </cell>
          <cell r="P377" t="str">
            <v>Balglow No. 10 Street 6 Jawed Bahria Co Opr. H. Society Hawksbay Road Maripur KHI</v>
          </cell>
          <cell r="Q377" t="str">
            <v>11000003</v>
          </cell>
          <cell r="R377" t="str">
            <v>HONDA BRV I-VTEC S STD</v>
          </cell>
          <cell r="S377" t="str">
            <v>2020</v>
          </cell>
          <cell r="T377" t="str">
            <v>BJ-0231</v>
          </cell>
          <cell r="U377" t="str">
            <v>4802326</v>
          </cell>
          <cell r="V377" t="str">
            <v>19009</v>
          </cell>
          <cell r="W377" t="str">
            <v>05-mar-2027</v>
          </cell>
          <cell r="Y377">
            <v>4050000</v>
          </cell>
          <cell r="Z377">
            <v>52370</v>
          </cell>
          <cell r="AA377">
            <v>60750</v>
          </cell>
        </row>
        <row r="378">
          <cell r="B378" t="str">
            <v>KHI/HO/D/MO/PC COMP/C/107407/46/02/2025</v>
          </cell>
          <cell r="D378" t="str">
            <v>REN</v>
          </cell>
          <cell r="E378" t="str">
            <v>17/02/25</v>
          </cell>
          <cell r="F378" t="str">
            <v>09/02/2025</v>
          </cell>
          <cell r="G378" t="str">
            <v>08/02/2026</v>
          </cell>
          <cell r="H378" t="str">
            <v>08004499</v>
          </cell>
          <cell r="I378" t="str">
            <v>AL BARAKA BANK (PAKISTAN) LIMITED</v>
          </cell>
          <cell r="J378" t="str">
            <v>BANK</v>
          </cell>
          <cell r="K378" t="str">
            <v xml:space="preserve">
HPA M/s. Al Baraka Bank (Pakistan) Limited 
Hpa M/S. Al Baraka Bank (Pakistan) Limited 
User: Malik Naseer Ahmad Bhatti</v>
          </cell>
          <cell r="L378" t="str">
            <v>D</v>
          </cell>
          <cell r="M378" t="str">
            <v>09000221</v>
          </cell>
          <cell r="N378">
            <v>100</v>
          </cell>
          <cell r="P378" t="str">
            <v>H # 345 Ext 8 Bhatti Flour Mills Fairozabad Makhdoom Rasheed Rd Ansar Colony Multan</v>
          </cell>
          <cell r="Q378" t="str">
            <v>11000003</v>
          </cell>
          <cell r="R378" t="str">
            <v>HONDA CIVIC VTI  ORIEL PT</v>
          </cell>
          <cell r="S378" t="str">
            <v>2016</v>
          </cell>
          <cell r="T378" t="str">
            <v>LE-16-9211</v>
          </cell>
          <cell r="U378" t="str">
            <v>14045329</v>
          </cell>
          <cell r="V378" t="str">
            <v>129100</v>
          </cell>
          <cell r="W378" t="str">
            <v>05-mar-2027</v>
          </cell>
          <cell r="Y378">
            <v>3645000</v>
          </cell>
          <cell r="Z378">
            <v>47134</v>
          </cell>
          <cell r="AA378">
            <v>54675</v>
          </cell>
        </row>
        <row r="379">
          <cell r="B379" t="str">
            <v>KHI/HO/D/MO/PC COMP/C/107407/47/02/2025</v>
          </cell>
          <cell r="D379" t="str">
            <v>REN</v>
          </cell>
          <cell r="E379" t="str">
            <v>17/02/25</v>
          </cell>
          <cell r="F379" t="str">
            <v>28/02/2025</v>
          </cell>
          <cell r="G379" t="str">
            <v>27/02/2026</v>
          </cell>
          <cell r="H379" t="str">
            <v>08004499</v>
          </cell>
          <cell r="I379" t="str">
            <v>AL BARAKA BANK (PAKISTAN) LIMITED</v>
          </cell>
          <cell r="J379" t="str">
            <v>BANK</v>
          </cell>
          <cell r="K379" t="str">
            <v xml:space="preserve">
HPA M/s. Al Baraka Bank (Pakistan) Limited 
Hpa M/S. Al Baraka Bank (Pakistan) Limited 
User: Muaz  Sarfraz</v>
          </cell>
          <cell r="L379" t="str">
            <v>D</v>
          </cell>
          <cell r="M379" t="str">
            <v>09000221</v>
          </cell>
          <cell r="N379">
            <v>100</v>
          </cell>
          <cell r="O379" t="str">
            <v>KARACHI</v>
          </cell>
          <cell r="P379" t="str">
            <v>ST 2 Mohallah Gulshan Umar Colony Bhatta 2 Green Town Lahore</v>
          </cell>
          <cell r="Q379" t="str">
            <v>11000003</v>
          </cell>
          <cell r="R379" t="str">
            <v>SUZUKI WAGON-R</v>
          </cell>
          <cell r="S379" t="str">
            <v>2019</v>
          </cell>
          <cell r="T379" t="str">
            <v>LED-19-1063</v>
          </cell>
          <cell r="U379" t="str">
            <v>B186091</v>
          </cell>
          <cell r="V379" t="str">
            <v>K10086079</v>
          </cell>
          <cell r="W379" t="str">
            <v>05-mar-2029</v>
          </cell>
          <cell r="Y379">
            <v>1935000</v>
          </cell>
          <cell r="Z379">
            <v>33362</v>
          </cell>
          <cell r="AA379">
            <v>38700</v>
          </cell>
        </row>
        <row r="380">
          <cell r="B380" t="str">
            <v>KHI/HO/D/MO/PC COMP/C/107407/48/02/2025</v>
          </cell>
          <cell r="D380" t="str">
            <v>REN</v>
          </cell>
          <cell r="E380" t="str">
            <v>17/02/25</v>
          </cell>
          <cell r="F380" t="str">
            <v>28/02/2025</v>
          </cell>
          <cell r="G380" t="str">
            <v>27/02/2026</v>
          </cell>
          <cell r="H380" t="str">
            <v>08004499</v>
          </cell>
          <cell r="I380" t="str">
            <v>AL BARAKA BANK (PAKISTAN) LIMITED</v>
          </cell>
          <cell r="J380" t="str">
            <v>BANK</v>
          </cell>
          <cell r="K380" t="str">
            <v xml:space="preserve">
HPA M/s. Al Baraka Bank (Pakistan) Limited 
Hpa M/S. Al Baraka Bank (Pakistan) Limited 
User: Awais  Ishtiaq</v>
          </cell>
          <cell r="L380" t="str">
            <v>D</v>
          </cell>
          <cell r="M380" t="str">
            <v>09000221</v>
          </cell>
          <cell r="N380">
            <v>100</v>
          </cell>
          <cell r="O380" t="str">
            <v>KARACHI</v>
          </cell>
          <cell r="P380" t="str">
            <v>H # 62-B GM Abad Saddar Bazar Faisalabad</v>
          </cell>
          <cell r="Q380" t="str">
            <v>11000003</v>
          </cell>
          <cell r="R380" t="str">
            <v>HONDA CIVIC VTI  ORIEL PT</v>
          </cell>
          <cell r="S380" t="str">
            <v>2017</v>
          </cell>
          <cell r="T380" t="str">
            <v>LEC-17-856</v>
          </cell>
          <cell r="U380" t="str">
            <v>R18Z12906534</v>
          </cell>
          <cell r="V380" t="str">
            <v>NFBFC66534HR009364</v>
          </cell>
          <cell r="W380" t="str">
            <v>05-mar-2027</v>
          </cell>
          <cell r="Y380">
            <v>3420000</v>
          </cell>
          <cell r="Z380">
            <v>44224</v>
          </cell>
          <cell r="AA380">
            <v>51300</v>
          </cell>
        </row>
        <row r="381">
          <cell r="B381" t="str">
            <v>KHI/HO/D/MO/PC COMP/C/107407/49/02/2025</v>
          </cell>
          <cell r="D381" t="str">
            <v>REN</v>
          </cell>
          <cell r="E381" t="str">
            <v>17/02/25</v>
          </cell>
          <cell r="F381" t="str">
            <v>13/02/2025</v>
          </cell>
          <cell r="G381" t="str">
            <v>12/02/2026</v>
          </cell>
          <cell r="H381" t="str">
            <v>08004499</v>
          </cell>
          <cell r="I381" t="str">
            <v>AL BARAKA BANK (PAKISTAN) LIMITED</v>
          </cell>
          <cell r="J381" t="str">
            <v>BANK</v>
          </cell>
          <cell r="K381" t="str">
            <v xml:space="preserve">
HPA M/s. Al Baraka Bank (Pakistan) Limited 
Hpa M/S. Al Baraka Bank (Pakistan) Limited 
User: Ashfaq  Ahmad</v>
          </cell>
          <cell r="L381" t="str">
            <v>D</v>
          </cell>
          <cell r="M381" t="str">
            <v>09000221</v>
          </cell>
          <cell r="N381">
            <v>100</v>
          </cell>
          <cell r="O381" t="str">
            <v>KARACHI</v>
          </cell>
          <cell r="P381" t="str">
            <v>Arzani Pur PO Tehsil Chunain Kasur</v>
          </cell>
          <cell r="Q381" t="str">
            <v>11000003</v>
          </cell>
          <cell r="R381" t="str">
            <v>SUZUKI ALTO</v>
          </cell>
          <cell r="S381" t="str">
            <v>2024</v>
          </cell>
          <cell r="T381" t="str">
            <v>ARA-874</v>
          </cell>
          <cell r="U381" t="str">
            <v>6R296952</v>
          </cell>
          <cell r="V381" t="str">
            <v>6H1196967</v>
          </cell>
          <cell r="W381" t="str">
            <v>05-feb-2029</v>
          </cell>
          <cell r="Y381">
            <v>2350800</v>
          </cell>
          <cell r="Z381">
            <v>40531</v>
          </cell>
          <cell r="AA381">
            <v>47016</v>
          </cell>
        </row>
        <row r="382">
          <cell r="B382" t="str">
            <v>KHI/HO/D/MO/PC COMP/C/107407/50/02/2025</v>
          </cell>
          <cell r="D382" t="str">
            <v>REN</v>
          </cell>
          <cell r="E382" t="str">
            <v>17/02/25</v>
          </cell>
          <cell r="F382" t="str">
            <v>13/02/2025</v>
          </cell>
          <cell r="G382" t="str">
            <v>12/02/2026</v>
          </cell>
          <cell r="H382" t="str">
            <v>08004499</v>
          </cell>
          <cell r="I382" t="str">
            <v>AL BARAKA BANK (PAKISTAN) LIMITED</v>
          </cell>
          <cell r="J382" t="str">
            <v>BANK</v>
          </cell>
          <cell r="K382" t="str">
            <v xml:space="preserve">
HPA M/s. Al Baraka Bank (Pakistan) Limited 
Hpa M/S. Al Baraka Bank (Pakistan) Limited 
User: Laiba    Maqsood</v>
          </cell>
          <cell r="L382" t="str">
            <v>D</v>
          </cell>
          <cell r="M382" t="str">
            <v>09000221</v>
          </cell>
          <cell r="N382">
            <v>100</v>
          </cell>
          <cell r="O382" t="str">
            <v>KARACHI</v>
          </cell>
          <cell r="P382" t="str">
            <v>H No 7 C St 3 Sharif Street Mohallah Karamatabad Opp Wahdat Colony Lahore</v>
          </cell>
          <cell r="Q382" t="str">
            <v>11000003</v>
          </cell>
          <cell r="R382" t="str">
            <v>HONDA CITY</v>
          </cell>
          <cell r="S382" t="str">
            <v>2017</v>
          </cell>
          <cell r="T382" t="str">
            <v>LEA-17A-881</v>
          </cell>
          <cell r="U382" t="str">
            <v>Z17501369</v>
          </cell>
          <cell r="V382" t="str">
            <v>HR210755</v>
          </cell>
          <cell r="W382" t="str">
            <v>05-feb-2026</v>
          </cell>
          <cell r="Y382">
            <v>2700000</v>
          </cell>
          <cell r="Z382">
            <v>46551</v>
          </cell>
          <cell r="AA382">
            <v>54000</v>
          </cell>
        </row>
        <row r="383">
          <cell r="B383" t="str">
            <v>KHI/HO/D/MO/PC COMP/C/107407/51/02/2025</v>
          </cell>
          <cell r="D383" t="str">
            <v>REN</v>
          </cell>
          <cell r="E383" t="str">
            <v>17/02/25</v>
          </cell>
          <cell r="F383" t="str">
            <v>02/02/2025</v>
          </cell>
          <cell r="G383" t="str">
            <v>01/02/2026</v>
          </cell>
          <cell r="H383" t="str">
            <v>08004499</v>
          </cell>
          <cell r="I383" t="str">
            <v>AL BARAKA BANK (PAKISTAN) LIMITED</v>
          </cell>
          <cell r="J383" t="str">
            <v>BANK</v>
          </cell>
          <cell r="K383" t="str">
            <v xml:space="preserve">
HPA M/s. Al Baraka Bank (Pakistan) Limited 
Hpa M/S. Al Baraka Bank (Pakistan) Limited 
User: Muhammad Jehangir Khan</v>
          </cell>
          <cell r="L383" t="str">
            <v>D</v>
          </cell>
          <cell r="M383" t="str">
            <v>09000221</v>
          </cell>
          <cell r="N383">
            <v>100</v>
          </cell>
          <cell r="O383" t="str">
            <v>KARACHI</v>
          </cell>
          <cell r="P383" t="str">
            <v>H No D-1 Medical Colony Rajan Pur DG Khan</v>
          </cell>
          <cell r="Q383" t="str">
            <v>11000003</v>
          </cell>
          <cell r="R383" t="str">
            <v>PROTON PROTON X70 FWD Pre</v>
          </cell>
          <cell r="S383" t="str">
            <v>2023</v>
          </cell>
          <cell r="T383" t="str">
            <v>AND-795</v>
          </cell>
          <cell r="U383" t="str">
            <v>3G15TDN3WA3109965</v>
          </cell>
          <cell r="V383" t="str">
            <v>NKPNL2ERPP001041</v>
          </cell>
          <cell r="W383" t="str">
            <v>05-feb-2028</v>
          </cell>
          <cell r="Y383">
            <v>5797255</v>
          </cell>
          <cell r="Z383">
            <v>74964</v>
          </cell>
          <cell r="AA383">
            <v>86959</v>
          </cell>
        </row>
        <row r="384">
          <cell r="B384" t="str">
            <v>KHI/HO/D/MO/PC COMP/C/107407/52/02/2025</v>
          </cell>
          <cell r="D384" t="str">
            <v>REN</v>
          </cell>
          <cell r="E384" t="str">
            <v>17/02/25</v>
          </cell>
          <cell r="F384" t="str">
            <v>15/02/2025</v>
          </cell>
          <cell r="G384" t="str">
            <v>14/02/2026</v>
          </cell>
          <cell r="H384" t="str">
            <v>08004499</v>
          </cell>
          <cell r="I384" t="str">
            <v>AL BARAKA BANK (PAKISTAN) LIMITED</v>
          </cell>
          <cell r="J384" t="str">
            <v>BANK</v>
          </cell>
          <cell r="K384" t="str">
            <v xml:space="preserve">
HPA M/s. Al Baraka Bank (Pakistan) Limited 
Hpa M/S. Al Baraka Bank (Pakistan) Limited 
User: Muhammad Saud Akbar</v>
          </cell>
          <cell r="L384" t="str">
            <v>D</v>
          </cell>
          <cell r="M384" t="str">
            <v>09000221</v>
          </cell>
          <cell r="N384">
            <v>100</v>
          </cell>
          <cell r="O384" t="str">
            <v>KARACHI</v>
          </cell>
          <cell r="P384" t="str">
            <v>H No 60 Faisal Block Azam Garden Multan Road Multan</v>
          </cell>
          <cell r="Q384" t="str">
            <v>11000003</v>
          </cell>
          <cell r="R384" t="str">
            <v>TOYOTA COROLLA ALTIS GRAN</v>
          </cell>
          <cell r="S384" t="str">
            <v>2019</v>
          </cell>
          <cell r="T384" t="str">
            <v>APH-111</v>
          </cell>
          <cell r="U384" t="str">
            <v>Q339805</v>
          </cell>
          <cell r="V384" t="str">
            <v>R7038969</v>
          </cell>
          <cell r="W384" t="str">
            <v>05-mar-2026</v>
          </cell>
          <cell r="Y384">
            <v>3825000</v>
          </cell>
          <cell r="Z384">
            <v>49461</v>
          </cell>
          <cell r="AA384">
            <v>57375</v>
          </cell>
        </row>
        <row r="385">
          <cell r="B385" t="str">
            <v>KHI/HO/D/MO/PC COMP/C/107407/53/02/2025</v>
          </cell>
          <cell r="D385" t="str">
            <v>REN</v>
          </cell>
          <cell r="E385" t="str">
            <v>17/02/25</v>
          </cell>
          <cell r="F385" t="str">
            <v>16/02/2025</v>
          </cell>
          <cell r="G385" t="str">
            <v>15/02/2026</v>
          </cell>
          <cell r="H385" t="str">
            <v>08004499</v>
          </cell>
          <cell r="I385" t="str">
            <v>AL BARAKA BANK (PAKISTAN) LIMITED</v>
          </cell>
          <cell r="J385" t="str">
            <v>BANK</v>
          </cell>
          <cell r="K385" t="str">
            <v xml:space="preserve">
HPA M/s. Al Baraka Bank (Pakistan) Limited 
Hpa M/S. Al Baraka Bank (Pakistan) Limited 
User: Sakhawat   Latif</v>
          </cell>
          <cell r="L385" t="str">
            <v>D</v>
          </cell>
          <cell r="M385" t="str">
            <v>09000221</v>
          </cell>
          <cell r="N385">
            <v>100</v>
          </cell>
          <cell r="O385" t="str">
            <v>KARACHI</v>
          </cell>
          <cell r="P385" t="str">
            <v>H No 6 St No 22 Aziz Colony Wandala Road Shahdara Lahore</v>
          </cell>
          <cell r="Q385" t="str">
            <v>11000003</v>
          </cell>
          <cell r="R385" t="str">
            <v>SUZUKI CULTUS</v>
          </cell>
          <cell r="S385" t="str">
            <v>2018</v>
          </cell>
          <cell r="T385" t="str">
            <v>LEE-18-8904</v>
          </cell>
          <cell r="U385" t="str">
            <v>K121508</v>
          </cell>
          <cell r="V385" t="str">
            <v>H10021462</v>
          </cell>
          <cell r="W385" t="str">
            <v>06-mar-2028</v>
          </cell>
          <cell r="Y385">
            <v>1840250</v>
          </cell>
          <cell r="Z385">
            <v>31729</v>
          </cell>
          <cell r="AA385">
            <v>36805</v>
          </cell>
        </row>
        <row r="386">
          <cell r="B386" t="str">
            <v>KHI/HO/D/MO/PC COMP/C/107407/54/02/2025</v>
          </cell>
          <cell r="D386" t="str">
            <v>REN</v>
          </cell>
          <cell r="E386" t="str">
            <v>17/02/25</v>
          </cell>
          <cell r="F386" t="str">
            <v>16/02/2025</v>
          </cell>
          <cell r="G386" t="str">
            <v>15/02/2026</v>
          </cell>
          <cell r="H386" t="str">
            <v>08004499</v>
          </cell>
          <cell r="I386" t="str">
            <v>AL BARAKA BANK (PAKISTAN) LIMITED</v>
          </cell>
          <cell r="J386" t="str">
            <v>BANK</v>
          </cell>
          <cell r="K386" t="str">
            <v xml:space="preserve">
HPA M/s. Al Baraka Bank (Pakistan) Limited 
Hpa M/S. Al Baraka Bank (Pakistan) Limited 
User: Rao  Zohair  Hussain</v>
          </cell>
          <cell r="L386" t="str">
            <v>D</v>
          </cell>
          <cell r="M386" t="str">
            <v>09000221</v>
          </cell>
          <cell r="N386">
            <v>100</v>
          </cell>
          <cell r="O386" t="str">
            <v>KARACHI</v>
          </cell>
          <cell r="P386" t="str">
            <v>H # R-329 Anwar-e-Ibrahim Malir City Karachi</v>
          </cell>
          <cell r="Q386" t="str">
            <v>11000003</v>
          </cell>
          <cell r="R386" t="str">
            <v>SUZUKI ALTO VXL AGS E-2</v>
          </cell>
          <cell r="S386" t="str">
            <v>2020</v>
          </cell>
          <cell r="T386" t="str">
            <v>BRT130</v>
          </cell>
          <cell r="U386" t="str">
            <v>6R125324</v>
          </cell>
          <cell r="V386" t="str">
            <v>1025347</v>
          </cell>
          <cell r="W386" t="str">
            <v>06-mar-2028</v>
          </cell>
          <cell r="Y386">
            <v>1742500</v>
          </cell>
          <cell r="Z386">
            <v>22533</v>
          </cell>
          <cell r="AA386">
            <v>26138</v>
          </cell>
        </row>
        <row r="387">
          <cell r="B387" t="str">
            <v>KHI/HO/D/MO/PC COMP/C/107407/55/02/2025</v>
          </cell>
          <cell r="D387" t="str">
            <v>REN</v>
          </cell>
          <cell r="E387" t="str">
            <v>17/02/25</v>
          </cell>
          <cell r="F387" t="str">
            <v>18/02/2025</v>
          </cell>
          <cell r="G387" t="str">
            <v>17/02/2026</v>
          </cell>
          <cell r="H387" t="str">
            <v>08004499</v>
          </cell>
          <cell r="I387" t="str">
            <v>AL BARAKA BANK (PAKISTAN) LIMITED</v>
          </cell>
          <cell r="J387" t="str">
            <v>BANK</v>
          </cell>
          <cell r="K387" t="str">
            <v xml:space="preserve">
HPA M/s. Al Baraka Bank (Pakistan) Limited 
Hpa M/S. Al Baraka Bank (Pakistan) Limited 
User: Abdul   Samad</v>
          </cell>
          <cell r="L387" t="str">
            <v>D</v>
          </cell>
          <cell r="M387" t="str">
            <v>09000221</v>
          </cell>
          <cell r="N387">
            <v>100</v>
          </cell>
          <cell r="P387" t="str">
            <v>H #  101 3rd Floor Block 2 Hussainabad FB Area Karachi</v>
          </cell>
          <cell r="Q387" t="str">
            <v>11000003</v>
          </cell>
          <cell r="R387" t="str">
            <v>KIA PICANTO 1.0L A/T</v>
          </cell>
          <cell r="S387" t="str">
            <v>2019</v>
          </cell>
          <cell r="T387" t="str">
            <v>BRC-561</v>
          </cell>
          <cell r="U387" t="str">
            <v>132184</v>
          </cell>
          <cell r="V387" t="str">
            <v>700118</v>
          </cell>
          <cell r="W387" t="str">
            <v>05-mar-2027</v>
          </cell>
          <cell r="Y387">
            <v>2040000</v>
          </cell>
          <cell r="Z387">
            <v>35172</v>
          </cell>
          <cell r="AA387">
            <v>40800</v>
          </cell>
        </row>
        <row r="388">
          <cell r="B388" t="str">
            <v>KHI/HO/D/MO/PC COMP/C/107407/56/02/2025</v>
          </cell>
          <cell r="D388" t="str">
            <v>REN</v>
          </cell>
          <cell r="E388" t="str">
            <v>17/02/25</v>
          </cell>
          <cell r="F388" t="str">
            <v>20/02/2025</v>
          </cell>
          <cell r="G388" t="str">
            <v>19/02/2026</v>
          </cell>
          <cell r="H388" t="str">
            <v>08004499</v>
          </cell>
          <cell r="I388" t="str">
            <v>AL BARAKA BANK (PAKISTAN) LIMITED</v>
          </cell>
          <cell r="J388" t="str">
            <v>BANK</v>
          </cell>
          <cell r="K388" t="str">
            <v xml:space="preserve">
HPA M/s. Al Baraka Bank (Pakistan) Limited 
Hpa M/S. Al Baraka Bank (Pakistan) Limited 
User: Salman  Ali</v>
          </cell>
          <cell r="L388" t="str">
            <v>D</v>
          </cell>
          <cell r="M388" t="str">
            <v>09000221</v>
          </cell>
          <cell r="N388">
            <v>100</v>
          </cell>
          <cell r="P388" t="str">
            <v>H NO 408 J-2 Block Wapda Town Lahore</v>
          </cell>
          <cell r="Q388" t="str">
            <v>11000003</v>
          </cell>
          <cell r="R388" t="str">
            <v>SUZUKI ALTO VXL AGS</v>
          </cell>
          <cell r="S388" t="str">
            <v>2022</v>
          </cell>
          <cell r="T388" t="str">
            <v>ACY-896</v>
          </cell>
          <cell r="U388" t="str">
            <v>128877</v>
          </cell>
          <cell r="V388" t="str">
            <v>1028867</v>
          </cell>
          <cell r="W388" t="str">
            <v>06-mar-2028</v>
          </cell>
          <cell r="Y388">
            <v>1997500</v>
          </cell>
          <cell r="Z388">
            <v>34440</v>
          </cell>
          <cell r="AA388">
            <v>39950</v>
          </cell>
        </row>
        <row r="389">
          <cell r="B389" t="str">
            <v>KHI/HO/D/MO/PC COMP/C/107407/57/02/2025</v>
          </cell>
          <cell r="D389" t="str">
            <v>REN</v>
          </cell>
          <cell r="E389" t="str">
            <v>17/02/25</v>
          </cell>
          <cell r="F389" t="str">
            <v>20/02/2025</v>
          </cell>
          <cell r="G389" t="str">
            <v>19/02/2026</v>
          </cell>
          <cell r="H389" t="str">
            <v>08004499</v>
          </cell>
          <cell r="I389" t="str">
            <v>AL BARAKA BANK (PAKISTAN) LIMITED</v>
          </cell>
          <cell r="J389" t="str">
            <v>BANK</v>
          </cell>
          <cell r="K389" t="str">
            <v xml:space="preserve">
HPA M/s. Al Baraka Bank (Pakistan) Limited 
Hpa M/S. Al Baraka Bank (Pakistan) Limited 
User: Farooq  Usman</v>
          </cell>
          <cell r="L389" t="str">
            <v>D</v>
          </cell>
          <cell r="M389" t="str">
            <v>09000221</v>
          </cell>
          <cell r="N389">
            <v>100</v>
          </cell>
          <cell r="P389" t="str">
            <v>H No 311 Block K Shah Rukn E Alam Colony Multan</v>
          </cell>
          <cell r="Q389" t="str">
            <v>11000003</v>
          </cell>
          <cell r="R389" t="str">
            <v>HONDA CIVIC 1.8 I-VTEC VT</v>
          </cell>
          <cell r="S389" t="str">
            <v>2017</v>
          </cell>
          <cell r="T389" t="str">
            <v>AHB-18</v>
          </cell>
          <cell r="U389" t="str">
            <v>12925496</v>
          </cell>
          <cell r="V389" t="str">
            <v>R028827</v>
          </cell>
          <cell r="W389" t="str">
            <v>05-mar-2026</v>
          </cell>
          <cell r="Y389">
            <v>3527500</v>
          </cell>
          <cell r="Z389">
            <v>45615</v>
          </cell>
          <cell r="AA389">
            <v>52913</v>
          </cell>
        </row>
        <row r="390">
          <cell r="B390" t="str">
            <v>KHI/HO/D/MO/PC COMP/C/107407/58/02/2025</v>
          </cell>
          <cell r="D390" t="str">
            <v>REN</v>
          </cell>
          <cell r="E390" t="str">
            <v>17/02/25</v>
          </cell>
          <cell r="F390" t="str">
            <v>21/02/2025</v>
          </cell>
          <cell r="G390" t="str">
            <v>20/02/2026</v>
          </cell>
          <cell r="H390" t="str">
            <v>08004499</v>
          </cell>
          <cell r="I390" t="str">
            <v>AL BARAKA BANK (PAKISTAN) LIMITED</v>
          </cell>
          <cell r="J390" t="str">
            <v>BANK</v>
          </cell>
          <cell r="K390" t="str">
            <v xml:space="preserve">
HPA M/s. Al Baraka Bank (Pakistan) Limited 
Hpa M/S. Al Baraka Bank (Pakistan) Limited 
User: Nazma   Yasmin</v>
          </cell>
          <cell r="L390" t="str">
            <v>D</v>
          </cell>
          <cell r="M390" t="str">
            <v>09000221</v>
          </cell>
          <cell r="N390">
            <v>100</v>
          </cell>
          <cell r="P390" t="str">
            <v>Village Chakora PO Ghaziabad Tehsil / Distt Chakwal</v>
          </cell>
          <cell r="Q390" t="str">
            <v>11000003</v>
          </cell>
          <cell r="R390" t="str">
            <v>SUZUKI ALTO VXR</v>
          </cell>
          <cell r="S390" t="str">
            <v>2021</v>
          </cell>
          <cell r="T390" t="str">
            <v>AUJ-831</v>
          </cell>
          <cell r="U390" t="str">
            <v>191596</v>
          </cell>
          <cell r="V390" t="str">
            <v>1091571</v>
          </cell>
          <cell r="W390" t="str">
            <v>06-mar-2028</v>
          </cell>
          <cell r="Y390">
            <v>1997500</v>
          </cell>
          <cell r="Z390">
            <v>34440</v>
          </cell>
          <cell r="AA390">
            <v>39950</v>
          </cell>
        </row>
        <row r="391">
          <cell r="B391" t="str">
            <v>KHI/HO/D/MO/PC COMP/C/107407/59/02/2025</v>
          </cell>
          <cell r="D391" t="str">
            <v>REN</v>
          </cell>
          <cell r="E391" t="str">
            <v>17/02/25</v>
          </cell>
          <cell r="F391" t="str">
            <v>21/02/2025</v>
          </cell>
          <cell r="G391" t="str">
            <v>20/02/2026</v>
          </cell>
          <cell r="H391" t="str">
            <v>08004499</v>
          </cell>
          <cell r="I391" t="str">
            <v>AL BARAKA BANK (PAKISTAN) LIMITED</v>
          </cell>
          <cell r="J391" t="str">
            <v>BANK</v>
          </cell>
          <cell r="K391" t="str">
            <v xml:space="preserve">
HPA M/s. Al Baraka Bank (Pakistan) Limited 
Hpa M/S. Al Baraka Bank (Pakistan) Limited 
User: Muhammad Bilal  Bashir</v>
          </cell>
          <cell r="L391" t="str">
            <v>D</v>
          </cell>
          <cell r="M391" t="str">
            <v>09000221</v>
          </cell>
          <cell r="N391">
            <v>100</v>
          </cell>
          <cell r="O391" t="str">
            <v>KARACHI</v>
          </cell>
          <cell r="P391" t="str">
            <v>66 JB Dhandra Kalan Jhang Road Faisalabad</v>
          </cell>
          <cell r="Q391" t="str">
            <v>11000003</v>
          </cell>
          <cell r="R391" t="str">
            <v>HONDA CITY</v>
          </cell>
          <cell r="S391" t="str">
            <v>2018</v>
          </cell>
          <cell r="T391" t="str">
            <v>ALK-866</v>
          </cell>
          <cell r="U391" t="str">
            <v>L15A-79793492</v>
          </cell>
          <cell r="V391" t="str">
            <v>NFBGM2665JR239237</v>
          </cell>
          <cell r="W391" t="str">
            <v>05-mar-2026</v>
          </cell>
          <cell r="Y391">
            <v>2805000</v>
          </cell>
          <cell r="Z391">
            <v>48362</v>
          </cell>
          <cell r="AA391">
            <v>56100</v>
          </cell>
        </row>
        <row r="392">
          <cell r="B392" t="str">
            <v>KHI/HO/D/MO/PC COMP/C/107407/60/02/2025</v>
          </cell>
          <cell r="D392" t="str">
            <v>REN</v>
          </cell>
          <cell r="E392" t="str">
            <v>17/02/25</v>
          </cell>
          <cell r="F392" t="str">
            <v>06/02/2025</v>
          </cell>
          <cell r="G392" t="str">
            <v>05/02/2026</v>
          </cell>
          <cell r="H392" t="str">
            <v>08004499</v>
          </cell>
          <cell r="I392" t="str">
            <v>AL BARAKA BANK (PAKISTAN) LIMITED</v>
          </cell>
          <cell r="J392" t="str">
            <v>BANK</v>
          </cell>
          <cell r="K392" t="str">
            <v xml:space="preserve">
HPA M/s. Al Baraka Bank (Pakistan) Limited 
Hpa M/S. Al Baraka Bank (Pakistan) Limited 
User: Khalid   Nawaz</v>
          </cell>
          <cell r="L392" t="str">
            <v>D</v>
          </cell>
          <cell r="M392" t="str">
            <v>09000221</v>
          </cell>
          <cell r="N392">
            <v>100</v>
          </cell>
          <cell r="O392" t="str">
            <v>KARACHI</v>
          </cell>
          <cell r="P392" t="str">
            <v>H # 6 Street 31 Musum Park Raj Garh Lahore</v>
          </cell>
          <cell r="Q392" t="str">
            <v>11000003</v>
          </cell>
          <cell r="R392" t="str">
            <v>KIA SPORTAGE FWD</v>
          </cell>
          <cell r="S392" t="str">
            <v>2023</v>
          </cell>
          <cell r="T392" t="str">
            <v>ANG-160</v>
          </cell>
          <cell r="U392" t="str">
            <v>G4NANH305301</v>
          </cell>
          <cell r="V392" t="str">
            <v>311734</v>
          </cell>
          <cell r="W392" t="str">
            <v>05-feb-2026</v>
          </cell>
          <cell r="Y392">
            <v>5779150</v>
          </cell>
          <cell r="Z392">
            <v>74730</v>
          </cell>
          <cell r="AA392">
            <v>86687</v>
          </cell>
        </row>
        <row r="393">
          <cell r="B393" t="str">
            <v>KHI/HO/D/MO/PC COMP/C/107407/61/02/2025</v>
          </cell>
          <cell r="D393" t="str">
            <v>REN</v>
          </cell>
          <cell r="E393" t="str">
            <v>17/02/25</v>
          </cell>
          <cell r="F393" t="str">
            <v>22/02/2025</v>
          </cell>
          <cell r="G393" t="str">
            <v>21/02/2026</v>
          </cell>
          <cell r="H393" t="str">
            <v>08004499</v>
          </cell>
          <cell r="I393" t="str">
            <v>AL BARAKA BANK (PAKISTAN) LIMITED</v>
          </cell>
          <cell r="J393" t="str">
            <v>BANK</v>
          </cell>
          <cell r="K393" t="str">
            <v xml:space="preserve">
HPA M/s. Al Baraka Bank (Pakistan) Limited 
Hpa M/S. Al Baraka Bank (Pakistan) Limited 
User: Faisal   Saleem</v>
          </cell>
          <cell r="L393" t="str">
            <v>D</v>
          </cell>
          <cell r="M393" t="str">
            <v>09000221</v>
          </cell>
          <cell r="N393">
            <v>100</v>
          </cell>
          <cell r="O393" t="str">
            <v>KARACHI</v>
          </cell>
          <cell r="P393" t="str">
            <v>672 E Gulshan Ravi Lahore</v>
          </cell>
          <cell r="Q393" t="str">
            <v>11000003</v>
          </cell>
          <cell r="R393" t="str">
            <v>SUZUKI CULTUS</v>
          </cell>
          <cell r="S393" t="str">
            <v>2021</v>
          </cell>
          <cell r="T393" t="str">
            <v>ACX 080</v>
          </cell>
          <cell r="U393" t="str">
            <v>K171394</v>
          </cell>
          <cell r="V393" t="str">
            <v>H10071406</v>
          </cell>
          <cell r="W393" t="str">
            <v>06-mar-2028</v>
          </cell>
          <cell r="Y393">
            <v>2456500</v>
          </cell>
          <cell r="Z393">
            <v>31765</v>
          </cell>
          <cell r="AA393">
            <v>36848</v>
          </cell>
        </row>
        <row r="394">
          <cell r="B394" t="str">
            <v>KHI/HO/D/MO/PC COMP/C/107407/62/02/2025</v>
          </cell>
          <cell r="D394" t="str">
            <v>REN</v>
          </cell>
          <cell r="E394" t="str">
            <v>17/02/25</v>
          </cell>
          <cell r="F394" t="str">
            <v>23/02/2025</v>
          </cell>
          <cell r="G394" t="str">
            <v>22/02/2026</v>
          </cell>
          <cell r="H394" t="str">
            <v>08004499</v>
          </cell>
          <cell r="I394" t="str">
            <v>AL BARAKA BANK (PAKISTAN) LIMITED</v>
          </cell>
          <cell r="J394" t="str">
            <v>BANK</v>
          </cell>
          <cell r="K394" t="str">
            <v xml:space="preserve">
HPA M/s. Al Baraka Bank (Pakistan) Limited 
Hpa M/S. Al Baraka Bank (Pakistan) Limited 
User: Muhammad  Asif</v>
          </cell>
          <cell r="L394" t="str">
            <v>D</v>
          </cell>
          <cell r="M394" t="str">
            <v>09000221</v>
          </cell>
          <cell r="N394">
            <v>100</v>
          </cell>
          <cell r="O394" t="str">
            <v>KARACHI</v>
          </cell>
          <cell r="P394" t="str">
            <v>Plot 28 29 Row 9 Baring Wali Gali C1 Aear Liaquatabad Karachi</v>
          </cell>
          <cell r="Q394" t="str">
            <v>11000003</v>
          </cell>
          <cell r="R394" t="str">
            <v>SUZUKI ALTO VXR E-2</v>
          </cell>
          <cell r="S394" t="str">
            <v>2021</v>
          </cell>
          <cell r="T394" t="str">
            <v>BWG-968</v>
          </cell>
          <cell r="U394" t="str">
            <v>R-159690</v>
          </cell>
          <cell r="V394" t="str">
            <v>1059721</v>
          </cell>
          <cell r="W394" t="str">
            <v>06-mar-2028</v>
          </cell>
          <cell r="Y394">
            <v>1912500</v>
          </cell>
          <cell r="Z394">
            <v>32974</v>
          </cell>
          <cell r="AA394">
            <v>38250</v>
          </cell>
        </row>
        <row r="395">
          <cell r="B395" t="str">
            <v>KHI/HO/D/MO/PC COMP/C/107407/63/02/2025</v>
          </cell>
          <cell r="D395" t="str">
            <v>REN</v>
          </cell>
          <cell r="E395" t="str">
            <v>17/02/25</v>
          </cell>
          <cell r="F395" t="str">
            <v>23/02/2025</v>
          </cell>
          <cell r="G395" t="str">
            <v>22/02/2026</v>
          </cell>
          <cell r="H395" t="str">
            <v>08004499</v>
          </cell>
          <cell r="I395" t="str">
            <v>AL BARAKA BANK (PAKISTAN) LIMITED</v>
          </cell>
          <cell r="J395" t="str">
            <v>BANK</v>
          </cell>
          <cell r="K395" t="str">
            <v xml:space="preserve">
HPA M/s. Al Baraka Bank (Pakistan) Limited 
Hpa M/S. Al Baraka Bank (Pakistan) Limited 
User: Asif   Faiz</v>
          </cell>
          <cell r="L395" t="str">
            <v>D</v>
          </cell>
          <cell r="M395" t="str">
            <v>09000221</v>
          </cell>
          <cell r="N395">
            <v>100</v>
          </cell>
          <cell r="P395" t="str">
            <v>Faisal Park Match Factory Shahdra Lahore</v>
          </cell>
          <cell r="Q395" t="str">
            <v>11000003</v>
          </cell>
          <cell r="R395" t="str">
            <v>SUZUKI WAGON-R VXL E2</v>
          </cell>
          <cell r="S395" t="str">
            <v>2022</v>
          </cell>
          <cell r="T395" t="str">
            <v>ANG-429</v>
          </cell>
          <cell r="U395" t="str">
            <v>231635</v>
          </cell>
          <cell r="V395" t="str">
            <v>10131635</v>
          </cell>
          <cell r="W395" t="str">
            <v>06-mar-2028</v>
          </cell>
          <cell r="Y395">
            <v>2443750</v>
          </cell>
          <cell r="Z395">
            <v>42134</v>
          </cell>
          <cell r="AA395">
            <v>48875</v>
          </cell>
        </row>
        <row r="396">
          <cell r="B396" t="str">
            <v>KHI/HO/D/MO/PC COMP/C/107407/64/02/2025</v>
          </cell>
          <cell r="D396" t="str">
            <v>REN</v>
          </cell>
          <cell r="E396" t="str">
            <v>17/02/25</v>
          </cell>
          <cell r="F396" t="str">
            <v>24/02/2025</v>
          </cell>
          <cell r="G396" t="str">
            <v>23/02/2026</v>
          </cell>
          <cell r="H396" t="str">
            <v>08004499</v>
          </cell>
          <cell r="I396" t="str">
            <v>AL BARAKA BANK (PAKISTAN) LIMITED</v>
          </cell>
          <cell r="J396" t="str">
            <v>BANK</v>
          </cell>
          <cell r="K396" t="str">
            <v xml:space="preserve">
HPA M/s. Al Baraka Bank (Pakistan) Limited 
Hpa M/S. Al Baraka Bank (Pakistan) Limited 
User: Muhammad Adeel Siddiqui</v>
          </cell>
          <cell r="L396" t="str">
            <v>D</v>
          </cell>
          <cell r="M396" t="str">
            <v>09000221</v>
          </cell>
          <cell r="N396">
            <v>100</v>
          </cell>
          <cell r="P396" t="str">
            <v>H # A-74 Hakeem Villas Main Jinnah Avenue Malir Karachi</v>
          </cell>
          <cell r="Q396" t="str">
            <v>11000003</v>
          </cell>
          <cell r="R396" t="str">
            <v>HONDA CITY CVT ASPIRE A/T</v>
          </cell>
          <cell r="S396" t="str">
            <v>2019</v>
          </cell>
          <cell r="T396" t="str">
            <v>BPU-137</v>
          </cell>
          <cell r="U396" t="str">
            <v>9794821</v>
          </cell>
          <cell r="V396" t="str">
            <v>KR246870</v>
          </cell>
          <cell r="W396" t="str">
            <v>05-mar-2026</v>
          </cell>
          <cell r="Y396">
            <v>2465000</v>
          </cell>
          <cell r="Z396">
            <v>42500</v>
          </cell>
          <cell r="AA396">
            <v>49300</v>
          </cell>
        </row>
        <row r="397">
          <cell r="B397" t="str">
            <v>KHI/HO/D/MO/PC COMP/C/107407/65/02/2025</v>
          </cell>
          <cell r="D397" t="str">
            <v>REN</v>
          </cell>
          <cell r="E397" t="str">
            <v>17/02/25</v>
          </cell>
          <cell r="F397" t="str">
            <v>24/02/2025</v>
          </cell>
          <cell r="G397" t="str">
            <v>23/02/2026</v>
          </cell>
          <cell r="H397" t="str">
            <v>08004499</v>
          </cell>
          <cell r="I397" t="str">
            <v>AL BARAKA BANK (PAKISTAN) LIMITED</v>
          </cell>
          <cell r="J397" t="str">
            <v>BANK</v>
          </cell>
          <cell r="K397" t="str">
            <v xml:space="preserve">
HPA M/s. Al Baraka Bank (Pakistan) Limited 
Hpa M/S. Al Baraka Bank (Pakistan) Limited 
User: Shair Afgan Sungla</v>
          </cell>
          <cell r="L397" t="str">
            <v>D</v>
          </cell>
          <cell r="M397" t="str">
            <v>09000221</v>
          </cell>
          <cell r="N397">
            <v>100</v>
          </cell>
          <cell r="P397" t="str">
            <v>Ground Floor Lane 10 H-6 Street 10 Hostel City Park Road Chatha Bakhtawar Islamabad</v>
          </cell>
          <cell r="Q397" t="str">
            <v>11000003</v>
          </cell>
          <cell r="R397" t="str">
            <v>SUZUKI CULTUS VXR EURO-II</v>
          </cell>
          <cell r="S397" t="str">
            <v>2017</v>
          </cell>
          <cell r="T397" t="str">
            <v>AEB-875</v>
          </cell>
          <cell r="U397" t="str">
            <v>103592</v>
          </cell>
          <cell r="V397" t="str">
            <v>10003564</v>
          </cell>
          <cell r="W397" t="str">
            <v>06-mar-2028</v>
          </cell>
          <cell r="Y397">
            <v>1899750</v>
          </cell>
          <cell r="Z397">
            <v>32754</v>
          </cell>
          <cell r="AA397">
            <v>37995</v>
          </cell>
        </row>
        <row r="398">
          <cell r="B398" t="str">
            <v>KHI/HO/D/MO/PC COMP/C/107407/66/02/2025</v>
          </cell>
          <cell r="D398" t="str">
            <v>REN</v>
          </cell>
          <cell r="E398" t="str">
            <v>17/02/25</v>
          </cell>
          <cell r="F398" t="str">
            <v>27/02/2025</v>
          </cell>
          <cell r="G398" t="str">
            <v>26/02/2026</v>
          </cell>
          <cell r="H398" t="str">
            <v>08004499</v>
          </cell>
          <cell r="I398" t="str">
            <v>AL BARAKA BANK (PAKISTAN) LIMITED</v>
          </cell>
          <cell r="J398" t="str">
            <v>BANK</v>
          </cell>
          <cell r="K398" t="str">
            <v xml:space="preserve">
HPA M/s. Al Baraka Bank (Pakistan) Limited 
Hpa M/S. Al Baraka Bank (Pakistan) Limited 
User: Saad  Anwar</v>
          </cell>
          <cell r="L398" t="str">
            <v>D</v>
          </cell>
          <cell r="M398" t="str">
            <v>09000221</v>
          </cell>
          <cell r="N398">
            <v>100</v>
          </cell>
          <cell r="P398" t="str">
            <v>Fl # 406 4th Floor Block A Pioneer Tower Govt Tech Society Sector 16-A Scheme 33 Gulzar E Hijri Karachi</v>
          </cell>
          <cell r="Q398" t="str">
            <v>11000003</v>
          </cell>
          <cell r="R398" t="str">
            <v>TOYOTA COROLLA XLI 1.3</v>
          </cell>
          <cell r="S398" t="str">
            <v>2017</v>
          </cell>
          <cell r="T398" t="str">
            <v>BLG-719</v>
          </cell>
          <cell r="U398" t="str">
            <v>510048</v>
          </cell>
          <cell r="V398" t="str">
            <v>4135896</v>
          </cell>
          <cell r="W398" t="str">
            <v>05-mar-2026</v>
          </cell>
          <cell r="Y398">
            <v>1827500</v>
          </cell>
          <cell r="Z398">
            <v>23632</v>
          </cell>
          <cell r="AA398">
            <v>27413</v>
          </cell>
        </row>
        <row r="399">
          <cell r="B399" t="str">
            <v>KHI/HO/D/MO/PC COMP/C/107407/67/02/2025</v>
          </cell>
          <cell r="D399" t="str">
            <v>REN</v>
          </cell>
          <cell r="E399" t="str">
            <v>17/02/25</v>
          </cell>
          <cell r="F399" t="str">
            <v>27/02/2025</v>
          </cell>
          <cell r="G399" t="str">
            <v>26/02/2026</v>
          </cell>
          <cell r="H399" t="str">
            <v>08004499</v>
          </cell>
          <cell r="I399" t="str">
            <v>AL BARAKA BANK (PAKISTAN) LIMITED</v>
          </cell>
          <cell r="J399" t="str">
            <v>BANK</v>
          </cell>
          <cell r="K399" t="str">
            <v xml:space="preserve">
HPA M/s. Al Baraka Bank (Pakistan) Limited 
Hpa M/S. Al Baraka Bank (Pakistan) Limited 
User: Abdul  Rahman</v>
          </cell>
          <cell r="L399" t="str">
            <v>D</v>
          </cell>
          <cell r="M399" t="str">
            <v>09000221</v>
          </cell>
          <cell r="N399">
            <v>100</v>
          </cell>
          <cell r="O399" t="str">
            <v>KARACHI</v>
          </cell>
          <cell r="P399" t="str">
            <v>H NO 532-C Mohallah Peoples Colony 2 Fawara Chowk Faisalabad</v>
          </cell>
          <cell r="Q399" t="str">
            <v>11000003</v>
          </cell>
          <cell r="R399" t="str">
            <v>HONDA HRV-S</v>
          </cell>
          <cell r="S399" t="str">
            <v>2023</v>
          </cell>
          <cell r="T399" t="str">
            <v>APE-379</v>
          </cell>
          <cell r="U399" t="str">
            <v>L15ZG1001797</v>
          </cell>
          <cell r="V399" t="str">
            <v>NFBRVV3851PR001801</v>
          </cell>
          <cell r="W399" t="str">
            <v>05-mar-2026</v>
          </cell>
          <cell r="Y399">
            <v>5290400</v>
          </cell>
          <cell r="Z399">
            <v>68410</v>
          </cell>
          <cell r="AA399">
            <v>79356</v>
          </cell>
        </row>
        <row r="400">
          <cell r="B400" t="str">
            <v>KHI/HO/D/MO/PC COMP/C/107407/68/02/2025</v>
          </cell>
          <cell r="D400" t="str">
            <v>REN</v>
          </cell>
          <cell r="E400" t="str">
            <v>17/02/25</v>
          </cell>
          <cell r="F400" t="str">
            <v>28/02/2025</v>
          </cell>
          <cell r="G400" t="str">
            <v>27/02/2026</v>
          </cell>
          <cell r="H400" t="str">
            <v>08004499</v>
          </cell>
          <cell r="I400" t="str">
            <v>AL BARAKA BANK (PAKISTAN) LIMITED</v>
          </cell>
          <cell r="J400" t="str">
            <v>BANK</v>
          </cell>
          <cell r="K400" t="str">
            <v xml:space="preserve">
HPA M/s. Al Baraka Bank (Pakistan) Limited 
Hpa M/S. Al Baraka Bank (Pakistan) Limited 
User: Sohail  Ilyas</v>
          </cell>
          <cell r="L400" t="str">
            <v>D</v>
          </cell>
          <cell r="M400" t="str">
            <v>09000221</v>
          </cell>
          <cell r="N400">
            <v>100</v>
          </cell>
          <cell r="P400" t="str">
            <v>H No 345 St No 02 Mohallah Model Town Humak Islamabad</v>
          </cell>
          <cell r="Q400" t="str">
            <v>11000003</v>
          </cell>
          <cell r="R400" t="str">
            <v>SUZUKI CULTUS VXR</v>
          </cell>
          <cell r="S400" t="str">
            <v>2018</v>
          </cell>
          <cell r="T400" t="str">
            <v>AKG-852</v>
          </cell>
          <cell r="U400" t="str">
            <v>125922</v>
          </cell>
          <cell r="V400" t="str">
            <v>10025899</v>
          </cell>
          <cell r="W400" t="str">
            <v>05-mar-2027</v>
          </cell>
          <cell r="Y400">
            <v>1955000</v>
          </cell>
          <cell r="Z400">
            <v>33707</v>
          </cell>
          <cell r="AA400">
            <v>39100</v>
          </cell>
        </row>
        <row r="401">
          <cell r="B401" t="str">
            <v>KHI/HO/D/MO/PC COMP/C/107407/69/02/2025</v>
          </cell>
          <cell r="D401" t="str">
            <v>REN</v>
          </cell>
          <cell r="E401" t="str">
            <v>17/02/25</v>
          </cell>
          <cell r="F401" t="str">
            <v>28/02/2025</v>
          </cell>
          <cell r="G401" t="str">
            <v>27/02/2026</v>
          </cell>
          <cell r="H401" t="str">
            <v>08004499</v>
          </cell>
          <cell r="I401" t="str">
            <v>AL BARAKA BANK (PAKISTAN) LIMITED</v>
          </cell>
          <cell r="J401" t="str">
            <v>BANK</v>
          </cell>
          <cell r="K401" t="str">
            <v xml:space="preserve">
HPA M/s. Al Baraka Bank (Pakistan) Limited 
Hpa M/S. Al Baraka Bank (Pakistan) Limited 
User: Qaiser  Abbas</v>
          </cell>
          <cell r="L401" t="str">
            <v>D</v>
          </cell>
          <cell r="M401" t="str">
            <v>09000221</v>
          </cell>
          <cell r="N401">
            <v>100</v>
          </cell>
          <cell r="O401" t="str">
            <v>KARACHI</v>
          </cell>
          <cell r="P401" t="str">
            <v>H No 4 Jinnah Block Awan Town Multan Road Lahore</v>
          </cell>
          <cell r="Q401" t="str">
            <v>11000003</v>
          </cell>
          <cell r="R401" t="str">
            <v>HONDA CITY</v>
          </cell>
          <cell r="S401" t="str">
            <v>2018</v>
          </cell>
          <cell r="T401" t="str">
            <v>LE-19-5822</v>
          </cell>
          <cell r="U401" t="str">
            <v>Z17522216</v>
          </cell>
          <cell r="V401" t="str">
            <v>R238868</v>
          </cell>
          <cell r="W401" t="str">
            <v>05-mar-2026</v>
          </cell>
          <cell r="Y401">
            <v>2754000</v>
          </cell>
          <cell r="Z401">
            <v>47483</v>
          </cell>
          <cell r="AA401">
            <v>55080</v>
          </cell>
        </row>
        <row r="402">
          <cell r="B402" t="str">
            <v>KHI/HO/D/MO/PC COMP/C/107407/70/02/2025</v>
          </cell>
          <cell r="D402" t="str">
            <v>REN</v>
          </cell>
          <cell r="E402" t="str">
            <v>17/02/25</v>
          </cell>
          <cell r="F402" t="str">
            <v>28/02/2025</v>
          </cell>
          <cell r="G402" t="str">
            <v>27/02/2026</v>
          </cell>
          <cell r="H402" t="str">
            <v>08004499</v>
          </cell>
          <cell r="I402" t="str">
            <v>AL BARAKA BANK (PAKISTAN) LIMITED</v>
          </cell>
          <cell r="J402" t="str">
            <v>BANK</v>
          </cell>
          <cell r="K402" t="str">
            <v xml:space="preserve">
HPA M/s. Al Baraka Bank (Pakistan) Limited 
Hpa M/S. Al Baraka Bank (Pakistan) Limited 
User: Muhammad  Junaid</v>
          </cell>
          <cell r="L402" t="str">
            <v>D</v>
          </cell>
          <cell r="M402" t="str">
            <v>09000221</v>
          </cell>
          <cell r="N402">
            <v>100</v>
          </cell>
          <cell r="O402" t="str">
            <v>KARACHI</v>
          </cell>
          <cell r="P402" t="str">
            <v>H No 57 Block GH Punjab University Gate No 1 Wahaqat Road Lahore</v>
          </cell>
          <cell r="Q402" t="str">
            <v>11000003</v>
          </cell>
          <cell r="R402" t="str">
            <v>SUZUKI CULTUS VXL</v>
          </cell>
          <cell r="S402" t="str">
            <v>2021</v>
          </cell>
          <cell r="T402" t="str">
            <v>ACC-603</v>
          </cell>
          <cell r="U402" t="str">
            <v>K168554</v>
          </cell>
          <cell r="V402" t="str">
            <v>H10068542</v>
          </cell>
          <cell r="W402" t="str">
            <v>06-mar-2028</v>
          </cell>
          <cell r="Y402">
            <v>2677500</v>
          </cell>
          <cell r="Z402">
            <v>46163</v>
          </cell>
          <cell r="AA402">
            <v>53550</v>
          </cell>
        </row>
        <row r="403">
          <cell r="B403" t="str">
            <v>KHI/HO/D/MO/PC COMP/C/107407/71/02/2025</v>
          </cell>
          <cell r="D403" t="str">
            <v>REN</v>
          </cell>
          <cell r="E403" t="str">
            <v>17/02/25</v>
          </cell>
          <cell r="F403" t="str">
            <v>07/02/2025</v>
          </cell>
          <cell r="G403" t="str">
            <v>06/02/2026</v>
          </cell>
          <cell r="H403" t="str">
            <v>08004499</v>
          </cell>
          <cell r="I403" t="str">
            <v>AL BARAKA BANK (PAKISTAN) LIMITED</v>
          </cell>
          <cell r="J403" t="str">
            <v>BANK</v>
          </cell>
          <cell r="K403" t="str">
            <v xml:space="preserve">
HPA M/s. Al Baraka Bank (Pakistan) Limited 
Hpa M/S. Al Baraka Bank (Pakistan) Limited 
User: Muhammad  Zuhaib  Akram</v>
          </cell>
          <cell r="L403" t="str">
            <v>D</v>
          </cell>
          <cell r="M403" t="str">
            <v>09000221</v>
          </cell>
          <cell r="N403">
            <v>100</v>
          </cell>
          <cell r="P403" t="str">
            <v>H NO 102 St 4 Ghouri Town Phase 4B Islamabad</v>
          </cell>
          <cell r="Q403" t="str">
            <v>11000003</v>
          </cell>
          <cell r="R403" t="str">
            <v>SUZUKI WAGON R VXL</v>
          </cell>
          <cell r="S403" t="str">
            <v>2019</v>
          </cell>
          <cell r="T403" t="str">
            <v>LEA-6977</v>
          </cell>
          <cell r="U403" t="str">
            <v>193761</v>
          </cell>
          <cell r="V403" t="str">
            <v>10093811</v>
          </cell>
          <cell r="W403" t="str">
            <v>05-feb-2028</v>
          </cell>
          <cell r="Y403">
            <v>1700000</v>
          </cell>
          <cell r="Z403">
            <v>29310</v>
          </cell>
          <cell r="AA403">
            <v>34000</v>
          </cell>
        </row>
        <row r="404">
          <cell r="B404" t="str">
            <v>KHI/HO/D/MO/PC COMP/C/107407/72/02/2025</v>
          </cell>
          <cell r="D404" t="str">
            <v>REN</v>
          </cell>
          <cell r="E404" t="str">
            <v>17/02/25</v>
          </cell>
          <cell r="F404" t="str">
            <v>28/02/2025</v>
          </cell>
          <cell r="G404" t="str">
            <v>27/02/2026</v>
          </cell>
          <cell r="H404" t="str">
            <v>08004499</v>
          </cell>
          <cell r="I404" t="str">
            <v>AL BARAKA BANK (PAKISTAN) LIMITED</v>
          </cell>
          <cell r="J404" t="str">
            <v>BANK</v>
          </cell>
          <cell r="K404" t="str">
            <v xml:space="preserve">
HPA M/s. Al Baraka Bank (Pakistan) Limited 
Hpa M/S. Al Baraka Bank (Pakistan) Limited 
User: Muhammad  Ijaz</v>
          </cell>
          <cell r="L404" t="str">
            <v>D</v>
          </cell>
          <cell r="M404" t="str">
            <v>09000221</v>
          </cell>
          <cell r="N404">
            <v>100</v>
          </cell>
          <cell r="O404" t="str">
            <v>KARACHI</v>
          </cell>
          <cell r="P404" t="str">
            <v>H # 777/206 Street 20 Mohallah Razabad Bazar # 2 Faisalabad</v>
          </cell>
          <cell r="Q404" t="str">
            <v>11000003</v>
          </cell>
          <cell r="R404" t="str">
            <v>SUZUKI WAGON-R VXL E2</v>
          </cell>
          <cell r="S404" t="str">
            <v>2022</v>
          </cell>
          <cell r="T404" t="str">
            <v>AKW-903</v>
          </cell>
          <cell r="U404" t="str">
            <v>PK10B235941</v>
          </cell>
          <cell r="V404" t="str">
            <v>A1J310PK10135965</v>
          </cell>
          <cell r="W404" t="str">
            <v>06-mar-2028</v>
          </cell>
          <cell r="Y404">
            <v>2371500</v>
          </cell>
          <cell r="Z404">
            <v>40888</v>
          </cell>
          <cell r="AA404">
            <v>47430</v>
          </cell>
        </row>
        <row r="405">
          <cell r="B405" t="str">
            <v>KHI/HO/D/MO/PC COMP/C/107407/73/02/2025</v>
          </cell>
          <cell r="D405" t="str">
            <v>REN</v>
          </cell>
          <cell r="E405" t="str">
            <v>17/02/25</v>
          </cell>
          <cell r="F405" t="str">
            <v>28/02/2025</v>
          </cell>
          <cell r="G405" t="str">
            <v>27/02/2026</v>
          </cell>
          <cell r="H405" t="str">
            <v>08004499</v>
          </cell>
          <cell r="I405" t="str">
            <v>AL BARAKA BANK (PAKISTAN) LIMITED</v>
          </cell>
          <cell r="J405" t="str">
            <v>BANK</v>
          </cell>
          <cell r="K405" t="str">
            <v xml:space="preserve">
HPA M/s. Al Baraka Bank (Pakistan) Limited 
Hpa M/S. Al Baraka Bank (Pakistan) Limited 
User: Salman  Rasheed</v>
          </cell>
          <cell r="L405" t="str">
            <v>D</v>
          </cell>
          <cell r="M405" t="str">
            <v>09000221</v>
          </cell>
          <cell r="N405">
            <v>100</v>
          </cell>
          <cell r="P405" t="str">
            <v>H No 15 S-3 Block A-2 Gulberg 3 Lahore</v>
          </cell>
          <cell r="Q405" t="str">
            <v>11000003</v>
          </cell>
          <cell r="R405" t="str">
            <v>SUZUKI MEHRAN VXR</v>
          </cell>
          <cell r="S405" t="str">
            <v>2016</v>
          </cell>
          <cell r="T405" t="str">
            <v>LEA-16A-1930</v>
          </cell>
          <cell r="U405" t="str">
            <v>664476</v>
          </cell>
          <cell r="V405" t="str">
            <v>1202941</v>
          </cell>
          <cell r="W405" t="str">
            <v>05-mar-2026</v>
          </cell>
          <cell r="Y405">
            <v>841500</v>
          </cell>
          <cell r="Z405">
            <v>14509</v>
          </cell>
          <cell r="AA405">
            <v>16830</v>
          </cell>
        </row>
        <row r="406">
          <cell r="B406" t="str">
            <v>KHI/HO/D/MO/PC COMP/C/107407/74/02/2025</v>
          </cell>
          <cell r="D406" t="str">
            <v>REN</v>
          </cell>
          <cell r="E406" t="str">
            <v>17/02/25</v>
          </cell>
          <cell r="F406" t="str">
            <v>28/02/2025</v>
          </cell>
          <cell r="G406" t="str">
            <v>27/02/2026</v>
          </cell>
          <cell r="H406" t="str">
            <v>08004499</v>
          </cell>
          <cell r="I406" t="str">
            <v>AL BARAKA BANK (PAKISTAN) LIMITED</v>
          </cell>
          <cell r="J406" t="str">
            <v>BANK</v>
          </cell>
          <cell r="K406" t="str">
            <v xml:space="preserve">
HPA M/s. Al Baraka Bank (Pakistan) Limited 
Hpa M/S. Al Baraka Bank (Pakistan) Limited 
User: Nausheen  Imran</v>
          </cell>
          <cell r="L406" t="str">
            <v>D</v>
          </cell>
          <cell r="M406" t="str">
            <v>09000221</v>
          </cell>
          <cell r="N406">
            <v>100</v>
          </cell>
          <cell r="P406" t="str">
            <v>H # 252 K-2 Wapda Town Lahore</v>
          </cell>
          <cell r="Q406" t="str">
            <v>11000003</v>
          </cell>
          <cell r="R406" t="str">
            <v>TOYOTA PASSO A/T</v>
          </cell>
          <cell r="S406" t="str">
            <v>2013</v>
          </cell>
          <cell r="T406" t="str">
            <v>ACH 983</v>
          </cell>
          <cell r="U406" t="str">
            <v>390312</v>
          </cell>
          <cell r="V406" t="str">
            <v>146249</v>
          </cell>
          <cell r="W406" t="str">
            <v>05-mar-2027</v>
          </cell>
          <cell r="Y406">
            <v>1870000</v>
          </cell>
          <cell r="Z406">
            <v>32242</v>
          </cell>
          <cell r="AA406">
            <v>37400</v>
          </cell>
        </row>
        <row r="407">
          <cell r="B407" t="str">
            <v>KHI/HO/D/MO/PC COMP/C/107407/75/02/2025</v>
          </cell>
          <cell r="D407" t="str">
            <v>REN</v>
          </cell>
          <cell r="E407" t="str">
            <v>17/02/25</v>
          </cell>
          <cell r="F407" t="str">
            <v>28/02/2025</v>
          </cell>
          <cell r="G407" t="str">
            <v>27/02/2026</v>
          </cell>
          <cell r="H407" t="str">
            <v>08004499</v>
          </cell>
          <cell r="I407" t="str">
            <v>AL BARAKA BANK (PAKISTAN) LIMITED</v>
          </cell>
          <cell r="J407" t="str">
            <v>BANK</v>
          </cell>
          <cell r="K407" t="str">
            <v xml:space="preserve">
HPA M/s. Al Baraka Bank (Pakistan) Limited 
Hpa M/S. Al Baraka Bank (Pakistan) Limited 
User: Muhammad  Bashir</v>
          </cell>
          <cell r="L407" t="str">
            <v>D</v>
          </cell>
          <cell r="M407" t="str">
            <v>09000221</v>
          </cell>
          <cell r="N407">
            <v>100</v>
          </cell>
          <cell r="P407" t="str">
            <v>St -1 Mohalla Chaudhrian Near Masjid Al Amin Nayaiabadi Morgah Rawalpindi</v>
          </cell>
          <cell r="Q407" t="str">
            <v>11000003</v>
          </cell>
          <cell r="R407" t="str">
            <v>SUZUKI WAGON R VXL</v>
          </cell>
          <cell r="S407" t="str">
            <v>2021</v>
          </cell>
          <cell r="T407" t="str">
            <v>AUV-238</v>
          </cell>
          <cell r="U407" t="str">
            <v>218485</v>
          </cell>
          <cell r="V407" t="str">
            <v>10118484</v>
          </cell>
          <cell r="W407" t="str">
            <v>06-mar-2028</v>
          </cell>
          <cell r="Y407">
            <v>2052750</v>
          </cell>
          <cell r="Z407">
            <v>35392</v>
          </cell>
          <cell r="AA407">
            <v>41055</v>
          </cell>
        </row>
        <row r="408">
          <cell r="B408" t="str">
            <v>KHI/HO/D/MO/PC COMP/C/107407/76/02/2025</v>
          </cell>
          <cell r="D408" t="str">
            <v>REN</v>
          </cell>
          <cell r="E408" t="str">
            <v>17/02/25</v>
          </cell>
          <cell r="F408" t="str">
            <v>28/02/2025</v>
          </cell>
          <cell r="G408" t="str">
            <v>27/02/2026</v>
          </cell>
          <cell r="H408" t="str">
            <v>08004499</v>
          </cell>
          <cell r="I408" t="str">
            <v>AL BARAKA BANK (PAKISTAN) LIMITED</v>
          </cell>
          <cell r="J408" t="str">
            <v>BANK</v>
          </cell>
          <cell r="K408" t="str">
            <v xml:space="preserve">
HPA M/s. Al Baraka Bank (Pakistan) Limited 
Hpa M/S. Al Baraka Bank (Pakistan) Limited 
User: Muhammad Usman  Kaleem</v>
          </cell>
          <cell r="L408" t="str">
            <v>D</v>
          </cell>
          <cell r="M408" t="str">
            <v>09000221</v>
          </cell>
          <cell r="N408">
            <v>100</v>
          </cell>
          <cell r="P408" t="str">
            <v>H # 136-A Block 8 DG Khan</v>
          </cell>
          <cell r="Q408" t="str">
            <v>11000003</v>
          </cell>
          <cell r="R408" t="str">
            <v>SUZUKI CULTUS VXL EURO II</v>
          </cell>
          <cell r="S408" t="str">
            <v>2021</v>
          </cell>
          <cell r="T408" t="str">
            <v>ANK-690</v>
          </cell>
          <cell r="U408" t="str">
            <v>171619</v>
          </cell>
          <cell r="V408" t="str">
            <v>10071601</v>
          </cell>
          <cell r="W408" t="str">
            <v>06-mar-2028</v>
          </cell>
          <cell r="Y408">
            <v>2550000</v>
          </cell>
          <cell r="Z408">
            <v>43965</v>
          </cell>
          <cell r="AA408">
            <v>51000</v>
          </cell>
        </row>
        <row r="409">
          <cell r="B409" t="str">
            <v>KHI/HO/D/MO/PC COMP/C/107407/77/02/2025</v>
          </cell>
          <cell r="D409" t="str">
            <v>REN</v>
          </cell>
          <cell r="E409" t="str">
            <v>17/02/25</v>
          </cell>
          <cell r="F409" t="str">
            <v>28/02/2025</v>
          </cell>
          <cell r="G409" t="str">
            <v>27/02/2026</v>
          </cell>
          <cell r="H409" t="str">
            <v>08004499</v>
          </cell>
          <cell r="I409" t="str">
            <v>AL BARAKA BANK (PAKISTAN) LIMITED</v>
          </cell>
          <cell r="J409" t="str">
            <v>BANK</v>
          </cell>
          <cell r="K409" t="str">
            <v xml:space="preserve">
HPA M/s. Al Baraka Bank (Pakistan) Limited 
Hpa M/S. Al Baraka Bank (Pakistan) Limited 
User: Muhammad   Tanveer</v>
          </cell>
          <cell r="L409" t="str">
            <v>D</v>
          </cell>
          <cell r="M409" t="str">
            <v>09000221</v>
          </cell>
          <cell r="N409">
            <v>100</v>
          </cell>
          <cell r="O409" t="str">
            <v>KARACHI</v>
          </cell>
          <cell r="P409" t="str">
            <v>H # 1 Latif Villas Street MPS Road Inside Gagra Villa Multan</v>
          </cell>
          <cell r="Q409" t="str">
            <v>11000003</v>
          </cell>
          <cell r="R409" t="str">
            <v>SUZUKI ALTO VXR E-2</v>
          </cell>
          <cell r="S409" t="str">
            <v>2019</v>
          </cell>
          <cell r="T409" t="str">
            <v>LE-19A-274</v>
          </cell>
          <cell r="U409" t="str">
            <v>6R114144</v>
          </cell>
          <cell r="V409" t="str">
            <v>H1014122</v>
          </cell>
          <cell r="W409" t="str">
            <v>06-mar-2028</v>
          </cell>
          <cell r="Y409">
            <v>1742500</v>
          </cell>
          <cell r="Z409">
            <v>30044</v>
          </cell>
          <cell r="AA409">
            <v>34850</v>
          </cell>
        </row>
        <row r="410">
          <cell r="B410" t="str">
            <v>KHI/HO/D/MO/PC COMP/C/107407/78/02/2025</v>
          </cell>
          <cell r="D410" t="str">
            <v>REN</v>
          </cell>
          <cell r="E410" t="str">
            <v>17/02/25</v>
          </cell>
          <cell r="F410" t="str">
            <v>28/02/2025</v>
          </cell>
          <cell r="G410" t="str">
            <v>27/02/2026</v>
          </cell>
          <cell r="H410" t="str">
            <v>08004499</v>
          </cell>
          <cell r="I410" t="str">
            <v>AL BARAKA BANK (PAKISTAN) LIMITED</v>
          </cell>
          <cell r="J410" t="str">
            <v>BANK</v>
          </cell>
          <cell r="K410" t="str">
            <v xml:space="preserve">
HPA M/s. Al Baraka Bank (Pakistan) Limited 
Hpa M/S. Al Baraka Bank (Pakistan) Limited 
User: Muhammad  Shahbaz</v>
          </cell>
          <cell r="L410" t="str">
            <v>D</v>
          </cell>
          <cell r="M410" t="str">
            <v>09000221</v>
          </cell>
          <cell r="N410">
            <v>100</v>
          </cell>
          <cell r="P410" t="str">
            <v>Mohlan Wal Khurd Multan Road Lahore</v>
          </cell>
          <cell r="Q410" t="str">
            <v>11000003</v>
          </cell>
          <cell r="R410" t="str">
            <v>SUZUKI WAGON-R VXL E2</v>
          </cell>
          <cell r="S410" t="str">
            <v>2018</v>
          </cell>
          <cell r="T410" t="str">
            <v>LEC-18A-8405</v>
          </cell>
          <cell r="U410" t="str">
            <v>175438</v>
          </cell>
          <cell r="V410" t="str">
            <v>10075440</v>
          </cell>
          <cell r="W410" t="str">
            <v>06-mar-2028</v>
          </cell>
          <cell r="Y410">
            <v>1547000</v>
          </cell>
          <cell r="Z410">
            <v>26672</v>
          </cell>
          <cell r="AA410">
            <v>30940</v>
          </cell>
        </row>
        <row r="411">
          <cell r="B411" t="str">
            <v>KHI/HO/D/MO/PC COMP/C/107407/79/02/2025</v>
          </cell>
          <cell r="D411" t="str">
            <v>REN</v>
          </cell>
          <cell r="E411" t="str">
            <v>17/02/25</v>
          </cell>
          <cell r="F411" t="str">
            <v>28/02/2025</v>
          </cell>
          <cell r="G411" t="str">
            <v>27/02/2026</v>
          </cell>
          <cell r="H411" t="str">
            <v>08004499</v>
          </cell>
          <cell r="I411" t="str">
            <v>AL BARAKA BANK (PAKISTAN) LIMITED</v>
          </cell>
          <cell r="J411" t="str">
            <v>BANK</v>
          </cell>
          <cell r="K411" t="str">
            <v xml:space="preserve">
HPA M/s. Al Baraka Bank (Pakistan) Limited 
Hpa M/S. Al Baraka Bank (Pakistan) Limited 
User: Waris   Ali</v>
          </cell>
          <cell r="L411" t="str">
            <v>D</v>
          </cell>
          <cell r="M411" t="str">
            <v>09000221</v>
          </cell>
          <cell r="N411">
            <v>100</v>
          </cell>
          <cell r="O411" t="str">
            <v>KARACHI</v>
          </cell>
          <cell r="P411" t="str">
            <v>H # 12 Chota Pind Gujrawali Scheme Street 4 Mohlanwal Main Multan Road Lahore</v>
          </cell>
          <cell r="Q411" t="str">
            <v>11000003</v>
          </cell>
          <cell r="R411" t="str">
            <v>SUZUKI WAGON-R VXL E2</v>
          </cell>
          <cell r="S411" t="str">
            <v>2017</v>
          </cell>
          <cell r="T411" t="str">
            <v>LE-17A-3652</v>
          </cell>
          <cell r="U411" t="str">
            <v>B1388127</v>
          </cell>
          <cell r="V411" t="str">
            <v>PK10037884</v>
          </cell>
          <cell r="W411" t="str">
            <v>06-mar-2028</v>
          </cell>
          <cell r="Y411">
            <v>1700000</v>
          </cell>
          <cell r="Z411">
            <v>29310</v>
          </cell>
          <cell r="AA411">
            <v>34000</v>
          </cell>
        </row>
        <row r="412">
          <cell r="B412" t="str">
            <v>KHI/HO/D/MO/PC COMP/C/107407/80/02/2025</v>
          </cell>
          <cell r="D412" t="str">
            <v>REN</v>
          </cell>
          <cell r="E412" t="str">
            <v>17/02/25</v>
          </cell>
          <cell r="F412" t="str">
            <v>09/02/2025</v>
          </cell>
          <cell r="G412" t="str">
            <v>08/02/2026</v>
          </cell>
          <cell r="H412" t="str">
            <v>08004499</v>
          </cell>
          <cell r="I412" t="str">
            <v>AL BARAKA BANK (PAKISTAN) LIMITED</v>
          </cell>
          <cell r="J412" t="str">
            <v>BANK</v>
          </cell>
          <cell r="K412" t="str">
            <v xml:space="preserve">
HPA M/s. Al Baraka Bank (Pakistan) Limited 
Hpa M/S. Al Baraka Bank (Pakistan) Limited 
User: Mubashar   Iqbal</v>
          </cell>
          <cell r="L412" t="str">
            <v>D</v>
          </cell>
          <cell r="M412" t="str">
            <v>09000221</v>
          </cell>
          <cell r="N412">
            <v>100</v>
          </cell>
          <cell r="O412" t="str">
            <v>KARACHI</v>
          </cell>
          <cell r="P412" t="str">
            <v>H NO 02 St 18 Johar Town Lahore</v>
          </cell>
          <cell r="Q412" t="str">
            <v>11000003</v>
          </cell>
          <cell r="R412" t="str">
            <v>SUZUKI CULTUS VXL</v>
          </cell>
          <cell r="S412" t="str">
            <v>2020</v>
          </cell>
          <cell r="T412" t="str">
            <v>ABF-726</v>
          </cell>
          <cell r="U412" t="str">
            <v>K165900</v>
          </cell>
          <cell r="V412" t="str">
            <v>H10065939</v>
          </cell>
          <cell r="W412" t="str">
            <v>05-feb-2028</v>
          </cell>
          <cell r="Y412">
            <v>2380000</v>
          </cell>
          <cell r="Z412">
            <v>41035</v>
          </cell>
          <cell r="AA412">
            <v>47600</v>
          </cell>
        </row>
        <row r="413">
          <cell r="B413" t="str">
            <v>KHI/HO/D/MO/PC COMP/C/107407/81/02/2025</v>
          </cell>
          <cell r="D413" t="str">
            <v>REN</v>
          </cell>
          <cell r="E413" t="str">
            <v>17/02/25</v>
          </cell>
          <cell r="F413" t="str">
            <v>09/02/2025</v>
          </cell>
          <cell r="G413" t="str">
            <v>08/02/2026</v>
          </cell>
          <cell r="H413" t="str">
            <v>08004499</v>
          </cell>
          <cell r="I413" t="str">
            <v>AL BARAKA BANK (PAKISTAN) LIMITED</v>
          </cell>
          <cell r="J413" t="str">
            <v>BANK</v>
          </cell>
          <cell r="K413" t="str">
            <v xml:space="preserve">
HPA M/s. Al Baraka Bank (Pakistan) Limited 
Hpa M/S. Al Baraka Bank (Pakistan) Limited 
User: Sadia   Nasir</v>
          </cell>
          <cell r="L413" t="str">
            <v>D</v>
          </cell>
          <cell r="M413" t="str">
            <v>09000221</v>
          </cell>
          <cell r="N413">
            <v>100</v>
          </cell>
          <cell r="O413" t="str">
            <v>KARACHI</v>
          </cell>
          <cell r="P413" t="str">
            <v>H No P 14 B A Block 12 Madina Town  Faisalabad</v>
          </cell>
          <cell r="Q413" t="str">
            <v>11000003</v>
          </cell>
          <cell r="R413" t="str">
            <v>TOYOTA YARIS ATIV X 1.5 A</v>
          </cell>
          <cell r="S413" t="str">
            <v>2020</v>
          </cell>
          <cell r="T413" t="str">
            <v>AAE-828</v>
          </cell>
          <cell r="U413" t="str">
            <v>2A05992</v>
          </cell>
          <cell r="V413" t="str">
            <v>NSP151R-9502765</v>
          </cell>
          <cell r="W413" t="str">
            <v>05-feb-2026</v>
          </cell>
          <cell r="Y413">
            <v>3060000</v>
          </cell>
          <cell r="Z413">
            <v>39569</v>
          </cell>
          <cell r="AA413">
            <v>45900</v>
          </cell>
        </row>
        <row r="414">
          <cell r="B414" t="str">
            <v>KHI/HO/D/MO/PC COMP/C/107407/82/02/2025</v>
          </cell>
          <cell r="D414" t="str">
            <v>REN</v>
          </cell>
          <cell r="E414" t="str">
            <v>17/02/25</v>
          </cell>
          <cell r="F414" t="str">
            <v>13/02/2025</v>
          </cell>
          <cell r="G414" t="str">
            <v>12/02/2026</v>
          </cell>
          <cell r="H414" t="str">
            <v>08004499</v>
          </cell>
          <cell r="I414" t="str">
            <v>AL BARAKA BANK (PAKISTAN) LIMITED</v>
          </cell>
          <cell r="J414" t="str">
            <v>BANK</v>
          </cell>
          <cell r="K414" t="str">
            <v xml:space="preserve">
HPA M/s. Al Baraka Bank (Pakistan) Limited 
Hpa M/S. Al Baraka Bank (Pakistan) Limited 
User: Shahbaz  Ahmad</v>
          </cell>
          <cell r="L414" t="str">
            <v>D</v>
          </cell>
          <cell r="M414" t="str">
            <v>09000221</v>
          </cell>
          <cell r="N414">
            <v>100</v>
          </cell>
          <cell r="O414" t="str">
            <v>KARACHI</v>
          </cell>
          <cell r="P414" t="str">
            <v>Chak No 63 JB Mehta Jhang Road Sadhar By Pass Faisalabad</v>
          </cell>
          <cell r="Q414" t="str">
            <v>11000003</v>
          </cell>
          <cell r="R414" t="str">
            <v>KIA PICANTO 1.0L A/T</v>
          </cell>
          <cell r="S414" t="str">
            <v>2023</v>
          </cell>
          <cell r="T414" t="str">
            <v>ANS-957</v>
          </cell>
          <cell r="U414" t="str">
            <v>G3LANP121178</v>
          </cell>
          <cell r="V414" t="str">
            <v>NNATA52AZKP711622</v>
          </cell>
          <cell r="W414" t="str">
            <v>05-mar-2026</v>
          </cell>
          <cell r="Y414">
            <v>2931650</v>
          </cell>
          <cell r="Z414">
            <v>50546</v>
          </cell>
          <cell r="AA414">
            <v>58633</v>
          </cell>
        </row>
        <row r="415">
          <cell r="B415" t="str">
            <v>KHI/HO/D/MO/PC COMP/C/107407/83/02/2025</v>
          </cell>
          <cell r="D415" t="str">
            <v>REN</v>
          </cell>
          <cell r="E415" t="str">
            <v>17/02/25</v>
          </cell>
          <cell r="F415" t="str">
            <v>13/02/2025</v>
          </cell>
          <cell r="G415" t="str">
            <v>12/02/2026</v>
          </cell>
          <cell r="H415" t="str">
            <v>08004499</v>
          </cell>
          <cell r="I415" t="str">
            <v>AL BARAKA BANK (PAKISTAN) LIMITED</v>
          </cell>
          <cell r="J415" t="str">
            <v>BANK</v>
          </cell>
          <cell r="K415" t="str">
            <v xml:space="preserve">
HPA M/s. Al Baraka Bank (Pakistan) Limited 
Hpa M/S. Al Baraka Bank (Pakistan) Limited 
User: Suhail  Ahmed</v>
          </cell>
          <cell r="L415" t="str">
            <v>D</v>
          </cell>
          <cell r="M415" t="str">
            <v>09000221</v>
          </cell>
          <cell r="N415">
            <v>100</v>
          </cell>
          <cell r="P415" t="str">
            <v>H No 832 / A Street 01 Mehmoodabad Gate Karachi</v>
          </cell>
          <cell r="Q415" t="str">
            <v>11000003</v>
          </cell>
          <cell r="R415" t="str">
            <v>KIA PICANTO 1.0L A/T</v>
          </cell>
          <cell r="S415" t="str">
            <v>2019</v>
          </cell>
          <cell r="T415" t="str">
            <v>BRJ -165</v>
          </cell>
          <cell r="U415" t="str">
            <v>148121</v>
          </cell>
          <cell r="V415" t="str">
            <v>700401</v>
          </cell>
          <cell r="W415" t="str">
            <v>06-mar-2028</v>
          </cell>
          <cell r="Y415">
            <v>1785000</v>
          </cell>
          <cell r="Z415">
            <v>30776</v>
          </cell>
          <cell r="AA415">
            <v>35700</v>
          </cell>
        </row>
        <row r="416">
          <cell r="B416" t="str">
            <v>KHI/HO/D/MO/PC COMP/C/107407/84/02/2025</v>
          </cell>
          <cell r="D416" t="str">
            <v>REN</v>
          </cell>
          <cell r="E416" t="str">
            <v>17/02/25</v>
          </cell>
          <cell r="F416" t="str">
            <v>02/02/2025</v>
          </cell>
          <cell r="G416" t="str">
            <v>01/02/2026</v>
          </cell>
          <cell r="H416" t="str">
            <v>08004499</v>
          </cell>
          <cell r="I416" t="str">
            <v>AL BARAKA BANK (PAKISTAN) LIMITED</v>
          </cell>
          <cell r="J416" t="str">
            <v>BANK</v>
          </cell>
          <cell r="K416" t="str">
            <v xml:space="preserve">
HPA M/s. Al Baraka Bank (Pakistan) Limited 
Hpa M/S. Al Baraka Bank (Pakistan) Limited 
User: Muhammad  Ikram</v>
          </cell>
          <cell r="L416" t="str">
            <v>D</v>
          </cell>
          <cell r="M416" t="str">
            <v>09000221</v>
          </cell>
          <cell r="N416">
            <v>100</v>
          </cell>
          <cell r="P416" t="str">
            <v>H No 136 -137 St No 2 Muhallah Pak Town Chungi Amer Sidhu Lahore</v>
          </cell>
          <cell r="Q416" t="str">
            <v>11000003</v>
          </cell>
          <cell r="R416" t="str">
            <v>SUZUKI WAGON R VXL</v>
          </cell>
          <cell r="S416" t="str">
            <v>2022</v>
          </cell>
          <cell r="T416" t="str">
            <v>AHG-297</v>
          </cell>
          <cell r="U416" t="str">
            <v>228703</v>
          </cell>
          <cell r="V416" t="str">
            <v>10128712</v>
          </cell>
          <cell r="W416" t="str">
            <v>05-feb-2027</v>
          </cell>
          <cell r="Y416">
            <v>1580000</v>
          </cell>
          <cell r="Z416">
            <v>23837</v>
          </cell>
          <cell r="AA416">
            <v>27650</v>
          </cell>
        </row>
        <row r="417">
          <cell r="B417" t="str">
            <v>KHI/HO/D/MO/PC COMP/C/107407/85/02/2025</v>
          </cell>
          <cell r="D417" t="str">
            <v>REN</v>
          </cell>
          <cell r="E417" t="str">
            <v>17/02/25</v>
          </cell>
          <cell r="F417" t="str">
            <v>07/02/2025</v>
          </cell>
          <cell r="G417" t="str">
            <v>06/02/2026</v>
          </cell>
          <cell r="H417" t="str">
            <v>08004499</v>
          </cell>
          <cell r="I417" t="str">
            <v>AL BARAKA BANK (PAKISTAN) LIMITED</v>
          </cell>
          <cell r="J417" t="str">
            <v>BANK</v>
          </cell>
          <cell r="K417" t="str">
            <v xml:space="preserve">
HPA M/s. Al Baraka Bank (Pakistan) Limited 
Hpa M/S. Al Baraka Bank (Pakistan) Limited 
User: Naseem  Ahmad</v>
          </cell>
          <cell r="L417" t="str">
            <v>D</v>
          </cell>
          <cell r="M417" t="str">
            <v>09000221</v>
          </cell>
          <cell r="N417">
            <v>100</v>
          </cell>
          <cell r="O417" t="str">
            <v>KARACHI</v>
          </cell>
          <cell r="P417" t="str">
            <v>H No B-1027 Sutar Mandi Lahori Gate Lahore</v>
          </cell>
          <cell r="Q417" t="str">
            <v>11000003</v>
          </cell>
          <cell r="R417" t="str">
            <v>SUZUKI WAGON R VXL</v>
          </cell>
          <cell r="S417" t="str">
            <v>2018</v>
          </cell>
          <cell r="T417" t="str">
            <v>LEB-18-8486</v>
          </cell>
          <cell r="U417" t="str">
            <v>B153883</v>
          </cell>
          <cell r="V417" t="str">
            <v>K10053861</v>
          </cell>
          <cell r="W417" t="str">
            <v>05-feb-2027</v>
          </cell>
          <cell r="Y417">
            <v>1200000</v>
          </cell>
          <cell r="Z417">
            <v>18103</v>
          </cell>
          <cell r="AA417">
            <v>21000</v>
          </cell>
        </row>
        <row r="418">
          <cell r="B418" t="str">
            <v>KHI/HO/D/MO/PC COMP/C/107407/86/02/2025</v>
          </cell>
          <cell r="D418" t="str">
            <v>REN</v>
          </cell>
          <cell r="E418" t="str">
            <v>17/02/25</v>
          </cell>
          <cell r="F418" t="str">
            <v>07/02/2025</v>
          </cell>
          <cell r="G418" t="str">
            <v>06/02/2026</v>
          </cell>
          <cell r="H418" t="str">
            <v>08004499</v>
          </cell>
          <cell r="I418" t="str">
            <v>AL BARAKA BANK (PAKISTAN) LIMITED</v>
          </cell>
          <cell r="J418" t="str">
            <v>BANK</v>
          </cell>
          <cell r="K418" t="str">
            <v xml:space="preserve">
HPA M/s. Al Baraka Bank (Pakistan) Limited 
Hpa M/S. Al Baraka Bank (Pakistan) Limited 
User: Muhammad  Naveed Shahzad</v>
          </cell>
          <cell r="L418" t="str">
            <v>D</v>
          </cell>
          <cell r="M418" t="str">
            <v>09000221</v>
          </cell>
          <cell r="N418">
            <v>100</v>
          </cell>
          <cell r="O418" t="str">
            <v>KARACHI</v>
          </cell>
          <cell r="P418" t="str">
            <v>H # 139 Block Z Sector D-2 Green Town Lahore</v>
          </cell>
          <cell r="Q418" t="str">
            <v>11000003</v>
          </cell>
          <cell r="R418" t="str">
            <v>SUZUKI ALTO VX EURO II</v>
          </cell>
          <cell r="S418" t="str">
            <v>2022</v>
          </cell>
          <cell r="T418" t="str">
            <v>LHC-22-439</v>
          </cell>
          <cell r="U418" t="str">
            <v>6R209249</v>
          </cell>
          <cell r="V418" t="str">
            <v>1109299</v>
          </cell>
          <cell r="W418" t="str">
            <v>05-mar-2029</v>
          </cell>
          <cell r="Y418">
            <v>890400</v>
          </cell>
          <cell r="Z418">
            <v>19190</v>
          </cell>
          <cell r="AA418">
            <v>22260</v>
          </cell>
        </row>
        <row r="419">
          <cell r="B419" t="str">
            <v>KHI/HO/D/MO/PC COMP/C/107407/87/02/2025</v>
          </cell>
          <cell r="D419" t="str">
            <v>REN</v>
          </cell>
          <cell r="E419" t="str">
            <v>17/02/25</v>
          </cell>
          <cell r="F419" t="str">
            <v>07/02/2025</v>
          </cell>
          <cell r="G419" t="str">
            <v>06/02/2026</v>
          </cell>
          <cell r="H419" t="str">
            <v>08004499</v>
          </cell>
          <cell r="I419" t="str">
            <v>AL BARAKA BANK (PAKISTAN) LIMITED</v>
          </cell>
          <cell r="J419" t="str">
            <v>BANK</v>
          </cell>
          <cell r="K419" t="str">
            <v xml:space="preserve">
HPA M/s. Al Baraka Bank (Pakistan) Limited 
Hpa M/S. Al Baraka Bank (Pakistan) Limited 
User: Ali  Raza</v>
          </cell>
          <cell r="L419" t="str">
            <v>D</v>
          </cell>
          <cell r="M419" t="str">
            <v>09000221</v>
          </cell>
          <cell r="N419">
            <v>100</v>
          </cell>
          <cell r="O419" t="str">
            <v>KARACHI</v>
          </cell>
          <cell r="P419" t="str">
            <v>H # 539 Usama Block Nishter Colony Lahore</v>
          </cell>
          <cell r="Q419" t="str">
            <v>11000003</v>
          </cell>
          <cell r="R419" t="str">
            <v>SUZUKI ALTO VXL AGS E-2</v>
          </cell>
          <cell r="S419" t="str">
            <v>2022</v>
          </cell>
          <cell r="T419" t="str">
            <v>AJB-286</v>
          </cell>
          <cell r="U419" t="str">
            <v>6R212090</v>
          </cell>
          <cell r="V419" t="str">
            <v>H1111931</v>
          </cell>
          <cell r="W419" t="str">
            <v>05-feb-2028</v>
          </cell>
          <cell r="Y419">
            <v>1236800</v>
          </cell>
          <cell r="Z419">
            <v>18658</v>
          </cell>
          <cell r="AA419">
            <v>21644</v>
          </cell>
        </row>
        <row r="420">
          <cell r="B420" t="str">
            <v>KHI/HO/D/MO/PC COMP/C/107407/88/02/2025</v>
          </cell>
          <cell r="D420" t="str">
            <v>REN</v>
          </cell>
          <cell r="E420" t="str">
            <v>17/02/25</v>
          </cell>
          <cell r="F420" t="str">
            <v>09/02/2025</v>
          </cell>
          <cell r="G420" t="str">
            <v>08/02/2026</v>
          </cell>
          <cell r="H420" t="str">
            <v>08004499</v>
          </cell>
          <cell r="I420" t="str">
            <v>AL BARAKA BANK (PAKISTAN) LIMITED</v>
          </cell>
          <cell r="J420" t="str">
            <v>BANK</v>
          </cell>
          <cell r="K420" t="str">
            <v xml:space="preserve">
HPA M/s. Al Baraka Bank (Pakistan) Limited 
Hpa M/S. Al Baraka Bank (Pakistan) Limited 
User: Muhammad  Shafi</v>
          </cell>
          <cell r="L420" t="str">
            <v>D</v>
          </cell>
          <cell r="M420" t="str">
            <v>09000221</v>
          </cell>
          <cell r="N420">
            <v>100</v>
          </cell>
          <cell r="P420" t="str">
            <v>H No 199 B Green City Barki Road Lahore</v>
          </cell>
          <cell r="Q420" t="str">
            <v>11000003</v>
          </cell>
          <cell r="R420" t="str">
            <v>KIA PICANTO 1.0L A/T</v>
          </cell>
          <cell r="S420" t="str">
            <v>2021</v>
          </cell>
          <cell r="T420" t="str">
            <v>AGU-122</v>
          </cell>
          <cell r="U420" t="str">
            <v>180361</v>
          </cell>
          <cell r="V420" t="str">
            <v>707949</v>
          </cell>
          <cell r="W420" t="str">
            <v>05-feb-2027</v>
          </cell>
          <cell r="Y420">
            <v>1564000</v>
          </cell>
          <cell r="Z420">
            <v>33707</v>
          </cell>
          <cell r="AA420">
            <v>39100</v>
          </cell>
        </row>
        <row r="421">
          <cell r="B421" t="str">
            <v>KHI/HO/D/MO/PC COMP/C/107407/89/02/2025</v>
          </cell>
          <cell r="D421" t="str">
            <v>REN</v>
          </cell>
          <cell r="E421" t="str">
            <v>17/02/25</v>
          </cell>
          <cell r="F421" t="str">
            <v>09/02/2025</v>
          </cell>
          <cell r="G421" t="str">
            <v>08/02/2026</v>
          </cell>
          <cell r="H421" t="str">
            <v>08004499</v>
          </cell>
          <cell r="I421" t="str">
            <v>AL BARAKA BANK (PAKISTAN) LIMITED</v>
          </cell>
          <cell r="J421" t="str">
            <v>BANK</v>
          </cell>
          <cell r="K421" t="str">
            <v xml:space="preserve">
HPA M/s. Al Baraka Bank (Pakistan) Limited 
Hpa M/S. Al Baraka Bank (Pakistan) Limited 
User: Iftikhar  Khan</v>
          </cell>
          <cell r="L421" t="str">
            <v>D</v>
          </cell>
          <cell r="M421" t="str">
            <v>09000221</v>
          </cell>
          <cell r="N421">
            <v>100</v>
          </cell>
          <cell r="P421" t="str">
            <v>H No 39 St No 22 Maizanabad Baghban pura Lahore</v>
          </cell>
          <cell r="Q421" t="str">
            <v>11000003</v>
          </cell>
          <cell r="R421" t="str">
            <v>HONDA BRV - S</v>
          </cell>
          <cell r="S421" t="str">
            <v>2022</v>
          </cell>
          <cell r="T421" t="str">
            <v>AHK-383</v>
          </cell>
          <cell r="U421" t="str">
            <v>14808167</v>
          </cell>
          <cell r="V421" t="str">
            <v>NR024862</v>
          </cell>
          <cell r="W421" t="str">
            <v>05-mar-2027</v>
          </cell>
          <cell r="Y421">
            <v>2964400</v>
          </cell>
          <cell r="Z421">
            <v>38333</v>
          </cell>
          <cell r="AA421">
            <v>44466</v>
          </cell>
        </row>
        <row r="422">
          <cell r="B422" t="str">
            <v>KHI/HO/D/MO/PC COMP/C/107407/90/02/2025</v>
          </cell>
          <cell r="D422" t="str">
            <v>REN</v>
          </cell>
          <cell r="E422" t="str">
            <v>17/02/25</v>
          </cell>
          <cell r="F422" t="str">
            <v>11/02/2025</v>
          </cell>
          <cell r="G422" t="str">
            <v>10/02/2026</v>
          </cell>
          <cell r="H422" t="str">
            <v>08004499</v>
          </cell>
          <cell r="I422" t="str">
            <v>AL BARAKA BANK (PAKISTAN) LIMITED</v>
          </cell>
          <cell r="J422" t="str">
            <v>BANK</v>
          </cell>
          <cell r="K422" t="str">
            <v xml:space="preserve">
HPA M/s. Al Baraka Bank (Pakistan) Limited 
Hpa M/S. Al Baraka Bank (Pakistan) Limited 
User: Sidra  Iqbal</v>
          </cell>
          <cell r="L422" t="str">
            <v>D</v>
          </cell>
          <cell r="M422" t="str">
            <v>09000221</v>
          </cell>
          <cell r="N422">
            <v>100</v>
          </cell>
          <cell r="P422" t="str">
            <v>St No 3 Mohallah Imdad Colony Hujra Shah Muqeem Depalpur Okara</v>
          </cell>
          <cell r="Q422" t="str">
            <v>11000003</v>
          </cell>
          <cell r="R422" t="str">
            <v>HONDA CITY 1.2 LS MT</v>
          </cell>
          <cell r="S422" t="str">
            <v>2018</v>
          </cell>
          <cell r="T422" t="str">
            <v>LED-18-2498</v>
          </cell>
          <cell r="U422" t="str">
            <v>17510006</v>
          </cell>
          <cell r="V422" t="str">
            <v>JR222816</v>
          </cell>
          <cell r="W422" t="str">
            <v>05-mar-2027</v>
          </cell>
          <cell r="Y422">
            <v>1816000</v>
          </cell>
          <cell r="Z422">
            <v>27397</v>
          </cell>
          <cell r="AA422">
            <v>31780</v>
          </cell>
        </row>
        <row r="423">
          <cell r="B423" t="str">
            <v>KHI/HO/D/MO/PC COMP/C/107407/91/02/2025</v>
          </cell>
          <cell r="D423" t="str">
            <v>REN</v>
          </cell>
          <cell r="E423" t="str">
            <v>17/02/25</v>
          </cell>
          <cell r="F423" t="str">
            <v>14/02/2025</v>
          </cell>
          <cell r="G423" t="str">
            <v>13/02/2026</v>
          </cell>
          <cell r="H423" t="str">
            <v>08004499</v>
          </cell>
          <cell r="I423" t="str">
            <v>AL BARAKA BANK (PAKISTAN) LIMITED</v>
          </cell>
          <cell r="J423" t="str">
            <v>BANK</v>
          </cell>
          <cell r="K423" t="str">
            <v xml:space="preserve">
HPA M/s. Al Baraka Bank (Pakistan) Limited 
Hpa M/S. Al Baraka Bank (Pakistan) Limited 
User: Shahzad  Ali</v>
          </cell>
          <cell r="L423" t="str">
            <v>D</v>
          </cell>
          <cell r="M423" t="str">
            <v>09000221</v>
          </cell>
          <cell r="N423">
            <v>100</v>
          </cell>
          <cell r="P423" t="str">
            <v>H # 210 Block A 1st Floor MRP Colony Karachi</v>
          </cell>
          <cell r="Q423" t="str">
            <v>11000003</v>
          </cell>
          <cell r="R423" t="str">
            <v>SUZUKI ALTO VXR E-2</v>
          </cell>
          <cell r="S423" t="str">
            <v>2021</v>
          </cell>
          <cell r="T423" t="str">
            <v>BUT-142</v>
          </cell>
          <cell r="U423" t="str">
            <v>146378</v>
          </cell>
          <cell r="V423" t="str">
            <v>1046366</v>
          </cell>
          <cell r="W423" t="str">
            <v>06-mar-2028</v>
          </cell>
          <cell r="Y423">
            <v>1320000</v>
          </cell>
          <cell r="Z423">
            <v>19914</v>
          </cell>
          <cell r="AA423">
            <v>23100</v>
          </cell>
        </row>
        <row r="424">
          <cell r="B424" t="str">
            <v>KHI/HO/D/MO/PC COMP/C/107407/92/02/2025</v>
          </cell>
          <cell r="D424" t="str">
            <v>REN</v>
          </cell>
          <cell r="E424" t="str">
            <v>17/02/25</v>
          </cell>
          <cell r="F424" t="str">
            <v>14/02/2025</v>
          </cell>
          <cell r="G424" t="str">
            <v>13/02/2026</v>
          </cell>
          <cell r="H424" t="str">
            <v>08004499</v>
          </cell>
          <cell r="I424" t="str">
            <v>AL BARAKA BANK (PAKISTAN) LIMITED</v>
          </cell>
          <cell r="J424" t="str">
            <v>BANK</v>
          </cell>
          <cell r="K424" t="str">
            <v xml:space="preserve">
HPA M/s. Al Baraka Bank (Pakistan) Limited 
Hpa M/S. Al Baraka Bank (Pakistan) Limited 
User: Asad Ullah  Saleem</v>
          </cell>
          <cell r="L424" t="str">
            <v>D</v>
          </cell>
          <cell r="M424" t="str">
            <v>09000221</v>
          </cell>
          <cell r="N424">
            <v>100</v>
          </cell>
          <cell r="O424" t="str">
            <v>KARACHI</v>
          </cell>
          <cell r="P424" t="str">
            <v>H # 3 Street 6 Ali Street Abid Colony Ghazi road Lahore</v>
          </cell>
          <cell r="Q424" t="str">
            <v>11000003</v>
          </cell>
          <cell r="R424" t="str">
            <v>HONDA CITY I-VTEC A/T PT</v>
          </cell>
          <cell r="S424" t="str">
            <v>2018</v>
          </cell>
          <cell r="T424" t="str">
            <v>LEC-18A-3676</v>
          </cell>
          <cell r="U424" t="str">
            <v>Z17518230</v>
          </cell>
          <cell r="V424" t="str">
            <v>233492</v>
          </cell>
          <cell r="W424" t="str">
            <v>05-mar-2027</v>
          </cell>
          <cell r="Y424">
            <v>1840000</v>
          </cell>
          <cell r="Z424">
            <v>27758</v>
          </cell>
          <cell r="AA424">
            <v>32200</v>
          </cell>
        </row>
        <row r="425">
          <cell r="B425" t="str">
            <v>KHI/HO/D/MO/PC COMP/C/107407/93/02/2025</v>
          </cell>
          <cell r="D425" t="str">
            <v>REN</v>
          </cell>
          <cell r="E425" t="str">
            <v>17/02/25</v>
          </cell>
          <cell r="F425" t="str">
            <v>15/02/2025</v>
          </cell>
          <cell r="G425" t="str">
            <v>14/02/2026</v>
          </cell>
          <cell r="H425" t="str">
            <v>08004499</v>
          </cell>
          <cell r="I425" t="str">
            <v>AL BARAKA BANK (PAKISTAN) LIMITED</v>
          </cell>
          <cell r="J425" t="str">
            <v>BANK</v>
          </cell>
          <cell r="K425" t="str">
            <v xml:space="preserve">
HPA M/s. Al Baraka Bank (Pakistan) Limited 
Hpa M/S. Al Baraka Bank (Pakistan) Limited 
User: Hassam  Khan</v>
          </cell>
          <cell r="L425" t="str">
            <v>D</v>
          </cell>
          <cell r="M425" t="str">
            <v>09000221</v>
          </cell>
          <cell r="N425">
            <v>100</v>
          </cell>
          <cell r="P425" t="str">
            <v>H # L-1550 Block 1 Gulzar-e-Hijri Karachi</v>
          </cell>
          <cell r="Q425" t="str">
            <v>11000003</v>
          </cell>
          <cell r="R425" t="str">
            <v>SUZUKI ALTO VXR E-2</v>
          </cell>
          <cell r="S425" t="str">
            <v>2019</v>
          </cell>
          <cell r="T425" t="str">
            <v>BQS-701</v>
          </cell>
          <cell r="U425" t="str">
            <v>110730</v>
          </cell>
          <cell r="V425" t="str">
            <v>1010722</v>
          </cell>
          <cell r="W425" t="str">
            <v>05-mar-2027</v>
          </cell>
          <cell r="Y425">
            <v>1360000</v>
          </cell>
          <cell r="Z425">
            <v>20517</v>
          </cell>
          <cell r="AA425">
            <v>23800</v>
          </cell>
        </row>
        <row r="426">
          <cell r="B426" t="str">
            <v>KHI/HO/D/MO/PC COMP/C/107407/94/02/2025</v>
          </cell>
          <cell r="D426" t="str">
            <v>REN</v>
          </cell>
          <cell r="E426" t="str">
            <v>17/02/25</v>
          </cell>
          <cell r="F426" t="str">
            <v>16/02/2025</v>
          </cell>
          <cell r="G426" t="str">
            <v>15/02/2026</v>
          </cell>
          <cell r="H426" t="str">
            <v>08004499</v>
          </cell>
          <cell r="I426" t="str">
            <v>AL BARAKA BANK (PAKISTAN) LIMITED</v>
          </cell>
          <cell r="J426" t="str">
            <v>BANK</v>
          </cell>
          <cell r="K426" t="str">
            <v xml:space="preserve">
HPA M/s. Al Baraka Bank (Pakistan) Limited 
Hpa M/S. Al Baraka Bank (Pakistan) Limited 
User: Muahmmad Ibrar Abbasi</v>
          </cell>
          <cell r="L426" t="str">
            <v>D</v>
          </cell>
          <cell r="M426" t="str">
            <v>09000221</v>
          </cell>
          <cell r="N426">
            <v>100</v>
          </cell>
          <cell r="P426" t="str">
            <v>F Floor Zakaria Plaza Street 14 Phase 5-B Ghouri Town Islamabad</v>
          </cell>
          <cell r="Q426" t="str">
            <v>11000003</v>
          </cell>
          <cell r="R426" t="str">
            <v>SUZUKI ALTO VXR E-2</v>
          </cell>
          <cell r="S426" t="str">
            <v>2022</v>
          </cell>
          <cell r="T426" t="str">
            <v>AHS-594</v>
          </cell>
          <cell r="U426" t="str">
            <v>210216</v>
          </cell>
          <cell r="V426" t="str">
            <v>1110005</v>
          </cell>
          <cell r="W426" t="str">
            <v>05-mar-2027</v>
          </cell>
          <cell r="Y426">
            <v>1068000</v>
          </cell>
          <cell r="Z426">
            <v>23017</v>
          </cell>
          <cell r="AA426">
            <v>26700</v>
          </cell>
        </row>
        <row r="427">
          <cell r="B427" t="str">
            <v>KHI/HO/D/MO/PC COMP/C/107407/95/02/2025</v>
          </cell>
          <cell r="D427" t="str">
            <v>REN</v>
          </cell>
          <cell r="E427" t="str">
            <v>17/02/25</v>
          </cell>
          <cell r="F427" t="str">
            <v>16/02/2025</v>
          </cell>
          <cell r="G427" t="str">
            <v>15/02/2026</v>
          </cell>
          <cell r="H427" t="str">
            <v>08004499</v>
          </cell>
          <cell r="I427" t="str">
            <v>AL BARAKA BANK (PAKISTAN) LIMITED</v>
          </cell>
          <cell r="J427" t="str">
            <v>BANK</v>
          </cell>
          <cell r="K427" t="str">
            <v xml:space="preserve">
HPA M/s. Al Baraka Bank (Pakistan) Limited 
Hpa M/S. Al Baraka Bank (Pakistan) Limited 
User: Syed Tahir Hussain Shah</v>
          </cell>
          <cell r="L427" t="str">
            <v>D</v>
          </cell>
          <cell r="M427" t="str">
            <v>09000221</v>
          </cell>
          <cell r="N427">
            <v>100</v>
          </cell>
          <cell r="P427" t="str">
            <v>Model House No. 37 City Housing Gujranwala</v>
          </cell>
          <cell r="Q427" t="str">
            <v>11000003</v>
          </cell>
          <cell r="R427" t="str">
            <v>SUZUKI WAGON R VXL AGS</v>
          </cell>
          <cell r="S427" t="str">
            <v>2022</v>
          </cell>
          <cell r="T427" t="str">
            <v>AKD-047</v>
          </cell>
          <cell r="U427" t="str">
            <v>229762</v>
          </cell>
          <cell r="V427" t="str">
            <v>10129760</v>
          </cell>
          <cell r="W427" t="str">
            <v>06-mar-2028</v>
          </cell>
          <cell r="Y427">
            <v>1726400</v>
          </cell>
          <cell r="Z427">
            <v>37207</v>
          </cell>
          <cell r="AA427">
            <v>43160</v>
          </cell>
        </row>
        <row r="428">
          <cell r="B428" t="str">
            <v>KHI/HO/D/MO/PC COMP/C/107407/96/02/2025</v>
          </cell>
          <cell r="D428" t="str">
            <v>REN</v>
          </cell>
          <cell r="E428" t="str">
            <v>17/02/25</v>
          </cell>
          <cell r="F428" t="str">
            <v>03/02/2025</v>
          </cell>
          <cell r="G428" t="str">
            <v>02/02/2026</v>
          </cell>
          <cell r="H428" t="str">
            <v>08004499</v>
          </cell>
          <cell r="I428" t="str">
            <v>AL BARAKA BANK (PAKISTAN) LIMITED</v>
          </cell>
          <cell r="J428" t="str">
            <v>BANK</v>
          </cell>
          <cell r="K428" t="str">
            <v xml:space="preserve">
HPA M/s. Al Baraka Bank (Pakistan) Limited 
Hpa M/S. Al Baraka Bank (Pakistan) Limited 
User: Basit  Nawaz</v>
          </cell>
          <cell r="L428" t="str">
            <v>D</v>
          </cell>
          <cell r="M428" t="str">
            <v>09000221</v>
          </cell>
          <cell r="N428">
            <v>100</v>
          </cell>
          <cell r="P428" t="str">
            <v>Abdullah Town St No 3 Barakoh Islamabad</v>
          </cell>
          <cell r="Q428" t="str">
            <v>11000003</v>
          </cell>
          <cell r="R428" t="str">
            <v>SUZUKI BOLAN STD</v>
          </cell>
          <cell r="S428" t="str">
            <v>2022</v>
          </cell>
          <cell r="T428" t="str">
            <v>AXC-851</v>
          </cell>
          <cell r="U428" t="str">
            <v>1020078</v>
          </cell>
          <cell r="V428" t="str">
            <v>1136571</v>
          </cell>
          <cell r="W428" t="str">
            <v>05-feb-2027</v>
          </cell>
          <cell r="Y428">
            <v>942400</v>
          </cell>
          <cell r="Z428">
            <v>14217</v>
          </cell>
          <cell r="AA428">
            <v>16492</v>
          </cell>
        </row>
        <row r="429">
          <cell r="B429" t="str">
            <v>KHI/HO/D/MO/PC COMP/C/107407/97/02/2025</v>
          </cell>
          <cell r="D429" t="str">
            <v>REN</v>
          </cell>
          <cell r="E429" t="str">
            <v>17/02/25</v>
          </cell>
          <cell r="F429" t="str">
            <v>16/02/2025</v>
          </cell>
          <cell r="G429" t="str">
            <v>15/02/2026</v>
          </cell>
          <cell r="H429" t="str">
            <v>08004499</v>
          </cell>
          <cell r="I429" t="str">
            <v>AL BARAKA BANK (PAKISTAN) LIMITED</v>
          </cell>
          <cell r="J429" t="str">
            <v>BANK</v>
          </cell>
          <cell r="K429" t="str">
            <v xml:space="preserve">
HPA M/s. Al Baraka Bank (Pakistan) Limited 
Hpa M/S. Al Baraka Bank (Pakistan) Limited 
User: Ashfaq  Lodhi</v>
          </cell>
          <cell r="L429" t="str">
            <v>D</v>
          </cell>
          <cell r="M429" t="str">
            <v>09000221</v>
          </cell>
          <cell r="N429">
            <v>100</v>
          </cell>
          <cell r="P429" t="str">
            <v>H # 41/1 Sector 36-C Korangi No. 5 Karachi</v>
          </cell>
          <cell r="Q429" t="str">
            <v>11000003</v>
          </cell>
          <cell r="R429" t="str">
            <v>HONDA CIVIC VTI ORIEL I-V</v>
          </cell>
          <cell r="S429" t="str">
            <v>2018</v>
          </cell>
          <cell r="T429" t="str">
            <v>BMT-370</v>
          </cell>
          <cell r="U429" t="str">
            <v>12935726</v>
          </cell>
          <cell r="V429" t="str">
            <v>039137</v>
          </cell>
          <cell r="W429" t="str">
            <v>05-mar-2027</v>
          </cell>
          <cell r="Y429">
            <v>2980000</v>
          </cell>
          <cell r="Z429">
            <v>38535</v>
          </cell>
          <cell r="AA429">
            <v>44700</v>
          </cell>
        </row>
        <row r="430">
          <cell r="B430" t="str">
            <v>KHI/HO/D/MO/PC COMP/C/107407/98/02/2025</v>
          </cell>
          <cell r="D430" t="str">
            <v>REN</v>
          </cell>
          <cell r="E430" t="str">
            <v>17/02/25</v>
          </cell>
          <cell r="F430" t="str">
            <v>16/02/2025</v>
          </cell>
          <cell r="G430" t="str">
            <v>15/02/2026</v>
          </cell>
          <cell r="H430" t="str">
            <v>08004499</v>
          </cell>
          <cell r="I430" t="str">
            <v>AL BARAKA BANK (PAKISTAN) LIMITED</v>
          </cell>
          <cell r="J430" t="str">
            <v>BANK</v>
          </cell>
          <cell r="K430" t="str">
            <v xml:space="preserve">
HPA M/s. Al Baraka Bank (Pakistan) Limited 
Hpa M/S. Al Baraka Bank (Pakistan) Limited 
User: Muhammad  Arslan  Awais</v>
          </cell>
          <cell r="L430" t="str">
            <v>D</v>
          </cell>
          <cell r="M430" t="str">
            <v>09000221</v>
          </cell>
          <cell r="N430">
            <v>100</v>
          </cell>
          <cell r="O430" t="str">
            <v>KARACHI</v>
          </cell>
          <cell r="P430" t="str">
            <v>H # 65 Street 13 Jalal Park Kot Khawaja Saeed Lahore</v>
          </cell>
          <cell r="Q430" t="str">
            <v>11000003</v>
          </cell>
          <cell r="R430" t="str">
            <v>HONDA CITY 1.2  LS CVT</v>
          </cell>
          <cell r="S430" t="str">
            <v>2022</v>
          </cell>
          <cell r="T430" t="str">
            <v>AHX-641</v>
          </cell>
          <cell r="U430" t="str">
            <v>L12B51008778</v>
          </cell>
          <cell r="V430" t="str">
            <v>NR013882</v>
          </cell>
          <cell r="W430" t="str">
            <v>05-mar-2027</v>
          </cell>
          <cell r="Y430">
            <v>2364000</v>
          </cell>
          <cell r="Z430">
            <v>35663</v>
          </cell>
          <cell r="AA430">
            <v>41370</v>
          </cell>
        </row>
        <row r="431">
          <cell r="B431" t="str">
            <v>KHI/HO/D/MO/PC COMP/C/107407/99/02/2025</v>
          </cell>
          <cell r="D431" t="str">
            <v>REN</v>
          </cell>
          <cell r="E431" t="str">
            <v>17/02/25</v>
          </cell>
          <cell r="F431" t="str">
            <v>16/02/2025</v>
          </cell>
          <cell r="G431" t="str">
            <v>15/02/2026</v>
          </cell>
          <cell r="H431" t="str">
            <v>08004499</v>
          </cell>
          <cell r="I431" t="str">
            <v>AL BARAKA BANK (PAKISTAN) LIMITED</v>
          </cell>
          <cell r="J431" t="str">
            <v>BANK</v>
          </cell>
          <cell r="K431" t="str">
            <v xml:space="preserve">
HPA M/s. Al Baraka Bank (Pakistan) Limited 
Hpa M/S. Al Baraka Bank (Pakistan) Limited 
User: Muhammad Omer Rasool</v>
          </cell>
          <cell r="L431" t="str">
            <v>D</v>
          </cell>
          <cell r="M431" t="str">
            <v>09000221</v>
          </cell>
          <cell r="N431">
            <v>100</v>
          </cell>
          <cell r="P431" t="str">
            <v>37/2 Ali Park Captain Jamal Road Sanda Khurd Lahore</v>
          </cell>
          <cell r="Q431" t="str">
            <v>11000003</v>
          </cell>
          <cell r="R431" t="str">
            <v>KIA PICANTO 1.0L M/T</v>
          </cell>
          <cell r="S431" t="str">
            <v>2022</v>
          </cell>
          <cell r="T431" t="str">
            <v>AJA-556</v>
          </cell>
          <cell r="U431" t="str">
            <v>165553</v>
          </cell>
          <cell r="V431" t="str">
            <v>KP708870</v>
          </cell>
          <cell r="W431" t="str">
            <v>05-mar-2026</v>
          </cell>
          <cell r="Y431">
            <v>1560000</v>
          </cell>
          <cell r="Z431">
            <v>33621</v>
          </cell>
          <cell r="AA431">
            <v>39000</v>
          </cell>
        </row>
        <row r="432">
          <cell r="B432" t="str">
            <v>KHI/HO/D/MO/PC COMP/C/107407/100/02/2025</v>
          </cell>
          <cell r="D432" t="str">
            <v>REN</v>
          </cell>
          <cell r="E432" t="str">
            <v>17/02/25</v>
          </cell>
          <cell r="F432" t="str">
            <v>16/02/2025</v>
          </cell>
          <cell r="G432" t="str">
            <v>15/02/2026</v>
          </cell>
          <cell r="H432" t="str">
            <v>08004499</v>
          </cell>
          <cell r="I432" t="str">
            <v>AL BARAKA BANK (PAKISTAN) LIMITED</v>
          </cell>
          <cell r="J432" t="str">
            <v>BANK</v>
          </cell>
          <cell r="K432" t="str">
            <v xml:space="preserve">
HPA M/s. Al Baraka Bank (Pakistan) Limited 
Hpa M/S. Al Baraka Bank (Pakistan) Limited 
User: Muhammad Talha Adeel</v>
          </cell>
          <cell r="L432" t="str">
            <v>D</v>
          </cell>
          <cell r="M432" t="str">
            <v>09000221</v>
          </cell>
          <cell r="N432">
            <v>100</v>
          </cell>
          <cell r="P432" t="str">
            <v>H # 341 Block L Sabzazar Scheme Multan Road Lahore</v>
          </cell>
          <cell r="Q432" t="str">
            <v>11000003</v>
          </cell>
          <cell r="R432" t="str">
            <v>SUZUKI WAGON-R VXR</v>
          </cell>
          <cell r="S432" t="str">
            <v>2022</v>
          </cell>
          <cell r="T432" t="str">
            <v>AJK-441</v>
          </cell>
          <cell r="U432" t="str">
            <v>212734</v>
          </cell>
          <cell r="V432" t="str">
            <v>1112701</v>
          </cell>
          <cell r="W432" t="str">
            <v>05-mar-2027</v>
          </cell>
          <cell r="Y432">
            <v>1236800</v>
          </cell>
          <cell r="Z432">
            <v>26655</v>
          </cell>
          <cell r="AA432">
            <v>30920</v>
          </cell>
        </row>
        <row r="433">
          <cell r="B433" t="str">
            <v>KHI/HO/D/MO/PC COMP/C/107407/101/02/2025</v>
          </cell>
          <cell r="D433" t="str">
            <v>REN</v>
          </cell>
          <cell r="E433" t="str">
            <v>17/02/25</v>
          </cell>
          <cell r="F433" t="str">
            <v>16/02/2025</v>
          </cell>
          <cell r="G433" t="str">
            <v>15/02/2026</v>
          </cell>
          <cell r="H433" t="str">
            <v>08004499</v>
          </cell>
          <cell r="I433" t="str">
            <v>AL BARAKA BANK (PAKISTAN) LIMITED</v>
          </cell>
          <cell r="J433" t="str">
            <v>BANK</v>
          </cell>
          <cell r="K433" t="str">
            <v xml:space="preserve">
HPA M/s. Al Baraka Bank (Pakistan) Limited 
Hpa M/S. Al Baraka Bank (Pakistan) Limited 
User: Muhammad  Zeeshan Bhatti</v>
          </cell>
          <cell r="L433" t="str">
            <v>D</v>
          </cell>
          <cell r="M433" t="str">
            <v>09000221</v>
          </cell>
          <cell r="N433">
            <v>100</v>
          </cell>
          <cell r="P433" t="str">
            <v>Street 1 Mohallah Main Bazar Iamamia Colony Shahdra Lahore</v>
          </cell>
          <cell r="Q433" t="str">
            <v>11000003</v>
          </cell>
          <cell r="R433" t="str">
            <v>SUZUKI WAGON-R VXL E2</v>
          </cell>
          <cell r="S433" t="str">
            <v>2022</v>
          </cell>
          <cell r="T433" t="str">
            <v>AJU-717</v>
          </cell>
          <cell r="U433" t="str">
            <v>229032</v>
          </cell>
          <cell r="V433" t="str">
            <v>10129024</v>
          </cell>
          <cell r="W433" t="str">
            <v>05-mar-2027</v>
          </cell>
          <cell r="Y433">
            <v>1580000</v>
          </cell>
          <cell r="Z433">
            <v>23837</v>
          </cell>
          <cell r="AA433">
            <v>27650</v>
          </cell>
        </row>
        <row r="434">
          <cell r="B434" t="str">
            <v>KHI/HO/D/MO/PC COMP/C/107407/102/02/2025</v>
          </cell>
          <cell r="D434" t="str">
            <v>REN</v>
          </cell>
          <cell r="E434" t="str">
            <v>17/02/25</v>
          </cell>
          <cell r="F434" t="str">
            <v>16/02/2025</v>
          </cell>
          <cell r="G434" t="str">
            <v>15/02/2026</v>
          </cell>
          <cell r="H434" t="str">
            <v>08004499</v>
          </cell>
          <cell r="I434" t="str">
            <v>AL BARAKA BANK (PAKISTAN) LIMITED</v>
          </cell>
          <cell r="J434" t="str">
            <v>BANK</v>
          </cell>
          <cell r="K434" t="str">
            <v xml:space="preserve">
HPA M/s. Al Baraka Bank (Pakistan) Limited 
Hpa M/S. Al Baraka Bank (Pakistan) Limited 
User: Zarmeen  Zahra</v>
          </cell>
          <cell r="L434" t="str">
            <v>D</v>
          </cell>
          <cell r="M434" t="str">
            <v>09000221</v>
          </cell>
          <cell r="N434">
            <v>100</v>
          </cell>
          <cell r="P434" t="str">
            <v>Street 1 Mohallah Zahidabad Shah Faisal Colony Rajwana Road Multan</v>
          </cell>
          <cell r="Q434" t="str">
            <v>11000003</v>
          </cell>
          <cell r="R434" t="str">
            <v>SUZUKI ALTO VXR E-2</v>
          </cell>
          <cell r="S434" t="str">
            <v>2022</v>
          </cell>
          <cell r="T434" t="str">
            <v>AGE-752</v>
          </cell>
          <cell r="U434" t="str">
            <v>212748</v>
          </cell>
          <cell r="V434" t="str">
            <v>1112720</v>
          </cell>
          <cell r="W434" t="str">
            <v>05-mar-2027</v>
          </cell>
          <cell r="Y434">
            <v>1236800</v>
          </cell>
          <cell r="Z434">
            <v>18658</v>
          </cell>
          <cell r="AA434">
            <v>21644</v>
          </cell>
        </row>
        <row r="435">
          <cell r="B435" t="str">
            <v>KHI/HO/D/MO/PC COMP/C/107407/103/02/2025</v>
          </cell>
          <cell r="D435" t="str">
            <v>REN</v>
          </cell>
          <cell r="E435" t="str">
            <v>17/02/25</v>
          </cell>
          <cell r="F435" t="str">
            <v>16/02/2025</v>
          </cell>
          <cell r="G435" t="str">
            <v>15/02/2026</v>
          </cell>
          <cell r="H435" t="str">
            <v>08004499</v>
          </cell>
          <cell r="I435" t="str">
            <v>AL BARAKA BANK (PAKISTAN) LIMITED</v>
          </cell>
          <cell r="J435" t="str">
            <v>BANK</v>
          </cell>
          <cell r="K435" t="str">
            <v xml:space="preserve">
HPA M/s. Al Baraka Bank (Pakistan) Limited 
Hpa M/S. Al Baraka Bank (Pakistan) Limited 
User: Ghulam Mustafa Hattar</v>
          </cell>
          <cell r="L435" t="str">
            <v>D</v>
          </cell>
          <cell r="M435" t="str">
            <v>09000221</v>
          </cell>
          <cell r="N435">
            <v>100</v>
          </cell>
          <cell r="P435" t="str">
            <v>H No 324 Street No 16 Paris city Block F Sector H-13 /4 Islamabad</v>
          </cell>
          <cell r="Q435" t="str">
            <v>11000003</v>
          </cell>
          <cell r="R435" t="str">
            <v>SUZUKI WAGON R VXL</v>
          </cell>
          <cell r="S435" t="str">
            <v>2018</v>
          </cell>
          <cell r="T435" t="str">
            <v>AKV-439</v>
          </cell>
          <cell r="U435" t="str">
            <v>172822</v>
          </cell>
          <cell r="V435" t="str">
            <v>10072836</v>
          </cell>
          <cell r="W435" t="str">
            <v>05-mar-2027</v>
          </cell>
          <cell r="Y435">
            <v>1280000</v>
          </cell>
          <cell r="Z435">
            <v>19310</v>
          </cell>
          <cell r="AA435">
            <v>22400</v>
          </cell>
        </row>
        <row r="436">
          <cell r="B436" t="str">
            <v>KHI/HO/D/MO/PC COMP/C/107407/104/02/2025</v>
          </cell>
          <cell r="D436" t="str">
            <v>REN</v>
          </cell>
          <cell r="E436" t="str">
            <v>17/02/25</v>
          </cell>
          <cell r="F436" t="str">
            <v>16/02/2025</v>
          </cell>
          <cell r="G436" t="str">
            <v>15/02/2026</v>
          </cell>
          <cell r="H436" t="str">
            <v>08004499</v>
          </cell>
          <cell r="I436" t="str">
            <v>AL BARAKA BANK (PAKISTAN) LIMITED</v>
          </cell>
          <cell r="J436" t="str">
            <v>BANK</v>
          </cell>
          <cell r="K436" t="str">
            <v xml:space="preserve">
HPA M/s. Al Baraka Bank (Pakistan) Limited 
Hpa M/S. Al Baraka Bank (Pakistan) Limited 
User: Umer  Sabir</v>
          </cell>
          <cell r="L436" t="str">
            <v>D</v>
          </cell>
          <cell r="M436" t="str">
            <v>09000221</v>
          </cell>
          <cell r="N436">
            <v>100</v>
          </cell>
          <cell r="P436" t="str">
            <v>H No 2115 A ST 112 Bahria Phase 07 Rawalpindi</v>
          </cell>
          <cell r="Q436" t="str">
            <v>11000003</v>
          </cell>
          <cell r="R436" t="str">
            <v>SUZUKI CULTUS VXR</v>
          </cell>
          <cell r="S436" t="str">
            <v>2020</v>
          </cell>
          <cell r="T436" t="str">
            <v>ARU-623</v>
          </cell>
          <cell r="U436" t="str">
            <v>159983</v>
          </cell>
          <cell r="V436" t="str">
            <v>10060006</v>
          </cell>
          <cell r="W436" t="str">
            <v>05-mar-2027</v>
          </cell>
          <cell r="Y436">
            <v>1400000</v>
          </cell>
          <cell r="Z436">
            <v>21121</v>
          </cell>
          <cell r="AA436">
            <v>24500</v>
          </cell>
        </row>
        <row r="437">
          <cell r="B437" t="str">
            <v>KHI/HO/D/MO/PC COMP/C/107407/105/02/2025</v>
          </cell>
          <cell r="D437" t="str">
            <v>REN</v>
          </cell>
          <cell r="E437" t="str">
            <v>17/02/25</v>
          </cell>
          <cell r="F437" t="str">
            <v>03/02/2025</v>
          </cell>
          <cell r="G437" t="str">
            <v>02/02/2026</v>
          </cell>
          <cell r="H437" t="str">
            <v>08004499</v>
          </cell>
          <cell r="I437" t="str">
            <v>AL BARAKA BANK (PAKISTAN) LIMITED</v>
          </cell>
          <cell r="J437" t="str">
            <v>BANK</v>
          </cell>
          <cell r="K437" t="str">
            <v xml:space="preserve">
HPA M/s. Al Baraka Bank (Pakistan) Limited 
Hpa M/S. Al Baraka Bank (Pakistan) Limited 
User: Muhammad   Mushtaq</v>
          </cell>
          <cell r="L437" t="str">
            <v>D</v>
          </cell>
          <cell r="M437" t="str">
            <v>09000221</v>
          </cell>
          <cell r="N437">
            <v>100</v>
          </cell>
          <cell r="P437" t="str">
            <v>H No 340 A-II Block 3 Township Lahore</v>
          </cell>
          <cell r="Q437" t="str">
            <v>11000003</v>
          </cell>
          <cell r="R437" t="str">
            <v>SUZUKI CULTUS VXL EURO II</v>
          </cell>
          <cell r="S437" t="str">
            <v>2022</v>
          </cell>
          <cell r="T437" t="str">
            <v>AHZ-924</v>
          </cell>
          <cell r="U437" t="str">
            <v>192131</v>
          </cell>
          <cell r="V437" t="str">
            <v>10092138</v>
          </cell>
          <cell r="W437" t="str">
            <v>05-feb-2026</v>
          </cell>
          <cell r="Y437">
            <v>1795200</v>
          </cell>
          <cell r="Z437">
            <v>27083</v>
          </cell>
          <cell r="AA437">
            <v>31416</v>
          </cell>
        </row>
        <row r="438">
          <cell r="B438" t="str">
            <v>KHI/HO/D/MO/PC COMP/C/107407/106/02/2025</v>
          </cell>
          <cell r="D438" t="str">
            <v>REN</v>
          </cell>
          <cell r="E438" t="str">
            <v>17/02/25</v>
          </cell>
          <cell r="F438" t="str">
            <v>16/02/2025</v>
          </cell>
          <cell r="G438" t="str">
            <v>15/02/2026</v>
          </cell>
          <cell r="H438" t="str">
            <v>08004499</v>
          </cell>
          <cell r="I438" t="str">
            <v>AL BARAKA BANK (PAKISTAN) LIMITED</v>
          </cell>
          <cell r="J438" t="str">
            <v>BANK</v>
          </cell>
          <cell r="K438" t="str">
            <v xml:space="preserve">
HPA M/s. Al Baraka Bank (Pakistan) Limited 
Hpa M/S. Al Baraka Bank (Pakistan) Limited 
User: Muhammad  Rafiq</v>
          </cell>
          <cell r="L438" t="str">
            <v>D</v>
          </cell>
          <cell r="M438" t="str">
            <v>09000221</v>
          </cell>
          <cell r="N438">
            <v>100</v>
          </cell>
          <cell r="O438" t="str">
            <v>KARACHI</v>
          </cell>
          <cell r="P438" t="str">
            <v>H No 49 Ground Floor Al Rasheed Market 86 Mcleod Road Lahore</v>
          </cell>
          <cell r="Q438" t="str">
            <v>11000003</v>
          </cell>
          <cell r="R438" t="str">
            <v>KIA SPORTAGE AWD-CW</v>
          </cell>
          <cell r="S438" t="str">
            <v>2022</v>
          </cell>
          <cell r="T438" t="str">
            <v>AXT-168</v>
          </cell>
          <cell r="U438" t="str">
            <v>H324816</v>
          </cell>
          <cell r="V438" t="str">
            <v>P515480</v>
          </cell>
          <cell r="W438" t="str">
            <v>05-mar-2027</v>
          </cell>
          <cell r="Y438">
            <v>4549600</v>
          </cell>
          <cell r="Z438">
            <v>58831</v>
          </cell>
          <cell r="AA438">
            <v>68244</v>
          </cell>
        </row>
        <row r="439">
          <cell r="B439" t="str">
            <v>KHI/HO/D/MO/PC COMP/C/107407/107/02/2025</v>
          </cell>
          <cell r="D439" t="str">
            <v>REN</v>
          </cell>
          <cell r="E439" t="str">
            <v>17/02/25</v>
          </cell>
          <cell r="F439" t="str">
            <v>17/02/2025</v>
          </cell>
          <cell r="G439" t="str">
            <v>16/02/2026</v>
          </cell>
          <cell r="H439" t="str">
            <v>08004499</v>
          </cell>
          <cell r="I439" t="str">
            <v>AL BARAKA BANK (PAKISTAN) LIMITED</v>
          </cell>
          <cell r="J439" t="str">
            <v>BANK</v>
          </cell>
          <cell r="K439" t="str">
            <v xml:space="preserve">
HPA M/s. Al Baraka Bank (Pakistan) Limited 
Hpa M/S. Al Baraka Bank (Pakistan) Limited 
User: Abdul  Ahad Khan</v>
          </cell>
          <cell r="L439" t="str">
            <v>D</v>
          </cell>
          <cell r="M439" t="str">
            <v>09000221</v>
          </cell>
          <cell r="N439">
            <v>100</v>
          </cell>
          <cell r="P439" t="str">
            <v>H # B-64 Gulshan-e-Hadeed Bin qasim Karachi</v>
          </cell>
          <cell r="Q439" t="str">
            <v>11000003</v>
          </cell>
          <cell r="R439" t="str">
            <v>SUZUKI ALTO VXL AGS E-2</v>
          </cell>
          <cell r="S439" t="str">
            <v>2021</v>
          </cell>
          <cell r="T439" t="str">
            <v>BUY-382</v>
          </cell>
          <cell r="U439" t="str">
            <v>189441</v>
          </cell>
          <cell r="V439" t="str">
            <v>1089440</v>
          </cell>
          <cell r="W439" t="str">
            <v>05-mar-2027</v>
          </cell>
          <cell r="Y439">
            <v>1200000</v>
          </cell>
          <cell r="Z439">
            <v>18103</v>
          </cell>
          <cell r="AA439">
            <v>21000</v>
          </cell>
        </row>
        <row r="440">
          <cell r="B440" t="str">
            <v>KHI/HO/D/MO/PC COMP/C/107407/108/02/2025</v>
          </cell>
          <cell r="D440" t="str">
            <v>REN</v>
          </cell>
          <cell r="E440" t="str">
            <v>17/02/25</v>
          </cell>
          <cell r="F440" t="str">
            <v>16/02/2025</v>
          </cell>
          <cell r="G440" t="str">
            <v>15/02/2026</v>
          </cell>
          <cell r="H440" t="str">
            <v>08004499</v>
          </cell>
          <cell r="I440" t="str">
            <v>AL BARAKA BANK (PAKISTAN) LIMITED</v>
          </cell>
          <cell r="J440" t="str">
            <v>BANK</v>
          </cell>
          <cell r="K440" t="str">
            <v xml:space="preserve">
HPA M/s. Al Baraka Bank (Pakistan) Limited 
Hpa M/S. Al Baraka Bank (Pakistan) Limited 
User: Tahir  Mahmood</v>
          </cell>
          <cell r="L440" t="str">
            <v>D</v>
          </cell>
          <cell r="M440" t="str">
            <v>09000221</v>
          </cell>
          <cell r="N440">
            <v>100</v>
          </cell>
          <cell r="O440" t="str">
            <v>KARACHI</v>
          </cell>
          <cell r="P440" t="str">
            <v>H No 30 /D St No 1 Sajjad Colony Amir Road Shadbagh Lahore</v>
          </cell>
          <cell r="Q440" t="str">
            <v>11000003</v>
          </cell>
          <cell r="R440" t="str">
            <v>SUZUKI ALTO VXR</v>
          </cell>
          <cell r="S440" t="str">
            <v>2022</v>
          </cell>
          <cell r="T440" t="str">
            <v>AHY-527</v>
          </cell>
          <cell r="U440" t="str">
            <v>6R212217</v>
          </cell>
          <cell r="V440" t="str">
            <v>NF1AET306H1112180</v>
          </cell>
          <cell r="W440" t="str">
            <v>05-mar-2027</v>
          </cell>
          <cell r="Y440">
            <v>1236800</v>
          </cell>
          <cell r="Z440">
            <v>26655</v>
          </cell>
          <cell r="AA440">
            <v>30920</v>
          </cell>
        </row>
        <row r="441">
          <cell r="B441" t="str">
            <v>KHI/HO/D/MO/PC COMP/C/107407/109/02/2025</v>
          </cell>
          <cell r="D441" t="str">
            <v>REN</v>
          </cell>
          <cell r="E441" t="str">
            <v>17/02/25</v>
          </cell>
          <cell r="F441" t="str">
            <v>17/02/2025</v>
          </cell>
          <cell r="G441" t="str">
            <v>16/02/2026</v>
          </cell>
          <cell r="H441" t="str">
            <v>08004499</v>
          </cell>
          <cell r="I441" t="str">
            <v>AL BARAKA BANK (PAKISTAN) LIMITED</v>
          </cell>
          <cell r="J441" t="str">
            <v>BANK</v>
          </cell>
          <cell r="K441" t="str">
            <v xml:space="preserve">
HPA M/s. Al Baraka Bank (Pakistan) Limited 
Hpa M/S. Al Baraka Bank (Pakistan) Limited 
User: Abid  Hussain</v>
          </cell>
          <cell r="L441" t="str">
            <v>D</v>
          </cell>
          <cell r="M441" t="str">
            <v>09000221</v>
          </cell>
          <cell r="N441">
            <v>100</v>
          </cell>
          <cell r="P441" t="str">
            <v>Basti Khair Shah Nawab Pur Rd Street 11 Mohallah rehmat Colony Multan</v>
          </cell>
          <cell r="Q441" t="str">
            <v>11000003</v>
          </cell>
          <cell r="R441" t="str">
            <v>SUZUKI WAGON-R VXL E2</v>
          </cell>
          <cell r="S441" t="str">
            <v>2022</v>
          </cell>
          <cell r="T441" t="str">
            <v>AHN-683</v>
          </cell>
          <cell r="U441" t="str">
            <v>228455</v>
          </cell>
          <cell r="V441" t="str">
            <v>10128415</v>
          </cell>
          <cell r="W441" t="str">
            <v>05-mar-2027</v>
          </cell>
          <cell r="Y441">
            <v>1408000</v>
          </cell>
          <cell r="Z441">
            <v>21242</v>
          </cell>
          <cell r="AA441">
            <v>24640</v>
          </cell>
        </row>
        <row r="442">
          <cell r="B442" t="str">
            <v>KHI/HO/D/MO/PC COMP/C/107407/110/02/2025</v>
          </cell>
          <cell r="D442" t="str">
            <v>REN</v>
          </cell>
          <cell r="E442" t="str">
            <v>17/02/25</v>
          </cell>
          <cell r="F442" t="str">
            <v>17/02/2025</v>
          </cell>
          <cell r="G442" t="str">
            <v>16/02/2026</v>
          </cell>
          <cell r="H442" t="str">
            <v>08004499</v>
          </cell>
          <cell r="I442" t="str">
            <v>AL BARAKA BANK (PAKISTAN) LIMITED</v>
          </cell>
          <cell r="J442" t="str">
            <v>BANK</v>
          </cell>
          <cell r="K442" t="str">
            <v xml:space="preserve">
HPA M/s. Al Baraka Bank (Pakistan) Limited 
Hpa M/S. Al Baraka Bank (Pakistan) Limited 
User: Mohsin  Raza</v>
          </cell>
          <cell r="L442" t="str">
            <v>D</v>
          </cell>
          <cell r="M442" t="str">
            <v>09000221</v>
          </cell>
          <cell r="N442">
            <v>100</v>
          </cell>
          <cell r="O442" t="str">
            <v>KARACHI</v>
          </cell>
          <cell r="P442" t="str">
            <v>ST No 3 Mohallah Shalimar Profesor Block Faisalabad</v>
          </cell>
          <cell r="Q442" t="str">
            <v>11000003</v>
          </cell>
          <cell r="R442" t="str">
            <v>HONDA CITY M/T</v>
          </cell>
          <cell r="S442" t="str">
            <v>2021</v>
          </cell>
          <cell r="T442" t="str">
            <v>AFC-953</v>
          </cell>
          <cell r="U442" t="str">
            <v>L12B51001785</v>
          </cell>
          <cell r="V442" t="str">
            <v>NFBGN8525MR002332</v>
          </cell>
          <cell r="W442" t="str">
            <v>05-mar-2027</v>
          </cell>
          <cell r="Y442">
            <v>2160000</v>
          </cell>
          <cell r="Z442">
            <v>46551</v>
          </cell>
          <cell r="AA442">
            <v>54000</v>
          </cell>
        </row>
        <row r="443">
          <cell r="B443" t="str">
            <v>KHI/HO/D/MO/PC COMP/C/107407/111/02/2025</v>
          </cell>
          <cell r="D443" t="str">
            <v>REN</v>
          </cell>
          <cell r="E443" t="str">
            <v>17/02/25</v>
          </cell>
          <cell r="F443" t="str">
            <v>18/02/2025</v>
          </cell>
          <cell r="G443" t="str">
            <v>17/02/2026</v>
          </cell>
          <cell r="H443" t="str">
            <v>08004499</v>
          </cell>
          <cell r="I443" t="str">
            <v>AL BARAKA BANK (PAKISTAN) LIMITED</v>
          </cell>
          <cell r="J443" t="str">
            <v>BANK</v>
          </cell>
          <cell r="K443" t="str">
            <v xml:space="preserve">
HPA M/s. Al Baraka Bank (Pakistan) Limited 
Hpa M/S. Al Baraka Bank (Pakistan) Limited 
User: Fahad  Rafique</v>
          </cell>
          <cell r="L443" t="str">
            <v>D</v>
          </cell>
          <cell r="M443" t="str">
            <v>09000221</v>
          </cell>
          <cell r="N443">
            <v>100</v>
          </cell>
          <cell r="P443" t="str">
            <v>H # 419 Mohallah Bilal Park Nishter Colony Ferozepur Road Lahore</v>
          </cell>
          <cell r="Q443" t="str">
            <v>11000003</v>
          </cell>
          <cell r="R443" t="str">
            <v>SUZUKI ALTO VXL AGS E-2</v>
          </cell>
          <cell r="S443" t="str">
            <v>2022</v>
          </cell>
          <cell r="T443" t="str">
            <v>AJK-419</v>
          </cell>
          <cell r="U443" t="str">
            <v>212890</v>
          </cell>
          <cell r="V443" t="str">
            <v>1112932</v>
          </cell>
          <cell r="W443" t="str">
            <v>05-mar-2027</v>
          </cell>
          <cell r="Y443">
            <v>1236800</v>
          </cell>
          <cell r="Z443">
            <v>18658</v>
          </cell>
          <cell r="AA443">
            <v>21644</v>
          </cell>
        </row>
        <row r="444">
          <cell r="B444" t="str">
            <v>KHI/HO/D/MO/PC COMP/C/107407/112/02/2025</v>
          </cell>
          <cell r="D444" t="str">
            <v>REN</v>
          </cell>
          <cell r="E444" t="str">
            <v>17/02/25</v>
          </cell>
          <cell r="F444" t="str">
            <v>18/02/2025</v>
          </cell>
          <cell r="G444" t="str">
            <v>17/02/2026</v>
          </cell>
          <cell r="H444" t="str">
            <v>08004499</v>
          </cell>
          <cell r="I444" t="str">
            <v>AL BARAKA BANK (PAKISTAN) LIMITED</v>
          </cell>
          <cell r="J444" t="str">
            <v>BANK</v>
          </cell>
          <cell r="K444" t="str">
            <v xml:space="preserve">
HPA M/s. Al Baraka Bank (Pakistan) Limited 
Hpa M/S. Al Baraka Bank (Pakistan) Limited 
User: Sarfraz Saghir Ahmad</v>
          </cell>
          <cell r="L444" t="str">
            <v>D</v>
          </cell>
          <cell r="M444" t="str">
            <v>09000221</v>
          </cell>
          <cell r="N444">
            <v>100</v>
          </cell>
          <cell r="P444" t="str">
            <v>H # 1/35 Street 28 Moh Aziz colony Wandala Road Shahdra Lahore</v>
          </cell>
          <cell r="Q444" t="str">
            <v>11000003</v>
          </cell>
          <cell r="R444" t="str">
            <v>SUZUKI ALTO VXL AGS E-2</v>
          </cell>
          <cell r="S444" t="str">
            <v>2022</v>
          </cell>
          <cell r="T444" t="str">
            <v>AHZ-167</v>
          </cell>
          <cell r="U444" t="str">
            <v>212874</v>
          </cell>
          <cell r="V444" t="str">
            <v>1112906</v>
          </cell>
          <cell r="W444" t="str">
            <v>05-mar-2027</v>
          </cell>
          <cell r="Y444">
            <v>1236800</v>
          </cell>
          <cell r="Z444">
            <v>18658</v>
          </cell>
          <cell r="AA444">
            <v>21644</v>
          </cell>
        </row>
        <row r="445">
          <cell r="B445" t="str">
            <v>KHI/HO/D/MO/PC COMP/C/107407/113/02/2025</v>
          </cell>
          <cell r="D445" t="str">
            <v>REN</v>
          </cell>
          <cell r="E445" t="str">
            <v>17/02/25</v>
          </cell>
          <cell r="F445" t="str">
            <v>18/02/2025</v>
          </cell>
          <cell r="G445" t="str">
            <v>17/02/2026</v>
          </cell>
          <cell r="H445" t="str">
            <v>08004499</v>
          </cell>
          <cell r="I445" t="str">
            <v>AL BARAKA BANK (PAKISTAN) LIMITED</v>
          </cell>
          <cell r="J445" t="str">
            <v>BANK</v>
          </cell>
          <cell r="K445" t="str">
            <v xml:space="preserve">
HPA M/s. Al Baraka Bank (Pakistan) Limited 
Hpa M/S. Al Baraka Bank (Pakistan) Limited 
User: Hubab  .</v>
          </cell>
          <cell r="L445" t="str">
            <v>D</v>
          </cell>
          <cell r="M445" t="str">
            <v>09000221</v>
          </cell>
          <cell r="N445">
            <v>100</v>
          </cell>
          <cell r="O445" t="str">
            <v>KARACHI</v>
          </cell>
          <cell r="P445" t="str">
            <v>H No E 80 -3 Peer Colony St No 7 Walton Road Lahore</v>
          </cell>
          <cell r="Q445" t="str">
            <v>11000003</v>
          </cell>
          <cell r="R445" t="str">
            <v>TOYOTA YARIS 1.5 CVT X</v>
          </cell>
          <cell r="S445" t="str">
            <v>2020</v>
          </cell>
          <cell r="T445" t="str">
            <v>ADC-839</v>
          </cell>
          <cell r="U445" t="str">
            <v>2A02615</v>
          </cell>
          <cell r="V445" t="str">
            <v>9501571</v>
          </cell>
          <cell r="W445" t="str">
            <v>05-mar-2027</v>
          </cell>
          <cell r="Y445">
            <v>2480000</v>
          </cell>
          <cell r="Z445">
            <v>37414</v>
          </cell>
          <cell r="AA445">
            <v>43400</v>
          </cell>
        </row>
        <row r="446">
          <cell r="B446" t="str">
            <v>KHI/HO/D/MO/PC COMP/C/107407/114/02/2025</v>
          </cell>
          <cell r="D446" t="str">
            <v>REN</v>
          </cell>
          <cell r="E446" t="str">
            <v>17/02/25</v>
          </cell>
          <cell r="F446" t="str">
            <v>18/02/2025</v>
          </cell>
          <cell r="G446" t="str">
            <v>17/02/2026</v>
          </cell>
          <cell r="H446" t="str">
            <v>08004499</v>
          </cell>
          <cell r="I446" t="str">
            <v>AL BARAKA BANK (PAKISTAN) LIMITED</v>
          </cell>
          <cell r="J446" t="str">
            <v>BANK</v>
          </cell>
          <cell r="K446" t="str">
            <v xml:space="preserve">
HPA M/s. Al Baraka Bank (Pakistan) Limited 
Hpa M/S. Al Baraka Bank (Pakistan) Limited 
User: Muhammad  Shafique</v>
          </cell>
          <cell r="L446" t="str">
            <v>D</v>
          </cell>
          <cell r="M446" t="str">
            <v>09000221</v>
          </cell>
          <cell r="N446">
            <v>100</v>
          </cell>
          <cell r="P446" t="str">
            <v>H # 04 Street 33 Jalal Building Burni Road Garhi Shahu Lahore</v>
          </cell>
          <cell r="Q446" t="str">
            <v>11000003</v>
          </cell>
          <cell r="R446" t="str">
            <v>HONDA CITY I-VTEC (M/T)</v>
          </cell>
          <cell r="S446" t="str">
            <v>2016</v>
          </cell>
          <cell r="T446" t="str">
            <v>LEA-16-9954</v>
          </cell>
          <cell r="U446" t="str">
            <v>7438342</v>
          </cell>
          <cell r="V446" t="str">
            <v>178169</v>
          </cell>
          <cell r="W446" t="str">
            <v>05-mar-2027</v>
          </cell>
          <cell r="Y446">
            <v>1580000</v>
          </cell>
          <cell r="Z446">
            <v>23837</v>
          </cell>
          <cell r="AA446">
            <v>27650</v>
          </cell>
        </row>
        <row r="447">
          <cell r="B447" t="str">
            <v>KHI/HO/D/MO/PC COMP/C/107407/115/02/2025</v>
          </cell>
          <cell r="D447" t="str">
            <v>REN</v>
          </cell>
          <cell r="E447" t="str">
            <v>17/02/25</v>
          </cell>
          <cell r="F447" t="str">
            <v>18/02/2025</v>
          </cell>
          <cell r="G447" t="str">
            <v>17/02/2026</v>
          </cell>
          <cell r="H447" t="str">
            <v>08004499</v>
          </cell>
          <cell r="I447" t="str">
            <v>AL BARAKA BANK (PAKISTAN) LIMITED</v>
          </cell>
          <cell r="J447" t="str">
            <v>BANK</v>
          </cell>
          <cell r="K447" t="str">
            <v xml:space="preserve">
HPA M/s. Al Baraka Bank (Pakistan) Limited 
Hpa M/S. Al Baraka Bank (Pakistan) Limited 
User: Muhammad Waseel Rafiq</v>
          </cell>
          <cell r="L447" t="str">
            <v>D</v>
          </cell>
          <cell r="M447" t="str">
            <v>09000221</v>
          </cell>
          <cell r="N447">
            <v>100</v>
          </cell>
          <cell r="P447" t="str">
            <v>H No 12 -A St No 1 Syed Street Jalal Colony Sanda Khurd Lahore</v>
          </cell>
          <cell r="Q447" t="str">
            <v>11000003</v>
          </cell>
          <cell r="R447" t="str">
            <v>SUZUKI WAGON R VXL</v>
          </cell>
          <cell r="S447" t="str">
            <v>2022</v>
          </cell>
          <cell r="T447" t="str">
            <v>AJE-721</v>
          </cell>
          <cell r="U447" t="str">
            <v>229883</v>
          </cell>
          <cell r="V447" t="str">
            <v>10129885</v>
          </cell>
          <cell r="W447" t="str">
            <v>05-mar-2027</v>
          </cell>
          <cell r="Y447">
            <v>1501600</v>
          </cell>
          <cell r="Z447">
            <v>22653</v>
          </cell>
          <cell r="AA447">
            <v>26278</v>
          </cell>
        </row>
        <row r="448">
          <cell r="B448" t="str">
            <v>KHI/HO/D/MO/PC COMP/C/107407/116/02/2025</v>
          </cell>
          <cell r="D448" t="str">
            <v>REN</v>
          </cell>
          <cell r="E448" t="str">
            <v>17/02/25</v>
          </cell>
          <cell r="F448" t="str">
            <v>21/02/2025</v>
          </cell>
          <cell r="G448" t="str">
            <v>20/02/2026</v>
          </cell>
          <cell r="H448" t="str">
            <v>08004499</v>
          </cell>
          <cell r="I448" t="str">
            <v>AL BARAKA BANK (PAKISTAN) LIMITED</v>
          </cell>
          <cell r="J448" t="str">
            <v>BANK</v>
          </cell>
          <cell r="K448" t="str">
            <v xml:space="preserve">
HPA M/s. Al Baraka Bank (Pakistan) Limited 
Hpa M/S. Al Baraka Bank (Pakistan) Limited 
User: Rao Azhar Hussain</v>
          </cell>
          <cell r="L448" t="str">
            <v>D</v>
          </cell>
          <cell r="M448" t="str">
            <v>09000221</v>
          </cell>
          <cell r="N448">
            <v>100</v>
          </cell>
          <cell r="P448" t="str">
            <v>H # R-329 Anwar-e-Ibrahim Malir City Karachi</v>
          </cell>
          <cell r="Q448" t="str">
            <v>11000003</v>
          </cell>
          <cell r="R448" t="str">
            <v>TOYOTA COROLLA XLI 1.3</v>
          </cell>
          <cell r="S448" t="str">
            <v>2017</v>
          </cell>
          <cell r="T448" t="str">
            <v>BLG-322</v>
          </cell>
          <cell r="U448" t="str">
            <v>509146</v>
          </cell>
          <cell r="V448" t="str">
            <v>4135216</v>
          </cell>
          <cell r="W448" t="str">
            <v>05-mar-2027</v>
          </cell>
          <cell r="Y448">
            <v>1760000</v>
          </cell>
          <cell r="Z448">
            <v>26551</v>
          </cell>
          <cell r="AA448">
            <v>30800</v>
          </cell>
        </row>
        <row r="449">
          <cell r="B449" t="str">
            <v>KHI/HO/D/MO/PC COMP/C/107407/117/02/2025</v>
          </cell>
          <cell r="D449" t="str">
            <v>REN</v>
          </cell>
          <cell r="E449" t="str">
            <v>17/02/25</v>
          </cell>
          <cell r="F449" t="str">
            <v>21/02/2025</v>
          </cell>
          <cell r="G449" t="str">
            <v>20/02/2026</v>
          </cell>
          <cell r="H449" t="str">
            <v>08004499</v>
          </cell>
          <cell r="I449" t="str">
            <v>AL BARAKA BANK (PAKISTAN) LIMITED</v>
          </cell>
          <cell r="J449" t="str">
            <v>BANK</v>
          </cell>
          <cell r="K449" t="str">
            <v xml:space="preserve">
HPA M/s. Al Baraka Bank (Pakistan) Limited 
Hpa M/S. Al Baraka Bank (Pakistan) Limited 
User: Rida   Fatima</v>
          </cell>
          <cell r="L449" t="str">
            <v>D</v>
          </cell>
          <cell r="M449" t="str">
            <v>09000221</v>
          </cell>
          <cell r="N449">
            <v>100</v>
          </cell>
          <cell r="O449" t="str">
            <v>KARACHI</v>
          </cell>
          <cell r="P449" t="str">
            <v>H # P-69/1 Lane 2 New Lala Rukh Wah Cantt</v>
          </cell>
          <cell r="Q449" t="str">
            <v>11000003</v>
          </cell>
          <cell r="R449" t="str">
            <v>SUZUKI ALTO VXR E-2</v>
          </cell>
          <cell r="S449" t="str">
            <v>2022</v>
          </cell>
          <cell r="T449" t="str">
            <v>AJA-613</v>
          </cell>
          <cell r="U449" t="str">
            <v>6R206890</v>
          </cell>
          <cell r="V449" t="str">
            <v>1106603</v>
          </cell>
          <cell r="W449" t="str">
            <v>05-mar-2027</v>
          </cell>
          <cell r="Y449">
            <v>1236800</v>
          </cell>
          <cell r="Z449">
            <v>26655</v>
          </cell>
          <cell r="AA449">
            <v>30920</v>
          </cell>
        </row>
        <row r="450">
          <cell r="B450" t="str">
            <v>KHI/HO/D/MO/PC COMP/C/107407/118/02/2025</v>
          </cell>
          <cell r="D450" t="str">
            <v>REN</v>
          </cell>
          <cell r="E450" t="str">
            <v>17/02/25</v>
          </cell>
          <cell r="F450" t="str">
            <v>21/02/2025</v>
          </cell>
          <cell r="G450" t="str">
            <v>20/02/2026</v>
          </cell>
          <cell r="H450" t="str">
            <v>08004499</v>
          </cell>
          <cell r="I450" t="str">
            <v>AL BARAKA BANK (PAKISTAN) LIMITED</v>
          </cell>
          <cell r="J450" t="str">
            <v>BANK</v>
          </cell>
          <cell r="K450" t="str">
            <v xml:space="preserve">
HPA M/s. Al Baraka Bank (Pakistan) Limited 
Hpa M/S. Al Baraka Bank (Pakistan) Limited 
User: Javaid  Gulzar</v>
          </cell>
          <cell r="L450" t="str">
            <v>D</v>
          </cell>
          <cell r="M450" t="str">
            <v>09000221</v>
          </cell>
          <cell r="N450">
            <v>100</v>
          </cell>
          <cell r="P450" t="str">
            <v>H # 1H-195 Street 17 Falcon Complex AFOHS Karachi</v>
          </cell>
          <cell r="Q450" t="str">
            <v>11000003</v>
          </cell>
          <cell r="R450" t="str">
            <v>SUZUKI ALTO VXL AGS E-2</v>
          </cell>
          <cell r="S450" t="str">
            <v>2022</v>
          </cell>
          <cell r="T450" t="str">
            <v>BVZ-932</v>
          </cell>
          <cell r="U450" t="str">
            <v>214618</v>
          </cell>
          <cell r="V450" t="str">
            <v>1114572</v>
          </cell>
          <cell r="W450" t="str">
            <v>05-mar-2026</v>
          </cell>
          <cell r="Y450">
            <v>1397600</v>
          </cell>
          <cell r="Z450">
            <v>21084</v>
          </cell>
          <cell r="AA450">
            <v>24458</v>
          </cell>
        </row>
        <row r="451">
          <cell r="B451" t="str">
            <v>KHI/HO/D/MO/PC COMP/C/107407/119/02/2025</v>
          </cell>
          <cell r="D451" t="str">
            <v>REN</v>
          </cell>
          <cell r="E451" t="str">
            <v>17/02/25</v>
          </cell>
          <cell r="F451" t="str">
            <v>22/02/2025</v>
          </cell>
          <cell r="G451" t="str">
            <v>21/02/2026</v>
          </cell>
          <cell r="H451" t="str">
            <v>08004499</v>
          </cell>
          <cell r="I451" t="str">
            <v>AL BARAKA BANK (PAKISTAN) LIMITED</v>
          </cell>
          <cell r="J451" t="str">
            <v>BANK</v>
          </cell>
          <cell r="K451" t="str">
            <v xml:space="preserve">
HPA M/s. Al Baraka Bank (Pakistan) Limited 
Hpa M/S. Al Baraka Bank (Pakistan) Limited 
User: Waseem  Iftikhar</v>
          </cell>
          <cell r="L451" t="str">
            <v>D</v>
          </cell>
          <cell r="M451" t="str">
            <v>09000221</v>
          </cell>
          <cell r="N451">
            <v>100</v>
          </cell>
          <cell r="P451" t="str">
            <v>H No 9 St No 31 Mohallah Aslam Khan Road Islamia Park Lahore</v>
          </cell>
          <cell r="Q451" t="str">
            <v>11000003</v>
          </cell>
          <cell r="R451" t="str">
            <v>SUZUKI ALTO</v>
          </cell>
          <cell r="S451" t="str">
            <v>2022</v>
          </cell>
          <cell r="T451" t="str">
            <v>AJT-502</v>
          </cell>
          <cell r="U451" t="str">
            <v>212910</v>
          </cell>
          <cell r="V451" t="str">
            <v>1112945</v>
          </cell>
          <cell r="W451" t="str">
            <v>06-mar-2028</v>
          </cell>
          <cell r="Y451">
            <v>1236800</v>
          </cell>
          <cell r="Z451">
            <v>18658</v>
          </cell>
          <cell r="AA451">
            <v>21644</v>
          </cell>
        </row>
        <row r="452">
          <cell r="B452" t="str">
            <v>KHI/HO/D/MO/PC COMP/C/107407/120/02/2025</v>
          </cell>
          <cell r="D452" t="str">
            <v>REN</v>
          </cell>
          <cell r="E452" t="str">
            <v>17/02/25</v>
          </cell>
          <cell r="F452" t="str">
            <v>21/02/2025</v>
          </cell>
          <cell r="G452" t="str">
            <v>20/02/2026</v>
          </cell>
          <cell r="H452" t="str">
            <v>08004499</v>
          </cell>
          <cell r="I452" t="str">
            <v>AL BARAKA BANK (PAKISTAN) LIMITED</v>
          </cell>
          <cell r="J452" t="str">
            <v>BANK</v>
          </cell>
          <cell r="K452" t="str">
            <v xml:space="preserve">
HPA M/s. Al Baraka Bank (Pakistan) Limited 
Hpa M/S. Al Baraka Bank (Pakistan) Limited 
User: Ayaz  Imtiaz Ahmed Khan</v>
          </cell>
          <cell r="L452" t="str">
            <v>D</v>
          </cell>
          <cell r="M452" t="str">
            <v>09000221</v>
          </cell>
          <cell r="N452">
            <v>100</v>
          </cell>
          <cell r="P452" t="str">
            <v>H # A-263 Block 2 Gulistan-e-Johar Karachi</v>
          </cell>
          <cell r="Q452" t="str">
            <v>11000003</v>
          </cell>
          <cell r="R452" t="str">
            <v>SUZUKI CULTUS VXL EURO II</v>
          </cell>
          <cell r="S452" t="str">
            <v>2019</v>
          </cell>
          <cell r="T452" t="str">
            <v>BQR-992</v>
          </cell>
          <cell r="U452" t="str">
            <v>147054</v>
          </cell>
          <cell r="V452" t="str">
            <v>47036</v>
          </cell>
          <cell r="W452" t="str">
            <v>05-mar-2029</v>
          </cell>
          <cell r="Y452">
            <v>1504000</v>
          </cell>
          <cell r="Z452">
            <v>22690</v>
          </cell>
          <cell r="AA452">
            <v>26320</v>
          </cell>
        </row>
        <row r="453">
          <cell r="B453" t="str">
            <v>KHI/HO/D/MO/PC COMP/C/107407/121/02/2025</v>
          </cell>
          <cell r="D453" t="str">
            <v>REN</v>
          </cell>
          <cell r="E453" t="str">
            <v>17/02/25</v>
          </cell>
          <cell r="F453" t="str">
            <v>22/02/2025</v>
          </cell>
          <cell r="G453" t="str">
            <v>21/02/2026</v>
          </cell>
          <cell r="H453" t="str">
            <v>08004499</v>
          </cell>
          <cell r="I453" t="str">
            <v>AL BARAKA BANK (PAKISTAN) LIMITED</v>
          </cell>
          <cell r="J453" t="str">
            <v>BANK</v>
          </cell>
          <cell r="K453" t="str">
            <v xml:space="preserve">
HPA M/s. Al Baraka Bank (Pakistan) Limited 
Hpa M/S. Al Baraka Bank (Pakistan) Limited 
User: Muhammad   Imran</v>
          </cell>
          <cell r="L453" t="str">
            <v>D</v>
          </cell>
          <cell r="M453" t="str">
            <v>09000221</v>
          </cell>
          <cell r="N453">
            <v>100</v>
          </cell>
          <cell r="O453" t="str">
            <v>KARACHI</v>
          </cell>
          <cell r="P453" t="str">
            <v>Chak No 50 G .B Eastro Tehsil Samundari Distt Faisalabad</v>
          </cell>
          <cell r="Q453" t="str">
            <v>11000003</v>
          </cell>
          <cell r="R453" t="str">
            <v>SUZUKI ALTO VXR</v>
          </cell>
          <cell r="S453" t="str">
            <v>2022</v>
          </cell>
          <cell r="T453" t="str">
            <v>AHZ-855</v>
          </cell>
          <cell r="U453" t="str">
            <v>6R213126</v>
          </cell>
          <cell r="V453" t="str">
            <v>6H1113116</v>
          </cell>
          <cell r="W453" t="str">
            <v>05-mar-2027</v>
          </cell>
          <cell r="Y453">
            <v>1236800</v>
          </cell>
          <cell r="Z453">
            <v>18658</v>
          </cell>
          <cell r="AA453">
            <v>21644</v>
          </cell>
        </row>
        <row r="454">
          <cell r="B454" t="str">
            <v>KHI/HO/D/MO/PC COMP/C/107407/122/02/2025</v>
          </cell>
          <cell r="D454" t="str">
            <v>REN</v>
          </cell>
          <cell r="E454" t="str">
            <v>17/02/25</v>
          </cell>
          <cell r="F454" t="str">
            <v>22/02/2025</v>
          </cell>
          <cell r="G454" t="str">
            <v>21/02/2026</v>
          </cell>
          <cell r="H454" t="str">
            <v>08004499</v>
          </cell>
          <cell r="I454" t="str">
            <v>AL BARAKA BANK (PAKISTAN) LIMITED</v>
          </cell>
          <cell r="J454" t="str">
            <v>BANK</v>
          </cell>
          <cell r="K454" t="str">
            <v xml:space="preserve">
HPA M/s. Al Baraka Bank (Pakistan) Limited 
Hpa M/S. Al Baraka Bank (Pakistan) Limited 
User: Muhammad   Nadeem</v>
          </cell>
          <cell r="L454" t="str">
            <v>D</v>
          </cell>
          <cell r="M454" t="str">
            <v>09000221</v>
          </cell>
          <cell r="N454">
            <v>100</v>
          </cell>
          <cell r="P454" t="str">
            <v>Moh Hanjiyan Wala PO Khas Ferozwala The Dist Gujranwala</v>
          </cell>
          <cell r="Q454" t="str">
            <v>11000003</v>
          </cell>
          <cell r="R454" t="str">
            <v>SUZUKI WAGON R VXL</v>
          </cell>
          <cell r="S454" t="str">
            <v>2022</v>
          </cell>
          <cell r="T454" t="str">
            <v>AJG-281</v>
          </cell>
          <cell r="U454" t="str">
            <v>230036</v>
          </cell>
          <cell r="V454" t="str">
            <v>10130054</v>
          </cell>
          <cell r="W454" t="str">
            <v>05-mar-2027</v>
          </cell>
          <cell r="Y454">
            <v>1501600</v>
          </cell>
          <cell r="Z454">
            <v>22653</v>
          </cell>
          <cell r="AA454">
            <v>26278</v>
          </cell>
        </row>
        <row r="455">
          <cell r="B455" t="str">
            <v>KHI/HO/D/MO/PC COMP/C/107407/123/02/2025</v>
          </cell>
          <cell r="D455" t="str">
            <v>REN</v>
          </cell>
          <cell r="E455" t="str">
            <v>17/02/25</v>
          </cell>
          <cell r="F455" t="str">
            <v>22/02/2025</v>
          </cell>
          <cell r="G455" t="str">
            <v>21/02/2026</v>
          </cell>
          <cell r="H455" t="str">
            <v>08004499</v>
          </cell>
          <cell r="I455" t="str">
            <v>AL BARAKA BANK (PAKISTAN) LIMITED</v>
          </cell>
          <cell r="J455" t="str">
            <v>BANK</v>
          </cell>
          <cell r="K455" t="str">
            <v xml:space="preserve">
HPA M/s. Al Baraka Bank (Pakistan) Limited 
Hpa M/S. Al Baraka Bank (Pakistan) Limited 
User: Musarat  Aftab Gorar</v>
          </cell>
          <cell r="L455" t="str">
            <v>D</v>
          </cell>
          <cell r="M455" t="str">
            <v>09000221</v>
          </cell>
          <cell r="N455">
            <v>100</v>
          </cell>
          <cell r="P455" t="str">
            <v>H # C-65 Mohallah Gulshan-e-Mehran Phase 1 Qasimabad Hyderabad</v>
          </cell>
          <cell r="Q455" t="str">
            <v>11000003</v>
          </cell>
          <cell r="R455" t="str">
            <v>SUZUKI CULTUS VXL EURO II</v>
          </cell>
          <cell r="S455" t="str">
            <v>2018</v>
          </cell>
          <cell r="T455" t="str">
            <v>BMV-275</v>
          </cell>
          <cell r="U455" t="str">
            <v>121496</v>
          </cell>
          <cell r="V455" t="str">
            <v>10021461</v>
          </cell>
          <cell r="W455" t="str">
            <v>05-mar-2027</v>
          </cell>
          <cell r="Y455">
            <v>1440000</v>
          </cell>
          <cell r="Z455">
            <v>31035</v>
          </cell>
          <cell r="AA455">
            <v>36000</v>
          </cell>
        </row>
        <row r="456">
          <cell r="B456" t="str">
            <v>KHI/HO/D/MO/PC COMP/C/107407/124/02/2025</v>
          </cell>
          <cell r="D456" t="str">
            <v>REN</v>
          </cell>
          <cell r="E456" t="str">
            <v>17/02/25</v>
          </cell>
          <cell r="F456" t="str">
            <v>04/02/2025</v>
          </cell>
          <cell r="G456" t="str">
            <v>03/02/2026</v>
          </cell>
          <cell r="H456" t="str">
            <v>08004499</v>
          </cell>
          <cell r="I456" t="str">
            <v>AL BARAKA BANK (PAKISTAN) LIMITED</v>
          </cell>
          <cell r="J456" t="str">
            <v>BANK</v>
          </cell>
          <cell r="K456" t="str">
            <v xml:space="preserve">
HPA M/s. Al Baraka Bank (Pakistan) Limited 
Hpa M/S. Al Baraka Bank (Pakistan) Limited 
User: Shah  Murad</v>
          </cell>
          <cell r="L456" t="str">
            <v>D</v>
          </cell>
          <cell r="M456" t="str">
            <v>09000221</v>
          </cell>
          <cell r="N456">
            <v>100</v>
          </cell>
          <cell r="O456" t="str">
            <v>KARACHI</v>
          </cell>
          <cell r="P456" t="str">
            <v>H # 432 Block A Askari Lahore</v>
          </cell>
          <cell r="Q456" t="str">
            <v>11000003</v>
          </cell>
          <cell r="R456" t="str">
            <v>HONDA CIVIC VTI  ORIEL PT</v>
          </cell>
          <cell r="S456" t="str">
            <v>2017</v>
          </cell>
          <cell r="T456" t="str">
            <v>LEF-17-882</v>
          </cell>
          <cell r="U456" t="str">
            <v>R18Z12909720</v>
          </cell>
          <cell r="V456" t="str">
            <v>R012795</v>
          </cell>
          <cell r="W456" t="str">
            <v>05-feb-2027</v>
          </cell>
          <cell r="Y456">
            <v>2560000</v>
          </cell>
          <cell r="Z456">
            <v>44138</v>
          </cell>
          <cell r="AA456">
            <v>51200</v>
          </cell>
        </row>
        <row r="457">
          <cell r="B457" t="str">
            <v>KHI/HO/D/MO/PC COMP/C/107407/125/02/2025</v>
          </cell>
          <cell r="D457" t="str">
            <v>REN</v>
          </cell>
          <cell r="E457" t="str">
            <v>17/02/25</v>
          </cell>
          <cell r="F457" t="str">
            <v>23/02/2025</v>
          </cell>
          <cell r="G457" t="str">
            <v>22/02/2026</v>
          </cell>
          <cell r="H457" t="str">
            <v>08004499</v>
          </cell>
          <cell r="I457" t="str">
            <v>AL BARAKA BANK (PAKISTAN) LIMITED</v>
          </cell>
          <cell r="J457" t="str">
            <v>BANK</v>
          </cell>
          <cell r="K457" t="str">
            <v xml:space="preserve">
HPA M/s. Al Baraka Bank (Pakistan) Limited 
Hpa M/S. Al Baraka Bank (Pakistan) Limited 
User: Muhammad  Akram</v>
          </cell>
          <cell r="L457" t="str">
            <v>D</v>
          </cell>
          <cell r="M457" t="str">
            <v>09000221</v>
          </cell>
          <cell r="N457">
            <v>100</v>
          </cell>
          <cell r="O457" t="str">
            <v>KARACHI</v>
          </cell>
          <cell r="P457" t="str">
            <v>H # 339-A Lahore Garden Faizpur Interchange Sharqpur Road Lahore</v>
          </cell>
          <cell r="Q457" t="str">
            <v>11000003</v>
          </cell>
          <cell r="R457" t="str">
            <v>TOYOTA COROLLA GLI A/T 1.</v>
          </cell>
          <cell r="S457" t="str">
            <v>2018</v>
          </cell>
          <cell r="T457" t="str">
            <v>LEB-18-8510</v>
          </cell>
          <cell r="U457" t="str">
            <v>Z517079</v>
          </cell>
          <cell r="V457" t="str">
            <v>R-4143124</v>
          </cell>
          <cell r="W457" t="str">
            <v>05-mar-2027</v>
          </cell>
          <cell r="Y457">
            <v>2320000</v>
          </cell>
          <cell r="Z457">
            <v>35000</v>
          </cell>
          <cell r="AA457">
            <v>40600</v>
          </cell>
        </row>
        <row r="458">
          <cell r="B458" t="str">
            <v>KHI/HO/D/MO/PC COMP/C/107407/126/02/2025</v>
          </cell>
          <cell r="D458" t="str">
            <v>REN</v>
          </cell>
          <cell r="E458" t="str">
            <v>17/02/25</v>
          </cell>
          <cell r="F458" t="str">
            <v>24/02/2025</v>
          </cell>
          <cell r="G458" t="str">
            <v>23/02/2026</v>
          </cell>
          <cell r="H458" t="str">
            <v>08004499</v>
          </cell>
          <cell r="I458" t="str">
            <v>AL BARAKA BANK (PAKISTAN) LIMITED</v>
          </cell>
          <cell r="J458" t="str">
            <v>BANK</v>
          </cell>
          <cell r="K458" t="str">
            <v xml:space="preserve">
HPA M/s. Al Baraka Bank (Pakistan) Limited 
Hpa M/S. Al Baraka Bank (Pakistan) Limited 
User: Muhammad   Saleh</v>
          </cell>
          <cell r="L458" t="str">
            <v>D</v>
          </cell>
          <cell r="M458" t="str">
            <v>09000221</v>
          </cell>
          <cell r="N458">
            <v>100</v>
          </cell>
          <cell r="P458" t="str">
            <v>Village Behda P.O Sabu Rahu Sakrand Distt S.B.A</v>
          </cell>
          <cell r="Q458" t="str">
            <v>11000003</v>
          </cell>
          <cell r="R458" t="str">
            <v>SUZUKI ALTO VXR</v>
          </cell>
          <cell r="S458" t="str">
            <v>2022</v>
          </cell>
          <cell r="T458" t="str">
            <v>BWB-486</v>
          </cell>
          <cell r="U458" t="str">
            <v>213617</v>
          </cell>
          <cell r="V458" t="str">
            <v>1113627</v>
          </cell>
          <cell r="W458" t="str">
            <v>05-mar-2027</v>
          </cell>
          <cell r="Y458">
            <v>1236800</v>
          </cell>
          <cell r="Z458">
            <v>26655</v>
          </cell>
          <cell r="AA458">
            <v>30920</v>
          </cell>
        </row>
        <row r="459">
          <cell r="B459" t="str">
            <v>KHI/HO/D/MO/PC COMP/C/107407/127/02/2025</v>
          </cell>
          <cell r="D459" t="str">
            <v>REN</v>
          </cell>
          <cell r="E459" t="str">
            <v>17/02/25</v>
          </cell>
          <cell r="F459" t="str">
            <v>24/02/2025</v>
          </cell>
          <cell r="G459" t="str">
            <v>23/02/2026</v>
          </cell>
          <cell r="H459" t="str">
            <v>08004499</v>
          </cell>
          <cell r="I459" t="str">
            <v>AL BARAKA BANK (PAKISTAN) LIMITED</v>
          </cell>
          <cell r="J459" t="str">
            <v>BANK</v>
          </cell>
          <cell r="K459" t="str">
            <v xml:space="preserve">
HPA M/s. Al Baraka Bank (Pakistan) Limited 
Hpa M/S. Al Baraka Bank (Pakistan) Limited 
User: Rana  Irfan Bashir</v>
          </cell>
          <cell r="L459" t="str">
            <v>D</v>
          </cell>
          <cell r="M459" t="str">
            <v>09000221</v>
          </cell>
          <cell r="N459">
            <v>100</v>
          </cell>
          <cell r="O459" t="str">
            <v>KARACHI</v>
          </cell>
          <cell r="P459" t="str">
            <v>Dil Muhammad Colony Kana Kacha Lahore</v>
          </cell>
          <cell r="Q459" t="str">
            <v>11000003</v>
          </cell>
          <cell r="R459" t="str">
            <v>TOYOTA COROLLA 1.3 XLI</v>
          </cell>
          <cell r="S459" t="str">
            <v>2018</v>
          </cell>
          <cell r="T459" t="str">
            <v>LEC-18-6602</v>
          </cell>
          <cell r="U459" t="str">
            <v>Z507943</v>
          </cell>
          <cell r="V459" t="str">
            <v>R-4134307</v>
          </cell>
          <cell r="W459" t="str">
            <v>05-mar-2027</v>
          </cell>
          <cell r="Y459">
            <v>2000000</v>
          </cell>
          <cell r="Z459">
            <v>43103</v>
          </cell>
          <cell r="AA459">
            <v>50000</v>
          </cell>
        </row>
        <row r="460">
          <cell r="B460" t="str">
            <v>KHI/HO/D/MO/PC COMP/C/107407/128/02/2025</v>
          </cell>
          <cell r="D460" t="str">
            <v>REN</v>
          </cell>
          <cell r="E460" t="str">
            <v>17/02/25</v>
          </cell>
          <cell r="F460" t="str">
            <v>24/02/2025</v>
          </cell>
          <cell r="G460" t="str">
            <v>23/02/2026</v>
          </cell>
          <cell r="H460" t="str">
            <v>08004499</v>
          </cell>
          <cell r="I460" t="str">
            <v>AL BARAKA BANK (PAKISTAN) LIMITED</v>
          </cell>
          <cell r="J460" t="str">
            <v>BANK</v>
          </cell>
          <cell r="K460" t="str">
            <v xml:space="preserve">
HPA M/s. Al Baraka Bank (Pakistan) Limited 
Hpa M/S. Al Baraka Bank (Pakistan) Limited 
User: Muhammad Sameen Yousuf  Khan</v>
          </cell>
          <cell r="L460" t="str">
            <v>D</v>
          </cell>
          <cell r="M460" t="str">
            <v>09000221</v>
          </cell>
          <cell r="N460">
            <v>100</v>
          </cell>
          <cell r="P460" t="str">
            <v>H # R-99 Jhabgir Co Opr. Housing Society Krrachi</v>
          </cell>
          <cell r="Q460" t="str">
            <v>11000003</v>
          </cell>
          <cell r="R460" t="str">
            <v>SUZUKI CULTUS VXL EURO II</v>
          </cell>
          <cell r="S460" t="str">
            <v>2016</v>
          </cell>
          <cell r="T460" t="str">
            <v>BHB-457</v>
          </cell>
          <cell r="U460" t="str">
            <v>632979</v>
          </cell>
          <cell r="V460" t="str">
            <v>539846</v>
          </cell>
          <cell r="W460" t="str">
            <v>05-mar-2027</v>
          </cell>
          <cell r="Y460">
            <v>900000</v>
          </cell>
          <cell r="Z460">
            <v>13577</v>
          </cell>
          <cell r="AA460">
            <v>15750</v>
          </cell>
        </row>
        <row r="461">
          <cell r="B461" t="str">
            <v>KHI/HO/D/MO/PC COMP/C/107407/129/02/2025</v>
          </cell>
          <cell r="D461" t="str">
            <v>REN</v>
          </cell>
          <cell r="E461" t="str">
            <v>17/02/25</v>
          </cell>
          <cell r="F461" t="str">
            <v>24/02/2025</v>
          </cell>
          <cell r="G461" t="str">
            <v>23/02/2026</v>
          </cell>
          <cell r="H461" t="str">
            <v>08004499</v>
          </cell>
          <cell r="I461" t="str">
            <v>AL BARAKA BANK (PAKISTAN) LIMITED</v>
          </cell>
          <cell r="J461" t="str">
            <v>BANK</v>
          </cell>
          <cell r="K461" t="str">
            <v xml:space="preserve">
HPA M/s. Al Baraka Bank (Pakistan) Limited 
Hpa M/S. Al Baraka Bank (Pakistan) Limited 
User: Mehboob Alam Malik</v>
          </cell>
          <cell r="L461" t="str">
            <v>D</v>
          </cell>
          <cell r="M461" t="str">
            <v>09000221</v>
          </cell>
          <cell r="N461">
            <v>100</v>
          </cell>
          <cell r="O461" t="str">
            <v>KARACHI</v>
          </cell>
          <cell r="P461" t="str">
            <v>Dakhana Khas Masjid Zubair Dakhana Khas Kamaha Lahore</v>
          </cell>
          <cell r="Q461" t="str">
            <v>11000003</v>
          </cell>
          <cell r="R461" t="str">
            <v>TOYOTA COROLLA ALTIS 1.6</v>
          </cell>
          <cell r="S461" t="str">
            <v>2022</v>
          </cell>
          <cell r="T461" t="str">
            <v>AGC-970</v>
          </cell>
          <cell r="U461" t="str">
            <v>Q 090674</v>
          </cell>
          <cell r="V461" t="str">
            <v>6068137</v>
          </cell>
          <cell r="W461" t="str">
            <v>05-mar-2027</v>
          </cell>
          <cell r="Y461">
            <v>3144800</v>
          </cell>
          <cell r="Z461">
            <v>40665</v>
          </cell>
          <cell r="AA461">
            <v>47172</v>
          </cell>
        </row>
        <row r="462">
          <cell r="B462" t="str">
            <v>KHI/HO/D/MO/PC COMP/C/107407/130/02/2025</v>
          </cell>
          <cell r="D462" t="str">
            <v>REN</v>
          </cell>
          <cell r="E462" t="str">
            <v>17/02/25</v>
          </cell>
          <cell r="F462" t="str">
            <v>04/02/2025</v>
          </cell>
          <cell r="G462" t="str">
            <v>03/02/2026</v>
          </cell>
          <cell r="H462" t="str">
            <v>08004499</v>
          </cell>
          <cell r="I462" t="str">
            <v>AL BARAKA BANK (PAKISTAN) LIMITED</v>
          </cell>
          <cell r="J462" t="str">
            <v>BANK</v>
          </cell>
          <cell r="K462" t="str">
            <v xml:space="preserve">
HPA M/s. Al Baraka Bank (Pakistan) Limited 
Hpa M/S. Al Baraka Bank (Pakistan) Limited 
User: Ateeq  Uz Zaman  Khan</v>
          </cell>
          <cell r="L462" t="str">
            <v>D</v>
          </cell>
          <cell r="M462" t="str">
            <v>09000221</v>
          </cell>
          <cell r="N462">
            <v>100</v>
          </cell>
          <cell r="O462" t="str">
            <v>KARACHI</v>
          </cell>
          <cell r="P462" t="str">
            <v>H # 29 Street 2 Fort Avenue Colony Multan Public School Road Multan</v>
          </cell>
          <cell r="Q462" t="str">
            <v>11000003</v>
          </cell>
          <cell r="R462" t="str">
            <v>TOYOTA COROLLA ALTIS CVTI</v>
          </cell>
          <cell r="S462" t="str">
            <v>2020</v>
          </cell>
          <cell r="T462" t="str">
            <v>ACG-008</v>
          </cell>
          <cell r="U462" t="str">
            <v>Q345937</v>
          </cell>
          <cell r="V462" t="str">
            <v>7045120</v>
          </cell>
          <cell r="W462" t="str">
            <v>05-feb-2027</v>
          </cell>
          <cell r="Y462">
            <v>3320000</v>
          </cell>
          <cell r="Z462">
            <v>42931</v>
          </cell>
          <cell r="AA462">
            <v>49800</v>
          </cell>
        </row>
        <row r="463">
          <cell r="B463" t="str">
            <v>KHI/HO/D/MO/PC COMP/C/107407/131/02/2025</v>
          </cell>
          <cell r="D463" t="str">
            <v>REN</v>
          </cell>
          <cell r="E463" t="str">
            <v>17/02/25</v>
          </cell>
          <cell r="F463" t="str">
            <v>25/02/2025</v>
          </cell>
          <cell r="G463" t="str">
            <v>24/02/2026</v>
          </cell>
          <cell r="H463" t="str">
            <v>08004499</v>
          </cell>
          <cell r="I463" t="str">
            <v>AL BARAKA BANK (PAKISTAN) LIMITED</v>
          </cell>
          <cell r="J463" t="str">
            <v>BANK</v>
          </cell>
          <cell r="K463" t="str">
            <v xml:space="preserve">
HPA M/s. Al Baraka Bank (Pakistan) Limited 
Hpa M/S. Al Baraka Bank (Pakistan) Limited 
User: Ijaz Ul Hassan</v>
          </cell>
          <cell r="L463" t="str">
            <v>D</v>
          </cell>
          <cell r="M463" t="str">
            <v>09000221</v>
          </cell>
          <cell r="N463">
            <v>100</v>
          </cell>
          <cell r="P463" t="str">
            <v>HS No 1693/193 Street 11 Mohallah Arif Pura TB Road Multan</v>
          </cell>
          <cell r="Q463" t="str">
            <v>11000003</v>
          </cell>
          <cell r="R463" t="str">
            <v>SUZUKI WAGON-R VXL E2</v>
          </cell>
          <cell r="S463" t="str">
            <v>2022</v>
          </cell>
          <cell r="T463" t="str">
            <v>AJH-577</v>
          </cell>
          <cell r="U463" t="str">
            <v>1113157</v>
          </cell>
          <cell r="V463" t="str">
            <v>10128911</v>
          </cell>
          <cell r="W463" t="str">
            <v>05-mar-2027</v>
          </cell>
          <cell r="Y463">
            <v>1580000</v>
          </cell>
          <cell r="Z463">
            <v>23837</v>
          </cell>
          <cell r="AA463">
            <v>27650</v>
          </cell>
        </row>
        <row r="464">
          <cell r="B464" t="str">
            <v>KHI/HO/D/MO/PC COMP/C/107407/132/02/2025</v>
          </cell>
          <cell r="D464" t="str">
            <v>REN</v>
          </cell>
          <cell r="E464" t="str">
            <v>17/02/25</v>
          </cell>
          <cell r="F464" t="str">
            <v>25/02/2025</v>
          </cell>
          <cell r="G464" t="str">
            <v>24/02/2026</v>
          </cell>
          <cell r="H464" t="str">
            <v>08004499</v>
          </cell>
          <cell r="I464" t="str">
            <v>AL BARAKA BANK (PAKISTAN) LIMITED</v>
          </cell>
          <cell r="J464" t="str">
            <v>BANK</v>
          </cell>
          <cell r="K464" t="str">
            <v xml:space="preserve">
HPA M/s. Al Baraka Bank (Pakistan) Limited 
Hpa M/S. Al Baraka Bank (Pakistan) Limited 
User: Faisal   Mirza</v>
          </cell>
          <cell r="L464" t="str">
            <v>D</v>
          </cell>
          <cell r="M464" t="str">
            <v>09000221</v>
          </cell>
          <cell r="N464">
            <v>100</v>
          </cell>
          <cell r="P464" t="str">
            <v>H # 3H 5/27 Gole Market Nazimabad Karachi</v>
          </cell>
          <cell r="Q464" t="str">
            <v>11000003</v>
          </cell>
          <cell r="R464" t="str">
            <v>SUZUKI CULTUS VXL EURO II</v>
          </cell>
          <cell r="S464" t="str">
            <v>2018</v>
          </cell>
          <cell r="T464" t="str">
            <v>BNU- 148</v>
          </cell>
          <cell r="U464" t="str">
            <v>131212</v>
          </cell>
          <cell r="V464" t="str">
            <v>H10031226</v>
          </cell>
          <cell r="W464" t="str">
            <v>05-mar-2027</v>
          </cell>
          <cell r="Y464">
            <v>1440000</v>
          </cell>
          <cell r="Z464">
            <v>31035</v>
          </cell>
          <cell r="AA464">
            <v>36000</v>
          </cell>
        </row>
        <row r="465">
          <cell r="B465" t="str">
            <v>KHI/HO/D/MO/PC COMP/C/107407/133/02/2025</v>
          </cell>
          <cell r="D465" t="str">
            <v>REN</v>
          </cell>
          <cell r="E465" t="str">
            <v>17/02/25</v>
          </cell>
          <cell r="F465" t="str">
            <v>26/02/2025</v>
          </cell>
          <cell r="G465" t="str">
            <v>25/02/2026</v>
          </cell>
          <cell r="H465" t="str">
            <v>08004499</v>
          </cell>
          <cell r="I465" t="str">
            <v>AL BARAKA BANK (PAKISTAN) LIMITED</v>
          </cell>
          <cell r="J465" t="str">
            <v>BANK</v>
          </cell>
          <cell r="K465" t="str">
            <v xml:space="preserve">
HPA M/s. Al Baraka Bank (Pakistan) Limited 
Hpa M/S. Al Baraka Bank (Pakistan) Limited 
User: Mohsin  Naseer</v>
          </cell>
          <cell r="L465" t="str">
            <v>D</v>
          </cell>
          <cell r="M465" t="str">
            <v>09000221</v>
          </cell>
          <cell r="N465">
            <v>100</v>
          </cell>
          <cell r="P465" t="str">
            <v>H # 12 School Stop Muhammad Rd Sanda Khurd Lahore</v>
          </cell>
          <cell r="Q465" t="str">
            <v>11000003</v>
          </cell>
          <cell r="R465" t="str">
            <v>SUZUKI WAGON-R VXR</v>
          </cell>
          <cell r="S465" t="str">
            <v>2022</v>
          </cell>
          <cell r="T465" t="str">
            <v>AJE-758</v>
          </cell>
          <cell r="U465" t="str">
            <v>228070</v>
          </cell>
          <cell r="V465" t="str">
            <v>10128061</v>
          </cell>
          <cell r="W465" t="str">
            <v>05-mar-2029</v>
          </cell>
          <cell r="Y465">
            <v>1501600</v>
          </cell>
          <cell r="Z465">
            <v>32362</v>
          </cell>
          <cell r="AA465">
            <v>37540</v>
          </cell>
        </row>
        <row r="466">
          <cell r="B466" t="str">
            <v>KHI/HO/D/MO/PC COMP/C/107407/134/02/2025</v>
          </cell>
          <cell r="D466" t="str">
            <v>REN</v>
          </cell>
          <cell r="E466" t="str">
            <v>17/02/25</v>
          </cell>
          <cell r="F466" t="str">
            <v>28/02/2025</v>
          </cell>
          <cell r="G466" t="str">
            <v>27/02/2026</v>
          </cell>
          <cell r="H466" t="str">
            <v>08004499</v>
          </cell>
          <cell r="I466" t="str">
            <v>AL BARAKA BANK (PAKISTAN) LIMITED</v>
          </cell>
          <cell r="J466" t="str">
            <v>BANK</v>
          </cell>
          <cell r="K466" t="str">
            <v xml:space="preserve">
HPA M/s. Al Baraka Bank (Pakistan) Limited 
Hpa M/S. Al Baraka Bank (Pakistan) Limited 
User: Malik Haseeb  Ahmad</v>
          </cell>
          <cell r="L466" t="str">
            <v>D</v>
          </cell>
          <cell r="M466" t="str">
            <v>09000221</v>
          </cell>
          <cell r="N466">
            <v>100</v>
          </cell>
          <cell r="O466" t="str">
            <v>KARACHI</v>
          </cell>
          <cell r="P466" t="str">
            <v>H No 208 /1 St 05 Block U Phase 2 DHA Lahore</v>
          </cell>
          <cell r="Q466" t="str">
            <v>11000003</v>
          </cell>
          <cell r="R466" t="str">
            <v>TOYOTA COROLLA ALTIS GRAN</v>
          </cell>
          <cell r="S466" t="str">
            <v>2022</v>
          </cell>
          <cell r="T466" t="str">
            <v>AHS-427</v>
          </cell>
          <cell r="U466" t="str">
            <v>Q357771</v>
          </cell>
          <cell r="V466" t="str">
            <v>7056927</v>
          </cell>
          <cell r="W466" t="str">
            <v>05-mar-2027</v>
          </cell>
          <cell r="Y466">
            <v>3390400</v>
          </cell>
          <cell r="Z466">
            <v>43842</v>
          </cell>
          <cell r="AA466">
            <v>50856</v>
          </cell>
        </row>
        <row r="467">
          <cell r="B467" t="str">
            <v>KHI/HO/D/MO/PC COMP/C/107407/135/02/2025</v>
          </cell>
          <cell r="D467" t="str">
            <v>REN</v>
          </cell>
          <cell r="E467" t="str">
            <v>17/02/25</v>
          </cell>
          <cell r="F467" t="str">
            <v>28/02/2025</v>
          </cell>
          <cell r="G467" t="str">
            <v>27/02/2026</v>
          </cell>
          <cell r="H467" t="str">
            <v>08004499</v>
          </cell>
          <cell r="I467" t="str">
            <v>AL BARAKA BANK (PAKISTAN) LIMITED</v>
          </cell>
          <cell r="J467" t="str">
            <v>BANK</v>
          </cell>
          <cell r="K467" t="str">
            <v xml:space="preserve">
HPA M/s. Al Baraka Bank (Pakistan) Limited 
Hpa M/S. Al Baraka Bank (Pakistan) Limited 
User: Muhammad  Munir</v>
          </cell>
          <cell r="L467" t="str">
            <v>D</v>
          </cell>
          <cell r="M467" t="str">
            <v>09000221</v>
          </cell>
          <cell r="N467">
            <v>100</v>
          </cell>
          <cell r="O467" t="str">
            <v>KARACHI</v>
          </cell>
          <cell r="P467" t="str">
            <v>St No 01 Bilal Town Marz Pura Narwala Road Faisalabad</v>
          </cell>
          <cell r="Q467" t="str">
            <v>11000003</v>
          </cell>
          <cell r="R467" t="str">
            <v>SUZUKI ALTO</v>
          </cell>
          <cell r="S467" t="str">
            <v>2022</v>
          </cell>
          <cell r="T467" t="str">
            <v>AJB-294</v>
          </cell>
          <cell r="U467" t="str">
            <v>6R213829</v>
          </cell>
          <cell r="V467" t="str">
            <v>H 1113830</v>
          </cell>
          <cell r="W467" t="str">
            <v>05-mar-2027</v>
          </cell>
          <cell r="Y467">
            <v>1236800</v>
          </cell>
          <cell r="Z467">
            <v>18658</v>
          </cell>
          <cell r="AA467">
            <v>21644</v>
          </cell>
        </row>
        <row r="468">
          <cell r="B468" t="str">
            <v>KHI/HO/D/MO/PC COMP/C/107407/136/02/2025</v>
          </cell>
          <cell r="D468" t="str">
            <v>REN</v>
          </cell>
          <cell r="E468" t="str">
            <v>17/02/25</v>
          </cell>
          <cell r="F468" t="str">
            <v>28/02/2025</v>
          </cell>
          <cell r="G468" t="str">
            <v>27/02/2026</v>
          </cell>
          <cell r="H468" t="str">
            <v>08004499</v>
          </cell>
          <cell r="I468" t="str">
            <v>AL BARAKA BANK (PAKISTAN) LIMITED</v>
          </cell>
          <cell r="J468" t="str">
            <v>BANK</v>
          </cell>
          <cell r="K468" t="str">
            <v xml:space="preserve">
HPA M/s. Al Baraka Bank (Pakistan) Limited 
Hpa M/S. Al Baraka Bank (Pakistan) Limited 
User: Muhammad  Shahid Tufail  Bhatti</v>
          </cell>
          <cell r="L468" t="str">
            <v>D</v>
          </cell>
          <cell r="M468" t="str">
            <v>09000221</v>
          </cell>
          <cell r="N468">
            <v>100</v>
          </cell>
          <cell r="O468" t="str">
            <v>KARACHI</v>
          </cell>
          <cell r="P468" t="str">
            <v>H # 84/16 Mozang Road Lahore</v>
          </cell>
          <cell r="Q468" t="str">
            <v>11000003</v>
          </cell>
          <cell r="R468" t="str">
            <v>SUZUKI CULTUS VXL EURO II</v>
          </cell>
          <cell r="S468" t="str">
            <v>2022</v>
          </cell>
          <cell r="T468" t="str">
            <v>AHZ-750</v>
          </cell>
          <cell r="U468" t="str">
            <v>K193689</v>
          </cell>
          <cell r="V468" t="str">
            <v>H10093713</v>
          </cell>
          <cell r="W468" t="str">
            <v>05-mar-2029</v>
          </cell>
          <cell r="Y468">
            <v>1795200</v>
          </cell>
          <cell r="Z468">
            <v>38690</v>
          </cell>
          <cell r="AA468">
            <v>44880</v>
          </cell>
        </row>
        <row r="469">
          <cell r="B469" t="str">
            <v>KHI/HO/D/MO/PC COMP/C/107407/137/02/2025</v>
          </cell>
          <cell r="D469" t="str">
            <v>REN</v>
          </cell>
          <cell r="E469" t="str">
            <v>17/02/25</v>
          </cell>
          <cell r="F469" t="str">
            <v>28/02/2025</v>
          </cell>
          <cell r="G469" t="str">
            <v>27/02/2026</v>
          </cell>
          <cell r="H469" t="str">
            <v>08004499</v>
          </cell>
          <cell r="I469" t="str">
            <v>AL BARAKA BANK (PAKISTAN) LIMITED</v>
          </cell>
          <cell r="J469" t="str">
            <v>BANK</v>
          </cell>
          <cell r="K469" t="str">
            <v xml:space="preserve">
HPA M/s. Al Baraka Bank (Pakistan) Limited 
Hpa M/S. Al Baraka Bank (Pakistan) Limited 
User: Muhammad  Irfan</v>
          </cell>
          <cell r="L469" t="str">
            <v>D</v>
          </cell>
          <cell r="M469" t="str">
            <v>09000221</v>
          </cell>
          <cell r="N469">
            <v>100</v>
          </cell>
          <cell r="O469" t="str">
            <v>KARACHI</v>
          </cell>
          <cell r="P469" t="str">
            <v>H No 22 F2 Wapda Town Lahore</v>
          </cell>
          <cell r="Q469" t="str">
            <v>11000003</v>
          </cell>
          <cell r="R469" t="str">
            <v>SUZUKI WAGON R VXL</v>
          </cell>
          <cell r="S469" t="str">
            <v>2022</v>
          </cell>
          <cell r="T469" t="str">
            <v>AJH-787</v>
          </cell>
          <cell r="U469" t="str">
            <v>PK10B229535</v>
          </cell>
          <cell r="V469" t="str">
            <v>AIJ310PK10129632</v>
          </cell>
          <cell r="W469" t="str">
            <v>05-mar-2027</v>
          </cell>
          <cell r="Y469">
            <v>1501600</v>
          </cell>
          <cell r="Z469">
            <v>32362</v>
          </cell>
          <cell r="AA469">
            <v>37540</v>
          </cell>
        </row>
        <row r="470">
          <cell r="B470" t="str">
            <v>KHI/HO/D/MO/PC COMP/C/107407/138/02/2025</v>
          </cell>
          <cell r="D470" t="str">
            <v>REN</v>
          </cell>
          <cell r="E470" t="str">
            <v>17/02/25</v>
          </cell>
          <cell r="F470" t="str">
            <v>28/02/2025</v>
          </cell>
          <cell r="G470" t="str">
            <v>27/02/2026</v>
          </cell>
          <cell r="H470" t="str">
            <v>08004499</v>
          </cell>
          <cell r="I470" t="str">
            <v>AL BARAKA BANK (PAKISTAN) LIMITED</v>
          </cell>
          <cell r="J470" t="str">
            <v>BANK</v>
          </cell>
          <cell r="K470" t="str">
            <v xml:space="preserve">
HPA M/s. Al Baraka Bank (Pakistan) Limited 
Hpa M/S. Al Baraka Bank (Pakistan) Limited 
User: Ahmed  Nauman</v>
          </cell>
          <cell r="L470" t="str">
            <v>D</v>
          </cell>
          <cell r="M470" t="str">
            <v>09000221</v>
          </cell>
          <cell r="N470">
            <v>100</v>
          </cell>
          <cell r="P470" t="str">
            <v>H No 66 /34 Mohallah New Abdi Jia Musa Shahdra Lahore</v>
          </cell>
          <cell r="Q470" t="str">
            <v>11000003</v>
          </cell>
          <cell r="R470" t="str">
            <v>HYUNDAI ELANTRA 2.0 MP1 A</v>
          </cell>
          <cell r="S470" t="str">
            <v>2022</v>
          </cell>
          <cell r="T470" t="str">
            <v>AHZ-380</v>
          </cell>
          <cell r="U470" t="str">
            <v>978155</v>
          </cell>
          <cell r="V470" t="str">
            <v>302834</v>
          </cell>
          <cell r="W470" t="str">
            <v>05-apr-2027</v>
          </cell>
          <cell r="Y470">
            <v>3207040</v>
          </cell>
          <cell r="Z470">
            <v>41470</v>
          </cell>
          <cell r="AA470">
            <v>48106</v>
          </cell>
        </row>
        <row r="471">
          <cell r="B471" t="str">
            <v>KHI/HO/D/MO/PC COMP/C/107407/139/02/2025</v>
          </cell>
          <cell r="D471" t="str">
            <v>REN</v>
          </cell>
          <cell r="E471" t="str">
            <v>17/02/25</v>
          </cell>
          <cell r="F471" t="str">
            <v>28/02/2025</v>
          </cell>
          <cell r="G471" t="str">
            <v>27/02/2026</v>
          </cell>
          <cell r="H471" t="str">
            <v>08004499</v>
          </cell>
          <cell r="I471" t="str">
            <v>AL BARAKA BANK (PAKISTAN) LIMITED</v>
          </cell>
          <cell r="J471" t="str">
            <v>BANK</v>
          </cell>
          <cell r="K471" t="str">
            <v xml:space="preserve">
HPA M/s. Al Baraka Bank (Pakistan) Limited 
Hpa M/S. Al Baraka Bank (Pakistan) Limited 
User: Muhammad  Naveed</v>
          </cell>
          <cell r="L471" t="str">
            <v>D</v>
          </cell>
          <cell r="M471" t="str">
            <v>09000221</v>
          </cell>
          <cell r="N471">
            <v>100</v>
          </cell>
          <cell r="O471" t="str">
            <v>KARACHI</v>
          </cell>
          <cell r="P471" t="str">
            <v>H No 69 Main Road Al Noor Barden Faisalabad</v>
          </cell>
          <cell r="Q471" t="str">
            <v>11000003</v>
          </cell>
          <cell r="R471" t="str">
            <v>SUZUKI ALTO VXR</v>
          </cell>
          <cell r="S471" t="str">
            <v>2022</v>
          </cell>
          <cell r="T471" t="str">
            <v>AHW-199</v>
          </cell>
          <cell r="U471" t="str">
            <v>6R214486</v>
          </cell>
          <cell r="V471" t="str">
            <v>H1114460</v>
          </cell>
          <cell r="W471" t="str">
            <v>05-mar-2027</v>
          </cell>
          <cell r="Y471">
            <v>1236800</v>
          </cell>
          <cell r="Z471">
            <v>26655</v>
          </cell>
          <cell r="AA471">
            <v>30920</v>
          </cell>
        </row>
        <row r="472">
          <cell r="B472" t="str">
            <v>KHI/HO/D/MO/PC COMP/C/107407/140/02/2025</v>
          </cell>
          <cell r="D472" t="str">
            <v>REN</v>
          </cell>
          <cell r="E472" t="str">
            <v>17/02/25</v>
          </cell>
          <cell r="F472" t="str">
            <v>28/02/2025</v>
          </cell>
          <cell r="G472" t="str">
            <v>27/02/2026</v>
          </cell>
          <cell r="H472" t="str">
            <v>08004499</v>
          </cell>
          <cell r="I472" t="str">
            <v>AL BARAKA BANK (PAKISTAN) LIMITED</v>
          </cell>
          <cell r="J472" t="str">
            <v>BANK</v>
          </cell>
          <cell r="K472" t="str">
            <v xml:space="preserve">
HPA M/s. Al Baraka Bank (Pakistan) Limited 
Hpa M/S. Al Baraka Bank (Pakistan) Limited 
User: Ismail  Khan</v>
          </cell>
          <cell r="L472" t="str">
            <v>D</v>
          </cell>
          <cell r="M472" t="str">
            <v>09000221</v>
          </cell>
          <cell r="N472">
            <v>100</v>
          </cell>
          <cell r="P472" t="str">
            <v>Ward No. 4 H # 2344 Moh Nizami Block 10 Sanghar</v>
          </cell>
          <cell r="Q472" t="str">
            <v>11000003</v>
          </cell>
          <cell r="R472" t="str">
            <v>SUZUKI ALTO VXR E-2</v>
          </cell>
          <cell r="S472" t="str">
            <v>2022</v>
          </cell>
          <cell r="T472" t="str">
            <v>BWJ-106</v>
          </cell>
          <cell r="U472" t="str">
            <v>195352</v>
          </cell>
          <cell r="V472" t="str">
            <v>1113621</v>
          </cell>
          <cell r="W472" t="str">
            <v>05-mar-2027</v>
          </cell>
          <cell r="Y472">
            <v>1236800</v>
          </cell>
          <cell r="Z472">
            <v>26655</v>
          </cell>
          <cell r="AA472">
            <v>30920</v>
          </cell>
        </row>
        <row r="473">
          <cell r="B473" t="str">
            <v>KHI/HO/D/MO/PC COMP/C/107407/141/02/2025</v>
          </cell>
          <cell r="D473" t="str">
            <v>REN</v>
          </cell>
          <cell r="E473" t="str">
            <v>17/02/25</v>
          </cell>
          <cell r="F473" t="str">
            <v>07/02/2025</v>
          </cell>
          <cell r="G473" t="str">
            <v>06/02/2026</v>
          </cell>
          <cell r="H473" t="str">
            <v>08004499</v>
          </cell>
          <cell r="I473" t="str">
            <v>AL BARAKA BANK (PAKISTAN) LIMITED</v>
          </cell>
          <cell r="J473" t="str">
            <v>BANK</v>
          </cell>
          <cell r="K473" t="str">
            <v xml:space="preserve">
HPA M/s. Al Baraka Bank (Pakistan) Limited 
Hpa M/S. Al Baraka Bank (Pakistan) Limited 
User: Qamar  Ali</v>
          </cell>
          <cell r="L473" t="str">
            <v>D</v>
          </cell>
          <cell r="M473" t="str">
            <v>09000221</v>
          </cell>
          <cell r="N473">
            <v>100</v>
          </cell>
          <cell r="P473" t="str">
            <v>H # 778 LDA Jahangir Road Lalpur Mughal Pura Lahore</v>
          </cell>
          <cell r="Q473" t="str">
            <v>11000003</v>
          </cell>
          <cell r="R473" t="str">
            <v>SUZUKI ALTO VXL AGS E-2</v>
          </cell>
          <cell r="S473" t="str">
            <v>2022</v>
          </cell>
          <cell r="T473" t="str">
            <v>AHC-704</v>
          </cell>
          <cell r="U473" t="str">
            <v>206071</v>
          </cell>
          <cell r="V473" t="str">
            <v>1106101</v>
          </cell>
          <cell r="W473" t="str">
            <v>05-mar-2029</v>
          </cell>
          <cell r="Y473">
            <v>1216800</v>
          </cell>
          <cell r="Z473">
            <v>26224</v>
          </cell>
          <cell r="AA473">
            <v>30420</v>
          </cell>
        </row>
        <row r="474">
          <cell r="B474" t="str">
            <v>KHI/HO/D/MO/PC COMP/C/107407/142/02/2025</v>
          </cell>
          <cell r="D474" t="str">
            <v>REN</v>
          </cell>
          <cell r="E474" t="str">
            <v>17/02/25</v>
          </cell>
          <cell r="F474" t="str">
            <v>28/02/2025</v>
          </cell>
          <cell r="G474" t="str">
            <v>27/02/2026</v>
          </cell>
          <cell r="H474" t="str">
            <v>08004499</v>
          </cell>
          <cell r="I474" t="str">
            <v>AL BARAKA BANK (PAKISTAN) LIMITED</v>
          </cell>
          <cell r="J474" t="str">
            <v>BANK</v>
          </cell>
          <cell r="K474" t="str">
            <v xml:space="preserve">
HPA M/s. Al Baraka Bank (Pakistan) Limited 
Hpa M/S. Al Baraka Bank (Pakistan) Limited 
User: Muhammad  Hafeez</v>
          </cell>
          <cell r="L474" t="str">
            <v>D</v>
          </cell>
          <cell r="M474" t="str">
            <v>09000221</v>
          </cell>
          <cell r="N474">
            <v>100</v>
          </cell>
          <cell r="P474" t="str">
            <v>H No 26 F-61 POF Wah Cantt</v>
          </cell>
          <cell r="Q474" t="str">
            <v>11000003</v>
          </cell>
          <cell r="R474" t="str">
            <v>SUZUKI WAGON R VXL</v>
          </cell>
          <cell r="S474" t="str">
            <v>2018</v>
          </cell>
          <cell r="T474" t="str">
            <v>AKY-182</v>
          </cell>
          <cell r="U474" t="str">
            <v>171872</v>
          </cell>
          <cell r="V474" t="str">
            <v>10071864</v>
          </cell>
          <cell r="W474" t="str">
            <v>05-mar-2027</v>
          </cell>
          <cell r="Y474">
            <v>1280000</v>
          </cell>
          <cell r="Z474">
            <v>27586</v>
          </cell>
          <cell r="AA474">
            <v>32000</v>
          </cell>
        </row>
        <row r="475">
          <cell r="B475" t="str">
            <v>KHI/HO/D/MO/PC COMP/C/107407/143/02/2025</v>
          </cell>
          <cell r="D475" t="str">
            <v>REN</v>
          </cell>
          <cell r="E475" t="str">
            <v>17/02/25</v>
          </cell>
          <cell r="F475" t="str">
            <v>28/02/2025</v>
          </cell>
          <cell r="G475" t="str">
            <v>27/02/2026</v>
          </cell>
          <cell r="H475" t="str">
            <v>08004499</v>
          </cell>
          <cell r="I475" t="str">
            <v>AL BARAKA BANK (PAKISTAN) LIMITED</v>
          </cell>
          <cell r="J475" t="str">
            <v>BANK</v>
          </cell>
          <cell r="K475" t="str">
            <v xml:space="preserve">
HPA M/s. Al Baraka Bank (Pakistan) Limited 
Hpa M/S. Al Baraka Bank (Pakistan) Limited 
User: Muhammad  Aqeel</v>
          </cell>
          <cell r="L475" t="str">
            <v>D</v>
          </cell>
          <cell r="M475" t="str">
            <v>09000221</v>
          </cell>
          <cell r="N475">
            <v>100</v>
          </cell>
          <cell r="P475" t="str">
            <v>H # 37-A 44 Avenue Buch Villa Multan</v>
          </cell>
          <cell r="Q475" t="str">
            <v>11000003</v>
          </cell>
          <cell r="R475" t="str">
            <v>SUZUKI BOLAN STD VX EURO</v>
          </cell>
          <cell r="S475" t="str">
            <v>2022</v>
          </cell>
          <cell r="T475" t="str">
            <v>AHB-498</v>
          </cell>
          <cell r="U475" t="str">
            <v>1018101</v>
          </cell>
          <cell r="V475" t="str">
            <v>1134621</v>
          </cell>
          <cell r="W475" t="str">
            <v>05-mar-2027</v>
          </cell>
          <cell r="Y475">
            <v>1012000</v>
          </cell>
          <cell r="Z475">
            <v>21810</v>
          </cell>
          <cell r="AA475">
            <v>25300</v>
          </cell>
        </row>
        <row r="476">
          <cell r="B476" t="str">
            <v>KHI/HO/D/MO/PC COMP/C/107407/144/02/2025</v>
          </cell>
          <cell r="D476" t="str">
            <v>REN</v>
          </cell>
          <cell r="E476" t="str">
            <v>17/02/25</v>
          </cell>
          <cell r="F476" t="str">
            <v>28/02/2025</v>
          </cell>
          <cell r="G476" t="str">
            <v>27/02/2026</v>
          </cell>
          <cell r="H476" t="str">
            <v>08004499</v>
          </cell>
          <cell r="I476" t="str">
            <v>AL BARAKA BANK (PAKISTAN) LIMITED</v>
          </cell>
          <cell r="J476" t="str">
            <v>BANK</v>
          </cell>
          <cell r="K476" t="str">
            <v xml:space="preserve">
HPA M/s. Al Baraka Bank (Pakistan) Limited 
Hpa M/S. Al Baraka Bank (Pakistan) Limited 
User: Fahad   Maqsood</v>
          </cell>
          <cell r="L476" t="str">
            <v>D</v>
          </cell>
          <cell r="M476" t="str">
            <v>09000221</v>
          </cell>
          <cell r="N476">
            <v>100</v>
          </cell>
          <cell r="O476" t="str">
            <v>KARACHI</v>
          </cell>
          <cell r="P476" t="str">
            <v>Millat Road Chak No 116 JB Rarra Faisalabad</v>
          </cell>
          <cell r="Q476" t="str">
            <v>11000003</v>
          </cell>
          <cell r="R476" t="str">
            <v>SUZUKI WAGON R VXL</v>
          </cell>
          <cell r="S476" t="str">
            <v>2022</v>
          </cell>
          <cell r="T476" t="str">
            <v>AJE-966</v>
          </cell>
          <cell r="U476" t="str">
            <v>PK10B 229598</v>
          </cell>
          <cell r="V476" t="str">
            <v>PK10129633</v>
          </cell>
          <cell r="W476" t="str">
            <v>05-mar-2027</v>
          </cell>
          <cell r="Y476">
            <v>1580000</v>
          </cell>
          <cell r="Z476">
            <v>34051</v>
          </cell>
          <cell r="AA476">
            <v>39500</v>
          </cell>
        </row>
        <row r="477">
          <cell r="B477" t="str">
            <v>KHI/HO/D/MO/PC COMP/C/107407/145/02/2025</v>
          </cell>
          <cell r="D477" t="str">
            <v>REN</v>
          </cell>
          <cell r="E477" t="str">
            <v>17/02/25</v>
          </cell>
          <cell r="F477" t="str">
            <v>28/02/2025</v>
          </cell>
          <cell r="G477" t="str">
            <v>27/02/2026</v>
          </cell>
          <cell r="H477" t="str">
            <v>08004499</v>
          </cell>
          <cell r="I477" t="str">
            <v>AL BARAKA BANK (PAKISTAN) LIMITED</v>
          </cell>
          <cell r="J477" t="str">
            <v>BANK</v>
          </cell>
          <cell r="K477" t="str">
            <v xml:space="preserve">
HPA M/s. Al Baraka Bank (Pakistan) Limited 
Hpa M/S. Al Baraka Bank (Pakistan) Limited 
User: Maqsood  Shahzad</v>
          </cell>
          <cell r="L477" t="str">
            <v>D</v>
          </cell>
          <cell r="M477" t="str">
            <v>09000221</v>
          </cell>
          <cell r="N477">
            <v>100</v>
          </cell>
          <cell r="P477" t="str">
            <v>H No 14 -C Moh Shah Taj Colony Walton road Lahore</v>
          </cell>
          <cell r="Q477" t="str">
            <v>11000003</v>
          </cell>
          <cell r="R477" t="str">
            <v>SUZUKI WAGON R VXL</v>
          </cell>
          <cell r="S477" t="str">
            <v>2022</v>
          </cell>
          <cell r="T477" t="str">
            <v>AJK-526</v>
          </cell>
          <cell r="U477" t="str">
            <v>230215</v>
          </cell>
          <cell r="V477" t="str">
            <v>10130168</v>
          </cell>
          <cell r="W477" t="str">
            <v>06-mar-2028</v>
          </cell>
          <cell r="Y477">
            <v>1501600</v>
          </cell>
          <cell r="Z477">
            <v>32362</v>
          </cell>
          <cell r="AA477">
            <v>37540</v>
          </cell>
        </row>
        <row r="478">
          <cell r="B478" t="str">
            <v>KHI/HO/D/MO/PC COMP/C/107407/146/02/2025</v>
          </cell>
          <cell r="D478" t="str">
            <v>REN</v>
          </cell>
          <cell r="E478" t="str">
            <v>17/02/25</v>
          </cell>
          <cell r="F478" t="str">
            <v>28/02/2025</v>
          </cell>
          <cell r="G478" t="str">
            <v>27/02/2026</v>
          </cell>
          <cell r="H478" t="str">
            <v>08004499</v>
          </cell>
          <cell r="I478" t="str">
            <v>AL BARAKA BANK (PAKISTAN) LIMITED</v>
          </cell>
          <cell r="J478" t="str">
            <v>BANK</v>
          </cell>
          <cell r="K478" t="str">
            <v xml:space="preserve">
HPA M/s. Al Baraka Bank (Pakistan) Limited 
Hpa M/S. Al Baraka Bank (Pakistan) Limited 
User: Muhammad  Waqas</v>
          </cell>
          <cell r="L478" t="str">
            <v>D</v>
          </cell>
          <cell r="M478" t="str">
            <v>09000221</v>
          </cell>
          <cell r="N478">
            <v>100</v>
          </cell>
          <cell r="O478" t="str">
            <v>KARACHI</v>
          </cell>
          <cell r="P478" t="str">
            <v>St N o 3 Abu Bakar Park Khokhar Road badami Bagh Lahore</v>
          </cell>
          <cell r="Q478" t="str">
            <v>11000003</v>
          </cell>
          <cell r="R478" t="str">
            <v>SUZUKI WAGON R VXL</v>
          </cell>
          <cell r="S478" t="str">
            <v>2022</v>
          </cell>
          <cell r="T478" t="str">
            <v>AHY-902</v>
          </cell>
          <cell r="U478" t="str">
            <v>PK10B229011</v>
          </cell>
          <cell r="V478" t="str">
            <v>PK10128996</v>
          </cell>
          <cell r="W478" t="str">
            <v>05-mar-2027</v>
          </cell>
          <cell r="Y478">
            <v>1580000</v>
          </cell>
          <cell r="Z478">
            <v>34051</v>
          </cell>
          <cell r="AA478">
            <v>39500</v>
          </cell>
        </row>
        <row r="479">
          <cell r="B479" t="str">
            <v>KHI/HO/D/MO/PC COMP/C/107407/147/02/2025</v>
          </cell>
          <cell r="D479" t="str">
            <v>REN</v>
          </cell>
          <cell r="E479" t="str">
            <v>17/02/25</v>
          </cell>
          <cell r="F479" t="str">
            <v>28/02/2025</v>
          </cell>
          <cell r="G479" t="str">
            <v>27/02/2026</v>
          </cell>
          <cell r="H479" t="str">
            <v>08004499</v>
          </cell>
          <cell r="I479" t="str">
            <v>AL BARAKA BANK (PAKISTAN) LIMITED</v>
          </cell>
          <cell r="J479" t="str">
            <v>BANK</v>
          </cell>
          <cell r="K479" t="str">
            <v xml:space="preserve">
HPA M/s. Al Baraka Bank (Pakistan) Limited 
Hpa M/S. Al Baraka Bank (Pakistan) Limited 
User: Muhammad Ammar  Badar</v>
          </cell>
          <cell r="L479" t="str">
            <v>D</v>
          </cell>
          <cell r="M479" t="str">
            <v>09000221</v>
          </cell>
          <cell r="N479">
            <v>100</v>
          </cell>
          <cell r="P479" t="str">
            <v>H # 590/1 Block D Canal View Lahore</v>
          </cell>
          <cell r="Q479" t="str">
            <v>11000003</v>
          </cell>
          <cell r="R479" t="str">
            <v>SUZUKI WAGON-R VXL E2</v>
          </cell>
          <cell r="S479" t="str">
            <v>2022</v>
          </cell>
          <cell r="T479" t="str">
            <v>AJD-992</v>
          </cell>
          <cell r="U479" t="str">
            <v>228204</v>
          </cell>
          <cell r="V479" t="str">
            <v>10128202</v>
          </cell>
          <cell r="W479" t="str">
            <v>05-mar-2027</v>
          </cell>
          <cell r="Y479">
            <v>1501600</v>
          </cell>
          <cell r="Z479">
            <v>22653</v>
          </cell>
          <cell r="AA479">
            <v>26278</v>
          </cell>
        </row>
        <row r="480">
          <cell r="B480" t="str">
            <v>KHI/HO/D/MO/PC COMP/C/107407/148/02/2025</v>
          </cell>
          <cell r="D480" t="str">
            <v>REN</v>
          </cell>
          <cell r="E480" t="str">
            <v>17/02/25</v>
          </cell>
          <cell r="F480" t="str">
            <v>28/02/2025</v>
          </cell>
          <cell r="G480" t="str">
            <v>27/02/2026</v>
          </cell>
          <cell r="H480" t="str">
            <v>08004499</v>
          </cell>
          <cell r="I480" t="str">
            <v>AL BARAKA BANK (PAKISTAN) LIMITED</v>
          </cell>
          <cell r="J480" t="str">
            <v>BANK</v>
          </cell>
          <cell r="K480" t="str">
            <v xml:space="preserve">
HPA M/s. Al Baraka Bank (Pakistan) Limited 
Hpa M/S. Al Baraka Bank (Pakistan) Limited 
User: Shahbaz  Ali</v>
          </cell>
          <cell r="L480" t="str">
            <v>D</v>
          </cell>
          <cell r="M480" t="str">
            <v>09000221</v>
          </cell>
          <cell r="N480">
            <v>100</v>
          </cell>
          <cell r="P480" t="str">
            <v>H # 66 Street 41-A Al Bashir Street Fazal Road sanda Kalan Lahore</v>
          </cell>
          <cell r="Q480" t="str">
            <v>11000003</v>
          </cell>
          <cell r="R480" t="str">
            <v>SUZUKI WAGON-R VXL E2</v>
          </cell>
          <cell r="S480" t="str">
            <v>2022</v>
          </cell>
          <cell r="T480" t="str">
            <v>AJL-718</v>
          </cell>
          <cell r="U480" t="str">
            <v>229946</v>
          </cell>
          <cell r="V480" t="str">
            <v>10129944</v>
          </cell>
          <cell r="W480" t="str">
            <v>05-mar-2029</v>
          </cell>
          <cell r="Y480">
            <v>1580000</v>
          </cell>
          <cell r="Z480">
            <v>23837</v>
          </cell>
          <cell r="AA480">
            <v>27650</v>
          </cell>
        </row>
        <row r="481">
          <cell r="B481" t="str">
            <v>KHI/HO/D/MO/PC COMP/C/107407/149/02/2025</v>
          </cell>
          <cell r="D481" t="str">
            <v>REN</v>
          </cell>
          <cell r="E481" t="str">
            <v>17/02/25</v>
          </cell>
          <cell r="F481" t="str">
            <v>28/02/2025</v>
          </cell>
          <cell r="G481" t="str">
            <v>27/02/2026</v>
          </cell>
          <cell r="H481" t="str">
            <v>08004499</v>
          </cell>
          <cell r="I481" t="str">
            <v>AL BARAKA BANK (PAKISTAN) LIMITED</v>
          </cell>
          <cell r="J481" t="str">
            <v>BANK</v>
          </cell>
          <cell r="K481" t="str">
            <v xml:space="preserve">
HPA M/s. Al Baraka Bank (Pakistan) Limited 
Hpa M/S. Al Baraka Bank (Pakistan) Limited 
User: Muhammad  Babur</v>
          </cell>
          <cell r="L481" t="str">
            <v>D</v>
          </cell>
          <cell r="M481" t="str">
            <v>09000221</v>
          </cell>
          <cell r="N481">
            <v>100</v>
          </cell>
          <cell r="P481" t="str">
            <v>Apartment 53 A Askari 7 Adyala Road Rawalpindi</v>
          </cell>
          <cell r="Q481" t="str">
            <v>11000003</v>
          </cell>
          <cell r="R481" t="str">
            <v>HONDA BRV - S</v>
          </cell>
          <cell r="S481" t="str">
            <v>2017</v>
          </cell>
          <cell r="T481" t="str">
            <v>AEA-222</v>
          </cell>
          <cell r="U481" t="str">
            <v>3500446</v>
          </cell>
          <cell r="V481" t="str">
            <v>HR000392</v>
          </cell>
          <cell r="W481" t="str">
            <v>05-mar-2027</v>
          </cell>
          <cell r="Y481">
            <v>2320000</v>
          </cell>
          <cell r="Z481">
            <v>30000</v>
          </cell>
          <cell r="AA481">
            <v>34800</v>
          </cell>
        </row>
        <row r="482">
          <cell r="B482" t="str">
            <v>KHI/HO/D/MO/PC COMP/C/107407/150/02/2025</v>
          </cell>
          <cell r="D482" t="str">
            <v>REN</v>
          </cell>
          <cell r="E482" t="str">
            <v>17/02/25</v>
          </cell>
          <cell r="F482" t="str">
            <v>28/02/2025</v>
          </cell>
          <cell r="G482" t="str">
            <v>27/02/2026</v>
          </cell>
          <cell r="H482" t="str">
            <v>08004499</v>
          </cell>
          <cell r="I482" t="str">
            <v>AL BARAKA BANK (PAKISTAN) LIMITED</v>
          </cell>
          <cell r="J482" t="str">
            <v>BANK</v>
          </cell>
          <cell r="K482" t="str">
            <v xml:space="preserve">
HPA M/s. Al Baraka Bank (Pakistan) Limited 
Hpa M/S. Al Baraka Bank (Pakistan) Limited 
User: Shaikh Umer Waqas</v>
          </cell>
          <cell r="L482" t="str">
            <v>D</v>
          </cell>
          <cell r="M482" t="str">
            <v>09000221</v>
          </cell>
          <cell r="N482">
            <v>100</v>
          </cell>
          <cell r="O482" t="str">
            <v>KARACHI</v>
          </cell>
          <cell r="P482" t="str">
            <v>H No 3023 St 7 Sector G-8 / 1 Islamabad</v>
          </cell>
          <cell r="Q482" t="str">
            <v>11000003</v>
          </cell>
          <cell r="R482" t="str">
            <v>TOYOTA COROLLA XLI 1.3</v>
          </cell>
          <cell r="S482" t="str">
            <v>2018</v>
          </cell>
          <cell r="T482" t="str">
            <v>AHZ-510</v>
          </cell>
          <cell r="U482" t="str">
            <v>Z524687</v>
          </cell>
          <cell r="V482" t="str">
            <v>R4150709</v>
          </cell>
          <cell r="W482" t="str">
            <v>05-mar-2026</v>
          </cell>
          <cell r="Y482">
            <v>2160000</v>
          </cell>
          <cell r="Z482">
            <v>27931</v>
          </cell>
          <cell r="AA482">
            <v>32400</v>
          </cell>
        </row>
        <row r="483">
          <cell r="B483" t="str">
            <v>KHI/HO/D/MO/PC COMP/C/107407/151/02/2025</v>
          </cell>
          <cell r="D483" t="str">
            <v>REN</v>
          </cell>
          <cell r="E483" t="str">
            <v>17/02/25</v>
          </cell>
          <cell r="F483" t="str">
            <v>10/02/2025</v>
          </cell>
          <cell r="G483" t="str">
            <v>09/02/2026</v>
          </cell>
          <cell r="H483" t="str">
            <v>08004499</v>
          </cell>
          <cell r="I483" t="str">
            <v>AL BARAKA BANK (PAKISTAN) LIMITED</v>
          </cell>
          <cell r="J483" t="str">
            <v>BANK</v>
          </cell>
          <cell r="K483" t="str">
            <v xml:space="preserve">
HPA M/s. Al Baraka Bank (Pakistan) Limited 
Hpa M/S. Al Baraka Bank (Pakistan) Limited 
User: Nasir  Iqbal</v>
          </cell>
          <cell r="L483" t="str">
            <v>D</v>
          </cell>
          <cell r="M483" t="str">
            <v>09000221</v>
          </cell>
          <cell r="N483">
            <v>100</v>
          </cell>
          <cell r="P483" t="str">
            <v>Asia Flour Mills BWP Pvt Ltd Small Industries Estate Multan Road Bahawalpur</v>
          </cell>
          <cell r="Q483" t="str">
            <v>11000003</v>
          </cell>
          <cell r="R483" t="str">
            <v>SUZUKI CULTUS VXL EURO II</v>
          </cell>
          <cell r="S483" t="str">
            <v>2019</v>
          </cell>
          <cell r="T483" t="str">
            <v>LEF-19-7090</v>
          </cell>
          <cell r="U483" t="str">
            <v>145243</v>
          </cell>
          <cell r="V483" t="str">
            <v>10045243</v>
          </cell>
          <cell r="W483" t="str">
            <v>05-mar-2027</v>
          </cell>
          <cell r="Y483">
            <v>1350000</v>
          </cell>
          <cell r="Z483">
            <v>29095</v>
          </cell>
          <cell r="AA483">
            <v>33750</v>
          </cell>
        </row>
        <row r="484">
          <cell r="B484" t="str">
            <v>KHI/HO/D/MO/PC COMP/C/107407/152/02/2025</v>
          </cell>
          <cell r="D484" t="str">
            <v>REN</v>
          </cell>
          <cell r="E484" t="str">
            <v>17/02/25</v>
          </cell>
          <cell r="F484" t="str">
            <v>11/02/2025</v>
          </cell>
          <cell r="G484" t="str">
            <v>10/02/2026</v>
          </cell>
          <cell r="H484" t="str">
            <v>08004499</v>
          </cell>
          <cell r="I484" t="str">
            <v>AL BARAKA BANK (PAKISTAN) LIMITED</v>
          </cell>
          <cell r="J484" t="str">
            <v>BANK</v>
          </cell>
          <cell r="K484" t="str">
            <v xml:space="preserve">
HPA M/s. Al Baraka Bank (Pakistan) Limited 
Hpa M/S. Al Baraka Bank (Pakistan) Limited 
User: Ali  Akbar</v>
          </cell>
          <cell r="L484" t="str">
            <v>D</v>
          </cell>
          <cell r="M484" t="str">
            <v>09000221</v>
          </cell>
          <cell r="N484">
            <v>100</v>
          </cell>
          <cell r="P484" t="str">
            <v>House No.217 Street 27 Rustam Park Khadim Street Multan Road Lahore</v>
          </cell>
          <cell r="Q484" t="str">
            <v>11000003</v>
          </cell>
          <cell r="R484" t="str">
            <v>SUZUKI SWIFT NV-AT EURO I</v>
          </cell>
          <cell r="S484" t="str">
            <v>2021</v>
          </cell>
          <cell r="T484" t="str">
            <v>ACA-272</v>
          </cell>
          <cell r="U484" t="str">
            <v>13049726</v>
          </cell>
          <cell r="V484" t="str">
            <v>10049721</v>
          </cell>
          <cell r="W484" t="str">
            <v>05-mar-2026</v>
          </cell>
          <cell r="Y484">
            <v>1657500</v>
          </cell>
          <cell r="Z484">
            <v>35723</v>
          </cell>
          <cell r="AA484">
            <v>41438</v>
          </cell>
        </row>
        <row r="485">
          <cell r="B485" t="str">
            <v>KHI/HO/D/MO/PC COMP/C/107407/153/02/2025</v>
          </cell>
          <cell r="D485" t="str">
            <v>REN</v>
          </cell>
          <cell r="E485" t="str">
            <v>17/02/25</v>
          </cell>
          <cell r="F485" t="str">
            <v>12/02/2025</v>
          </cell>
          <cell r="G485" t="str">
            <v>11/02/2026</v>
          </cell>
          <cell r="H485" t="str">
            <v>08004499</v>
          </cell>
          <cell r="I485" t="str">
            <v>AL BARAKA BANK (PAKISTAN) LIMITED</v>
          </cell>
          <cell r="J485" t="str">
            <v>BANK</v>
          </cell>
          <cell r="K485" t="str">
            <v xml:space="preserve">
HPA M/s. Al Baraka Bank (Pakistan) Limited 
Hpa M/S. Al Baraka Bank (Pakistan) Limited 
User: Saif Ullah  Shafi</v>
          </cell>
          <cell r="L485" t="str">
            <v>D</v>
          </cell>
          <cell r="M485" t="str">
            <v>09000221</v>
          </cell>
          <cell r="N485">
            <v>100</v>
          </cell>
          <cell r="O485" t="str">
            <v>KARACHI</v>
          </cell>
          <cell r="P485" t="str">
            <v>Zariwala Gali Chapai Wali Gali Mian Wandala Bazar Shahdra Lahore</v>
          </cell>
          <cell r="Q485" t="str">
            <v>11000003</v>
          </cell>
          <cell r="R485" t="str">
            <v>TOYOTA YARIS ATIV X CVT</v>
          </cell>
          <cell r="S485" t="str">
            <v>2021</v>
          </cell>
          <cell r="T485" t="str">
            <v>ACB-538</v>
          </cell>
          <cell r="U485" t="str">
            <v>2A17068</v>
          </cell>
          <cell r="V485" t="str">
            <v>NSP151R-9507046</v>
          </cell>
          <cell r="W485" t="str">
            <v>05-mar-2026</v>
          </cell>
          <cell r="Y485">
            <v>2274750</v>
          </cell>
          <cell r="Z485">
            <v>49025</v>
          </cell>
          <cell r="AA485">
            <v>56869</v>
          </cell>
        </row>
        <row r="486">
          <cell r="B486" t="str">
            <v>KHI/HO/D/MO/PC COMP/C/107407/154/02/2025</v>
          </cell>
          <cell r="D486" t="str">
            <v>REN</v>
          </cell>
          <cell r="E486" t="str">
            <v>17/02/25</v>
          </cell>
          <cell r="F486" t="str">
            <v>16/02/2025</v>
          </cell>
          <cell r="G486" t="str">
            <v>15/02/2026</v>
          </cell>
          <cell r="H486" t="str">
            <v>08004499</v>
          </cell>
          <cell r="I486" t="str">
            <v>AL BARAKA BANK (PAKISTAN) LIMITED</v>
          </cell>
          <cell r="J486" t="str">
            <v>BANK</v>
          </cell>
          <cell r="K486" t="str">
            <v xml:space="preserve">
HPA M/s. Al Baraka Bank (Pakistan) Limited 
Hpa M/S. Al Baraka Bank (Pakistan) Limited 
User: Hafiz  Muhammad Rizwan Anjum</v>
          </cell>
          <cell r="L486" t="str">
            <v>D</v>
          </cell>
          <cell r="M486" t="str">
            <v>09000221</v>
          </cell>
          <cell r="N486">
            <v>100</v>
          </cell>
          <cell r="O486" t="str">
            <v>KARACHI</v>
          </cell>
          <cell r="P486" t="str">
            <v>35-H Club Road Vehari</v>
          </cell>
          <cell r="Q486" t="str">
            <v>11000003</v>
          </cell>
          <cell r="R486" t="str">
            <v>SUZUKI ALTO VXR E-2</v>
          </cell>
          <cell r="S486" t="str">
            <v>2021</v>
          </cell>
          <cell r="T486" t="str">
            <v>ACC-079</v>
          </cell>
          <cell r="U486" t="str">
            <v>6R155251</v>
          </cell>
          <cell r="V486" t="str">
            <v>6H1056120</v>
          </cell>
          <cell r="W486" t="str">
            <v>06-mar-2028</v>
          </cell>
          <cell r="Y486">
            <v>1074750</v>
          </cell>
          <cell r="Z486">
            <v>23163</v>
          </cell>
          <cell r="AA486">
            <v>26869</v>
          </cell>
        </row>
        <row r="487">
          <cell r="B487" t="str">
            <v>KHI/HO/D/MO/PC COMP/C/107407/155/02/2025</v>
          </cell>
          <cell r="D487" t="str">
            <v>REN</v>
          </cell>
          <cell r="E487" t="str">
            <v>17/02/25</v>
          </cell>
          <cell r="F487" t="str">
            <v>16/02/2025</v>
          </cell>
          <cell r="G487" t="str">
            <v>15/02/2026</v>
          </cell>
          <cell r="H487" t="str">
            <v>08004499</v>
          </cell>
          <cell r="I487" t="str">
            <v>AL BARAKA BANK (PAKISTAN) LIMITED</v>
          </cell>
          <cell r="J487" t="str">
            <v>BANK</v>
          </cell>
          <cell r="K487" t="str">
            <v xml:space="preserve">
HPA M/s. Al Baraka Bank (Pakistan) Limited 
Hpa M/S. Al Baraka Bank (Pakistan) Limited 
User: Muhammad Khalid Qureshi</v>
          </cell>
          <cell r="L487" t="str">
            <v>D</v>
          </cell>
          <cell r="M487" t="str">
            <v>09000221</v>
          </cell>
          <cell r="N487">
            <v>100</v>
          </cell>
          <cell r="P487" t="str">
            <v>House No. 1 Street 1 Mohallah Ameer Hamza  New Shakrial Madni Road Rawalpindi</v>
          </cell>
          <cell r="Q487" t="str">
            <v>11000003</v>
          </cell>
          <cell r="R487" t="str">
            <v>SUZUKI WAGON-R VXR</v>
          </cell>
          <cell r="S487" t="str">
            <v>2021</v>
          </cell>
          <cell r="T487" t="str">
            <v>ATH-499</v>
          </cell>
          <cell r="U487" t="str">
            <v>210384</v>
          </cell>
          <cell r="V487" t="str">
            <v>10110380</v>
          </cell>
          <cell r="W487" t="str">
            <v>06-mar-2028</v>
          </cell>
          <cell r="Y487">
            <v>1230000</v>
          </cell>
          <cell r="Z487">
            <v>26509</v>
          </cell>
          <cell r="AA487">
            <v>30750</v>
          </cell>
        </row>
        <row r="488">
          <cell r="B488" t="str">
            <v>KHI/HO/D/MO/PC COMP/C/107407/156/02/2025</v>
          </cell>
          <cell r="D488" t="str">
            <v>REN</v>
          </cell>
          <cell r="E488" t="str">
            <v>17/02/25</v>
          </cell>
          <cell r="F488" t="str">
            <v>16/02/2025</v>
          </cell>
          <cell r="G488" t="str">
            <v>15/02/2026</v>
          </cell>
          <cell r="H488" t="str">
            <v>08004499</v>
          </cell>
          <cell r="I488" t="str">
            <v>AL BARAKA BANK (PAKISTAN) LIMITED</v>
          </cell>
          <cell r="J488" t="str">
            <v>BANK</v>
          </cell>
          <cell r="K488" t="str">
            <v xml:space="preserve">
HPA M/s. Al Baraka Bank (Pakistan) Limited 
Hpa M/S. Al Baraka Bank (Pakistan) Limited 
User: Mian Muhammad Ali Raza</v>
          </cell>
          <cell r="L488" t="str">
            <v>D</v>
          </cell>
          <cell r="M488" t="str">
            <v>09000221</v>
          </cell>
          <cell r="N488">
            <v>100</v>
          </cell>
          <cell r="P488" t="str">
            <v>House No. 132 Near Meo Garden Gate  Allama Iqbal Road Garhi Shahu Lahore</v>
          </cell>
          <cell r="Q488" t="str">
            <v>11000003</v>
          </cell>
          <cell r="R488" t="str">
            <v>SUZUKI WAGON-R VXL E2</v>
          </cell>
          <cell r="S488" t="str">
            <v>2021</v>
          </cell>
          <cell r="T488" t="str">
            <v>ACE-058</v>
          </cell>
          <cell r="U488" t="str">
            <v>210432</v>
          </cell>
          <cell r="V488" t="str">
            <v>10110439</v>
          </cell>
          <cell r="W488" t="str">
            <v>05-mar-2026</v>
          </cell>
          <cell r="Y488">
            <v>1297500</v>
          </cell>
          <cell r="Z488">
            <v>27963</v>
          </cell>
          <cell r="AA488">
            <v>32438</v>
          </cell>
        </row>
        <row r="489">
          <cell r="B489" t="str">
            <v>KHI/HO/D/MO/PC COMP/C/107407/157/02/2025</v>
          </cell>
          <cell r="D489" t="str">
            <v>REN</v>
          </cell>
          <cell r="E489" t="str">
            <v>17/02/25</v>
          </cell>
          <cell r="F489" t="str">
            <v>16/02/2025</v>
          </cell>
          <cell r="G489" t="str">
            <v>15/02/2026</v>
          </cell>
          <cell r="H489" t="str">
            <v>08004499</v>
          </cell>
          <cell r="I489" t="str">
            <v>AL BARAKA BANK (PAKISTAN) LIMITED</v>
          </cell>
          <cell r="J489" t="str">
            <v>BANK</v>
          </cell>
          <cell r="K489" t="str">
            <v xml:space="preserve">
HPA M/s. Al Baraka Bank (Pakistan) Limited 
Hpa M/S. Al Baraka Bank (Pakistan) Limited 
User: Ishfaq  Ahmad</v>
          </cell>
          <cell r="L489" t="str">
            <v>D</v>
          </cell>
          <cell r="M489" t="str">
            <v>09000221</v>
          </cell>
          <cell r="N489">
            <v>100</v>
          </cell>
          <cell r="O489" t="str">
            <v>KARACHI</v>
          </cell>
          <cell r="P489" t="str">
            <v>House No. 2-A  Street 1 Sanda Bhattian  1 Walal Bund Road Lahore</v>
          </cell>
          <cell r="Q489" t="str">
            <v>11000003</v>
          </cell>
          <cell r="R489" t="str">
            <v>TOYOTA COROLLA ALTIS CVTI</v>
          </cell>
          <cell r="S489" t="str">
            <v>2016</v>
          </cell>
          <cell r="T489" t="str">
            <v>LEE-16-7098</v>
          </cell>
          <cell r="U489" t="str">
            <v>Q316813</v>
          </cell>
          <cell r="V489" t="str">
            <v>7015878</v>
          </cell>
          <cell r="W489" t="str">
            <v>05-mar-2026</v>
          </cell>
          <cell r="Y489">
            <v>2175000</v>
          </cell>
          <cell r="Z489">
            <v>46875</v>
          </cell>
          <cell r="AA489">
            <v>54375</v>
          </cell>
        </row>
        <row r="490">
          <cell r="B490" t="str">
            <v>KHI/HO/D/MO/PC COMP/C/107407/158/02/2025</v>
          </cell>
          <cell r="D490" t="str">
            <v>REN</v>
          </cell>
          <cell r="E490" t="str">
            <v>17/02/25</v>
          </cell>
          <cell r="F490" t="str">
            <v>17/02/2025</v>
          </cell>
          <cell r="G490" t="str">
            <v>16/02/2026</v>
          </cell>
          <cell r="H490" t="str">
            <v>08004499</v>
          </cell>
          <cell r="I490" t="str">
            <v>AL BARAKA BANK (PAKISTAN) LIMITED</v>
          </cell>
          <cell r="J490" t="str">
            <v>BANK</v>
          </cell>
          <cell r="K490" t="str">
            <v xml:space="preserve">
HPA M/s. Al Baraka Bank (Pakistan) Limited 
Hpa M/S. Al Baraka Bank (Pakistan) Limited 
User: Shiraz  Hussain</v>
          </cell>
          <cell r="L490" t="str">
            <v>D</v>
          </cell>
          <cell r="M490" t="str">
            <v>09000221</v>
          </cell>
          <cell r="N490">
            <v>100</v>
          </cell>
          <cell r="P490" t="str">
            <v>Bank Road Street Aziz Khan Mehar Kinara Mardan</v>
          </cell>
          <cell r="Q490" t="str">
            <v>11000003</v>
          </cell>
          <cell r="R490" t="str">
            <v>SUZUKI EVERY WAGON</v>
          </cell>
          <cell r="S490" t="str">
            <v>2015</v>
          </cell>
          <cell r="T490" t="str">
            <v>ATD-665</v>
          </cell>
          <cell r="U490" t="str">
            <v>1675812</v>
          </cell>
          <cell r="V490" t="str">
            <v>113896</v>
          </cell>
          <cell r="W490" t="str">
            <v>05-mar-2026</v>
          </cell>
          <cell r="Y490">
            <v>1125000</v>
          </cell>
          <cell r="Z490">
            <v>24246</v>
          </cell>
          <cell r="AA490">
            <v>28125</v>
          </cell>
        </row>
        <row r="491">
          <cell r="B491" t="str">
            <v>KHI/HO/D/MO/PC COMP/C/107407/159/02/2025</v>
          </cell>
          <cell r="D491" t="str">
            <v>REN</v>
          </cell>
          <cell r="E491" t="str">
            <v>17/02/25</v>
          </cell>
          <cell r="F491" t="str">
            <v>18/02/2025</v>
          </cell>
          <cell r="G491" t="str">
            <v>17/02/2026</v>
          </cell>
          <cell r="H491" t="str">
            <v>08004499</v>
          </cell>
          <cell r="I491" t="str">
            <v>AL BARAKA BANK (PAKISTAN) LIMITED</v>
          </cell>
          <cell r="J491" t="str">
            <v>BANK</v>
          </cell>
          <cell r="K491" t="str">
            <v xml:space="preserve">
HPA M/s. Al Baraka Bank (Pakistan) Limited 
Hpa M/S. Al Baraka Bank (Pakistan) Limited 
User: Ahsan Sana Ullah</v>
          </cell>
          <cell r="L491" t="str">
            <v>D</v>
          </cell>
          <cell r="M491" t="str">
            <v>09000221</v>
          </cell>
          <cell r="N491">
            <v>100</v>
          </cell>
          <cell r="P491" t="str">
            <v>Purani Sugar Mill Patoki District Kasur</v>
          </cell>
          <cell r="Q491" t="str">
            <v>11000003</v>
          </cell>
          <cell r="R491" t="str">
            <v>SUZUKI ALTO VXR E-2</v>
          </cell>
          <cell r="S491" t="str">
            <v>2021</v>
          </cell>
          <cell r="T491" t="str">
            <v>ACC-184</v>
          </cell>
          <cell r="U491" t="str">
            <v>155157</v>
          </cell>
          <cell r="V491" t="str">
            <v>1055128</v>
          </cell>
          <cell r="W491" t="str">
            <v>05-mar-2026</v>
          </cell>
          <cell r="Y491">
            <v>1074750</v>
          </cell>
          <cell r="Z491">
            <v>23163</v>
          </cell>
          <cell r="AA491">
            <v>26869</v>
          </cell>
        </row>
        <row r="492">
          <cell r="B492" t="str">
            <v>KHI/HO/D/MO/PC COMP/C/107407/160/02/2025</v>
          </cell>
          <cell r="D492" t="str">
            <v>REN</v>
          </cell>
          <cell r="E492" t="str">
            <v>17/02/25</v>
          </cell>
          <cell r="F492" t="str">
            <v>18/02/2025</v>
          </cell>
          <cell r="G492" t="str">
            <v>17/02/2026</v>
          </cell>
          <cell r="H492" t="str">
            <v>08004499</v>
          </cell>
          <cell r="I492" t="str">
            <v>AL BARAKA BANK (PAKISTAN) LIMITED</v>
          </cell>
          <cell r="J492" t="str">
            <v>BANK</v>
          </cell>
          <cell r="K492" t="str">
            <v xml:space="preserve">
HPA M/s. Al Baraka Bank (Pakistan) Limited 
Hpa M/S. Al Baraka Bank (Pakistan) Limited 
User: Muhammad  Ehsan</v>
          </cell>
          <cell r="L492" t="str">
            <v>D</v>
          </cell>
          <cell r="M492" t="str">
            <v>09000221</v>
          </cell>
          <cell r="N492">
            <v>100</v>
          </cell>
          <cell r="P492" t="str">
            <v>House No. 220-F-1 Wapda Town  Lahore</v>
          </cell>
          <cell r="Q492" t="str">
            <v>11000003</v>
          </cell>
          <cell r="R492" t="str">
            <v>HONDA CITY I-VTEC (M/T)</v>
          </cell>
          <cell r="S492" t="str">
            <v>2021</v>
          </cell>
          <cell r="T492" t="str">
            <v>ABX-732</v>
          </cell>
          <cell r="U492" t="str">
            <v>7544159</v>
          </cell>
          <cell r="V492" t="str">
            <v>MR268169</v>
          </cell>
          <cell r="W492" t="str">
            <v>06-mar-2028</v>
          </cell>
          <cell r="Y492">
            <v>1841250</v>
          </cell>
          <cell r="Z492">
            <v>39682</v>
          </cell>
          <cell r="AA492">
            <v>46031</v>
          </cell>
        </row>
        <row r="493">
          <cell r="B493" t="str">
            <v>KHI/HO/D/MO/PC COMP/C/107407/161/02/2025</v>
          </cell>
          <cell r="D493" t="str">
            <v>REN</v>
          </cell>
          <cell r="E493" t="str">
            <v>17/02/25</v>
          </cell>
          <cell r="F493" t="str">
            <v>19/02/2025</v>
          </cell>
          <cell r="G493" t="str">
            <v>18/02/2026</v>
          </cell>
          <cell r="H493" t="str">
            <v>08004499</v>
          </cell>
          <cell r="I493" t="str">
            <v>AL BARAKA BANK (PAKISTAN) LIMITED</v>
          </cell>
          <cell r="J493" t="str">
            <v>BANK</v>
          </cell>
          <cell r="K493" t="str">
            <v xml:space="preserve">
HPA M/s. Al Baraka Bank (Pakistan) Limited 
Hpa M/S. Al Baraka Bank (Pakistan) Limited 
User: Hamees  Zishaan</v>
          </cell>
          <cell r="L493" t="str">
            <v>D</v>
          </cell>
          <cell r="M493" t="str">
            <v>09000221</v>
          </cell>
          <cell r="N493">
            <v>100</v>
          </cell>
          <cell r="O493" t="str">
            <v>KARACHI</v>
          </cell>
          <cell r="P493" t="str">
            <v>293 A-2 Johar Town Lahore</v>
          </cell>
          <cell r="Q493" t="str">
            <v>11000003</v>
          </cell>
          <cell r="R493" t="str">
            <v>TOYOTA YARIS ATIV X CVT</v>
          </cell>
          <cell r="S493" t="str">
            <v>2021</v>
          </cell>
          <cell r="T493" t="str">
            <v>ACK-131</v>
          </cell>
          <cell r="U493" t="str">
            <v>2A17357</v>
          </cell>
          <cell r="V493" t="str">
            <v>NSP151R-9507107</v>
          </cell>
          <cell r="W493" t="str">
            <v>06-mar-2028</v>
          </cell>
          <cell r="Y493">
            <v>2244750</v>
          </cell>
          <cell r="Z493">
            <v>48378</v>
          </cell>
          <cell r="AA493">
            <v>56119</v>
          </cell>
        </row>
        <row r="494">
          <cell r="B494" t="str">
            <v>KHI/HO/D/MO/PC COMP/C/107407/162/02/2025</v>
          </cell>
          <cell r="D494" t="str">
            <v>REN</v>
          </cell>
          <cell r="E494" t="str">
            <v>17/02/25</v>
          </cell>
          <cell r="F494" t="str">
            <v>19/02/2025</v>
          </cell>
          <cell r="G494" t="str">
            <v>18/02/2026</v>
          </cell>
          <cell r="H494" t="str">
            <v>08004499</v>
          </cell>
          <cell r="I494" t="str">
            <v>AL BARAKA BANK (PAKISTAN) LIMITED</v>
          </cell>
          <cell r="J494" t="str">
            <v>BANK</v>
          </cell>
          <cell r="K494" t="str">
            <v xml:space="preserve">
HPA M/s. Al Baraka Bank (Pakistan) Limited 
Hpa M/S. Al Baraka Bank (Pakistan) Limited 
User: Muhammad  Amin</v>
          </cell>
          <cell r="L494" t="str">
            <v>D</v>
          </cell>
          <cell r="M494" t="str">
            <v>09000221</v>
          </cell>
          <cell r="N494">
            <v>100</v>
          </cell>
          <cell r="P494" t="str">
            <v>House No. 10 Street 33 Hafiz Road Masoom Gunj Lahore</v>
          </cell>
          <cell r="Q494" t="str">
            <v>11000003</v>
          </cell>
          <cell r="R494" t="str">
            <v>SUZUKI CULTUS</v>
          </cell>
          <cell r="S494" t="str">
            <v>2015</v>
          </cell>
          <cell r="T494" t="str">
            <v>LEF-14-2623</v>
          </cell>
          <cell r="U494" t="str">
            <v>597595</v>
          </cell>
          <cell r="V494" t="str">
            <v>504459</v>
          </cell>
          <cell r="W494" t="str">
            <v>05-mar-2026</v>
          </cell>
          <cell r="Y494">
            <v>787500</v>
          </cell>
          <cell r="Z494">
            <v>16972</v>
          </cell>
          <cell r="AA494">
            <v>19688</v>
          </cell>
        </row>
        <row r="495">
          <cell r="B495" t="str">
            <v>KHI/HO/D/MO/PC COMP/C/107407/163/02/2025</v>
          </cell>
          <cell r="D495" t="str">
            <v>REN</v>
          </cell>
          <cell r="E495" t="str">
            <v>17/02/25</v>
          </cell>
          <cell r="F495" t="str">
            <v>22/02/2025</v>
          </cell>
          <cell r="G495" t="str">
            <v>21/02/2026</v>
          </cell>
          <cell r="H495" t="str">
            <v>08004499</v>
          </cell>
          <cell r="I495" t="str">
            <v>AL BARAKA BANK (PAKISTAN) LIMITED</v>
          </cell>
          <cell r="J495" t="str">
            <v>BANK</v>
          </cell>
          <cell r="K495" t="str">
            <v xml:space="preserve">
HPA M/s. Al Baraka Bank (Pakistan) Limited 
Hpa M/S. Al Baraka Bank (Pakistan) Limited 
User: Muhammad Qasim Ali</v>
          </cell>
          <cell r="L495" t="str">
            <v>D</v>
          </cell>
          <cell r="M495" t="str">
            <v>09000221</v>
          </cell>
          <cell r="N495">
            <v>100</v>
          </cell>
          <cell r="P495" t="str">
            <v>House No. 188 New Abadi Siraj park Lahore Cantt</v>
          </cell>
          <cell r="Q495" t="str">
            <v>11000003</v>
          </cell>
          <cell r="R495" t="str">
            <v>SUZUKI BOLAN STD VX EURO</v>
          </cell>
          <cell r="S495" t="str">
            <v>2021</v>
          </cell>
          <cell r="T495" t="str">
            <v>ACJ-251</v>
          </cell>
          <cell r="U495" t="str">
            <v>1009621</v>
          </cell>
          <cell r="V495" t="str">
            <v>01126075</v>
          </cell>
          <cell r="W495" t="str">
            <v>05-mar-2026</v>
          </cell>
          <cell r="Y495">
            <v>850500</v>
          </cell>
          <cell r="Z495">
            <v>18330</v>
          </cell>
          <cell r="AA495">
            <v>21263</v>
          </cell>
        </row>
        <row r="496">
          <cell r="B496" t="str">
            <v>KHI/HO/D/MO/PC COMP/C/107407/164/02/2025</v>
          </cell>
          <cell r="D496" t="str">
            <v>REN</v>
          </cell>
          <cell r="E496" t="str">
            <v>17/02/25</v>
          </cell>
          <cell r="F496" t="str">
            <v>22/02/2025</v>
          </cell>
          <cell r="G496" t="str">
            <v>21/02/2026</v>
          </cell>
          <cell r="H496" t="str">
            <v>08004499</v>
          </cell>
          <cell r="I496" t="str">
            <v>AL BARAKA BANK (PAKISTAN) LIMITED</v>
          </cell>
          <cell r="J496" t="str">
            <v>BANK</v>
          </cell>
          <cell r="K496" t="str">
            <v xml:space="preserve">
HPA M/s. Al Baraka Bank (Pakistan) Limited 
Hpa M/S. Al Baraka Bank (Pakistan) Limited 
User: Arslan  Aslam</v>
          </cell>
          <cell r="L496" t="str">
            <v>D</v>
          </cell>
          <cell r="M496" t="str">
            <v>09000221</v>
          </cell>
          <cell r="N496">
            <v>100</v>
          </cell>
          <cell r="P496" t="str">
            <v>UPO Phiranwali Phalia Dist Mandi Bahauddin</v>
          </cell>
          <cell r="Q496" t="str">
            <v>11000003</v>
          </cell>
          <cell r="R496" t="str">
            <v>SUZUKI ALTO VXL AGS E-2</v>
          </cell>
          <cell r="S496" t="str">
            <v>2021</v>
          </cell>
          <cell r="T496" t="str">
            <v>ACB-038</v>
          </cell>
          <cell r="U496" t="str">
            <v>155145</v>
          </cell>
          <cell r="V496" t="str">
            <v>1055133</v>
          </cell>
          <cell r="W496" t="str">
            <v>05-mar-2026</v>
          </cell>
          <cell r="Y496">
            <v>1224750</v>
          </cell>
          <cell r="Z496">
            <v>26396</v>
          </cell>
          <cell r="AA496">
            <v>30619</v>
          </cell>
        </row>
        <row r="497">
          <cell r="B497" t="str">
            <v>KHI/HO/D/MO/PC COMP/C/107407/165/02/2025</v>
          </cell>
          <cell r="D497" t="str">
            <v>REN</v>
          </cell>
          <cell r="E497" t="str">
            <v>17/02/25</v>
          </cell>
          <cell r="F497" t="str">
            <v>23/02/2025</v>
          </cell>
          <cell r="G497" t="str">
            <v>22/02/2026</v>
          </cell>
          <cell r="H497" t="str">
            <v>08004499</v>
          </cell>
          <cell r="I497" t="str">
            <v>AL BARAKA BANK (PAKISTAN) LIMITED</v>
          </cell>
          <cell r="J497" t="str">
            <v>BANK</v>
          </cell>
          <cell r="K497" t="str">
            <v xml:space="preserve">
HPA M/s. Al Baraka Bank (Pakistan) Limited 
Hpa M/S. Al Baraka Bank (Pakistan) Limited 
User: Zafar  Iqbal</v>
          </cell>
          <cell r="L497" t="str">
            <v>D</v>
          </cell>
          <cell r="M497" t="str">
            <v>09000221</v>
          </cell>
          <cell r="N497">
            <v>100</v>
          </cell>
          <cell r="O497" t="str">
            <v>KARACHI</v>
          </cell>
          <cell r="P497" t="str">
            <v>Opp Gen. Hospital Gate No.2 Near Al Fazal Resturant Ferozepur Road Lahore</v>
          </cell>
          <cell r="Q497" t="str">
            <v>11000003</v>
          </cell>
          <cell r="R497" t="str">
            <v>TOYOTA YARIS ATIV X CVT</v>
          </cell>
          <cell r="S497" t="str">
            <v>2021</v>
          </cell>
          <cell r="T497" t="str">
            <v>ADA-349</v>
          </cell>
          <cell r="U497" t="str">
            <v>2A18975</v>
          </cell>
          <cell r="V497" t="str">
            <v>9507729</v>
          </cell>
          <cell r="W497" t="str">
            <v>05-mar-2026</v>
          </cell>
          <cell r="Y497">
            <v>2244750</v>
          </cell>
          <cell r="Z497">
            <v>48378</v>
          </cell>
          <cell r="AA497">
            <v>56119</v>
          </cell>
        </row>
        <row r="498">
          <cell r="B498" t="str">
            <v>KHI/HO/D/MO/PC COMP/C/107407/166/02/2025</v>
          </cell>
          <cell r="D498" t="str">
            <v>REN</v>
          </cell>
          <cell r="E498" t="str">
            <v>17/02/25</v>
          </cell>
          <cell r="F498" t="str">
            <v>03/02/2025</v>
          </cell>
          <cell r="G498" t="str">
            <v>02/02/2026</v>
          </cell>
          <cell r="H498" t="str">
            <v>08004499</v>
          </cell>
          <cell r="I498" t="str">
            <v>AL BARAKA BANK (PAKISTAN) LIMITED</v>
          </cell>
          <cell r="J498" t="str">
            <v>BANK</v>
          </cell>
          <cell r="K498" t="str">
            <v xml:space="preserve">
HPA M/s. Al Baraka Bank (Pakistan) Limited 
Hpa M/S. Al Baraka Bank (Pakistan) Limited 
User: Noor  Nabi</v>
          </cell>
          <cell r="L498" t="str">
            <v>D</v>
          </cell>
          <cell r="M498" t="str">
            <v>09000221</v>
          </cell>
          <cell r="N498">
            <v>100</v>
          </cell>
          <cell r="P498" t="str">
            <v>Flat No. 8 Building 4-C 4th Floor 
Commercial Phase 2 Ext DHA 
Karachi</v>
          </cell>
          <cell r="Q498" t="str">
            <v>11000003</v>
          </cell>
          <cell r="R498" t="str">
            <v>HONDA BRV I-VTEC</v>
          </cell>
          <cell r="S498" t="str">
            <v>2021</v>
          </cell>
          <cell r="T498" t="str">
            <v>BJ-0454</v>
          </cell>
          <cell r="U498" t="str">
            <v>4803781</v>
          </cell>
          <cell r="V498" t="str">
            <v>020477</v>
          </cell>
          <cell r="W498" t="str">
            <v>05-feb-2026</v>
          </cell>
          <cell r="Y498">
            <v>2622750</v>
          </cell>
          <cell r="Z498">
            <v>33915</v>
          </cell>
          <cell r="AA498">
            <v>39341</v>
          </cell>
        </row>
        <row r="499">
          <cell r="B499" t="str">
            <v>KHI/HO/D/MO/PC COMP/C/107407/167/02/2025</v>
          </cell>
          <cell r="D499" t="str">
            <v>REN</v>
          </cell>
          <cell r="E499" t="str">
            <v>17/02/25</v>
          </cell>
          <cell r="F499" t="str">
            <v>23/02/2025</v>
          </cell>
          <cell r="G499" t="str">
            <v>22/02/2026</v>
          </cell>
          <cell r="H499" t="str">
            <v>08004499</v>
          </cell>
          <cell r="I499" t="str">
            <v>AL BARAKA BANK (PAKISTAN) LIMITED</v>
          </cell>
          <cell r="J499" t="str">
            <v>BANK</v>
          </cell>
          <cell r="K499" t="str">
            <v xml:space="preserve">
HPA M/s. Al Baraka Bank (Pakistan) Limited 
Hpa M/S. Al Baraka Bank (Pakistan) Limited 
User: Muhammad Amir Zahid</v>
          </cell>
          <cell r="L499" t="str">
            <v>D</v>
          </cell>
          <cell r="M499" t="str">
            <v>09000221</v>
          </cell>
          <cell r="N499">
            <v>100</v>
          </cell>
          <cell r="P499" t="str">
            <v>Near Hussain Sugar Mills Colony  House No. 30 Street 02 Moh Ahmad Park Jaranwala</v>
          </cell>
          <cell r="Q499" t="str">
            <v>11000003</v>
          </cell>
          <cell r="R499" t="str">
            <v>SUZUKI BOLAN STD VX EURO</v>
          </cell>
          <cell r="S499" t="str">
            <v>2021</v>
          </cell>
          <cell r="T499" t="str">
            <v>ACC-875</v>
          </cell>
          <cell r="U499" t="str">
            <v>1009968</v>
          </cell>
          <cell r="V499" t="str">
            <v>1126482</v>
          </cell>
          <cell r="W499" t="str">
            <v>05-mar-2026</v>
          </cell>
          <cell r="Y499">
            <v>850500</v>
          </cell>
          <cell r="Z499">
            <v>18330</v>
          </cell>
          <cell r="AA499">
            <v>21263</v>
          </cell>
        </row>
        <row r="500">
          <cell r="B500" t="str">
            <v>KHI/HO/D/MO/PC COMP/C/107407/168/02/2025</v>
          </cell>
          <cell r="D500" t="str">
            <v>REN</v>
          </cell>
          <cell r="E500" t="str">
            <v>17/02/25</v>
          </cell>
          <cell r="F500" t="str">
            <v>24/02/2025</v>
          </cell>
          <cell r="G500" t="str">
            <v>23/02/2026</v>
          </cell>
          <cell r="H500" t="str">
            <v>08004499</v>
          </cell>
          <cell r="I500" t="str">
            <v>AL BARAKA BANK (PAKISTAN) LIMITED</v>
          </cell>
          <cell r="J500" t="str">
            <v>BANK</v>
          </cell>
          <cell r="K500" t="str">
            <v xml:space="preserve">
HPA M/s. Al Baraka Bank (Pakistan) Limited 
Hpa M/S. Al Baraka Bank (Pakistan) Limited 
User: Ahmad Ali Goraya</v>
          </cell>
          <cell r="L500" t="str">
            <v>D</v>
          </cell>
          <cell r="M500" t="str">
            <v>09000221</v>
          </cell>
          <cell r="N500">
            <v>100</v>
          </cell>
          <cell r="O500" t="str">
            <v>KARACHI</v>
          </cell>
          <cell r="P500" t="str">
            <v>Chenab House  Main Yaseen Watto Road G-1 Johar Town Lahore</v>
          </cell>
          <cell r="Q500" t="str">
            <v>11000003</v>
          </cell>
          <cell r="R500" t="str">
            <v>TOYOTA COROLLA ALTIS CVT</v>
          </cell>
          <cell r="S500" t="str">
            <v>2016</v>
          </cell>
          <cell r="T500" t="str">
            <v>LEB-16-4651</v>
          </cell>
          <cell r="U500" t="str">
            <v>Q314560</v>
          </cell>
          <cell r="V500" t="str">
            <v>R-7013590</v>
          </cell>
          <cell r="W500" t="str">
            <v>05-mar-2026</v>
          </cell>
          <cell r="Y500">
            <v>2025000</v>
          </cell>
          <cell r="Z500">
            <v>43643</v>
          </cell>
          <cell r="AA500">
            <v>50625</v>
          </cell>
        </row>
        <row r="501">
          <cell r="B501" t="str">
            <v>KHI/HO/D/MO/PC COMP/C/107407/169/02/2025</v>
          </cell>
          <cell r="D501" t="str">
            <v>REN</v>
          </cell>
          <cell r="E501" t="str">
            <v>17/02/25</v>
          </cell>
          <cell r="F501" t="str">
            <v>24/02/2025</v>
          </cell>
          <cell r="G501" t="str">
            <v>23/02/2026</v>
          </cell>
          <cell r="H501" t="str">
            <v>08004499</v>
          </cell>
          <cell r="I501" t="str">
            <v>AL BARAKA BANK (PAKISTAN) LIMITED</v>
          </cell>
          <cell r="J501" t="str">
            <v>BANK</v>
          </cell>
          <cell r="K501" t="str">
            <v xml:space="preserve">
HPA M/s. Al Baraka Bank (Pakistan) Limited 
Hpa M/S. Al Baraka Bank (Pakistan) Limited 
User: Noman  Safdar</v>
          </cell>
          <cell r="L501" t="str">
            <v>D</v>
          </cell>
          <cell r="M501" t="str">
            <v>09000221</v>
          </cell>
          <cell r="N501">
            <v>100</v>
          </cell>
          <cell r="P501" t="str">
            <v>Riazabad Road Mohallah Jhandraan Qadir Pur Raan Town Tehsil Multan Saddar Dist Multan</v>
          </cell>
          <cell r="Q501" t="str">
            <v>11000003</v>
          </cell>
          <cell r="R501" t="str">
            <v>SUZUKI ALTO VXR E-2</v>
          </cell>
          <cell r="S501" t="str">
            <v>2021</v>
          </cell>
          <cell r="T501" t="str">
            <v>ADG-222</v>
          </cell>
          <cell r="U501" t="str">
            <v>157597</v>
          </cell>
          <cell r="V501" t="str">
            <v>1057573</v>
          </cell>
          <cell r="W501" t="str">
            <v>05-mar-2026</v>
          </cell>
          <cell r="Y501">
            <v>1074750</v>
          </cell>
          <cell r="Z501">
            <v>23163</v>
          </cell>
          <cell r="AA501">
            <v>26869</v>
          </cell>
        </row>
        <row r="502">
          <cell r="B502" t="str">
            <v>KHI/HO/D/MO/PC COMP/C/107407/170/02/2025</v>
          </cell>
          <cell r="D502" t="str">
            <v>REN</v>
          </cell>
          <cell r="E502" t="str">
            <v>17/02/25</v>
          </cell>
          <cell r="F502" t="str">
            <v>24/02/2025</v>
          </cell>
          <cell r="G502" t="str">
            <v>23/02/2026</v>
          </cell>
          <cell r="H502" t="str">
            <v>08004499</v>
          </cell>
          <cell r="I502" t="str">
            <v>AL BARAKA BANK (PAKISTAN) LIMITED</v>
          </cell>
          <cell r="J502" t="str">
            <v>BANK</v>
          </cell>
          <cell r="K502" t="str">
            <v xml:space="preserve">
HPA M/s. Al Baraka Bank (Pakistan) Limited 
Hpa M/S. Al Baraka Bank (Pakistan) Limited 
User: Afraz  Ahmad</v>
          </cell>
          <cell r="L502" t="str">
            <v>D</v>
          </cell>
          <cell r="M502" t="str">
            <v>09000221</v>
          </cell>
          <cell r="N502">
            <v>100</v>
          </cell>
          <cell r="O502" t="str">
            <v>KARACHI</v>
          </cell>
          <cell r="P502" t="str">
            <v>House No. 2 Block C Al Makka Welfare Society Near Butt Chowk Road Township Lahore</v>
          </cell>
          <cell r="Q502" t="str">
            <v>11000003</v>
          </cell>
          <cell r="R502" t="str">
            <v>TOYOTA YARIS ATIV X CVT</v>
          </cell>
          <cell r="S502" t="str">
            <v>2021</v>
          </cell>
          <cell r="T502" t="str">
            <v>ACF-676</v>
          </cell>
          <cell r="U502" t="str">
            <v>2A19556</v>
          </cell>
          <cell r="V502" t="str">
            <v>R9507957</v>
          </cell>
          <cell r="W502" t="str">
            <v>05-mar-2026</v>
          </cell>
          <cell r="Y502">
            <v>2244750</v>
          </cell>
          <cell r="Z502">
            <v>48378</v>
          </cell>
          <cell r="AA502">
            <v>56119</v>
          </cell>
        </row>
        <row r="503">
          <cell r="B503" t="str">
            <v>KHI/HO/D/MO/PC COMP/C/107407/171/02/2025</v>
          </cell>
          <cell r="D503" t="str">
            <v>REN</v>
          </cell>
          <cell r="E503" t="str">
            <v>17/02/25</v>
          </cell>
          <cell r="F503" t="str">
            <v>25/02/2025</v>
          </cell>
          <cell r="G503" t="str">
            <v>24/02/2026</v>
          </cell>
          <cell r="H503" t="str">
            <v>08004499</v>
          </cell>
          <cell r="I503" t="str">
            <v>AL BARAKA BANK (PAKISTAN) LIMITED</v>
          </cell>
          <cell r="J503" t="str">
            <v>BANK</v>
          </cell>
          <cell r="K503" t="str">
            <v xml:space="preserve">
HPA M/s. Al Baraka Bank (Pakistan) Limited 
Hpa M/S. Al Baraka Bank (Pakistan) Limited 
User: Waqar  Younis</v>
          </cell>
          <cell r="L503" t="str">
            <v>D</v>
          </cell>
          <cell r="M503" t="str">
            <v>09000221</v>
          </cell>
          <cell r="N503">
            <v>100</v>
          </cell>
          <cell r="O503" t="str">
            <v>KARACHI</v>
          </cell>
          <cell r="P503" t="str">
            <v>House No. 40 Street 2 Jallo More Batapur Lahore</v>
          </cell>
          <cell r="Q503" t="str">
            <v>11000003</v>
          </cell>
          <cell r="R503" t="str">
            <v>HONDA CITY ASPIRE A/T</v>
          </cell>
          <cell r="S503" t="str">
            <v>2016</v>
          </cell>
          <cell r="T503" t="str">
            <v>LE-16-5194</v>
          </cell>
          <cell r="U503" t="str">
            <v>Z17437263</v>
          </cell>
          <cell r="V503" t="str">
            <v>FR176767</v>
          </cell>
          <cell r="W503" t="str">
            <v>05-mar-2026</v>
          </cell>
          <cell r="Y503">
            <v>1297500</v>
          </cell>
          <cell r="Z503">
            <v>27963</v>
          </cell>
          <cell r="AA503">
            <v>32438</v>
          </cell>
        </row>
        <row r="504">
          <cell r="B504" t="str">
            <v>KHI/HO/D/MO/PC COMP/C/107407/172/02/2025</v>
          </cell>
          <cell r="D504" t="str">
            <v>REN</v>
          </cell>
          <cell r="E504" t="str">
            <v>17/02/25</v>
          </cell>
          <cell r="F504" t="str">
            <v>25/02/2025</v>
          </cell>
          <cell r="G504" t="str">
            <v>24/02/2026</v>
          </cell>
          <cell r="H504" t="str">
            <v>08004499</v>
          </cell>
          <cell r="I504" t="str">
            <v>AL BARAKA BANK (PAKISTAN) LIMITED</v>
          </cell>
          <cell r="J504" t="str">
            <v>BANK</v>
          </cell>
          <cell r="K504" t="str">
            <v xml:space="preserve">
HPA M/s. Al Baraka Bank (Pakistan) Limited 
Hpa M/S. Al Baraka Bank (Pakistan) Limited 
User: Bilawal  Ali</v>
          </cell>
          <cell r="L504" t="str">
            <v>D</v>
          </cell>
          <cell r="M504" t="str">
            <v>09000221</v>
          </cell>
          <cell r="N504">
            <v>100</v>
          </cell>
          <cell r="O504" t="str">
            <v>KARACHI</v>
          </cell>
          <cell r="P504" t="str">
            <v>674 Neelum Block  DC Colony Gujranwala</v>
          </cell>
          <cell r="Q504" t="str">
            <v>11000003</v>
          </cell>
          <cell r="R504" t="str">
            <v>SUZUKI ALTO VXL AGS E-2</v>
          </cell>
          <cell r="S504" t="str">
            <v>2021</v>
          </cell>
          <cell r="T504" t="str">
            <v>ACH-363</v>
          </cell>
          <cell r="U504" t="str">
            <v>6R155832</v>
          </cell>
          <cell r="V504" t="str">
            <v>NF1AET306H1055807</v>
          </cell>
          <cell r="W504" t="str">
            <v>05-mar-2026</v>
          </cell>
          <cell r="Y504">
            <v>1224750</v>
          </cell>
          <cell r="Z504">
            <v>26396</v>
          </cell>
          <cell r="AA504">
            <v>30619</v>
          </cell>
        </row>
        <row r="505">
          <cell r="B505" t="str">
            <v>KHI/HO/D/MO/PC COMP/C/107407/173/02/2025</v>
          </cell>
          <cell r="D505" t="str">
            <v>REN</v>
          </cell>
          <cell r="E505" t="str">
            <v>17/02/25</v>
          </cell>
          <cell r="F505" t="str">
            <v>25/02/2025</v>
          </cell>
          <cell r="G505" t="str">
            <v>24/02/2026</v>
          </cell>
          <cell r="H505" t="str">
            <v>08004499</v>
          </cell>
          <cell r="I505" t="str">
            <v>AL BARAKA BANK (PAKISTAN) LIMITED</v>
          </cell>
          <cell r="J505" t="str">
            <v>BANK</v>
          </cell>
          <cell r="K505" t="str">
            <v xml:space="preserve">
HPA M/s. Al Baraka Bank (Pakistan) Limited 
Hpa M/S. Al Baraka Bank (Pakistan) Limited 
User: Muhammad Ali Bhatti</v>
          </cell>
          <cell r="L505" t="str">
            <v>D</v>
          </cell>
          <cell r="M505" t="str">
            <v>09000221</v>
          </cell>
          <cell r="N505">
            <v>100</v>
          </cell>
          <cell r="P505" t="str">
            <v>House No. 587 Bilal Colony Dil Muhammad Road Pathi Ground Lahore</v>
          </cell>
          <cell r="Q505" t="str">
            <v>11000003</v>
          </cell>
          <cell r="R505" t="str">
            <v>SUZUKI CULTUS VXL EURO II</v>
          </cell>
          <cell r="S505" t="str">
            <v>2017</v>
          </cell>
          <cell r="T505" t="str">
            <v>LEE-18-1542</v>
          </cell>
          <cell r="U505" t="str">
            <v>110582</v>
          </cell>
          <cell r="V505" t="str">
            <v>10010545</v>
          </cell>
          <cell r="W505" t="str">
            <v>05-mar-2026</v>
          </cell>
          <cell r="Y505">
            <v>1200000</v>
          </cell>
          <cell r="Z505">
            <v>25862</v>
          </cell>
          <cell r="AA505">
            <v>30000</v>
          </cell>
        </row>
        <row r="506">
          <cell r="B506" t="str">
            <v>KHI/HO/D/MO/PC COMP/C/107407/174/02/2025</v>
          </cell>
          <cell r="D506" t="str">
            <v>REN</v>
          </cell>
          <cell r="E506" t="str">
            <v>17/02/25</v>
          </cell>
          <cell r="F506" t="str">
            <v>09/02/2025</v>
          </cell>
          <cell r="G506" t="str">
            <v>08/02/2026</v>
          </cell>
          <cell r="H506" t="str">
            <v>08004499</v>
          </cell>
          <cell r="I506" t="str">
            <v>AL BARAKA BANK (PAKISTAN) LIMITED</v>
          </cell>
          <cell r="J506" t="str">
            <v>BANK</v>
          </cell>
          <cell r="K506" t="str">
            <v xml:space="preserve">
HPA M/s. Al Baraka Bank (Pakistan) Limited 
Hpa M/S. Al Baraka Bank (Pakistan) Limited 
User: Amjad  Latif</v>
          </cell>
          <cell r="L506" t="str">
            <v>D</v>
          </cell>
          <cell r="M506" t="str">
            <v>09000221</v>
          </cell>
          <cell r="N506">
            <v>100</v>
          </cell>
          <cell r="P506" t="str">
            <v>Hafizabad Road Street 07 Moh Shareefpura Gujranwala</v>
          </cell>
          <cell r="Q506" t="str">
            <v>11000003</v>
          </cell>
          <cell r="R506" t="str">
            <v>SUZUKI WAGON-R VXL E2</v>
          </cell>
          <cell r="S506" t="str">
            <v>2021</v>
          </cell>
          <cell r="T506" t="str">
            <v>ABY-633</v>
          </cell>
          <cell r="U506" t="str">
            <v>210342</v>
          </cell>
          <cell r="V506" t="str">
            <v>10110336</v>
          </cell>
          <cell r="W506" t="str">
            <v>05-feb-2026</v>
          </cell>
          <cell r="Y506">
            <v>1297500</v>
          </cell>
          <cell r="Z506">
            <v>27963</v>
          </cell>
          <cell r="AA506">
            <v>32438</v>
          </cell>
        </row>
        <row r="507">
          <cell r="B507" t="str">
            <v>KHI/HO/D/MO/PC COMP/C/107407/175/02/2025</v>
          </cell>
          <cell r="D507" t="str">
            <v>REN</v>
          </cell>
          <cell r="E507" t="str">
            <v>17/02/25</v>
          </cell>
          <cell r="F507" t="str">
            <v>25/02/2025</v>
          </cell>
          <cell r="G507" t="str">
            <v>24/02/2026</v>
          </cell>
          <cell r="H507" t="str">
            <v>08004499</v>
          </cell>
          <cell r="I507" t="str">
            <v>AL BARAKA BANK (PAKISTAN) LIMITED</v>
          </cell>
          <cell r="J507" t="str">
            <v>BANK</v>
          </cell>
          <cell r="K507" t="str">
            <v xml:space="preserve">
HPA M/s. Al Baraka Bank (Pakistan) Limited 
Hpa M/S. Al Baraka Bank (Pakistan) Limited 
User: Ahad  Munir</v>
          </cell>
          <cell r="L507" t="str">
            <v>D</v>
          </cell>
          <cell r="M507" t="str">
            <v>09000221</v>
          </cell>
          <cell r="N507">
            <v>100</v>
          </cell>
          <cell r="O507" t="str">
            <v>KARACHI</v>
          </cell>
          <cell r="P507" t="str">
            <v>House No. 488 Block 6 Sector A-2 Township Lahore</v>
          </cell>
          <cell r="Q507" t="str">
            <v>11000003</v>
          </cell>
          <cell r="R507" t="str">
            <v>SUZUKI BOLAN STD VX EURO</v>
          </cell>
          <cell r="S507" t="str">
            <v>2016</v>
          </cell>
          <cell r="T507" t="str">
            <v>LED-16-4227</v>
          </cell>
          <cell r="U507" t="str">
            <v>PKT-937913</v>
          </cell>
          <cell r="V507" t="str">
            <v>PK01054366</v>
          </cell>
          <cell r="W507" t="str">
            <v>05-mar-2026</v>
          </cell>
          <cell r="Y507">
            <v>600000</v>
          </cell>
          <cell r="Z507">
            <v>12931</v>
          </cell>
          <cell r="AA507">
            <v>15000</v>
          </cell>
        </row>
        <row r="508">
          <cell r="B508" t="str">
            <v>KHI/HO/D/MO/PC COMP/C/107407/176/02/2025</v>
          </cell>
          <cell r="D508" t="str">
            <v>REN</v>
          </cell>
          <cell r="E508" t="str">
            <v>17/02/25</v>
          </cell>
          <cell r="F508" t="str">
            <v>25/02/2025</v>
          </cell>
          <cell r="G508" t="str">
            <v>24/02/2026</v>
          </cell>
          <cell r="H508" t="str">
            <v>08004499</v>
          </cell>
          <cell r="I508" t="str">
            <v>AL BARAKA BANK (PAKISTAN) LIMITED</v>
          </cell>
          <cell r="J508" t="str">
            <v>BANK</v>
          </cell>
          <cell r="K508" t="str">
            <v xml:space="preserve">
HPA M/s. Al Baraka Bank (Pakistan) Limited 
Hpa M/S. Al Baraka Bank (Pakistan) Limited 
User: Nadeem  Altaf</v>
          </cell>
          <cell r="L508" t="str">
            <v>D</v>
          </cell>
          <cell r="M508" t="str">
            <v>09000221</v>
          </cell>
          <cell r="N508">
            <v>100</v>
          </cell>
          <cell r="O508" t="str">
            <v>KARACHI</v>
          </cell>
          <cell r="P508" t="str">
            <v>House No. 204 Block C Pak Arab Housing Society Lahore</v>
          </cell>
          <cell r="Q508" t="str">
            <v>11000003</v>
          </cell>
          <cell r="R508" t="str">
            <v>KIA SPORTAGE FWD</v>
          </cell>
          <cell r="S508" t="str">
            <v>2021</v>
          </cell>
          <cell r="T508" t="str">
            <v>ACA-401</v>
          </cell>
          <cell r="U508" t="str">
            <v>H345046</v>
          </cell>
          <cell r="V508" t="str">
            <v>P101295</v>
          </cell>
          <cell r="W508" t="str">
            <v>05-mar-2026</v>
          </cell>
          <cell r="Y508">
            <v>3322500</v>
          </cell>
          <cell r="Z508">
            <v>42963</v>
          </cell>
          <cell r="AA508">
            <v>49838</v>
          </cell>
        </row>
        <row r="509">
          <cell r="B509" t="str">
            <v>KHI/HO/D/MO/PC COMP/C/107407/177/02/2025</v>
          </cell>
          <cell r="D509" t="str">
            <v>REN</v>
          </cell>
          <cell r="E509" t="str">
            <v>17/02/25</v>
          </cell>
          <cell r="F509" t="str">
            <v>26/02/2025</v>
          </cell>
          <cell r="G509" t="str">
            <v>25/02/2026</v>
          </cell>
          <cell r="H509" t="str">
            <v>08004499</v>
          </cell>
          <cell r="I509" t="str">
            <v>AL BARAKA BANK (PAKISTAN) LIMITED</v>
          </cell>
          <cell r="J509" t="str">
            <v>BANK</v>
          </cell>
          <cell r="K509" t="str">
            <v xml:space="preserve">
HPA M/s. Al Baraka Bank (Pakistan) Limited 
Hpa M/S. Al Baraka Bank (Pakistan) Limited 
User: Muhammad   Umer</v>
          </cell>
          <cell r="L509" t="str">
            <v>D</v>
          </cell>
          <cell r="M509" t="str">
            <v>09000221</v>
          </cell>
          <cell r="N509">
            <v>100</v>
          </cell>
          <cell r="O509" t="str">
            <v>KARACHI</v>
          </cell>
          <cell r="P509" t="str">
            <v>House No. 115/H Mohallah Chowk Nawab Sahib Andoon Motchi Gate Lahore</v>
          </cell>
          <cell r="Q509" t="str">
            <v>11000003</v>
          </cell>
          <cell r="R509" t="str">
            <v>TOYOTA COROLLA XLI 1.3</v>
          </cell>
          <cell r="S509" t="str">
            <v>2015</v>
          </cell>
          <cell r="T509" t="str">
            <v>LEA-15-9575</v>
          </cell>
          <cell r="U509" t="str">
            <v>Z193794</v>
          </cell>
          <cell r="V509" t="str">
            <v>NZE170R-4018849</v>
          </cell>
          <cell r="W509" t="str">
            <v>05-mar-2026</v>
          </cell>
          <cell r="Y509">
            <v>1650000</v>
          </cell>
          <cell r="Z509">
            <v>35560</v>
          </cell>
          <cell r="AA509">
            <v>41250</v>
          </cell>
        </row>
        <row r="510">
          <cell r="B510" t="str">
            <v>KHI/HO/D/MO/PC COMP/C/107407/178/02/2025</v>
          </cell>
          <cell r="D510" t="str">
            <v>REN</v>
          </cell>
          <cell r="E510" t="str">
            <v>17/02/25</v>
          </cell>
          <cell r="F510" t="str">
            <v>26/02/2025</v>
          </cell>
          <cell r="G510" t="str">
            <v>25/02/2026</v>
          </cell>
          <cell r="H510" t="str">
            <v>08004499</v>
          </cell>
          <cell r="I510" t="str">
            <v>AL BARAKA BANK (PAKISTAN) LIMITED</v>
          </cell>
          <cell r="J510" t="str">
            <v>BANK</v>
          </cell>
          <cell r="K510" t="str">
            <v xml:space="preserve">
HPA M/s. Al Baraka Bank (Pakistan) Limited 
Hpa M/S. Al Baraka Bank (Pakistan) Limited 
User: Husnain  Saddique</v>
          </cell>
          <cell r="L510" t="str">
            <v>D</v>
          </cell>
          <cell r="M510" t="str">
            <v>09000221</v>
          </cell>
          <cell r="N510">
            <v>100</v>
          </cell>
          <cell r="O510" t="str">
            <v>KARACHI</v>
          </cell>
          <cell r="P510" t="str">
            <v>House No. 24/A Mohallah Kabir Street Urdu Bazar Lahore</v>
          </cell>
          <cell r="Q510" t="str">
            <v>11000003</v>
          </cell>
          <cell r="R510" t="str">
            <v>TOYOTA YARIS ATIV X CVT</v>
          </cell>
          <cell r="S510" t="str">
            <v>2021</v>
          </cell>
          <cell r="T510" t="str">
            <v>ACS-145</v>
          </cell>
          <cell r="U510" t="str">
            <v>2A16587</v>
          </cell>
          <cell r="V510" t="str">
            <v>R-9506716</v>
          </cell>
          <cell r="W510" t="str">
            <v>05-mar-2026</v>
          </cell>
          <cell r="Y510">
            <v>2244750</v>
          </cell>
          <cell r="Z510">
            <v>48378</v>
          </cell>
          <cell r="AA510">
            <v>56119</v>
          </cell>
        </row>
        <row r="511">
          <cell r="B511" t="str">
            <v>KHI/HO/D/MO/PC COMP/C/107407/179/02/2025</v>
          </cell>
          <cell r="D511" t="str">
            <v>REN</v>
          </cell>
          <cell r="E511" t="str">
            <v>17/02/25</v>
          </cell>
          <cell r="F511" t="str">
            <v>26/02/2025</v>
          </cell>
          <cell r="G511" t="str">
            <v>25/02/2026</v>
          </cell>
          <cell r="H511" t="str">
            <v>08004499</v>
          </cell>
          <cell r="I511" t="str">
            <v>AL BARAKA BANK (PAKISTAN) LIMITED</v>
          </cell>
          <cell r="J511" t="str">
            <v>BANK</v>
          </cell>
          <cell r="K511" t="str">
            <v xml:space="preserve">
HPA M/s. Al Baraka Bank (Pakistan) Limited 
Hpa M/S. Al Baraka Bank (Pakistan) Limited 
User: Numan   Nasir</v>
          </cell>
          <cell r="L511" t="str">
            <v>D</v>
          </cell>
          <cell r="M511" t="str">
            <v>09000221</v>
          </cell>
          <cell r="N511">
            <v>100</v>
          </cell>
          <cell r="P511" t="str">
            <v>House No. 183 Block D-1 China Scheme Gujjar Pura Lahore</v>
          </cell>
          <cell r="Q511" t="str">
            <v>11000003</v>
          </cell>
          <cell r="R511" t="str">
            <v>SUZUKI WAGON-R VXL E2</v>
          </cell>
          <cell r="S511" t="str">
            <v>2018</v>
          </cell>
          <cell r="T511" t="str">
            <v>LEB-18-599</v>
          </cell>
          <cell r="U511" t="str">
            <v>152309</v>
          </cell>
          <cell r="V511" t="str">
            <v>10052293</v>
          </cell>
          <cell r="W511" t="str">
            <v>05-mar-2026</v>
          </cell>
          <cell r="Y511">
            <v>1170000</v>
          </cell>
          <cell r="Z511">
            <v>25216</v>
          </cell>
          <cell r="AA511">
            <v>29250</v>
          </cell>
        </row>
        <row r="512">
          <cell r="B512" t="str">
            <v>KHI/HO/D/MO/PC COMP/C/107407/180/02/2025</v>
          </cell>
          <cell r="D512" t="str">
            <v>REN</v>
          </cell>
          <cell r="E512" t="str">
            <v>17/02/25</v>
          </cell>
          <cell r="F512" t="str">
            <v>26/02/2025</v>
          </cell>
          <cell r="G512" t="str">
            <v>25/02/2026</v>
          </cell>
          <cell r="H512" t="str">
            <v>08004499</v>
          </cell>
          <cell r="I512" t="str">
            <v>AL BARAKA BANK (PAKISTAN) LIMITED</v>
          </cell>
          <cell r="J512" t="str">
            <v>BANK</v>
          </cell>
          <cell r="K512" t="str">
            <v xml:space="preserve">
HPA M/s. Al Baraka Bank (Pakistan) Limited 
Hpa M/S. Al Baraka Bank (Pakistan) Limited 
User: Muhammad Mateen Ul Hassan</v>
          </cell>
          <cell r="L512" t="str">
            <v>D</v>
          </cell>
          <cell r="M512" t="str">
            <v>09000221</v>
          </cell>
          <cell r="N512">
            <v>100</v>
          </cell>
          <cell r="O512" t="str">
            <v>KARACHI</v>
          </cell>
          <cell r="P512" t="str">
            <v>P-148 Street 01 Zulfiqar Colony Waris Pura Faisalabad</v>
          </cell>
          <cell r="Q512" t="str">
            <v>11000003</v>
          </cell>
          <cell r="R512" t="str">
            <v>HONDA CIVIC VTI  ORIEL PT</v>
          </cell>
          <cell r="S512" t="str">
            <v>2018</v>
          </cell>
          <cell r="T512" t="str">
            <v>AHE-958</v>
          </cell>
          <cell r="U512" t="str">
            <v>R18Z12929908</v>
          </cell>
          <cell r="V512" t="str">
            <v>NFBFC6661JR033337</v>
          </cell>
          <cell r="W512" t="str">
            <v>05-mar-2026</v>
          </cell>
          <cell r="Y512">
            <v>2793750</v>
          </cell>
          <cell r="Z512">
            <v>36126</v>
          </cell>
          <cell r="AA512">
            <v>41906</v>
          </cell>
        </row>
        <row r="513">
          <cell r="B513" t="str">
            <v>KHI/HO/D/MO/PC COMP/C/107407/181/02/2025</v>
          </cell>
          <cell r="D513" t="str">
            <v>REN</v>
          </cell>
          <cell r="E513" t="str">
            <v>17/02/25</v>
          </cell>
          <cell r="F513" t="str">
            <v>26/02/2025</v>
          </cell>
          <cell r="G513" t="str">
            <v>25/02/2026</v>
          </cell>
          <cell r="H513" t="str">
            <v>08004499</v>
          </cell>
          <cell r="I513" t="str">
            <v>AL BARAKA BANK (PAKISTAN) LIMITED</v>
          </cell>
          <cell r="J513" t="str">
            <v>BANK</v>
          </cell>
          <cell r="K513" t="str">
            <v xml:space="preserve">
HPA M/s. Al Baraka Bank (Pakistan) Limited 
Hpa M/S. Al Baraka Bank (Pakistan) Limited 
User: Shahrukh   Sheikh</v>
          </cell>
          <cell r="L513" t="str">
            <v>D</v>
          </cell>
          <cell r="M513" t="str">
            <v>09000221</v>
          </cell>
          <cell r="N513">
            <v>100</v>
          </cell>
          <cell r="O513" t="str">
            <v>KARACHI</v>
          </cell>
          <cell r="P513" t="str">
            <v>65 Atta Turk Block New Garden Town Lahore</v>
          </cell>
          <cell r="Q513" t="str">
            <v>11000003</v>
          </cell>
          <cell r="R513" t="str">
            <v>HONDA CIVIC VTI  ORIEL PT</v>
          </cell>
          <cell r="S513" t="str">
            <v>2017</v>
          </cell>
          <cell r="T513" t="str">
            <v>LEA-17A-879</v>
          </cell>
          <cell r="U513" t="str">
            <v>Z12919298</v>
          </cell>
          <cell r="V513" t="str">
            <v>HR022689</v>
          </cell>
          <cell r="W513" t="str">
            <v>05-mar-2026</v>
          </cell>
          <cell r="Y513">
            <v>2475000</v>
          </cell>
          <cell r="Z513">
            <v>53341</v>
          </cell>
          <cell r="AA513">
            <v>61875</v>
          </cell>
        </row>
        <row r="514">
          <cell r="B514" t="str">
            <v>KHI/HO/D/MO/PC COMP/C/107407/182/02/2025</v>
          </cell>
          <cell r="D514" t="str">
            <v>REN</v>
          </cell>
          <cell r="E514" t="str">
            <v>17/02/25</v>
          </cell>
          <cell r="F514" t="str">
            <v>26/02/2025</v>
          </cell>
          <cell r="G514" t="str">
            <v>25/02/2026</v>
          </cell>
          <cell r="H514" t="str">
            <v>08004499</v>
          </cell>
          <cell r="I514" t="str">
            <v>AL BARAKA BANK (PAKISTAN) LIMITED</v>
          </cell>
          <cell r="J514" t="str">
            <v>BANK</v>
          </cell>
          <cell r="K514" t="str">
            <v xml:space="preserve">
HPA M/s. Al Baraka Bank (Pakistan) Limited 
Hpa M/S. Al Baraka Bank (Pakistan) Limited 
User: Farrukh   Bilal</v>
          </cell>
          <cell r="L514" t="str">
            <v>D</v>
          </cell>
          <cell r="M514" t="str">
            <v>09000221</v>
          </cell>
          <cell r="N514">
            <v>100</v>
          </cell>
          <cell r="O514" t="str">
            <v>KARACHI</v>
          </cell>
          <cell r="P514" t="str">
            <v>56 Liaquat Park Marbel Market Lahore</v>
          </cell>
          <cell r="Q514" t="str">
            <v>11000003</v>
          </cell>
          <cell r="R514" t="str">
            <v>HONDA BRV I-VTEC S STD</v>
          </cell>
          <cell r="S514" t="str">
            <v>2017</v>
          </cell>
          <cell r="T514" t="str">
            <v>LED-18-798</v>
          </cell>
          <cell r="U514" t="str">
            <v>Z13501378</v>
          </cell>
          <cell r="V514" t="str">
            <v>HR001278</v>
          </cell>
          <cell r="W514" t="str">
            <v>05-mar-2026</v>
          </cell>
          <cell r="Y514">
            <v>2043750</v>
          </cell>
          <cell r="Z514">
            <v>44047</v>
          </cell>
          <cell r="AA514">
            <v>51094</v>
          </cell>
        </row>
        <row r="515">
          <cell r="B515" t="str">
            <v>KHI/HO/D/MO/PC COMP/C/107407/183/02/2025</v>
          </cell>
          <cell r="D515" t="str">
            <v>REN</v>
          </cell>
          <cell r="E515" t="str">
            <v>17/02/25</v>
          </cell>
          <cell r="F515" t="str">
            <v>26/02/2025</v>
          </cell>
          <cell r="G515" t="str">
            <v>25/02/2026</v>
          </cell>
          <cell r="H515" t="str">
            <v>08004499</v>
          </cell>
          <cell r="I515" t="str">
            <v>AL BARAKA BANK (PAKISTAN) LIMITED</v>
          </cell>
          <cell r="J515" t="str">
            <v>BANK</v>
          </cell>
          <cell r="K515" t="str">
            <v xml:space="preserve">
HPA M/s. Al Baraka Bank (Pakistan) Limited 
Hpa M/S. Al Baraka Bank (Pakistan) Limited 
User: Asim Sadiq Sheikh</v>
          </cell>
          <cell r="L515" t="str">
            <v>D</v>
          </cell>
          <cell r="M515" t="str">
            <v>09000221</v>
          </cell>
          <cell r="N515">
            <v>100</v>
          </cell>
          <cell r="O515" t="str">
            <v>KARACHI</v>
          </cell>
          <cell r="P515" t="str">
            <v>Street 2 Kehkashan Street  Near Naka Chowk New Canal Road  Gasht Colony Multan</v>
          </cell>
          <cell r="Q515" t="str">
            <v>11000003</v>
          </cell>
          <cell r="R515" t="str">
            <v>TOYOTA VITZ</v>
          </cell>
          <cell r="S515" t="str">
            <v>2017</v>
          </cell>
          <cell r="T515" t="str">
            <v>ACB-147</v>
          </cell>
          <cell r="U515" t="str">
            <v>18178431KR</v>
          </cell>
          <cell r="V515" t="str">
            <v>2203349</v>
          </cell>
          <cell r="W515" t="str">
            <v>05-mar-2026</v>
          </cell>
          <cell r="Y515">
            <v>1912500</v>
          </cell>
          <cell r="Z515">
            <v>41218</v>
          </cell>
          <cell r="AA515">
            <v>47813</v>
          </cell>
        </row>
        <row r="516">
          <cell r="B516" t="str">
            <v>KHI/HO/D/MO/PC COMP/C/107407/184/02/2025</v>
          </cell>
          <cell r="D516" t="str">
            <v>REN</v>
          </cell>
          <cell r="E516" t="str">
            <v>17/02/25</v>
          </cell>
          <cell r="F516" t="str">
            <v>09/02/2025</v>
          </cell>
          <cell r="G516" t="str">
            <v>08/02/2026</v>
          </cell>
          <cell r="H516" t="str">
            <v>08004499</v>
          </cell>
          <cell r="I516" t="str">
            <v>AL BARAKA BANK (PAKISTAN) LIMITED</v>
          </cell>
          <cell r="J516" t="str">
            <v>BANK</v>
          </cell>
          <cell r="K516" t="str">
            <v xml:space="preserve">
HPA M/s. Al Baraka Bank (Pakistan) Limited 
Hpa M/S. Al Baraka Bank (Pakistan) Limited 
User: Mahmood  Ahmad</v>
          </cell>
          <cell r="L516" t="str">
            <v>D</v>
          </cell>
          <cell r="M516" t="str">
            <v>09000221</v>
          </cell>
          <cell r="N516">
            <v>100</v>
          </cell>
          <cell r="P516" t="str">
            <v>House No. 57 Street 5 Sector E-11/1 Islamabad</v>
          </cell>
          <cell r="Q516" t="str">
            <v>11000003</v>
          </cell>
          <cell r="R516" t="str">
            <v>SUZUKI BOLAN STD VX EURO</v>
          </cell>
          <cell r="S516" t="str">
            <v>2021</v>
          </cell>
          <cell r="T516" t="str">
            <v>ASU-920</v>
          </cell>
          <cell r="U516" t="str">
            <v>1009049</v>
          </cell>
          <cell r="V516" t="str">
            <v>01125555</v>
          </cell>
          <cell r="W516" t="str">
            <v>05-feb-2026</v>
          </cell>
          <cell r="Y516">
            <v>850500</v>
          </cell>
          <cell r="Z516">
            <v>18330</v>
          </cell>
          <cell r="AA516">
            <v>21263</v>
          </cell>
        </row>
        <row r="517">
          <cell r="B517" t="str">
            <v>KHI/HO/D/MO/PC COMP/C/107407/185/02/2025</v>
          </cell>
          <cell r="D517" t="str">
            <v>REN</v>
          </cell>
          <cell r="E517" t="str">
            <v>17/02/25</v>
          </cell>
          <cell r="F517" t="str">
            <v>26/02/2025</v>
          </cell>
          <cell r="G517" t="str">
            <v>25/02/2026</v>
          </cell>
          <cell r="H517" t="str">
            <v>08004499</v>
          </cell>
          <cell r="I517" t="str">
            <v>AL BARAKA BANK (PAKISTAN) LIMITED</v>
          </cell>
          <cell r="J517" t="str">
            <v>BANK</v>
          </cell>
          <cell r="K517" t="str">
            <v xml:space="preserve">
HPA M/s. Al Baraka Bank (Pakistan) Limited 
Hpa M/S. Al Baraka Bank (Pakistan) Limited 
User: Muhammad  Bilal</v>
          </cell>
          <cell r="L517" t="str">
            <v>D</v>
          </cell>
          <cell r="M517" t="str">
            <v>09000221</v>
          </cell>
          <cell r="N517">
            <v>100</v>
          </cell>
          <cell r="O517" t="str">
            <v>KARACHI</v>
          </cell>
          <cell r="P517" t="str">
            <v>House No. 155-A Fazal Town Badami Bagh Lahore</v>
          </cell>
          <cell r="Q517" t="str">
            <v>11000003</v>
          </cell>
          <cell r="R517" t="str">
            <v>HONDA CITY I-VTEC (M/T)</v>
          </cell>
          <cell r="S517" t="str">
            <v>2017</v>
          </cell>
          <cell r="T517" t="str">
            <v>LEB-17-6947</v>
          </cell>
          <cell r="U517" t="str">
            <v>L13Z17457633</v>
          </cell>
          <cell r="V517" t="str">
            <v>NFBGM1651HR200222</v>
          </cell>
          <cell r="W517" t="str">
            <v>05-mar-2026</v>
          </cell>
          <cell r="Y517">
            <v>1575000</v>
          </cell>
          <cell r="Z517">
            <v>33944</v>
          </cell>
          <cell r="AA517">
            <v>39375</v>
          </cell>
        </row>
        <row r="518">
          <cell r="B518" t="str">
            <v>KHI/HO/D/MO/PC COMP/C/107407/186/02/2025</v>
          </cell>
          <cell r="D518" t="str">
            <v>REN</v>
          </cell>
          <cell r="E518" t="str">
            <v>17/02/25</v>
          </cell>
          <cell r="F518" t="str">
            <v>26/02/2025</v>
          </cell>
          <cell r="G518" t="str">
            <v>25/02/2026</v>
          </cell>
          <cell r="H518" t="str">
            <v>08004499</v>
          </cell>
          <cell r="I518" t="str">
            <v>AL BARAKA BANK (PAKISTAN) LIMITED</v>
          </cell>
          <cell r="J518" t="str">
            <v>BANK</v>
          </cell>
          <cell r="K518" t="str">
            <v xml:space="preserve">
HPA M/s. Al Baraka Bank (Pakistan) Limited 
Hpa M/S. Al Baraka Bank (Pakistan) Limited 
User: Malik Muhammad Rafiq</v>
          </cell>
          <cell r="L518" t="str">
            <v>D</v>
          </cell>
          <cell r="M518" t="str">
            <v>09000221</v>
          </cell>
          <cell r="N518">
            <v>100</v>
          </cell>
          <cell r="O518" t="str">
            <v>KARACHI</v>
          </cell>
          <cell r="P518" t="str">
            <v>Chah Hakeem Wala PO Jhok Lashkar  Pur Rawah Tehsil Multan Sadar Dist Multan</v>
          </cell>
          <cell r="Q518" t="str">
            <v>11000003</v>
          </cell>
          <cell r="R518" t="str">
            <v>SUZUKI ALTO VXR E-2</v>
          </cell>
          <cell r="S518" t="str">
            <v>2021</v>
          </cell>
          <cell r="T518" t="str">
            <v>ACF-910</v>
          </cell>
          <cell r="U518" t="str">
            <v>6R157890</v>
          </cell>
          <cell r="V518" t="str">
            <v>1057865</v>
          </cell>
          <cell r="W518" t="str">
            <v>05-mar-2026</v>
          </cell>
          <cell r="Y518">
            <v>1074750</v>
          </cell>
          <cell r="Z518">
            <v>23163</v>
          </cell>
          <cell r="AA518">
            <v>26869</v>
          </cell>
        </row>
        <row r="519">
          <cell r="B519" t="str">
            <v>KHI/HO/D/MO/PC COMP/C/107407/187/02/2025</v>
          </cell>
          <cell r="D519" t="str">
            <v>REN</v>
          </cell>
          <cell r="E519" t="str">
            <v>17/02/25</v>
          </cell>
          <cell r="F519" t="str">
            <v>26/02/2025</v>
          </cell>
          <cell r="G519" t="str">
            <v>25/02/2026</v>
          </cell>
          <cell r="H519" t="str">
            <v>08004499</v>
          </cell>
          <cell r="I519" t="str">
            <v>AL BARAKA BANK (PAKISTAN) LIMITED</v>
          </cell>
          <cell r="J519" t="str">
            <v>BANK</v>
          </cell>
          <cell r="K519" t="str">
            <v xml:space="preserve">
HPA M/s. Al Baraka Bank (Pakistan) Limited 
Hpa M/S. Al Baraka Bank (Pakistan) Limited 
User: Mohsin  Shahzad</v>
          </cell>
          <cell r="L519" t="str">
            <v>D</v>
          </cell>
          <cell r="M519" t="str">
            <v>09000221</v>
          </cell>
          <cell r="N519">
            <v>100</v>
          </cell>
          <cell r="P519" t="str">
            <v>Qazi Park Street 7 Shahdra Town Lahore</v>
          </cell>
          <cell r="Q519" t="str">
            <v>11000003</v>
          </cell>
          <cell r="R519" t="str">
            <v>SUZUKI CULTUS VXL AGS</v>
          </cell>
          <cell r="S519" t="str">
            <v>2018</v>
          </cell>
          <cell r="T519" t="str">
            <v>LEE-18-9482</v>
          </cell>
          <cell r="U519" t="str">
            <v>121973</v>
          </cell>
          <cell r="V519" t="str">
            <v>10021913</v>
          </cell>
          <cell r="W519" t="str">
            <v>05-mar-2026</v>
          </cell>
          <cell r="Y519">
            <v>1312500</v>
          </cell>
          <cell r="Z519">
            <v>28287</v>
          </cell>
          <cell r="AA519">
            <v>32813</v>
          </cell>
        </row>
        <row r="520">
          <cell r="B520" t="str">
            <v>KHI/HO/D/MO/PC COMP/C/107407/188/02/2025</v>
          </cell>
          <cell r="D520" t="str">
            <v>REN</v>
          </cell>
          <cell r="E520" t="str">
            <v>17/02/25</v>
          </cell>
          <cell r="F520" t="str">
            <v>26/02/2025</v>
          </cell>
          <cell r="G520" t="str">
            <v>25/02/2026</v>
          </cell>
          <cell r="H520" t="str">
            <v>08004499</v>
          </cell>
          <cell r="I520" t="str">
            <v>AL BARAKA BANK (PAKISTAN) LIMITED</v>
          </cell>
          <cell r="J520" t="str">
            <v>BANK</v>
          </cell>
          <cell r="K520" t="str">
            <v xml:space="preserve">
HPA M/s. Al Baraka Bank (Pakistan) Limited 
Hpa M/S. Al Baraka Bank (Pakistan) Limited 
User: Mustansar  Waseem Abid</v>
          </cell>
          <cell r="L520" t="str">
            <v>D</v>
          </cell>
          <cell r="M520" t="str">
            <v>09000221</v>
          </cell>
          <cell r="N520">
            <v>100</v>
          </cell>
          <cell r="P520" t="str">
            <v>House  M-1246 Mohallah New Ammarpura Rawalpindi</v>
          </cell>
          <cell r="Q520" t="str">
            <v>11000003</v>
          </cell>
          <cell r="R520" t="str">
            <v>SUZUKI ALTO VXL AGS E-2</v>
          </cell>
          <cell r="S520" t="str">
            <v>2021</v>
          </cell>
          <cell r="T520" t="str">
            <v>ATJ-277</v>
          </cell>
          <cell r="U520" t="str">
            <v>156483</v>
          </cell>
          <cell r="V520" t="str">
            <v>1056473</v>
          </cell>
          <cell r="W520" t="str">
            <v>05-mar-2026</v>
          </cell>
          <cell r="Y520">
            <v>1224750</v>
          </cell>
          <cell r="Z520">
            <v>26396</v>
          </cell>
          <cell r="AA520">
            <v>30619</v>
          </cell>
        </row>
        <row r="521">
          <cell r="B521" t="str">
            <v>KHI/HO/D/MO/PC COMP/C/107407/189/02/2025</v>
          </cell>
          <cell r="D521" t="str">
            <v>REN</v>
          </cell>
          <cell r="E521" t="str">
            <v>17/02/25</v>
          </cell>
          <cell r="F521" t="str">
            <v>26/02/2025</v>
          </cell>
          <cell r="G521" t="str">
            <v>25/02/2026</v>
          </cell>
          <cell r="H521" t="str">
            <v>08004499</v>
          </cell>
          <cell r="I521" t="str">
            <v>AL BARAKA BANK (PAKISTAN) LIMITED</v>
          </cell>
          <cell r="J521" t="str">
            <v>BANK</v>
          </cell>
          <cell r="K521" t="str">
            <v xml:space="preserve">
HPA M/s. Al Baraka Bank (Pakistan) Limited 
Hpa M/S. Al Baraka Bank (Pakistan) Limited 
User: Sabaz Ali Khan</v>
          </cell>
          <cell r="L521" t="str">
            <v>D</v>
          </cell>
          <cell r="M521" t="str">
            <v>09000221</v>
          </cell>
          <cell r="N521">
            <v>100</v>
          </cell>
          <cell r="P521" t="str">
            <v>House No. DN-102- Sector 4-A Khayaban-e-Sir Syed Rawalpindi</v>
          </cell>
          <cell r="Q521" t="str">
            <v>11000003</v>
          </cell>
          <cell r="R521" t="str">
            <v>SUZUKI SWIFT DLX M/T NAV.</v>
          </cell>
          <cell r="S521" t="str">
            <v>2021</v>
          </cell>
          <cell r="T521" t="str">
            <v>ATC-640</v>
          </cell>
          <cell r="U521" t="str">
            <v>13049930</v>
          </cell>
          <cell r="V521" t="str">
            <v>10049943</v>
          </cell>
          <cell r="W521" t="str">
            <v>05-mar-2026</v>
          </cell>
          <cell r="Y521">
            <v>1522500</v>
          </cell>
          <cell r="Z521">
            <v>32813</v>
          </cell>
          <cell r="AA521">
            <v>38063</v>
          </cell>
        </row>
        <row r="522">
          <cell r="B522" t="str">
            <v>KHI/HO/D/MO/PC COMP/C/107407/190/02/2025</v>
          </cell>
          <cell r="D522" t="str">
            <v>REN</v>
          </cell>
          <cell r="E522" t="str">
            <v>17/02/25</v>
          </cell>
          <cell r="F522" t="str">
            <v>26/02/2025</v>
          </cell>
          <cell r="G522" t="str">
            <v>25/02/2026</v>
          </cell>
          <cell r="H522" t="str">
            <v>08004499</v>
          </cell>
          <cell r="I522" t="str">
            <v>AL BARAKA BANK (PAKISTAN) LIMITED</v>
          </cell>
          <cell r="J522" t="str">
            <v>BANK</v>
          </cell>
          <cell r="K522" t="str">
            <v xml:space="preserve">
HPA M/s. Al Baraka Bank (Pakistan) Limited 
Hpa M/S. Al Baraka Bank (Pakistan) Limited 
User: Muhammad Asif Munir</v>
          </cell>
          <cell r="L522" t="str">
            <v>D</v>
          </cell>
          <cell r="M522" t="str">
            <v>09000221</v>
          </cell>
          <cell r="N522">
            <v>100</v>
          </cell>
          <cell r="P522" t="str">
            <v>House No. 307 Street 11 Ghouri Town Phase 4-B Islamabad</v>
          </cell>
          <cell r="Q522" t="str">
            <v>11000003</v>
          </cell>
          <cell r="R522" t="str">
            <v>SUZUKI ALTO VXL AGS E-2</v>
          </cell>
          <cell r="S522" t="str">
            <v>2021</v>
          </cell>
          <cell r="T522" t="str">
            <v>ATA-756</v>
          </cell>
          <cell r="U522" t="str">
            <v>156431</v>
          </cell>
          <cell r="V522" t="str">
            <v>1056402</v>
          </cell>
          <cell r="W522" t="str">
            <v>05-mar-2026</v>
          </cell>
          <cell r="Y522">
            <v>1224750</v>
          </cell>
          <cell r="Z522">
            <v>26396</v>
          </cell>
          <cell r="AA522">
            <v>30619</v>
          </cell>
        </row>
        <row r="523">
          <cell r="B523" t="str">
            <v>KHI/HO/D/MO/PC COMP/C/107407/191/02/2025</v>
          </cell>
          <cell r="D523" t="str">
            <v>REN</v>
          </cell>
          <cell r="E523" t="str">
            <v>17/02/25</v>
          </cell>
          <cell r="F523" t="str">
            <v>09/02/2025</v>
          </cell>
          <cell r="G523" t="str">
            <v>08/02/2026</v>
          </cell>
          <cell r="H523" t="str">
            <v>08004499</v>
          </cell>
          <cell r="I523" t="str">
            <v>AL BARAKA BANK (PAKISTAN) LIMITED</v>
          </cell>
          <cell r="J523" t="str">
            <v>BANK</v>
          </cell>
          <cell r="K523" t="str">
            <v xml:space="preserve">
HPA M/s. Al Baraka Bank (Pakistan) Limited 
Hpa M/S. Al Baraka Bank (Pakistan) Limited 
User: Muhammad Saeed Khan</v>
          </cell>
          <cell r="L523" t="str">
            <v>D</v>
          </cell>
          <cell r="M523" t="str">
            <v>09000221</v>
          </cell>
          <cell r="N523">
            <v>100</v>
          </cell>
          <cell r="P523" t="str">
            <v>Sector II Street 02 Somarzar Colony Opp Shafqat Model School Rawalpindi</v>
          </cell>
          <cell r="Q523" t="str">
            <v>11000003</v>
          </cell>
          <cell r="R523" t="str">
            <v>SUZUKI CULTUS VXR EURO-II</v>
          </cell>
          <cell r="S523" t="str">
            <v>2021</v>
          </cell>
          <cell r="T523" t="str">
            <v>ASU-205</v>
          </cell>
          <cell r="U523" t="str">
            <v>167853</v>
          </cell>
          <cell r="V523" t="str">
            <v>10067861</v>
          </cell>
          <cell r="W523" t="str">
            <v>05-feb-2026</v>
          </cell>
          <cell r="Y523">
            <v>1335000</v>
          </cell>
          <cell r="Z523">
            <v>28771</v>
          </cell>
          <cell r="AA523">
            <v>33375</v>
          </cell>
        </row>
        <row r="524">
          <cell r="B524" t="str">
            <v>KHI/HO/D/MO/PC COMP/C/107407/192/02/2025</v>
          </cell>
          <cell r="D524" t="str">
            <v>REN</v>
          </cell>
          <cell r="E524" t="str">
            <v>17/02/25</v>
          </cell>
          <cell r="F524" t="str">
            <v>10/02/2025</v>
          </cell>
          <cell r="G524" t="str">
            <v>09/02/2026</v>
          </cell>
          <cell r="H524" t="str">
            <v>08004499</v>
          </cell>
          <cell r="I524" t="str">
            <v>AL BARAKA BANK (PAKISTAN) LIMITED</v>
          </cell>
          <cell r="J524" t="str">
            <v>BANK</v>
          </cell>
          <cell r="K524" t="str">
            <v xml:space="preserve">
HPA M/s. Al Baraka Bank (Pakistan) Limited 
Hpa M/S. Al Baraka Bank (Pakistan) Limited 
User: Abdur  Rehman</v>
          </cell>
          <cell r="L524" t="str">
            <v>D</v>
          </cell>
          <cell r="M524" t="str">
            <v>09000221</v>
          </cell>
          <cell r="N524">
            <v>100</v>
          </cell>
          <cell r="P524" t="str">
            <v>G Floor Noorabad Hostel University of Sialkot Sialkot</v>
          </cell>
          <cell r="Q524" t="str">
            <v>11000003</v>
          </cell>
          <cell r="R524" t="str">
            <v>SUZUKI ALTO VXR E-2</v>
          </cell>
          <cell r="S524" t="str">
            <v>2021</v>
          </cell>
          <cell r="T524" t="str">
            <v>ASX-873</v>
          </cell>
          <cell r="U524" t="str">
            <v>154591</v>
          </cell>
          <cell r="V524" t="str">
            <v>1054441</v>
          </cell>
          <cell r="W524" t="str">
            <v>05-feb-2028</v>
          </cell>
          <cell r="Y524">
            <v>1074750</v>
          </cell>
          <cell r="Z524">
            <v>23163</v>
          </cell>
          <cell r="AA524">
            <v>26869</v>
          </cell>
        </row>
        <row r="525">
          <cell r="B525" t="str">
            <v>KHI/HO/D/MO/PC COMP/C/107407/193/02/2025</v>
          </cell>
          <cell r="D525" t="str">
            <v>REN</v>
          </cell>
          <cell r="E525" t="str">
            <v>17/02/25</v>
          </cell>
          <cell r="F525" t="str">
            <v>10/02/2025</v>
          </cell>
          <cell r="G525" t="str">
            <v>09/02/2026</v>
          </cell>
          <cell r="H525" t="str">
            <v>08004499</v>
          </cell>
          <cell r="I525" t="str">
            <v>AL BARAKA BANK (PAKISTAN) LIMITED</v>
          </cell>
          <cell r="J525" t="str">
            <v>BANK</v>
          </cell>
          <cell r="K525" t="str">
            <v xml:space="preserve">
HPA M/s. Al Baraka Bank (Pakistan) Limited 
Hpa M/S. Al Baraka Bank (Pakistan) Limited 
User:  Mujahid  Mehmood Shahzad</v>
          </cell>
          <cell r="L525" t="str">
            <v>D</v>
          </cell>
          <cell r="M525" t="str">
            <v>09000221</v>
          </cell>
          <cell r="N525">
            <v>100</v>
          </cell>
          <cell r="P525" t="str">
            <v>House No. 282 Defence View Jaranwala</v>
          </cell>
          <cell r="Q525" t="str">
            <v>11000003</v>
          </cell>
          <cell r="R525" t="str">
            <v>SUZUKI ALTO VXR E-2</v>
          </cell>
          <cell r="S525" t="str">
            <v>2021</v>
          </cell>
          <cell r="T525" t="str">
            <v>ABW-927</v>
          </cell>
          <cell r="U525" t="str">
            <v>153550</v>
          </cell>
          <cell r="V525" t="str">
            <v>1053466</v>
          </cell>
          <cell r="W525" t="str">
            <v>05-feb-2028</v>
          </cell>
          <cell r="Y525">
            <v>1074750</v>
          </cell>
          <cell r="Z525">
            <v>23163</v>
          </cell>
          <cell r="AA525">
            <v>26869</v>
          </cell>
        </row>
        <row r="526">
          <cell r="B526" t="str">
            <v>KHI/HO/D/MO/PC COMP/C/107407/194/02/2025</v>
          </cell>
          <cell r="D526" t="str">
            <v>REN</v>
          </cell>
          <cell r="E526" t="str">
            <v>17/02/25</v>
          </cell>
          <cell r="F526" t="str">
            <v>22/02/2025</v>
          </cell>
          <cell r="G526" t="str">
            <v>21/02/2026</v>
          </cell>
          <cell r="H526" t="str">
            <v>08004499</v>
          </cell>
          <cell r="I526" t="str">
            <v>AL BARAKA BANK (PAKISTAN) LIMITED</v>
          </cell>
          <cell r="J526" t="str">
            <v>BANK</v>
          </cell>
          <cell r="K526" t="str">
            <v xml:space="preserve">
HPA M/s. Al Baraka Bank (Pakistan) Limited 
Hpa M/S. Al Baraka Bank (Pakistan) Limited 
User: Ghulam  Mustafa</v>
          </cell>
          <cell r="L526" t="str">
            <v>D</v>
          </cell>
          <cell r="M526" t="str">
            <v>09000221</v>
          </cell>
          <cell r="N526">
            <v>100</v>
          </cell>
          <cell r="O526" t="str">
            <v>KARACHI</v>
          </cell>
          <cell r="P526" t="str">
            <v>House No.21 Street 2 Maqbool Pura Ichra Lahore</v>
          </cell>
          <cell r="Q526" t="str">
            <v>11000003</v>
          </cell>
          <cell r="R526" t="str">
            <v>TOYOTA COROLLA XLI 1.3</v>
          </cell>
          <cell r="S526" t="str">
            <v>2020</v>
          </cell>
          <cell r="T526" t="str">
            <v>LEA-20-7658</v>
          </cell>
          <cell r="U526" t="str">
            <v>Z575130</v>
          </cell>
          <cell r="V526" t="str">
            <v>4200669</v>
          </cell>
          <cell r="W526" t="str">
            <v>05-mar-2027</v>
          </cell>
          <cell r="Y526">
            <v>1857100</v>
          </cell>
          <cell r="Z526">
            <v>48029</v>
          </cell>
          <cell r="AA526">
            <v>55713</v>
          </cell>
        </row>
        <row r="527">
          <cell r="B527" t="str">
            <v>KHI/HO/D/MO/PC COMP/C/107407/195/02/2025</v>
          </cell>
          <cell r="D527" t="str">
            <v>REN</v>
          </cell>
          <cell r="E527" t="str">
            <v>17/02/25</v>
          </cell>
          <cell r="F527" t="str">
            <v>25/02/2025</v>
          </cell>
          <cell r="G527" t="str">
            <v>24/02/2026</v>
          </cell>
          <cell r="H527" t="str">
            <v>08004499</v>
          </cell>
          <cell r="I527" t="str">
            <v>AL BARAKA BANK (PAKISTAN) LIMITED</v>
          </cell>
          <cell r="J527" t="str">
            <v>BANK</v>
          </cell>
          <cell r="K527" t="str">
            <v xml:space="preserve">
HPA M/s. Al Baraka Bank (Pakistan) Limited 
Hpa M/S. Al Baraka Bank (Pakistan) Limited 
User: Muhammad  Asif</v>
          </cell>
          <cell r="L527" t="str">
            <v>D</v>
          </cell>
          <cell r="M527" t="str">
            <v>09000221</v>
          </cell>
          <cell r="N527">
            <v>100</v>
          </cell>
          <cell r="O527" t="str">
            <v>KARACHI</v>
          </cell>
          <cell r="P527" t="str">
            <v>House No. 219 Block F2 Wapda Town Lahore</v>
          </cell>
          <cell r="Q527" t="str">
            <v>11000003</v>
          </cell>
          <cell r="R527" t="str">
            <v>TOYOTA COROLLA GLI M/T 1.</v>
          </cell>
          <cell r="S527" t="str">
            <v>2020</v>
          </cell>
          <cell r="T527" t="str">
            <v>AAQ-054</v>
          </cell>
          <cell r="U527" t="str">
            <v>Z580141</v>
          </cell>
          <cell r="V527" t="str">
            <v>NZE170R-4203605</v>
          </cell>
          <cell r="W527" t="str">
            <v>05-mar-2026</v>
          </cell>
          <cell r="Y527">
            <v>2032100</v>
          </cell>
          <cell r="Z527">
            <v>48175</v>
          </cell>
          <cell r="AA527">
            <v>55883</v>
          </cell>
        </row>
        <row r="528">
          <cell r="B528" t="str">
            <v>KHI/HO/D/MO/PC COMP/C/107407/196/02/2025</v>
          </cell>
          <cell r="D528" t="str">
            <v>REN</v>
          </cell>
          <cell r="E528" t="str">
            <v>17/02/25</v>
          </cell>
          <cell r="F528" t="str">
            <v>28/02/2025</v>
          </cell>
          <cell r="G528" t="str">
            <v>27/02/2026</v>
          </cell>
          <cell r="H528" t="str">
            <v>08004499</v>
          </cell>
          <cell r="I528" t="str">
            <v>AL BARAKA BANK (PAKISTAN) LIMITED</v>
          </cell>
          <cell r="J528" t="str">
            <v>BANK</v>
          </cell>
          <cell r="K528" t="str">
            <v xml:space="preserve">
HPA M/s. Al Baraka Bank (Pakistan) Limited 
Hpa M/S. Al Baraka Bank (Pakistan) Limited 
User: Moazzam  Zaib</v>
          </cell>
          <cell r="L528" t="str">
            <v>D</v>
          </cell>
          <cell r="M528" t="str">
            <v>09000221</v>
          </cell>
          <cell r="N528">
            <v>100</v>
          </cell>
          <cell r="P528" t="str">
            <v>1-C canal Garden Near Shah Kam Chowk Canal Road Lahore</v>
          </cell>
          <cell r="Q528" t="str">
            <v>11000003</v>
          </cell>
          <cell r="R528" t="str">
            <v>SUZUKI WAGON-R VXL E2</v>
          </cell>
          <cell r="S528" t="str">
            <v>2020</v>
          </cell>
          <cell r="T528" t="str">
            <v>LEA-20-9678</v>
          </cell>
          <cell r="U528" t="str">
            <v>202028</v>
          </cell>
          <cell r="V528" t="str">
            <v>10102016</v>
          </cell>
          <cell r="W528" t="str">
            <v>05-mar-2026</v>
          </cell>
          <cell r="Y528">
            <v>1186500</v>
          </cell>
          <cell r="Z528">
            <v>38356</v>
          </cell>
          <cell r="AA528">
            <v>44494</v>
          </cell>
        </row>
        <row r="529">
          <cell r="B529" t="str">
            <v>KHI/HO/D/MO/PC COMP/C/107407/197/02/2025</v>
          </cell>
          <cell r="D529" t="str">
            <v>REN</v>
          </cell>
          <cell r="E529" t="str">
            <v>17/02/25</v>
          </cell>
          <cell r="F529" t="str">
            <v>28/02/2025</v>
          </cell>
          <cell r="G529" t="str">
            <v>27/02/2026</v>
          </cell>
          <cell r="H529" t="str">
            <v>08004499</v>
          </cell>
          <cell r="I529" t="str">
            <v>AL BARAKA BANK (PAKISTAN) LIMITED</v>
          </cell>
          <cell r="J529" t="str">
            <v>BANK</v>
          </cell>
          <cell r="K529" t="str">
            <v xml:space="preserve">
HPA M/s. Al Baraka Bank (Pakistan) Limited 
Hpa M/S. Al Baraka Bank (Pakistan) Limited 
User: Muhammad   Haroon</v>
          </cell>
          <cell r="L529" t="str">
            <v>D</v>
          </cell>
          <cell r="M529" t="str">
            <v>09000221</v>
          </cell>
          <cell r="N529">
            <v>100</v>
          </cell>
          <cell r="O529" t="str">
            <v>KARACHI</v>
          </cell>
          <cell r="P529" t="str">
            <v>House No.  MCB-3/150 Mohallah  Dhoke Bhattian Rawalpindi Road Chakwal</v>
          </cell>
          <cell r="Q529" t="str">
            <v>11000003</v>
          </cell>
          <cell r="R529" t="str">
            <v>DAIHATSU MIRA EIS</v>
          </cell>
          <cell r="S529" t="str">
            <v>2015</v>
          </cell>
          <cell r="T529" t="str">
            <v>AGU-760</v>
          </cell>
          <cell r="U529" t="str">
            <v>G933517</v>
          </cell>
          <cell r="V529" t="str">
            <v>1351046</v>
          </cell>
          <cell r="W529" t="str">
            <v>05-mar-2026</v>
          </cell>
          <cell r="Y529">
            <v>1015000</v>
          </cell>
          <cell r="Z529">
            <v>30625</v>
          </cell>
          <cell r="AA529">
            <v>35525</v>
          </cell>
        </row>
        <row r="530">
          <cell r="B530" t="str">
            <v>KHI/HO/D/MO/PC COMP/C/107407/198/02/2025</v>
          </cell>
          <cell r="D530" t="str">
            <v>REN</v>
          </cell>
          <cell r="E530" t="str">
            <v>17/02/25</v>
          </cell>
          <cell r="F530" t="str">
            <v>28/02/2025</v>
          </cell>
          <cell r="G530" t="str">
            <v>27/02/2026</v>
          </cell>
          <cell r="H530" t="str">
            <v>08004499</v>
          </cell>
          <cell r="I530" t="str">
            <v>AL BARAKA BANK (PAKISTAN) LIMITED</v>
          </cell>
          <cell r="J530" t="str">
            <v>BANK</v>
          </cell>
          <cell r="K530" t="str">
            <v xml:space="preserve">
HPA M/s. Al Baraka Bank (Pakistan) Limited 
Hpa M/S. Al Baraka Bank (Pakistan) Limited 
User: Rana Ahsaan Inayat</v>
          </cell>
          <cell r="L530" t="str">
            <v>D</v>
          </cell>
          <cell r="M530" t="str">
            <v>09000221</v>
          </cell>
          <cell r="N530">
            <v>100</v>
          </cell>
          <cell r="P530" t="str">
            <v>House No.36 Main Bazar Mian Mahmood Road Faisal Park Barkat Town  Stop Shahdra Lahore</v>
          </cell>
          <cell r="Q530" t="str">
            <v>11000003</v>
          </cell>
          <cell r="R530" t="str">
            <v>SUZUKI CULTUS VXL EURO II</v>
          </cell>
          <cell r="S530" t="str">
            <v>2020</v>
          </cell>
          <cell r="T530" t="str">
            <v>LEA-20-8379</v>
          </cell>
          <cell r="U530" t="str">
            <v>157715</v>
          </cell>
          <cell r="V530" t="str">
            <v>10057729</v>
          </cell>
          <cell r="W530" t="str">
            <v>05-mar-2026</v>
          </cell>
          <cell r="Y530">
            <v>1305500</v>
          </cell>
          <cell r="Z530">
            <v>42203</v>
          </cell>
          <cell r="AA530">
            <v>48956</v>
          </cell>
        </row>
        <row r="531">
          <cell r="B531" t="str">
            <v>KHI/HO/D/MO/PC COMP/C/107407/199/02/2025</v>
          </cell>
          <cell r="D531" t="str">
            <v>REN</v>
          </cell>
          <cell r="E531" t="str">
            <v>17/02/25</v>
          </cell>
          <cell r="F531" t="str">
            <v>11/02/2025</v>
          </cell>
          <cell r="G531" t="str">
            <v>10/02/2026</v>
          </cell>
          <cell r="H531" t="str">
            <v>08004499</v>
          </cell>
          <cell r="I531" t="str">
            <v>AL BARAKA BANK (PAKISTAN) LIMITED</v>
          </cell>
          <cell r="J531" t="str">
            <v>BANK</v>
          </cell>
          <cell r="K531" t="str">
            <v xml:space="preserve">
HPA M/s. Al Baraka Bank (Pakistan) Limited 
Hpa M/S. Al Baraka Bank (Pakistan) Limited 
User: Umair Sajid</v>
          </cell>
          <cell r="L531" t="str">
            <v>D</v>
          </cell>
          <cell r="M531" t="str">
            <v>09000221</v>
          </cell>
          <cell r="N531">
            <v>100</v>
          </cell>
          <cell r="O531" t="str">
            <v>KARACHI</v>
          </cell>
          <cell r="P531" t="str">
            <v>St # 3 Abdullah Colony Samundary Road 
Faisalabad.</v>
          </cell>
          <cell r="Q531" t="str">
            <v>11000003</v>
          </cell>
          <cell r="R531" t="str">
            <v>TOYOTA COROLLA GLI</v>
          </cell>
          <cell r="S531" t="str">
            <v>2020</v>
          </cell>
          <cell r="T531" t="str">
            <v>LEE-20-175</v>
          </cell>
          <cell r="U531" t="str">
            <v>Z576059</v>
          </cell>
          <cell r="V531" t="str">
            <v>4201938</v>
          </cell>
          <cell r="W531" t="str">
            <v>05-mar-2026</v>
          </cell>
          <cell r="Y531">
            <v>1962100</v>
          </cell>
          <cell r="Z531">
            <v>63430</v>
          </cell>
          <cell r="AA531">
            <v>73579</v>
          </cell>
        </row>
        <row r="532">
          <cell r="B532" t="str">
            <v>KHI/HO/D/MO/PC COMP/C/107407/200/02/2025</v>
          </cell>
          <cell r="D532" t="str">
            <v>REN</v>
          </cell>
          <cell r="E532" t="str">
            <v>17/02/25</v>
          </cell>
          <cell r="F532" t="str">
            <v>27/02/2025</v>
          </cell>
          <cell r="G532" t="str">
            <v>26/02/2026</v>
          </cell>
          <cell r="H532" t="str">
            <v>08004499</v>
          </cell>
          <cell r="I532" t="str">
            <v>AL BARAKA BANK (PAKISTAN) LIMITED</v>
          </cell>
          <cell r="J532" t="str">
            <v>BANK</v>
          </cell>
          <cell r="K532" t="str">
            <v xml:space="preserve">
HPA M/s. Al Baraka Bank (Pakistan) Limited 
Hpa M/S. Al Baraka Bank (Pakistan) Limited 
User: Muhammad Qurban Saqib</v>
          </cell>
          <cell r="L532" t="str">
            <v>D</v>
          </cell>
          <cell r="M532" t="str">
            <v>09000221</v>
          </cell>
          <cell r="N532">
            <v>100</v>
          </cell>
          <cell r="P532" t="str">
            <v>Mujhaid Road Bank Stop Fazel-e-Haq Colony 17 Km Ferozepur Road Lahore</v>
          </cell>
          <cell r="Q532" t="str">
            <v>11000003</v>
          </cell>
          <cell r="R532" t="str">
            <v>HONDA CITY I-VTEC (M/T)</v>
          </cell>
          <cell r="S532" t="str">
            <v>2019</v>
          </cell>
          <cell r="T532" t="str">
            <v>LEC-19-5993</v>
          </cell>
          <cell r="U532" t="str">
            <v>7527493</v>
          </cell>
          <cell r="V532" t="str">
            <v>KR245283</v>
          </cell>
          <cell r="W532" t="str">
            <v>05-mar-2026</v>
          </cell>
          <cell r="Y532">
            <v>1299350</v>
          </cell>
          <cell r="Z532">
            <v>36964</v>
          </cell>
          <cell r="AA532">
            <v>42879</v>
          </cell>
        </row>
        <row r="533">
          <cell r="B533" t="str">
            <v>KHI/HO/D/MO/PC COMP/C/107407/201/02/2025</v>
          </cell>
          <cell r="D533" t="str">
            <v>REN</v>
          </cell>
          <cell r="E533" t="str">
            <v>17/02/25</v>
          </cell>
          <cell r="F533" t="str">
            <v>27/02/2025</v>
          </cell>
          <cell r="G533" t="str">
            <v>26/02/2026</v>
          </cell>
          <cell r="H533" t="str">
            <v>08004499</v>
          </cell>
          <cell r="I533" t="str">
            <v>AL BARAKA BANK (PAKISTAN) LIMITED</v>
          </cell>
          <cell r="J533" t="str">
            <v>BANK</v>
          </cell>
          <cell r="K533" t="str">
            <v xml:space="preserve">
HPA M/s. Al Baraka Bank (Pakistan) Limited 
Hpa M/S. Al Baraka Bank (Pakistan) Limited 
User: Faisal   Bhatti</v>
          </cell>
          <cell r="L533" t="str">
            <v>D</v>
          </cell>
          <cell r="M533" t="str">
            <v>09000221</v>
          </cell>
          <cell r="N533">
            <v>100</v>
          </cell>
          <cell r="P533" t="str">
            <v>Mohallah Sofia Abad Near Aik Minar Wali Masjid Nain Sukh Lahore</v>
          </cell>
          <cell r="Q533" t="str">
            <v>11000003</v>
          </cell>
          <cell r="R533" t="str">
            <v>SUZUKI BOLAN STV VX EURO</v>
          </cell>
          <cell r="S533" t="str">
            <v>2019</v>
          </cell>
          <cell r="T533" t="str">
            <v>LED-19-1681</v>
          </cell>
          <cell r="U533" t="str">
            <v>993971</v>
          </cell>
          <cell r="V533" t="str">
            <v>01110488</v>
          </cell>
          <cell r="W533" t="str">
            <v>05-mar-2026</v>
          </cell>
          <cell r="Y533">
            <v>555100</v>
          </cell>
          <cell r="Z533">
            <v>17945</v>
          </cell>
          <cell r="AA533">
            <v>20816</v>
          </cell>
        </row>
        <row r="534">
          <cell r="B534" t="str">
            <v>KHI/HO/D/MO/PC COMP/C/107407/202/02/2025</v>
          </cell>
          <cell r="D534" t="str">
            <v>REN</v>
          </cell>
          <cell r="E534" t="str">
            <v>17/02/25</v>
          </cell>
          <cell r="F534" t="str">
            <v>28/02/2025</v>
          </cell>
          <cell r="G534" t="str">
            <v>27/02/2026</v>
          </cell>
          <cell r="H534" t="str">
            <v>08004499</v>
          </cell>
          <cell r="I534" t="str">
            <v>AL BARAKA BANK (PAKISTAN) LIMITED</v>
          </cell>
          <cell r="J534" t="str">
            <v>BANK</v>
          </cell>
          <cell r="K534" t="str">
            <v xml:space="preserve">
HPA M/s. Al Baraka Bank (Pakistan) Limited 
Hpa M/S. Al Baraka Bank (Pakistan) Limited 
User: Muhammad Khalid Khan</v>
          </cell>
          <cell r="L534" t="str">
            <v>D</v>
          </cell>
          <cell r="M534" t="str">
            <v>09000221</v>
          </cell>
          <cell r="N534">
            <v>100</v>
          </cell>
          <cell r="P534" t="str">
            <v>3rd Floor Hill View Appartment House No. 11-A-32 Area KMCHS Karachi</v>
          </cell>
          <cell r="Q534" t="str">
            <v>11000003</v>
          </cell>
          <cell r="R534" t="str">
            <v>TOYOTA COROLLA ALTIS VVT-</v>
          </cell>
          <cell r="S534" t="str">
            <v>2019</v>
          </cell>
          <cell r="T534" t="str">
            <v>BQP-341</v>
          </cell>
          <cell r="U534" t="str">
            <v>59197</v>
          </cell>
          <cell r="V534" t="str">
            <v>6036603</v>
          </cell>
          <cell r="W534" t="str">
            <v>05-mar-2027</v>
          </cell>
          <cell r="Y534">
            <v>2560000</v>
          </cell>
          <cell r="Z534">
            <v>55172</v>
          </cell>
          <cell r="AA534">
            <v>64000</v>
          </cell>
        </row>
        <row r="535">
          <cell r="B535" t="str">
            <v>KHI/HO/D/MO/PC COMP/C/106977/23/02/2025</v>
          </cell>
          <cell r="D535" t="str">
            <v>FRE</v>
          </cell>
          <cell r="E535" t="str">
            <v>18/02/25</v>
          </cell>
          <cell r="F535" t="str">
            <v>18/02/2025</v>
          </cell>
          <cell r="G535" t="str">
            <v>17/02/2026</v>
          </cell>
          <cell r="H535" t="str">
            <v>08004499</v>
          </cell>
          <cell r="I535" t="str">
            <v>AL BARAKA BANK (PAKISTAN) LIMITED</v>
          </cell>
          <cell r="J535" t="str">
            <v>BANK</v>
          </cell>
          <cell r="K535" t="str">
            <v>Mr. 
HPA M/s. Al Baraka Bank (Pakistan) Limited 
Mr. Abu Bakar Azhar 
HPA M/s. Al Baraka Bank (Pakistan) Limited</v>
          </cell>
          <cell r="L535" t="str">
            <v>D</v>
          </cell>
          <cell r="M535" t="str">
            <v>09000221</v>
          </cell>
          <cell r="N535">
            <v>100</v>
          </cell>
          <cell r="P535" t="str">
            <v>Shop 12 Basement A W Plaza Near Awami Trade Center G-9 Markez Islamabad</v>
          </cell>
          <cell r="Q535" t="str">
            <v>11000003</v>
          </cell>
          <cell r="R535" t="str">
            <v>SUZUKI ALTO VXR E-2</v>
          </cell>
          <cell r="S535" t="str">
            <v>2022</v>
          </cell>
          <cell r="T535" t="str">
            <v>AZZ-289</v>
          </cell>
          <cell r="U535" t="str">
            <v>238861</v>
          </cell>
          <cell r="V535" t="str">
            <v>1138876</v>
          </cell>
          <cell r="Y535">
            <v>2350000</v>
          </cell>
          <cell r="Z535">
            <v>40517</v>
          </cell>
          <cell r="AA535">
            <v>47000</v>
          </cell>
        </row>
        <row r="536">
          <cell r="B536" t="str">
            <v>KHI/HO/D/MO/PC COMP/C/106977/24/02/2025</v>
          </cell>
          <cell r="D536" t="str">
            <v>FRE</v>
          </cell>
          <cell r="E536" t="str">
            <v>18/02/25</v>
          </cell>
          <cell r="F536" t="str">
            <v>18/02/2025</v>
          </cell>
          <cell r="G536" t="str">
            <v>17/02/2026</v>
          </cell>
          <cell r="H536" t="str">
            <v>08004499</v>
          </cell>
          <cell r="I536" t="str">
            <v>AL BARAKA BANK (PAKISTAN) LIMITED</v>
          </cell>
          <cell r="J536" t="str">
            <v>BANK</v>
          </cell>
          <cell r="K536" t="str">
            <v>Mr. 
HPA M/s. Al Baraka Bank (Pakistan) Limited 
Mr. Muhammad Gohar
HPA M/s. Al Baraka Bank (Pakistan) Limited</v>
          </cell>
          <cell r="L536" t="str">
            <v>D</v>
          </cell>
          <cell r="M536" t="str">
            <v>09000221</v>
          </cell>
          <cell r="N536">
            <v>100</v>
          </cell>
          <cell r="O536" t="str">
            <v>LAHORE</v>
          </cell>
          <cell r="P536" t="str">
            <v>H # 3 Street 11 Nabi Pura Lahore</v>
          </cell>
          <cell r="Q536" t="str">
            <v>11000003</v>
          </cell>
          <cell r="R536" t="str">
            <v>SUZUKI MEHRAN VXR EURO-II</v>
          </cell>
          <cell r="S536" t="str">
            <v>2017</v>
          </cell>
          <cell r="T536" t="str">
            <v>LEE-17-7453</v>
          </cell>
          <cell r="U536" t="str">
            <v>PKB689219</v>
          </cell>
          <cell r="V536" t="str">
            <v>SB308PK01227732</v>
          </cell>
          <cell r="X536" t="str">
            <v>3</v>
          </cell>
          <cell r="Y536">
            <v>1000000</v>
          </cell>
          <cell r="Z536">
            <v>17242</v>
          </cell>
          <cell r="AA536">
            <v>20000</v>
          </cell>
        </row>
        <row r="537">
          <cell r="B537" t="str">
            <v>KHI/HO/D/MO/PC COMP/C/106977/25/02/2025</v>
          </cell>
          <cell r="D537" t="str">
            <v>FRE</v>
          </cell>
          <cell r="E537" t="str">
            <v>18/02/25</v>
          </cell>
          <cell r="F537" t="str">
            <v>18/02/2025</v>
          </cell>
          <cell r="G537" t="str">
            <v>17/02/2026</v>
          </cell>
          <cell r="H537" t="str">
            <v>08004499</v>
          </cell>
          <cell r="I537" t="str">
            <v>AL BARAKA BANK (PAKISTAN) LIMITED</v>
          </cell>
          <cell r="J537" t="str">
            <v>BANK</v>
          </cell>
          <cell r="K537" t="str">
            <v>Mr. 
HPA M/s. Al Baraka Bank (Pakistan) Limited 
Mr. Muhammad Musa Sheikh
HPA M/s. Al Baraka Bank (Pakistan) Limited</v>
          </cell>
          <cell r="L537" t="str">
            <v>D</v>
          </cell>
          <cell r="M537" t="str">
            <v>09000221</v>
          </cell>
          <cell r="N537">
            <v>100</v>
          </cell>
          <cell r="P537" t="str">
            <v>H # 784 D Block Faisal Town Lahore</v>
          </cell>
          <cell r="Q537" t="str">
            <v>11000003</v>
          </cell>
          <cell r="R537" t="str">
            <v>TOYOTA COROLLA GLI M/T 1.</v>
          </cell>
          <cell r="S537" t="str">
            <v>2018</v>
          </cell>
          <cell r="T537" t="str">
            <v>LEB-18-4462</v>
          </cell>
          <cell r="U537" t="str">
            <v>534337</v>
          </cell>
          <cell r="V537" t="str">
            <v>4160461</v>
          </cell>
          <cell r="X537" t="str">
            <v>3</v>
          </cell>
          <cell r="Y537">
            <v>4000000</v>
          </cell>
          <cell r="Z537">
            <v>51724</v>
          </cell>
          <cell r="AA537">
            <v>60000</v>
          </cell>
        </row>
        <row r="538">
          <cell r="B538" t="str">
            <v>KHI/HO/D/MO/PC COMP/C/106977/26/02/2025</v>
          </cell>
          <cell r="D538" t="str">
            <v>FRE</v>
          </cell>
          <cell r="E538" t="str">
            <v>18/02/25</v>
          </cell>
          <cell r="F538" t="str">
            <v>18/02/2025</v>
          </cell>
          <cell r="G538" t="str">
            <v>17/02/2026</v>
          </cell>
          <cell r="H538" t="str">
            <v>08004499</v>
          </cell>
          <cell r="I538" t="str">
            <v>AL BARAKA BANK (PAKISTAN) LIMITED</v>
          </cell>
          <cell r="J538" t="str">
            <v>BANK</v>
          </cell>
          <cell r="K538" t="str">
            <v>Mr. 
HPA M/s. Al Baraka Bank (Pakistan) Limited 
Mr. Ali Raza 
HPA M/s. Al Baraka Bank (Pakistan) Limited</v>
          </cell>
          <cell r="L538" t="str">
            <v>D</v>
          </cell>
          <cell r="M538" t="str">
            <v>09000221</v>
          </cell>
          <cell r="N538">
            <v>100</v>
          </cell>
          <cell r="O538" t="str">
            <v>LAHORE</v>
          </cell>
          <cell r="P538" t="str">
            <v>H # 194 Q Block EX Air Avenue DHA Phase 8 Lahore</v>
          </cell>
          <cell r="Q538" t="str">
            <v>11000003</v>
          </cell>
          <cell r="R538" t="str">
            <v>SUZUKI ALTO VXL AGS E-2</v>
          </cell>
          <cell r="S538" t="str">
            <v>2025</v>
          </cell>
          <cell r="U538" t="str">
            <v>R340852</v>
          </cell>
          <cell r="V538" t="str">
            <v>H1240675</v>
          </cell>
          <cell r="X538" t="str">
            <v>3</v>
          </cell>
          <cell r="Y538">
            <v>3045000</v>
          </cell>
          <cell r="Z538">
            <v>52500</v>
          </cell>
          <cell r="AA538">
            <v>60900</v>
          </cell>
        </row>
        <row r="539">
          <cell r="B539" t="str">
            <v>KHI/HO/D/MO/PC COMP/C/106977/27/02/2025</v>
          </cell>
          <cell r="D539" t="str">
            <v>FRE</v>
          </cell>
          <cell r="E539" t="str">
            <v>18/02/25</v>
          </cell>
          <cell r="F539" t="str">
            <v>18/02/2025</v>
          </cell>
          <cell r="G539" t="str">
            <v>17/02/2026</v>
          </cell>
          <cell r="H539" t="str">
            <v>08004499</v>
          </cell>
          <cell r="I539" t="str">
            <v>AL BARAKA BANK (PAKISTAN) LIMITED</v>
          </cell>
          <cell r="J539" t="str">
            <v>BANK</v>
          </cell>
          <cell r="K539" t="str">
            <v>Mr. 
HPA M/s. Al Baraka Bank (Pakistan) Limited 
Mr. Usman Alam  
HPA M/s. Al Baraka Bank (Pakistan) Limited</v>
          </cell>
          <cell r="L539" t="str">
            <v>D</v>
          </cell>
          <cell r="M539" t="str">
            <v>09000221</v>
          </cell>
          <cell r="N539">
            <v>100</v>
          </cell>
          <cell r="O539" t="str">
            <v>LAHORE</v>
          </cell>
          <cell r="P539" t="str">
            <v>H # 78 B Mohallah Arif Jan Road Lahore</v>
          </cell>
          <cell r="Q539" t="str">
            <v>11000003</v>
          </cell>
          <cell r="R539" t="str">
            <v>HONDA CITY ASPIRE CVT PT</v>
          </cell>
          <cell r="S539" t="str">
            <v>2025</v>
          </cell>
          <cell r="U539" t="str">
            <v>1017478</v>
          </cell>
          <cell r="V539" t="str">
            <v>SR049269</v>
          </cell>
          <cell r="X539" t="str">
            <v>3</v>
          </cell>
          <cell r="Y539">
            <v>5909000</v>
          </cell>
          <cell r="Z539">
            <v>76410</v>
          </cell>
          <cell r="AA539">
            <v>88635</v>
          </cell>
        </row>
        <row r="540">
          <cell r="B540" t="str">
            <v>KHI/HO/D/MO/CV/C/107454/1/02/2025</v>
          </cell>
          <cell r="D540" t="str">
            <v>REN</v>
          </cell>
          <cell r="E540" t="str">
            <v>18/02/25</v>
          </cell>
          <cell r="F540" t="str">
            <v>16/02/2025</v>
          </cell>
          <cell r="G540" t="str">
            <v>15/02/2026</v>
          </cell>
          <cell r="H540" t="str">
            <v>08004499</v>
          </cell>
          <cell r="I540" t="str">
            <v>AL BARAKA BANK (PAKISTAN) LIMITED</v>
          </cell>
          <cell r="J540" t="str">
            <v>BANK</v>
          </cell>
          <cell r="K540" t="str">
            <v>HPA M/s. Al Baraka Bank Pakistan Limited
Mr. Muhammad Shafiq    
HPA M/s. Al Baraka Bank Pakistan Limited</v>
          </cell>
          <cell r="L540" t="str">
            <v>D</v>
          </cell>
          <cell r="M540" t="str">
            <v>09000221</v>
          </cell>
          <cell r="N540">
            <v>100</v>
          </cell>
          <cell r="O540" t="str">
            <v>ISLAMABAD</v>
          </cell>
          <cell r="P540" t="str">
            <v>House No. 9 Street 2 Mohallah Usmania Saal Kharbooza Tarnol Islamabad</v>
          </cell>
          <cell r="Q540" t="str">
            <v>11000003</v>
          </cell>
          <cell r="R540" t="str">
            <v>SUZUKI RAVI VX EURO II</v>
          </cell>
          <cell r="S540" t="str">
            <v>2021</v>
          </cell>
          <cell r="T540" t="str">
            <v>TB-313</v>
          </cell>
          <cell r="U540" t="str">
            <v>367410</v>
          </cell>
          <cell r="V540" t="str">
            <v>472075</v>
          </cell>
          <cell r="X540" t="str">
            <v>3</v>
          </cell>
          <cell r="Y540">
            <v>775500</v>
          </cell>
          <cell r="Z540">
            <v>16283</v>
          </cell>
          <cell r="AA540">
            <v>19388</v>
          </cell>
        </row>
        <row r="541">
          <cell r="B541" t="str">
            <v>KHI/HO/D/MO/CV/C/107454/2/02/2025</v>
          </cell>
          <cell r="D541" t="str">
            <v>REN</v>
          </cell>
          <cell r="E541" t="str">
            <v>18/02/25</v>
          </cell>
          <cell r="F541" t="str">
            <v>21/02/2025</v>
          </cell>
          <cell r="G541" t="str">
            <v>20/02/2026</v>
          </cell>
          <cell r="H541" t="str">
            <v>08004499</v>
          </cell>
          <cell r="I541" t="str">
            <v>AL BARAKA BANK (PAKISTAN) LIMITED</v>
          </cell>
          <cell r="J541" t="str">
            <v>BANK</v>
          </cell>
          <cell r="K541" t="str">
            <v>HPA M/s. Al Baraka Bank Pakistan Limited
Mr. Shiraz Sharif     
HPA M/s. Al Baraka Bank Pakistan Limited</v>
          </cell>
          <cell r="L541" t="str">
            <v>D</v>
          </cell>
          <cell r="M541" t="str">
            <v>09000221</v>
          </cell>
          <cell r="N541">
            <v>100</v>
          </cell>
          <cell r="O541" t="str">
            <v>ISLAMABAD</v>
          </cell>
          <cell r="P541" t="str">
            <v>House No. 10 Main Street  Mohallah Ghousia Kot Hatyal Bhara Kahu Islamabad</v>
          </cell>
          <cell r="Q541" t="str">
            <v>11000003</v>
          </cell>
          <cell r="R541" t="str">
            <v>SUZUKI RAVI VX EURO II</v>
          </cell>
          <cell r="S541" t="str">
            <v>2021</v>
          </cell>
          <cell r="T541" t="str">
            <v>TB-106</v>
          </cell>
          <cell r="U541" t="str">
            <v>367941</v>
          </cell>
          <cell r="V541" t="str">
            <v>472572</v>
          </cell>
          <cell r="X541" t="str">
            <v>3</v>
          </cell>
          <cell r="Y541">
            <v>775500</v>
          </cell>
          <cell r="Z541">
            <v>16714</v>
          </cell>
          <cell r="AA541">
            <v>19388</v>
          </cell>
        </row>
        <row r="542">
          <cell r="B542" t="str">
            <v>KHI/HO/D/MO/CV/C/107454/3/02/2025</v>
          </cell>
          <cell r="D542" t="str">
            <v>REN</v>
          </cell>
          <cell r="E542" t="str">
            <v>18/02/25</v>
          </cell>
          <cell r="F542" t="str">
            <v>22/02/2025</v>
          </cell>
          <cell r="G542" t="str">
            <v>21/02/2026</v>
          </cell>
          <cell r="H542" t="str">
            <v>08004499</v>
          </cell>
          <cell r="I542" t="str">
            <v>AL BARAKA BANK (PAKISTAN) LIMITED</v>
          </cell>
          <cell r="J542" t="str">
            <v>BANK</v>
          </cell>
          <cell r="K542" t="str">
            <v>HPA M/s. Al Baraka Bank Pakistan Limited
Mr. Muzafar Khan       
HPA M/s. Al Baraka Bank Pakistan Limited</v>
          </cell>
          <cell r="L542" t="str">
            <v>D</v>
          </cell>
          <cell r="M542" t="str">
            <v>09000221</v>
          </cell>
          <cell r="N542">
            <v>100</v>
          </cell>
          <cell r="O542" t="str">
            <v>RAWALPINDI</v>
          </cell>
          <cell r="P542" t="str">
            <v>Bahria Town Phase 8 Awami Villas 6 Flat No. 101 A Rawalpindi</v>
          </cell>
          <cell r="Q542" t="str">
            <v>11000003</v>
          </cell>
          <cell r="R542" t="str">
            <v>SUZUKI RAVI VX EURO II</v>
          </cell>
          <cell r="S542" t="str">
            <v>2021</v>
          </cell>
          <cell r="T542" t="str">
            <v>AB-297</v>
          </cell>
          <cell r="U542" t="str">
            <v>367394</v>
          </cell>
          <cell r="V542" t="str">
            <v>472057</v>
          </cell>
          <cell r="Y542">
            <v>775500</v>
          </cell>
          <cell r="Z542">
            <v>16714</v>
          </cell>
          <cell r="AA542">
            <v>19388</v>
          </cell>
        </row>
        <row r="543">
          <cell r="B543" t="str">
            <v>KHI/HO/D/MO/CV/C/107454/4/02/2025</v>
          </cell>
          <cell r="D543" t="str">
            <v>REN</v>
          </cell>
          <cell r="E543" t="str">
            <v>18/02/25</v>
          </cell>
          <cell r="F543" t="str">
            <v>25/02/2025</v>
          </cell>
          <cell r="G543" t="str">
            <v>24/02/2026</v>
          </cell>
          <cell r="H543" t="str">
            <v>08004499</v>
          </cell>
          <cell r="I543" t="str">
            <v>AL BARAKA BANK (PAKISTAN) LIMITED</v>
          </cell>
          <cell r="J543" t="str">
            <v>BANK</v>
          </cell>
          <cell r="K543" t="str">
            <v>HPA M/s. Al Baraka Bank Pakistan Limited
Mr. Muhammad Hassan 
HPA M/s. Al Baraka Bank Pakistan Limited</v>
          </cell>
          <cell r="L543" t="str">
            <v>D</v>
          </cell>
          <cell r="M543" t="str">
            <v>09000221</v>
          </cell>
          <cell r="N543">
            <v>100</v>
          </cell>
          <cell r="O543" t="str">
            <v>ISLAMABAD</v>
          </cell>
          <cell r="P543" t="str">
            <v>Shop 02 Block B B-17 Near Al Bashir Masjid Plaza Sohrab Center Islamabad</v>
          </cell>
          <cell r="Q543" t="str">
            <v>11000003</v>
          </cell>
          <cell r="R543" t="str">
            <v>SUZUKI RAVI VX EURO II</v>
          </cell>
          <cell r="S543" t="str">
            <v>2021</v>
          </cell>
          <cell r="T543" t="str">
            <v>TB-766</v>
          </cell>
          <cell r="U543" t="str">
            <v>367684</v>
          </cell>
          <cell r="V543" t="str">
            <v>472343</v>
          </cell>
          <cell r="X543" t="str">
            <v>3</v>
          </cell>
          <cell r="Y543">
            <v>775500</v>
          </cell>
          <cell r="Z543">
            <v>16714</v>
          </cell>
          <cell r="AA543">
            <v>19388</v>
          </cell>
        </row>
        <row r="544">
          <cell r="B544" t="str">
            <v>KHI/HO/D/MO/CV/C/107453/1/02/2025</v>
          </cell>
          <cell r="D544" t="str">
            <v>REN</v>
          </cell>
          <cell r="E544" t="str">
            <v>18/02/25</v>
          </cell>
          <cell r="F544" t="str">
            <v>26/02/2025</v>
          </cell>
          <cell r="G544" t="str">
            <v>25/02/2026</v>
          </cell>
          <cell r="H544" t="str">
            <v>08004499</v>
          </cell>
          <cell r="I544" t="str">
            <v>AL BARAKA BANK (PAKISTAN) LIMITED</v>
          </cell>
          <cell r="J544" t="str">
            <v>BANK</v>
          </cell>
          <cell r="K544" t="str">
            <v>M/s. Al Baraka Bank (Pakistan) Limited
Mr. SAJJAD WASEEM RAJA
HPA M/s. Al Baraka Bank Pakistan Limited</v>
          </cell>
          <cell r="L544" t="str">
            <v>D</v>
          </cell>
          <cell r="M544" t="str">
            <v>09000221</v>
          </cell>
          <cell r="N544">
            <v>100</v>
          </cell>
          <cell r="P544" t="str">
            <v>House# 516 Block B Near Govt Degree College For Women Satellite Town</v>
          </cell>
          <cell r="Q544" t="str">
            <v>11000003</v>
          </cell>
          <cell r="R544" t="str">
            <v>SUZUKI RAVI PICK UP</v>
          </cell>
          <cell r="S544" t="str">
            <v>2021</v>
          </cell>
          <cell r="T544" t="str">
            <v>TB-284</v>
          </cell>
          <cell r="U544" t="str">
            <v>367401</v>
          </cell>
          <cell r="V544" t="str">
            <v>472407</v>
          </cell>
          <cell r="X544" t="str">
            <v>5</v>
          </cell>
          <cell r="Y544">
            <v>775500</v>
          </cell>
          <cell r="Z544">
            <v>12940</v>
          </cell>
          <cell r="AA544">
            <v>15510</v>
          </cell>
        </row>
        <row r="545">
          <cell r="B545" t="str">
            <v>KHI/HO/D/MO/CV/C/107453/2/02/2025</v>
          </cell>
          <cell r="D545" t="str">
            <v>REN</v>
          </cell>
          <cell r="E545" t="str">
            <v>18/02/25</v>
          </cell>
          <cell r="F545" t="str">
            <v>11/02/2025</v>
          </cell>
          <cell r="G545" t="str">
            <v>10/02/2026</v>
          </cell>
          <cell r="H545" t="str">
            <v>08004499</v>
          </cell>
          <cell r="I545" t="str">
            <v>AL BARAKA BANK (PAKISTAN) LIMITED</v>
          </cell>
          <cell r="J545" t="str">
            <v>BANK</v>
          </cell>
          <cell r="K545" t="str">
            <v>M/s. Al Baraka Bank (Pakistan) Limited
Mr. Muhammad Shahbaz Ahmad
HPA M/S Al Baraka Bank (Pakistan) Limited</v>
          </cell>
          <cell r="L545" t="str">
            <v>D</v>
          </cell>
          <cell r="M545" t="str">
            <v>09000221</v>
          </cell>
          <cell r="N545">
            <v>100</v>
          </cell>
          <cell r="P545" t="str">
            <v>Chak 63 MB Tehsil And Districe Khushab</v>
          </cell>
          <cell r="Q545" t="str">
            <v>11000003</v>
          </cell>
          <cell r="R545" t="str">
            <v>SUZUKI RAVI VX</v>
          </cell>
          <cell r="S545" t="str">
            <v>2022</v>
          </cell>
          <cell r="U545" t="str">
            <v>381124</v>
          </cell>
          <cell r="V545" t="str">
            <v>485768</v>
          </cell>
          <cell r="Y545">
            <v>893600</v>
          </cell>
          <cell r="Z545">
            <v>19258</v>
          </cell>
          <cell r="AA545">
            <v>22340</v>
          </cell>
        </row>
        <row r="546">
          <cell r="B546" t="str">
            <v>KHI/HO/D/MO/CV/C/107453/3/02/2025</v>
          </cell>
          <cell r="D546" t="str">
            <v>REN</v>
          </cell>
          <cell r="E546" t="str">
            <v>18/02/25</v>
          </cell>
          <cell r="F546" t="str">
            <v>16/02/2025</v>
          </cell>
          <cell r="G546" t="str">
            <v>15/02/2026</v>
          </cell>
          <cell r="H546" t="str">
            <v>08004499</v>
          </cell>
          <cell r="I546" t="str">
            <v>AL BARAKA BANK (PAKISTAN) LIMITED</v>
          </cell>
          <cell r="J546" t="str">
            <v>BANK</v>
          </cell>
          <cell r="K546" t="str">
            <v>M/s. Al Baraka Bank (Pakistan) Limited
Mr. Muhammad Waqas Ali    
HPA M/s.  Al Baraka Bank (Pakistan) Limited</v>
          </cell>
          <cell r="L546" t="str">
            <v>D</v>
          </cell>
          <cell r="M546" t="str">
            <v>09000221</v>
          </cell>
          <cell r="N546">
            <v>100</v>
          </cell>
          <cell r="O546" t="str">
            <v>ISLAMABAD</v>
          </cell>
          <cell r="P546" t="str">
            <v>H # F-31 Street 24-B Block F Phase 2 Shaheen Town Islamabad</v>
          </cell>
          <cell r="Q546" t="str">
            <v>11000003</v>
          </cell>
          <cell r="R546" t="str">
            <v>SUZUKI RAVI VX EURO II</v>
          </cell>
          <cell r="S546" t="str">
            <v>2022</v>
          </cell>
          <cell r="T546" t="str">
            <v>TD-409</v>
          </cell>
          <cell r="U546" t="str">
            <v>381381</v>
          </cell>
          <cell r="V546" t="str">
            <v>486038</v>
          </cell>
          <cell r="X546" t="str">
            <v>3</v>
          </cell>
          <cell r="Y546">
            <v>893600</v>
          </cell>
          <cell r="Z546">
            <v>19258</v>
          </cell>
          <cell r="AA546">
            <v>22340</v>
          </cell>
        </row>
        <row r="547">
          <cell r="B547" t="str">
            <v>KHI/HO/D/MO/CV/C/107453/4/02/2025</v>
          </cell>
          <cell r="D547" t="str">
            <v>REN</v>
          </cell>
          <cell r="E547" t="str">
            <v>18/02/25</v>
          </cell>
          <cell r="F547" t="str">
            <v>21/02/2025</v>
          </cell>
          <cell r="G547" t="str">
            <v>20/02/2026</v>
          </cell>
          <cell r="H547" t="str">
            <v>08004499</v>
          </cell>
          <cell r="I547" t="str">
            <v>AL BARAKA BANK (PAKISTAN) LIMITED</v>
          </cell>
          <cell r="J547" t="str">
            <v>BANK</v>
          </cell>
          <cell r="K547" t="str">
            <v>M/s. Al Baraka Bank (Pakistan) Limited
Mr. Muhammad Habib     
HPA M/s.  Al Baraka Bank (Pakistan) Limited</v>
          </cell>
          <cell r="L547" t="str">
            <v>D</v>
          </cell>
          <cell r="M547" t="str">
            <v>09000221</v>
          </cell>
          <cell r="N547">
            <v>100</v>
          </cell>
          <cell r="O547" t="str">
            <v>KARACHI</v>
          </cell>
          <cell r="P547" t="str">
            <v>H # 239 Street 3 Sector 11/1-2 Shah Wali Ullah Nagar Orangi Town Karachi</v>
          </cell>
          <cell r="Q547" t="str">
            <v>11000003</v>
          </cell>
          <cell r="R547" t="str">
            <v>SUZUKI RAVI VX EURO II</v>
          </cell>
          <cell r="S547" t="str">
            <v>2022</v>
          </cell>
          <cell r="T547" t="str">
            <v>LB-1941</v>
          </cell>
          <cell r="U547" t="str">
            <v>377924</v>
          </cell>
          <cell r="V547" t="str">
            <v>482592</v>
          </cell>
          <cell r="X547" t="str">
            <v>3</v>
          </cell>
          <cell r="Y547">
            <v>893600</v>
          </cell>
          <cell r="Z547">
            <v>19258</v>
          </cell>
          <cell r="AA547">
            <v>22340</v>
          </cell>
        </row>
        <row r="548">
          <cell r="B548" t="str">
            <v>KHI/HO/D/MO/CV/C/107453/5/02/2025</v>
          </cell>
          <cell r="D548" t="str">
            <v>REN</v>
          </cell>
          <cell r="E548" t="str">
            <v>18/02/25</v>
          </cell>
          <cell r="F548" t="str">
            <v>22/02/2025</v>
          </cell>
          <cell r="G548" t="str">
            <v>21/02/2026</v>
          </cell>
          <cell r="H548" t="str">
            <v>08004499</v>
          </cell>
          <cell r="I548" t="str">
            <v>AL BARAKA BANK (PAKISTAN) LIMITED</v>
          </cell>
          <cell r="J548" t="str">
            <v>BANK</v>
          </cell>
          <cell r="K548" t="str">
            <v>M/s. Al Baraka Bank (Pakistan) Limited
Mr. Humair Ahmed Nasir    
HPA M/s.  Al Baraka Bank (Pakistan) Limited</v>
          </cell>
          <cell r="L548" t="str">
            <v>D</v>
          </cell>
          <cell r="M548" t="str">
            <v>09000221</v>
          </cell>
          <cell r="N548">
            <v>100</v>
          </cell>
          <cell r="O548" t="str">
            <v>KARACHI</v>
          </cell>
          <cell r="P548" t="str">
            <v>H # L-603 Sector 15-A/2 North Karachi Karachi</v>
          </cell>
          <cell r="Q548" t="str">
            <v>11000003</v>
          </cell>
          <cell r="R548" t="str">
            <v>MASTER FORLAND C-10</v>
          </cell>
          <cell r="S548" t="str">
            <v>2022</v>
          </cell>
          <cell r="T548" t="str">
            <v>LB-2169</v>
          </cell>
          <cell r="U548" t="str">
            <v>09255767</v>
          </cell>
          <cell r="V548" t="str">
            <v>004117</v>
          </cell>
          <cell r="X548" t="str">
            <v>3</v>
          </cell>
          <cell r="Y548">
            <v>1092000</v>
          </cell>
          <cell r="Z548">
            <v>16474</v>
          </cell>
          <cell r="AA548">
            <v>19110</v>
          </cell>
        </row>
        <row r="549">
          <cell r="B549" t="str">
            <v>KHI/HO/D/MO/CV/C/107453/6/02/2025</v>
          </cell>
          <cell r="D549" t="str">
            <v>REN</v>
          </cell>
          <cell r="E549" t="str">
            <v>18/02/25</v>
          </cell>
          <cell r="F549" t="str">
            <v>28/02/2025</v>
          </cell>
          <cell r="G549" t="str">
            <v>27/02/2026</v>
          </cell>
          <cell r="H549" t="str">
            <v>08004499</v>
          </cell>
          <cell r="I549" t="str">
            <v>AL BARAKA BANK (PAKISTAN) LIMITED</v>
          </cell>
          <cell r="J549" t="str">
            <v>BANK</v>
          </cell>
          <cell r="K549" t="str">
            <v>M/s. Al Baraka Bank (Pakistan) Limited
Mr. Muhammad Kamil Raza 
HPA M/S Al Baraka Bank (Pakistan) Limited</v>
          </cell>
          <cell r="L549" t="str">
            <v>D</v>
          </cell>
          <cell r="M549" t="str">
            <v>09000221</v>
          </cell>
          <cell r="N549">
            <v>100</v>
          </cell>
          <cell r="O549" t="str">
            <v>MULTAN</v>
          </cell>
          <cell r="P549" t="str">
            <v>H # 490/12 Street 13 Moh Jan Muhammad Colony Multan</v>
          </cell>
          <cell r="Q549" t="str">
            <v>11000003</v>
          </cell>
          <cell r="R549" t="str">
            <v>SUZUKI RAVI VX EURO II</v>
          </cell>
          <cell r="S549" t="str">
            <v>2022</v>
          </cell>
          <cell r="T549" t="str">
            <v>CAJ-2933</v>
          </cell>
          <cell r="U549" t="str">
            <v>381121</v>
          </cell>
          <cell r="V549" t="str">
            <v>485766</v>
          </cell>
          <cell r="X549" t="str">
            <v>3</v>
          </cell>
          <cell r="Y549">
            <v>893600</v>
          </cell>
          <cell r="Z549">
            <v>19258</v>
          </cell>
          <cell r="AA549">
            <v>22340</v>
          </cell>
        </row>
        <row r="550">
          <cell r="B550" t="str">
            <v>KHI/HO/D/MO/CV/C/107453/7/02/2025</v>
          </cell>
          <cell r="D550" t="str">
            <v>REN</v>
          </cell>
          <cell r="E550" t="str">
            <v>18/02/25</v>
          </cell>
          <cell r="F550" t="str">
            <v>01/03/2025</v>
          </cell>
          <cell r="G550" t="str">
            <v>28/02/2026</v>
          </cell>
          <cell r="H550" t="str">
            <v>08004499</v>
          </cell>
          <cell r="I550" t="str">
            <v>AL BARAKA BANK (PAKISTAN) LIMITED</v>
          </cell>
          <cell r="J550" t="str">
            <v>BANK</v>
          </cell>
          <cell r="K550" t="str">
            <v>M/s. Al Baraka Bank (Pakistan) Limited
Mr. Syed Ghulam Mustafa Sherazi
HPA M/s. Al Baraka Bank (Pakistan) Limited</v>
          </cell>
          <cell r="L550" t="str">
            <v>D</v>
          </cell>
          <cell r="M550" t="str">
            <v>09000221</v>
          </cell>
          <cell r="N550">
            <v>100</v>
          </cell>
          <cell r="P550" t="str">
            <v>Flat No. 8 G/Floor Midcity Square Faisal Town Sector F-18 Islamabad</v>
          </cell>
          <cell r="Q550" t="str">
            <v>11000003</v>
          </cell>
          <cell r="R550" t="str">
            <v>SUZUKI RAVI VX EURO II</v>
          </cell>
          <cell r="S550" t="str">
            <v>2021</v>
          </cell>
          <cell r="T550" t="str">
            <v>TB-176</v>
          </cell>
          <cell r="U550" t="str">
            <v>368162</v>
          </cell>
          <cell r="V550" t="str">
            <v>472852</v>
          </cell>
          <cell r="X550" t="str">
            <v>3</v>
          </cell>
          <cell r="Y550">
            <v>775500</v>
          </cell>
          <cell r="Z550">
            <v>16714</v>
          </cell>
          <cell r="AA550">
            <v>19388</v>
          </cell>
        </row>
        <row r="551">
          <cell r="B551" t="str">
            <v>KHI/HO/D/MO/PC COMP/C/106977/28/02/2025</v>
          </cell>
          <cell r="D551" t="str">
            <v>FRE</v>
          </cell>
          <cell r="E551" t="str">
            <v>19/02/25</v>
          </cell>
          <cell r="F551" t="str">
            <v>19/02/2025</v>
          </cell>
          <cell r="G551" t="str">
            <v>18/02/2026</v>
          </cell>
          <cell r="H551" t="str">
            <v>08004499</v>
          </cell>
          <cell r="I551" t="str">
            <v>AL BARAKA BANK (PAKISTAN) LIMITED</v>
          </cell>
          <cell r="J551" t="str">
            <v>BANK</v>
          </cell>
          <cell r="K551" t="str">
            <v>Mr. 
HPA M/s. Al Baraka Bank (Pakistan) Limited 
Mr. Nadeem Sajjad 
HPA M/s. Al Baraka Bank (Pakistan) Limited</v>
          </cell>
          <cell r="L551" t="str">
            <v>D</v>
          </cell>
          <cell r="M551" t="str">
            <v>09000221</v>
          </cell>
          <cell r="N551">
            <v>100</v>
          </cell>
          <cell r="O551" t="str">
            <v>ISLAMABAD</v>
          </cell>
          <cell r="P551" t="str">
            <v>H No 4 St No 49 Sec G-13 /2 Islamabad</v>
          </cell>
          <cell r="Q551" t="str">
            <v>11000003</v>
          </cell>
          <cell r="R551" t="str">
            <v>HONDA CITY</v>
          </cell>
          <cell r="S551" t="str">
            <v>2019</v>
          </cell>
          <cell r="T551" t="str">
            <v>APK-375</v>
          </cell>
          <cell r="U551" t="str">
            <v>79797178</v>
          </cell>
          <cell r="V551" t="str">
            <v>255879</v>
          </cell>
          <cell r="Y551">
            <v>4200000</v>
          </cell>
          <cell r="Z551">
            <v>54310</v>
          </cell>
          <cell r="AA551">
            <v>63000</v>
          </cell>
        </row>
        <row r="552">
          <cell r="B552" t="str">
            <v>KHI/HO/D/MO/PC COMP/C/106977/29/02/2025</v>
          </cell>
          <cell r="D552" t="str">
            <v>FRE</v>
          </cell>
          <cell r="E552" t="str">
            <v>20/02/25</v>
          </cell>
          <cell r="F552" t="str">
            <v>20/02/2025</v>
          </cell>
          <cell r="G552" t="str">
            <v>19/02/2026</v>
          </cell>
          <cell r="H552" t="str">
            <v>08004499</v>
          </cell>
          <cell r="I552" t="str">
            <v>AL BARAKA BANK (PAKISTAN) LIMITED</v>
          </cell>
          <cell r="J552" t="str">
            <v>BANK</v>
          </cell>
          <cell r="K552" t="str">
            <v>Mr. 
HPA M/s. Al Baraka Bank (Pakistan) Limited 
Mr. Sakhawat Ali 
HPA M/s. Al Baraka Bank (Pakistan) Limited</v>
          </cell>
          <cell r="L552" t="str">
            <v>D</v>
          </cell>
          <cell r="M552" t="str">
            <v>09000221</v>
          </cell>
          <cell r="N552">
            <v>100</v>
          </cell>
          <cell r="O552" t="str">
            <v>FAISALABAD</v>
          </cell>
          <cell r="P552" t="str">
            <v>Mohallah Bismillah Town Manj House Sidhu Pura Faisalabad</v>
          </cell>
          <cell r="Q552" t="str">
            <v>11000003</v>
          </cell>
          <cell r="R552" t="str">
            <v>HONDA CIVIC VTI  ORIEL PT</v>
          </cell>
          <cell r="S552" t="str">
            <v>2021</v>
          </cell>
          <cell r="T552" t="str">
            <v>ADD-317</v>
          </cell>
          <cell r="U552" t="str">
            <v>R18Z16920969</v>
          </cell>
          <cell r="V552" t="str">
            <v>NFBFC6665MR073246</v>
          </cell>
          <cell r="X552" t="str">
            <v>3</v>
          </cell>
          <cell r="Y552">
            <v>6200000</v>
          </cell>
          <cell r="Z552">
            <v>80172</v>
          </cell>
          <cell r="AA552">
            <v>93000</v>
          </cell>
        </row>
        <row r="553">
          <cell r="B553" t="str">
            <v>KHI/HO/D/MO/PC COMP/C/106977/30/02/2025</v>
          </cell>
          <cell r="D553" t="str">
            <v>FRE</v>
          </cell>
          <cell r="E553" t="str">
            <v>21/02/25</v>
          </cell>
          <cell r="F553" t="str">
            <v>21/02/2025</v>
          </cell>
          <cell r="G553" t="str">
            <v>20/02/2026</v>
          </cell>
          <cell r="H553" t="str">
            <v>08004499</v>
          </cell>
          <cell r="I553" t="str">
            <v>AL BARAKA BANK (PAKISTAN) LIMITED</v>
          </cell>
          <cell r="J553" t="str">
            <v>BANK</v>
          </cell>
          <cell r="K553" t="str">
            <v>Mr. 
HPA M/s. Al Baraka Bank (Pakistan) Limited 
Mr. Muhammad Irfan
HPA M/s. Al Baraka Bank (Pakistan) Limited</v>
          </cell>
          <cell r="L553" t="str">
            <v>D</v>
          </cell>
          <cell r="M553" t="str">
            <v>09000221</v>
          </cell>
          <cell r="N553">
            <v>100</v>
          </cell>
          <cell r="P553" t="str">
            <v>Moh Rehmanpura Mandranwala Daska Distr Sialkot</v>
          </cell>
          <cell r="Q553" t="str">
            <v>11000003</v>
          </cell>
          <cell r="R553" t="str">
            <v>TOYOTA COROLLA XLI 1.3</v>
          </cell>
          <cell r="S553" t="str">
            <v>2019</v>
          </cell>
          <cell r="T553" t="str">
            <v>LED-19-8931</v>
          </cell>
          <cell r="U553" t="str">
            <v>Z549145</v>
          </cell>
          <cell r="V553" t="str">
            <v>4174440</v>
          </cell>
          <cell r="X553" t="str">
            <v>3</v>
          </cell>
          <cell r="Y553">
            <v>3500000</v>
          </cell>
          <cell r="Z553">
            <v>45258</v>
          </cell>
          <cell r="AA553">
            <v>52500</v>
          </cell>
        </row>
        <row r="554">
          <cell r="B554" t="str">
            <v>KHI/HO/D/MO/PC COMP/C/106977/31/02/2025</v>
          </cell>
          <cell r="D554" t="str">
            <v>FRE</v>
          </cell>
          <cell r="E554" t="str">
            <v>21/02/25</v>
          </cell>
          <cell r="F554" t="str">
            <v>21/02/2025</v>
          </cell>
          <cell r="G554" t="str">
            <v>20/02/2026</v>
          </cell>
          <cell r="H554" t="str">
            <v>08004499</v>
          </cell>
          <cell r="I554" t="str">
            <v>AL BARAKA BANK (PAKISTAN) LIMITED</v>
          </cell>
          <cell r="J554" t="str">
            <v>BANK</v>
          </cell>
          <cell r="K554" t="str">
            <v>Mr. 
HPA M/s. Al Baraka Bank (Pakistan) Limited 
Mr. Ali Imtiaz
HPA M/s. Al Baraka Bank (Pakistan) Limited</v>
          </cell>
          <cell r="L554" t="str">
            <v>D</v>
          </cell>
          <cell r="M554" t="str">
            <v>09000221</v>
          </cell>
          <cell r="N554">
            <v>100</v>
          </cell>
          <cell r="O554" t="str">
            <v>LAHORE</v>
          </cell>
          <cell r="P554" t="str">
            <v>H No 48 St No 29 DHA Phase 1 Lahore</v>
          </cell>
          <cell r="Q554" t="str">
            <v>11000003</v>
          </cell>
          <cell r="R554" t="str">
            <v>HONDA ACCORD CL9</v>
          </cell>
          <cell r="S554" t="str">
            <v>2013</v>
          </cell>
          <cell r="T554" t="str">
            <v>LEH-15-2525</v>
          </cell>
          <cell r="U554" t="str">
            <v>1020306</v>
          </cell>
          <cell r="V554" t="str">
            <v>CR61010293</v>
          </cell>
          <cell r="Y554">
            <v>7800000</v>
          </cell>
          <cell r="Z554">
            <v>100862</v>
          </cell>
          <cell r="AA554">
            <v>117000</v>
          </cell>
        </row>
        <row r="555">
          <cell r="B555" t="str">
            <v>KHI/HO/D/MO/PC COMP/C/106977/32/02/2025</v>
          </cell>
          <cell r="D555" t="str">
            <v>FRE</v>
          </cell>
          <cell r="E555" t="str">
            <v>24/02/25</v>
          </cell>
          <cell r="F555" t="str">
            <v>24/02/2025</v>
          </cell>
          <cell r="G555" t="str">
            <v>23/02/2026</v>
          </cell>
          <cell r="H555" t="str">
            <v>08004499</v>
          </cell>
          <cell r="I555" t="str">
            <v>AL BARAKA BANK (PAKISTAN) LIMITED</v>
          </cell>
          <cell r="J555" t="str">
            <v>BANK</v>
          </cell>
          <cell r="K555" t="str">
            <v>Mr. 
HPA M/s. Al Baraka Bank (Pakistan) Limited 
Mr. JAMSHAID AKRM
HPA M/s. Al Baraka Bank (Pakistan) Limited</v>
          </cell>
          <cell r="L555" t="str">
            <v>D</v>
          </cell>
          <cell r="M555" t="str">
            <v>09000221</v>
          </cell>
          <cell r="N555">
            <v>100</v>
          </cell>
          <cell r="O555" t="str">
            <v>FAISALABAD</v>
          </cell>
          <cell r="P555" t="str">
            <v>H No 166 A Phase 2 Sitara Gold Faisalabad</v>
          </cell>
          <cell r="Q555" t="str">
            <v>11000003</v>
          </cell>
          <cell r="R555" t="str">
            <v>KIA STONIC EX+</v>
          </cell>
          <cell r="S555" t="str">
            <v>2021</v>
          </cell>
          <cell r="T555" t="str">
            <v>AJF-270</v>
          </cell>
          <cell r="U555" t="str">
            <v>G4LCMS814233</v>
          </cell>
          <cell r="V555" t="str">
            <v>NNAYB54BZMT700069</v>
          </cell>
          <cell r="X555" t="str">
            <v>3</v>
          </cell>
          <cell r="Y555">
            <v>4500000</v>
          </cell>
          <cell r="Z555">
            <v>58190</v>
          </cell>
          <cell r="AA555">
            <v>67500</v>
          </cell>
        </row>
        <row r="556">
          <cell r="B556" t="str">
            <v>KHI/HO/D/MO/PC COMP/C/106977/33/02/2025</v>
          </cell>
          <cell r="D556" t="str">
            <v>FRE</v>
          </cell>
          <cell r="E556" t="str">
            <v>25/02/25</v>
          </cell>
          <cell r="F556" t="str">
            <v>25/02/2025</v>
          </cell>
          <cell r="G556" t="str">
            <v>24/02/2026</v>
          </cell>
          <cell r="H556" t="str">
            <v>08004499</v>
          </cell>
          <cell r="I556" t="str">
            <v>AL BARAKA BANK (PAKISTAN) LIMITED</v>
          </cell>
          <cell r="J556" t="str">
            <v>BANK</v>
          </cell>
          <cell r="K556" t="str">
            <v>Mr. 
HPA M/s. Al Baraka Bank (Pakistan) Limited 
Mr. Tauqeer Haider
HPA M/s. Al Baraka Bank (Pakistan) Limited</v>
          </cell>
          <cell r="L556" t="str">
            <v>D</v>
          </cell>
          <cell r="M556" t="str">
            <v>09000221</v>
          </cell>
          <cell r="N556">
            <v>100</v>
          </cell>
          <cell r="P556" t="str">
            <v>H No 37 Block B Shah Rukn E Alam Colony Multan</v>
          </cell>
          <cell r="Q556" t="str">
            <v>11000003</v>
          </cell>
          <cell r="R556" t="str">
            <v>HONDA CITY 1.2  LS CVT</v>
          </cell>
          <cell r="S556" t="str">
            <v>2025</v>
          </cell>
          <cell r="U556" t="str">
            <v>51031961</v>
          </cell>
          <cell r="V556" t="str">
            <v>SR049488</v>
          </cell>
          <cell r="Y556">
            <v>4719000</v>
          </cell>
          <cell r="Z556">
            <v>61022</v>
          </cell>
          <cell r="AA556">
            <v>70785</v>
          </cell>
        </row>
        <row r="557">
          <cell r="B557" t="str">
            <v>KHI/HO/D/MO/PC COMP/C/106977/34/02/2025</v>
          </cell>
          <cell r="D557" t="str">
            <v>FRE</v>
          </cell>
          <cell r="E557" t="str">
            <v>26/02/25</v>
          </cell>
          <cell r="F557" t="str">
            <v>26/02/2025</v>
          </cell>
          <cell r="G557" t="str">
            <v>25/02/2026</v>
          </cell>
          <cell r="H557" t="str">
            <v>08004499</v>
          </cell>
          <cell r="I557" t="str">
            <v>AL BARAKA BANK (PAKISTAN) LIMITED</v>
          </cell>
          <cell r="J557" t="str">
            <v>BANK</v>
          </cell>
          <cell r="K557" t="str">
            <v>Mr. 
HPA M/s. Al Baraka Bank (Pakistan) Limited 
Mr. Muhammad Shouzab Riaz 
HPA M/s. Al Baraka Bank (Pakistan) Limited</v>
          </cell>
          <cell r="L557" t="str">
            <v>D</v>
          </cell>
          <cell r="M557" t="str">
            <v>09000221</v>
          </cell>
          <cell r="N557">
            <v>100</v>
          </cell>
          <cell r="P557" t="str">
            <v>H # 7-B Canal Burg Society Lahore</v>
          </cell>
          <cell r="Q557" t="str">
            <v>11000003</v>
          </cell>
          <cell r="R557" t="str">
            <v>SUZUKI ALTO VXL AGS E-2</v>
          </cell>
          <cell r="S557" t="str">
            <v>2019</v>
          </cell>
          <cell r="T557" t="str">
            <v>LE-19A-6810</v>
          </cell>
          <cell r="U557" t="str">
            <v>6R105107</v>
          </cell>
          <cell r="V557" t="str">
            <v>1005078</v>
          </cell>
          <cell r="X557" t="str">
            <v>3</v>
          </cell>
          <cell r="Y557">
            <v>2400000</v>
          </cell>
          <cell r="Z557">
            <v>41379</v>
          </cell>
          <cell r="AA557">
            <v>48000</v>
          </cell>
        </row>
        <row r="558">
          <cell r="B558" t="str">
            <v>KHI/HO/D/MO/PC COMP/C/106977/35/02/2025</v>
          </cell>
          <cell r="D558" t="str">
            <v>FRE</v>
          </cell>
          <cell r="E558" t="str">
            <v>26/02/25</v>
          </cell>
          <cell r="F558" t="str">
            <v>26/02/2025</v>
          </cell>
          <cell r="G558" t="str">
            <v>25/02/2026</v>
          </cell>
          <cell r="H558" t="str">
            <v>08004499</v>
          </cell>
          <cell r="I558" t="str">
            <v>AL BARAKA BANK (PAKISTAN) LIMITED</v>
          </cell>
          <cell r="J558" t="str">
            <v>BANK</v>
          </cell>
          <cell r="K558" t="str">
            <v>Mr. 
HPA M/s. Al Baraka Bank (Pakistan) Limited 
Mr. Muhammad Arslan  
HPA M/s. Al Baraka Bank (Pakistan) Limited</v>
          </cell>
          <cell r="L558" t="str">
            <v>D</v>
          </cell>
          <cell r="M558" t="str">
            <v>09000221</v>
          </cell>
          <cell r="N558">
            <v>100</v>
          </cell>
          <cell r="O558" t="str">
            <v>LAHORE</v>
          </cell>
          <cell r="P558" t="str">
            <v>Ghala Ihsan Wala Street Dr Waheed Wali Raiwind Road Lahore</v>
          </cell>
          <cell r="Q558" t="str">
            <v>11000003</v>
          </cell>
          <cell r="R558" t="str">
            <v>HONDA BRV I-VTEC S STD</v>
          </cell>
          <cell r="S558" t="str">
            <v>2020</v>
          </cell>
          <cell r="T558" t="str">
            <v>AAX-528</v>
          </cell>
          <cell r="U558" t="str">
            <v>14802471</v>
          </cell>
          <cell r="V558" t="str">
            <v>19156</v>
          </cell>
          <cell r="X558" t="str">
            <v>3</v>
          </cell>
          <cell r="Y558">
            <v>4000000</v>
          </cell>
          <cell r="Z558">
            <v>51724</v>
          </cell>
          <cell r="AA558">
            <v>60000</v>
          </cell>
        </row>
        <row r="559">
          <cell r="B559" t="str">
            <v>KHI/HO/D/MO/PC COMP/C/106977/36/02/2025</v>
          </cell>
          <cell r="D559" t="str">
            <v>FRE</v>
          </cell>
          <cell r="E559" t="str">
            <v>27/02/25</v>
          </cell>
          <cell r="F559" t="str">
            <v>27/02/2025</v>
          </cell>
          <cell r="G559" t="str">
            <v>26/02/2026</v>
          </cell>
          <cell r="H559" t="str">
            <v>08004499</v>
          </cell>
          <cell r="I559" t="str">
            <v>AL BARAKA BANK (PAKISTAN) LIMITED</v>
          </cell>
          <cell r="J559" t="str">
            <v>BANK</v>
          </cell>
          <cell r="K559" t="str">
            <v>Mr. 
HPA M/s. Al Baraka Bank (Pakistan) Limited 
Mr. Muhammad Iqbal Khan
HPA M/s. Al Baraka Bank (Pakistan) Limited</v>
          </cell>
          <cell r="L559" t="str">
            <v>D</v>
          </cell>
          <cell r="M559" t="str">
            <v>09000221</v>
          </cell>
          <cell r="N559">
            <v>100</v>
          </cell>
          <cell r="O559" t="str">
            <v>KARACHI</v>
          </cell>
          <cell r="P559" t="str">
            <v>H # R-284 Sector Z-6 Gulshan-e-Maymar Karachi</v>
          </cell>
          <cell r="Q559" t="str">
            <v>11000003</v>
          </cell>
          <cell r="R559" t="str">
            <v>KIA PICANTO 1.0L A/T</v>
          </cell>
          <cell r="S559" t="str">
            <v>2022</v>
          </cell>
          <cell r="T559" t="str">
            <v>BVK-520</v>
          </cell>
          <cell r="U559" t="str">
            <v>133143</v>
          </cell>
          <cell r="V559" t="str">
            <v>708858</v>
          </cell>
          <cell r="X559" t="str">
            <v>3</v>
          </cell>
          <cell r="Y559">
            <v>3000000</v>
          </cell>
          <cell r="Z559">
            <v>51724</v>
          </cell>
          <cell r="AA559">
            <v>60000</v>
          </cell>
        </row>
        <row r="560">
          <cell r="B560" t="str">
            <v>KHI/HO/D/MO/PC COMP/C/106977/37/02/2025</v>
          </cell>
          <cell r="D560" t="str">
            <v>FRE</v>
          </cell>
          <cell r="E560" t="str">
            <v>27/02/25</v>
          </cell>
          <cell r="F560" t="str">
            <v>27/02/2025</v>
          </cell>
          <cell r="G560" t="str">
            <v>26/02/2026</v>
          </cell>
          <cell r="H560" t="str">
            <v>08004499</v>
          </cell>
          <cell r="I560" t="str">
            <v>AL BARAKA BANK (PAKISTAN) LIMITED</v>
          </cell>
          <cell r="J560" t="str">
            <v>BANK</v>
          </cell>
          <cell r="K560" t="str">
            <v>Mr. 
HPA M/s. Al Baraka Bank (Pakistan) Limited 
Mr. Rehan Aziz
HPA M/s. Al Baraka Bank (Pakistan) Limited</v>
          </cell>
          <cell r="L560" t="str">
            <v>D</v>
          </cell>
          <cell r="M560" t="str">
            <v>09000221</v>
          </cell>
          <cell r="N560">
            <v>100</v>
          </cell>
          <cell r="O560" t="str">
            <v>LAHORE</v>
          </cell>
          <cell r="P560" t="str">
            <v>H No 479 M Block LDA Avenue 1 Lahore</v>
          </cell>
          <cell r="Q560" t="str">
            <v>11000003</v>
          </cell>
          <cell r="R560" t="str">
            <v>SUZUKI ALTO VXR</v>
          </cell>
          <cell r="S560" t="str">
            <v>2025</v>
          </cell>
          <cell r="U560" t="str">
            <v>337363</v>
          </cell>
          <cell r="V560" t="str">
            <v>1237301</v>
          </cell>
          <cell r="Y560">
            <v>2894000</v>
          </cell>
          <cell r="Z560">
            <v>49897</v>
          </cell>
          <cell r="AA560">
            <v>57880</v>
          </cell>
        </row>
        <row r="561">
          <cell r="B561" t="str">
            <v>KHI/HO/D/MO/PC COMP/C/106977/38/02/2025</v>
          </cell>
          <cell r="D561" t="str">
            <v>FRE</v>
          </cell>
          <cell r="E561" t="str">
            <v>27/02/25</v>
          </cell>
          <cell r="F561" t="str">
            <v>27/02/2025</v>
          </cell>
          <cell r="G561" t="str">
            <v>26/02/2026</v>
          </cell>
          <cell r="H561" t="str">
            <v>08004499</v>
          </cell>
          <cell r="I561" t="str">
            <v>AL BARAKA BANK (PAKISTAN) LIMITED</v>
          </cell>
          <cell r="J561" t="str">
            <v>BANK</v>
          </cell>
          <cell r="K561" t="str">
            <v>Mr. 
HPA M/s. Al Baraka Bank (Pakistan) Limited 
Mr. Muhammad Hanif 
HPA M/s. Al Baraka Bank (Pakistan) Limited</v>
          </cell>
          <cell r="L561" t="str">
            <v>D</v>
          </cell>
          <cell r="M561" t="str">
            <v>09000221</v>
          </cell>
          <cell r="N561">
            <v>100</v>
          </cell>
          <cell r="P561" t="str">
            <v>H # 234/1 Saqib Town Badian Road Lahore</v>
          </cell>
          <cell r="Q561" t="str">
            <v>11000003</v>
          </cell>
          <cell r="R561" t="str">
            <v>TOYOTA COROLLA GLI M/T 1.</v>
          </cell>
          <cell r="S561" t="str">
            <v>2016</v>
          </cell>
          <cell r="T561" t="str">
            <v>LEC-16-4686</v>
          </cell>
          <cell r="U561" t="str">
            <v>149966</v>
          </cell>
          <cell r="V561" t="str">
            <v>4070177</v>
          </cell>
          <cell r="X561" t="str">
            <v>3</v>
          </cell>
          <cell r="Y561">
            <v>2600000</v>
          </cell>
          <cell r="Z561">
            <v>44828</v>
          </cell>
          <cell r="AA561">
            <v>52000</v>
          </cell>
        </row>
        <row r="562">
          <cell r="B562" t="str">
            <v>KHI/HO/D/MO/PC COMP/C/106977/39/02/2025</v>
          </cell>
          <cell r="D562" t="str">
            <v>FRE</v>
          </cell>
          <cell r="E562" t="str">
            <v>27/02/25</v>
          </cell>
          <cell r="F562" t="str">
            <v>27/02/2025</v>
          </cell>
          <cell r="G562" t="str">
            <v>26/02/2026</v>
          </cell>
          <cell r="H562" t="str">
            <v>08004499</v>
          </cell>
          <cell r="I562" t="str">
            <v>AL BARAKA BANK (PAKISTAN) LIMITED</v>
          </cell>
          <cell r="J562" t="str">
            <v>BANK</v>
          </cell>
          <cell r="K562" t="str">
            <v>Mr. 
HPA M/s. Al Baraka Bank (Pakistan) Limited 
Mr. Muhammad Iqbal 
HPA M/s. Al Baraka Bank (Pakistan) Limited</v>
          </cell>
          <cell r="L562" t="str">
            <v>D</v>
          </cell>
          <cell r="M562" t="str">
            <v>09000221</v>
          </cell>
          <cell r="N562">
            <v>100</v>
          </cell>
          <cell r="P562" t="str">
            <v>H # 152 Lane 8 Askari 2 DHA Multan</v>
          </cell>
          <cell r="Q562" t="str">
            <v>11000003</v>
          </cell>
          <cell r="R562" t="str">
            <v>TOYOTA COROLLA ALTIS  1.6</v>
          </cell>
          <cell r="S562" t="str">
            <v>2022</v>
          </cell>
          <cell r="T562" t="str">
            <v>AJT-397</v>
          </cell>
          <cell r="U562" t="str">
            <v>094051</v>
          </cell>
          <cell r="V562" t="str">
            <v>6071517</v>
          </cell>
          <cell r="X562" t="str">
            <v>3</v>
          </cell>
          <cell r="Y562">
            <v>6000000</v>
          </cell>
          <cell r="Z562">
            <v>77586</v>
          </cell>
          <cell r="AA562">
            <v>90000</v>
          </cell>
        </row>
        <row r="563">
          <cell r="B563" t="str">
            <v>KHI/HO/D/MO/PC COMP/C/106977/40/02/2025</v>
          </cell>
          <cell r="D563" t="str">
            <v>FRE</v>
          </cell>
          <cell r="E563" t="str">
            <v>27/02/25</v>
          </cell>
          <cell r="F563" t="str">
            <v>27/02/2025</v>
          </cell>
          <cell r="G563" t="str">
            <v>26/02/2026</v>
          </cell>
          <cell r="H563" t="str">
            <v>08004499</v>
          </cell>
          <cell r="I563" t="str">
            <v>AL BARAKA BANK (PAKISTAN) LIMITED</v>
          </cell>
          <cell r="J563" t="str">
            <v>BANK</v>
          </cell>
          <cell r="K563" t="str">
            <v>Mr. 
HPA M/s. Al Baraka Bank (Pakistan) Limited 
Mr. Umar Tahir  
HPA M/s. Al Baraka Bank (Pakistan) Limited</v>
          </cell>
          <cell r="L563" t="str">
            <v>D</v>
          </cell>
          <cell r="M563" t="str">
            <v>09000221</v>
          </cell>
          <cell r="N563">
            <v>100</v>
          </cell>
          <cell r="O563" t="str">
            <v>LAHORE</v>
          </cell>
          <cell r="P563" t="str">
            <v>H # 138-X Phase 3 DHA Lahore</v>
          </cell>
          <cell r="Q563" t="str">
            <v>11000003</v>
          </cell>
          <cell r="R563" t="str">
            <v>TOYOTA HILUX REVO ROCCO</v>
          </cell>
          <cell r="S563" t="str">
            <v>2017</v>
          </cell>
          <cell r="T563" t="str">
            <v>LED-17-567</v>
          </cell>
          <cell r="U563" t="str">
            <v>U951480</v>
          </cell>
          <cell r="V563" t="str">
            <v>R-0962306</v>
          </cell>
          <cell r="X563" t="str">
            <v>3</v>
          </cell>
          <cell r="Y563">
            <v>8500000</v>
          </cell>
          <cell r="Z563">
            <v>109914</v>
          </cell>
          <cell r="AA563">
            <v>127500</v>
          </cell>
        </row>
        <row r="564">
          <cell r="B564" t="str">
            <v>KHI/HO/D/MO/PC COMP/C/106977/41/02/2025</v>
          </cell>
          <cell r="D564" t="str">
            <v>FRE</v>
          </cell>
          <cell r="E564" t="str">
            <v>27/02/25</v>
          </cell>
          <cell r="F564" t="str">
            <v>27/02/2025</v>
          </cell>
          <cell r="G564" t="str">
            <v>26/02/2026</v>
          </cell>
          <cell r="H564" t="str">
            <v>08004499</v>
          </cell>
          <cell r="I564" t="str">
            <v>AL BARAKA BANK (PAKISTAN) LIMITED</v>
          </cell>
          <cell r="J564" t="str">
            <v>BANK</v>
          </cell>
          <cell r="K564" t="str">
            <v>Mr. 
HPA M/s. Al Baraka Bank (Pakistan) Limited 
Mr. Adnan Ismail 
HPA M/s. Al Baraka Bank (Pakistan) Limited</v>
          </cell>
          <cell r="L564" t="str">
            <v>D</v>
          </cell>
          <cell r="M564" t="str">
            <v>09000221</v>
          </cell>
          <cell r="N564">
            <v>100</v>
          </cell>
          <cell r="O564" t="str">
            <v>MULTAN</v>
          </cell>
          <cell r="P564" t="str">
            <v>H No 603 E Block Wapda Town Ph 1 Multan</v>
          </cell>
          <cell r="Q564" t="str">
            <v>11000003</v>
          </cell>
          <cell r="R564" t="str">
            <v>TOYOTA COROLLA GLI 1.6 A/</v>
          </cell>
          <cell r="S564" t="str">
            <v>2018</v>
          </cell>
          <cell r="T564" t="str">
            <v>AJY-871</v>
          </cell>
          <cell r="U564" t="str">
            <v>Z526375</v>
          </cell>
          <cell r="V564" t="str">
            <v>4152100</v>
          </cell>
          <cell r="Y564">
            <v>4300000</v>
          </cell>
          <cell r="Z564">
            <v>55603</v>
          </cell>
          <cell r="AA564">
            <v>64500</v>
          </cell>
        </row>
        <row r="565">
          <cell r="B565" t="str">
            <v>KHI/HO/D/MO/PC COMP/C/106977/42/02/2025</v>
          </cell>
          <cell r="D565" t="str">
            <v>FRE</v>
          </cell>
          <cell r="E565" t="str">
            <v>27/02/25</v>
          </cell>
          <cell r="F565" t="str">
            <v>27/02/2025</v>
          </cell>
          <cell r="G565" t="str">
            <v>26/02/2026</v>
          </cell>
          <cell r="H565" t="str">
            <v>08004499</v>
          </cell>
          <cell r="I565" t="str">
            <v>AL BARAKA BANK (PAKISTAN) LIMITED</v>
          </cell>
          <cell r="J565" t="str">
            <v>BANK</v>
          </cell>
          <cell r="K565" t="str">
            <v>Mr. 
HPA M/s. Al Baraka Bank (Pakistan) Limited 
Mr. Mian Faiz 
HPA M/s. Al Baraka Bank (Pakistan) Limited</v>
          </cell>
          <cell r="L565" t="str">
            <v>D</v>
          </cell>
          <cell r="M565" t="str">
            <v>09000221</v>
          </cell>
          <cell r="N565">
            <v>100</v>
          </cell>
          <cell r="P565" t="str">
            <v>H # 28-A Mohallah Al Hamd Garden Manawan Lahore</v>
          </cell>
          <cell r="Q565" t="str">
            <v>11000003</v>
          </cell>
          <cell r="R565" t="str">
            <v>HONDA CITY ASPIRE CVT PT</v>
          </cell>
          <cell r="S565" t="str">
            <v>2021</v>
          </cell>
          <cell r="T565" t="str">
            <v>ACW-107</v>
          </cell>
          <cell r="U565" t="str">
            <v>800635</v>
          </cell>
          <cell r="V565" t="str">
            <v>267626</v>
          </cell>
          <cell r="X565" t="str">
            <v>3</v>
          </cell>
          <cell r="Y565">
            <v>4200000</v>
          </cell>
          <cell r="Z565">
            <v>54310</v>
          </cell>
          <cell r="AA565">
            <v>63000</v>
          </cell>
        </row>
        <row r="566">
          <cell r="B566" t="str">
            <v>KHI/HO/D/MO/PC COMP/C/106977/43/02/2025</v>
          </cell>
          <cell r="D566" t="str">
            <v>FRE</v>
          </cell>
          <cell r="E566" t="str">
            <v>27/02/25</v>
          </cell>
          <cell r="F566" t="str">
            <v>27/02/2025</v>
          </cell>
          <cell r="G566" t="str">
            <v>26/02/2026</v>
          </cell>
          <cell r="H566" t="str">
            <v>08004499</v>
          </cell>
          <cell r="I566" t="str">
            <v>AL BARAKA BANK (PAKISTAN) LIMITED</v>
          </cell>
          <cell r="J566" t="str">
            <v>BANK</v>
          </cell>
          <cell r="K566" t="str">
            <v>Mr. 
HPA M/s. Al Baraka Bank (Pakistan) Limited 
Mr. Muhammad Mahboob  
HPA M/s. Al Baraka Bank (Pakistan) Limited</v>
          </cell>
          <cell r="L566" t="str">
            <v>D</v>
          </cell>
          <cell r="M566" t="str">
            <v>09000221</v>
          </cell>
          <cell r="N566">
            <v>100</v>
          </cell>
          <cell r="O566" t="str">
            <v>LAHORE</v>
          </cell>
          <cell r="P566" t="str">
            <v>H # E-654 Moh Mahboob Colony 1 Chungi Ammar Sidhu Lahore</v>
          </cell>
          <cell r="Q566" t="str">
            <v>11000003</v>
          </cell>
          <cell r="R566" t="str">
            <v>HONDA CITY 1.2  LS CVT</v>
          </cell>
          <cell r="S566" t="str">
            <v>2023</v>
          </cell>
          <cell r="T566" t="str">
            <v>ANK-907</v>
          </cell>
          <cell r="U566" t="str">
            <v>B1017284</v>
          </cell>
          <cell r="V566" t="str">
            <v>R030662</v>
          </cell>
          <cell r="X566" t="str">
            <v>3</v>
          </cell>
          <cell r="Y566">
            <v>4500000</v>
          </cell>
          <cell r="Z566">
            <v>58190</v>
          </cell>
          <cell r="AA566">
            <v>67500</v>
          </cell>
        </row>
        <row r="567">
          <cell r="B567" t="str">
            <v>KHI/HO/D/MO/PC COMP/C/106977/44/02/2025</v>
          </cell>
          <cell r="D567" t="str">
            <v>FRE</v>
          </cell>
          <cell r="E567" t="str">
            <v>28/02/25</v>
          </cell>
          <cell r="F567" t="str">
            <v>28/02/2025</v>
          </cell>
          <cell r="G567" t="str">
            <v>27/02/2026</v>
          </cell>
          <cell r="H567" t="str">
            <v>08004499</v>
          </cell>
          <cell r="I567" t="str">
            <v>AL BARAKA BANK (PAKISTAN) LIMITED</v>
          </cell>
          <cell r="J567" t="str">
            <v>BANK</v>
          </cell>
          <cell r="K567" t="str">
            <v>Mr. 
HPA M/s. Al Baraka Bank (Pakistan) Limited 
Mr. Yasir 
HPA M/s. Al Baraka Bank (Pakistan) Limited</v>
          </cell>
          <cell r="L567" t="str">
            <v>D</v>
          </cell>
          <cell r="M567" t="str">
            <v>09000221</v>
          </cell>
          <cell r="N567">
            <v>100</v>
          </cell>
          <cell r="O567" t="str">
            <v>KARACHI</v>
          </cell>
          <cell r="P567" t="str">
            <v>H # A-361 Ground Floor Block 4 Saadi Town Scheme 33 Karachi</v>
          </cell>
          <cell r="Q567" t="str">
            <v>11000003</v>
          </cell>
          <cell r="R567" t="str">
            <v>HONDA BRV I-VTEC S STD</v>
          </cell>
          <cell r="S567" t="str">
            <v>2019</v>
          </cell>
          <cell r="T567" t="str">
            <v>BH-3721</v>
          </cell>
          <cell r="U567" t="str">
            <v>13516046</v>
          </cell>
          <cell r="V567" t="str">
            <v>R016057</v>
          </cell>
          <cell r="X567" t="str">
            <v>3</v>
          </cell>
          <cell r="Y567">
            <v>3900000</v>
          </cell>
          <cell r="Z567">
            <v>50431</v>
          </cell>
          <cell r="AA567">
            <v>58500</v>
          </cell>
        </row>
        <row r="568">
          <cell r="B568" t="str">
            <v>KHI/HO/D/MO/PC COMP/C/106977/45/02/2025</v>
          </cell>
          <cell r="D568" t="str">
            <v>FRE</v>
          </cell>
          <cell r="E568" t="str">
            <v>28/02/25</v>
          </cell>
          <cell r="F568" t="str">
            <v>28/02/2025</v>
          </cell>
          <cell r="G568" t="str">
            <v>27/02/2026</v>
          </cell>
          <cell r="H568" t="str">
            <v>08004499</v>
          </cell>
          <cell r="I568" t="str">
            <v>AL BARAKA BANK (PAKISTAN) LIMITED</v>
          </cell>
          <cell r="J568" t="str">
            <v>BANK</v>
          </cell>
          <cell r="K568" t="str">
            <v>Mr. 
HPA M/s. Al Baraka Bank (Pakistan) Limited 
Mr. Rao Fawad Hussain 
HPA M/s. Al Baraka Bank (Pakistan) Limited</v>
          </cell>
          <cell r="L568" t="str">
            <v>D</v>
          </cell>
          <cell r="M568" t="str">
            <v>09000221</v>
          </cell>
          <cell r="N568">
            <v>100</v>
          </cell>
          <cell r="O568" t="str">
            <v>KARACHI</v>
          </cell>
          <cell r="P568" t="str">
            <v>H # A-33 Bostan-e-Rafi Malir City Karachi</v>
          </cell>
          <cell r="Q568" t="str">
            <v>11000003</v>
          </cell>
          <cell r="R568" t="str">
            <v>SUZUKI ALTO VX EURO II</v>
          </cell>
          <cell r="S568" t="str">
            <v>2025</v>
          </cell>
          <cell r="U568" t="str">
            <v>R339769</v>
          </cell>
          <cell r="V568" t="str">
            <v>1239801</v>
          </cell>
          <cell r="X568" t="str">
            <v>3</v>
          </cell>
          <cell r="Y568">
            <v>2331000</v>
          </cell>
          <cell r="Z568">
            <v>40190</v>
          </cell>
          <cell r="AA568">
            <v>46620</v>
          </cell>
        </row>
        <row r="569">
          <cell r="B569" t="str">
            <v>KHI/HO/D/MO/PC COMP/C/106977/46/02/2025</v>
          </cell>
          <cell r="D569" t="str">
            <v>FRE</v>
          </cell>
          <cell r="E569" t="str">
            <v>28/02/25</v>
          </cell>
          <cell r="F569" t="str">
            <v>28/02/2025</v>
          </cell>
          <cell r="G569" t="str">
            <v>27/02/2026</v>
          </cell>
          <cell r="H569" t="str">
            <v>08004499</v>
          </cell>
          <cell r="I569" t="str">
            <v>AL BARAKA BANK (PAKISTAN) LIMITED</v>
          </cell>
          <cell r="J569" t="str">
            <v>BANK</v>
          </cell>
          <cell r="K569" t="str">
            <v>Mr. 
HPA M/s. Al Baraka Bank (Pakistan) Limited 
Mr. Imran Khan
HPA M/s. Al Baraka Bank (Pakistan) Limited</v>
          </cell>
          <cell r="L569" t="str">
            <v>D</v>
          </cell>
          <cell r="M569" t="str">
            <v>09000221</v>
          </cell>
          <cell r="N569">
            <v>100</v>
          </cell>
          <cell r="P569" t="str">
            <v>H # 155 Block 517 Railway Power Housing Mughal Pura Lahore</v>
          </cell>
          <cell r="Q569" t="str">
            <v>11000003</v>
          </cell>
          <cell r="R569" t="str">
            <v>HONDA CITY 1.5 ASPIRE CVT</v>
          </cell>
          <cell r="S569" t="str">
            <v>2025</v>
          </cell>
          <cell r="U569" t="str">
            <v>1017356</v>
          </cell>
          <cell r="V569" t="str">
            <v>SR048613</v>
          </cell>
          <cell r="X569" t="str">
            <v>3</v>
          </cell>
          <cell r="Y569">
            <v>5879000</v>
          </cell>
          <cell r="Z569">
            <v>76022</v>
          </cell>
          <cell r="AA569">
            <v>88185</v>
          </cell>
        </row>
        <row r="570">
          <cell r="B570" t="str">
            <v>KHI/HO/D/MO/PC COMP/C/106977/47/02/2025</v>
          </cell>
          <cell r="D570" t="str">
            <v>FRE</v>
          </cell>
          <cell r="E570" t="str">
            <v>28/02/25</v>
          </cell>
          <cell r="F570" t="str">
            <v>28/02/2025</v>
          </cell>
          <cell r="G570" t="str">
            <v>27/02/2026</v>
          </cell>
          <cell r="H570" t="str">
            <v>08004499</v>
          </cell>
          <cell r="I570" t="str">
            <v>AL BARAKA BANK (PAKISTAN) LIMITED</v>
          </cell>
          <cell r="J570" t="str">
            <v>BANK</v>
          </cell>
          <cell r="K570" t="str">
            <v>Mr. 
HPA M/s. Al Baraka Bank (Pakistan) Limited 
Mr. Arqam Javed Khan
HPA M/s. Al Baraka Bank (Pakistan) Limited</v>
          </cell>
          <cell r="L570" t="str">
            <v>D</v>
          </cell>
          <cell r="M570" t="str">
            <v>09000221</v>
          </cell>
          <cell r="N570">
            <v>100</v>
          </cell>
          <cell r="O570" t="str">
            <v>KARACHI</v>
          </cell>
          <cell r="P570" t="str">
            <v>H No A206 Block 10 Gulistan e Johar Karachi</v>
          </cell>
          <cell r="Q570" t="str">
            <v>11000003</v>
          </cell>
          <cell r="R570" t="str">
            <v>KIA PICANTO 1.0L A/T</v>
          </cell>
          <cell r="S570" t="str">
            <v>2021</v>
          </cell>
          <cell r="T570" t="str">
            <v>BTZ-489</v>
          </cell>
          <cell r="U570" t="str">
            <v>P050848</v>
          </cell>
          <cell r="V570" t="str">
            <v>706341</v>
          </cell>
          <cell r="Y570">
            <v>2590000</v>
          </cell>
          <cell r="Z570">
            <v>44655</v>
          </cell>
          <cell r="AA570">
            <v>51800</v>
          </cell>
        </row>
        <row r="571">
          <cell r="B571" t="str">
            <v>KHI/HO/D/MO/PC COMP/C/106977/48/02/2025</v>
          </cell>
          <cell r="D571" t="str">
            <v>FRE</v>
          </cell>
          <cell r="E571" t="str">
            <v>28/02/25</v>
          </cell>
          <cell r="F571" t="str">
            <v>28/02/2025</v>
          </cell>
          <cell r="G571" t="str">
            <v>27/02/2026</v>
          </cell>
          <cell r="H571" t="str">
            <v>08004499</v>
          </cell>
          <cell r="I571" t="str">
            <v>AL BARAKA BANK (PAKISTAN) LIMITED</v>
          </cell>
          <cell r="J571" t="str">
            <v>BANK</v>
          </cell>
          <cell r="K571" t="str">
            <v>Mr. 
HPA M/s. Al Baraka Bank (Pakistan) Limited 
Mr. Syed Abdul Qadir Shah  
HPA M/s. Al Baraka Bank (Pakistan) Limited</v>
          </cell>
          <cell r="L571" t="str">
            <v>D</v>
          </cell>
          <cell r="M571" t="str">
            <v>09000221</v>
          </cell>
          <cell r="N571">
            <v>100</v>
          </cell>
          <cell r="P571" t="str">
            <v>H # 90/3 Sector C Askari XI Lahore</v>
          </cell>
          <cell r="Q571" t="str">
            <v>11000003</v>
          </cell>
          <cell r="R571" t="str">
            <v>TOYOTA COROLLA ALTIS CVT</v>
          </cell>
          <cell r="S571" t="str">
            <v>2020</v>
          </cell>
          <cell r="T571" t="str">
            <v>ABE-835</v>
          </cell>
          <cell r="U571" t="str">
            <v>Q346587</v>
          </cell>
          <cell r="V571" t="str">
            <v>R7045777</v>
          </cell>
          <cell r="X571" t="str">
            <v>3</v>
          </cell>
          <cell r="Y571">
            <v>5000000</v>
          </cell>
          <cell r="Z571">
            <v>64655</v>
          </cell>
          <cell r="AA571">
            <v>75000</v>
          </cell>
        </row>
        <row r="572">
          <cell r="B572" t="str">
            <v>KHI/HO/D/MO/PC COMP/C/106977/49/02/2025</v>
          </cell>
          <cell r="D572" t="str">
            <v>FRE</v>
          </cell>
          <cell r="E572" t="str">
            <v>28/02/25</v>
          </cell>
          <cell r="F572" t="str">
            <v>28/02/2025</v>
          </cell>
          <cell r="G572" t="str">
            <v>27/02/2026</v>
          </cell>
          <cell r="H572" t="str">
            <v>08004499</v>
          </cell>
          <cell r="I572" t="str">
            <v>AL BARAKA BANK (PAKISTAN) LIMITED</v>
          </cell>
          <cell r="J572" t="str">
            <v>BANK</v>
          </cell>
          <cell r="K572" t="str">
            <v>Mr. 
HPA M/s. Al Baraka Bank (Pakistan) Limited 
Mr. Ayaz Ahmed
HPA M/s. Al Baraka Bank (Pakistan) Limited</v>
          </cell>
          <cell r="L572" t="str">
            <v>D</v>
          </cell>
          <cell r="M572" t="str">
            <v>09000221</v>
          </cell>
          <cell r="N572">
            <v>100</v>
          </cell>
          <cell r="O572" t="str">
            <v>KARACHI</v>
          </cell>
          <cell r="P572" t="str">
            <v>H No A-424 Sector 11B North Karachi</v>
          </cell>
          <cell r="Q572" t="str">
            <v>11000003</v>
          </cell>
          <cell r="R572" t="str">
            <v>HONDA BRV - S</v>
          </cell>
          <cell r="S572" t="str">
            <v>2022</v>
          </cell>
          <cell r="T572" t="str">
            <v>BK-2488</v>
          </cell>
          <cell r="U572" t="str">
            <v>14808316</v>
          </cell>
          <cell r="V572" t="str">
            <v>R025001</v>
          </cell>
          <cell r="Y572">
            <v>5200000</v>
          </cell>
          <cell r="Z572">
            <v>67242</v>
          </cell>
          <cell r="AA572">
            <v>78000</v>
          </cell>
        </row>
        <row r="573">
          <cell r="B573" t="str">
            <v>KHI/HO/D/MO/PC COMP/C/106977/50/02/2025</v>
          </cell>
          <cell r="D573" t="str">
            <v>FRE</v>
          </cell>
          <cell r="E573" t="str">
            <v>28/02/25</v>
          </cell>
          <cell r="F573" t="str">
            <v>28/02/2025</v>
          </cell>
          <cell r="G573" t="str">
            <v>27/02/2026</v>
          </cell>
          <cell r="H573" t="str">
            <v>08004499</v>
          </cell>
          <cell r="I573" t="str">
            <v>AL BARAKA BANK (PAKISTAN) LIMITED</v>
          </cell>
          <cell r="J573" t="str">
            <v>BANK</v>
          </cell>
          <cell r="K573" t="str">
            <v>Mr. 
HPA M/s. Al Baraka Bank (Pakistan) Limited 
Mr. Farhan Ali 
HPA M/s. Al Baraka Bank (Pakistan) Limited</v>
          </cell>
          <cell r="L573" t="str">
            <v>D</v>
          </cell>
          <cell r="M573" t="str">
            <v>09000221</v>
          </cell>
          <cell r="N573">
            <v>100</v>
          </cell>
          <cell r="O573" t="str">
            <v>LAHORE</v>
          </cell>
          <cell r="P573" t="str">
            <v>H # 97-A Nawab Town Lahore</v>
          </cell>
          <cell r="Q573" t="str">
            <v>11000003</v>
          </cell>
          <cell r="R573" t="str">
            <v>HONDA CIVIC VTI ORIEL U.G</v>
          </cell>
          <cell r="S573" t="str">
            <v>2017</v>
          </cell>
          <cell r="T573" t="str">
            <v>LEE-17-6506</v>
          </cell>
          <cell r="U573" t="str">
            <v>Z12915376</v>
          </cell>
          <cell r="V573" t="str">
            <v>HR018753</v>
          </cell>
          <cell r="X573" t="str">
            <v>3</v>
          </cell>
          <cell r="Y573">
            <v>4900000</v>
          </cell>
          <cell r="Z573">
            <v>63362</v>
          </cell>
          <cell r="AA573">
            <v>73500</v>
          </cell>
        </row>
        <row r="574">
          <cell r="B574" t="str">
            <v>KHI/HO/D/MO/PC COMP/C/106977/51/02/2025</v>
          </cell>
          <cell r="D574" t="str">
            <v>FRE</v>
          </cell>
          <cell r="E574" t="str">
            <v>28/02/25</v>
          </cell>
          <cell r="F574" t="str">
            <v>28/02/2025</v>
          </cell>
          <cell r="G574" t="str">
            <v>27/02/2026</v>
          </cell>
          <cell r="H574" t="str">
            <v>08004499</v>
          </cell>
          <cell r="I574" t="str">
            <v>AL BARAKA BANK (PAKISTAN) LIMITED</v>
          </cell>
          <cell r="J574" t="str">
            <v>BANK</v>
          </cell>
          <cell r="K574" t="str">
            <v>Mr. 
HPA M/s. Al Baraka Bank (Pakistan) Limited 
Mr. Rana Muhammad Shahzad Naveed 
HPA M/s. Al Baraka Bank (Pakistan) Limited</v>
          </cell>
          <cell r="L574" t="str">
            <v>D</v>
          </cell>
          <cell r="M574" t="str">
            <v>09000221</v>
          </cell>
          <cell r="N574">
            <v>100</v>
          </cell>
          <cell r="P574" t="str">
            <v>HOUSE NO 100 MOHALLAH  UMER SALAR HERBANSPURA LAHORE</v>
          </cell>
          <cell r="Q574" t="str">
            <v>11000003</v>
          </cell>
          <cell r="R574" t="str">
            <v>HONDA CITY 1.2  LS CVT</v>
          </cell>
          <cell r="S574" t="str">
            <v>2025</v>
          </cell>
          <cell r="U574" t="str">
            <v>1032080</v>
          </cell>
          <cell r="V574" t="str">
            <v>SR049609</v>
          </cell>
          <cell r="Y574">
            <v>4719000</v>
          </cell>
          <cell r="Z574">
            <v>61022</v>
          </cell>
          <cell r="AA574">
            <v>70785</v>
          </cell>
        </row>
        <row r="575">
          <cell r="B575" t="str">
            <v>KHI/HO/D/MO/PC COMP/C/106977/52/02/2025</v>
          </cell>
          <cell r="D575" t="str">
            <v>FRE</v>
          </cell>
          <cell r="E575" t="str">
            <v>28/02/25</v>
          </cell>
          <cell r="F575" t="str">
            <v>28/02/2025</v>
          </cell>
          <cell r="G575" t="str">
            <v>27/02/2026</v>
          </cell>
          <cell r="H575" t="str">
            <v>08004499</v>
          </cell>
          <cell r="I575" t="str">
            <v>AL BARAKA BANK (PAKISTAN) LIMITED</v>
          </cell>
          <cell r="J575" t="str">
            <v>BANK</v>
          </cell>
          <cell r="K575" t="str">
            <v>Mr. 
HPA M/s. Al Baraka Bank (Pakistan) Limited 
Mr. Khalid Falak Sher 
HPA M/s. Al Baraka Bank (Pakistan) Limited</v>
          </cell>
          <cell r="L575" t="str">
            <v>D</v>
          </cell>
          <cell r="M575" t="str">
            <v>09000221</v>
          </cell>
          <cell r="N575">
            <v>100</v>
          </cell>
          <cell r="P575" t="str">
            <v>H # 235-C, ST # 7, MOHALLAH PUNJAB SOCIETY DHA LAHORE</v>
          </cell>
          <cell r="Q575" t="str">
            <v>11000003</v>
          </cell>
          <cell r="R575" t="str">
            <v>TOYOTA Yaris ATIV 1.3 (CV</v>
          </cell>
          <cell r="S575" t="str">
            <v>2025</v>
          </cell>
          <cell r="U575" t="str">
            <v>72954</v>
          </cell>
          <cell r="V575" t="str">
            <v>7050077</v>
          </cell>
          <cell r="Y575">
            <v>4760000</v>
          </cell>
          <cell r="Z575">
            <v>61551</v>
          </cell>
          <cell r="AA575">
            <v>71400</v>
          </cell>
        </row>
        <row r="576">
          <cell r="B576" t="str">
            <v>KHI/HO/D/MO/PC COMP/C/106977/53/02/2025</v>
          </cell>
          <cell r="D576" t="str">
            <v>FRE</v>
          </cell>
          <cell r="E576" t="str">
            <v>28/02/25</v>
          </cell>
          <cell r="F576" t="str">
            <v>28/02/2025</v>
          </cell>
          <cell r="G576" t="str">
            <v>27/02/2026</v>
          </cell>
          <cell r="H576" t="str">
            <v>08004499</v>
          </cell>
          <cell r="I576" t="str">
            <v>AL BARAKA BANK (PAKISTAN) LIMITED</v>
          </cell>
          <cell r="J576" t="str">
            <v>BANK</v>
          </cell>
          <cell r="K576" t="str">
            <v>Mr. 
HPA M/s. Al Baraka Bank (Pakistan) Limited 
Mr.  SALMAN BUTT
HPA M/s. Al Baraka Bank (Pakistan) Limited</v>
          </cell>
          <cell r="L576" t="str">
            <v>D</v>
          </cell>
          <cell r="M576" t="str">
            <v>09000221</v>
          </cell>
          <cell r="N576">
            <v>100</v>
          </cell>
          <cell r="O576" t="str">
            <v>FAISALABAD</v>
          </cell>
          <cell r="P576" t="str">
            <v>195/B VIP Block Canal Park Canal Road Faisalabad</v>
          </cell>
          <cell r="Q576" t="str">
            <v>11000003</v>
          </cell>
          <cell r="R576" t="str">
            <v>HONDA CIVIC</v>
          </cell>
          <cell r="S576" t="str">
            <v>2019</v>
          </cell>
          <cell r="T576" t="str">
            <v>LEF-19-9696</v>
          </cell>
          <cell r="U576" t="str">
            <v>R18Z12951501</v>
          </cell>
          <cell r="V576" t="str">
            <v>NFBFC666KR054928</v>
          </cell>
          <cell r="X576" t="str">
            <v>2</v>
          </cell>
          <cell r="Y576">
            <v>5500000</v>
          </cell>
          <cell r="Z576">
            <v>71121</v>
          </cell>
          <cell r="AA576">
            <v>82500</v>
          </cell>
        </row>
        <row r="577">
          <cell r="B577" t="str">
            <v>KHI/HO/D/MO/PC COMP/C/106977/54/02/2025</v>
          </cell>
          <cell r="D577" t="str">
            <v>FRE</v>
          </cell>
          <cell r="E577" t="str">
            <v>28/02/25</v>
          </cell>
          <cell r="F577" t="str">
            <v>28/02/2025</v>
          </cell>
          <cell r="G577" t="str">
            <v>27/02/2026</v>
          </cell>
          <cell r="H577" t="str">
            <v>08004499</v>
          </cell>
          <cell r="I577" t="str">
            <v>AL BARAKA BANK (PAKISTAN) LIMITED</v>
          </cell>
          <cell r="J577" t="str">
            <v>BANK</v>
          </cell>
          <cell r="K577" t="str">
            <v>Mr. 
HPA M/s. Al Baraka Bank (Pakistan) Limited 
Mr. Muhammad Boota 
HPA M/s. Al Baraka Bank (Pakistan) Limited</v>
          </cell>
          <cell r="L577" t="str">
            <v>D</v>
          </cell>
          <cell r="M577" t="str">
            <v>09000221</v>
          </cell>
          <cell r="N577">
            <v>100</v>
          </cell>
          <cell r="O577" t="str">
            <v>LAHORE</v>
          </cell>
          <cell r="P577" t="str">
            <v>Flat 12 F Askari 2 Bridge Colony Lahore</v>
          </cell>
          <cell r="Q577" t="str">
            <v>11000003</v>
          </cell>
          <cell r="R577" t="str">
            <v>KIA PICANTO 1.0L M/T</v>
          </cell>
          <cell r="S577" t="str">
            <v>2020</v>
          </cell>
          <cell r="T577" t="str">
            <v>AEL-535</v>
          </cell>
          <cell r="U577" t="str">
            <v>131919</v>
          </cell>
          <cell r="V577" t="str">
            <v>KP500158</v>
          </cell>
          <cell r="X577" t="str">
            <v>3</v>
          </cell>
          <cell r="Y577">
            <v>2500000</v>
          </cell>
          <cell r="Z577">
            <v>43103</v>
          </cell>
          <cell r="AA577">
            <v>50000</v>
          </cell>
        </row>
        <row r="578">
          <cell r="B578" t="str">
            <v>KHI/HO/D/MO/PC COMP/C/106977/55/02/2025</v>
          </cell>
          <cell r="D578" t="str">
            <v>FRE</v>
          </cell>
          <cell r="E578" t="str">
            <v>28/02/25</v>
          </cell>
          <cell r="F578" t="str">
            <v>28/02/2025</v>
          </cell>
          <cell r="G578" t="str">
            <v>27/02/2026</v>
          </cell>
          <cell r="H578" t="str">
            <v>08004499</v>
          </cell>
          <cell r="I578" t="str">
            <v>AL BARAKA BANK (PAKISTAN) LIMITED</v>
          </cell>
          <cell r="J578" t="str">
            <v>BANK</v>
          </cell>
          <cell r="K578" t="str">
            <v>Mr. 
HPA M/s. Al Baraka Bank (Pakistan) Limited 
Mr. Usman Rafiq Butt 
HPA M/s. Al Baraka Bank (Pakistan) Limited</v>
          </cell>
          <cell r="L578" t="str">
            <v>D</v>
          </cell>
          <cell r="M578" t="str">
            <v>09000221</v>
          </cell>
          <cell r="N578">
            <v>100</v>
          </cell>
          <cell r="O578" t="str">
            <v>LAHORE</v>
          </cell>
          <cell r="P578" t="str">
            <v>H # 221 Sector J Phase 1 DHA Lahore</v>
          </cell>
          <cell r="Q578" t="str">
            <v>11000003</v>
          </cell>
          <cell r="R578" t="str">
            <v>TOYOTA LAND CRUISER PRADO</v>
          </cell>
          <cell r="S578" t="str">
            <v>2013</v>
          </cell>
          <cell r="T578" t="str">
            <v>AEW-582</v>
          </cell>
          <cell r="U578" t="str">
            <v>1276191</v>
          </cell>
          <cell r="V578" t="str">
            <v>TRJ150-0032757</v>
          </cell>
          <cell r="X578" t="str">
            <v>3</v>
          </cell>
          <cell r="Y578">
            <v>13000000</v>
          </cell>
          <cell r="Z578">
            <v>168103</v>
          </cell>
          <cell r="AA578">
            <v>195000</v>
          </cell>
        </row>
        <row r="579">
          <cell r="B579" t="str">
            <v>KHI/HO/D/MO/PC COMP/C/106977/56/02/2025</v>
          </cell>
          <cell r="D579" t="str">
            <v>FRE</v>
          </cell>
          <cell r="E579" t="str">
            <v>28/02/25</v>
          </cell>
          <cell r="F579" t="str">
            <v>28/02/2025</v>
          </cell>
          <cell r="G579" t="str">
            <v>27/02/2026</v>
          </cell>
          <cell r="H579" t="str">
            <v>08004499</v>
          </cell>
          <cell r="I579" t="str">
            <v>AL BARAKA BANK (PAKISTAN) LIMITED</v>
          </cell>
          <cell r="J579" t="str">
            <v>BANK</v>
          </cell>
          <cell r="K579" t="str">
            <v>Mr. 
HPA M/s. Al Baraka Bank (Pakistan) Limited 
Mr. Muhammad Yasir Nadeem
HPA M/s. Al Baraka Bank (Pakistan) Limited</v>
          </cell>
          <cell r="L579" t="str">
            <v>D</v>
          </cell>
          <cell r="M579" t="str">
            <v>09000221</v>
          </cell>
          <cell r="N579">
            <v>100</v>
          </cell>
          <cell r="O579" t="str">
            <v>FAISALABAD</v>
          </cell>
          <cell r="P579" t="str">
            <v>H # 12 Street 11 E Block Madina Town Faisalabad</v>
          </cell>
          <cell r="Q579" t="str">
            <v>11000003</v>
          </cell>
          <cell r="R579" t="str">
            <v>SUZUKI WAGON-R VXL E2</v>
          </cell>
          <cell r="S579" t="str">
            <v>2018</v>
          </cell>
          <cell r="T579" t="str">
            <v>LEH-18-7186</v>
          </cell>
          <cell r="U579" t="str">
            <v>PK10B164053</v>
          </cell>
          <cell r="V579" t="str">
            <v>A1J310PK10064040</v>
          </cell>
          <cell r="X579" t="str">
            <v>3</v>
          </cell>
          <cell r="Y579">
            <v>2350000</v>
          </cell>
          <cell r="Z579">
            <v>40517</v>
          </cell>
          <cell r="AA579">
            <v>47000</v>
          </cell>
        </row>
        <row r="580">
          <cell r="B580" t="str">
            <v>KHI/HO/D/MO/PC COMP/C/106977/57/02/2025</v>
          </cell>
          <cell r="D580" t="str">
            <v>FRE</v>
          </cell>
          <cell r="E580" t="str">
            <v>28/02/25</v>
          </cell>
          <cell r="F580" t="str">
            <v>28/02/2025</v>
          </cell>
          <cell r="G580" t="str">
            <v>27/02/2026</v>
          </cell>
          <cell r="H580" t="str">
            <v>08004499</v>
          </cell>
          <cell r="I580" t="str">
            <v>AL BARAKA BANK (PAKISTAN) LIMITED</v>
          </cell>
          <cell r="J580" t="str">
            <v>BANK</v>
          </cell>
          <cell r="K580" t="str">
            <v>Mr. 
HPA M/s. Al Baraka Bank (Pakistan) Limited 
Mr. Noor Ul Ain 
HPA M/s. Al Baraka Bank (Pakistan) Limited</v>
          </cell>
          <cell r="L580" t="str">
            <v>D</v>
          </cell>
          <cell r="M580" t="str">
            <v>09000221</v>
          </cell>
          <cell r="N580">
            <v>100</v>
          </cell>
          <cell r="O580" t="str">
            <v>ISLAMABAD</v>
          </cell>
          <cell r="P580" t="str">
            <v>H NO C-427 St No 07 G-10 /1 Area Islamabad</v>
          </cell>
          <cell r="Q580" t="str">
            <v>11000003</v>
          </cell>
          <cell r="R580" t="str">
            <v>SUZUKI CULTUS VXL</v>
          </cell>
          <cell r="S580" t="str">
            <v>2021</v>
          </cell>
          <cell r="T580" t="str">
            <v>AUH-762</v>
          </cell>
          <cell r="U580" t="str">
            <v>173682</v>
          </cell>
          <cell r="V580" t="str">
            <v>10073699</v>
          </cell>
          <cell r="Y580">
            <v>3300000</v>
          </cell>
          <cell r="Z580">
            <v>56897</v>
          </cell>
          <cell r="AA580">
            <v>66000</v>
          </cell>
        </row>
        <row r="581">
          <cell r="B581" t="str">
            <v>KHI/HO/D/MO/PC COMP/C/106977/58/02/2025</v>
          </cell>
          <cell r="D581" t="str">
            <v>FRE</v>
          </cell>
          <cell r="E581" t="str">
            <v>28/02/25</v>
          </cell>
          <cell r="F581" t="str">
            <v>28/02/2025</v>
          </cell>
          <cell r="G581" t="str">
            <v>27/02/2026</v>
          </cell>
          <cell r="H581" t="str">
            <v>08004499</v>
          </cell>
          <cell r="I581" t="str">
            <v>AL BARAKA BANK (PAKISTAN) LIMITED</v>
          </cell>
          <cell r="J581" t="str">
            <v>BANK</v>
          </cell>
          <cell r="K581" t="str">
            <v>Mr. 
HPA M/s. Al Baraka Bank (Pakistan) Limited 
Mr. Abdul Munam Ali
HPA M/s. Al Baraka Bank (Pakistan) Limited</v>
          </cell>
          <cell r="L581" t="str">
            <v>D</v>
          </cell>
          <cell r="M581" t="str">
            <v>09000221</v>
          </cell>
          <cell r="N581">
            <v>100</v>
          </cell>
          <cell r="O581" t="str">
            <v>MULTAN</v>
          </cell>
          <cell r="P581" t="str">
            <v>H No 50 Chungi 07 Mohallah Khan Colony LMQ Road Multan</v>
          </cell>
          <cell r="Q581" t="str">
            <v>11000003</v>
          </cell>
          <cell r="R581" t="str">
            <v>HONDA CITY 1.2  LS CVT</v>
          </cell>
          <cell r="S581" t="str">
            <v>2025</v>
          </cell>
          <cell r="U581" t="str">
            <v>51032249</v>
          </cell>
          <cell r="V581" t="str">
            <v>049772</v>
          </cell>
          <cell r="Y581">
            <v>4719000</v>
          </cell>
          <cell r="Z581">
            <v>61022</v>
          </cell>
          <cell r="AA581">
            <v>70785</v>
          </cell>
        </row>
        <row r="582">
          <cell r="B582" t="str">
            <v>KHI/HO/D/MO/PC COMP/C/106977/59/02/2025</v>
          </cell>
          <cell r="D582" t="str">
            <v>FRE</v>
          </cell>
          <cell r="E582" t="str">
            <v>28/02/25</v>
          </cell>
          <cell r="F582" t="str">
            <v>28/02/2025</v>
          </cell>
          <cell r="G582" t="str">
            <v>27/02/2026</v>
          </cell>
          <cell r="H582" t="str">
            <v>08004499</v>
          </cell>
          <cell r="I582" t="str">
            <v>AL BARAKA BANK (PAKISTAN) LIMITED</v>
          </cell>
          <cell r="J582" t="str">
            <v>BANK</v>
          </cell>
          <cell r="K582" t="str">
            <v>Mr. 
HPA M/s. Al Baraka Bank (Pakistan) Limited 
Mr. Muhammad Zahid Ali
HPA M/s. Al Baraka Bank (Pakistan) Limited</v>
          </cell>
          <cell r="L582" t="str">
            <v>D</v>
          </cell>
          <cell r="M582" t="str">
            <v>09000221</v>
          </cell>
          <cell r="N582">
            <v>100</v>
          </cell>
          <cell r="P582" t="str">
            <v>H No 10/541 A Liaqatabad No 10 Karachi</v>
          </cell>
          <cell r="Q582" t="str">
            <v>11000003</v>
          </cell>
          <cell r="R582" t="str">
            <v>SUZUKI ALTO</v>
          </cell>
          <cell r="S582" t="str">
            <v>2024</v>
          </cell>
          <cell r="T582" t="str">
            <v>CAN-410</v>
          </cell>
          <cell r="U582" t="str">
            <v>R321421</v>
          </cell>
          <cell r="V582" t="str">
            <v>H1221405</v>
          </cell>
          <cell r="Y582">
            <v>3045000</v>
          </cell>
          <cell r="Z582">
            <v>52500</v>
          </cell>
          <cell r="AA582">
            <v>60900</v>
          </cell>
        </row>
        <row r="583">
          <cell r="B583" t="str">
            <v>KHI/HO/D/MO/PC COMP/C/107861/1/03/2025</v>
          </cell>
          <cell r="D583" t="str">
            <v>FRE</v>
          </cell>
          <cell r="E583" t="str">
            <v>04/03/25</v>
          </cell>
          <cell r="F583" t="str">
            <v>04/03/2025</v>
          </cell>
          <cell r="G583" t="str">
            <v>03/03/2026</v>
          </cell>
          <cell r="H583" t="str">
            <v>08004499</v>
          </cell>
          <cell r="I583" t="str">
            <v>AL BARAKA BANK (PAKISTAN) LIMITED</v>
          </cell>
          <cell r="J583" t="str">
            <v>BANK</v>
          </cell>
          <cell r="K583" t="str">
            <v>Mr. 
HPA M/s. Al Baraka Bank (Pakistan) Limited 
Mr. Asif Saleem 
HPA M/s. Al Baraka Bank (Pakistan) Limited</v>
          </cell>
          <cell r="L583" t="str">
            <v>D</v>
          </cell>
          <cell r="M583" t="str">
            <v>09000221</v>
          </cell>
          <cell r="N583">
            <v>100</v>
          </cell>
          <cell r="O583" t="str">
            <v>SARGODHA</v>
          </cell>
          <cell r="P583" t="str">
            <v>H # 397 Street 1 Block 25 Sargodha</v>
          </cell>
          <cell r="Q583" t="str">
            <v>11000003</v>
          </cell>
          <cell r="R583" t="str">
            <v>SUZUKI ALTO VXR E-2</v>
          </cell>
          <cell r="S583" t="str">
            <v>2023</v>
          </cell>
          <cell r="T583" t="str">
            <v>AQG-765</v>
          </cell>
          <cell r="U583" t="str">
            <v>6R283611</v>
          </cell>
          <cell r="V583" t="str">
            <v>6H1183613</v>
          </cell>
          <cell r="X583" t="str">
            <v>3</v>
          </cell>
          <cell r="Y583">
            <v>2600000</v>
          </cell>
          <cell r="Z583">
            <v>44397</v>
          </cell>
          <cell r="AA583">
            <v>52000</v>
          </cell>
        </row>
        <row r="584">
          <cell r="B584" t="str">
            <v>KHI/HO/D/MO/PC COMP/C/107861/2/03/2025</v>
          </cell>
          <cell r="D584" t="str">
            <v>FRE</v>
          </cell>
          <cell r="E584" t="str">
            <v>04/03/25</v>
          </cell>
          <cell r="F584" t="str">
            <v>04/03/2025</v>
          </cell>
          <cell r="G584" t="str">
            <v>03/03/2026</v>
          </cell>
          <cell r="H584" t="str">
            <v>08004499</v>
          </cell>
          <cell r="I584" t="str">
            <v>AL BARAKA BANK (PAKISTAN) LIMITED</v>
          </cell>
          <cell r="J584" t="str">
            <v>BANK</v>
          </cell>
          <cell r="K584" t="str">
            <v>Mr. 
HPA M/s. Al Baraka Bank (Pakistan) Limited 
Mr. Muhammad Hassan Hanif 
HPA M/s. Al Baraka Bank (Pakistan) Limited</v>
          </cell>
          <cell r="L584" t="str">
            <v>D</v>
          </cell>
          <cell r="M584" t="str">
            <v>09000221</v>
          </cell>
          <cell r="N584">
            <v>100</v>
          </cell>
          <cell r="P584" t="str">
            <v>H-CB 294 Liaquat Road Lalzar Wah Cantt</v>
          </cell>
          <cell r="Q584" t="str">
            <v>11000003</v>
          </cell>
          <cell r="R584" t="str">
            <v>SUZUKI Swift GLX CVT</v>
          </cell>
          <cell r="S584" t="str">
            <v>2022</v>
          </cell>
          <cell r="T584" t="str">
            <v>AZT-406</v>
          </cell>
          <cell r="U584" t="str">
            <v>1005056    2022</v>
          </cell>
          <cell r="V584" t="str">
            <v>105076</v>
          </cell>
          <cell r="X584" t="str">
            <v>3</v>
          </cell>
          <cell r="Y584">
            <v>3900000</v>
          </cell>
          <cell r="Z584">
            <v>50431</v>
          </cell>
          <cell r="AA584">
            <v>58500</v>
          </cell>
        </row>
        <row r="585">
          <cell r="B585" t="str">
            <v>KHI/HO/D/MO/PC COMP/C/107861/3/03/2025</v>
          </cell>
          <cell r="D585" t="str">
            <v>FRE</v>
          </cell>
          <cell r="E585" t="str">
            <v>05/03/25</v>
          </cell>
          <cell r="F585" t="str">
            <v>05/03/2025</v>
          </cell>
          <cell r="G585" t="str">
            <v>04/03/2026</v>
          </cell>
          <cell r="H585" t="str">
            <v>08004499</v>
          </cell>
          <cell r="I585" t="str">
            <v>AL BARAKA BANK (PAKISTAN) LIMITED</v>
          </cell>
          <cell r="J585" t="str">
            <v>BANK</v>
          </cell>
          <cell r="K585" t="str">
            <v>Mr. 
HPA M/s. Al Baraka Bank (Pakistan) Limited 
Mr. Nawaz Ahmad
HPA M/s. Al Baraka Bank (Pakistan) Limited</v>
          </cell>
          <cell r="L585" t="str">
            <v>D</v>
          </cell>
          <cell r="M585" t="str">
            <v>09000221</v>
          </cell>
          <cell r="N585">
            <v>100</v>
          </cell>
          <cell r="O585" t="str">
            <v>GUJRANWALA</v>
          </cell>
          <cell r="P585" t="str">
            <v>H # A-1 Bin Qasim Block Shalimar Town Gujranwala</v>
          </cell>
          <cell r="Q585" t="str">
            <v>11000003</v>
          </cell>
          <cell r="R585" t="str">
            <v>SUZUKI ALTO VXR E-2</v>
          </cell>
          <cell r="S585" t="str">
            <v>2025</v>
          </cell>
          <cell r="U585" t="str">
            <v>6R341732</v>
          </cell>
          <cell r="V585" t="str">
            <v>NF1AET306H1241724</v>
          </cell>
          <cell r="X585" t="str">
            <v>3</v>
          </cell>
          <cell r="Y585">
            <v>2707000</v>
          </cell>
          <cell r="Z585">
            <v>46672</v>
          </cell>
          <cell r="AA585">
            <v>54140</v>
          </cell>
        </row>
        <row r="586">
          <cell r="B586" t="str">
            <v>KHI/HO/D/MO/CV/C/107868/1/03/2025</v>
          </cell>
          <cell r="D586" t="str">
            <v>REN</v>
          </cell>
          <cell r="E586" t="str">
            <v>05/03/25</v>
          </cell>
          <cell r="F586" t="str">
            <v>14/03/2025</v>
          </cell>
          <cell r="G586" t="str">
            <v>13/03/2026</v>
          </cell>
          <cell r="H586" t="str">
            <v>08004499</v>
          </cell>
          <cell r="I586" t="str">
            <v>AL BARAKA BANK (PAKISTAN) LIMITED</v>
          </cell>
          <cell r="J586" t="str">
            <v>BANK</v>
          </cell>
          <cell r="K586" t="str">
            <v>HPA Mr. 
M/S Al Baraka Bank ( Pakistan ) Limited
Mr. Ibrar Ahmed
HPA M/S Al Baraka Bank (Pakistan) Limited</v>
          </cell>
          <cell r="L586" t="str">
            <v>D</v>
          </cell>
          <cell r="M586" t="str">
            <v>09000221</v>
          </cell>
          <cell r="N586">
            <v>100</v>
          </cell>
          <cell r="P586" t="str">
            <v>H No 87 /17 St 03 Mohallah Farooqabad Seham Rawalpindi</v>
          </cell>
          <cell r="Q586" t="str">
            <v>11000003</v>
          </cell>
          <cell r="R586" t="str">
            <v>SUZUKI RAVI PICK UP</v>
          </cell>
          <cell r="S586" t="str">
            <v>2022</v>
          </cell>
          <cell r="T586" t="str">
            <v>TD-345</v>
          </cell>
          <cell r="U586" t="str">
            <v>382189</v>
          </cell>
          <cell r="V586" t="str">
            <v>486829</v>
          </cell>
          <cell r="X586" t="str">
            <v>5</v>
          </cell>
          <cell r="Y586">
            <v>893600</v>
          </cell>
          <cell r="Z586">
            <v>18828</v>
          </cell>
          <cell r="AA586">
            <v>22340</v>
          </cell>
        </row>
        <row r="587">
          <cell r="B587" t="str">
            <v>KHI/HO/D/MO/CV/C/107868/2/03/2025</v>
          </cell>
          <cell r="D587" t="str">
            <v>REN</v>
          </cell>
          <cell r="E587" t="str">
            <v>05/03/25</v>
          </cell>
          <cell r="F587" t="str">
            <v>16/03/2025</v>
          </cell>
          <cell r="G587" t="str">
            <v>15/03/2026</v>
          </cell>
          <cell r="H587" t="str">
            <v>08004499</v>
          </cell>
          <cell r="I587" t="str">
            <v>AL BARAKA BANK (PAKISTAN) LIMITED</v>
          </cell>
          <cell r="J587" t="str">
            <v>BANK</v>
          </cell>
          <cell r="K587" t="str">
            <v>HPA Mr. 
M/S Al Baraka Bank ( Pakistan ) Limited
Mr. Muhammad Raza
HPA M/S Al Baraka Bank ( Pakistan ) Limited</v>
          </cell>
          <cell r="L587" t="str">
            <v>D</v>
          </cell>
          <cell r="M587" t="str">
            <v>09000221</v>
          </cell>
          <cell r="N587">
            <v>100</v>
          </cell>
          <cell r="P587" t="str">
            <v>H No 207 1st Floor Block 8 Street No 25 Muhammad Road Shershah Karachi</v>
          </cell>
          <cell r="Q587" t="str">
            <v>11000003</v>
          </cell>
          <cell r="R587" t="str">
            <v>SUZUKI RAVI VX</v>
          </cell>
          <cell r="S587" t="str">
            <v>2022</v>
          </cell>
          <cell r="T587" t="str">
            <v>LB-3615</v>
          </cell>
          <cell r="U587" t="str">
            <v>382374</v>
          </cell>
          <cell r="V587" t="str">
            <v>487035</v>
          </cell>
          <cell r="Y587">
            <v>893600</v>
          </cell>
          <cell r="Z587">
            <v>19258</v>
          </cell>
          <cell r="AA587">
            <v>22340</v>
          </cell>
        </row>
        <row r="588">
          <cell r="B588" t="str">
            <v>KHI/HO/D/MO/CV/C/107868/3/03/2025</v>
          </cell>
          <cell r="D588" t="str">
            <v>REN</v>
          </cell>
          <cell r="E588" t="str">
            <v>05/03/25</v>
          </cell>
          <cell r="F588" t="str">
            <v>18/03/2025</v>
          </cell>
          <cell r="G588" t="str">
            <v>17/03/2026</v>
          </cell>
          <cell r="H588" t="str">
            <v>08004499</v>
          </cell>
          <cell r="I588" t="str">
            <v>AL BARAKA BANK (PAKISTAN) LIMITED</v>
          </cell>
          <cell r="J588" t="str">
            <v>BANK</v>
          </cell>
          <cell r="K588" t="str">
            <v>HPA Mr. 
M/S Al Baraka Bank ( Pakistan ) Limited
Mr. Saad Abid
HPAM/S Al Baraka Bank ( Pakistan ) Limited</v>
          </cell>
          <cell r="L588" t="str">
            <v>D</v>
          </cell>
          <cell r="M588" t="str">
            <v>09000221</v>
          </cell>
          <cell r="N588">
            <v>100</v>
          </cell>
          <cell r="Q588" t="str">
            <v>11000003</v>
          </cell>
          <cell r="R588" t="str">
            <v>SUZUKI RAVI PICK UP</v>
          </cell>
          <cell r="S588" t="str">
            <v>2022</v>
          </cell>
          <cell r="T588" t="str">
            <v>LB-3725</v>
          </cell>
          <cell r="U588" t="str">
            <v>382259</v>
          </cell>
          <cell r="V588" t="str">
            <v>486929</v>
          </cell>
          <cell r="Y588">
            <v>893600</v>
          </cell>
          <cell r="Z588">
            <v>19258</v>
          </cell>
          <cell r="AA588">
            <v>22340</v>
          </cell>
        </row>
        <row r="589">
          <cell r="B589" t="str">
            <v>KHI/HO/D/MO/CV/C/107868/4/03/2025</v>
          </cell>
          <cell r="D589" t="str">
            <v>REN</v>
          </cell>
          <cell r="E589" t="str">
            <v>05/03/25</v>
          </cell>
          <cell r="F589" t="str">
            <v>28/03/2025</v>
          </cell>
          <cell r="G589" t="str">
            <v>27/03/2026</v>
          </cell>
          <cell r="H589" t="str">
            <v>08004499</v>
          </cell>
          <cell r="I589" t="str">
            <v>AL BARAKA BANK (PAKISTAN) LIMITED</v>
          </cell>
          <cell r="J589" t="str">
            <v>BANK</v>
          </cell>
          <cell r="K589" t="str">
            <v>HPA Mr. 
M/S Al Baraka Bank ( Pakistan ) Limited
Mr. Ijaz Ali 
HPA M/S Al Baraka Bank (Pakistan) Limited</v>
          </cell>
          <cell r="L589" t="str">
            <v>D</v>
          </cell>
          <cell r="M589" t="str">
            <v>09000221</v>
          </cell>
          <cell r="N589">
            <v>100</v>
          </cell>
          <cell r="O589" t="str">
            <v>LAHORE</v>
          </cell>
          <cell r="P589" t="str">
            <v>H # 8 Street 114 Pakistani Bazar Baghbanpura Lahore</v>
          </cell>
          <cell r="Q589" t="str">
            <v>11000003</v>
          </cell>
          <cell r="R589" t="str">
            <v>SUZUKI RAVI VX EURO II</v>
          </cell>
          <cell r="S589" t="str">
            <v>2022</v>
          </cell>
          <cell r="U589" t="str">
            <v>PKT381544</v>
          </cell>
          <cell r="V589" t="str">
            <v>SR308PK486204</v>
          </cell>
          <cell r="X589" t="str">
            <v>3</v>
          </cell>
          <cell r="Y589">
            <v>893600</v>
          </cell>
          <cell r="Z589">
            <v>19258</v>
          </cell>
          <cell r="AA589">
            <v>22340</v>
          </cell>
        </row>
        <row r="590">
          <cell r="B590" t="str">
            <v>KHI/HO/D/MO/CV/C/107869/1/03/2025</v>
          </cell>
          <cell r="D590" t="str">
            <v>REN</v>
          </cell>
          <cell r="E590" t="str">
            <v>05/03/25</v>
          </cell>
          <cell r="F590" t="str">
            <v>28/03/2025</v>
          </cell>
          <cell r="G590" t="str">
            <v>27/03/2026</v>
          </cell>
          <cell r="H590" t="str">
            <v>08004499</v>
          </cell>
          <cell r="I590" t="str">
            <v>AL BARAKA BANK (PAKISTAN) LIMITED</v>
          </cell>
          <cell r="J590" t="str">
            <v>BANK</v>
          </cell>
          <cell r="K590" t="str">
            <v>Mr.
HPA M/s. Al Baraka Bank Pakistan Limited
Mr. Muhammad Abid 
HPA M/s. Al Baraka Bank Pakistan Limited</v>
          </cell>
          <cell r="L590" t="str">
            <v>D</v>
          </cell>
          <cell r="M590" t="str">
            <v>09000221</v>
          </cell>
          <cell r="N590">
            <v>100</v>
          </cell>
          <cell r="P590" t="str">
            <v>H # 668 Block 4 Sector A-2 Township Lahore</v>
          </cell>
          <cell r="Q590" t="str">
            <v>11000003</v>
          </cell>
          <cell r="R590" t="str">
            <v>SUZUKI RAVI VX EURO II</v>
          </cell>
          <cell r="S590" t="str">
            <v>2019</v>
          </cell>
          <cell r="T590" t="str">
            <v>LES-19-9070</v>
          </cell>
          <cell r="U590" t="str">
            <v>353875</v>
          </cell>
          <cell r="V590" t="str">
            <v>458533</v>
          </cell>
          <cell r="X590" t="str">
            <v>3</v>
          </cell>
          <cell r="Y590">
            <v>1260000</v>
          </cell>
          <cell r="Z590">
            <v>21293</v>
          </cell>
          <cell r="AA590">
            <v>25200</v>
          </cell>
        </row>
        <row r="591">
          <cell r="B591" t="str">
            <v>KHI/HO/D/MO/PC COMP/C/107861/4/03/2025</v>
          </cell>
          <cell r="D591" t="str">
            <v>FRE</v>
          </cell>
          <cell r="E591" t="str">
            <v>05/03/25</v>
          </cell>
          <cell r="F591" t="str">
            <v>05/03/2025</v>
          </cell>
          <cell r="G591" t="str">
            <v>04/03/2026</v>
          </cell>
          <cell r="H591" t="str">
            <v>08004499</v>
          </cell>
          <cell r="I591" t="str">
            <v>AL BARAKA BANK (PAKISTAN) LIMITED</v>
          </cell>
          <cell r="J591" t="str">
            <v>BANK</v>
          </cell>
          <cell r="K591" t="str">
            <v>Mr. 
HPA M/s. Al Baraka Bank (Pakistan) Limited 
Mr. Kashif Tahir 
HPA M/s. Al Baraka Bank (Pakistan) Limited</v>
          </cell>
          <cell r="L591" t="str">
            <v>D</v>
          </cell>
          <cell r="M591" t="str">
            <v>09000221</v>
          </cell>
          <cell r="N591">
            <v>100</v>
          </cell>
          <cell r="O591" t="str">
            <v>LAHORE</v>
          </cell>
          <cell r="P591" t="str">
            <v>H # 138-X Phase 3 DHA Lahore Cantt</v>
          </cell>
          <cell r="Q591" t="str">
            <v>11000003</v>
          </cell>
          <cell r="R591" t="str">
            <v>HONDA Civic CVT Oriel NAV</v>
          </cell>
          <cell r="S591" t="str">
            <v>2022</v>
          </cell>
          <cell r="T591" t="str">
            <v>AYV-466</v>
          </cell>
          <cell r="U591" t="str">
            <v>7911654</v>
          </cell>
          <cell r="V591" t="str">
            <v>NR001657</v>
          </cell>
          <cell r="X591" t="str">
            <v>3</v>
          </cell>
          <cell r="Y591">
            <v>7000000</v>
          </cell>
          <cell r="Z591">
            <v>90517</v>
          </cell>
          <cell r="AA591">
            <v>105000</v>
          </cell>
        </row>
        <row r="592">
          <cell r="B592" t="str">
            <v>KHI/HO/D/MO/PC COMP/C/107861/5/03/2025</v>
          </cell>
          <cell r="D592" t="str">
            <v>FRE</v>
          </cell>
          <cell r="E592" t="str">
            <v>05/03/25</v>
          </cell>
          <cell r="F592" t="str">
            <v>05/03/2025</v>
          </cell>
          <cell r="G592" t="str">
            <v>04/03/2026</v>
          </cell>
          <cell r="H592" t="str">
            <v>08004499</v>
          </cell>
          <cell r="I592" t="str">
            <v>AL BARAKA BANK (PAKISTAN) LIMITED</v>
          </cell>
          <cell r="J592" t="str">
            <v>BANK</v>
          </cell>
          <cell r="K592" t="str">
            <v>Mr. 
HPA M/s. Al Baraka Bank (Pakistan) Limited 
Mr. Muhammad Umer  
HPA M/s. Al Baraka Bank (Pakistan) Limited</v>
          </cell>
          <cell r="L592" t="str">
            <v>D</v>
          </cell>
          <cell r="M592" t="str">
            <v>09000221</v>
          </cell>
          <cell r="N592">
            <v>100</v>
          </cell>
          <cell r="O592" t="str">
            <v>LAHORE</v>
          </cell>
          <cell r="P592" t="str">
            <v>H # 113 B Ghousia Colony Liaquatabad Kot Lakhpat Lahore</v>
          </cell>
          <cell r="Q592" t="str">
            <v>11000003</v>
          </cell>
          <cell r="R592" t="str">
            <v>SUZUKI ALTO VXL AGS E-2</v>
          </cell>
          <cell r="S592" t="str">
            <v>2025</v>
          </cell>
          <cell r="U592" t="str">
            <v>6R342269</v>
          </cell>
          <cell r="V592" t="str">
            <v>6H1242307</v>
          </cell>
          <cell r="X592" t="str">
            <v>3</v>
          </cell>
          <cell r="Y592">
            <v>3045000</v>
          </cell>
          <cell r="Z592">
            <v>52500</v>
          </cell>
          <cell r="AA592">
            <v>60900</v>
          </cell>
        </row>
        <row r="593">
          <cell r="B593" t="str">
            <v>KHI/HO/D/MO/PC COMP/C/107861/6/03/2025</v>
          </cell>
          <cell r="D593" t="str">
            <v>FRE</v>
          </cell>
          <cell r="E593" t="str">
            <v>06/03/25</v>
          </cell>
          <cell r="F593" t="str">
            <v>06/03/2025</v>
          </cell>
          <cell r="G593" t="str">
            <v>05/03/2026</v>
          </cell>
          <cell r="H593" t="str">
            <v>08004499</v>
          </cell>
          <cell r="I593" t="str">
            <v>AL BARAKA BANK (PAKISTAN) LIMITED</v>
          </cell>
          <cell r="J593" t="str">
            <v>BANK</v>
          </cell>
          <cell r="K593" t="str">
            <v>Mr. 
HPA M/s. Al Baraka Bank (Pakistan) Limited 
Mr. Amir Raza
HPA M/s. Al Baraka Bank (Pakistan) Limited</v>
          </cell>
          <cell r="L593" t="str">
            <v>D</v>
          </cell>
          <cell r="M593" t="str">
            <v>09000221</v>
          </cell>
          <cell r="N593">
            <v>100</v>
          </cell>
          <cell r="O593" t="str">
            <v>MANSEHRA</v>
          </cell>
          <cell r="P593" t="str">
            <v>H No 2 St 1 Marzi Pura Colony 3 Multan</v>
          </cell>
          <cell r="Q593" t="str">
            <v>11000003</v>
          </cell>
          <cell r="R593" t="str">
            <v>HONDA BRV - S</v>
          </cell>
          <cell r="S593" t="str">
            <v>2025</v>
          </cell>
          <cell r="U593" t="str">
            <v>14812336</v>
          </cell>
          <cell r="V593" t="str">
            <v>029025</v>
          </cell>
          <cell r="Y593">
            <v>6329000</v>
          </cell>
          <cell r="Z593">
            <v>81841</v>
          </cell>
          <cell r="AA593">
            <v>94935</v>
          </cell>
        </row>
        <row r="594">
          <cell r="B594" t="str">
            <v>KHI/HO/D/MO/PC COMP/C/107861/7/03/2025</v>
          </cell>
          <cell r="D594" t="str">
            <v>FRE</v>
          </cell>
          <cell r="E594" t="str">
            <v>06/03/25</v>
          </cell>
          <cell r="F594" t="str">
            <v>06/03/2025</v>
          </cell>
          <cell r="G594" t="str">
            <v>05/03/2026</v>
          </cell>
          <cell r="H594" t="str">
            <v>08004499</v>
          </cell>
          <cell r="I594" t="str">
            <v>AL BARAKA BANK (PAKISTAN) LIMITED</v>
          </cell>
          <cell r="J594" t="str">
            <v>BANK</v>
          </cell>
          <cell r="K594" t="str">
            <v>Mr. 
HPA M/s. Al Baraka Bank (Pakistan) Limited 
Mr. Abbas Ali 
HPA M/s. Al Baraka Bank (Pakistan) Limited</v>
          </cell>
          <cell r="L594" t="str">
            <v>D</v>
          </cell>
          <cell r="M594" t="str">
            <v>09000221</v>
          </cell>
          <cell r="N594">
            <v>100</v>
          </cell>
          <cell r="O594" t="str">
            <v>LAHORE</v>
          </cell>
          <cell r="P594" t="str">
            <v>H # 11 Street 36 Muslimabad New pull Mughalpura Lahore</v>
          </cell>
          <cell r="Q594" t="str">
            <v>11000003</v>
          </cell>
          <cell r="R594" t="str">
            <v>KIA SPORTAGE FWD</v>
          </cell>
          <cell r="S594" t="str">
            <v>2019</v>
          </cell>
          <cell r="T594" t="str">
            <v>APS-213</v>
          </cell>
          <cell r="U594" t="str">
            <v>33799</v>
          </cell>
          <cell r="V594" t="str">
            <v>500867</v>
          </cell>
          <cell r="X594" t="str">
            <v>3</v>
          </cell>
          <cell r="Y594">
            <v>6600000</v>
          </cell>
          <cell r="Z594">
            <v>85345</v>
          </cell>
          <cell r="AA594">
            <v>99000</v>
          </cell>
        </row>
        <row r="595">
          <cell r="B595" t="str">
            <v>KHI/HO/D/MO/PC COMP/C/107861/8/03/2025</v>
          </cell>
          <cell r="D595" t="str">
            <v>FRE</v>
          </cell>
          <cell r="E595" t="str">
            <v>07/03/25</v>
          </cell>
          <cell r="F595" t="str">
            <v>07/03/2025</v>
          </cell>
          <cell r="G595" t="str">
            <v>06/03/2026</v>
          </cell>
          <cell r="H595" t="str">
            <v>08004499</v>
          </cell>
          <cell r="I595" t="str">
            <v>AL BARAKA BANK (PAKISTAN) LIMITED</v>
          </cell>
          <cell r="J595" t="str">
            <v>BANK</v>
          </cell>
          <cell r="K595" t="str">
            <v>Mr. 
HPA M/s. Al Baraka Bank (Pakistan) Limited 
Mr. Salman Abbas  
HPA M/s. Al Baraka Bank (Pakistan) Limited</v>
          </cell>
          <cell r="L595" t="str">
            <v>D</v>
          </cell>
          <cell r="M595" t="str">
            <v>09000221</v>
          </cell>
          <cell r="N595">
            <v>100</v>
          </cell>
          <cell r="P595" t="str">
            <v>H # 304 Jahanzeb Block Allama Iqbal Town Lahore</v>
          </cell>
          <cell r="Q595" t="str">
            <v>11000003</v>
          </cell>
          <cell r="R595" t="str">
            <v>SUZUKI ALTO VXL AGS E-2</v>
          </cell>
          <cell r="S595" t="str">
            <v>2025</v>
          </cell>
          <cell r="U595" t="str">
            <v>342447</v>
          </cell>
          <cell r="V595" t="str">
            <v>H1242441</v>
          </cell>
          <cell r="X595" t="str">
            <v>3</v>
          </cell>
          <cell r="Y595">
            <v>3045000</v>
          </cell>
          <cell r="Z595">
            <v>52500</v>
          </cell>
          <cell r="AA595">
            <v>60900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2">
          <cell r="B2" t="str">
            <v>KHI/HO/D/MO/PC COMP/P/107717/02/2025</v>
          </cell>
          <cell r="D2" t="str">
            <v>FRE</v>
          </cell>
          <cell r="E2" t="str">
            <v>27/02/25</v>
          </cell>
          <cell r="F2" t="str">
            <v>27/02/2025</v>
          </cell>
          <cell r="G2" t="str">
            <v>26/02/2026</v>
          </cell>
          <cell r="H2" t="str">
            <v>08004499</v>
          </cell>
          <cell r="I2" t="str">
            <v>AL BARAKA BANK (PAKISTAN) LIMITED</v>
          </cell>
          <cell r="J2" t="str">
            <v>BANK</v>
          </cell>
          <cell r="K2" t="str">
            <v>Mr. Salman Hussain Khan HPA Al Baraka Bank (Staff)
CNIC# 42501-5622196-5
CELL# 0321-2050539</v>
          </cell>
          <cell r="L2" t="str">
            <v>D</v>
          </cell>
          <cell r="M2" t="str">
            <v>09000210</v>
          </cell>
          <cell r="N2">
            <v>100</v>
          </cell>
          <cell r="Q2" t="str">
            <v>11000003</v>
          </cell>
          <cell r="R2" t="str">
            <v>TOYOTA COROLLA ALTIS</v>
          </cell>
          <cell r="S2" t="str">
            <v>2025</v>
          </cell>
          <cell r="U2" t="str">
            <v>Q109622</v>
          </cell>
          <cell r="V2" t="str">
            <v>ZRE171R-6087133</v>
          </cell>
          <cell r="Y2">
            <v>6572000</v>
          </cell>
          <cell r="Z2">
            <v>70388</v>
          </cell>
          <cell r="AA2">
            <v>82150</v>
          </cell>
        </row>
        <row r="3">
          <cell r="B3" t="str">
            <v>KHI/HO/D/MO/PC COMP/P/90920/06/2024</v>
          </cell>
          <cell r="C3" t="str">
            <v>KHI/HO/D/MO/PC COMP/E/48464/00054/11/2024</v>
          </cell>
          <cell r="D3" t="str">
            <v>REN</v>
          </cell>
          <cell r="E3" t="str">
            <v>01/11/24</v>
          </cell>
          <cell r="F3" t="str">
            <v>22/06/2024</v>
          </cell>
          <cell r="G3" t="str">
            <v>21/06/2025</v>
          </cell>
          <cell r="H3" t="str">
            <v>08004499</v>
          </cell>
          <cell r="I3" t="str">
            <v>AL BARAKA BANK (PAKISTAN) LIMITED</v>
          </cell>
          <cell r="J3" t="str">
            <v>BANK</v>
          </cell>
          <cell r="K3" t="str">
            <v>M/s. Al Baraka Bank (Pakistan) Limited
M/S. Al Baraka Bank (Pakistan) Limited
User:Muhammad  Islam</v>
          </cell>
          <cell r="L3" t="str">
            <v>D</v>
          </cell>
          <cell r="M3" t="str">
            <v>09000221</v>
          </cell>
          <cell r="N3">
            <v>100</v>
          </cell>
          <cell r="O3" t="str">
            <v>KARACHI</v>
          </cell>
          <cell r="P3" t="str">
            <v>Nawab Street Near Amna Hospital Comitte Road Lala Musa</v>
          </cell>
          <cell r="Q3" t="str">
            <v>11000003</v>
          </cell>
          <cell r="R3" t="str">
            <v>TOYOTA COROLLA ALTIS 1.6</v>
          </cell>
          <cell r="S3" t="str">
            <v>2022</v>
          </cell>
          <cell r="T3" t="str">
            <v>AKE-135</v>
          </cell>
          <cell r="U3" t="str">
            <v>Q097322</v>
          </cell>
          <cell r="V3" t="str">
            <v>6074827</v>
          </cell>
          <cell r="W3" t="str">
            <v>05-aug-2027</v>
          </cell>
          <cell r="Y3">
            <v>2962950</v>
          </cell>
          <cell r="Z3">
            <v>29881</v>
          </cell>
          <cell r="AA3">
            <v>34662</v>
          </cell>
        </row>
        <row r="4">
          <cell r="B4" t="str">
            <v>KHI/HO/D/MO/PC COMP/P/90920/06/2024</v>
          </cell>
          <cell r="C4" t="str">
            <v>KHI/HO/D/MO/PC COMP/E/48464/00171/11/2024</v>
          </cell>
          <cell r="D4" t="str">
            <v>REN</v>
          </cell>
          <cell r="E4" t="str">
            <v>01/11/24</v>
          </cell>
          <cell r="F4" t="str">
            <v>28/06/2024</v>
          </cell>
          <cell r="G4" t="str">
            <v>27/06/2025</v>
          </cell>
          <cell r="H4" t="str">
            <v>08004499</v>
          </cell>
          <cell r="I4" t="str">
            <v>AL BARAKA BANK (PAKISTAN) LIMITED</v>
          </cell>
          <cell r="J4" t="str">
            <v>BANK</v>
          </cell>
          <cell r="K4" t="str">
            <v>M/s. Al Baraka Bank (Pakistan) Limited
M/S. Al Baraka Bank (Pakistan) Limited
User:Usman  Yousaf</v>
          </cell>
          <cell r="L4" t="str">
            <v>D</v>
          </cell>
          <cell r="M4" t="str">
            <v>09000221</v>
          </cell>
          <cell r="N4">
            <v>100</v>
          </cell>
          <cell r="O4" t="str">
            <v>KARACHI</v>
          </cell>
          <cell r="P4" t="str">
            <v>538-G JOHAR TOWN LAHORE</v>
          </cell>
          <cell r="Q4" t="str">
            <v>11000003</v>
          </cell>
          <cell r="R4" t="str">
            <v>SUZUKI MEHRAN VXR EURO-II</v>
          </cell>
          <cell r="S4" t="str">
            <v>2018</v>
          </cell>
          <cell r="T4" t="str">
            <v>LE-18A-1558</v>
          </cell>
          <cell r="U4" t="str">
            <v>738456</v>
          </cell>
          <cell r="V4" t="str">
            <v>1276977</v>
          </cell>
          <cell r="W4" t="str">
            <v>05-jul-2025</v>
          </cell>
          <cell r="Y4">
            <v>-516750</v>
          </cell>
          <cell r="Z4">
            <v>-4249</v>
          </cell>
          <cell r="AA4">
            <v>-4929</v>
          </cell>
        </row>
        <row r="5">
          <cell r="B5" t="str">
            <v>KHI/HO/D/MO/CV/P/95148/08/2024</v>
          </cell>
          <cell r="C5" t="str">
            <v>KHI/HO/D/MO/CV/E/48524/00001/11/2024</v>
          </cell>
          <cell r="D5" t="str">
            <v>REN</v>
          </cell>
          <cell r="E5" t="str">
            <v>04/11/24</v>
          </cell>
          <cell r="F5" t="str">
            <v>11/08/2024</v>
          </cell>
          <cell r="G5" t="str">
            <v>10/08/2025</v>
          </cell>
          <cell r="H5" t="str">
            <v>08004499</v>
          </cell>
          <cell r="I5" t="str">
            <v>AL BARAKA BANK (PAKISTAN) LIMITED</v>
          </cell>
          <cell r="J5" t="str">
            <v>BANK</v>
          </cell>
          <cell r="K5" t="str">
            <v>Mr. 
Al Baraka Bank ( Pakistan) Limited
Mr. Noor Ul Wahab
HPA M/s : Al Baraka Bank ( Pakistan ) Limited</v>
          </cell>
          <cell r="L5" t="str">
            <v>D</v>
          </cell>
          <cell r="M5" t="str">
            <v>09000221</v>
          </cell>
          <cell r="N5">
            <v>100</v>
          </cell>
          <cell r="P5" t="str">
            <v>H No 624 Street No 05 Sector 4-C -2 Ghouri Town Islamabad</v>
          </cell>
          <cell r="Q5" t="str">
            <v>11000003</v>
          </cell>
          <cell r="R5" t="str">
            <v>SUZUKI RAVI VX</v>
          </cell>
          <cell r="S5" t="str">
            <v>2022</v>
          </cell>
          <cell r="T5" t="str">
            <v>TAB-277</v>
          </cell>
          <cell r="U5" t="str">
            <v>386487</v>
          </cell>
          <cell r="V5" t="str">
            <v>491124</v>
          </cell>
          <cell r="X5" t="str">
            <v>3</v>
          </cell>
          <cell r="Y5">
            <v>-1210400</v>
          </cell>
          <cell r="Z5">
            <v>-7610</v>
          </cell>
          <cell r="AA5">
            <v>-8827</v>
          </cell>
        </row>
        <row r="6">
          <cell r="B6" t="str">
            <v>KHI/HO/D/MO/CV/P/95148/08/2024</v>
          </cell>
          <cell r="C6" t="str">
            <v>KHI/HO/D/MO/CV/E/48524/00003/11/2024</v>
          </cell>
          <cell r="D6" t="str">
            <v>REN</v>
          </cell>
          <cell r="E6" t="str">
            <v>04/11/24</v>
          </cell>
          <cell r="F6" t="str">
            <v>13/08/2024</v>
          </cell>
          <cell r="G6" t="str">
            <v>12/08/2025</v>
          </cell>
          <cell r="H6" t="str">
            <v>08004499</v>
          </cell>
          <cell r="I6" t="str">
            <v>AL BARAKA BANK (PAKISTAN) LIMITED</v>
          </cell>
          <cell r="J6" t="str">
            <v>BANK</v>
          </cell>
          <cell r="K6" t="str">
            <v>Mr. 
Al Baraka Bank ( Pakistan) Limited
Mr Inam Ul Haq 
HPA M/s. Al Baraka Bank (Pakistan) Limited</v>
          </cell>
          <cell r="L6" t="str">
            <v>D</v>
          </cell>
          <cell r="M6" t="str">
            <v>09000221</v>
          </cell>
          <cell r="N6">
            <v>100</v>
          </cell>
          <cell r="P6" t="str">
            <v>1004-R1 Johar Town Lahore</v>
          </cell>
          <cell r="Q6" t="str">
            <v>11000003</v>
          </cell>
          <cell r="R6" t="str">
            <v>SUZUKI RAVI VX EURO II</v>
          </cell>
          <cell r="S6" t="str">
            <v>2023</v>
          </cell>
          <cell r="U6" t="str">
            <v>389811</v>
          </cell>
          <cell r="V6" t="str">
            <v>K494479</v>
          </cell>
          <cell r="X6" t="str">
            <v>3</v>
          </cell>
          <cell r="Y6">
            <v>1670400</v>
          </cell>
          <cell r="Z6">
            <v>0</v>
          </cell>
          <cell r="AA6">
            <v>0</v>
          </cell>
        </row>
        <row r="7">
          <cell r="B7" t="str">
            <v>KHI/HO/D/MO/PC COMP/P/77479/11/2023</v>
          </cell>
          <cell r="C7" t="str">
            <v>KHI/HO/D/MO/PC COMP/E/48527/00048/11/2024</v>
          </cell>
          <cell r="D7" t="str">
            <v>FRE</v>
          </cell>
          <cell r="E7" t="str">
            <v>04/11/24</v>
          </cell>
          <cell r="F7" t="str">
            <v>29/11/2023</v>
          </cell>
          <cell r="G7" t="str">
            <v>28/11/2024</v>
          </cell>
          <cell r="H7" t="str">
            <v>08004499</v>
          </cell>
          <cell r="I7" t="str">
            <v>AL BARAKA BANK (PAKISTAN) LIMITED</v>
          </cell>
          <cell r="J7" t="str">
            <v>BANK</v>
          </cell>
          <cell r="K7" t="str">
            <v>Mr. 
HPA M/s. Al Baraka Bank (Pakistan) Limited
Mr. Alam Ali
HPA M/s. Al Baraka Bank (Pakistan) Limited</v>
          </cell>
          <cell r="L7" t="str">
            <v>D</v>
          </cell>
          <cell r="M7" t="str">
            <v>09000221</v>
          </cell>
          <cell r="N7">
            <v>100</v>
          </cell>
          <cell r="P7" t="str">
            <v>Chah Hima Mehroka P/o Nora Rath The Arifwala</v>
          </cell>
          <cell r="Q7" t="str">
            <v>11000003</v>
          </cell>
          <cell r="R7" t="str">
            <v>SUZUKI ALTO VXR</v>
          </cell>
          <cell r="S7" t="str">
            <v>2020</v>
          </cell>
          <cell r="T7" t="str">
            <v>AAT-781</v>
          </cell>
          <cell r="U7" t="str">
            <v>6R140660</v>
          </cell>
          <cell r="V7" t="str">
            <v>6H1040636</v>
          </cell>
          <cell r="Y7">
            <v>-2150000</v>
          </cell>
          <cell r="Z7">
            <v>0</v>
          </cell>
          <cell r="AA7">
            <v>0</v>
          </cell>
        </row>
        <row r="8">
          <cell r="B8" t="str">
            <v>KHI/HO/D/MO/PC COMP/P/77479/11/2023</v>
          </cell>
          <cell r="C8" t="str">
            <v>KHI/HO/D/MO/PC COMP/E/48527/00047/11/2024</v>
          </cell>
          <cell r="D8" t="str">
            <v>FRE</v>
          </cell>
          <cell r="E8" t="str">
            <v>04/11/24</v>
          </cell>
          <cell r="F8" t="str">
            <v>29/11/2023</v>
          </cell>
          <cell r="G8" t="str">
            <v>28/11/2024</v>
          </cell>
          <cell r="H8" t="str">
            <v>08004499</v>
          </cell>
          <cell r="I8" t="str">
            <v>AL BARAKA BANK (PAKISTAN) LIMITED</v>
          </cell>
          <cell r="J8" t="str">
            <v>BANK</v>
          </cell>
          <cell r="K8" t="str">
            <v>Mr. 
HPA M/s. Al Baraka Bank (Pakistan) Limited
Mr. Syed Tasawar Hussain Shah
HPA M/s. Al Baraka Bank (Pakistan) Limited</v>
          </cell>
          <cell r="L8" t="str">
            <v>D</v>
          </cell>
          <cell r="M8" t="str">
            <v>09000221</v>
          </cell>
          <cell r="N8">
            <v>100</v>
          </cell>
          <cell r="P8" t="str">
            <v>H No 5 St No 1 Pak Town Shangi Road Lahore</v>
          </cell>
          <cell r="Q8" t="str">
            <v>11000003</v>
          </cell>
          <cell r="R8" t="str">
            <v>KIA SPORTAGE</v>
          </cell>
          <cell r="S8" t="str">
            <v>2019</v>
          </cell>
          <cell r="T8" t="str">
            <v>APY-19-105</v>
          </cell>
          <cell r="U8" t="str">
            <v>H039166</v>
          </cell>
          <cell r="V8" t="str">
            <v>P501200</v>
          </cell>
          <cell r="Y8">
            <v>-7000000</v>
          </cell>
          <cell r="Z8">
            <v>0</v>
          </cell>
          <cell r="AA8">
            <v>0</v>
          </cell>
        </row>
        <row r="9">
          <cell r="B9" t="str">
            <v>KHI/HO/D/MO/PC COMP/P/77479/11/2023</v>
          </cell>
          <cell r="C9" t="str">
            <v>KHI/HO/D/MO/PC COMP/E/48527/00033/11/2024</v>
          </cell>
          <cell r="D9" t="str">
            <v>FRE</v>
          </cell>
          <cell r="E9" t="str">
            <v>04/11/24</v>
          </cell>
          <cell r="F9" t="str">
            <v>21/11/2023</v>
          </cell>
          <cell r="G9" t="str">
            <v>20/11/2024</v>
          </cell>
          <cell r="H9" t="str">
            <v>08004499</v>
          </cell>
          <cell r="I9" t="str">
            <v>AL BARAKA BANK (PAKISTAN) LIMITED</v>
          </cell>
          <cell r="J9" t="str">
            <v>BANK</v>
          </cell>
          <cell r="K9" t="str">
            <v>Mr. 
HPA M/s. Al Baraka Bank (Pakistan) Limited
Mr. Muhammad Faisal
HPA M/s. Al Baraka Bank (Pakistan) Limited</v>
          </cell>
          <cell r="L9" t="str">
            <v>D</v>
          </cell>
          <cell r="M9" t="str">
            <v>09000221</v>
          </cell>
          <cell r="N9">
            <v>100</v>
          </cell>
          <cell r="P9" t="str">
            <v>UG-39 Mateen Shopping Galaxy Gulshan 10-A Block Karachi</v>
          </cell>
          <cell r="Q9" t="str">
            <v>11000003</v>
          </cell>
          <cell r="R9" t="str">
            <v>TOYOTA COROLLA ALTIS  1.6</v>
          </cell>
          <cell r="S9" t="str">
            <v>2021</v>
          </cell>
          <cell r="T9" t="str">
            <v>BUZ-973</v>
          </cell>
          <cell r="U9" t="str">
            <v>Q076041</v>
          </cell>
          <cell r="V9" t="str">
            <v>6053544</v>
          </cell>
          <cell r="Y9">
            <v>-5200000</v>
          </cell>
          <cell r="Z9">
            <v>0</v>
          </cell>
          <cell r="AA9">
            <v>0</v>
          </cell>
        </row>
        <row r="10">
          <cell r="B10" t="str">
            <v>KHI/HO/D/MO/PC COMP/P/93459/07/2024</v>
          </cell>
          <cell r="C10" t="str">
            <v>KHI/HO/D/MO/PC COMP/E/48530/00007/11/2024</v>
          </cell>
          <cell r="D10" t="str">
            <v>REN</v>
          </cell>
          <cell r="E10" t="str">
            <v>04/11/24</v>
          </cell>
          <cell r="F10" t="str">
            <v>20/07/2024</v>
          </cell>
          <cell r="G10" t="str">
            <v>19/07/2025</v>
          </cell>
          <cell r="H10" t="str">
            <v>08004499</v>
          </cell>
          <cell r="I10" t="str">
            <v>AL BARAKA BANK (PAKISTAN) LIMITED</v>
          </cell>
          <cell r="J10" t="str">
            <v>BANK</v>
          </cell>
          <cell r="K10" t="str">
            <v>HPA M/S. AL BARAKA BANK PAKISTAN LIMITED
Mr. Muhammad Abid Niyaz Khan     
HPA M/s. Al Baraka Bank (Pakistan) Limited</v>
          </cell>
          <cell r="L10" t="str">
            <v>D</v>
          </cell>
          <cell r="M10" t="str">
            <v>09000221</v>
          </cell>
          <cell r="N10">
            <v>100</v>
          </cell>
          <cell r="O10" t="str">
            <v>KARACHI</v>
          </cell>
          <cell r="P10" t="str">
            <v>House No. R-243 Sector 15-A/5 Bufferzone  North Karachi Karachi</v>
          </cell>
          <cell r="Q10" t="str">
            <v>11000003</v>
          </cell>
          <cell r="R10" t="str">
            <v>TOYOTA COROLLA XLI 1.3</v>
          </cell>
          <cell r="S10" t="str">
            <v>2014</v>
          </cell>
          <cell r="T10" t="str">
            <v>BBS-232</v>
          </cell>
          <cell r="U10" t="str">
            <v>042698</v>
          </cell>
          <cell r="V10" t="str">
            <v>2193141</v>
          </cell>
          <cell r="X10" t="str">
            <v>3</v>
          </cell>
          <cell r="Y10">
            <v>-1155000</v>
          </cell>
          <cell r="Z10">
            <v>-14002</v>
          </cell>
          <cell r="AA10">
            <v>-16242</v>
          </cell>
        </row>
        <row r="11">
          <cell r="B11" t="str">
            <v>KHI/HO/D/MO/PC COMP/P/80156/12/2023</v>
          </cell>
          <cell r="C11" t="str">
            <v>KHI/HO/D/MO/PC COMP/E/48534/00029/11/2024</v>
          </cell>
          <cell r="D11" t="str">
            <v>REN</v>
          </cell>
          <cell r="E11" t="str">
            <v>04/11/24</v>
          </cell>
          <cell r="F11" t="str">
            <v>21/12/2023</v>
          </cell>
          <cell r="G11" t="str">
            <v>20/12/2024</v>
          </cell>
          <cell r="H11" t="str">
            <v>08004499</v>
          </cell>
          <cell r="I11" t="str">
            <v>AL BARAKA BANK (PAKISTAN) LIMITED</v>
          </cell>
          <cell r="J11" t="str">
            <v>BANK</v>
          </cell>
          <cell r="K11" t="str">
            <v>Mr. 
HPA M/s. Al Baraka Bank (Pakistan) Limited
Mr. Muzzain Khalil
HPA M/s. Al Baraka Bank (Pakistan) Limited</v>
          </cell>
          <cell r="L11" t="str">
            <v>D</v>
          </cell>
          <cell r="M11" t="str">
            <v>09000221</v>
          </cell>
          <cell r="N11">
            <v>100</v>
          </cell>
          <cell r="P11" t="str">
            <v>H NO 56 St No E-14 Qurashi Town Islamabad</v>
          </cell>
          <cell r="Q11" t="str">
            <v>11000003</v>
          </cell>
          <cell r="R11" t="str">
            <v>TOYOTA COROLLA ALTIS GRAN</v>
          </cell>
          <cell r="S11" t="str">
            <v>2022</v>
          </cell>
          <cell r="U11" t="str">
            <v>363438</v>
          </cell>
          <cell r="V11" t="str">
            <v>7062567</v>
          </cell>
          <cell r="X11" t="str">
            <v>03</v>
          </cell>
          <cell r="Y11">
            <v>-4187250</v>
          </cell>
          <cell r="Z11">
            <v>0</v>
          </cell>
          <cell r="AA11">
            <v>0</v>
          </cell>
        </row>
        <row r="12">
          <cell r="B12" t="str">
            <v>KHI/HO/D/MO/PC COMP/P/84687/02/2024</v>
          </cell>
          <cell r="C12" t="str">
            <v>KHI/HO/D/MO/PC COMP/E/48535/00008/11/2024</v>
          </cell>
          <cell r="D12" t="str">
            <v>REN</v>
          </cell>
          <cell r="E12" t="str">
            <v>04/11/24</v>
          </cell>
          <cell r="F12" t="str">
            <v>01/03/2024</v>
          </cell>
          <cell r="G12" t="str">
            <v>28/02/2025</v>
          </cell>
          <cell r="H12" t="str">
            <v>08004499</v>
          </cell>
          <cell r="I12" t="str">
            <v>AL BARAKA BANK (PAKISTAN) LIMITED</v>
          </cell>
          <cell r="J12" t="str">
            <v>BANK</v>
          </cell>
          <cell r="K12" t="str">
            <v>HPA M/S. AL BARAKA BANK (PAKISTAN) LIMITED
Mr. Adil Khan
HPA M/s. Al Baraka Bank (Pakistan) Limited.</v>
          </cell>
          <cell r="L12" t="str">
            <v>D</v>
          </cell>
          <cell r="M12" t="str">
            <v>09000221</v>
          </cell>
          <cell r="N12">
            <v>100</v>
          </cell>
          <cell r="P12" t="str">
            <v>KHANEWAL ROAD NEAR DAEWOO TERMINAL MULTAN</v>
          </cell>
          <cell r="Q12" t="str">
            <v>11000003</v>
          </cell>
          <cell r="R12" t="str">
            <v>SUZUKI MEHRAN VXR EURO-II</v>
          </cell>
          <cell r="S12" t="str">
            <v>2019</v>
          </cell>
          <cell r="T12" t="str">
            <v>AMT-468</v>
          </cell>
          <cell r="U12" t="str">
            <v>766830</v>
          </cell>
          <cell r="V12" t="str">
            <v>01305358</v>
          </cell>
          <cell r="X12" t="str">
            <v>5</v>
          </cell>
          <cell r="Y12">
            <v>-602000</v>
          </cell>
          <cell r="Z12">
            <v>-2475</v>
          </cell>
          <cell r="AA12">
            <v>-2500</v>
          </cell>
        </row>
        <row r="13">
          <cell r="B13" t="str">
            <v>KHI/HO/D/MO/PC COMP/P/84687/02/2024</v>
          </cell>
          <cell r="C13" t="str">
            <v>KHI/HO/D/MO/PC COMP/E/48535/00006/11/2024</v>
          </cell>
          <cell r="D13" t="str">
            <v>REN</v>
          </cell>
          <cell r="E13" t="str">
            <v>04/11/24</v>
          </cell>
          <cell r="F13" t="str">
            <v>01/03/2024</v>
          </cell>
          <cell r="G13" t="str">
            <v>28/02/2025</v>
          </cell>
          <cell r="H13" t="str">
            <v>08004499</v>
          </cell>
          <cell r="I13" t="str">
            <v>AL BARAKA BANK (PAKISTAN) LIMITED</v>
          </cell>
          <cell r="J13" t="str">
            <v>BANK</v>
          </cell>
          <cell r="K13" t="str">
            <v>HPA M/S. AL BARAKA BANK (PAKISTAN) LIMITED
Mr. Syed Ahsan Ali Shah 
HPA M/s. Al Baraka Bank (Pakistan) Limited</v>
          </cell>
          <cell r="L13" t="str">
            <v>D</v>
          </cell>
          <cell r="M13" t="str">
            <v>09000221</v>
          </cell>
          <cell r="N13">
            <v>100</v>
          </cell>
          <cell r="P13" t="str">
            <v>H No A-50 Sector</v>
          </cell>
          <cell r="Q13" t="str">
            <v>11000003</v>
          </cell>
          <cell r="R13" t="str">
            <v>SUZUKI ALTO VXL</v>
          </cell>
          <cell r="S13" t="str">
            <v>2020</v>
          </cell>
          <cell r="T13" t="str">
            <v>BRS-520</v>
          </cell>
          <cell r="U13" t="str">
            <v>128575</v>
          </cell>
          <cell r="V13" t="str">
            <v>1028468</v>
          </cell>
          <cell r="Y13">
            <v>1201500</v>
          </cell>
          <cell r="Z13">
            <v>12344</v>
          </cell>
          <cell r="AA13">
            <v>14319</v>
          </cell>
        </row>
        <row r="14">
          <cell r="B14" t="str">
            <v>KHI/HO/D/MO/PC COMP/P/85019/03/2024</v>
          </cell>
          <cell r="C14" t="str">
            <v>KHI/HO/D/MO/PC COMP/E/48544/00032/11/2024</v>
          </cell>
          <cell r="D14" t="str">
            <v>REN</v>
          </cell>
          <cell r="E14" t="str">
            <v>04/11/24</v>
          </cell>
          <cell r="F14" t="str">
            <v>31/03/2024</v>
          </cell>
          <cell r="G14" t="str">
            <v>30/03/2025</v>
          </cell>
          <cell r="H14" t="str">
            <v>08004499</v>
          </cell>
          <cell r="I14" t="str">
            <v>AL BARAKA BANK (PAKISTAN) LIMITED</v>
          </cell>
          <cell r="J14" t="str">
            <v>BANK</v>
          </cell>
          <cell r="K14" t="str">
            <v>Mr. 
HPA M/s. Al Baraka Bank (Pakistan) Limited
Mr. Shafqat Hussain Khan
HPA M/s. Al Baraka Bank (Pakistan) Limited</v>
          </cell>
          <cell r="L14" t="str">
            <v>D</v>
          </cell>
          <cell r="M14" t="str">
            <v>09000221</v>
          </cell>
          <cell r="N14">
            <v>100</v>
          </cell>
          <cell r="P14" t="str">
            <v>H No 63 Room 03 Ground Floor Near Masjid Jaffar Chppar Stop Mottar Road Lahore</v>
          </cell>
          <cell r="Q14" t="str">
            <v>11000003</v>
          </cell>
          <cell r="R14" t="str">
            <v>SUZUKI ALTO VXR</v>
          </cell>
          <cell r="S14" t="str">
            <v>2022</v>
          </cell>
          <cell r="T14" t="str">
            <v>BBU-776</v>
          </cell>
          <cell r="U14" t="str">
            <v>212123</v>
          </cell>
          <cell r="V14" t="str">
            <v>1112123</v>
          </cell>
          <cell r="X14" t="str">
            <v>01</v>
          </cell>
          <cell r="Y14">
            <v>-1663200</v>
          </cell>
          <cell r="Z14">
            <v>-29179</v>
          </cell>
          <cell r="AA14">
            <v>-33264</v>
          </cell>
        </row>
        <row r="15">
          <cell r="B15" t="str">
            <v>KHI/HO/D/MO/PC COMP/P/85019/03/2024</v>
          </cell>
          <cell r="C15" t="str">
            <v>KHI/HO/D/MO/PC COMP/E/48544/00008/11/2024</v>
          </cell>
          <cell r="D15" t="str">
            <v>REN</v>
          </cell>
          <cell r="E15" t="str">
            <v>04/11/24</v>
          </cell>
          <cell r="F15" t="str">
            <v>04/04/2024</v>
          </cell>
          <cell r="G15" t="str">
            <v>13/03/2025</v>
          </cell>
          <cell r="H15" t="str">
            <v>08004499</v>
          </cell>
          <cell r="I15" t="str">
            <v>AL BARAKA BANK (PAKISTAN) LIMITED</v>
          </cell>
          <cell r="J15" t="str">
            <v>BANK</v>
          </cell>
          <cell r="K15" t="str">
            <v>Mr. 
HPA M/s. Al Baraka Bank (Pakistan) Limited
Mr. Amir Shahzad
HPA M/s. Al Baraka Bank (Pakistan) Limited</v>
          </cell>
          <cell r="L15" t="str">
            <v>D</v>
          </cell>
          <cell r="M15" t="str">
            <v>09000221</v>
          </cell>
          <cell r="N15">
            <v>100</v>
          </cell>
          <cell r="P15" t="str">
            <v>Pattan Mianara Road Moh Niazi Colony Rahimyarkhan</v>
          </cell>
          <cell r="Q15" t="str">
            <v>11000003</v>
          </cell>
          <cell r="R15" t="str">
            <v>SUZUKI ALTO</v>
          </cell>
          <cell r="S15" t="str">
            <v>2023</v>
          </cell>
          <cell r="T15" t="str">
            <v>ANQ-547</v>
          </cell>
          <cell r="U15" t="str">
            <v>269806</v>
          </cell>
          <cell r="V15" t="str">
            <v>1169772</v>
          </cell>
          <cell r="Y15">
            <v>-1778400</v>
          </cell>
          <cell r="Z15">
            <v>-31200</v>
          </cell>
          <cell r="AA15">
            <v>-35568</v>
          </cell>
        </row>
        <row r="16">
          <cell r="B16" t="str">
            <v>KHI/HO/D/MO/PC COMP/P/85019/03/2024</v>
          </cell>
          <cell r="C16" t="str">
            <v>KHI/HO/D/MO/PC COMP/E/48544/00009/11/2024</v>
          </cell>
          <cell r="D16" t="str">
            <v>REN</v>
          </cell>
          <cell r="E16" t="str">
            <v>04/11/24</v>
          </cell>
          <cell r="F16" t="str">
            <v>19/04/2024</v>
          </cell>
          <cell r="G16" t="str">
            <v>14/03/2025</v>
          </cell>
          <cell r="H16" t="str">
            <v>08004499</v>
          </cell>
          <cell r="I16" t="str">
            <v>AL BARAKA BANK (PAKISTAN) LIMITED</v>
          </cell>
          <cell r="J16" t="str">
            <v>BANK</v>
          </cell>
          <cell r="K16" t="str">
            <v>Mr. 
HPA M/s. Al Baraka Bank (Pakistan) Limited
Mr. Muhammad Junaid 
HPA M/s. Al Baraka Bank (Pakistan) Limited</v>
          </cell>
          <cell r="L16" t="str">
            <v>D</v>
          </cell>
          <cell r="M16" t="str">
            <v>09000221</v>
          </cell>
          <cell r="N16">
            <v>100</v>
          </cell>
          <cell r="P16" t="str">
            <v>H # 40 Umar Colony Infantory Road Dharampura Lahore</v>
          </cell>
          <cell r="Q16" t="str">
            <v>11000003</v>
          </cell>
          <cell r="R16" t="str">
            <v>SUZUKI SWIFT DLX A/T NAV.</v>
          </cell>
          <cell r="S16" t="str">
            <v>2019</v>
          </cell>
          <cell r="T16" t="str">
            <v>LE-20-9097</v>
          </cell>
          <cell r="U16" t="str">
            <v>PKS13047710</v>
          </cell>
          <cell r="V16" t="str">
            <v>K10047707</v>
          </cell>
          <cell r="X16" t="str">
            <v>3</v>
          </cell>
          <cell r="Y16">
            <v>-2025000</v>
          </cell>
          <cell r="Z16">
            <v>-35527</v>
          </cell>
          <cell r="AA16">
            <v>-40500</v>
          </cell>
        </row>
        <row r="17">
          <cell r="B17" t="str">
            <v>KHI/HO/D/MO/PC COMP/P/85019/03/2024</v>
          </cell>
          <cell r="C17" t="str">
            <v>KHI/HO/D/MO/PC COMP/E/48544/00015/11/2024</v>
          </cell>
          <cell r="D17" t="str">
            <v>REN</v>
          </cell>
          <cell r="E17" t="str">
            <v>04/11/24</v>
          </cell>
          <cell r="F17" t="str">
            <v>26/03/2024</v>
          </cell>
          <cell r="G17" t="str">
            <v>26/03/2025</v>
          </cell>
          <cell r="H17" t="str">
            <v>08004499</v>
          </cell>
          <cell r="I17" t="str">
            <v>AL BARAKA BANK (PAKISTAN) LIMITED</v>
          </cell>
          <cell r="J17" t="str">
            <v>BANK</v>
          </cell>
          <cell r="K17" t="str">
            <v>Mr. 
HPA M/s. Al Baraka Bank (Pakistan) Limited
Mr. Kashif Ali 
HPA M/s. Al Baraka Bank (Pakistan) Limited</v>
          </cell>
          <cell r="L17" t="str">
            <v>D</v>
          </cell>
          <cell r="M17" t="str">
            <v>09000221</v>
          </cell>
          <cell r="N17">
            <v>100</v>
          </cell>
          <cell r="P17" t="str">
            <v>P-11 Block C Liaqat Town Faisalabad</v>
          </cell>
          <cell r="Q17" t="str">
            <v>11000003</v>
          </cell>
          <cell r="R17" t="str">
            <v>HONDA CITY</v>
          </cell>
          <cell r="S17" t="str">
            <v>2017</v>
          </cell>
          <cell r="T17" t="str">
            <v>BJZ-008</v>
          </cell>
          <cell r="U17" t="str">
            <v>L13Z17463762</v>
          </cell>
          <cell r="V17" t="str">
            <v>NFBGM1645HR207133</v>
          </cell>
          <cell r="X17" t="str">
            <v>3</v>
          </cell>
          <cell r="Y17">
            <v>-2790000</v>
          </cell>
          <cell r="Z17">
            <v>-48948</v>
          </cell>
          <cell r="AA17">
            <v>-55800</v>
          </cell>
        </row>
        <row r="18">
          <cell r="B18" t="str">
            <v>KHI/HO/D/MO/PC COMP/P/85019/03/2024</v>
          </cell>
          <cell r="C18" t="str">
            <v>KHI/HO/D/MO/PC COMP/E/48544/00017/11/2024</v>
          </cell>
          <cell r="D18" t="str">
            <v>REN</v>
          </cell>
          <cell r="E18" t="str">
            <v>04/11/24</v>
          </cell>
          <cell r="F18" t="str">
            <v>09/04/2024</v>
          </cell>
          <cell r="G18" t="str">
            <v>28/03/2025</v>
          </cell>
          <cell r="H18" t="str">
            <v>08004499</v>
          </cell>
          <cell r="I18" t="str">
            <v>AL BARAKA BANK (PAKISTAN) LIMITED</v>
          </cell>
          <cell r="J18" t="str">
            <v>BANK</v>
          </cell>
          <cell r="K18" t="str">
            <v>Mr. 
HPA M/s. Al Baraka Bank (Pakistan) Limited
Mr. Muhammad Haider  Ali
HPA M/s. Al Baraka Bank (Pakistan) Limited</v>
          </cell>
          <cell r="L18" t="str">
            <v>D</v>
          </cell>
          <cell r="M18" t="str">
            <v>09000221</v>
          </cell>
          <cell r="N18">
            <v>100</v>
          </cell>
          <cell r="P18" t="str">
            <v>H # D-4 Buch Executive Villas Multan</v>
          </cell>
          <cell r="Q18" t="str">
            <v>11000003</v>
          </cell>
          <cell r="R18" t="str">
            <v>HONDA CIVIC VTI  ORIEL PT</v>
          </cell>
          <cell r="S18" t="str">
            <v>2016</v>
          </cell>
          <cell r="T18" t="str">
            <v>LEH-16-764</v>
          </cell>
          <cell r="U18" t="str">
            <v>71400471</v>
          </cell>
          <cell r="V18" t="str">
            <v>R02095</v>
          </cell>
          <cell r="X18" t="str">
            <v>3</v>
          </cell>
          <cell r="Y18">
            <v>-3600000</v>
          </cell>
          <cell r="Z18">
            <v>-47368</v>
          </cell>
          <cell r="AA18">
            <v>-54000</v>
          </cell>
        </row>
        <row r="19">
          <cell r="B19" t="str">
            <v>KHI/HO/D/MO/PC COMP/P/85019/03/2024</v>
          </cell>
          <cell r="C19" t="str">
            <v>KHI/HO/D/MO/PC COMP/E/48544/00018/11/2024</v>
          </cell>
          <cell r="D19" t="str">
            <v>REN</v>
          </cell>
          <cell r="E19" t="str">
            <v>04/11/24</v>
          </cell>
          <cell r="F19" t="str">
            <v>29/03/2024</v>
          </cell>
          <cell r="G19" t="str">
            <v>28/03/2025</v>
          </cell>
          <cell r="H19" t="str">
            <v>08004499</v>
          </cell>
          <cell r="I19" t="str">
            <v>AL BARAKA BANK (PAKISTAN) LIMITED</v>
          </cell>
          <cell r="J19" t="str">
            <v>BANK</v>
          </cell>
          <cell r="K19" t="str">
            <v>Mr. 
HPA M/s. Al Baraka Bank (Pakistan) Limited
Mr. Jummah Khan 
HPA M/s. Al Baraka Bank (Pakistan) Limited</v>
          </cell>
          <cell r="L19" t="str">
            <v>D</v>
          </cell>
          <cell r="M19" t="str">
            <v>09000221</v>
          </cell>
          <cell r="N19">
            <v>100</v>
          </cell>
          <cell r="P19" t="str">
            <v>Gulshan abad Multan Road DG Khan</v>
          </cell>
          <cell r="Q19" t="str">
            <v>11000003</v>
          </cell>
          <cell r="R19" t="str">
            <v>TOYOTA COROLLA ALTIS CVT</v>
          </cell>
          <cell r="S19" t="str">
            <v>2023</v>
          </cell>
          <cell r="T19" t="str">
            <v>ANU-758</v>
          </cell>
          <cell r="U19" t="str">
            <v>Q365328</v>
          </cell>
          <cell r="V19" t="str">
            <v>7064531</v>
          </cell>
          <cell r="X19" t="str">
            <v>3</v>
          </cell>
          <cell r="Y19">
            <v>-5228550</v>
          </cell>
          <cell r="Z19">
            <v>-8599</v>
          </cell>
          <cell r="AA19">
            <v>-8685</v>
          </cell>
        </row>
        <row r="20">
          <cell r="B20" t="str">
            <v>KHI/HO/D/MO/PC COMP/P/86676/04/2024</v>
          </cell>
          <cell r="C20" t="str">
            <v>KHI/HO/D/MO/PC COMP/E/48545/00015/11/2024</v>
          </cell>
          <cell r="D20" t="str">
            <v>REN</v>
          </cell>
          <cell r="E20" t="str">
            <v>04/11/24</v>
          </cell>
          <cell r="F20" t="str">
            <v>26/04/2024</v>
          </cell>
          <cell r="G20" t="str">
            <v>25/04/2025</v>
          </cell>
          <cell r="H20" t="str">
            <v>08004499</v>
          </cell>
          <cell r="I20" t="str">
            <v>AL BARAKA BANK (PAKISTAN) LIMITED</v>
          </cell>
          <cell r="J20" t="str">
            <v>BANK</v>
          </cell>
          <cell r="K20" t="str">
            <v>HPA M/s. Al Baraka Bank Pakistan Limited
Mr. Arshad Majeed               
HPA M/s. Al Baraka Bank Pakistan Limited</v>
          </cell>
          <cell r="L20" t="str">
            <v>D</v>
          </cell>
          <cell r="M20" t="str">
            <v>09000221</v>
          </cell>
          <cell r="N20">
            <v>100</v>
          </cell>
          <cell r="O20" t="str">
            <v>LAHORE</v>
          </cell>
          <cell r="P20" t="str">
            <v>House No. 1136 Muhammadi Molvi Didar Ali shah Inside Dehli Gate Lahore</v>
          </cell>
          <cell r="Q20" t="str">
            <v>11000003</v>
          </cell>
          <cell r="R20" t="str">
            <v>DAIHATSU MOVE</v>
          </cell>
          <cell r="S20" t="str">
            <v>2016</v>
          </cell>
          <cell r="T20" t="str">
            <v>LEB-20-9614</v>
          </cell>
          <cell r="U20" t="str">
            <v>469791</v>
          </cell>
          <cell r="V20" t="str">
            <v>0097370</v>
          </cell>
          <cell r="X20" t="str">
            <v>3</v>
          </cell>
          <cell r="Y20">
            <v>-1480000</v>
          </cell>
          <cell r="Z20">
            <v>-32456</v>
          </cell>
          <cell r="AA20">
            <v>-37000</v>
          </cell>
        </row>
        <row r="21">
          <cell r="B21" t="str">
            <v>KHI/HO/D/MO/PC COMP/P/86676/04/2024</v>
          </cell>
          <cell r="C21" t="str">
            <v>KHI/HO/D/MO/PC COMP/E/48545/00017/11/2024</v>
          </cell>
          <cell r="D21" t="str">
            <v>REN</v>
          </cell>
          <cell r="E21" t="str">
            <v>04/11/24</v>
          </cell>
          <cell r="F21" t="str">
            <v>26/04/2024</v>
          </cell>
          <cell r="G21" t="str">
            <v>25/04/2025</v>
          </cell>
          <cell r="H21" t="str">
            <v>08004499</v>
          </cell>
          <cell r="I21" t="str">
            <v>AL BARAKA BANK (PAKISTAN) LIMITED</v>
          </cell>
          <cell r="J21" t="str">
            <v>BANK</v>
          </cell>
          <cell r="K21" t="str">
            <v>HPA M/s. Al Baraka Bank Pakistan Limited
Mr. Naveed Ahmad                
HPA M/s. Al Baraka Bank Pakistan Limited</v>
          </cell>
          <cell r="L21" t="str">
            <v>D</v>
          </cell>
          <cell r="M21" t="str">
            <v>09000221</v>
          </cell>
          <cell r="N21">
            <v>100</v>
          </cell>
          <cell r="O21" t="str">
            <v>GUJRANWALA</v>
          </cell>
          <cell r="P21" t="str">
            <v>House No. 1263 Block FF Wafy City City Housing Gujranwala</v>
          </cell>
          <cell r="Q21" t="str">
            <v>11000003</v>
          </cell>
          <cell r="R21" t="str">
            <v>SUZUKI ALTO VXL AGS E-2</v>
          </cell>
          <cell r="S21" t="str">
            <v>2021</v>
          </cell>
          <cell r="T21" t="str">
            <v>ADA-199</v>
          </cell>
          <cell r="U21" t="str">
            <v>164425</v>
          </cell>
          <cell r="V21" t="str">
            <v>1064432</v>
          </cell>
          <cell r="X21" t="str">
            <v>3</v>
          </cell>
          <cell r="Y21">
            <v>-1306400</v>
          </cell>
          <cell r="Z21">
            <v>-3581</v>
          </cell>
          <cell r="AA21">
            <v>-3617</v>
          </cell>
        </row>
        <row r="22">
          <cell r="B22" t="str">
            <v>KHI/HO/D/MO/PC COMP/P/86676/04/2024</v>
          </cell>
          <cell r="C22" t="str">
            <v>KHI/HO/D/MO/PC COMP/E/48545/00036/11/2024</v>
          </cell>
          <cell r="D22" t="str">
            <v>REN</v>
          </cell>
          <cell r="E22" t="str">
            <v>04/11/24</v>
          </cell>
          <cell r="F22" t="str">
            <v>29/04/2024</v>
          </cell>
          <cell r="G22" t="str">
            <v>28/04/2025</v>
          </cell>
          <cell r="H22" t="str">
            <v>08004499</v>
          </cell>
          <cell r="I22" t="str">
            <v>AL BARAKA BANK (PAKISTAN) LIMITED</v>
          </cell>
          <cell r="J22" t="str">
            <v>BANK</v>
          </cell>
          <cell r="K22" t="str">
            <v>HPA M/s. Al Baraka Bank Pakistan Limited
Mr. Sikandar Akbar Khan     
HPA M/s. Al Baraka Bank Pakistan Limited</v>
          </cell>
          <cell r="L22" t="str">
            <v>D</v>
          </cell>
          <cell r="M22" t="str">
            <v>09000221</v>
          </cell>
          <cell r="N22">
            <v>100</v>
          </cell>
          <cell r="O22" t="str">
            <v>LAHORE</v>
          </cell>
          <cell r="P22" t="str">
            <v>House No. 423/10 Lane 12 Saffari Villas Bahria Town Lahore</v>
          </cell>
          <cell r="Q22" t="str">
            <v>11000003</v>
          </cell>
          <cell r="R22" t="str">
            <v>HONDA BRV I-VTEC S STD</v>
          </cell>
          <cell r="S22" t="str">
            <v>2017</v>
          </cell>
          <cell r="T22" t="str">
            <v>LEA-17A-8099</v>
          </cell>
          <cell r="U22" t="str">
            <v>13503595</v>
          </cell>
          <cell r="V22" t="str">
            <v>HR003521</v>
          </cell>
          <cell r="X22" t="str">
            <v>3</v>
          </cell>
          <cell r="Y22">
            <v>-2160000</v>
          </cell>
          <cell r="Z22">
            <v>-47368</v>
          </cell>
          <cell r="AA22">
            <v>-54000</v>
          </cell>
        </row>
        <row r="23">
          <cell r="B23" t="str">
            <v>KHI/HO/D/MO/PC COMP/P/86676/04/2024</v>
          </cell>
          <cell r="C23" t="str">
            <v>KHI/HO/D/MO/PC COMP/E/48545/00040/11/2024</v>
          </cell>
          <cell r="D23" t="str">
            <v>REN</v>
          </cell>
          <cell r="E23" t="str">
            <v>04/11/24</v>
          </cell>
          <cell r="F23" t="str">
            <v>30/04/2024</v>
          </cell>
          <cell r="G23" t="str">
            <v>29/04/2025</v>
          </cell>
          <cell r="H23" t="str">
            <v>08004499</v>
          </cell>
          <cell r="I23" t="str">
            <v>AL BARAKA BANK (PAKISTAN) LIMITED</v>
          </cell>
          <cell r="J23" t="str">
            <v>BANK</v>
          </cell>
          <cell r="K23" t="str">
            <v>HPA M/s. Al Baraka Bank Pakistan Limited
Mr. Haifz Muhammad  Nadeem  
HPA M/s. Al Baraka Bank Pakistan Limited</v>
          </cell>
          <cell r="L23" t="str">
            <v>D</v>
          </cell>
          <cell r="M23" t="str">
            <v>09000221</v>
          </cell>
          <cell r="N23">
            <v>100</v>
          </cell>
          <cell r="O23" t="str">
            <v>LAHORE</v>
          </cell>
          <cell r="P23" t="str">
            <v>Plot No. 268 Gawala Colony Near Harbanspura PS Lahore</v>
          </cell>
          <cell r="Q23" t="str">
            <v>11000003</v>
          </cell>
          <cell r="R23" t="str">
            <v>TOYOTA COROLLA GLI M/T 1.</v>
          </cell>
          <cell r="S23" t="str">
            <v>2017</v>
          </cell>
          <cell r="T23" t="str">
            <v>LEB-17A-9612</v>
          </cell>
          <cell r="U23" t="str">
            <v>Z505896</v>
          </cell>
          <cell r="V23" t="str">
            <v>4132038</v>
          </cell>
          <cell r="X23" t="str">
            <v>3</v>
          </cell>
          <cell r="Y23">
            <v>-2240000</v>
          </cell>
          <cell r="Z23">
            <v>-49123</v>
          </cell>
          <cell r="AA23">
            <v>-56000</v>
          </cell>
        </row>
        <row r="24">
          <cell r="B24" t="str">
            <v>KHI/HO/D/MO/PC COMP/P/86676/04/2024</v>
          </cell>
          <cell r="C24" t="str">
            <v>KHI/HO/D/MO/PC COMP/E/48545/00011/11/2024</v>
          </cell>
          <cell r="D24" t="str">
            <v>REN</v>
          </cell>
          <cell r="E24" t="str">
            <v>04/11/24</v>
          </cell>
          <cell r="F24" t="str">
            <v>22/04/2024</v>
          </cell>
          <cell r="G24" t="str">
            <v>21/04/2025</v>
          </cell>
          <cell r="H24" t="str">
            <v>08004499</v>
          </cell>
          <cell r="I24" t="str">
            <v>AL BARAKA BANK (PAKISTAN) LIMITED</v>
          </cell>
          <cell r="J24" t="str">
            <v>BANK</v>
          </cell>
          <cell r="K24" t="str">
            <v>HPA M/s. Al Baraka Bank Pakistan Limited
Mr. Javed Akhtar           
HPA M/s. Al Baraka Bank Pakistan Limited</v>
          </cell>
          <cell r="L24" t="str">
            <v>D</v>
          </cell>
          <cell r="M24" t="str">
            <v>09000221</v>
          </cell>
          <cell r="N24">
            <v>100</v>
          </cell>
          <cell r="O24" t="str">
            <v>KARACHI</v>
          </cell>
          <cell r="P24" t="str">
            <v>House No. 34/1 25th Street Khayaban-e-Mujahid  Phase 5 DHA Karachi</v>
          </cell>
          <cell r="Q24" t="str">
            <v>11000003</v>
          </cell>
          <cell r="R24" t="str">
            <v>HONDA CIVIC VTI  ORIEL PT</v>
          </cell>
          <cell r="S24" t="str">
            <v>2021</v>
          </cell>
          <cell r="T24" t="str">
            <v>BTM-771</v>
          </cell>
          <cell r="U24" t="str">
            <v>6920118</v>
          </cell>
          <cell r="V24" t="str">
            <v>072406</v>
          </cell>
          <cell r="X24" t="str">
            <v>3</v>
          </cell>
          <cell r="Y24">
            <v>2588800</v>
          </cell>
          <cell r="Z24">
            <v>9905</v>
          </cell>
          <cell r="AA24">
            <v>11490</v>
          </cell>
        </row>
        <row r="25">
          <cell r="B25" t="str">
            <v>KHI/HO/D/MO/PC COMP/P/82186/01/2024</v>
          </cell>
          <cell r="C25" t="str">
            <v>KHI/HO/D/MO/PC COMP/E/48546/00015/11/2024</v>
          </cell>
          <cell r="D25" t="str">
            <v>REN</v>
          </cell>
          <cell r="E25" t="str">
            <v>04/11/24</v>
          </cell>
          <cell r="F25" t="str">
            <v>16/01/2024</v>
          </cell>
          <cell r="G25" t="str">
            <v>15/01/2025</v>
          </cell>
          <cell r="H25" t="str">
            <v>08004499</v>
          </cell>
          <cell r="I25" t="str">
            <v>AL BARAKA BANK (PAKISTAN) LIMITED</v>
          </cell>
          <cell r="J25" t="str">
            <v>BANK</v>
          </cell>
          <cell r="K25" t="str">
            <v>Mr. 
HPA M/s. Al Baraka Bank (Pakistan) Limited
Mr. Sher Muhammad 
HPA M/s. Al Baraka Bank (Pakistan) Limited</v>
          </cell>
          <cell r="L25" t="str">
            <v>D</v>
          </cell>
          <cell r="M25" t="str">
            <v>09000221</v>
          </cell>
          <cell r="N25">
            <v>100</v>
          </cell>
          <cell r="P25" t="str">
            <v>Flat No. Upper Ground 4 Block C Abdullah Palace Wadhuwah Road Hyderabad</v>
          </cell>
          <cell r="Q25" t="str">
            <v>11000003</v>
          </cell>
          <cell r="R25" t="str">
            <v>TOYOTA HILUX VIGO CHAMP G</v>
          </cell>
          <cell r="S25" t="str">
            <v>2016</v>
          </cell>
          <cell r="T25" t="str">
            <v>KV-6389</v>
          </cell>
          <cell r="U25" t="str">
            <v>2KDU874376</v>
          </cell>
          <cell r="V25" t="str">
            <v>9610902</v>
          </cell>
          <cell r="X25" t="str">
            <v>3</v>
          </cell>
          <cell r="Y25">
            <v>-5040000</v>
          </cell>
          <cell r="Z25">
            <v>0</v>
          </cell>
          <cell r="AA25">
            <v>0</v>
          </cell>
        </row>
        <row r="26">
          <cell r="B26" t="str">
            <v>KHI/HO/D/MO/PC COMP/P/86646/04/2024</v>
          </cell>
          <cell r="C26" t="str">
            <v>KHI/HO/D/MO/PC COMP/E/48550/00074/11/2024</v>
          </cell>
          <cell r="D26" t="str">
            <v>REN</v>
          </cell>
          <cell r="E26" t="str">
            <v>04/11/24</v>
          </cell>
          <cell r="F26" t="str">
            <v>22/05/2024</v>
          </cell>
          <cell r="G26" t="str">
            <v>26/04/2025</v>
          </cell>
          <cell r="H26" t="str">
            <v>08004499</v>
          </cell>
          <cell r="I26" t="str">
            <v>AL BARAKA BANK (PAKISTAN) LIMITED</v>
          </cell>
          <cell r="J26" t="str">
            <v>BANK</v>
          </cell>
          <cell r="K26" t="str">
            <v>M/s. Al Baraka Bank (Pakistan) Limited
Mr. Sheharyar Tanveer
HPA M/s. Al Baraka Bank Pakistan Limited</v>
          </cell>
          <cell r="L26" t="str">
            <v>D</v>
          </cell>
          <cell r="M26" t="str">
            <v>09000221</v>
          </cell>
          <cell r="N26">
            <v>100</v>
          </cell>
          <cell r="P26" t="str">
            <v>H No 89 C-2 Punjab Housig Society Near Nespar Lahore</v>
          </cell>
          <cell r="Q26" t="str">
            <v>11000003</v>
          </cell>
          <cell r="R26" t="str">
            <v>TOYOTA YARIS GLI CVT</v>
          </cell>
          <cell r="S26" t="str">
            <v>2022</v>
          </cell>
          <cell r="T26" t="str">
            <v>AJU-241</v>
          </cell>
          <cell r="U26" t="str">
            <v>2A50591</v>
          </cell>
          <cell r="V26" t="str">
            <v>7031867</v>
          </cell>
          <cell r="Y26">
            <v>-2427600</v>
          </cell>
          <cell r="Z26">
            <v>-37265</v>
          </cell>
          <cell r="AA26">
            <v>-42483</v>
          </cell>
        </row>
        <row r="27">
          <cell r="B27" t="str">
            <v>KHI/HO/D/MO/PC COMP/P/86646/04/2024</v>
          </cell>
          <cell r="C27" t="str">
            <v>KHI/HO/D/MO/PC COMP/E/48550/00089/11/2024</v>
          </cell>
          <cell r="D27" t="str">
            <v>REN</v>
          </cell>
          <cell r="E27" t="str">
            <v>04/11/24</v>
          </cell>
          <cell r="F27" t="str">
            <v>30/04/2024</v>
          </cell>
          <cell r="G27" t="str">
            <v>29/04/2025</v>
          </cell>
          <cell r="H27" t="str">
            <v>08004499</v>
          </cell>
          <cell r="I27" t="str">
            <v>AL BARAKA BANK (PAKISTAN) LIMITED</v>
          </cell>
          <cell r="J27" t="str">
            <v>BANK</v>
          </cell>
          <cell r="K27" t="str">
            <v>M/s. Al Baraka Bank (Pakistan) Limited
Mr. Ahmad Saeed 
HPA M/s. Al Baraka Bank Pakistan Limited</v>
          </cell>
          <cell r="L27" t="str">
            <v>D</v>
          </cell>
          <cell r="M27" t="str">
            <v>09000221</v>
          </cell>
          <cell r="N27">
            <v>100</v>
          </cell>
          <cell r="P27" t="str">
            <v>H No 1 St No 04 Ghosia Abad Main Bazar Main Sukh Lahore</v>
          </cell>
          <cell r="Q27" t="str">
            <v>11000003</v>
          </cell>
          <cell r="R27" t="str">
            <v>SUZUKI WAGON R VXL</v>
          </cell>
          <cell r="S27" t="str">
            <v>2022</v>
          </cell>
          <cell r="U27" t="str">
            <v>231412</v>
          </cell>
          <cell r="V27" t="str">
            <v>10131402</v>
          </cell>
          <cell r="Y27">
            <v>-1771400</v>
          </cell>
          <cell r="Z27">
            <v>-38847</v>
          </cell>
          <cell r="AA27">
            <v>-44285</v>
          </cell>
        </row>
        <row r="28">
          <cell r="B28" t="str">
            <v>KHI/HO/D/MO/PC COMP/P/86646/04/2024</v>
          </cell>
          <cell r="C28" t="str">
            <v>KHI/HO/D/MO/PC COMP/E/48550/00038/11/2024</v>
          </cell>
          <cell r="D28" t="str">
            <v>REN</v>
          </cell>
          <cell r="E28" t="str">
            <v>04/11/24</v>
          </cell>
          <cell r="F28" t="str">
            <v>16/04/2024</v>
          </cell>
          <cell r="G28" t="str">
            <v>15/04/2025</v>
          </cell>
          <cell r="H28" t="str">
            <v>08004499</v>
          </cell>
          <cell r="I28" t="str">
            <v>AL BARAKA BANK (PAKISTAN) LIMITED</v>
          </cell>
          <cell r="J28" t="str">
            <v>BANK</v>
          </cell>
          <cell r="K28" t="str">
            <v>M/s. Al Baraka Bank (Pakistan) Limited
Mr. Muhammad Sarfaraz Akhtar   
HPA M/s. Al Baraka Bank (Pakistan) Limited</v>
          </cell>
          <cell r="L28" t="str">
            <v>D</v>
          </cell>
          <cell r="M28" t="str">
            <v>09000221</v>
          </cell>
          <cell r="N28">
            <v>100</v>
          </cell>
          <cell r="P28" t="str">
            <v>Gali Ghulam Dastagir Wali Mohallah Rasool Pura Phool Nagar Patoki</v>
          </cell>
          <cell r="Q28" t="str">
            <v>11000003</v>
          </cell>
          <cell r="R28" t="str">
            <v>SUZUKI WAGON-R VXL E2</v>
          </cell>
          <cell r="S28" t="str">
            <v>2022</v>
          </cell>
          <cell r="T28" t="str">
            <v>AJP-160</v>
          </cell>
          <cell r="U28" t="str">
            <v>B233079</v>
          </cell>
          <cell r="V28" t="str">
            <v>PK10133088</v>
          </cell>
          <cell r="X28" t="str">
            <v>3</v>
          </cell>
          <cell r="Y28">
            <v>-1678750</v>
          </cell>
          <cell r="Z28">
            <v>-25770</v>
          </cell>
          <cell r="AA28">
            <v>-29378</v>
          </cell>
        </row>
        <row r="29">
          <cell r="B29" t="str">
            <v>KHI/HO/D/MO/PC COMP/P/86646/04/2024</v>
          </cell>
          <cell r="C29" t="str">
            <v>KHI/HO/D/MO/PC COMP/E/48550/00018/11/2024</v>
          </cell>
          <cell r="D29" t="str">
            <v>REN</v>
          </cell>
          <cell r="E29" t="str">
            <v>04/11/24</v>
          </cell>
          <cell r="F29" t="str">
            <v>11/04/2024</v>
          </cell>
          <cell r="G29" t="str">
            <v>10/04/2025</v>
          </cell>
          <cell r="H29" t="str">
            <v>08004499</v>
          </cell>
          <cell r="I29" t="str">
            <v>AL BARAKA BANK (PAKISTAN) LIMITED</v>
          </cell>
          <cell r="J29" t="str">
            <v>BANK</v>
          </cell>
          <cell r="K29" t="str">
            <v>M/s. Al Baraka Bank (Pakistan) Limited
Mr. Mr. Roheel Ahmad
M/s. Al Baraka Bank (Pakistan) Limited</v>
          </cell>
          <cell r="L29" t="str">
            <v>D</v>
          </cell>
          <cell r="M29" t="str">
            <v>09000221</v>
          </cell>
          <cell r="N29">
            <v>100</v>
          </cell>
          <cell r="P29" t="str">
            <v>H No 72 St No Mehar Fiaz Colony Fateh Garh Lahore</v>
          </cell>
          <cell r="Q29" t="str">
            <v>11000003</v>
          </cell>
          <cell r="R29" t="str">
            <v>SUZUKI WAGON R VXL</v>
          </cell>
          <cell r="S29" t="str">
            <v>2022</v>
          </cell>
          <cell r="T29" t="str">
            <v>AKE-360</v>
          </cell>
          <cell r="U29" t="str">
            <v>232487</v>
          </cell>
          <cell r="V29" t="str">
            <v>10132485</v>
          </cell>
          <cell r="Y29">
            <v>-1678750</v>
          </cell>
          <cell r="Z29">
            <v>-7398</v>
          </cell>
          <cell r="AA29">
            <v>-7472</v>
          </cell>
        </row>
        <row r="30">
          <cell r="B30" t="str">
            <v>KHI/HO/D/MO/PC COMP/P/86646/04/2024</v>
          </cell>
          <cell r="C30" t="str">
            <v>KHI/HO/D/MO/PC COMP/E/48550/00030/11/2024</v>
          </cell>
          <cell r="D30" t="str">
            <v>REN</v>
          </cell>
          <cell r="E30" t="str">
            <v>04/11/24</v>
          </cell>
          <cell r="F30" t="str">
            <v>13/04/2024</v>
          </cell>
          <cell r="G30" t="str">
            <v>12/04/2025</v>
          </cell>
          <cell r="H30" t="str">
            <v>08004499</v>
          </cell>
          <cell r="I30" t="str">
            <v>AL BARAKA BANK (PAKISTAN) LIMITED</v>
          </cell>
          <cell r="J30" t="str">
            <v>BANK</v>
          </cell>
          <cell r="K30" t="str">
            <v>M/s. Al Baraka Bank (Pakistan) Limited
Mr. Muhammad Mujahid Iqbal
HPA M/s. Al Baraka Bank (Pakistan) Limited</v>
          </cell>
          <cell r="L30" t="str">
            <v>D</v>
          </cell>
          <cell r="M30" t="str">
            <v>09000221</v>
          </cell>
          <cell r="N30">
            <v>100</v>
          </cell>
          <cell r="P30" t="str">
            <v>H No 04 Street Mohallah Ahmed Nagar Rashidminhas Road Wah Cantt</v>
          </cell>
          <cell r="Q30" t="str">
            <v>11000003</v>
          </cell>
          <cell r="R30" t="str">
            <v>SUZUKI WAGON R VXL</v>
          </cell>
          <cell r="S30" t="str">
            <v>2022</v>
          </cell>
          <cell r="T30" t="str">
            <v>AYT-667</v>
          </cell>
          <cell r="U30" t="str">
            <v>231645</v>
          </cell>
          <cell r="V30" t="str">
            <v>10131653</v>
          </cell>
          <cell r="X30" t="str">
            <v>6</v>
          </cell>
          <cell r="Y30">
            <v>-1716150</v>
          </cell>
          <cell r="Z30">
            <v>-37635</v>
          </cell>
          <cell r="AA30">
            <v>-42904</v>
          </cell>
        </row>
        <row r="31">
          <cell r="B31" t="str">
            <v>KHI/HO/D/MO/PC COMP/P/86646/04/2024</v>
          </cell>
          <cell r="C31" t="str">
            <v>KHI/HO/D/MO/PC COMP/E/48550/00007/11/2024</v>
          </cell>
          <cell r="D31" t="str">
            <v>REN</v>
          </cell>
          <cell r="E31" t="str">
            <v>04/11/24</v>
          </cell>
          <cell r="F31" t="str">
            <v>05/04/2024</v>
          </cell>
          <cell r="G31" t="str">
            <v>04/04/2025</v>
          </cell>
          <cell r="H31" t="str">
            <v>08004499</v>
          </cell>
          <cell r="I31" t="str">
            <v>AL BARAKA BANK (PAKISTAN) LIMITED</v>
          </cell>
          <cell r="J31" t="str">
            <v>BANK</v>
          </cell>
          <cell r="K31" t="str">
            <v>M/s. Al Baraka Bank (Pakistan) Limited
Ms. Abida Ishaq Mir
HPA M/S Al Baraka Bank (Pakistan) Limited</v>
          </cell>
          <cell r="L31" t="str">
            <v>D</v>
          </cell>
          <cell r="M31" t="str">
            <v>09000221</v>
          </cell>
          <cell r="N31">
            <v>100</v>
          </cell>
          <cell r="P31" t="str">
            <v>H No 76 Street No 2 Block B Media Town Islamabad</v>
          </cell>
          <cell r="Q31" t="str">
            <v>11000003</v>
          </cell>
          <cell r="R31" t="str">
            <v>SUZUKI ALTO VXR</v>
          </cell>
          <cell r="S31" t="str">
            <v>2022</v>
          </cell>
          <cell r="T31" t="str">
            <v>AYC-360</v>
          </cell>
          <cell r="U31" t="str">
            <v>223962</v>
          </cell>
          <cell r="V31" t="str">
            <v>1123951</v>
          </cell>
          <cell r="X31" t="str">
            <v>6</v>
          </cell>
          <cell r="Y31">
            <v>-1314100</v>
          </cell>
          <cell r="Z31">
            <v>-20173</v>
          </cell>
          <cell r="AA31">
            <v>-22997</v>
          </cell>
        </row>
        <row r="32">
          <cell r="B32" t="str">
            <v>KHI/HO/D/MO/PC COMP/P/85047/03/2024</v>
          </cell>
          <cell r="C32" t="str">
            <v>KHI/HO/D/MO/PC COMP/E/48609/00031/11/2024</v>
          </cell>
          <cell r="D32" t="str">
            <v>REN</v>
          </cell>
          <cell r="E32" t="str">
            <v>05/11/24</v>
          </cell>
          <cell r="F32" t="str">
            <v>16/03/2024</v>
          </cell>
          <cell r="G32" t="str">
            <v>15/03/2025</v>
          </cell>
          <cell r="H32" t="str">
            <v>08004499</v>
          </cell>
          <cell r="I32" t="str">
            <v>AL BARAKA BANK (PAKISTAN) LIMITED</v>
          </cell>
          <cell r="J32" t="str">
            <v>BANK</v>
          </cell>
          <cell r="K32" t="str">
            <v>Mr.
HPA M/S Al Baraka Bank (Pakistan) Limited
Mr. Khurram Dilawar Khan
HPA M/S Al Baraka Bank (Pakistan) Limited</v>
          </cell>
          <cell r="L32" t="str">
            <v>D</v>
          </cell>
          <cell r="M32" t="str">
            <v>09000221</v>
          </cell>
          <cell r="N32">
            <v>100</v>
          </cell>
          <cell r="P32" t="str">
            <v>Near Av Girls High School Millat Road Sanda Lahore</v>
          </cell>
          <cell r="Q32" t="str">
            <v>11000003</v>
          </cell>
          <cell r="R32" t="str">
            <v>SUZUKI ALTO AGS A/T</v>
          </cell>
          <cell r="S32" t="str">
            <v>2022</v>
          </cell>
          <cell r="T32" t="str">
            <v>AJA-642</v>
          </cell>
          <cell r="U32" t="str">
            <v>6R215282</v>
          </cell>
          <cell r="V32" t="str">
            <v>H1115295</v>
          </cell>
          <cell r="Y32">
            <v>1007150</v>
          </cell>
          <cell r="Z32">
            <v>8088</v>
          </cell>
          <cell r="AA32">
            <v>9382</v>
          </cell>
        </row>
        <row r="33">
          <cell r="B33" t="str">
            <v>KHI/HO/D/MO/PC COMP/P/85047/03/2024</v>
          </cell>
          <cell r="C33" t="str">
            <v>KHI/HO/D/MO/PC COMP/E/48609/00040/11/2024</v>
          </cell>
          <cell r="D33" t="str">
            <v>REN</v>
          </cell>
          <cell r="E33" t="str">
            <v>05/11/24</v>
          </cell>
          <cell r="F33" t="str">
            <v>18/03/2024</v>
          </cell>
          <cell r="G33" t="str">
            <v>17/03/2025</v>
          </cell>
          <cell r="H33" t="str">
            <v>08004499</v>
          </cell>
          <cell r="I33" t="str">
            <v>AL BARAKA BANK (PAKISTAN) LIMITED</v>
          </cell>
          <cell r="J33" t="str">
            <v>BANK</v>
          </cell>
          <cell r="K33" t="str">
            <v>Mr.
HPA M/S Al Baraka Bank (Pakistan) Limited
Mr. Hafiz Muhammad Adeel
HPA M/S Al Baraka Bank (Pakistan) Limited</v>
          </cell>
          <cell r="L33" t="str">
            <v>D</v>
          </cell>
          <cell r="M33" t="str">
            <v>09000221</v>
          </cell>
          <cell r="N33">
            <v>100</v>
          </cell>
          <cell r="P33" t="str">
            <v>H No 111 Block 1 Shah Rukne Alam Colony Multan</v>
          </cell>
          <cell r="Q33" t="str">
            <v>11000003</v>
          </cell>
          <cell r="R33" t="str">
            <v>SUZUKI ALTO</v>
          </cell>
          <cell r="S33" t="str">
            <v>2022</v>
          </cell>
          <cell r="T33" t="str">
            <v>AJH-569</v>
          </cell>
          <cell r="U33" t="str">
            <v>206921</v>
          </cell>
          <cell r="V33" t="str">
            <v>1106853</v>
          </cell>
          <cell r="Y33">
            <v>-1314100</v>
          </cell>
          <cell r="Z33">
            <v>-28819</v>
          </cell>
          <cell r="AA33">
            <v>-32853</v>
          </cell>
        </row>
        <row r="34">
          <cell r="B34" t="str">
            <v>KHI/HO/D/MO/PC COMP/P/85047/03/2024</v>
          </cell>
          <cell r="C34" t="str">
            <v>KHI/HO/D/MO/PC COMP/E/48609/00049/11/2024</v>
          </cell>
          <cell r="D34" t="str">
            <v>REN</v>
          </cell>
          <cell r="E34" t="str">
            <v>05/11/24</v>
          </cell>
          <cell r="F34" t="str">
            <v>24/03/2024</v>
          </cell>
          <cell r="G34" t="str">
            <v>23/03/2025</v>
          </cell>
          <cell r="H34" t="str">
            <v>08004499</v>
          </cell>
          <cell r="I34" t="str">
            <v>AL BARAKA BANK (PAKISTAN) LIMITED</v>
          </cell>
          <cell r="J34" t="str">
            <v>BANK</v>
          </cell>
          <cell r="K34" t="str">
            <v>Mr.
HPA M/S Al Baraka Bank (Pakistan) Limited
Mr. Waleed Islam 
HPA M/S Al Baraka Bank (Pakistan) Limited</v>
          </cell>
          <cell r="L34" t="str">
            <v>D</v>
          </cell>
          <cell r="M34" t="str">
            <v>09000221</v>
          </cell>
          <cell r="N34">
            <v>100</v>
          </cell>
          <cell r="O34" t="str">
            <v>LAHORE</v>
          </cell>
          <cell r="P34" t="str">
            <v>H # 10-A Miltary Accouts Society College Road Lahore</v>
          </cell>
          <cell r="Q34" t="str">
            <v>11000003</v>
          </cell>
          <cell r="R34" t="str">
            <v>SUZUKI CULTUS VXL EURO II</v>
          </cell>
          <cell r="S34" t="str">
            <v>2019</v>
          </cell>
          <cell r="T34" t="str">
            <v>LEH-19-8656</v>
          </cell>
          <cell r="U34" t="str">
            <v>K149355</v>
          </cell>
          <cell r="V34" t="str">
            <v>H10049366</v>
          </cell>
          <cell r="X34" t="str">
            <v>3</v>
          </cell>
          <cell r="Y34">
            <v>-3697500</v>
          </cell>
          <cell r="Z34">
            <v>-48651</v>
          </cell>
          <cell r="AA34">
            <v>-55463</v>
          </cell>
        </row>
        <row r="35">
          <cell r="B35" t="str">
            <v>KHI/HO/D/MO/PC COMP/P/92394/07/2024</v>
          </cell>
          <cell r="C35" t="str">
            <v>KHI/HO/D/MO/PC COMP/E/48630/00042/11/2024</v>
          </cell>
          <cell r="D35" t="str">
            <v>FRE</v>
          </cell>
          <cell r="E35" t="str">
            <v>05/11/24</v>
          </cell>
          <cell r="F35" t="str">
            <v>30/07/2024</v>
          </cell>
          <cell r="G35" t="str">
            <v>29/07/2025</v>
          </cell>
          <cell r="H35" t="str">
            <v>08004499</v>
          </cell>
          <cell r="I35" t="str">
            <v>AL BARAKA BANK (PAKISTAN) LIMITED</v>
          </cell>
          <cell r="J35" t="str">
            <v>BANK</v>
          </cell>
          <cell r="K35" t="str">
            <v>Mr. 
HPA M/s. Al Baraka Bank ( Pakistan ) Limited
Mr. Sardar Muhammad Ishaq 
HPA M/s. Al Baraka Bank ( Pakistan ) Limited</v>
          </cell>
          <cell r="L35" t="str">
            <v>D</v>
          </cell>
          <cell r="M35" t="str">
            <v>09000221</v>
          </cell>
          <cell r="N35">
            <v>100</v>
          </cell>
          <cell r="P35" t="str">
            <v>H # 448-A Phase 5 DHA Lahore</v>
          </cell>
          <cell r="Q35" t="str">
            <v>11000003</v>
          </cell>
          <cell r="R35" t="str">
            <v>HYUNDAI Elantra GLS Sport</v>
          </cell>
          <cell r="T35" t="str">
            <v>AMD-248</v>
          </cell>
          <cell r="U35" t="str">
            <v>U748934</v>
          </cell>
          <cell r="V35" t="str">
            <v>MMN300145</v>
          </cell>
          <cell r="X35" t="str">
            <v>3</v>
          </cell>
          <cell r="Y35">
            <v>-5450000</v>
          </cell>
          <cell r="Z35">
            <v>-44046</v>
          </cell>
          <cell r="AA35">
            <v>-51094</v>
          </cell>
        </row>
        <row r="36">
          <cell r="B36" t="str">
            <v>KHI/HO/D/MO/PC COMP/P/86662/04/2024</v>
          </cell>
          <cell r="C36" t="str">
            <v>KHI/HO/D/MO/PC COMP/E/48670/00002/11/2024</v>
          </cell>
          <cell r="D36" t="str">
            <v>REN</v>
          </cell>
          <cell r="E36" t="str">
            <v>06/11/24</v>
          </cell>
          <cell r="F36" t="str">
            <v>25/04/2024</v>
          </cell>
          <cell r="G36" t="str">
            <v>24/04/2025</v>
          </cell>
          <cell r="H36" t="str">
            <v>08004499</v>
          </cell>
          <cell r="I36" t="str">
            <v>AL BARAKA BANK (PAKISTAN) LIMITED</v>
          </cell>
          <cell r="J36" t="str">
            <v>BANK</v>
          </cell>
          <cell r="K36" t="str">
            <v>HPA M/S. AL BARAKA BANK (PAKISTAN) LIMITED
Mr. Farooq Jan  
HPA M/s. Al Baraka Bank (Pakistan) Limited.</v>
          </cell>
          <cell r="L36" t="str">
            <v>D</v>
          </cell>
          <cell r="M36" t="str">
            <v>09000221</v>
          </cell>
          <cell r="N36">
            <v>100</v>
          </cell>
          <cell r="O36" t="str">
            <v>KARACHI</v>
          </cell>
          <cell r="P36" t="str">
            <v>House No. B-5 Block 2 Metrovil SITE District West Karachi</v>
          </cell>
          <cell r="Q36" t="str">
            <v>11000003</v>
          </cell>
          <cell r="R36" t="str">
            <v>SUZUKI WAGON-R VXL E2</v>
          </cell>
          <cell r="S36" t="str">
            <v>2016</v>
          </cell>
          <cell r="T36" t="str">
            <v>BGU-083</v>
          </cell>
          <cell r="U36" t="str">
            <v>120488</v>
          </cell>
          <cell r="V36" t="str">
            <v>10020488</v>
          </cell>
          <cell r="X36" t="str">
            <v>5</v>
          </cell>
          <cell r="Y36">
            <v>-735000</v>
          </cell>
          <cell r="Z36">
            <v>-24178</v>
          </cell>
          <cell r="AA36">
            <v>-27563</v>
          </cell>
        </row>
        <row r="37">
          <cell r="B37" t="str">
            <v>KHI/HO/D/MO/PC COMP/P/86662/04/2024</v>
          </cell>
          <cell r="C37" t="str">
            <v>KHI/HO/D/MO/PC COMP/E/48670/00004/11/2024</v>
          </cell>
          <cell r="D37" t="str">
            <v>REN</v>
          </cell>
          <cell r="E37" t="str">
            <v>06/11/24</v>
          </cell>
          <cell r="F37" t="str">
            <v>09/04/2024</v>
          </cell>
          <cell r="G37" t="str">
            <v>08/04/2025</v>
          </cell>
          <cell r="H37" t="str">
            <v>08004499</v>
          </cell>
          <cell r="I37" t="str">
            <v>AL BARAKA BANK (PAKISTAN) LIMITED</v>
          </cell>
          <cell r="J37" t="str">
            <v>BANK</v>
          </cell>
          <cell r="K37" t="str">
            <v>HPA M/S. AL BARAKA BANK (PAKISTAN) LIMITED
MR. MUHAMMAD FARHANCELL  
HPA M/S. AL BARAKA BANK (PAKISTAN)  LIMITED .</v>
          </cell>
          <cell r="L37" t="str">
            <v>D</v>
          </cell>
          <cell r="M37" t="str">
            <v>09000221</v>
          </cell>
          <cell r="N37">
            <v>100</v>
          </cell>
          <cell r="P37" t="str">
            <v>HOUSE NO. 44-45 BLOCK D COMMERCIAL PHASE 2 GREEN CAB HOUSING SCHEME LAHORE</v>
          </cell>
          <cell r="Q37" t="str">
            <v>11000003</v>
          </cell>
          <cell r="R37" t="str">
            <v>HONDA BRV I-VTEC S STD</v>
          </cell>
          <cell r="S37" t="str">
            <v>2018</v>
          </cell>
          <cell r="T37" t="str">
            <v>LED-18-961</v>
          </cell>
          <cell r="U37" t="str">
            <v>3509030</v>
          </cell>
          <cell r="V37" t="str">
            <v>R009040</v>
          </cell>
          <cell r="X37" t="str">
            <v>3</v>
          </cell>
          <cell r="Y37">
            <v>1516450</v>
          </cell>
          <cell r="Z37">
            <v>0</v>
          </cell>
          <cell r="AA37">
            <v>0</v>
          </cell>
        </row>
        <row r="38">
          <cell r="B38" t="str">
            <v>KHI/HO/D/MO/PC COMP/P/88626/05/2024</v>
          </cell>
          <cell r="C38" t="str">
            <v>KHI/HO/D/MO/PC COMP/E/48840/00136/11/2024</v>
          </cell>
          <cell r="D38" t="str">
            <v>REN</v>
          </cell>
          <cell r="E38" t="str">
            <v>07/11/24</v>
          </cell>
          <cell r="F38" t="str">
            <v>04/05/2024</v>
          </cell>
          <cell r="G38" t="str">
            <v>03/05/2025</v>
          </cell>
          <cell r="H38" t="str">
            <v>08004499</v>
          </cell>
          <cell r="I38" t="str">
            <v>AL BARAKA BANK (PAKISTAN) LIMITED</v>
          </cell>
          <cell r="J38" t="str">
            <v>BANK</v>
          </cell>
          <cell r="K38" t="str">
            <v>Mr. 
HPA M/s. Al Baraka Bank (Pakistan) Limited
Mr. 
Hpa M/S. Al Baraka Bank (Pakistan) Limited 
User:Khalid  Hussain</v>
          </cell>
          <cell r="L38" t="str">
            <v>D</v>
          </cell>
          <cell r="M38" t="str">
            <v>09000221</v>
          </cell>
          <cell r="N38">
            <v>100</v>
          </cell>
          <cell r="O38" t="str">
            <v>KARACHI</v>
          </cell>
          <cell r="P38" t="str">
            <v>House No R-273, Shaheed-E-Makhdoom Bilawal
Village Near Safora Chowrangi Karachi.</v>
          </cell>
          <cell r="Q38" t="str">
            <v>11000003</v>
          </cell>
          <cell r="R38" t="str">
            <v>SUZUKI BOLAN STD VX</v>
          </cell>
          <cell r="S38" t="str">
            <v>2019</v>
          </cell>
          <cell r="T38" t="str">
            <v>CY-5525</v>
          </cell>
          <cell r="U38" t="str">
            <v>997419</v>
          </cell>
          <cell r="V38" t="str">
            <v>1113883</v>
          </cell>
          <cell r="W38" t="str">
            <v>05-may-2025</v>
          </cell>
          <cell r="Y38">
            <v>-611800</v>
          </cell>
          <cell r="Z38">
            <v>-20126</v>
          </cell>
          <cell r="AA38">
            <v>-22943</v>
          </cell>
        </row>
        <row r="39">
          <cell r="B39" t="str">
            <v>KHI/HO/D/MO/PC COMP/P/88626/05/2024</v>
          </cell>
          <cell r="C39" t="str">
            <v>KHI/HO/D/MO/PC COMP/E/48840/00036/11/2024</v>
          </cell>
          <cell r="D39" t="str">
            <v>REN</v>
          </cell>
          <cell r="E39" t="str">
            <v>07/11/24</v>
          </cell>
          <cell r="F39" t="str">
            <v>18/05/2024</v>
          </cell>
          <cell r="G39" t="str">
            <v>17/05/2025</v>
          </cell>
          <cell r="H39" t="str">
            <v>08004499</v>
          </cell>
          <cell r="I39" t="str">
            <v>AL BARAKA BANK (PAKISTAN) LIMITED</v>
          </cell>
          <cell r="J39" t="str">
            <v>BANK</v>
          </cell>
          <cell r="K39" t="str">
            <v>Mr. 
HPA M/s. Al Baraka Bank (Pakistan) Limited
Mr. 
Hpa M/S. Al Baraka Bank (Pakistan) Limited 
User:Fareeha  .</v>
          </cell>
          <cell r="L39" t="str">
            <v>D</v>
          </cell>
          <cell r="M39" t="str">
            <v>09000221</v>
          </cell>
          <cell r="N39">
            <v>100</v>
          </cell>
          <cell r="O39" t="str">
            <v>KARACHI</v>
          </cell>
          <cell r="P39" t="str">
            <v>House No. 13 Nain Sukh Shahdra Lahore</v>
          </cell>
          <cell r="Q39" t="str">
            <v>11000003</v>
          </cell>
          <cell r="R39" t="str">
            <v>CHANGAN KARVAAN VAN</v>
          </cell>
          <cell r="S39" t="str">
            <v>2021</v>
          </cell>
          <cell r="T39" t="str">
            <v>AEM-295</v>
          </cell>
          <cell r="U39" t="str">
            <v>503264</v>
          </cell>
          <cell r="V39" t="str">
            <v>1005521</v>
          </cell>
          <cell r="W39" t="str">
            <v>05-jun-2028</v>
          </cell>
          <cell r="Y39">
            <v>908000</v>
          </cell>
          <cell r="Z39">
            <v>10348</v>
          </cell>
          <cell r="AA39">
            <v>12003</v>
          </cell>
        </row>
        <row r="40">
          <cell r="B40" t="str">
            <v>KHI/HO/D/MO/PC COMP/P/95236/08/2024</v>
          </cell>
          <cell r="C40" t="str">
            <v>KHI/HO/D/MO/PC COMP/E/48849/00005/11/2024</v>
          </cell>
          <cell r="D40" t="str">
            <v>REN</v>
          </cell>
          <cell r="E40" t="str">
            <v>08/11/24</v>
          </cell>
          <cell r="F40" t="str">
            <v>29/08/2024</v>
          </cell>
          <cell r="G40" t="str">
            <v>28/08/2025</v>
          </cell>
          <cell r="H40" t="str">
            <v>08004499</v>
          </cell>
          <cell r="I40" t="str">
            <v>AL BARAKA BANK (PAKISTAN) LIMITED</v>
          </cell>
          <cell r="J40" t="str">
            <v>BANK</v>
          </cell>
          <cell r="K40" t="str">
            <v>M/S. AL BARAKA BANK PAKISTAN LIMITED
Mr. Muhammad Ishaq 
HPA M/s. Al Baraka Bank (Pakistan) Limited</v>
          </cell>
          <cell r="L40" t="str">
            <v>D</v>
          </cell>
          <cell r="M40" t="str">
            <v>09000221</v>
          </cell>
          <cell r="N40">
            <v>100</v>
          </cell>
          <cell r="O40" t="str">
            <v>LAHORE</v>
          </cell>
          <cell r="P40" t="str">
            <v>House No.35  Street 23 Nagina Colony Sehra Coat Bund  Road Lahore</v>
          </cell>
          <cell r="Q40" t="str">
            <v>11000003</v>
          </cell>
          <cell r="R40" t="str">
            <v>HONDA CIVIC VTI  ORIEL PT</v>
          </cell>
          <cell r="S40" t="str">
            <v>2019</v>
          </cell>
          <cell r="T40" t="str">
            <v>LE-19A-5757</v>
          </cell>
          <cell r="U40" t="str">
            <v>2953803</v>
          </cell>
          <cell r="V40" t="str">
            <v>KR057224</v>
          </cell>
          <cell r="X40" t="str">
            <v>5</v>
          </cell>
          <cell r="Y40">
            <v>-2727900</v>
          </cell>
          <cell r="Z40">
            <v>-35275</v>
          </cell>
          <cell r="AA40">
            <v>-40919</v>
          </cell>
        </row>
        <row r="41">
          <cell r="B41" t="str">
            <v>KHI/HO/D/MO/PC COMP/P/95236/08/2024</v>
          </cell>
          <cell r="C41" t="str">
            <v>KHI/HO/D/MO/PC COMP/E/48849/00009/11/2024</v>
          </cell>
          <cell r="D41" t="str">
            <v>REN</v>
          </cell>
          <cell r="E41" t="str">
            <v>08/11/24</v>
          </cell>
          <cell r="F41" t="str">
            <v>01/09/2024</v>
          </cell>
          <cell r="G41" t="str">
            <v>31/08/2025</v>
          </cell>
          <cell r="H41" t="str">
            <v>08004499</v>
          </cell>
          <cell r="I41" t="str">
            <v>AL BARAKA BANK (PAKISTAN) LIMITED</v>
          </cell>
          <cell r="J41" t="str">
            <v>BANK</v>
          </cell>
          <cell r="K41" t="str">
            <v>M/S. AL BARAKA BANK PAKISTAN LIMITED
Mr. Shahrukh Ayub
HPA M/s. Al Baraka Bank (Pakistan) Limited</v>
          </cell>
          <cell r="L41" t="str">
            <v>D</v>
          </cell>
          <cell r="M41" t="str">
            <v>09000221</v>
          </cell>
          <cell r="N41">
            <v>100</v>
          </cell>
          <cell r="Q41" t="str">
            <v>11000003</v>
          </cell>
          <cell r="R41" t="str">
            <v>SUZUKI ALTO AGS A/T</v>
          </cell>
          <cell r="S41" t="str">
            <v>2023</v>
          </cell>
          <cell r="T41" t="str">
            <v>ABY-593</v>
          </cell>
          <cell r="U41" t="str">
            <v>6R273269</v>
          </cell>
          <cell r="V41" t="str">
            <v>H1173301</v>
          </cell>
          <cell r="X41" t="str">
            <v>3</v>
          </cell>
          <cell r="Y41">
            <v>2641500</v>
          </cell>
          <cell r="Z41">
            <v>0</v>
          </cell>
          <cell r="AA41">
            <v>0</v>
          </cell>
        </row>
        <row r="42">
          <cell r="B42" t="str">
            <v>KHI/HO/D/MO/PC COMP/P/84011/02/2024</v>
          </cell>
          <cell r="C42" t="str">
            <v>KHI/HO/D/MO/PC COMP/E/48964/00037/11/2024</v>
          </cell>
          <cell r="D42" t="str">
            <v>REN</v>
          </cell>
          <cell r="E42" t="str">
            <v>13/11/24</v>
          </cell>
          <cell r="F42" t="str">
            <v>16/02/2024</v>
          </cell>
          <cell r="G42" t="str">
            <v>15/02/2025</v>
          </cell>
          <cell r="H42" t="str">
            <v>08004499</v>
          </cell>
          <cell r="I42" t="str">
            <v>AL BARAKA BANK (PAKISTAN) LIMITED</v>
          </cell>
          <cell r="J42" t="str">
            <v>BANK</v>
          </cell>
          <cell r="K42" t="str">
            <v>HPA M/S Al Baraka Bank (Pakistan) Limited
Ms. Zarmeen Zahra 
HPA M/S Al Baraka Bank (Pakistan) Limited</v>
          </cell>
          <cell r="L42" t="str">
            <v>D</v>
          </cell>
          <cell r="M42" t="str">
            <v>09000221</v>
          </cell>
          <cell r="N42">
            <v>100</v>
          </cell>
          <cell r="O42" t="str">
            <v>MULTAN</v>
          </cell>
          <cell r="P42" t="str">
            <v>Street 1 Mohallah Zahidabad Shah Faisal Colony Rajwana Road Multan</v>
          </cell>
          <cell r="Q42" t="str">
            <v>11000003</v>
          </cell>
          <cell r="R42" t="str">
            <v>SUZUKI ALTO VXR E-2</v>
          </cell>
          <cell r="S42" t="str">
            <v>2022</v>
          </cell>
          <cell r="T42" t="str">
            <v>AGE-752</v>
          </cell>
          <cell r="U42" t="str">
            <v>212748</v>
          </cell>
          <cell r="V42" t="str">
            <v>1112720</v>
          </cell>
          <cell r="X42" t="str">
            <v>3</v>
          </cell>
          <cell r="Y42">
            <v>985900</v>
          </cell>
          <cell r="Z42">
            <v>14873</v>
          </cell>
          <cell r="AA42">
            <v>17253</v>
          </cell>
        </row>
        <row r="43">
          <cell r="B43" t="str">
            <v>KHI/HO/D/MO/PC COMP/P/84011/02/2024</v>
          </cell>
          <cell r="C43" t="str">
            <v>KHI/HO/D/MO/PC COMP/E/48964/00069/11/2024</v>
          </cell>
          <cell r="D43" t="str">
            <v>REN</v>
          </cell>
          <cell r="E43" t="str">
            <v>13/11/24</v>
          </cell>
          <cell r="F43" t="str">
            <v>24/02/2024</v>
          </cell>
          <cell r="G43" t="str">
            <v>23/02/2025</v>
          </cell>
          <cell r="H43" t="str">
            <v>08004499</v>
          </cell>
          <cell r="I43" t="str">
            <v>AL BARAKA BANK (PAKISTAN) LIMITED</v>
          </cell>
          <cell r="J43" t="str">
            <v>BANK</v>
          </cell>
          <cell r="K43" t="str">
            <v>HPA M/S Al Baraka Bank (Pakistan) Limited
Mr.Mehboob Alam Malik
HPA M/S Al Baraka Bank (Pakistan) Limited</v>
          </cell>
          <cell r="L43" t="str">
            <v>D</v>
          </cell>
          <cell r="M43" t="str">
            <v>09000221</v>
          </cell>
          <cell r="N43">
            <v>100</v>
          </cell>
          <cell r="P43" t="str">
            <v>Dakhana Khas Masjid Zubair Dakhana Khas Kamaha Lahore</v>
          </cell>
          <cell r="Q43" t="str">
            <v>11000003</v>
          </cell>
          <cell r="R43" t="str">
            <v>TOYOTA COROLLA ALTIS 1.6</v>
          </cell>
          <cell r="S43" t="str">
            <v>2022</v>
          </cell>
          <cell r="T43" t="str">
            <v>AGC-970</v>
          </cell>
          <cell r="U43" t="str">
            <v>Q 090674</v>
          </cell>
          <cell r="V43" t="str">
            <v>6068137</v>
          </cell>
          <cell r="Y43">
            <v>2158650</v>
          </cell>
          <cell r="Z43">
            <v>7876</v>
          </cell>
          <cell r="AA43">
            <v>9137</v>
          </cell>
        </row>
        <row r="44">
          <cell r="B44" t="str">
            <v>KHI/HO/D/MO/PC COMP/P/96726/09/2024</v>
          </cell>
          <cell r="C44" t="str">
            <v>KHI/HO/D/MO/PC COMP/E/48982/00025/11/2024</v>
          </cell>
          <cell r="D44" t="str">
            <v>REN</v>
          </cell>
          <cell r="E44" t="str">
            <v>14/11/24</v>
          </cell>
          <cell r="F44" t="str">
            <v>30/09/2024</v>
          </cell>
          <cell r="G44" t="str">
            <v>29/09/2025</v>
          </cell>
          <cell r="H44" t="str">
            <v>08004499</v>
          </cell>
          <cell r="I44" t="str">
            <v>AL BARAKA BANK (PAKISTAN) LIMITED</v>
          </cell>
          <cell r="J44" t="str">
            <v>BANK</v>
          </cell>
          <cell r="K44" t="str">
            <v>HPA M/S. AL-BARAKA BANK (PAKISTAN) LIMITED
Mr. Muhammad Hassan                
HPA M/s. Al Baraka Bank (Pakistan) Limited</v>
          </cell>
          <cell r="L44" t="str">
            <v>D</v>
          </cell>
          <cell r="M44" t="str">
            <v>09000221</v>
          </cell>
          <cell r="N44">
            <v>100</v>
          </cell>
          <cell r="O44" t="str">
            <v>LAHORE</v>
          </cell>
          <cell r="P44" t="str">
            <v>House No. 9 Street 3 Shera Kot Bund Road Lahore</v>
          </cell>
          <cell r="Q44" t="str">
            <v>11000003</v>
          </cell>
          <cell r="R44" t="str">
            <v>SUZUKI BOLAN STD VX EURO</v>
          </cell>
          <cell r="S44" t="str">
            <v>2020</v>
          </cell>
          <cell r="T44" t="str">
            <v>AAR-803</v>
          </cell>
          <cell r="U44" t="str">
            <v>1122467</v>
          </cell>
          <cell r="V44" t="str">
            <v>1005945</v>
          </cell>
          <cell r="X44" t="str">
            <v>3</v>
          </cell>
          <cell r="Y44">
            <v>-850500</v>
          </cell>
          <cell r="Z44">
            <v>-11456</v>
          </cell>
          <cell r="AA44">
            <v>-13289</v>
          </cell>
        </row>
        <row r="45">
          <cell r="B45" t="str">
            <v>KHI/HO/D/MO/PC COMP/P/96726/09/2024</v>
          </cell>
          <cell r="C45" t="str">
            <v>KHI/HO/D/MO/PC COMP/E/48982/00035/11/2024</v>
          </cell>
          <cell r="D45" t="str">
            <v>REN</v>
          </cell>
          <cell r="E45" t="str">
            <v>14/11/24</v>
          </cell>
          <cell r="F45" t="str">
            <v>30/09/2024</v>
          </cell>
          <cell r="G45" t="str">
            <v>29/09/2025</v>
          </cell>
          <cell r="H45" t="str">
            <v>08004499</v>
          </cell>
          <cell r="I45" t="str">
            <v>AL BARAKA BANK (PAKISTAN) LIMITED</v>
          </cell>
          <cell r="J45" t="str">
            <v>BANK</v>
          </cell>
          <cell r="K45" t="str">
            <v>HPA M/S. AL-BARAKA BANK (PAKISTAN) LIMITED
Mr. Subhan Ahmed                 
HPA M/s. Al Baraka Bank (Pakistan) Limited</v>
          </cell>
          <cell r="L45" t="str">
            <v>D</v>
          </cell>
          <cell r="M45" t="str">
            <v>09000221</v>
          </cell>
          <cell r="N45">
            <v>100</v>
          </cell>
          <cell r="O45" t="str">
            <v>ISLAMABAD</v>
          </cell>
          <cell r="P45" t="str">
            <v>House No.552 Street 10-B Ghouri Town Phase 4-B Islamabad</v>
          </cell>
          <cell r="Q45" t="str">
            <v>11000003</v>
          </cell>
          <cell r="R45" t="str">
            <v>SUZUKI ALTO VXL AGS E-2</v>
          </cell>
          <cell r="S45" t="str">
            <v>2020</v>
          </cell>
          <cell r="T45" t="str">
            <v>ARS-552</v>
          </cell>
          <cell r="U45" t="str">
            <v>133857</v>
          </cell>
          <cell r="V45" t="str">
            <v>1033886</v>
          </cell>
          <cell r="X45" t="str">
            <v>3</v>
          </cell>
          <cell r="Y45">
            <v>-1198500</v>
          </cell>
          <cell r="Z45">
            <v>-16144</v>
          </cell>
          <cell r="AA45">
            <v>-18727</v>
          </cell>
        </row>
        <row r="46">
          <cell r="B46" t="str">
            <v>KHI/HO/D/MO/PC COMP/P/96729/09/2024</v>
          </cell>
          <cell r="C46" t="str">
            <v>KHI/HO/D/MO/PC COMP/E/49099/00049/11/2024</v>
          </cell>
          <cell r="D46" t="str">
            <v>REN</v>
          </cell>
          <cell r="E46" t="str">
            <v>18/11/24</v>
          </cell>
          <cell r="F46" t="str">
            <v>30/09/2024</v>
          </cell>
          <cell r="G46" t="str">
            <v>29/09/2025</v>
          </cell>
          <cell r="H46" t="str">
            <v>08004499</v>
          </cell>
          <cell r="I46" t="str">
            <v>AL BARAKA BANK (PAKISTAN) LIMITED</v>
          </cell>
          <cell r="J46" t="str">
            <v>BANK</v>
          </cell>
          <cell r="K46" t="str">
            <v>Mr. 
HPA M/s.  Al Baraka Bank ( Pakistan ) Limited
Mr. Muhammad Ishaq Kamran 
HPA M/s. Al Baraka Bank ( Pakistan ) Limited</v>
          </cell>
          <cell r="L46" t="str">
            <v>D</v>
          </cell>
          <cell r="M46" t="str">
            <v>09000221</v>
          </cell>
          <cell r="N46">
            <v>100</v>
          </cell>
          <cell r="P46" t="str">
            <v>H # C-76 Tipu Sultan H. Society Check Post 6 Karachi</v>
          </cell>
          <cell r="Q46" t="str">
            <v>11000003</v>
          </cell>
          <cell r="R46" t="str">
            <v>SUZUKI SWIFT DLX A/T NAV.</v>
          </cell>
          <cell r="S46" t="str">
            <v>2020</v>
          </cell>
          <cell r="T46" t="str">
            <v>BSA-248</v>
          </cell>
          <cell r="U46" t="str">
            <v>13048294</v>
          </cell>
          <cell r="V46" t="str">
            <v>10048309</v>
          </cell>
          <cell r="X46" t="str">
            <v>3</v>
          </cell>
          <cell r="Y46">
            <v>-2125000</v>
          </cell>
          <cell r="Z46">
            <v>-36638</v>
          </cell>
          <cell r="AA46">
            <v>-42500</v>
          </cell>
        </row>
        <row r="47">
          <cell r="B47" t="str">
            <v>KHI/HO/D/MO/PC COMP/P/96729/09/2024</v>
          </cell>
          <cell r="C47" t="str">
            <v>KHI/HO/D/MO/PC COMP/E/49099/00030/11/2024</v>
          </cell>
          <cell r="D47" t="str">
            <v>REN</v>
          </cell>
          <cell r="E47" t="str">
            <v>18/11/24</v>
          </cell>
          <cell r="F47" t="str">
            <v>28/09/2024</v>
          </cell>
          <cell r="G47" t="str">
            <v>27/09/2025</v>
          </cell>
          <cell r="H47" t="str">
            <v>08004499</v>
          </cell>
          <cell r="I47" t="str">
            <v>AL BARAKA BANK (PAKISTAN) LIMITED</v>
          </cell>
          <cell r="J47" t="str">
            <v>BANK</v>
          </cell>
          <cell r="K47" t="str">
            <v>Mr. 
HPA M/s.  Al Baraka Bank ( Pakistan ) Limited
Mr. Sheikh Zaka Ullah Javed
HPA M/s.  Al Baraka Bank ( Pakistan ) Limited</v>
          </cell>
          <cell r="L47" t="str">
            <v>D</v>
          </cell>
          <cell r="M47" t="str">
            <v>09000221</v>
          </cell>
          <cell r="N47">
            <v>100</v>
          </cell>
          <cell r="P47" t="str">
            <v>H No E 602 Iqbal Chungi Amar Sidhu Lahore</v>
          </cell>
          <cell r="Q47" t="str">
            <v>11000003</v>
          </cell>
          <cell r="R47" t="str">
            <v>CHANGAN KARVAAN PLUS</v>
          </cell>
          <cell r="S47" t="str">
            <v>2022</v>
          </cell>
          <cell r="T47" t="str">
            <v>AHM-858</v>
          </cell>
          <cell r="U47" t="str">
            <v>U504226</v>
          </cell>
          <cell r="V47" t="str">
            <v>N1016637</v>
          </cell>
          <cell r="Y47">
            <v>-2183650</v>
          </cell>
          <cell r="Z47">
            <v>-23531</v>
          </cell>
          <cell r="AA47">
            <v>-27295</v>
          </cell>
        </row>
        <row r="48">
          <cell r="B48" t="str">
            <v>KHI/HO/D/MO/PC COMP/P/96729/09/2024</v>
          </cell>
          <cell r="C48" t="str">
            <v>KHI/HO/D/MO/PC COMP/E/49099/00035/11/2024</v>
          </cell>
          <cell r="D48" t="str">
            <v>REN</v>
          </cell>
          <cell r="E48" t="str">
            <v>18/11/24</v>
          </cell>
          <cell r="F48" t="str">
            <v>28/09/2024</v>
          </cell>
          <cell r="G48" t="str">
            <v>27/09/2025</v>
          </cell>
          <cell r="H48" t="str">
            <v>08004499</v>
          </cell>
          <cell r="I48" t="str">
            <v>AL BARAKA BANK (PAKISTAN) LIMITED</v>
          </cell>
          <cell r="J48" t="str">
            <v>BANK</v>
          </cell>
          <cell r="K48" t="str">
            <v>Mr. 
HPA M/s.  Al Baraka Bank ( Pakistan ) Limited
Mr. Jahangir Ahmad
HPA M/s. Al Baraka Bank ( Pakistan ) Limited</v>
          </cell>
          <cell r="L48" t="str">
            <v>D</v>
          </cell>
          <cell r="M48" t="str">
            <v>09000221</v>
          </cell>
          <cell r="N48">
            <v>100</v>
          </cell>
          <cell r="P48" t="str">
            <v>St No 03 Qaid E Milat Colony No 01 New Jail Road Ismail Nagar Chungi Amir Sidhu Lahore</v>
          </cell>
          <cell r="Q48" t="str">
            <v>11000003</v>
          </cell>
          <cell r="R48" t="str">
            <v>HONDA CITY</v>
          </cell>
          <cell r="S48" t="str">
            <v>2019</v>
          </cell>
          <cell r="T48" t="str">
            <v>LED-19-1375</v>
          </cell>
          <cell r="U48" t="str">
            <v>Z17528777</v>
          </cell>
          <cell r="V48" t="str">
            <v>R246677</v>
          </cell>
          <cell r="Y48">
            <v>-2252500</v>
          </cell>
          <cell r="Z48">
            <v>-29128</v>
          </cell>
          <cell r="AA48">
            <v>-33788</v>
          </cell>
        </row>
        <row r="49">
          <cell r="B49" t="str">
            <v>KHI/HO/D/MO/PC COMP/P/80337/12/2023</v>
          </cell>
          <cell r="C49" t="str">
            <v>KHI/HO/D/MO/PC COMP/E/49101/00033/11/2024</v>
          </cell>
          <cell r="D49" t="str">
            <v>REN</v>
          </cell>
          <cell r="E49" t="str">
            <v>18/11/24</v>
          </cell>
          <cell r="F49" t="str">
            <v>17/12/2023</v>
          </cell>
          <cell r="G49" t="str">
            <v>16/12/2024</v>
          </cell>
          <cell r="H49" t="str">
            <v>08004499</v>
          </cell>
          <cell r="I49" t="str">
            <v>AL BARAKA BANK (PAKISTAN) LIMITED</v>
          </cell>
          <cell r="J49" t="str">
            <v>BANK</v>
          </cell>
          <cell r="K49" t="str">
            <v>HPA M/s. Al Baraka Bank (Pakistan) Limited
Mr. Javed Yousaf    
HPA M/s. Al Baraka Bank (Pakistan) Limited</v>
          </cell>
          <cell r="L49" t="str">
            <v>D</v>
          </cell>
          <cell r="M49" t="str">
            <v>09000221</v>
          </cell>
          <cell r="N49">
            <v>100</v>
          </cell>
          <cell r="O49" t="str">
            <v>LAHORE</v>
          </cell>
          <cell r="P49" t="str">
            <v>H # 17 Street 12-A Mujahid Colony Baker Mandi Band Road Lahore</v>
          </cell>
          <cell r="Q49" t="str">
            <v>11000003</v>
          </cell>
          <cell r="R49" t="str">
            <v>SUZUKI WAGON-R VXL E2</v>
          </cell>
          <cell r="S49" t="str">
            <v>2021</v>
          </cell>
          <cell r="T49" t="str">
            <v>AGT-104</v>
          </cell>
          <cell r="U49" t="str">
            <v>225796</v>
          </cell>
          <cell r="V49" t="str">
            <v>10125784</v>
          </cell>
          <cell r="X49" t="str">
            <v>3</v>
          </cell>
          <cell r="Y49">
            <v>1837800</v>
          </cell>
          <cell r="Z49">
            <v>2431</v>
          </cell>
          <cell r="AA49">
            <v>2820</v>
          </cell>
        </row>
        <row r="50">
          <cell r="B50" t="str">
            <v>KHI/HO/D/MO/PC COMP/P/77944/11/2023</v>
          </cell>
          <cell r="C50" t="str">
            <v>KHI/HO/D/MO/PC COMP/E/49135/00028/11/2024</v>
          </cell>
          <cell r="D50" t="str">
            <v>REN</v>
          </cell>
          <cell r="E50" t="str">
            <v>19/11/24</v>
          </cell>
          <cell r="F50" t="str">
            <v>28/11/2023</v>
          </cell>
          <cell r="G50" t="str">
            <v>27/11/2024</v>
          </cell>
          <cell r="H50" t="str">
            <v>08004499</v>
          </cell>
          <cell r="I50" t="str">
            <v>AL BARAKA BANK (PAKISTAN) LIMITED</v>
          </cell>
          <cell r="J50" t="str">
            <v>BANK</v>
          </cell>
          <cell r="K50" t="str">
            <v>Mr. 
HPA M/s Al Baraka Bank ( Pakistan ) Limited
Mr. Daud Sarwar
HPA M/s Al Baraka Bank ( Pakistan ) Limited</v>
          </cell>
          <cell r="L50" t="str">
            <v>D</v>
          </cell>
          <cell r="M50" t="str">
            <v>09000221</v>
          </cell>
          <cell r="N50">
            <v>100</v>
          </cell>
          <cell r="P50" t="str">
            <v>H-314/2 St 3 Siddiqui Lane Gulistan Colony Rawalpindi</v>
          </cell>
          <cell r="Q50" t="str">
            <v>11000003</v>
          </cell>
          <cell r="R50" t="str">
            <v>HONDA CIVIC VTI</v>
          </cell>
          <cell r="S50" t="str">
            <v>2018</v>
          </cell>
          <cell r="T50" t="str">
            <v>AKU-021</v>
          </cell>
          <cell r="U50" t="str">
            <v>2941344</v>
          </cell>
          <cell r="V50" t="str">
            <v>044773</v>
          </cell>
          <cell r="Y50">
            <v>-3600000</v>
          </cell>
          <cell r="Z50">
            <v>0</v>
          </cell>
          <cell r="AA50">
            <v>0</v>
          </cell>
        </row>
        <row r="51">
          <cell r="B51" t="str">
            <v>KHI/HO/D/MO/PC COMP/P/77944/11/2023</v>
          </cell>
          <cell r="C51" t="str">
            <v>KHI/HO/D/MO/PC COMP/E/49135/00049/11/2024</v>
          </cell>
          <cell r="D51" t="str">
            <v>REN</v>
          </cell>
          <cell r="E51" t="str">
            <v>19/11/24</v>
          </cell>
          <cell r="F51" t="str">
            <v>30/11/2023</v>
          </cell>
          <cell r="G51" t="str">
            <v>29/11/2024</v>
          </cell>
          <cell r="H51" t="str">
            <v>08004499</v>
          </cell>
          <cell r="I51" t="str">
            <v>AL BARAKA BANK (PAKISTAN) LIMITED</v>
          </cell>
          <cell r="J51" t="str">
            <v>BANK</v>
          </cell>
          <cell r="K51" t="str">
            <v>Mr. 
HPA M/s Al Baraka Bank ( Pakistan ) Limited
Mr. Asad Ur Rehman
HPA M/s Al Baraka Bank ( Pakistan ) Limited</v>
          </cell>
          <cell r="L51" t="str">
            <v>D</v>
          </cell>
          <cell r="M51" t="str">
            <v>09000221</v>
          </cell>
          <cell r="N51">
            <v>100</v>
          </cell>
          <cell r="P51" t="str">
            <v>H No 62 St No 26 Muhallah Al Badar Colony Ravi Road Lahore</v>
          </cell>
          <cell r="Q51" t="str">
            <v>11000003</v>
          </cell>
          <cell r="R51" t="str">
            <v>SUZUKI CULTUS</v>
          </cell>
          <cell r="S51" t="str">
            <v>2018</v>
          </cell>
          <cell r="T51" t="str">
            <v>LEB-18-5272</v>
          </cell>
          <cell r="U51" t="str">
            <v>116918</v>
          </cell>
          <cell r="V51" t="str">
            <v>10016932</v>
          </cell>
          <cell r="Y51">
            <v>-1665000</v>
          </cell>
          <cell r="Z51">
            <v>-29211</v>
          </cell>
          <cell r="AA51">
            <v>-33300</v>
          </cell>
        </row>
        <row r="52">
          <cell r="B52" t="str">
            <v>KHI/HO/D/MO/PC COMP/P/96790/09/2024</v>
          </cell>
          <cell r="C52" t="str">
            <v>KHI/HO/D/MO/PC COMP/E/49136/00002/11/2024</v>
          </cell>
          <cell r="D52" t="str">
            <v>REN</v>
          </cell>
          <cell r="E52" t="str">
            <v>19/11/24</v>
          </cell>
          <cell r="F52" t="str">
            <v>28/09/2024</v>
          </cell>
          <cell r="G52" t="str">
            <v>27/09/2025</v>
          </cell>
          <cell r="H52" t="str">
            <v>08004499</v>
          </cell>
          <cell r="I52" t="str">
            <v>AL BARAKA BANK (PAKISTAN) LIMITED</v>
          </cell>
          <cell r="J52" t="str">
            <v>BANK</v>
          </cell>
          <cell r="K52" t="str">
            <v>HPA M/S. AL-BARAKA BANK (PAKISTAN) LIMITED
MS. SAMAN TABASSUM     
HPA  M/S. AL BARAKA BANK (PAKISTAN) LIMITED</v>
          </cell>
          <cell r="L52" t="str">
            <v>D</v>
          </cell>
          <cell r="M52" t="str">
            <v>09000221</v>
          </cell>
          <cell r="N52">
            <v>100</v>
          </cell>
          <cell r="P52" t="str">
            <v>CHAK NO. 9/14-L PO KHAS TEHSIL CHICHAWATNI DISTRICT SAHIWAL</v>
          </cell>
          <cell r="Q52" t="str">
            <v>11000003</v>
          </cell>
          <cell r="R52" t="str">
            <v>SUZUKI MEHRAN VXR EURO-II</v>
          </cell>
          <cell r="S52" t="str">
            <v>2018</v>
          </cell>
          <cell r="T52" t="str">
            <v>LEB-18A-6536</v>
          </cell>
          <cell r="U52" t="str">
            <v>742875</v>
          </cell>
          <cell r="V52" t="str">
            <v>01281375</v>
          </cell>
          <cell r="W52" t="str">
            <v>28-sep-2018</v>
          </cell>
          <cell r="X52" t="str">
            <v>5</v>
          </cell>
          <cell r="Y52">
            <v>546000</v>
          </cell>
          <cell r="Z52">
            <v>0</v>
          </cell>
          <cell r="AA52">
            <v>0</v>
          </cell>
        </row>
        <row r="53">
          <cell r="B53" t="str">
            <v>KHI/HO/D/MO/PC COMP/P/84683/02/2024</v>
          </cell>
          <cell r="C53" t="str">
            <v>KHI/HO/D/MO/PC COMP/E/49278/00012/11/2024</v>
          </cell>
          <cell r="D53" t="str">
            <v>REN</v>
          </cell>
          <cell r="E53" t="str">
            <v>26/11/24</v>
          </cell>
          <cell r="F53" t="str">
            <v>29/02/2024</v>
          </cell>
          <cell r="G53" t="str">
            <v>27/02/2025</v>
          </cell>
          <cell r="H53" t="str">
            <v>08004499</v>
          </cell>
          <cell r="I53" t="str">
            <v>AL BARAKA BANK (PAKISTAN) LIMITED</v>
          </cell>
          <cell r="J53" t="str">
            <v>BANK</v>
          </cell>
          <cell r="K53" t="str">
            <v>HPA M/S. AL BARAKA BANK (PAKISTAN) LIMITED
Mr. Iftikhar Hassan Lone         
HPA M/s. Al Baraka Bank (Pakistan) Limited</v>
          </cell>
          <cell r="L53" t="str">
            <v>D</v>
          </cell>
          <cell r="M53" t="str">
            <v>09000221</v>
          </cell>
          <cell r="N53">
            <v>100</v>
          </cell>
          <cell r="O53" t="str">
            <v>RAWALPINDI</v>
          </cell>
          <cell r="P53" t="str">
            <v>House No.107-A Street 08 Gulraiz Phase 5 Rawalpindi</v>
          </cell>
          <cell r="Q53" t="str">
            <v>11000003</v>
          </cell>
          <cell r="R53" t="str">
            <v>HONDA CIVIC ITEC OR PT NA</v>
          </cell>
          <cell r="S53" t="str">
            <v>2020</v>
          </cell>
          <cell r="T53" t="str">
            <v>AQK-107</v>
          </cell>
          <cell r="U53" t="str">
            <v>2956652</v>
          </cell>
          <cell r="V53" t="str">
            <v>LR060678</v>
          </cell>
          <cell r="X53" t="str">
            <v>3</v>
          </cell>
          <cell r="Y53">
            <v>-2952750</v>
          </cell>
          <cell r="Z53">
            <v>0</v>
          </cell>
          <cell r="AA53">
            <v>0</v>
          </cell>
        </row>
        <row r="54">
          <cell r="B54" t="str">
            <v>KHI/HO/D/MO/PC COMP/P/96721/09/2024</v>
          </cell>
          <cell r="C54" t="str">
            <v>KHI/HO/D/MO/PC COMP/E/49282/00008/11/2024</v>
          </cell>
          <cell r="D54" t="str">
            <v>REN</v>
          </cell>
          <cell r="E54" t="str">
            <v>26/11/24</v>
          </cell>
          <cell r="F54" t="str">
            <v>08/09/2024</v>
          </cell>
          <cell r="G54" t="str">
            <v>07/09/2025</v>
          </cell>
          <cell r="H54" t="str">
            <v>08004499</v>
          </cell>
          <cell r="I54" t="str">
            <v>AL BARAKA BANK (PAKISTAN) LIMITED</v>
          </cell>
          <cell r="J54" t="str">
            <v>BANK</v>
          </cell>
          <cell r="K54" t="str">
            <v>HPA M/s. Al Baraka Bank (Pakistan) Limited
Applicant Name Ms. Saba Rizwan
Co Applicant Name. Mr. Rizwan Ahmed 
Cnic No.  42000-0570107-9   0300-2012930   
HPA M/s. Al Baraka Bank (Pakistan) Limited</v>
          </cell>
          <cell r="L54" t="str">
            <v>D</v>
          </cell>
          <cell r="M54" t="str">
            <v>09000221</v>
          </cell>
          <cell r="N54">
            <v>100</v>
          </cell>
          <cell r="O54" t="str">
            <v>KARACHI</v>
          </cell>
          <cell r="P54" t="str">
            <v>House No. 42-D Quetta Line Malir Cantt Karachi</v>
          </cell>
          <cell r="Q54" t="str">
            <v>11000003</v>
          </cell>
          <cell r="R54" t="str">
            <v>PROTON X70 EXECUTIVE AWD</v>
          </cell>
          <cell r="S54" t="str">
            <v>2021</v>
          </cell>
          <cell r="U54" t="str">
            <v>A3100978</v>
          </cell>
          <cell r="V54" t="str">
            <v>G026108</v>
          </cell>
          <cell r="X54" t="str">
            <v>3</v>
          </cell>
          <cell r="Y54">
            <v>-4312000</v>
          </cell>
          <cell r="Z54">
            <v>-23232</v>
          </cell>
          <cell r="AA54">
            <v>-26949</v>
          </cell>
        </row>
        <row r="55">
          <cell r="B55" t="str">
            <v>KHI/HO/D/MO/PC COMP/P/85065/03/2024</v>
          </cell>
          <cell r="C55" t="str">
            <v>KHI/HO/D/MO/PC COMP/E/49306/00012/11/2024</v>
          </cell>
          <cell r="D55" t="str">
            <v>REN</v>
          </cell>
          <cell r="E55" t="str">
            <v>27/11/24</v>
          </cell>
          <cell r="F55" t="str">
            <v>16/03/2024</v>
          </cell>
          <cell r="G55" t="str">
            <v>15/03/2025</v>
          </cell>
          <cell r="H55" t="str">
            <v>08004499</v>
          </cell>
          <cell r="I55" t="str">
            <v>AL BARAKA BANK (PAKISTAN) LIMITED</v>
          </cell>
          <cell r="J55" t="str">
            <v>BANK</v>
          </cell>
          <cell r="K55" t="str">
            <v>HPA M/s. Al Baraka Bank (Pakistan) Limited
Mr.  Jawaid Gulzar
HPA M/s. Al Baraka Bank (Pakistan) Limited</v>
          </cell>
          <cell r="L55" t="str">
            <v>D</v>
          </cell>
          <cell r="M55" t="str">
            <v>09000221</v>
          </cell>
          <cell r="N55">
            <v>100</v>
          </cell>
          <cell r="O55" t="str">
            <v>KARACHI</v>
          </cell>
          <cell r="P55" t="str">
            <v>House No. 495 Street 07 AFOHS Complex Karachi</v>
          </cell>
          <cell r="Q55" t="str">
            <v>11000003</v>
          </cell>
          <cell r="R55" t="str">
            <v>SUZUKI ALTO VXL AGS E-2</v>
          </cell>
          <cell r="S55" t="str">
            <v>2021</v>
          </cell>
          <cell r="U55" t="str">
            <v>157202</v>
          </cell>
          <cell r="V55" t="str">
            <v>1057189</v>
          </cell>
          <cell r="X55" t="str">
            <v>3</v>
          </cell>
          <cell r="Y55">
            <v>1492800</v>
          </cell>
          <cell r="Z55">
            <v>32172</v>
          </cell>
          <cell r="AA55">
            <v>37320</v>
          </cell>
        </row>
        <row r="56">
          <cell r="B56" t="str">
            <v>KHI/HO/D/MO/PC COMP/P/85065/03/2024</v>
          </cell>
          <cell r="C56" t="str">
            <v>KHI/HO/D/MO/PC COMP/E/49306/00009/11/2024</v>
          </cell>
          <cell r="D56" t="str">
            <v>REN</v>
          </cell>
          <cell r="E56" t="str">
            <v>27/11/24</v>
          </cell>
          <cell r="F56" t="str">
            <v>08/03/2024</v>
          </cell>
          <cell r="G56" t="str">
            <v>07/03/2025</v>
          </cell>
          <cell r="H56" t="str">
            <v>08004499</v>
          </cell>
          <cell r="I56" t="str">
            <v>AL BARAKA BANK (PAKISTAN) LIMITED</v>
          </cell>
          <cell r="J56" t="str">
            <v>BANK</v>
          </cell>
          <cell r="K56" t="str">
            <v>HPA M/s. Al Baraka Bank (Pakistan) Limited
Mr. Ysir Usman
HPA M/s. Al Baraka Bank (Pakistan) Limited</v>
          </cell>
          <cell r="L56" t="str">
            <v>D</v>
          </cell>
          <cell r="M56" t="str">
            <v>09000221</v>
          </cell>
          <cell r="N56">
            <v>100</v>
          </cell>
          <cell r="O56" t="str">
            <v>FAISALABAD</v>
          </cell>
          <cell r="P56" t="str">
            <v>House No.426 Mo Ghulam Muhammad Abad Faisalabad</v>
          </cell>
          <cell r="Q56" t="str">
            <v>11000003</v>
          </cell>
          <cell r="R56" t="str">
            <v>TOYOTA HILUX REVO V DC A/</v>
          </cell>
          <cell r="S56" t="str">
            <v>2021</v>
          </cell>
          <cell r="T56" t="str">
            <v>ATA-426</v>
          </cell>
          <cell r="U56" t="str">
            <v>D0934531</v>
          </cell>
          <cell r="V56" t="str">
            <v>5543938</v>
          </cell>
          <cell r="X56" t="str">
            <v>3</v>
          </cell>
          <cell r="Y56">
            <v>-5660800</v>
          </cell>
          <cell r="Z56">
            <v>-74484</v>
          </cell>
          <cell r="AA56">
            <v>-84912</v>
          </cell>
        </row>
        <row r="57">
          <cell r="B57" t="str">
            <v>KHI/HO/D/MO/PC COMP/P/100245/10/2024</v>
          </cell>
          <cell r="C57" t="str">
            <v>KHI/HO/D/MO/PC COMP/E/49309/00013/11/2024</v>
          </cell>
          <cell r="D57" t="str">
            <v>REN</v>
          </cell>
          <cell r="E57" t="str">
            <v>27/11/24</v>
          </cell>
          <cell r="F57" t="str">
            <v>10/10/2024</v>
          </cell>
          <cell r="G57" t="str">
            <v>09/10/2025</v>
          </cell>
          <cell r="H57" t="str">
            <v>08004499</v>
          </cell>
          <cell r="I57" t="str">
            <v>AL BARAKA BANK (PAKISTAN) LIMITED</v>
          </cell>
          <cell r="J57" t="str">
            <v>BANK</v>
          </cell>
          <cell r="K57" t="str">
            <v>M/s. Al Baraka Bank (Pakistan) Limited
M/S. Al Baraka Bank (Pakistan) Limited 
User:Abdul Raheem Khan</v>
          </cell>
          <cell r="L57" t="str">
            <v>D</v>
          </cell>
          <cell r="M57" t="str">
            <v>09000221</v>
          </cell>
          <cell r="N57">
            <v>100</v>
          </cell>
          <cell r="O57" t="str">
            <v>KARACHI</v>
          </cell>
          <cell r="P57" t="str">
            <v>H # 73 Umar Block Bahria Town Lahore</v>
          </cell>
          <cell r="Q57" t="str">
            <v>11000003</v>
          </cell>
          <cell r="R57" t="str">
            <v>SUZUKI ALTO VXR E-2</v>
          </cell>
          <cell r="S57" t="str">
            <v>2022</v>
          </cell>
          <cell r="T57" t="str">
            <v>AMC-809</v>
          </cell>
          <cell r="U57" t="str">
            <v>6R250482</v>
          </cell>
          <cell r="V57" t="str">
            <v>1150468</v>
          </cell>
          <cell r="W57" t="str">
            <v>05-oct-2027</v>
          </cell>
          <cell r="Y57">
            <v>-1423750</v>
          </cell>
          <cell r="Z57">
            <v>-30684</v>
          </cell>
          <cell r="AA57">
            <v>-35594</v>
          </cell>
        </row>
        <row r="58">
          <cell r="B58" t="str">
            <v>KHI/HO/D/MO/PC COMP/P/100245/10/2024</v>
          </cell>
          <cell r="C58" t="str">
            <v>KHI/HO/D/MO/PC COMP/E/49309/00016/11/2024</v>
          </cell>
          <cell r="D58" t="str">
            <v>REN</v>
          </cell>
          <cell r="E58" t="str">
            <v>27/11/24</v>
          </cell>
          <cell r="F58" t="str">
            <v>14/10/2024</v>
          </cell>
          <cell r="G58" t="str">
            <v>13/10/2025</v>
          </cell>
          <cell r="H58" t="str">
            <v>08004499</v>
          </cell>
          <cell r="I58" t="str">
            <v>AL BARAKA BANK (PAKISTAN) LIMITED</v>
          </cell>
          <cell r="J58" t="str">
            <v>BANK</v>
          </cell>
          <cell r="K58" t="str">
            <v>M/s. Al Baraka Bank (Pakistan) Limited
M/S. Al Baraka Bank (Pakistan) Limited 
User:Rehan Mehmood</v>
          </cell>
          <cell r="L58" t="str">
            <v>D</v>
          </cell>
          <cell r="M58" t="str">
            <v>09000221</v>
          </cell>
          <cell r="N58">
            <v>100</v>
          </cell>
          <cell r="O58" t="str">
            <v>KARACHI</v>
          </cell>
          <cell r="P58" t="str">
            <v>240/1 Block M Phase 1 Dha Lahore</v>
          </cell>
          <cell r="Q58" t="str">
            <v>11000003</v>
          </cell>
          <cell r="R58" t="str">
            <v>SUZUKI ALTO VX EURO II</v>
          </cell>
          <cell r="S58" t="str">
            <v>2022</v>
          </cell>
          <cell r="T58" t="str">
            <v>AMD-568</v>
          </cell>
          <cell r="U58" t="str">
            <v>250961</v>
          </cell>
          <cell r="V58" t="str">
            <v>1150921</v>
          </cell>
          <cell r="W58" t="str">
            <v>05-nov-2025</v>
          </cell>
          <cell r="Y58">
            <v>-1473050</v>
          </cell>
          <cell r="Z58">
            <v>-31747</v>
          </cell>
          <cell r="AA58">
            <v>-36826</v>
          </cell>
        </row>
        <row r="59">
          <cell r="B59" t="str">
            <v>KHI/HO/D/MO/PC COMP/P/100245/10/2024</v>
          </cell>
          <cell r="C59" t="str">
            <v>KHI/HO/D/MO/PC COMP/E/49309/00026/11/2024</v>
          </cell>
          <cell r="D59" t="str">
            <v>REN</v>
          </cell>
          <cell r="E59" t="str">
            <v>27/11/24</v>
          </cell>
          <cell r="F59" t="str">
            <v>12/10/2024</v>
          </cell>
          <cell r="G59" t="str">
            <v>11/10/2025</v>
          </cell>
          <cell r="H59" t="str">
            <v>08004499</v>
          </cell>
          <cell r="I59" t="str">
            <v>AL BARAKA BANK (PAKISTAN) LIMITED</v>
          </cell>
          <cell r="J59" t="str">
            <v>BANK</v>
          </cell>
          <cell r="K59" t="str">
            <v>M/s. Al Baraka Bank (Pakistan) Limited
M/S. Al Baraka Bank (Pakistan) Limited 
User:Aziz Batool</v>
          </cell>
          <cell r="L59" t="str">
            <v>D</v>
          </cell>
          <cell r="M59" t="str">
            <v>09000221</v>
          </cell>
          <cell r="N59">
            <v>100</v>
          </cell>
          <cell r="O59" t="str">
            <v>KARACHI</v>
          </cell>
          <cell r="P59" t="str">
            <v>Flat No. 4 1St Floor Kashmir Appartment Near Faizabad Rawalpindi</v>
          </cell>
          <cell r="Q59" t="str">
            <v>11000003</v>
          </cell>
          <cell r="R59" t="str">
            <v>SUZUKI ALTO VXR E-2</v>
          </cell>
          <cell r="S59" t="str">
            <v>2021</v>
          </cell>
          <cell r="T59" t="str">
            <v>AVH-254</v>
          </cell>
          <cell r="U59" t="str">
            <v>187234</v>
          </cell>
          <cell r="V59" t="str">
            <v>1087224</v>
          </cell>
          <cell r="W59" t="str">
            <v>05-oct-2026</v>
          </cell>
          <cell r="Y59">
            <v>-1068000</v>
          </cell>
          <cell r="Z59">
            <v>-23017</v>
          </cell>
          <cell r="AA59">
            <v>-26700</v>
          </cell>
        </row>
        <row r="60">
          <cell r="B60" t="str">
            <v>KHI/HO/D/MO/PC COMP/P/100245/10/2024</v>
          </cell>
          <cell r="C60" t="str">
            <v>KHI/HO/D/MO/PC COMP/E/49309/00040/11/2024</v>
          </cell>
          <cell r="D60" t="str">
            <v>REN</v>
          </cell>
          <cell r="E60" t="str">
            <v>27/11/24</v>
          </cell>
          <cell r="F60" t="str">
            <v>02/10/2024</v>
          </cell>
          <cell r="G60" t="str">
            <v>01/10/2025</v>
          </cell>
          <cell r="H60" t="str">
            <v>08004499</v>
          </cell>
          <cell r="I60" t="str">
            <v>AL BARAKA BANK (PAKISTAN) LIMITED</v>
          </cell>
          <cell r="J60" t="str">
            <v>BANK</v>
          </cell>
          <cell r="K60" t="str">
            <v>M/s. Al Baraka Bank (Pakistan) Limited
M/S. Al Baraka Bank (Pakistan) Limited 
User:Muhammad Imran Khan</v>
          </cell>
          <cell r="L60" t="str">
            <v>D</v>
          </cell>
          <cell r="M60" t="str">
            <v>09000221</v>
          </cell>
          <cell r="N60">
            <v>100</v>
          </cell>
          <cell r="O60" t="str">
            <v>KARACHI</v>
          </cell>
          <cell r="P60" t="str">
            <v>Village Buchexi Mohallah  Meran Tehsil And Dist  Nankana Sb Faisalabad</v>
          </cell>
          <cell r="Q60" t="str">
            <v>11000003</v>
          </cell>
          <cell r="R60" t="str">
            <v>TOYOTA COROLLA ALTIS VVT-</v>
          </cell>
          <cell r="S60" t="str">
            <v>2020</v>
          </cell>
          <cell r="T60" t="str">
            <v>ART-351</v>
          </cell>
          <cell r="U60" t="str">
            <v>Q067506</v>
          </cell>
          <cell r="V60" t="str">
            <v>6045004</v>
          </cell>
          <cell r="W60" t="str">
            <v>06-oct-2025</v>
          </cell>
          <cell r="Y60">
            <v>-2507250</v>
          </cell>
          <cell r="Z60">
            <v>-54036</v>
          </cell>
          <cell r="AA60">
            <v>-62681</v>
          </cell>
        </row>
        <row r="61">
          <cell r="B61" t="str">
            <v>KHI/HO/D/MO/PC COMP/P/100245/10/2024</v>
          </cell>
          <cell r="C61" t="str">
            <v>KHI/HO/D/MO/PC COMP/E/49309/00054/11/2024</v>
          </cell>
          <cell r="D61" t="str">
            <v>REN</v>
          </cell>
          <cell r="E61" t="str">
            <v>27/11/24</v>
          </cell>
          <cell r="F61" t="str">
            <v>29/10/2024</v>
          </cell>
          <cell r="G61" t="str">
            <v>28/10/2025</v>
          </cell>
          <cell r="H61" t="str">
            <v>08004499</v>
          </cell>
          <cell r="I61" t="str">
            <v>AL BARAKA BANK (PAKISTAN) LIMITED</v>
          </cell>
          <cell r="J61" t="str">
            <v>BANK</v>
          </cell>
          <cell r="K61" t="str">
            <v>M/s. Al Baraka Bank (Pakistan) Limited
M/S. Al Baraka Bank (Pakistan) Limited 
User:Syeda Zehra Batool</v>
          </cell>
          <cell r="L61" t="str">
            <v>D</v>
          </cell>
          <cell r="M61" t="str">
            <v>09000221</v>
          </cell>
          <cell r="N61">
            <v>100</v>
          </cell>
          <cell r="O61" t="str">
            <v>KARACHI</v>
          </cell>
          <cell r="P61" t="str">
            <v>House No. R-768 Block 20 Fb Area Near Babe Rehmat Masjid Karachi</v>
          </cell>
          <cell r="Q61" t="str">
            <v>11000003</v>
          </cell>
          <cell r="R61" t="str">
            <v>SUZUKI ALTO VXR E-2</v>
          </cell>
          <cell r="S61" t="str">
            <v>2020</v>
          </cell>
          <cell r="T61" t="str">
            <v>BSL-343</v>
          </cell>
          <cell r="U61" t="str">
            <v>142335</v>
          </cell>
          <cell r="V61" t="str">
            <v>1042275</v>
          </cell>
          <cell r="W61" t="str">
            <v>05-nov-2025</v>
          </cell>
          <cell r="Y61">
            <v>-1224750</v>
          </cell>
          <cell r="Z61">
            <v>-26396</v>
          </cell>
          <cell r="AA61">
            <v>-30619</v>
          </cell>
        </row>
        <row r="62">
          <cell r="B62" t="str">
            <v>KHI/HO/D/MO/PC COMP/P/100245/10/2024</v>
          </cell>
          <cell r="C62" t="str">
            <v>KHI/HO/D/MO/PC COMP/E/49309/00055/11/2024</v>
          </cell>
          <cell r="D62" t="str">
            <v>REN</v>
          </cell>
          <cell r="E62" t="str">
            <v>27/11/24</v>
          </cell>
          <cell r="F62" t="str">
            <v>05/10/2024</v>
          </cell>
          <cell r="G62" t="str">
            <v>04/10/2025</v>
          </cell>
          <cell r="H62" t="str">
            <v>08004499</v>
          </cell>
          <cell r="I62" t="str">
            <v>AL BARAKA BANK (PAKISTAN) LIMITED</v>
          </cell>
          <cell r="J62" t="str">
            <v>BANK</v>
          </cell>
          <cell r="K62" t="str">
            <v>M/s. Al Baraka Bank (Pakistan) Limited
M/S. Al Baraka Bank (Pakistan) Limited 
User:Muhammad Riaz</v>
          </cell>
          <cell r="L62" t="str">
            <v>D</v>
          </cell>
          <cell r="M62" t="str">
            <v>09000221</v>
          </cell>
          <cell r="N62">
            <v>100</v>
          </cell>
          <cell r="O62" t="str">
            <v>KARACHI</v>
          </cell>
          <cell r="P62" t="str">
            <v>House 6 Street 1 Moh Bilal Gunj Jaranwala District Faisalabad</v>
          </cell>
          <cell r="Q62" t="str">
            <v>11000003</v>
          </cell>
          <cell r="R62" t="str">
            <v>SUZUKI HUSTLER</v>
          </cell>
          <cell r="S62" t="str">
            <v>2014</v>
          </cell>
          <cell r="T62" t="str">
            <v>LEF-18-9188</v>
          </cell>
          <cell r="U62" t="str">
            <v>R06AF623590</v>
          </cell>
          <cell r="V62" t="str">
            <v>MR31S257835</v>
          </cell>
          <cell r="W62" t="str">
            <v>05-nov-2025</v>
          </cell>
          <cell r="Y62">
            <v>-1200000</v>
          </cell>
          <cell r="Z62">
            <v>-25862</v>
          </cell>
          <cell r="AA62">
            <v>-30000</v>
          </cell>
        </row>
        <row r="63">
          <cell r="B63" t="str">
            <v>KHI/HO/D/MO/PC COMP/P/100245/10/2024</v>
          </cell>
          <cell r="C63" t="str">
            <v>KHI/HO/D/MO/PC COMP/E/49309/00148/11/2024</v>
          </cell>
          <cell r="D63" t="str">
            <v>REN</v>
          </cell>
          <cell r="E63" t="str">
            <v>27/11/24</v>
          </cell>
          <cell r="F63" t="str">
            <v>25/10/2024</v>
          </cell>
          <cell r="G63" t="str">
            <v>24/10/2025</v>
          </cell>
          <cell r="H63" t="str">
            <v>08004499</v>
          </cell>
          <cell r="I63" t="str">
            <v>AL BARAKA BANK (PAKISTAN) LIMITED</v>
          </cell>
          <cell r="J63" t="str">
            <v>BANK</v>
          </cell>
          <cell r="K63" t="str">
            <v>M/s. Al Baraka Bank (Pakistan) Limited
M/S. Al Baraka Bank (Pakistan) Limited 
User:Khawaja Adnan Farqalet</v>
          </cell>
          <cell r="L63" t="str">
            <v>D</v>
          </cell>
          <cell r="M63" t="str">
            <v>09000221</v>
          </cell>
          <cell r="N63">
            <v>100</v>
          </cell>
          <cell r="O63" t="str">
            <v>KARACHI</v>
          </cell>
          <cell r="P63" t="str">
            <v>H No 356 Mohallah Model Town B Khanpur</v>
          </cell>
          <cell r="Q63" t="str">
            <v>11000003</v>
          </cell>
          <cell r="R63" t="str">
            <v>HYUNDAI ELANTRA 2.0 MP1 A</v>
          </cell>
          <cell r="S63" t="str">
            <v>2022</v>
          </cell>
          <cell r="T63" t="str">
            <v>ALZ-424</v>
          </cell>
          <cell r="U63" t="str">
            <v>633253</v>
          </cell>
          <cell r="V63" t="str">
            <v>304093</v>
          </cell>
          <cell r="W63" t="str">
            <v>05-nov-2025</v>
          </cell>
          <cell r="Y63">
            <v>-4845000</v>
          </cell>
          <cell r="Z63">
            <v>-62650</v>
          </cell>
          <cell r="AA63">
            <v>-72675</v>
          </cell>
        </row>
        <row r="64">
          <cell r="B64" t="str">
            <v>KHI/HO/D/MO/PC COMP/P/100245/10/2024</v>
          </cell>
          <cell r="C64" t="str">
            <v>KHI/HO/D/MO/PC COMP/E/49309/00168/11/2024</v>
          </cell>
          <cell r="D64" t="str">
            <v>REN</v>
          </cell>
          <cell r="E64" t="str">
            <v>27/11/24</v>
          </cell>
          <cell r="F64" t="str">
            <v>12/10/2024</v>
          </cell>
          <cell r="G64" t="str">
            <v>11/10/2025</v>
          </cell>
          <cell r="H64" t="str">
            <v>08004499</v>
          </cell>
          <cell r="I64" t="str">
            <v>AL BARAKA BANK (PAKISTAN) LIMITED</v>
          </cell>
          <cell r="J64" t="str">
            <v>BANK</v>
          </cell>
          <cell r="K64" t="str">
            <v>M/s. Al Baraka Bank (Pakistan) Limited
M/S. Al Baraka Bank (Pakistan) Limited 
User:Layon Ivan Patrick Lobo</v>
          </cell>
          <cell r="L64" t="str">
            <v>D</v>
          </cell>
          <cell r="M64" t="str">
            <v>09000221</v>
          </cell>
          <cell r="N64">
            <v>100</v>
          </cell>
          <cell r="O64" t="str">
            <v>KARACHI</v>
          </cell>
          <cell r="P64" t="str">
            <v>Flat No. 1 1St Floor Rehan Arcade Plot 7-C Block 2-A Jacob Line Karachi</v>
          </cell>
          <cell r="Q64" t="str">
            <v>11000003</v>
          </cell>
          <cell r="R64" t="str">
            <v>HONDA CITY 1.2  LS CVT</v>
          </cell>
          <cell r="S64" t="str">
            <v>2023</v>
          </cell>
          <cell r="T64" t="str">
            <v>BZB-199</v>
          </cell>
          <cell r="U64" t="str">
            <v>51019539</v>
          </cell>
          <cell r="V64" t="str">
            <v>034236</v>
          </cell>
          <cell r="W64" t="str">
            <v>05-oct-2026</v>
          </cell>
          <cell r="Y64">
            <v>-4462200</v>
          </cell>
          <cell r="Z64">
            <v>-48084</v>
          </cell>
          <cell r="AA64">
            <v>-55778</v>
          </cell>
        </row>
        <row r="65">
          <cell r="B65" t="str">
            <v>KHI/HO/D/MO/PC COMP/P/96731/09/2024</v>
          </cell>
          <cell r="C65" t="str">
            <v>KHI/HO/D/MO/PC COMP/E/49311/00001/11/2024</v>
          </cell>
          <cell r="D65" t="str">
            <v>REN</v>
          </cell>
          <cell r="E65" t="str">
            <v>27/11/24</v>
          </cell>
          <cell r="F65" t="str">
            <v>19/09/2024</v>
          </cell>
          <cell r="G65" t="str">
            <v>18/09/2025</v>
          </cell>
          <cell r="H65" t="str">
            <v>08004499</v>
          </cell>
          <cell r="I65" t="str">
            <v>AL BARAKA BANK (PAKISTAN) LIMITED</v>
          </cell>
          <cell r="J65" t="str">
            <v>BANK</v>
          </cell>
          <cell r="K65" t="str">
            <v>M/S. AL BARAKA BANK PAKISTAN LIMITED
Mr. Mohsin Raza 
HPA M/S. Al Baraka Bank (Pakistan) Limited</v>
          </cell>
          <cell r="L65" t="str">
            <v>D</v>
          </cell>
          <cell r="M65" t="str">
            <v>09000221</v>
          </cell>
          <cell r="N65">
            <v>100</v>
          </cell>
          <cell r="O65" t="str">
            <v>LAHORE</v>
          </cell>
          <cell r="P65" t="str">
            <v>House No.57 Block J Canal Burg Housing Society Lahore</v>
          </cell>
          <cell r="Q65" t="str">
            <v>11000003</v>
          </cell>
          <cell r="R65" t="str">
            <v>HONDA CIVIC VTI  ORIEL PT</v>
          </cell>
          <cell r="S65" t="str">
            <v>2019</v>
          </cell>
          <cell r="T65" t="str">
            <v>LE-19A-57</v>
          </cell>
          <cell r="U65" t="str">
            <v>2954724</v>
          </cell>
          <cell r="V65" t="str">
            <v>KR058441</v>
          </cell>
          <cell r="X65" t="str">
            <v>5</v>
          </cell>
          <cell r="Y65">
            <v>-2686250</v>
          </cell>
          <cell r="Z65">
            <v>-34305</v>
          </cell>
          <cell r="AA65">
            <v>-40294</v>
          </cell>
        </row>
        <row r="66">
          <cell r="B66" t="str">
            <v>KHI/HO/D/MO/PC COMP/P/95234/08/2024</v>
          </cell>
          <cell r="C66" t="str">
            <v>KHI/HO/D/MO/PC COMP/E/49313/00002/11/2024</v>
          </cell>
          <cell r="D66" t="str">
            <v>REN</v>
          </cell>
          <cell r="E66" t="str">
            <v>27/11/24</v>
          </cell>
          <cell r="F66" t="str">
            <v>31/08/2024</v>
          </cell>
          <cell r="G66" t="str">
            <v>30/08/2025</v>
          </cell>
          <cell r="H66" t="str">
            <v>08004499</v>
          </cell>
          <cell r="I66" t="str">
            <v>AL BARAKA BANK (PAKISTAN) LIMITED</v>
          </cell>
          <cell r="J66" t="str">
            <v>BANK</v>
          </cell>
          <cell r="K66" t="str">
            <v>M/S. AL BARAKA BANK (PAKISTAN) LIMITED 
A/C VARIOUS USERS
MS. SUMMERA SHERAZ     
HPA M/S. AL BARAKA BANK (PAKISTAN) LIMITED</v>
          </cell>
          <cell r="L66" t="str">
            <v>D</v>
          </cell>
          <cell r="M66" t="str">
            <v>09000221</v>
          </cell>
          <cell r="N66">
            <v>100</v>
          </cell>
          <cell r="P66" t="str">
            <v>HOUSENO. 228 STREET 36 FATEH CHURCH BAIT UL HUM BAHAR COLONY NO. 1 KOT LAKHPAT LAHORE</v>
          </cell>
          <cell r="Q66" t="str">
            <v>11000003</v>
          </cell>
          <cell r="R66" t="str">
            <v>SUZUKI MEHRAN VXR EURO-II</v>
          </cell>
          <cell r="S66" t="str">
            <v>2018</v>
          </cell>
          <cell r="T66" t="str">
            <v>LEA-18A-8566</v>
          </cell>
          <cell r="U66" t="str">
            <v>740811</v>
          </cell>
          <cell r="V66" t="str">
            <v>01279328</v>
          </cell>
          <cell r="W66" t="str">
            <v>31-aug-2018</v>
          </cell>
          <cell r="Y66">
            <v>-546000</v>
          </cell>
          <cell r="Z66">
            <v>-17650</v>
          </cell>
          <cell r="AA66">
            <v>-20475</v>
          </cell>
        </row>
        <row r="67">
          <cell r="B67" t="str">
            <v>KHI/HO/D/MO/PC COMP/P/95231/08/2024</v>
          </cell>
          <cell r="C67" t="str">
            <v>KHI/HO/D/MO/PC COMP/E/49314/00024/11/2024</v>
          </cell>
          <cell r="D67" t="str">
            <v>REN</v>
          </cell>
          <cell r="E67" t="str">
            <v>27/11/24</v>
          </cell>
          <cell r="F67" t="str">
            <v>16/08/2024</v>
          </cell>
          <cell r="G67" t="str">
            <v>15/08/2025</v>
          </cell>
          <cell r="H67" t="str">
            <v>08004499</v>
          </cell>
          <cell r="I67" t="str">
            <v>AL BARAKA BANK (PAKISTAN) LIMITED</v>
          </cell>
          <cell r="J67" t="str">
            <v>BANK</v>
          </cell>
          <cell r="K67" t="str">
            <v>HPA M/s. Al Baraka Bank (Pakistan) Limited
Mr. Muhammad Imran  
HPA M/s. Al Baraka Bank (Pakistan) Limited</v>
          </cell>
          <cell r="L67" t="str">
            <v>D</v>
          </cell>
          <cell r="M67" t="str">
            <v>09000221</v>
          </cell>
          <cell r="N67">
            <v>100</v>
          </cell>
          <cell r="O67" t="str">
            <v>LAHORE</v>
          </cell>
          <cell r="P67" t="str">
            <v>6CL Al Makkah Allah Bux Road Near Butt Chowk Township Lahore</v>
          </cell>
          <cell r="Q67" t="str">
            <v>11000003</v>
          </cell>
          <cell r="R67" t="str">
            <v>SUZUKI CULTUS VXL EURO II</v>
          </cell>
          <cell r="S67" t="str">
            <v>2021</v>
          </cell>
          <cell r="U67" t="str">
            <v>182007</v>
          </cell>
          <cell r="V67" t="str">
            <v>10081985</v>
          </cell>
          <cell r="X67" t="str">
            <v>3</v>
          </cell>
          <cell r="Y67">
            <v>-1464000</v>
          </cell>
          <cell r="Z67">
            <v>-31551</v>
          </cell>
          <cell r="AA67">
            <v>-36600</v>
          </cell>
        </row>
        <row r="68">
          <cell r="B68" t="str">
            <v>KHI/HO/D/MO/PC COMP/P/95230/08/2024</v>
          </cell>
          <cell r="C68" t="str">
            <v>KHI/HO/D/MO/PC COMP/E/49315/00029/11/2024</v>
          </cell>
          <cell r="D68" t="str">
            <v>REN</v>
          </cell>
          <cell r="E68" t="str">
            <v>27/11/24</v>
          </cell>
          <cell r="F68" t="str">
            <v>15/08/2024</v>
          </cell>
          <cell r="G68" t="str">
            <v>14/08/2025</v>
          </cell>
          <cell r="H68" t="str">
            <v>08004499</v>
          </cell>
          <cell r="I68" t="str">
            <v>AL BARAKA BANK (PAKISTAN) LIMITED</v>
          </cell>
          <cell r="J68" t="str">
            <v>BANK</v>
          </cell>
          <cell r="K68" t="str">
            <v>Mr.
Al Baraka Bank ( Pakistan ) Limited
Mr. Mumtaz Ali
HPA M/s. Al Baraka Bank ( Pakistan ) Limited</v>
          </cell>
          <cell r="L68" t="str">
            <v>D</v>
          </cell>
          <cell r="M68" t="str">
            <v>09000221</v>
          </cell>
          <cell r="N68">
            <v>100</v>
          </cell>
          <cell r="P68" t="str">
            <v>House # C-26 Housing Society  
Nawabshah</v>
          </cell>
          <cell r="Q68" t="str">
            <v>11000003</v>
          </cell>
          <cell r="R68" t="str">
            <v>SUZUKI ALTO VXR</v>
          </cell>
          <cell r="S68" t="str">
            <v>2022</v>
          </cell>
          <cell r="T68" t="str">
            <v>BXQ-910</v>
          </cell>
          <cell r="U68" t="str">
            <v>246912</v>
          </cell>
          <cell r="V68" t="str">
            <v>1146858</v>
          </cell>
          <cell r="X68" t="str">
            <v>5</v>
          </cell>
          <cell r="Y68">
            <v>-1314100</v>
          </cell>
          <cell r="Z68">
            <v>-28322</v>
          </cell>
          <cell r="AA68">
            <v>-32853</v>
          </cell>
        </row>
        <row r="69">
          <cell r="B69" t="str">
            <v>KHI/HO/D/MO/PC COMP/P/95230/08/2024</v>
          </cell>
          <cell r="C69" t="str">
            <v>KHI/HO/D/MO/PC COMP/E/49315/00033/11/2024</v>
          </cell>
          <cell r="D69" t="str">
            <v>REN</v>
          </cell>
          <cell r="E69" t="str">
            <v>27/11/24</v>
          </cell>
          <cell r="F69" t="str">
            <v>24/08/2024</v>
          </cell>
          <cell r="G69" t="str">
            <v>23/08/2025</v>
          </cell>
          <cell r="H69" t="str">
            <v>08004499</v>
          </cell>
          <cell r="I69" t="str">
            <v>AL BARAKA BANK (PAKISTAN) LIMITED</v>
          </cell>
          <cell r="J69" t="str">
            <v>BANK</v>
          </cell>
          <cell r="K69" t="str">
            <v>Mr.
Al Baraka Bank ( Pakistan ) Limited
Mr. Hafiz Sheraz Khalid
Al Baraka Bank ( Pakistan ) Limited</v>
          </cell>
          <cell r="L69" t="str">
            <v>D</v>
          </cell>
          <cell r="M69" t="str">
            <v>09000221</v>
          </cell>
          <cell r="N69">
            <v>100</v>
          </cell>
          <cell r="P69" t="str">
            <v>Umar Farooq Town Suraj Miani Rd 
Multan</v>
          </cell>
          <cell r="Q69" t="str">
            <v>11000003</v>
          </cell>
          <cell r="R69" t="str">
            <v>SUZUKI ALTO VX</v>
          </cell>
          <cell r="S69" t="str">
            <v>2022</v>
          </cell>
          <cell r="T69" t="str">
            <v>ALR-425</v>
          </cell>
          <cell r="U69" t="str">
            <v>248595</v>
          </cell>
          <cell r="V69" t="str">
            <v>1148602</v>
          </cell>
          <cell r="Y69">
            <v>-1110100</v>
          </cell>
          <cell r="Z69">
            <v>-23925</v>
          </cell>
          <cell r="AA69">
            <v>-27753</v>
          </cell>
        </row>
        <row r="70">
          <cell r="B70" t="str">
            <v>KHI/HO/D/MO/PC COMP/P/95230/08/2024</v>
          </cell>
          <cell r="C70" t="str">
            <v>KHI/HO/D/MO/PC COMP/E/49315/00038/11/2024</v>
          </cell>
          <cell r="D70" t="str">
            <v>REN</v>
          </cell>
          <cell r="E70" t="str">
            <v>27/11/24</v>
          </cell>
          <cell r="F70" t="str">
            <v>24/08/2024</v>
          </cell>
          <cell r="G70" t="str">
            <v>23/08/2025</v>
          </cell>
          <cell r="H70" t="str">
            <v>08004499</v>
          </cell>
          <cell r="I70" t="str">
            <v>AL BARAKA BANK (PAKISTAN) LIMITED</v>
          </cell>
          <cell r="J70" t="str">
            <v>BANK</v>
          </cell>
          <cell r="K70" t="str">
            <v>Mr.
Al Baraka Bank ( Pakistan ) Limited
Mr. Muhammad Arshad
Al Baraka Bank ( Pakistan ) Limited</v>
          </cell>
          <cell r="L70" t="str">
            <v>D</v>
          </cell>
          <cell r="M70" t="str">
            <v>09000221</v>
          </cell>
          <cell r="N70">
            <v>100</v>
          </cell>
          <cell r="P70" t="str">
            <v>Qila Hari Chand Wala Post Office Depalpur Tehsil Depalpur District Okara</v>
          </cell>
          <cell r="Q70" t="str">
            <v>11000003</v>
          </cell>
          <cell r="R70" t="str">
            <v>SUZUKI ALTO VXR</v>
          </cell>
          <cell r="S70" t="str">
            <v>2022</v>
          </cell>
          <cell r="T70" t="str">
            <v>ALN-281</v>
          </cell>
          <cell r="U70" t="str">
            <v>6R246878</v>
          </cell>
          <cell r="V70" t="str">
            <v>6H1146857</v>
          </cell>
          <cell r="Y70">
            <v>-1314100</v>
          </cell>
          <cell r="Z70">
            <v>-28322</v>
          </cell>
          <cell r="AA70">
            <v>-32853</v>
          </cell>
        </row>
        <row r="71">
          <cell r="B71" t="str">
            <v>KHI/HO/D/MO/PC COMP/P/95193/08/2024</v>
          </cell>
          <cell r="C71" t="str">
            <v>KHI/HO/D/MO/PC COMP/E/49317/00006/11/2024</v>
          </cell>
          <cell r="D71" t="str">
            <v>REN</v>
          </cell>
          <cell r="E71" t="str">
            <v>27/11/24</v>
          </cell>
          <cell r="F71" t="str">
            <v>16/08/2024</v>
          </cell>
          <cell r="G71" t="str">
            <v>15/08/2025</v>
          </cell>
          <cell r="H71" t="str">
            <v>08004499</v>
          </cell>
          <cell r="I71" t="str">
            <v>AL BARAKA BANK (PAKISTAN) LIMITED</v>
          </cell>
          <cell r="J71" t="str">
            <v>BANK</v>
          </cell>
          <cell r="K71" t="str">
            <v>HPA M/s. Al Baraka Bank (Pakistan) Limited
Mr Sikandar Hayat Khan Bosan
HPA M/s. Al Baraka Bank (Pakistan) Limited</v>
          </cell>
          <cell r="L71" t="str">
            <v>D</v>
          </cell>
          <cell r="M71" t="str">
            <v>09000221</v>
          </cell>
          <cell r="N71">
            <v>100</v>
          </cell>
          <cell r="P71" t="str">
            <v>PO Band Bosan Multan</v>
          </cell>
          <cell r="Q71" t="str">
            <v>11000003</v>
          </cell>
          <cell r="R71" t="str">
            <v>SUZUKI ALTO VXR E-2</v>
          </cell>
          <cell r="S71" t="str">
            <v>2023</v>
          </cell>
          <cell r="U71" t="str">
            <v>279717</v>
          </cell>
          <cell r="V71" t="str">
            <v>1179729</v>
          </cell>
          <cell r="X71" t="str">
            <v>3</v>
          </cell>
          <cell r="Y71">
            <v>-2350800</v>
          </cell>
          <cell r="Z71">
            <v>-40531</v>
          </cell>
          <cell r="AA71">
            <v>-47016</v>
          </cell>
        </row>
        <row r="72">
          <cell r="B72" t="str">
            <v>KHI/HO/D/MO/PC COMP/P/95193/08/2024</v>
          </cell>
          <cell r="C72" t="str">
            <v>KHI/HO/D/MO/PC COMP/E/49317/00020/11/2024</v>
          </cell>
          <cell r="D72" t="str">
            <v>REN</v>
          </cell>
          <cell r="E72" t="str">
            <v>27/11/24</v>
          </cell>
          <cell r="F72" t="str">
            <v>29/08/2024</v>
          </cell>
          <cell r="G72" t="str">
            <v>28/08/2025</v>
          </cell>
          <cell r="H72" t="str">
            <v>08004499</v>
          </cell>
          <cell r="I72" t="str">
            <v>AL BARAKA BANK (PAKISTAN) LIMITED</v>
          </cell>
          <cell r="J72" t="str">
            <v>BANK</v>
          </cell>
          <cell r="K72" t="str">
            <v>HPA M/s. Al Baraka Bank (Pakistan) Limited
Mr. Akleem Abbas 
HPA M/s. Al Baraka Bank (Pakistan) Limited</v>
          </cell>
          <cell r="L72" t="str">
            <v>D</v>
          </cell>
          <cell r="M72" t="str">
            <v>09000221</v>
          </cell>
          <cell r="N72">
            <v>100</v>
          </cell>
          <cell r="P72" t="str">
            <v>H No 148 Block L Sabzazar Scheme Lahore</v>
          </cell>
          <cell r="Q72" t="str">
            <v>11000003</v>
          </cell>
          <cell r="R72" t="str">
            <v>CHANGAN OSHAN FS</v>
          </cell>
          <cell r="S72" t="str">
            <v>2023</v>
          </cell>
          <cell r="U72" t="str">
            <v>AH310824</v>
          </cell>
          <cell r="V72" t="str">
            <v>P1003774</v>
          </cell>
          <cell r="Y72">
            <v>-8279100</v>
          </cell>
          <cell r="Z72">
            <v>-107057</v>
          </cell>
          <cell r="AA72">
            <v>-124187</v>
          </cell>
        </row>
        <row r="73">
          <cell r="B73" t="str">
            <v>KHI/HO/D/MO/PC COMP/P/93460/07/2024</v>
          </cell>
          <cell r="C73" t="str">
            <v>KHI/HO/D/MO/PC COMP/E/49318/00003/11/2024</v>
          </cell>
          <cell r="D73" t="str">
            <v>REN</v>
          </cell>
          <cell r="E73" t="str">
            <v>27/11/24</v>
          </cell>
          <cell r="F73" t="str">
            <v>26/07/2024</v>
          </cell>
          <cell r="G73" t="str">
            <v>25/07/2025</v>
          </cell>
          <cell r="H73" t="str">
            <v>08004499</v>
          </cell>
          <cell r="I73" t="str">
            <v>AL BARAKA BANK (PAKISTAN) LIMITED</v>
          </cell>
          <cell r="J73" t="str">
            <v>BANK</v>
          </cell>
          <cell r="K73" t="str">
            <v>M/S. AL BARAKA BANK (PAKISTAN ) LIMITED
M/S. AL BARAKA BANK (PAKISTAN) LIMITED
USER. MR. ABID MASIH</v>
          </cell>
          <cell r="L73" t="str">
            <v>D</v>
          </cell>
          <cell r="M73" t="str">
            <v>09000221</v>
          </cell>
          <cell r="N73">
            <v>100</v>
          </cell>
          <cell r="P73" t="str">
            <v>ST NO. 5, BLOCK-G, MOHALLA, YOHANA BAD, LAHORE.</v>
          </cell>
          <cell r="Q73" t="str">
            <v>11000003</v>
          </cell>
          <cell r="R73" t="str">
            <v>SUZUKI MEHRAN VXR EURO-II</v>
          </cell>
          <cell r="S73" t="str">
            <v>2018</v>
          </cell>
          <cell r="T73" t="str">
            <v>LE-18A-8646</v>
          </cell>
          <cell r="U73" t="str">
            <v>738211</v>
          </cell>
          <cell r="V73" t="str">
            <v>01276735</v>
          </cell>
          <cell r="W73" t="str">
            <v>26-jul-2020</v>
          </cell>
          <cell r="Y73">
            <v>-516750</v>
          </cell>
          <cell r="Z73">
            <v>-16705</v>
          </cell>
          <cell r="AA73">
            <v>-19378</v>
          </cell>
        </row>
        <row r="74">
          <cell r="B74" t="str">
            <v>KHI/HO/D/MO/PC COMP/P/93458/07/2024</v>
          </cell>
          <cell r="C74" t="str">
            <v>KHI/HO/D/MO/PC COMP/E/49319/00034/11/2024</v>
          </cell>
          <cell r="D74" t="str">
            <v>REN</v>
          </cell>
          <cell r="E74" t="str">
            <v>27/11/24</v>
          </cell>
          <cell r="F74" t="str">
            <v>30/07/2024</v>
          </cell>
          <cell r="G74" t="str">
            <v>29/07/2025</v>
          </cell>
          <cell r="H74" t="str">
            <v>08004499</v>
          </cell>
          <cell r="I74" t="str">
            <v>AL BARAKA BANK (PAKISTAN) LIMITED</v>
          </cell>
          <cell r="J74" t="str">
            <v>BANK</v>
          </cell>
          <cell r="K74" t="str">
            <v>HPA M/s. Al Baraka Bank Pakistan Limited
Mr. Mohsin Inayat Ullah    
HPA M/s. Al Baraka Bank Pakistan Limited</v>
          </cell>
          <cell r="L74" t="str">
            <v>D</v>
          </cell>
          <cell r="M74" t="str">
            <v>09000221</v>
          </cell>
          <cell r="N74">
            <v>100</v>
          </cell>
          <cell r="O74" t="str">
            <v>LAHORE</v>
          </cell>
          <cell r="P74" t="str">
            <v>House No. 321 322 Block B New Chowburji Park Lahore</v>
          </cell>
          <cell r="Q74" t="str">
            <v>11000003</v>
          </cell>
          <cell r="R74" t="str">
            <v>HONDA CITY CVT ASPIRE A/T</v>
          </cell>
          <cell r="S74" t="str">
            <v>2021</v>
          </cell>
          <cell r="T74" t="str">
            <v>AGP-087</v>
          </cell>
          <cell r="U74" t="str">
            <v>17546959</v>
          </cell>
          <cell r="V74" t="str">
            <v>272009</v>
          </cell>
          <cell r="X74" t="str">
            <v>3</v>
          </cell>
          <cell r="Y74">
            <v>-2116000</v>
          </cell>
          <cell r="Z74">
            <v>-45603</v>
          </cell>
          <cell r="AA74">
            <v>-52900</v>
          </cell>
        </row>
        <row r="75">
          <cell r="B75" t="str">
            <v>KHI/HO/D/MO/PC COMP/P/93457/07/2024</v>
          </cell>
          <cell r="C75" t="str">
            <v>KHI/HO/D/MO/PC COMP/E/49320/00015/11/2024</v>
          </cell>
          <cell r="D75" t="str">
            <v>REN</v>
          </cell>
          <cell r="E75" t="str">
            <v>27/11/24</v>
          </cell>
          <cell r="F75" t="str">
            <v>06/07/2024</v>
          </cell>
          <cell r="G75" t="str">
            <v>05/07/2025</v>
          </cell>
          <cell r="H75" t="str">
            <v>08004499</v>
          </cell>
          <cell r="I75" t="str">
            <v>AL BARAKA BANK (PAKISTAN) LIMITED</v>
          </cell>
          <cell r="J75" t="str">
            <v>BANK</v>
          </cell>
          <cell r="K75" t="str">
            <v>HPA M/s. Al Baraka Bank (Pakistan) Limited
Mr. Muhammad Uzair Zafar
HPA M/s. Al Baraka Bank (Pakistan) Limited</v>
          </cell>
          <cell r="L75" t="str">
            <v>D</v>
          </cell>
          <cell r="M75" t="str">
            <v>09000221</v>
          </cell>
          <cell r="N75">
            <v>100</v>
          </cell>
          <cell r="P75" t="str">
            <v>H No 42-B-1 Mujahid Town OLD Shujabad Road Multan</v>
          </cell>
          <cell r="Q75" t="str">
            <v>11000003</v>
          </cell>
          <cell r="R75" t="str">
            <v>SUZUKI CULTUS</v>
          </cell>
          <cell r="S75" t="str">
            <v>2022</v>
          </cell>
          <cell r="T75" t="str">
            <v>ALN-405</v>
          </cell>
          <cell r="U75" t="str">
            <v>199338</v>
          </cell>
          <cell r="V75" t="str">
            <v>10099348</v>
          </cell>
          <cell r="Y75">
            <v>-2102900</v>
          </cell>
          <cell r="Z75">
            <v>-45322</v>
          </cell>
          <cell r="AA75">
            <v>-52573</v>
          </cell>
        </row>
        <row r="76">
          <cell r="B76" t="str">
            <v>KHI/HO/D/MO/PC COMP/P/86635/04/2024</v>
          </cell>
          <cell r="C76" t="str">
            <v>KHI/HO/D/MO/PC COMP/E/49436/00001/11/2024</v>
          </cell>
          <cell r="D76" t="str">
            <v>REN</v>
          </cell>
          <cell r="E76" t="str">
            <v>28/11/24</v>
          </cell>
          <cell r="F76" t="str">
            <v>04/04/2024</v>
          </cell>
          <cell r="G76" t="str">
            <v>03/04/2025</v>
          </cell>
          <cell r="H76" t="str">
            <v>08004499</v>
          </cell>
          <cell r="I76" t="str">
            <v>AL BARAKA BANK (PAKISTAN) LIMITED</v>
          </cell>
          <cell r="J76" t="str">
            <v>BANK</v>
          </cell>
          <cell r="K76" t="str">
            <v>Mr.
HP M/s. Al Baraka Bank (Pakistan) Limited
Mr. Muhammad Ghufran
HP M/s. Al Baraka Bank (Pakistan) Limited</v>
          </cell>
          <cell r="L76" t="str">
            <v>D</v>
          </cell>
          <cell r="M76" t="str">
            <v>09000221</v>
          </cell>
          <cell r="N76">
            <v>100</v>
          </cell>
          <cell r="P76" t="str">
            <v>H # 708 Street 18 Phase 058 Ghouri Town Islamabad</v>
          </cell>
          <cell r="Q76" t="str">
            <v>11000003</v>
          </cell>
          <cell r="R76" t="str">
            <v>SUZUKI ALTO VXL AGS E-2</v>
          </cell>
          <cell r="S76" t="str">
            <v>2023</v>
          </cell>
          <cell r="T76" t="str">
            <v>BBX-536</v>
          </cell>
          <cell r="U76" t="str">
            <v>272099</v>
          </cell>
          <cell r="V76" t="str">
            <v>1172073</v>
          </cell>
          <cell r="X76" t="str">
            <v>3</v>
          </cell>
          <cell r="Y76">
            <v>-1755900</v>
          </cell>
          <cell r="Z76">
            <v>-30761</v>
          </cell>
          <cell r="AA76">
            <v>-35118</v>
          </cell>
        </row>
        <row r="77">
          <cell r="B77" t="str">
            <v>KHI/HO/D/MO/PC COMP/P/85077/03/2024</v>
          </cell>
          <cell r="C77" t="str">
            <v>KHI/HO/D/MO/PC COMP/E/49441/00004/11/2024</v>
          </cell>
          <cell r="D77" t="str">
            <v>REN</v>
          </cell>
          <cell r="E77" t="str">
            <v>28/11/24</v>
          </cell>
          <cell r="F77" t="str">
            <v>29/03/2024</v>
          </cell>
          <cell r="G77" t="str">
            <v>28/03/2025</v>
          </cell>
          <cell r="H77" t="str">
            <v>08004499</v>
          </cell>
          <cell r="I77" t="str">
            <v>AL BARAKA BANK (PAKISTAN) LIMITED</v>
          </cell>
          <cell r="J77" t="str">
            <v>BANK</v>
          </cell>
          <cell r="K77" t="str">
            <v>HPA M/S. AL BARAKA BANK (PAKISTAN) LIMITED
Mr. Raheel Anwar  
HPA M/s. Al Baraka Bank (Pakistan) Limited.</v>
          </cell>
          <cell r="L77" t="str">
            <v>D</v>
          </cell>
          <cell r="M77" t="str">
            <v>09000221</v>
          </cell>
          <cell r="N77">
            <v>100</v>
          </cell>
          <cell r="P77" t="str">
            <v>House No.173-B III Johar Town Lahore</v>
          </cell>
          <cell r="Q77" t="str">
            <v>11000003</v>
          </cell>
          <cell r="R77" t="str">
            <v>TOYOTA COROLLA GLI M/T 1.</v>
          </cell>
          <cell r="S77" t="str">
            <v>2016</v>
          </cell>
          <cell r="T77" t="str">
            <v>LE-17-2611</v>
          </cell>
          <cell r="U77" t="str">
            <v>Z470251</v>
          </cell>
          <cell r="V77" t="str">
            <v>R4100346</v>
          </cell>
          <cell r="X77" t="str">
            <v>5</v>
          </cell>
          <cell r="Y77">
            <v>-1856250</v>
          </cell>
          <cell r="Z77">
            <v>-61060</v>
          </cell>
          <cell r="AA77">
            <v>-69609</v>
          </cell>
        </row>
        <row r="78">
          <cell r="B78" t="str">
            <v>KHI/HO/D/MO/PC COMP/P/84285/02/2024</v>
          </cell>
          <cell r="C78" t="str">
            <v>KHI/HO/D/MO/PC COMP/E/49450/00014/11/2024</v>
          </cell>
          <cell r="D78" t="str">
            <v>REN</v>
          </cell>
          <cell r="E78" t="str">
            <v>28/11/24</v>
          </cell>
          <cell r="F78" t="str">
            <v>15/02/2024</v>
          </cell>
          <cell r="G78" t="str">
            <v>14/02/2025</v>
          </cell>
          <cell r="H78" t="str">
            <v>08004499</v>
          </cell>
          <cell r="I78" t="str">
            <v>AL BARAKA BANK (PAKISTAN) LIMITED</v>
          </cell>
          <cell r="J78" t="str">
            <v>BANK</v>
          </cell>
          <cell r="K78" t="str">
            <v>HPA M/s. Al Baraka Bank Pakistan Limited
Mr. Nadeem Bashir               
HPA M/s. Al Baraka Bank Pakistan Limited</v>
          </cell>
          <cell r="L78" t="str">
            <v>D</v>
          </cell>
          <cell r="M78" t="str">
            <v>09000221</v>
          </cell>
          <cell r="N78">
            <v>100</v>
          </cell>
          <cell r="O78" t="str">
            <v>KARACHI</v>
          </cell>
          <cell r="P78" t="str">
            <v>House No. S-C-49 G/Floor Street 36 Dar us Salam Co Opr H. Society Korangi Karachi</v>
          </cell>
          <cell r="Q78" t="str">
            <v>11000003</v>
          </cell>
          <cell r="R78" t="str">
            <v>SUZUKI WAGON-R VXL E2</v>
          </cell>
          <cell r="S78" t="str">
            <v>2021</v>
          </cell>
          <cell r="U78" t="str">
            <v>204303</v>
          </cell>
          <cell r="V78" t="str">
            <v>10104290</v>
          </cell>
          <cell r="X78" t="str">
            <v>3</v>
          </cell>
          <cell r="Y78">
            <v>-1512000</v>
          </cell>
          <cell r="Z78">
            <v>-33157</v>
          </cell>
          <cell r="AA78">
            <v>-37800</v>
          </cell>
        </row>
        <row r="79">
          <cell r="B79" t="str">
            <v>KHI/HO/D/MO/PC COMP/P/82368/01/2024</v>
          </cell>
          <cell r="C79" t="str">
            <v>KHI/HO/D/MO/PC COMP/E/49451/00010/11/2024</v>
          </cell>
          <cell r="D79" t="str">
            <v>REN</v>
          </cell>
          <cell r="E79" t="str">
            <v>28/11/24</v>
          </cell>
          <cell r="F79" t="str">
            <v>28/01/2024</v>
          </cell>
          <cell r="G79" t="str">
            <v>27/01/2025</v>
          </cell>
          <cell r="H79" t="str">
            <v>08004499</v>
          </cell>
          <cell r="I79" t="str">
            <v>AL BARAKA BANK (PAKISTAN) LIMITED</v>
          </cell>
          <cell r="J79" t="str">
            <v>BANK</v>
          </cell>
          <cell r="K79" t="str">
            <v>HPA M/S. AL BARAKA BANK (PAKISTAN) LIMITED
Mr. Muhammad Aism Qayyum Chohan
HPA M/s. Al Baraka Bank (Pakistan) Limited</v>
          </cell>
          <cell r="L79" t="str">
            <v>D</v>
          </cell>
          <cell r="M79" t="str">
            <v>09000221</v>
          </cell>
          <cell r="N79">
            <v>100</v>
          </cell>
          <cell r="P79" t="str">
            <v>Gali Hakeem m Ismail Wali ward # 7 H # 5 Moh 
Chanu Mori Jhang</v>
          </cell>
          <cell r="Q79" t="str">
            <v>11000003</v>
          </cell>
          <cell r="R79" t="str">
            <v>SUZUKI CULTUS VXL</v>
          </cell>
          <cell r="S79" t="str">
            <v>2020</v>
          </cell>
          <cell r="U79" t="str">
            <v>154791</v>
          </cell>
          <cell r="V79" t="str">
            <v>10054777</v>
          </cell>
          <cell r="Y79">
            <v>-1391250</v>
          </cell>
          <cell r="Z79">
            <v>-32950</v>
          </cell>
          <cell r="AA79">
            <v>-37564</v>
          </cell>
        </row>
        <row r="80">
          <cell r="B80" t="str">
            <v>KHI/HO/D/MO/PC COMP/P/78104/11/2023</v>
          </cell>
          <cell r="C80" t="str">
            <v>KHI/HO/D/MO/PC COMP/E/49452/00004/11/2024</v>
          </cell>
          <cell r="D80" t="str">
            <v>REN</v>
          </cell>
          <cell r="E80" t="str">
            <v>28/11/24</v>
          </cell>
          <cell r="F80" t="str">
            <v>23/11/2023</v>
          </cell>
          <cell r="G80" t="str">
            <v>22/11/2024</v>
          </cell>
          <cell r="H80" t="str">
            <v>08004499</v>
          </cell>
          <cell r="I80" t="str">
            <v>AL BARAKA BANK (PAKISTAN) LIMITED</v>
          </cell>
          <cell r="J80" t="str">
            <v>BANK</v>
          </cell>
          <cell r="K80" t="str">
            <v>HPA M/s. Al Baraka Bank (Pakistan) Limited
Hpa M/S. Al Baraka Bank (Pakistan) Limited
User: Imran  Mehmood</v>
          </cell>
          <cell r="L80" t="str">
            <v>D</v>
          </cell>
          <cell r="M80" t="str">
            <v>09000221</v>
          </cell>
          <cell r="N80">
            <v>100</v>
          </cell>
          <cell r="O80" t="str">
            <v>KARACHI</v>
          </cell>
          <cell r="P80" t="str">
            <v>House No. 4 Street 5 Muslim abad New Pull 
Tajpura Scheme Mughal Pura Lahore</v>
          </cell>
          <cell r="Q80" t="str">
            <v>11000003</v>
          </cell>
          <cell r="R80" t="str">
            <v>SUZUKI WAGON-R VXL E2</v>
          </cell>
          <cell r="S80" t="str">
            <v>2018</v>
          </cell>
          <cell r="T80" t="str">
            <v>LEA-19-3100</v>
          </cell>
          <cell r="U80" t="str">
            <v>177360</v>
          </cell>
          <cell r="V80" t="str">
            <v>10077353</v>
          </cell>
          <cell r="W80" t="str">
            <v>05-dec-2024</v>
          </cell>
          <cell r="Y80">
            <v>-891800</v>
          </cell>
          <cell r="Z80">
            <v>-29336</v>
          </cell>
          <cell r="AA80">
            <v>-33443</v>
          </cell>
        </row>
        <row r="81">
          <cell r="B81" t="str">
            <v>KHI/HO/D/MO/PC COMP/P/90920/06/2024</v>
          </cell>
          <cell r="C81" t="str">
            <v>KHI/HO/D/MO/PC COMP/E/49528/00078/11/2024</v>
          </cell>
          <cell r="D81" t="str">
            <v>REN</v>
          </cell>
          <cell r="E81" t="str">
            <v>29/11/24</v>
          </cell>
          <cell r="F81" t="str">
            <v>27/06/2024</v>
          </cell>
          <cell r="G81" t="str">
            <v>26/06/2025</v>
          </cell>
          <cell r="H81" t="str">
            <v>08004499</v>
          </cell>
          <cell r="I81" t="str">
            <v>AL BARAKA BANK (PAKISTAN) LIMITED</v>
          </cell>
          <cell r="J81" t="str">
            <v>BANK</v>
          </cell>
          <cell r="K81" t="str">
            <v>M/s. Al Baraka Bank (Pakistan) Limited
M/S. Al Baraka Bank (Pakistan) Limited
User:Muhammad  Waleed  Idrees</v>
          </cell>
          <cell r="L81" t="str">
            <v>D</v>
          </cell>
          <cell r="M81" t="str">
            <v>09000221</v>
          </cell>
          <cell r="N81">
            <v>100</v>
          </cell>
          <cell r="O81" t="str">
            <v>KARACHI</v>
          </cell>
          <cell r="P81" t="str">
            <v>H # 91 Street 4 Block HH Phase IV DHA Lahore</v>
          </cell>
          <cell r="Q81" t="str">
            <v>11000003</v>
          </cell>
          <cell r="R81" t="str">
            <v>SUZUKI ALTO VX EURO II</v>
          </cell>
          <cell r="S81" t="str">
            <v>2022</v>
          </cell>
          <cell r="T81" t="str">
            <v>AKX-618</v>
          </cell>
          <cell r="U81" t="str">
            <v>238918</v>
          </cell>
          <cell r="V81" t="str">
            <v>1138933</v>
          </cell>
          <cell r="W81" t="str">
            <v>05-jul-2027</v>
          </cell>
          <cell r="Y81">
            <v>-1110100</v>
          </cell>
          <cell r="Z81">
            <v>-17042</v>
          </cell>
          <cell r="AA81">
            <v>-19427</v>
          </cell>
        </row>
        <row r="82">
          <cell r="B82" t="str">
            <v>KHI/HO/D/MO/PC COMP/P/90920/06/2024</v>
          </cell>
          <cell r="C82" t="str">
            <v>KHI/HO/D/MO/PC COMP/E/49528/00147/11/2024</v>
          </cell>
          <cell r="D82" t="str">
            <v>REN</v>
          </cell>
          <cell r="E82" t="str">
            <v>29/11/24</v>
          </cell>
          <cell r="F82" t="str">
            <v>29/06/2024</v>
          </cell>
          <cell r="G82" t="str">
            <v>28/06/2025</v>
          </cell>
          <cell r="H82" t="str">
            <v>08004499</v>
          </cell>
          <cell r="I82" t="str">
            <v>AL BARAKA BANK (PAKISTAN) LIMITED</v>
          </cell>
          <cell r="J82" t="str">
            <v>BANK</v>
          </cell>
          <cell r="K82" t="str">
            <v>M/s. Al Baraka Bank (Pakistan) Limited
M/S. Al Baraka Bank (Pakistan) Limited
User:Kashif  Ghafoor</v>
          </cell>
          <cell r="L82" t="str">
            <v>D</v>
          </cell>
          <cell r="M82" t="str">
            <v>09000221</v>
          </cell>
          <cell r="N82">
            <v>100</v>
          </cell>
          <cell r="O82" t="str">
            <v>KARACHI</v>
          </cell>
          <cell r="P82" t="str">
            <v>Street 3 Moh Siddiqui Park Toba Tek Singh</v>
          </cell>
          <cell r="Q82" t="str">
            <v>11000003</v>
          </cell>
          <cell r="R82" t="str">
            <v>SUZUKI CULTUS VXL EURO II</v>
          </cell>
          <cell r="S82" t="str">
            <v>2016</v>
          </cell>
          <cell r="T82" t="str">
            <v>FD-16-369</v>
          </cell>
          <cell r="U82" t="str">
            <v>619501</v>
          </cell>
          <cell r="V82" t="str">
            <v>526354</v>
          </cell>
          <cell r="W82" t="str">
            <v>05-jul-2025</v>
          </cell>
          <cell r="Y82">
            <v>-900000</v>
          </cell>
          <cell r="Z82">
            <v>-29605</v>
          </cell>
          <cell r="AA82">
            <v>-33750</v>
          </cell>
        </row>
        <row r="83">
          <cell r="B83" t="str">
            <v>KHI/HO/D/MO/PC COMP/P/90920/06/2024</v>
          </cell>
          <cell r="C83" t="str">
            <v>KHI/HO/D/MO/PC COMP/E/49528/00152/11/2024</v>
          </cell>
          <cell r="D83" t="str">
            <v>REN</v>
          </cell>
          <cell r="E83" t="str">
            <v>29/11/24</v>
          </cell>
          <cell r="F83" t="str">
            <v>29/06/2024</v>
          </cell>
          <cell r="G83" t="str">
            <v>28/06/2025</v>
          </cell>
          <cell r="H83" t="str">
            <v>08004499</v>
          </cell>
          <cell r="I83" t="str">
            <v>AL BARAKA BANK (PAKISTAN) LIMITED</v>
          </cell>
          <cell r="J83" t="str">
            <v>BANK</v>
          </cell>
          <cell r="K83" t="str">
            <v>M/s. Al Baraka Bank (Pakistan) Limited
M/S. Al Baraka Bank (Pakistan) Limited
User:Muhammad Saqib Amanat</v>
          </cell>
          <cell r="L83" t="str">
            <v>D</v>
          </cell>
          <cell r="M83" t="str">
            <v>09000221</v>
          </cell>
          <cell r="N83">
            <v>100</v>
          </cell>
          <cell r="O83" t="str">
            <v>KARACHI</v>
          </cell>
          <cell r="P83" t="str">
            <v>House No. 6-A Data Street Mohallah Hassan Town Multan Road Lahore</v>
          </cell>
          <cell r="Q83" t="str">
            <v>11000003</v>
          </cell>
          <cell r="R83" t="str">
            <v>SUZUKI ALTO VXR</v>
          </cell>
          <cell r="S83" t="str">
            <v>2020</v>
          </cell>
          <cell r="T83" t="str">
            <v>LEB20-6258</v>
          </cell>
          <cell r="U83" t="str">
            <v>134384</v>
          </cell>
          <cell r="V83" t="str">
            <v>1034376</v>
          </cell>
          <cell r="W83" t="str">
            <v>05-jul-2025</v>
          </cell>
          <cell r="Y83">
            <v>-1048500</v>
          </cell>
          <cell r="Z83">
            <v>-34490</v>
          </cell>
          <cell r="AA83">
            <v>-39319</v>
          </cell>
        </row>
        <row r="84">
          <cell r="B84" t="str">
            <v>KHI/HO/D/MO/PC COMP/P/73784/08/2023</v>
          </cell>
          <cell r="C84" t="str">
            <v>KHI/HO/D/MO/PC COMP/E/49530/00017/11/2024</v>
          </cell>
          <cell r="D84" t="str">
            <v>REN</v>
          </cell>
          <cell r="E84" t="str">
            <v>29/11/24</v>
          </cell>
          <cell r="F84" t="str">
            <v>30/08/2023</v>
          </cell>
          <cell r="G84" t="str">
            <v>29/08/2024</v>
          </cell>
          <cell r="H84" t="str">
            <v>08004499</v>
          </cell>
          <cell r="I84" t="str">
            <v>AL BARAKA BANK (PAKISTAN) LIMITED</v>
          </cell>
          <cell r="J84" t="str">
            <v>BANK</v>
          </cell>
          <cell r="K84" t="str">
            <v>M/S. AL BARAKA BANK PAKISTAN LIMITED
Mr. Ahmad Murtaza      
HPA M/s. Al Baraka Bank (Pakistan) Limited</v>
          </cell>
          <cell r="L84" t="str">
            <v>D</v>
          </cell>
          <cell r="M84" t="str">
            <v>09000221</v>
          </cell>
          <cell r="N84">
            <v>100</v>
          </cell>
          <cell r="O84" t="str">
            <v>LAHORE</v>
          </cell>
          <cell r="P84" t="str">
            <v>Shop 2-A Qasim Market  Near Shanghai Chowk Chungi Ammar Sidhu Gulberg Town Lahore</v>
          </cell>
          <cell r="Q84" t="str">
            <v>11000003</v>
          </cell>
          <cell r="R84" t="str">
            <v>SUZUKI ALTO VXL AGS E-2</v>
          </cell>
          <cell r="S84" t="str">
            <v>2019</v>
          </cell>
          <cell r="T84" t="str">
            <v>LEH-19-8447</v>
          </cell>
          <cell r="U84" t="str">
            <v>R100670</v>
          </cell>
          <cell r="V84" t="str">
            <v>1000635</v>
          </cell>
          <cell r="X84" t="str">
            <v>3</v>
          </cell>
          <cell r="Y84">
            <v>-1046250</v>
          </cell>
          <cell r="Z84">
            <v>-34416</v>
          </cell>
          <cell r="AA84">
            <v>-39234</v>
          </cell>
        </row>
        <row r="85">
          <cell r="B85" t="str">
            <v>KHI/HO/D/MO/PC COMP/P/73778/08/2023</v>
          </cell>
          <cell r="C85" t="str">
            <v>KHI/HO/D/MO/PC COMP/E/49531/00042/11/2024</v>
          </cell>
          <cell r="D85" t="str">
            <v>REN</v>
          </cell>
          <cell r="E85" t="str">
            <v>29/11/24</v>
          </cell>
          <cell r="F85" t="str">
            <v>16/08/2023</v>
          </cell>
          <cell r="G85" t="str">
            <v>15/08/2024</v>
          </cell>
          <cell r="H85" t="str">
            <v>08004499</v>
          </cell>
          <cell r="I85" t="str">
            <v>AL BARAKA BANK (PAKISTAN) LIMITED</v>
          </cell>
          <cell r="J85" t="str">
            <v>BANK</v>
          </cell>
          <cell r="K85" t="str">
            <v>HPA M/s. Al Baraka Bank (Pakistan) Limited
Mr. Nadeem Iqbal     
HPA M/s. Al Baraka Bank (Pakistan) Limited</v>
          </cell>
          <cell r="L85" t="str">
            <v>D</v>
          </cell>
          <cell r="M85" t="str">
            <v>09000221</v>
          </cell>
          <cell r="N85">
            <v>100</v>
          </cell>
          <cell r="O85" t="str">
            <v>LAHORE</v>
          </cell>
          <cell r="P85" t="str">
            <v>House No. 381 Pak Block Allama Iqbal Town Lahore</v>
          </cell>
          <cell r="Q85" t="str">
            <v>11000003</v>
          </cell>
          <cell r="R85" t="str">
            <v>TOYOTA YARIS ATIV CVT</v>
          </cell>
          <cell r="S85" t="str">
            <v>2021</v>
          </cell>
          <cell r="T85" t="str">
            <v>AEM-451</v>
          </cell>
          <cell r="U85" t="str">
            <v>2A33905</v>
          </cell>
          <cell r="V85" t="str">
            <v>7021031</v>
          </cell>
          <cell r="X85" t="str">
            <v>3</v>
          </cell>
          <cell r="Y85">
            <v>2297550</v>
          </cell>
          <cell r="Z85">
            <v>0</v>
          </cell>
          <cell r="AA85">
            <v>0</v>
          </cell>
        </row>
        <row r="86">
          <cell r="B86" t="str">
            <v>KHI/HO/D/MO/PC COMP/P/73778/08/2023</v>
          </cell>
          <cell r="C86" t="str">
            <v>KHI/HO/D/MO/PC COMP/E/49531/00059/11/2024</v>
          </cell>
          <cell r="D86" t="str">
            <v>REN</v>
          </cell>
          <cell r="E86" t="str">
            <v>29/11/24</v>
          </cell>
          <cell r="F86" t="str">
            <v>16/08/2023</v>
          </cell>
          <cell r="G86" t="str">
            <v>15/08/2024</v>
          </cell>
          <cell r="H86" t="str">
            <v>08004499</v>
          </cell>
          <cell r="I86" t="str">
            <v>AL BARAKA BANK (PAKISTAN) LIMITED</v>
          </cell>
          <cell r="J86" t="str">
            <v>BANK</v>
          </cell>
          <cell r="K86" t="str">
            <v>HPA M/s. Al Baraka Bank (Pakistan) Limited
Mr. Nadeem Iqbal     
HPA M/s. Al Baraka Bank (Pakistan) Limited</v>
          </cell>
          <cell r="L86" t="str">
            <v>D</v>
          </cell>
          <cell r="M86" t="str">
            <v>09000221</v>
          </cell>
          <cell r="N86">
            <v>100</v>
          </cell>
          <cell r="O86" t="str">
            <v>LAHORE</v>
          </cell>
          <cell r="P86" t="str">
            <v>House No. 381 Pak Block Allama Iqbal Town Lahore</v>
          </cell>
          <cell r="Q86" t="str">
            <v>11000003</v>
          </cell>
          <cell r="R86" t="str">
            <v>TOYOTA YARIS ATIV CVT</v>
          </cell>
          <cell r="S86" t="str">
            <v>2021</v>
          </cell>
          <cell r="T86" t="str">
            <v>AEM-451</v>
          </cell>
          <cell r="U86" t="str">
            <v>2A33905</v>
          </cell>
          <cell r="V86" t="str">
            <v>7021031</v>
          </cell>
          <cell r="X86" t="str">
            <v>3</v>
          </cell>
          <cell r="Y86">
            <v>2297550</v>
          </cell>
          <cell r="Z86">
            <v>0</v>
          </cell>
          <cell r="AA86">
            <v>0</v>
          </cell>
        </row>
        <row r="87">
          <cell r="B87" t="str">
            <v>KHI/HO/D/MO/PC COMP/P/72871/07/2023</v>
          </cell>
          <cell r="C87" t="str">
            <v>KHI/HO/D/MO/PC COMP/E/49532/00006/11/2024</v>
          </cell>
          <cell r="D87" t="str">
            <v>REN</v>
          </cell>
          <cell r="E87" t="str">
            <v>29/11/24</v>
          </cell>
          <cell r="F87" t="str">
            <v>06/07/2023</v>
          </cell>
          <cell r="G87" t="str">
            <v>05/07/2024</v>
          </cell>
          <cell r="H87" t="str">
            <v>08004499</v>
          </cell>
          <cell r="I87" t="str">
            <v>AL BARAKA BANK (PAKISTAN) LIMITED</v>
          </cell>
          <cell r="J87" t="str">
            <v>BANK</v>
          </cell>
          <cell r="K87" t="str">
            <v>HPA M/s. Al Baraka Bank Pakistan Limited
Mr. Sarwar Ijaz Yousaf 
HPA M/s. Al Baraka Bank Pakistan Limited</v>
          </cell>
          <cell r="L87" t="str">
            <v>D</v>
          </cell>
          <cell r="M87" t="str">
            <v>09000221</v>
          </cell>
          <cell r="N87">
            <v>100</v>
          </cell>
          <cell r="O87" t="str">
            <v>LAHORE</v>
          </cell>
          <cell r="P87" t="str">
            <v>House No. 95 Block N Avenue DHA Phase 8 Lahore</v>
          </cell>
          <cell r="Q87" t="str">
            <v>11000003</v>
          </cell>
          <cell r="R87" t="str">
            <v>KIA PICANTO 1.0L A/T</v>
          </cell>
          <cell r="S87" t="str">
            <v>2021</v>
          </cell>
          <cell r="T87" t="str">
            <v>AED-923</v>
          </cell>
          <cell r="U87" t="str">
            <v>007315</v>
          </cell>
          <cell r="V87" t="str">
            <v>705193</v>
          </cell>
          <cell r="X87" t="str">
            <v>3</v>
          </cell>
          <cell r="Y87">
            <v>-1761200</v>
          </cell>
          <cell r="Z87">
            <v>-38623</v>
          </cell>
          <cell r="AA87">
            <v>-44030</v>
          </cell>
        </row>
        <row r="88">
          <cell r="B88" t="str">
            <v>KHI/HO/D/MO/PC COMP/P/69633/04/2023</v>
          </cell>
          <cell r="C88" t="str">
            <v>KHI/HO/D/MO/PC COMP/E/49533/00008/11/2024</v>
          </cell>
          <cell r="D88" t="str">
            <v>REN</v>
          </cell>
          <cell r="E88" t="str">
            <v>29/11/24</v>
          </cell>
          <cell r="F88" t="str">
            <v>05/04/2023</v>
          </cell>
          <cell r="G88" t="str">
            <v>04/04/2024</v>
          </cell>
          <cell r="H88" t="str">
            <v>08004499</v>
          </cell>
          <cell r="I88" t="str">
            <v>AL BARAKA BANK (PAKISTAN) LIMITED</v>
          </cell>
          <cell r="J88" t="str">
            <v>BANK</v>
          </cell>
          <cell r="K88" t="str">
            <v>M/s. Al Baraka Bank (Pakistan) Limited
Mr. Muhammad Asif Naeem
HPA M/S Al Baraka Bank (Pakistan) Limited</v>
          </cell>
          <cell r="L88" t="str">
            <v>D</v>
          </cell>
          <cell r="M88" t="str">
            <v>09000221</v>
          </cell>
          <cell r="N88">
            <v>100</v>
          </cell>
          <cell r="P88" t="str">
            <v>H No 171 Block No 3 Dera Ghazi Khan</v>
          </cell>
          <cell r="Q88" t="str">
            <v>11000003</v>
          </cell>
          <cell r="R88" t="str">
            <v>SUZUKI WAGON R VXL</v>
          </cell>
          <cell r="S88" t="str">
            <v>2022</v>
          </cell>
          <cell r="T88" t="str">
            <v>AJN-568</v>
          </cell>
          <cell r="U88" t="str">
            <v>232187</v>
          </cell>
          <cell r="V88" t="str">
            <v>10132214</v>
          </cell>
          <cell r="Y88">
            <v>-1777500</v>
          </cell>
          <cell r="Z88">
            <v>-27286</v>
          </cell>
          <cell r="AA88">
            <v>-31106</v>
          </cell>
        </row>
        <row r="89">
          <cell r="B89" t="str">
            <v>KHI/HO/D/MO/PC COMP/P/96721/09/2024</v>
          </cell>
          <cell r="C89" t="str">
            <v>KHI/HO/D/MO/PC COMP/E/49645/00008/12/2024</v>
          </cell>
          <cell r="D89" t="str">
            <v>REN</v>
          </cell>
          <cell r="E89" t="str">
            <v>03/12/24</v>
          </cell>
          <cell r="F89" t="str">
            <v>08/09/2024</v>
          </cell>
          <cell r="G89" t="str">
            <v>07/09/2025</v>
          </cell>
          <cell r="H89" t="str">
            <v>08004499</v>
          </cell>
          <cell r="I89" t="str">
            <v>AL BARAKA BANK (PAKISTAN) LIMITED</v>
          </cell>
          <cell r="J89" t="str">
            <v>BANK</v>
          </cell>
          <cell r="K89" t="str">
            <v>HPA M/s. Al Baraka Bank (Pakistan) Limited
Applicant Name Ms. Saba Rizwan
Co Applicant Name. Mr. Rizwan Ahmed 
Cnic No.  42000-0570107-9   0300-2012930   
HPA M/s. Al Baraka Bank (Pakistan) Limited</v>
          </cell>
          <cell r="L89" t="str">
            <v>D</v>
          </cell>
          <cell r="M89" t="str">
            <v>09000221</v>
          </cell>
          <cell r="N89">
            <v>100</v>
          </cell>
          <cell r="O89" t="str">
            <v>KARACHI</v>
          </cell>
          <cell r="P89" t="str">
            <v>House No. 42-D Quetta Line Malir Cantt Karachi</v>
          </cell>
          <cell r="Q89" t="str">
            <v>11000003</v>
          </cell>
          <cell r="R89" t="str">
            <v>PROTON X70 EXECUTIVE AWD</v>
          </cell>
          <cell r="S89" t="str">
            <v>2021</v>
          </cell>
          <cell r="U89" t="str">
            <v>A3100978</v>
          </cell>
          <cell r="V89" t="str">
            <v>G026108</v>
          </cell>
          <cell r="X89" t="str">
            <v>3</v>
          </cell>
          <cell r="Y89">
            <v>4312000</v>
          </cell>
          <cell r="Z89">
            <v>0</v>
          </cell>
          <cell r="AA89">
            <v>0</v>
          </cell>
        </row>
        <row r="90">
          <cell r="B90" t="str">
            <v>KHI/HO/D/MO/PC COMP/P/85047/03/2024</v>
          </cell>
          <cell r="C90" t="str">
            <v>KHI/HO/D/MO/PC COMP/E/49649/00080/12/2024</v>
          </cell>
          <cell r="D90" t="str">
            <v>REN</v>
          </cell>
          <cell r="E90" t="str">
            <v>03/12/24</v>
          </cell>
          <cell r="F90" t="str">
            <v>31/03/2024</v>
          </cell>
          <cell r="G90" t="str">
            <v>30/03/2025</v>
          </cell>
          <cell r="H90" t="str">
            <v>08004499</v>
          </cell>
          <cell r="I90" t="str">
            <v>AL BARAKA BANK (PAKISTAN) LIMITED</v>
          </cell>
          <cell r="J90" t="str">
            <v>BANK</v>
          </cell>
          <cell r="K90" t="str">
            <v>Mr.
HPA M/S Al Baraka Bank (Pakistan) Limited
Mr. Aziz Ullah  
HPA M/S Al Baraka Bank (Pakistan) Limited</v>
          </cell>
          <cell r="L90" t="str">
            <v>D</v>
          </cell>
          <cell r="M90" t="str">
            <v>09000221</v>
          </cell>
          <cell r="N90">
            <v>100</v>
          </cell>
          <cell r="O90" t="str">
            <v>KARACHI</v>
          </cell>
          <cell r="P90" t="str">
            <v>H # R-71 Green Park City Quaidabad Near Abbot Lab Karachi</v>
          </cell>
          <cell r="Q90" t="str">
            <v>11000003</v>
          </cell>
          <cell r="R90" t="str">
            <v>KIA SPORTAGE AWD-CW</v>
          </cell>
          <cell r="S90" t="str">
            <v>2020</v>
          </cell>
          <cell r="T90" t="str">
            <v>BH-8543</v>
          </cell>
          <cell r="U90" t="str">
            <v>321952</v>
          </cell>
          <cell r="V90" t="str">
            <v>505581</v>
          </cell>
          <cell r="X90" t="str">
            <v>3</v>
          </cell>
          <cell r="Y90">
            <v>-4420000</v>
          </cell>
          <cell r="Z90">
            <v>0</v>
          </cell>
          <cell r="AA90">
            <v>0</v>
          </cell>
        </row>
        <row r="91">
          <cell r="B91" t="str">
            <v>KHI/HO/D/MO/PC COMP/P/95230/08/2024</v>
          </cell>
          <cell r="C91" t="str">
            <v>KHI/HO/D/MO/PC COMP/E/49650/00043/12/2024</v>
          </cell>
          <cell r="D91" t="str">
            <v>REN</v>
          </cell>
          <cell r="E91" t="str">
            <v>03/12/24</v>
          </cell>
          <cell r="F91" t="str">
            <v>26/08/2024</v>
          </cell>
          <cell r="G91" t="str">
            <v>25/08/2025</v>
          </cell>
          <cell r="H91" t="str">
            <v>08004499</v>
          </cell>
          <cell r="I91" t="str">
            <v>AL BARAKA BANK (PAKISTAN) LIMITED</v>
          </cell>
          <cell r="J91" t="str">
            <v>BANK</v>
          </cell>
          <cell r="K91" t="str">
            <v>Mr.
Al Baraka Bank ( Pakistan ) Limited
Mr. Nasir Jamal Khattak
Al Baraka Bank ( Pakistan ) Limited</v>
          </cell>
          <cell r="L91" t="str">
            <v>D</v>
          </cell>
          <cell r="M91" t="str">
            <v>09000221</v>
          </cell>
          <cell r="N91">
            <v>100</v>
          </cell>
          <cell r="P91" t="str">
            <v>Moh Ashraf Khel Manki Shareef 
Nowshera</v>
          </cell>
          <cell r="Q91" t="str">
            <v>11000003</v>
          </cell>
          <cell r="R91" t="str">
            <v>SUZUKI WAGON-R VXL E2</v>
          </cell>
          <cell r="S91" t="str">
            <v>2018</v>
          </cell>
          <cell r="T91" t="str">
            <v>AKV-135</v>
          </cell>
          <cell r="U91" t="str">
            <v>B167828</v>
          </cell>
          <cell r="V91" t="str">
            <v>10067826</v>
          </cell>
          <cell r="X91" t="str">
            <v>4</v>
          </cell>
          <cell r="Y91">
            <v>-1700000</v>
          </cell>
          <cell r="Z91">
            <v>-10991</v>
          </cell>
          <cell r="AA91">
            <v>-12750</v>
          </cell>
        </row>
        <row r="92">
          <cell r="B92" t="str">
            <v>KHI/HO/D/MO/PC COMP/P/84285/02/2024</v>
          </cell>
          <cell r="C92" t="str">
            <v>KHI/HO/D/MO/PC COMP/E/49670/00015/12/2024</v>
          </cell>
          <cell r="D92" t="str">
            <v>REN</v>
          </cell>
          <cell r="E92" t="str">
            <v>04/12/24</v>
          </cell>
          <cell r="F92" t="str">
            <v>16/02/2024</v>
          </cell>
          <cell r="G92" t="str">
            <v>15/02/2025</v>
          </cell>
          <cell r="H92" t="str">
            <v>08004499</v>
          </cell>
          <cell r="I92" t="str">
            <v>AL BARAKA BANK (PAKISTAN) LIMITED</v>
          </cell>
          <cell r="J92" t="str">
            <v>BANK</v>
          </cell>
          <cell r="K92" t="str">
            <v>HPA M/s. Al Baraka Bank Pakistan Limited
Mr. Tahir Munir               
HPA M/s. Al Baraka Bank Pakistan Limited</v>
          </cell>
          <cell r="L92" t="str">
            <v>D</v>
          </cell>
          <cell r="M92" t="str">
            <v>09000221</v>
          </cell>
          <cell r="N92">
            <v>100</v>
          </cell>
          <cell r="O92" t="str">
            <v>LAHORE</v>
          </cell>
          <cell r="P92" t="str">
            <v>House No. 187 CC Sector D Bahria Town Lahore</v>
          </cell>
          <cell r="Q92" t="str">
            <v>11000003</v>
          </cell>
          <cell r="R92" t="str">
            <v>HONDA CITY I-VTEC (M/T)</v>
          </cell>
          <cell r="S92" t="str">
            <v>2019</v>
          </cell>
          <cell r="T92" t="str">
            <v>LEE-19-6473</v>
          </cell>
          <cell r="U92" t="str">
            <v>17531694</v>
          </cell>
          <cell r="V92" t="str">
            <v>250552</v>
          </cell>
          <cell r="X92" t="str">
            <v>3</v>
          </cell>
          <cell r="Y92">
            <v>-1880000</v>
          </cell>
          <cell r="Z92">
            <v>0</v>
          </cell>
          <cell r="AA92">
            <v>0</v>
          </cell>
        </row>
        <row r="93">
          <cell r="B93" t="str">
            <v>KHI/HO/D/MO/PC COMP/P/84011/02/2024</v>
          </cell>
          <cell r="C93" t="str">
            <v>KHI/HO/D/MO/PC COMP/E/49825/00025/12/2024</v>
          </cell>
          <cell r="D93" t="str">
            <v>REN</v>
          </cell>
          <cell r="E93" t="str">
            <v>06/12/24</v>
          </cell>
          <cell r="F93" t="str">
            <v>15/02/2024</v>
          </cell>
          <cell r="G93" t="str">
            <v>14/02/2025</v>
          </cell>
          <cell r="H93" t="str">
            <v>08004499</v>
          </cell>
          <cell r="I93" t="str">
            <v>AL BARAKA BANK (PAKISTAN) LIMITED</v>
          </cell>
          <cell r="J93" t="str">
            <v>BANK</v>
          </cell>
          <cell r="K93" t="str">
            <v>HPA M/S Al Baraka Bank (Pakistan) Limited
Mr. Muhammad Nadeem    
HPA M/S Al Baraka Bank (Pakistan) Limited</v>
          </cell>
          <cell r="L93" t="str">
            <v>D</v>
          </cell>
          <cell r="M93" t="str">
            <v>09000221</v>
          </cell>
          <cell r="N93">
            <v>100</v>
          </cell>
          <cell r="O93" t="str">
            <v>LAHORE</v>
          </cell>
          <cell r="P93" t="str">
            <v>H # 141-A Block Al Haq Garden Rana Town Shahdra Lahore</v>
          </cell>
          <cell r="Q93" t="str">
            <v>11000003</v>
          </cell>
          <cell r="R93" t="str">
            <v>KIA SPORTAGE AWD-CW</v>
          </cell>
          <cell r="S93" t="str">
            <v>2022</v>
          </cell>
          <cell r="T93" t="str">
            <v>AJK-847</v>
          </cell>
          <cell r="U93" t="str">
            <v>MH324799</v>
          </cell>
          <cell r="V93" t="str">
            <v>KP516125</v>
          </cell>
          <cell r="X93" t="str">
            <v>3</v>
          </cell>
          <cell r="Y93">
            <v>-4833950</v>
          </cell>
          <cell r="Z93">
            <v>0</v>
          </cell>
          <cell r="AA93">
            <v>0</v>
          </cell>
        </row>
        <row r="94">
          <cell r="B94" t="str">
            <v>KHI/HO/D/MO/PC COMP/P/93459/07/2024</v>
          </cell>
          <cell r="C94" t="str">
            <v>KHI/HO/D/MO/PC COMP/E/49826/00003/12/2024</v>
          </cell>
          <cell r="D94" t="str">
            <v>REN</v>
          </cell>
          <cell r="E94" t="str">
            <v>06/12/24</v>
          </cell>
          <cell r="F94" t="str">
            <v>13/07/2024</v>
          </cell>
          <cell r="G94" t="str">
            <v>12/07/2025</v>
          </cell>
          <cell r="H94" t="str">
            <v>08004499</v>
          </cell>
          <cell r="I94" t="str">
            <v>AL BARAKA BANK (PAKISTAN) LIMITED</v>
          </cell>
          <cell r="J94" t="str">
            <v>BANK</v>
          </cell>
          <cell r="K94" t="str">
            <v>HPA M/S. AL BARAKA BANK PAKISTAN LIMITED
Mr. Abid Hussain
HPA M/s. Al Baraka Bank (Pakistan) Limited</v>
          </cell>
          <cell r="L94" t="str">
            <v>D</v>
          </cell>
          <cell r="M94" t="str">
            <v>09000221</v>
          </cell>
          <cell r="N94">
            <v>100</v>
          </cell>
          <cell r="P94" t="str">
            <v>Plot # R-128 Universal Royal City Bin Qasim
Malir, Khi</v>
          </cell>
          <cell r="Q94" t="str">
            <v>11000003</v>
          </cell>
          <cell r="R94" t="str">
            <v>TOYOTA COROLLA GLI A/T</v>
          </cell>
          <cell r="S94" t="str">
            <v>2018</v>
          </cell>
          <cell r="T94" t="str">
            <v>BNR-859</v>
          </cell>
          <cell r="U94" t="str">
            <v>539026</v>
          </cell>
          <cell r="V94" t="str">
            <v>4164635</v>
          </cell>
          <cell r="Y94">
            <v>-2062500</v>
          </cell>
          <cell r="Z94">
            <v>-16669</v>
          </cell>
          <cell r="AA94">
            <v>-19336</v>
          </cell>
        </row>
        <row r="95">
          <cell r="B95" t="str">
            <v>KHI/HO/D/MO/PC COMP/P/93459/07/2024</v>
          </cell>
          <cell r="C95" t="str">
            <v>KHI/HO/D/MO/PC COMP/E/49826/00023/12/2024</v>
          </cell>
          <cell r="D95" t="str">
            <v>REN</v>
          </cell>
          <cell r="E95" t="str">
            <v>06/12/24</v>
          </cell>
          <cell r="F95" t="str">
            <v>29/07/2024</v>
          </cell>
          <cell r="G95" t="str">
            <v>28/07/2025</v>
          </cell>
          <cell r="H95" t="str">
            <v>08004499</v>
          </cell>
          <cell r="I95" t="str">
            <v>AL BARAKA BANK (PAKISTAN) LIMITED</v>
          </cell>
          <cell r="J95" t="str">
            <v>BANK</v>
          </cell>
          <cell r="K95" t="str">
            <v>HPA M/S. AL BARAKA BANK PAKISTAN LIMITED
Mr. Rehman Ashraf  
HPA M/s. Al Baraka Bank (Pakistan) Limited</v>
          </cell>
          <cell r="L95" t="str">
            <v>D</v>
          </cell>
          <cell r="M95" t="str">
            <v>09000221</v>
          </cell>
          <cell r="N95">
            <v>100</v>
          </cell>
          <cell r="O95" t="str">
            <v>KARACHI</v>
          </cell>
          <cell r="P95" t="str">
            <v>House No. D-8 Railway Housing Society  Malir Halt Karachi</v>
          </cell>
          <cell r="Q95" t="str">
            <v>11000003</v>
          </cell>
          <cell r="R95" t="str">
            <v>SUZUKI ALTO VXL AGS E-2</v>
          </cell>
          <cell r="S95" t="str">
            <v>2020</v>
          </cell>
          <cell r="T95" t="str">
            <v>BRZ-557</v>
          </cell>
          <cell r="U95" t="str">
            <v>127907</v>
          </cell>
          <cell r="V95" t="str">
            <v>1027849</v>
          </cell>
          <cell r="X95" t="str">
            <v>3</v>
          </cell>
          <cell r="Y95">
            <v>-1198500</v>
          </cell>
          <cell r="Z95">
            <v>-9686</v>
          </cell>
          <cell r="AA95">
            <v>-11236</v>
          </cell>
        </row>
        <row r="96">
          <cell r="B96" t="str">
            <v>KHI/HO/D/MO/PC COMP/P/93459/07/2024</v>
          </cell>
          <cell r="C96" t="str">
            <v>KHI/HO/D/MO/PC COMP/E/49826/00009/12/2024</v>
          </cell>
          <cell r="D96" t="str">
            <v>REN</v>
          </cell>
          <cell r="E96" t="str">
            <v>06/12/24</v>
          </cell>
          <cell r="F96" t="str">
            <v>23/07/2024</v>
          </cell>
          <cell r="G96" t="str">
            <v>22/07/2025</v>
          </cell>
          <cell r="H96" t="str">
            <v>08004499</v>
          </cell>
          <cell r="I96" t="str">
            <v>AL BARAKA BANK (PAKISTAN) LIMITED</v>
          </cell>
          <cell r="J96" t="str">
            <v>BANK</v>
          </cell>
          <cell r="K96" t="str">
            <v>HPA M/S. AL BARAKA BANK PAKISTAN LIMITED
Ms. Muhammad Bilal      
HPA M/s. Al Baraka Bank (Pakistan) Limited</v>
          </cell>
          <cell r="L96" t="str">
            <v>D</v>
          </cell>
          <cell r="M96" t="str">
            <v>09000221</v>
          </cell>
          <cell r="N96">
            <v>100</v>
          </cell>
          <cell r="O96" t="str">
            <v>LAHORE</v>
          </cell>
          <cell r="P96" t="str">
            <v>House No. 5/A Street 5 Back Side of Khayaban Hotel Allama Iqbal Road Garhi Shahu Lahore</v>
          </cell>
          <cell r="Q96" t="str">
            <v>11000003</v>
          </cell>
          <cell r="R96" t="str">
            <v>HONDA CIVIC VTI  ORIEL PT</v>
          </cell>
          <cell r="S96" t="str">
            <v>2014</v>
          </cell>
          <cell r="T96" t="str">
            <v>LE-14-622</v>
          </cell>
          <cell r="U96" t="str">
            <v>12743080</v>
          </cell>
          <cell r="V96" t="str">
            <v>113274</v>
          </cell>
          <cell r="X96" t="str">
            <v>3</v>
          </cell>
          <cell r="Y96">
            <v>-1762500</v>
          </cell>
          <cell r="Z96">
            <v>-12535</v>
          </cell>
          <cell r="AA96">
            <v>-14540</v>
          </cell>
        </row>
        <row r="97">
          <cell r="B97" t="str">
            <v>KHI/HO/D/MO/PC COMP/P/83022/02/2024</v>
          </cell>
          <cell r="C97" t="str">
            <v>KHI/HO/D/MO/PC COMP/E/49855/00021/12/2024</v>
          </cell>
          <cell r="D97" t="str">
            <v>FRE</v>
          </cell>
          <cell r="E97" t="str">
            <v>09/12/24</v>
          </cell>
          <cell r="F97" t="str">
            <v>20/02/2024</v>
          </cell>
          <cell r="G97" t="str">
            <v>19/02/2025</v>
          </cell>
          <cell r="H97" t="str">
            <v>08004499</v>
          </cell>
          <cell r="I97" t="str">
            <v>AL BARAKA BANK (PAKISTAN) LIMITED</v>
          </cell>
          <cell r="J97" t="str">
            <v>BANK</v>
          </cell>
          <cell r="K97" t="str">
            <v>Mr
HPA M/s. Al Baraka Bank (Pakistan) Limited
Mr. Muhammad Shahroz
HPA M/s. Al Baraka Bank (Pakistan) Limited</v>
          </cell>
          <cell r="L97" t="str">
            <v>D</v>
          </cell>
          <cell r="M97" t="str">
            <v>09000221</v>
          </cell>
          <cell r="N97">
            <v>100</v>
          </cell>
          <cell r="P97" t="str">
            <v>H No 61 St 4 Hussain Park Harbanpura Lahore</v>
          </cell>
          <cell r="Q97" t="str">
            <v>11000003</v>
          </cell>
          <cell r="R97" t="str">
            <v>HONDA CITY</v>
          </cell>
          <cell r="S97" t="str">
            <v>2015</v>
          </cell>
          <cell r="T97" t="str">
            <v>LEE-15-4594</v>
          </cell>
          <cell r="U97" t="str">
            <v>17430826</v>
          </cell>
          <cell r="V97" t="str">
            <v>169336</v>
          </cell>
          <cell r="Y97">
            <v>-2800000</v>
          </cell>
          <cell r="Z97">
            <v>0</v>
          </cell>
          <cell r="AA97">
            <v>0</v>
          </cell>
        </row>
        <row r="98">
          <cell r="B98" t="str">
            <v>KHI/HO/D/MO/PC COMP/P/101342/11/2024</v>
          </cell>
          <cell r="C98" t="str">
            <v>KHI/HO/D/MO/PC COMP/E/49904/00002/12/2024</v>
          </cell>
          <cell r="D98" t="str">
            <v>FRE</v>
          </cell>
          <cell r="E98" t="str">
            <v>10/12/24</v>
          </cell>
          <cell r="F98" t="str">
            <v>05/11/2024</v>
          </cell>
          <cell r="G98" t="str">
            <v>04/11/2025</v>
          </cell>
          <cell r="H98" t="str">
            <v>08004499</v>
          </cell>
          <cell r="I98" t="str">
            <v>AL BARAKA BANK (PAKISTAN) LIMITED</v>
          </cell>
          <cell r="J98" t="str">
            <v>BANK</v>
          </cell>
          <cell r="K98" t="str">
            <v>Mr.
HPA M/s. Al Baraka Bank Pakitan Limited
M/s Al Baraka Bank PVT Limited 
User Qamar uz Zaman</v>
          </cell>
          <cell r="L98" t="str">
            <v>D</v>
          </cell>
          <cell r="M98" t="str">
            <v>09000221</v>
          </cell>
          <cell r="N98">
            <v>100</v>
          </cell>
          <cell r="P98" t="str">
            <v>Flat no 6 3rd Floor Plot no 28-C St  12-A Phase 5 DHA Badar Comm Karachi</v>
          </cell>
          <cell r="Q98" t="str">
            <v>11000003</v>
          </cell>
          <cell r="R98" t="str">
            <v>HONDA BRV - S</v>
          </cell>
          <cell r="S98" t="str">
            <v>2018</v>
          </cell>
          <cell r="T98" t="str">
            <v>BG-7323</v>
          </cell>
          <cell r="U98" t="str">
            <v>13508318</v>
          </cell>
          <cell r="V98" t="str">
            <v>008323</v>
          </cell>
          <cell r="X98" t="str">
            <v>3</v>
          </cell>
          <cell r="Y98">
            <v>4000000</v>
          </cell>
          <cell r="Z98">
            <v>0</v>
          </cell>
          <cell r="AA98">
            <v>0</v>
          </cell>
        </row>
        <row r="99">
          <cell r="B99" t="str">
            <v>KHI/HO/D/MO/PC COMP/P/101342/11/2024</v>
          </cell>
          <cell r="C99" t="str">
            <v>KHI/HO/D/MO/PC COMP/E/49904/00003/12/2024</v>
          </cell>
          <cell r="D99" t="str">
            <v>FRE</v>
          </cell>
          <cell r="E99" t="str">
            <v>10/12/24</v>
          </cell>
          <cell r="F99" t="str">
            <v>05/11/2024</v>
          </cell>
          <cell r="G99" t="str">
            <v>04/11/2025</v>
          </cell>
          <cell r="H99" t="str">
            <v>08004499</v>
          </cell>
          <cell r="I99" t="str">
            <v>AL BARAKA BANK (PAKISTAN) LIMITED</v>
          </cell>
          <cell r="J99" t="str">
            <v>BANK</v>
          </cell>
          <cell r="K99" t="str">
            <v>Mr.
HPA M/s. Al Baraka Bank Pakitan Limited
M/s. Al Baraka Bank Pakistan Limited
User Mr. Salman ul Hasan Farooqui</v>
          </cell>
          <cell r="L99" t="str">
            <v>D</v>
          </cell>
          <cell r="M99" t="str">
            <v>09000221</v>
          </cell>
          <cell r="N99">
            <v>100</v>
          </cell>
          <cell r="P99" t="str">
            <v>3rd Floor Flat no 77, G Street 19, Askari IV Rashid Minhas Road Karachi</v>
          </cell>
          <cell r="Q99" t="str">
            <v>11000003</v>
          </cell>
          <cell r="R99" t="str">
            <v>TOYOTA Yaris ATIV 1.3 (CV</v>
          </cell>
          <cell r="S99" t="str">
            <v>2021</v>
          </cell>
          <cell r="T99" t="str">
            <v>BTJ-559</v>
          </cell>
          <cell r="U99" t="str">
            <v>23589</v>
          </cell>
          <cell r="V99" t="str">
            <v>7014189</v>
          </cell>
          <cell r="X99" t="str">
            <v>3</v>
          </cell>
          <cell r="Y99">
            <v>3800000</v>
          </cell>
          <cell r="Z99">
            <v>0</v>
          </cell>
          <cell r="AA99">
            <v>0</v>
          </cell>
        </row>
        <row r="100">
          <cell r="B100" t="str">
            <v>KHI/HO/D/MO/PC COMP/P/90920/06/2024</v>
          </cell>
          <cell r="C100" t="str">
            <v>KHI/HO/D/MO/PC COMP/E/49927/00097/12/2024</v>
          </cell>
          <cell r="D100" t="str">
            <v>REN</v>
          </cell>
          <cell r="E100" t="str">
            <v>11/12/24</v>
          </cell>
          <cell r="F100" t="str">
            <v>10/06/2024</v>
          </cell>
          <cell r="G100" t="str">
            <v>09/06/2025</v>
          </cell>
          <cell r="H100" t="str">
            <v>08004499</v>
          </cell>
          <cell r="I100" t="str">
            <v>AL BARAKA BANK (PAKISTAN) LIMITED</v>
          </cell>
          <cell r="J100" t="str">
            <v>BANK</v>
          </cell>
          <cell r="K100" t="str">
            <v>M/s. Al Baraka Bank (Pakistan) Limited
M/S. Al Baraka Bank (Pakistan) Limited
User:Muhammad Shakeel Sarwar</v>
          </cell>
          <cell r="L100" t="str">
            <v>D</v>
          </cell>
          <cell r="M100" t="str">
            <v>09000221</v>
          </cell>
          <cell r="N100">
            <v>100</v>
          </cell>
          <cell r="O100" t="str">
            <v>KARACHI</v>
          </cell>
          <cell r="P100" t="str">
            <v>House No. 157-P Street 1 Moh Eid Gah Gojra</v>
          </cell>
          <cell r="Q100" t="str">
            <v>11000003</v>
          </cell>
          <cell r="R100" t="str">
            <v>CHANGAN KARVAAN VAN</v>
          </cell>
          <cell r="S100" t="str">
            <v>2021</v>
          </cell>
          <cell r="T100" t="str">
            <v>EFU-282</v>
          </cell>
          <cell r="U100" t="str">
            <v>501823</v>
          </cell>
          <cell r="V100" t="str">
            <v>1006716</v>
          </cell>
          <cell r="W100" t="str">
            <v>06-jul-2026</v>
          </cell>
          <cell r="Y100">
            <v>1182000</v>
          </cell>
          <cell r="Z100">
            <v>25474</v>
          </cell>
          <cell r="AA100">
            <v>29550</v>
          </cell>
        </row>
        <row r="101">
          <cell r="B101" t="str">
            <v>KHI/HO/D/MO/PC COMP/P/90920/06/2024</v>
          </cell>
          <cell r="C101" t="str">
            <v>KHI/HO/D/MO/PC COMP/E/49927/00028/12/2024</v>
          </cell>
          <cell r="D101" t="str">
            <v>REN</v>
          </cell>
          <cell r="E101" t="str">
            <v>11/12/24</v>
          </cell>
          <cell r="F101" t="str">
            <v>09/06/2024</v>
          </cell>
          <cell r="G101" t="str">
            <v>08/06/2025</v>
          </cell>
          <cell r="H101" t="str">
            <v>08004499</v>
          </cell>
          <cell r="I101" t="str">
            <v>AL BARAKA BANK (PAKISTAN) LIMITED</v>
          </cell>
          <cell r="J101" t="str">
            <v>BANK</v>
          </cell>
          <cell r="K101" t="str">
            <v>M/s. Al Baraka Bank (Pakistan) Limited
M/S. Al Baraka Bank (Pakistan) Limited
User:Azhar  Hussain</v>
          </cell>
          <cell r="L101" t="str">
            <v>D</v>
          </cell>
          <cell r="M101" t="str">
            <v>09000221</v>
          </cell>
          <cell r="N101">
            <v>100</v>
          </cell>
          <cell r="O101" t="str">
            <v>KARACHI</v>
          </cell>
          <cell r="P101" t="str">
            <v>S 90 R 32 Fish Market Lahore</v>
          </cell>
          <cell r="Q101" t="str">
            <v>11000003</v>
          </cell>
          <cell r="R101" t="str">
            <v>HONDA CITY ASPIRE</v>
          </cell>
          <cell r="S101" t="str">
            <v>2022</v>
          </cell>
          <cell r="T101" t="str">
            <v>AKM-361</v>
          </cell>
          <cell r="U101" t="str">
            <v>51011431</v>
          </cell>
          <cell r="V101" t="str">
            <v>NR020436</v>
          </cell>
          <cell r="W101" t="str">
            <v>05-jul-2027</v>
          </cell>
          <cell r="Y101">
            <v>1334400</v>
          </cell>
          <cell r="Z101">
            <v>14261</v>
          </cell>
          <cell r="AA101">
            <v>16543</v>
          </cell>
        </row>
        <row r="102">
          <cell r="B102" t="str">
            <v>KHI/HO/D/MO/PC COMP/P/90920/06/2024</v>
          </cell>
          <cell r="C102" t="str">
            <v>KHI/HO/D/MO/PC COMP/E/49927/00052/12/2024</v>
          </cell>
          <cell r="D102" t="str">
            <v>REN</v>
          </cell>
          <cell r="E102" t="str">
            <v>11/12/24</v>
          </cell>
          <cell r="F102" t="str">
            <v>02/06/2024</v>
          </cell>
          <cell r="G102" t="str">
            <v>01/06/2025</v>
          </cell>
          <cell r="H102" t="str">
            <v>08004499</v>
          </cell>
          <cell r="I102" t="str">
            <v>AL BARAKA BANK (PAKISTAN) LIMITED</v>
          </cell>
          <cell r="J102" t="str">
            <v>BANK</v>
          </cell>
          <cell r="K102" t="str">
            <v>M/s. Al Baraka Bank (Pakistan) Limited
M/S. Al Baraka Bank (Pakistan) Limited
User:Tehniyat  Naqvi</v>
          </cell>
          <cell r="L102" t="str">
            <v>D</v>
          </cell>
          <cell r="M102" t="str">
            <v>09000221</v>
          </cell>
          <cell r="N102">
            <v>100</v>
          </cell>
          <cell r="O102" t="str">
            <v>KARACHI</v>
          </cell>
          <cell r="P102" t="str">
            <v>H # 6-C Green Orchard  Society Mafooz
Garrison Cantt Lahore</v>
          </cell>
          <cell r="Q102" t="str">
            <v>11000003</v>
          </cell>
          <cell r="R102" t="str">
            <v>SUZUKI ALTO VXR</v>
          </cell>
          <cell r="S102" t="str">
            <v>2022</v>
          </cell>
          <cell r="T102" t="str">
            <v>AKZ-770</v>
          </cell>
          <cell r="U102" t="str">
            <v>232989</v>
          </cell>
          <cell r="V102" t="str">
            <v>1132969</v>
          </cell>
          <cell r="W102" t="str">
            <v>05-jun-2029</v>
          </cell>
          <cell r="Y102">
            <v>-1314100</v>
          </cell>
          <cell r="Z102">
            <v>-2522</v>
          </cell>
          <cell r="AA102">
            <v>-2547</v>
          </cell>
        </row>
        <row r="103">
          <cell r="B103" t="str">
            <v>KHI/HO/D/MO/PC COMP/P/90920/06/2024</v>
          </cell>
          <cell r="C103" t="str">
            <v>KHI/HO/D/MO/PC COMP/E/49927/00150/12/2024</v>
          </cell>
          <cell r="D103" t="str">
            <v>REN</v>
          </cell>
          <cell r="E103" t="str">
            <v>11/12/24</v>
          </cell>
          <cell r="F103" t="str">
            <v>29/06/2024</v>
          </cell>
          <cell r="G103" t="str">
            <v>28/06/2025</v>
          </cell>
          <cell r="H103" t="str">
            <v>08004499</v>
          </cell>
          <cell r="I103" t="str">
            <v>AL BARAKA BANK (PAKISTAN) LIMITED</v>
          </cell>
          <cell r="J103" t="str">
            <v>BANK</v>
          </cell>
          <cell r="K103" t="str">
            <v>M/s. Al Baraka Bank (Pakistan) Limited
M/S. Al Baraka Bank (Pakistan) Limited
User:Muhammad  Shahid</v>
          </cell>
          <cell r="L103" t="str">
            <v>D</v>
          </cell>
          <cell r="M103" t="str">
            <v>09000221</v>
          </cell>
          <cell r="N103">
            <v>100</v>
          </cell>
          <cell r="O103" t="str">
            <v>KARACHI</v>
          </cell>
          <cell r="P103" t="str">
            <v>House No.65/59 Allama Iqbal Road Gharhi Shahu Ahata Shankar Das Lahore</v>
          </cell>
          <cell r="Q103" t="str">
            <v>11000003</v>
          </cell>
          <cell r="R103" t="str">
            <v>SUZUKI CULTUS VXR EURO-II</v>
          </cell>
          <cell r="S103" t="str">
            <v>2020</v>
          </cell>
          <cell r="T103" t="str">
            <v>AAB-215</v>
          </cell>
          <cell r="U103" t="str">
            <v>157712</v>
          </cell>
          <cell r="V103" t="str">
            <v>10057731</v>
          </cell>
          <cell r="W103" t="str">
            <v>06-jul-2026</v>
          </cell>
          <cell r="Y103">
            <v>-1308750</v>
          </cell>
          <cell r="Z103">
            <v>-10762</v>
          </cell>
          <cell r="AA103">
            <v>-12269</v>
          </cell>
        </row>
        <row r="104">
          <cell r="B104" t="str">
            <v>KHI/HO/D/MO/PC COMP/P/90920/06/2024</v>
          </cell>
          <cell r="C104" t="str">
            <v>KHI/HO/D/MO/PC COMP/E/49927/00149/12/2024</v>
          </cell>
          <cell r="D104" t="str">
            <v>REN</v>
          </cell>
          <cell r="E104" t="str">
            <v>11/12/24</v>
          </cell>
          <cell r="F104" t="str">
            <v>29/06/2024</v>
          </cell>
          <cell r="G104" t="str">
            <v>28/06/2025</v>
          </cell>
          <cell r="H104" t="str">
            <v>08004499</v>
          </cell>
          <cell r="I104" t="str">
            <v>AL BARAKA BANK (PAKISTAN) LIMITED</v>
          </cell>
          <cell r="J104" t="str">
            <v>BANK</v>
          </cell>
          <cell r="K104" t="str">
            <v>M/s. Al Baraka Bank (Pakistan) Limited
M/S. Al Baraka Bank (Pakistan) Limited
User:Muhammad  Khalid</v>
          </cell>
          <cell r="L104" t="str">
            <v>D</v>
          </cell>
          <cell r="M104" t="str">
            <v>09000221</v>
          </cell>
          <cell r="N104">
            <v>100</v>
          </cell>
          <cell r="O104" t="str">
            <v>KARACHI</v>
          </cell>
          <cell r="P104" t="str">
            <v>House No.387 River View Road Phase 4 Bahria Town Islamabad</v>
          </cell>
          <cell r="Q104" t="str">
            <v>11000003</v>
          </cell>
          <cell r="R104" t="str">
            <v>SUZUKI ALTO VXL AGS E-2</v>
          </cell>
          <cell r="S104" t="str">
            <v>2020</v>
          </cell>
          <cell r="T104" t="str">
            <v>AQD-870</v>
          </cell>
          <cell r="U104" t="str">
            <v>125170</v>
          </cell>
          <cell r="V104" t="str">
            <v>1025157</v>
          </cell>
          <cell r="W104" t="str">
            <v>05-jul-2025</v>
          </cell>
          <cell r="Y104">
            <v>-1198500</v>
          </cell>
          <cell r="Z104">
            <v>-9856</v>
          </cell>
          <cell r="AA104">
            <v>-11432</v>
          </cell>
        </row>
        <row r="105">
          <cell r="B105" t="str">
            <v>KHI/HO/D/MO/PC COMP/P/88626/05/2024</v>
          </cell>
          <cell r="C105" t="str">
            <v>KHI/HO/D/MO/PC COMP/E/49942/00139/12/2024</v>
          </cell>
          <cell r="D105" t="str">
            <v>REN</v>
          </cell>
          <cell r="E105" t="str">
            <v>11/12/24</v>
          </cell>
          <cell r="F105" t="str">
            <v>30/05/2024</v>
          </cell>
          <cell r="G105" t="str">
            <v>29/05/2025</v>
          </cell>
          <cell r="H105" t="str">
            <v>08004499</v>
          </cell>
          <cell r="I105" t="str">
            <v>AL BARAKA BANK (PAKISTAN) LIMITED</v>
          </cell>
          <cell r="J105" t="str">
            <v>BANK</v>
          </cell>
          <cell r="K105" t="str">
            <v>Mr. 
HPA M/s. Al Baraka Bank (Pakistan) Limited
Mr. 
Hpa M/S. Al Baraka Bank (Pakistan) Limited 
User:Mohammad Raza Rashid</v>
          </cell>
          <cell r="L105" t="str">
            <v>D</v>
          </cell>
          <cell r="M105" t="str">
            <v>09000221</v>
          </cell>
          <cell r="N105">
            <v>100</v>
          </cell>
          <cell r="O105" t="str">
            <v>KARACHI</v>
          </cell>
          <cell r="P105" t="str">
            <v>H # 50-M Block 6 Nursery Pechs Near Hbl Karachi</v>
          </cell>
          <cell r="Q105" t="str">
            <v>11000003</v>
          </cell>
          <cell r="R105" t="str">
            <v>SUZUKI ALTO VXL AGS E-2</v>
          </cell>
          <cell r="S105" t="str">
            <v>2022</v>
          </cell>
          <cell r="T105" t="str">
            <v>BWV-419</v>
          </cell>
          <cell r="U105" t="str">
            <v>228607</v>
          </cell>
          <cell r="V105" t="str">
            <v>1128737</v>
          </cell>
          <cell r="W105" t="str">
            <v>05-jun-2027</v>
          </cell>
          <cell r="Y105">
            <v>1015050</v>
          </cell>
          <cell r="Z105">
            <v>15313</v>
          </cell>
          <cell r="AA105">
            <v>17763</v>
          </cell>
        </row>
        <row r="106">
          <cell r="B106" t="str">
            <v>KHI/HO/D/MO/PC COMP/P/86646/04/2024</v>
          </cell>
          <cell r="C106" t="str">
            <v>KHI/HO/D/MO/PC COMP/E/49957/00043/12/2024</v>
          </cell>
          <cell r="D106" t="str">
            <v>REN</v>
          </cell>
          <cell r="E106" t="str">
            <v>12/12/24</v>
          </cell>
          <cell r="F106" t="str">
            <v>18/04/2024</v>
          </cell>
          <cell r="G106" t="str">
            <v>17/04/2025</v>
          </cell>
          <cell r="H106" t="str">
            <v>08004499</v>
          </cell>
          <cell r="I106" t="str">
            <v>AL BARAKA BANK (PAKISTAN) LIMITED</v>
          </cell>
          <cell r="J106" t="str">
            <v>BANK</v>
          </cell>
          <cell r="K106" t="str">
            <v>M/s. Al Baraka Bank (Pakistan) Limited
Mr. Hafiz Nabeel Junaid 
HPA M/s. Al Baraka Bank (Pakistan) Limited</v>
          </cell>
          <cell r="L106" t="str">
            <v>D</v>
          </cell>
          <cell r="M106" t="str">
            <v>09000221</v>
          </cell>
          <cell r="N106">
            <v>100</v>
          </cell>
          <cell r="O106" t="str">
            <v>LAHORE</v>
          </cell>
          <cell r="P106" t="str">
            <v>H # 148 Block 2 Karim Park Ravi Road Lahore</v>
          </cell>
          <cell r="Q106" t="str">
            <v>11000003</v>
          </cell>
          <cell r="R106" t="str">
            <v>TOYOTA COROLLA GLI M/T 1.</v>
          </cell>
          <cell r="S106" t="str">
            <v>2018</v>
          </cell>
          <cell r="T106" t="str">
            <v>LEB-18-4355</v>
          </cell>
          <cell r="U106" t="str">
            <v>Z514398</v>
          </cell>
          <cell r="V106" t="str">
            <v>4140152</v>
          </cell>
          <cell r="X106" t="str">
            <v>3</v>
          </cell>
          <cell r="Y106">
            <v>-2380000</v>
          </cell>
          <cell r="Z106">
            <v>0</v>
          </cell>
          <cell r="AA106">
            <v>0</v>
          </cell>
        </row>
        <row r="107">
          <cell r="B107" t="str">
            <v>KHI/HO/D/MO/PC COMP/P/93458/07/2024</v>
          </cell>
          <cell r="C107" t="str">
            <v>KHI/HO/D/MO/PC COMP/E/49965/00029/12/2024</v>
          </cell>
          <cell r="D107" t="str">
            <v>REN</v>
          </cell>
          <cell r="E107" t="str">
            <v>12/12/24</v>
          </cell>
          <cell r="F107" t="str">
            <v>28/07/2024</v>
          </cell>
          <cell r="G107" t="str">
            <v>27/07/2025</v>
          </cell>
          <cell r="H107" t="str">
            <v>08004499</v>
          </cell>
          <cell r="I107" t="str">
            <v>AL BARAKA BANK (PAKISTAN) LIMITED</v>
          </cell>
          <cell r="J107" t="str">
            <v>BANK</v>
          </cell>
          <cell r="K107" t="str">
            <v>HPA M/s. Al Baraka Bank Pakistan Limited
Mr. Sikandar Hayat  
HPA M/s. Al Baraka Bank Pakistan Limited</v>
          </cell>
          <cell r="L107" t="str">
            <v>D</v>
          </cell>
          <cell r="M107" t="str">
            <v>09000221</v>
          </cell>
          <cell r="N107">
            <v>100</v>
          </cell>
          <cell r="O107" t="str">
            <v>FAISALABAD</v>
          </cell>
          <cell r="P107" t="str">
            <v>Usman Town Street 4 Dhudi Wala Choti Naseer Faisalabad</v>
          </cell>
          <cell r="Q107" t="str">
            <v>11000003</v>
          </cell>
          <cell r="R107" t="str">
            <v>SUZUKI WAGON-R VXL E2</v>
          </cell>
          <cell r="S107" t="str">
            <v>2021</v>
          </cell>
          <cell r="T107" t="str">
            <v>AEH-310</v>
          </cell>
          <cell r="U107" t="str">
            <v>217462</v>
          </cell>
          <cell r="V107" t="str">
            <v>10117469</v>
          </cell>
          <cell r="X107" t="str">
            <v>3</v>
          </cell>
          <cell r="Y107">
            <v>-1288000</v>
          </cell>
          <cell r="Z107">
            <v>-6939</v>
          </cell>
          <cell r="AA107">
            <v>-8049</v>
          </cell>
        </row>
        <row r="108">
          <cell r="B108" t="str">
            <v>KHI/HO/D/MO/PC COMP/P/84687/02/2024</v>
          </cell>
          <cell r="C108" t="str">
            <v>KHI/HO/D/MO/PC COMP/E/49986/00007/12/2024</v>
          </cell>
          <cell r="D108" t="str">
            <v>REN</v>
          </cell>
          <cell r="E108" t="str">
            <v>13/12/24</v>
          </cell>
          <cell r="F108" t="str">
            <v>01/03/2024</v>
          </cell>
          <cell r="G108" t="str">
            <v>28/02/2025</v>
          </cell>
          <cell r="H108" t="str">
            <v>08004499</v>
          </cell>
          <cell r="I108" t="str">
            <v>AL BARAKA BANK (PAKISTAN) LIMITED</v>
          </cell>
          <cell r="J108" t="str">
            <v>BANK</v>
          </cell>
          <cell r="K108" t="str">
            <v>HPA M/S. AL BARAKA BANK (PAKISTAN) LIMITED
Mr. Azhar Javed 
HPA M/s. Al Baraka Bank (Pakistan) Limited</v>
          </cell>
          <cell r="L108" t="str">
            <v>D</v>
          </cell>
          <cell r="M108" t="str">
            <v>09000221</v>
          </cell>
          <cell r="N108">
            <v>100</v>
          </cell>
          <cell r="P108" t="str">
            <v>H # 66 St /M19 Muslim Town Bwp</v>
          </cell>
          <cell r="Q108" t="str">
            <v>11000003</v>
          </cell>
          <cell r="R108" t="str">
            <v>SUZUKI CULTUS VXL</v>
          </cell>
          <cell r="S108" t="str">
            <v>2017</v>
          </cell>
          <cell r="T108" t="str">
            <v>BKM-17-262</v>
          </cell>
          <cell r="U108" t="str">
            <v>109723</v>
          </cell>
          <cell r="V108" t="str">
            <v>10009695</v>
          </cell>
          <cell r="Y108">
            <v>-1031250</v>
          </cell>
          <cell r="Z108">
            <v>0</v>
          </cell>
          <cell r="AA108">
            <v>0</v>
          </cell>
        </row>
        <row r="109">
          <cell r="B109" t="str">
            <v>KHI/HO/D/MO/PC COMP/P/95193/08/2024</v>
          </cell>
          <cell r="C109" t="str">
            <v>KHI/HO/D/MO/PC COMP/E/50026/00021/12/2024</v>
          </cell>
          <cell r="D109" t="str">
            <v>REN</v>
          </cell>
          <cell r="E109" t="str">
            <v>13/12/24</v>
          </cell>
          <cell r="F109" t="str">
            <v>29/08/2024</v>
          </cell>
          <cell r="G109" t="str">
            <v>28/08/2025</v>
          </cell>
          <cell r="H109" t="str">
            <v>08004499</v>
          </cell>
          <cell r="I109" t="str">
            <v>AL BARAKA BANK (PAKISTAN) LIMITED</v>
          </cell>
          <cell r="J109" t="str">
            <v>BANK</v>
          </cell>
          <cell r="K109" t="str">
            <v>HPA M/s. Al Baraka Bank (Pakistan) Limited
Mr. Junaid Ahmad Butt
HPA M/s. Al Baraka Bank (Pakistan) Limited</v>
          </cell>
          <cell r="L109" t="str">
            <v>D</v>
          </cell>
          <cell r="M109" t="str">
            <v>09000221</v>
          </cell>
          <cell r="N109">
            <v>100</v>
          </cell>
          <cell r="P109" t="str">
            <v>H No 1460 C Haweli Barood Khana Near City Cinema Lahore</v>
          </cell>
          <cell r="Q109" t="str">
            <v>11000003</v>
          </cell>
          <cell r="R109" t="str">
            <v>HONDA CITY A/T</v>
          </cell>
          <cell r="S109" t="str">
            <v>2017</v>
          </cell>
          <cell r="T109" t="str">
            <v>LEA-18-7179</v>
          </cell>
          <cell r="U109" t="str">
            <v>505242</v>
          </cell>
          <cell r="V109" t="str">
            <v>216733</v>
          </cell>
          <cell r="Y109">
            <v>-2700000</v>
          </cell>
          <cell r="Z109">
            <v>-34180</v>
          </cell>
          <cell r="AA109">
            <v>-39649</v>
          </cell>
        </row>
        <row r="110">
          <cell r="B110" t="str">
            <v>KHI/HO/D/MO/PC COMP/P/95231/08/2024</v>
          </cell>
          <cell r="C110" t="str">
            <v>KHI/HO/D/MO/PC COMP/E/50177/00015/12/2024</v>
          </cell>
          <cell r="D110" t="str">
            <v>REN</v>
          </cell>
          <cell r="E110" t="str">
            <v>17/12/24</v>
          </cell>
          <cell r="F110" t="str">
            <v>10/08/2024</v>
          </cell>
          <cell r="G110" t="str">
            <v>09/08/2025</v>
          </cell>
          <cell r="H110" t="str">
            <v>08004499</v>
          </cell>
          <cell r="I110" t="str">
            <v>AL BARAKA BANK (PAKISTAN) LIMITED</v>
          </cell>
          <cell r="J110" t="str">
            <v>BANK</v>
          </cell>
          <cell r="K110" t="str">
            <v>HPA M/s. Al Baraka Bank (Pakistan) Limited
Mr. Liaquat Ali     
HPA M/s. Al Baraka Bank (Pakistan) Limited</v>
          </cell>
          <cell r="L110" t="str">
            <v>D</v>
          </cell>
          <cell r="M110" t="str">
            <v>09000221</v>
          </cell>
          <cell r="N110">
            <v>100</v>
          </cell>
          <cell r="O110" t="str">
            <v>LAHORE</v>
          </cell>
          <cell r="P110" t="str">
            <v>House No. 208 Street 55 Mohallah Mustaabad Lahore</v>
          </cell>
          <cell r="Q110" t="str">
            <v>11000003</v>
          </cell>
          <cell r="R110" t="str">
            <v>HONDA CITY I-VTEC (M/T)</v>
          </cell>
          <cell r="S110" t="str">
            <v>2016</v>
          </cell>
          <cell r="T110" t="str">
            <v>LED-16-4047</v>
          </cell>
          <cell r="U110" t="str">
            <v>17442469</v>
          </cell>
          <cell r="V110" t="str">
            <v>R-182767</v>
          </cell>
          <cell r="X110" t="str">
            <v>3</v>
          </cell>
          <cell r="Y110">
            <v>-1640000</v>
          </cell>
          <cell r="Z110">
            <v>-8836</v>
          </cell>
          <cell r="AA110">
            <v>-10249</v>
          </cell>
        </row>
        <row r="111">
          <cell r="B111" t="str">
            <v>KHI/HO/D/MO/PC COMP/P/96726/09/2024</v>
          </cell>
          <cell r="C111" t="str">
            <v>KHI/HO/D/MO/PC COMP/E/50180/00022/12/2024</v>
          </cell>
          <cell r="D111" t="str">
            <v>REN</v>
          </cell>
          <cell r="E111" t="str">
            <v>17/12/24</v>
          </cell>
          <cell r="F111" t="str">
            <v>28/09/2024</v>
          </cell>
          <cell r="G111" t="str">
            <v>27/09/2025</v>
          </cell>
          <cell r="H111" t="str">
            <v>08004499</v>
          </cell>
          <cell r="I111" t="str">
            <v>AL BARAKA BANK (PAKISTAN) LIMITED</v>
          </cell>
          <cell r="J111" t="str">
            <v>BANK</v>
          </cell>
          <cell r="K111" t="str">
            <v>HPA M/S. AL-BARAKA BANK (PAKISTAN) LIMITED
Mr. Azhar Waqar Ali                
HPA M/s. Al Baraka Bank (Pakistan) Limited</v>
          </cell>
          <cell r="L111" t="str">
            <v>D</v>
          </cell>
          <cell r="M111" t="str">
            <v>09000221</v>
          </cell>
          <cell r="N111">
            <v>100</v>
          </cell>
          <cell r="O111" t="str">
            <v>LAHORE</v>
          </cell>
          <cell r="P111" t="str">
            <v>House No. 859-E Moh Malik Manazar Street Ali Park Bedian Road Lahore Cantt</v>
          </cell>
          <cell r="Q111" t="str">
            <v>11000003</v>
          </cell>
          <cell r="R111" t="str">
            <v>SUZUKI WAGON-R VXL E2</v>
          </cell>
          <cell r="S111" t="str">
            <v>2020</v>
          </cell>
          <cell r="T111" t="str">
            <v>AAM-716</v>
          </cell>
          <cell r="U111" t="str">
            <v>206367</v>
          </cell>
          <cell r="V111" t="str">
            <v>10106367</v>
          </cell>
          <cell r="X111" t="str">
            <v>3</v>
          </cell>
          <cell r="Y111">
            <v>-1271250</v>
          </cell>
          <cell r="Z111">
            <v>-20548</v>
          </cell>
          <cell r="AA111">
            <v>-23835</v>
          </cell>
        </row>
        <row r="112">
          <cell r="B112" t="str">
            <v>KHI/HO/D/MO/PC COMP/P/96726/09/2024</v>
          </cell>
          <cell r="C112" t="str">
            <v>KHI/HO/D/MO/PC COMP/E/50180/00028/12/2024</v>
          </cell>
          <cell r="D112" t="str">
            <v>REN</v>
          </cell>
          <cell r="E112" t="str">
            <v>17/12/24</v>
          </cell>
          <cell r="F112" t="str">
            <v>30/09/2024</v>
          </cell>
          <cell r="G112" t="str">
            <v>29/09/2025</v>
          </cell>
          <cell r="H112" t="str">
            <v>08004499</v>
          </cell>
          <cell r="I112" t="str">
            <v>AL BARAKA BANK (PAKISTAN) LIMITED</v>
          </cell>
          <cell r="J112" t="str">
            <v>BANK</v>
          </cell>
          <cell r="K112" t="str">
            <v>HPA M/S. AL-BARAKA BANK (PAKISTAN) LIMITED
Mr. Muhammad Ramzan                
HPA M/s. Al Baraka Bank (Pakistan) Limited</v>
          </cell>
          <cell r="L112" t="str">
            <v>D</v>
          </cell>
          <cell r="M112" t="str">
            <v>09000221</v>
          </cell>
          <cell r="N112">
            <v>100</v>
          </cell>
          <cell r="O112" t="str">
            <v>MULTAN</v>
          </cell>
          <cell r="P112" t="str">
            <v>House No. 19 Moh Akhtar Abad Shah Shamas Road Multan</v>
          </cell>
          <cell r="Q112" t="str">
            <v>11000003</v>
          </cell>
          <cell r="R112" t="str">
            <v>HONDA CIVIC VTI  ORIEL PT</v>
          </cell>
          <cell r="S112" t="str">
            <v>2020</v>
          </cell>
          <cell r="T112" t="str">
            <v>ARK-968</v>
          </cell>
          <cell r="U112" t="str">
            <v>6913560</v>
          </cell>
          <cell r="V112" t="str">
            <v>R065370</v>
          </cell>
          <cell r="X112" t="str">
            <v>3</v>
          </cell>
          <cell r="Y112">
            <v>-3100875</v>
          </cell>
          <cell r="Z112">
            <v>-20048</v>
          </cell>
          <cell r="AA112">
            <v>-23255</v>
          </cell>
        </row>
        <row r="113">
          <cell r="B113" t="str">
            <v>KHI/HO/D/MO/PC COMP/P/84683/02/2024</v>
          </cell>
          <cell r="C113" t="str">
            <v>KHI/HO/D/MO/PC COMP/E/50264/00007/12/2024</v>
          </cell>
          <cell r="D113" t="str">
            <v>REN</v>
          </cell>
          <cell r="E113" t="str">
            <v>19/12/24</v>
          </cell>
          <cell r="F113" t="str">
            <v>14/02/2024</v>
          </cell>
          <cell r="G113" t="str">
            <v>13/02/2025</v>
          </cell>
          <cell r="H113" t="str">
            <v>08004499</v>
          </cell>
          <cell r="I113" t="str">
            <v>AL BARAKA BANK (PAKISTAN) LIMITED</v>
          </cell>
          <cell r="J113" t="str">
            <v>BANK</v>
          </cell>
          <cell r="K113" t="str">
            <v>HPA M/S. AL BARAKA BANK (PAKISTAN) LIMITED
Mr. Waqas
HPA M/s. Al Baraka Bank (Pakistan) Limited</v>
          </cell>
          <cell r="L113" t="str">
            <v>D</v>
          </cell>
          <cell r="M113" t="str">
            <v>09000221</v>
          </cell>
          <cell r="N113">
            <v>100</v>
          </cell>
          <cell r="P113" t="str">
            <v>H # 54 Block E Pasroor Road Satelite Town Gujranwala.</v>
          </cell>
          <cell r="Q113" t="str">
            <v>11000003</v>
          </cell>
          <cell r="R113" t="str">
            <v>TOYOTA FORTUNER 2.7L TRD</v>
          </cell>
          <cell r="S113" t="str">
            <v>2020</v>
          </cell>
          <cell r="U113" t="str">
            <v>720201</v>
          </cell>
          <cell r="V113" t="str">
            <v>892076</v>
          </cell>
          <cell r="X113" t="str">
            <v>5</v>
          </cell>
          <cell r="Y113">
            <v>-6029250</v>
          </cell>
          <cell r="Z113">
            <v>0</v>
          </cell>
          <cell r="AA113">
            <v>0</v>
          </cell>
        </row>
        <row r="114">
          <cell r="B114" t="str">
            <v>KHI/HO/D/MO/PC COMP/P/84683/02/2024</v>
          </cell>
          <cell r="C114" t="str">
            <v>KHI/HO/D/MO/PC COMP/E/50264/00009/12/2024</v>
          </cell>
          <cell r="D114" t="str">
            <v>REN</v>
          </cell>
          <cell r="E114" t="str">
            <v>19/12/24</v>
          </cell>
          <cell r="F114" t="str">
            <v>22/02/2024</v>
          </cell>
          <cell r="G114" t="str">
            <v>21/02/2025</v>
          </cell>
          <cell r="H114" t="str">
            <v>08004499</v>
          </cell>
          <cell r="I114" t="str">
            <v>AL BARAKA BANK (PAKISTAN) LIMITED</v>
          </cell>
          <cell r="J114" t="str">
            <v>BANK</v>
          </cell>
          <cell r="K114" t="str">
            <v>HPA M/S. AL BARAKA BANK (PAKISTAN) LIMITED
Mr. Muhammad Faisal Qureshi   
HPA M/s. Al Baraka Bank (Pakistan) Limited</v>
          </cell>
          <cell r="L114" t="str">
            <v>D</v>
          </cell>
          <cell r="M114" t="str">
            <v>09000221</v>
          </cell>
          <cell r="N114">
            <v>100</v>
          </cell>
          <cell r="O114" t="str">
            <v>KARACHI</v>
          </cell>
          <cell r="P114" t="str">
            <v>House No.D-124 Jahangirabad Nazimabad No.1 Karachi</v>
          </cell>
          <cell r="Q114" t="str">
            <v>11000003</v>
          </cell>
          <cell r="R114" t="str">
            <v>SUZUKI BOLAN STD VX EURO</v>
          </cell>
          <cell r="S114" t="str">
            <v>2020</v>
          </cell>
          <cell r="T114" t="str">
            <v>COY-8441</v>
          </cell>
          <cell r="U114" t="str">
            <v>1003910</v>
          </cell>
          <cell r="V114" t="str">
            <v>01120422</v>
          </cell>
          <cell r="X114" t="str">
            <v>3</v>
          </cell>
          <cell r="Y114">
            <v>-824250</v>
          </cell>
          <cell r="Z114">
            <v>0</v>
          </cell>
          <cell r="AA114">
            <v>0</v>
          </cell>
        </row>
        <row r="115">
          <cell r="B115" t="str">
            <v>KHI/HO/D/MO/PC COMP/P/101342/11/2024</v>
          </cell>
          <cell r="C115" t="str">
            <v>KHI/HO/D/MO/PC COMP/E/50287/00021/12/2024</v>
          </cell>
          <cell r="D115" t="str">
            <v>FRE</v>
          </cell>
          <cell r="E115" t="str">
            <v>20/12/24</v>
          </cell>
          <cell r="F115" t="str">
            <v>22/11/2024</v>
          </cell>
          <cell r="G115" t="str">
            <v>21/11/2025</v>
          </cell>
          <cell r="H115" t="str">
            <v>08004499</v>
          </cell>
          <cell r="I115" t="str">
            <v>AL BARAKA BANK (PAKISTAN) LIMITED</v>
          </cell>
          <cell r="J115" t="str">
            <v>BANK</v>
          </cell>
          <cell r="K115" t="str">
            <v>Mr.
HPA M/s. Al Baraka Bank Pakitan Limited
Mr. Muhammad Ishaq 
HPA M/s. Al Baraka Bank Pakitan Limited</v>
          </cell>
          <cell r="L115" t="str">
            <v>D</v>
          </cell>
          <cell r="M115" t="str">
            <v>09000221</v>
          </cell>
          <cell r="N115">
            <v>100</v>
          </cell>
          <cell r="P115" t="str">
            <v>H # 25 Sector B Sukh Chain Garden Housing Estate Canal Road</v>
          </cell>
          <cell r="Q115" t="str">
            <v>11000003</v>
          </cell>
          <cell r="R115" t="str">
            <v>TOYOTA COROLLA XLI 1.3</v>
          </cell>
          <cell r="S115" t="str">
            <v>2016</v>
          </cell>
          <cell r="T115" t="str">
            <v>LEE-16-7683</v>
          </cell>
          <cell r="U115" t="str">
            <v>Z-453472</v>
          </cell>
          <cell r="V115" t="str">
            <v>R-4082875</v>
          </cell>
          <cell r="X115" t="str">
            <v>3</v>
          </cell>
          <cell r="Y115">
            <v>-200000</v>
          </cell>
          <cell r="Z115">
            <v>-2586</v>
          </cell>
          <cell r="AA115">
            <v>-3000</v>
          </cell>
        </row>
        <row r="116">
          <cell r="B116" t="str">
            <v>KHI/HO/D/MO/PC COMP/P/101342/11/2024</v>
          </cell>
          <cell r="C116" t="str">
            <v>KHI/HO/D/MO/PC COMP/E/50288/00021/12/2024</v>
          </cell>
          <cell r="D116" t="str">
            <v>FRE</v>
          </cell>
          <cell r="E116" t="str">
            <v>20/12/24</v>
          </cell>
          <cell r="F116" t="str">
            <v>22/11/2024</v>
          </cell>
          <cell r="G116" t="str">
            <v>21/11/2025</v>
          </cell>
          <cell r="H116" t="str">
            <v>08004499</v>
          </cell>
          <cell r="I116" t="str">
            <v>AL BARAKA BANK (PAKISTAN) LIMITED</v>
          </cell>
          <cell r="J116" t="str">
            <v>BANK</v>
          </cell>
          <cell r="K116" t="str">
            <v>Mr.
HPA M/s. Al Baraka Bank Pakitan Limited
Mr. Muhammad Ishaq 
HPA M/s. Al Baraka Bank Pakitan Limited</v>
          </cell>
          <cell r="L116" t="str">
            <v>D</v>
          </cell>
          <cell r="M116" t="str">
            <v>09000221</v>
          </cell>
          <cell r="N116">
            <v>100</v>
          </cell>
          <cell r="P116" t="str">
            <v>H # 25 Sector B Sukh Chain Garden Housing Estate Canal Road</v>
          </cell>
          <cell r="Q116" t="str">
            <v>11000003</v>
          </cell>
          <cell r="R116" t="str">
            <v>TOYOTA COROLLA XLI 1.3</v>
          </cell>
          <cell r="S116" t="str">
            <v>2016</v>
          </cell>
          <cell r="T116" t="str">
            <v>LEE-16-7683</v>
          </cell>
          <cell r="U116" t="str">
            <v>Z-453472</v>
          </cell>
          <cell r="V116" t="str">
            <v>R-4082875</v>
          </cell>
          <cell r="X116" t="str">
            <v>3</v>
          </cell>
          <cell r="Y116">
            <v>3300000</v>
          </cell>
          <cell r="Z116">
            <v>14224</v>
          </cell>
          <cell r="AA116">
            <v>16500</v>
          </cell>
        </row>
        <row r="117">
          <cell r="B117" t="str">
            <v>KHI/HO/D/MO/PC COMP/P/101342/11/2024</v>
          </cell>
          <cell r="C117" t="str">
            <v>KHI/HO/D/MO/PC COMP/E/50400/00022/12/2024</v>
          </cell>
          <cell r="D117" t="str">
            <v>FRE</v>
          </cell>
          <cell r="E117" t="str">
            <v>26/12/24</v>
          </cell>
          <cell r="F117" t="str">
            <v>25/11/2024</v>
          </cell>
          <cell r="G117" t="str">
            <v>24/11/2025</v>
          </cell>
          <cell r="H117" t="str">
            <v>08004499</v>
          </cell>
          <cell r="I117" t="str">
            <v>AL BARAKA BANK (PAKISTAN) LIMITED</v>
          </cell>
          <cell r="J117" t="str">
            <v>BANK</v>
          </cell>
          <cell r="K117" t="str">
            <v>Mr.
HPA M/s. Al Baraka Bank Pakitan Limited
Mr. Muhammad Ishaq
HPA M/s. Al Baraka Bank Pakitan Limited</v>
          </cell>
          <cell r="L117" t="str">
            <v>D</v>
          </cell>
          <cell r="M117" t="str">
            <v>09000221</v>
          </cell>
          <cell r="N117">
            <v>100</v>
          </cell>
          <cell r="P117" t="str">
            <v>H No 125 Sector B Sukh Chayn Gardens Housing Estate Canal Road Lahore</v>
          </cell>
          <cell r="Q117" t="str">
            <v>11000003</v>
          </cell>
          <cell r="R117" t="str">
            <v>TOYOTA COROLLA XLI 1.3</v>
          </cell>
          <cell r="S117" t="str">
            <v>2016</v>
          </cell>
          <cell r="T117" t="str">
            <v>LEE-16-7683</v>
          </cell>
          <cell r="U117" t="str">
            <v>Z-453472</v>
          </cell>
          <cell r="V117" t="str">
            <v>R-4082875</v>
          </cell>
          <cell r="Y117">
            <v>-3500000</v>
          </cell>
          <cell r="Z117">
            <v>-45258</v>
          </cell>
          <cell r="AA117">
            <v>-52500</v>
          </cell>
        </row>
        <row r="118">
          <cell r="B118" t="str">
            <v>KHI/HO/D/MO/PC COMP/P/93457/07/2024</v>
          </cell>
          <cell r="C118" t="str">
            <v>KHI/HO/D/MO/PC COMP/E/50402/00028/12/2024</v>
          </cell>
          <cell r="D118" t="str">
            <v>REN</v>
          </cell>
          <cell r="E118" t="str">
            <v>26/12/24</v>
          </cell>
          <cell r="F118" t="str">
            <v>27/07/2024</v>
          </cell>
          <cell r="G118" t="str">
            <v>26/07/2025</v>
          </cell>
          <cell r="H118" t="str">
            <v>08004499</v>
          </cell>
          <cell r="I118" t="str">
            <v>AL BARAKA BANK (PAKISTAN) LIMITED</v>
          </cell>
          <cell r="J118" t="str">
            <v>BANK</v>
          </cell>
          <cell r="K118" t="str">
            <v>HPA M/s. Al Baraka Bank (Pakistan) Limited
Mr. Zubair Saeed 
HPA M/s. Al Baraka Bank (Pakistan) Limited</v>
          </cell>
          <cell r="L118" t="str">
            <v>D</v>
          </cell>
          <cell r="M118" t="str">
            <v>09000221</v>
          </cell>
          <cell r="N118">
            <v>100</v>
          </cell>
          <cell r="P118" t="str">
            <v>H # 102 Block A Gulberg Colony Faisalabad</v>
          </cell>
          <cell r="Q118" t="str">
            <v>11000003</v>
          </cell>
          <cell r="R118" t="str">
            <v>SUZUKI ALTO VXL AGS E-2</v>
          </cell>
          <cell r="S118" t="str">
            <v>2022</v>
          </cell>
          <cell r="T118" t="str">
            <v>AZJ-799</v>
          </cell>
          <cell r="U118" t="str">
            <v>243931</v>
          </cell>
          <cell r="V118" t="str">
            <v>1143905</v>
          </cell>
          <cell r="X118" t="str">
            <v>3</v>
          </cell>
          <cell r="Y118">
            <v>915050</v>
          </cell>
          <cell r="Z118">
            <v>9337</v>
          </cell>
          <cell r="AA118">
            <v>10830</v>
          </cell>
        </row>
        <row r="119">
          <cell r="B119" t="str">
            <v>KHI/HO/D/MO/PC COMP/P/102088/11/2024</v>
          </cell>
          <cell r="C119" t="str">
            <v>KHI/HO/D/MO/PC COMP/E/50596/00025/12/2024</v>
          </cell>
          <cell r="D119" t="str">
            <v>REN</v>
          </cell>
          <cell r="E119" t="str">
            <v>30/12/24</v>
          </cell>
          <cell r="F119" t="str">
            <v>22/11/2024</v>
          </cell>
          <cell r="G119" t="str">
            <v>21/11/2025</v>
          </cell>
          <cell r="H119" t="str">
            <v>08004499</v>
          </cell>
          <cell r="I119" t="str">
            <v>AL BARAKA BANK (PAKISTAN) LIMITED</v>
          </cell>
          <cell r="J119" t="str">
            <v>BANK</v>
          </cell>
          <cell r="K119" t="str">
            <v>HPA M/s. Al Baraka Bank (Pakistan) Limited
Mr. IRSHAD HUSSAIN SHAH 
HPA M/s. Al Baraka Bank (Pakistan) Limited</v>
          </cell>
          <cell r="L119" t="str">
            <v>D</v>
          </cell>
          <cell r="M119" t="str">
            <v>09000221</v>
          </cell>
          <cell r="N119">
            <v>100</v>
          </cell>
          <cell r="P119" t="str">
            <v>H No 69-B Model City 1208 Chak Road Faisalabad</v>
          </cell>
          <cell r="Q119" t="str">
            <v>11000003</v>
          </cell>
          <cell r="R119" t="str">
            <v>TOYOTA COROLLA GLI A/T 1.</v>
          </cell>
          <cell r="S119" t="str">
            <v>2018</v>
          </cell>
          <cell r="T119" t="str">
            <v>LEH-18-3592</v>
          </cell>
          <cell r="U119" t="str">
            <v>Z522826</v>
          </cell>
          <cell r="V119" t="str">
            <v>NZE170R4149473</v>
          </cell>
          <cell r="Y119">
            <v>-3600000</v>
          </cell>
          <cell r="Z119">
            <v>-29094</v>
          </cell>
          <cell r="AA119">
            <v>-33749</v>
          </cell>
        </row>
        <row r="120">
          <cell r="B120" t="str">
            <v>KHI/HO/D/MO/PC COMP/P/100245/10/2024</v>
          </cell>
          <cell r="C120" t="str">
            <v>KHI/HO/D/MO/PC COMP/E/50759/00052/01/2025</v>
          </cell>
          <cell r="D120" t="str">
            <v>REN</v>
          </cell>
          <cell r="E120" t="str">
            <v>06/01/25</v>
          </cell>
          <cell r="F120" t="str">
            <v>29/10/2024</v>
          </cell>
          <cell r="G120" t="str">
            <v>28/10/2025</v>
          </cell>
          <cell r="H120" t="str">
            <v>08004499</v>
          </cell>
          <cell r="I120" t="str">
            <v>AL BARAKA BANK (PAKISTAN) LIMITED</v>
          </cell>
          <cell r="J120" t="str">
            <v>BANK</v>
          </cell>
          <cell r="K120" t="str">
            <v>M/s. Al Baraka Bank (Pakistan) Limited
M/S. Al Baraka Bank (Pakistan) Limited 
User:Sadia Shakir Shah</v>
          </cell>
          <cell r="L120" t="str">
            <v>D</v>
          </cell>
          <cell r="M120" t="str">
            <v>09000221</v>
          </cell>
          <cell r="N120">
            <v>100</v>
          </cell>
          <cell r="O120" t="str">
            <v>KARACHI</v>
          </cell>
          <cell r="P120" t="str">
            <v>Po Khas Near Evershine Public School Near Sohan Islamabad</v>
          </cell>
          <cell r="Q120" t="str">
            <v>11000003</v>
          </cell>
          <cell r="R120" t="str">
            <v>SUZUKI ALTO VXR</v>
          </cell>
          <cell r="S120" t="str">
            <v>2020</v>
          </cell>
          <cell r="T120" t="str">
            <v>ARY-655</v>
          </cell>
          <cell r="U120" t="str">
            <v>143824</v>
          </cell>
          <cell r="V120" t="str">
            <v>1044093</v>
          </cell>
          <cell r="W120" t="str">
            <v>05-nov-2025</v>
          </cell>
          <cell r="Y120">
            <v>925250</v>
          </cell>
          <cell r="Z120">
            <v>16335</v>
          </cell>
          <cell r="AA120">
            <v>18948</v>
          </cell>
        </row>
        <row r="121">
          <cell r="B121" t="str">
            <v>KHI/HO/D/MO/PC COMP/P/102191/11/2024</v>
          </cell>
          <cell r="C121" t="str">
            <v>KHI/HO/D/MO/PC COMP/E/50981/00037/01/2025</v>
          </cell>
          <cell r="D121" t="str">
            <v>REN</v>
          </cell>
          <cell r="E121" t="str">
            <v>08/01/25</v>
          </cell>
          <cell r="F121" t="str">
            <v>30/11/2024</v>
          </cell>
          <cell r="G121" t="str">
            <v>29/11/2025</v>
          </cell>
          <cell r="H121" t="str">
            <v>08004499</v>
          </cell>
          <cell r="I121" t="str">
            <v>AL BARAKA BANK (PAKISTAN) LIMITED</v>
          </cell>
          <cell r="J121" t="str">
            <v>BANK</v>
          </cell>
          <cell r="K121" t="str">
            <v>Mr. 
HPA M/s Al Baraka Bank ( Pakistan ) Limited
Mr. Zohaib Ahmed
HPA M/s Al Baraka Bank ( Pakistan ) Limited</v>
          </cell>
          <cell r="L121" t="str">
            <v>D</v>
          </cell>
          <cell r="M121" t="str">
            <v>09000221</v>
          </cell>
          <cell r="N121">
            <v>100</v>
          </cell>
          <cell r="P121" t="str">
            <v>H No 85 Block K-1 Wapda Town Lahore</v>
          </cell>
          <cell r="Q121" t="str">
            <v>11000003</v>
          </cell>
          <cell r="R121" t="str">
            <v>TOYOTA COROLLA ALTIS GRAN</v>
          </cell>
          <cell r="S121" t="str">
            <v>2018</v>
          </cell>
          <cell r="U121" t="str">
            <v>332748</v>
          </cell>
          <cell r="V121" t="str">
            <v>7031872</v>
          </cell>
          <cell r="Y121">
            <v>-3315000</v>
          </cell>
          <cell r="Z121">
            <v>-26791</v>
          </cell>
          <cell r="AA121">
            <v>-31078</v>
          </cell>
        </row>
        <row r="122">
          <cell r="B122" t="str">
            <v>KHI/HO/D/MO/PC COMP/P/103764/12/2024</v>
          </cell>
          <cell r="C122" t="str">
            <v>KHI/HO/D/MO/PC COMP/E/51012/00082/01/2025</v>
          </cell>
          <cell r="D122" t="str">
            <v>REN</v>
          </cell>
          <cell r="E122" t="str">
            <v>09/01/25</v>
          </cell>
          <cell r="F122" t="str">
            <v>09/12/2024</v>
          </cell>
          <cell r="G122" t="str">
            <v>08/12/2025</v>
          </cell>
          <cell r="H122" t="str">
            <v>08004499</v>
          </cell>
          <cell r="I122" t="str">
            <v>AL BARAKA BANK (PAKISTAN) LIMITED</v>
          </cell>
          <cell r="J122" t="str">
            <v>BANK</v>
          </cell>
          <cell r="K122" t="str">
            <v>M/s. Al Baraka Bank (Pakistan) Limited
M/S. Al Baraka Bank (Pakistan) Limited 
User: Francis  Bashir</v>
          </cell>
          <cell r="L122" t="str">
            <v>D</v>
          </cell>
          <cell r="M122" t="str">
            <v>09000221</v>
          </cell>
          <cell r="N122">
            <v>100</v>
          </cell>
          <cell r="O122" t="str">
            <v>KARACHI</v>
          </cell>
          <cell r="P122" t="str">
            <v>House No. 60 Street 1 Mohallah Sardar Colony Bao Wala Barki Road Lahore</v>
          </cell>
          <cell r="Q122" t="str">
            <v>11000003</v>
          </cell>
          <cell r="R122" t="str">
            <v>CHANGAN KARVAAN PLUS</v>
          </cell>
          <cell r="S122" t="str">
            <v>2021</v>
          </cell>
          <cell r="T122" t="str">
            <v>AGE-389</v>
          </cell>
          <cell r="U122" t="str">
            <v>505976</v>
          </cell>
          <cell r="V122" t="str">
            <v>1010093</v>
          </cell>
          <cell r="W122" t="str">
            <v>06-apr-2029</v>
          </cell>
          <cell r="Y122">
            <v>968800</v>
          </cell>
          <cell r="Z122">
            <v>13454</v>
          </cell>
          <cell r="AA122">
            <v>15607</v>
          </cell>
        </row>
        <row r="123">
          <cell r="B123" t="str">
            <v>KHI/HO/D/MO/PC COMP/P/103764/12/2024</v>
          </cell>
          <cell r="C123" t="str">
            <v>KHI/HO/D/MO/PC COMP/E/51012/00028/01/2025</v>
          </cell>
          <cell r="D123" t="str">
            <v>REN</v>
          </cell>
          <cell r="E123" t="str">
            <v>09/01/25</v>
          </cell>
          <cell r="F123" t="str">
            <v>08/12/2024</v>
          </cell>
          <cell r="G123" t="str">
            <v>07/12/2025</v>
          </cell>
          <cell r="H123" t="str">
            <v>08004499</v>
          </cell>
          <cell r="I123" t="str">
            <v>AL BARAKA BANK (PAKISTAN) LIMITED</v>
          </cell>
          <cell r="J123" t="str">
            <v>BANK</v>
          </cell>
          <cell r="K123" t="str">
            <v>M/s. Al Baraka Bank (Pakistan) Limited
M/S. Al Baraka Bank (Pakistan) Limited 
User: Hamza  Khalid</v>
          </cell>
          <cell r="L123" t="str">
            <v>D</v>
          </cell>
          <cell r="M123" t="str">
            <v>09000221</v>
          </cell>
          <cell r="N123">
            <v>100</v>
          </cell>
          <cell r="O123" t="str">
            <v>KARACHI</v>
          </cell>
          <cell r="P123" t="str">
            <v>Flat No 04 Top Floor Umer Plaza Near Fresco Sweet Blue Area Islamabad</v>
          </cell>
          <cell r="Q123" t="str">
            <v>11000003</v>
          </cell>
          <cell r="R123" t="str">
            <v>SUZUKI MEHRAN</v>
          </cell>
          <cell r="S123" t="str">
            <v>2017</v>
          </cell>
          <cell r="T123" t="str">
            <v>BHS-346</v>
          </cell>
          <cell r="U123" t="str">
            <v>672340</v>
          </cell>
          <cell r="V123" t="str">
            <v>01210842</v>
          </cell>
          <cell r="W123" t="str">
            <v>11-feb-2029</v>
          </cell>
          <cell r="Y123">
            <v>-1080000</v>
          </cell>
          <cell r="Z123">
            <v>-18621</v>
          </cell>
          <cell r="AA123">
            <v>-21600</v>
          </cell>
        </row>
        <row r="124">
          <cell r="B124" t="str">
            <v>KHI/HO/D/MO/PC COMP/P/103764/12/2024</v>
          </cell>
          <cell r="C124" t="str">
            <v>KHI/HO/D/MO/PC COMP/E/51012/00029/01/2025</v>
          </cell>
          <cell r="D124" t="str">
            <v>REN</v>
          </cell>
          <cell r="E124" t="str">
            <v>09/01/25</v>
          </cell>
          <cell r="F124" t="str">
            <v>11/12/2024</v>
          </cell>
          <cell r="G124" t="str">
            <v>10/12/2025</v>
          </cell>
          <cell r="H124" t="str">
            <v>08004499</v>
          </cell>
          <cell r="I124" t="str">
            <v>AL BARAKA BANK (PAKISTAN) LIMITED</v>
          </cell>
          <cell r="J124" t="str">
            <v>BANK</v>
          </cell>
          <cell r="K124" t="str">
            <v>M/s. Al Baraka Bank (Pakistan) Limited
M/S. Al Baraka Bank (Pakistan) Limited 
User: Muhammad Tayyab Lakhvi</v>
          </cell>
          <cell r="L124" t="str">
            <v>D</v>
          </cell>
          <cell r="M124" t="str">
            <v>09000221</v>
          </cell>
          <cell r="N124">
            <v>100</v>
          </cell>
          <cell r="O124" t="str">
            <v>KARACHI</v>
          </cell>
          <cell r="P124" t="str">
            <v>Main Road Mohallah Green City Phasse 2 Deepalpur</v>
          </cell>
          <cell r="Q124" t="str">
            <v>11000003</v>
          </cell>
          <cell r="R124" t="str">
            <v>SUZUKI WAGON-R VXL E2</v>
          </cell>
          <cell r="S124" t="str">
            <v>2019</v>
          </cell>
          <cell r="T124" t="str">
            <v>LEF-19-8890</v>
          </cell>
          <cell r="U124" t="str">
            <v>PK10B197443</v>
          </cell>
          <cell r="V124" t="str">
            <v>PK10097547</v>
          </cell>
          <cell r="W124" t="str">
            <v>12-feb-2029</v>
          </cell>
          <cell r="Y124">
            <v>-2137500</v>
          </cell>
          <cell r="Z124">
            <v>-33420</v>
          </cell>
          <cell r="AA124">
            <v>-38768</v>
          </cell>
        </row>
        <row r="125">
          <cell r="B125" t="str">
            <v>KHI/HO/D/MO/PC COMP/P/103764/12/2024</v>
          </cell>
          <cell r="C125" t="str">
            <v>KHI/HO/D/MO/PC COMP/E/51012/00042/01/2025</v>
          </cell>
          <cell r="D125" t="str">
            <v>REN</v>
          </cell>
          <cell r="E125" t="str">
            <v>09/01/25</v>
          </cell>
          <cell r="F125" t="str">
            <v>14/12/2024</v>
          </cell>
          <cell r="G125" t="str">
            <v>13/12/2025</v>
          </cell>
          <cell r="H125" t="str">
            <v>08004499</v>
          </cell>
          <cell r="I125" t="str">
            <v>AL BARAKA BANK (PAKISTAN) LIMITED</v>
          </cell>
          <cell r="J125" t="str">
            <v>BANK</v>
          </cell>
          <cell r="K125" t="str">
            <v>M/s. Al Baraka Bank (Pakistan) Limited
M/S. Al Baraka Bank (Pakistan) Limited 
User: Rao Fawad Hussain</v>
          </cell>
          <cell r="L125" t="str">
            <v>D</v>
          </cell>
          <cell r="M125" t="str">
            <v>09000221</v>
          </cell>
          <cell r="N125">
            <v>100</v>
          </cell>
          <cell r="O125" t="str">
            <v>KARACHI</v>
          </cell>
          <cell r="P125" t="str">
            <v>H No A-33 Bostan Rafi Malir City Karachi</v>
          </cell>
          <cell r="Q125" t="str">
            <v>11000003</v>
          </cell>
          <cell r="R125" t="str">
            <v>SUZUKI ALTO VXL AGS E-2</v>
          </cell>
          <cell r="S125" t="str">
            <v>2022</v>
          </cell>
          <cell r="T125" t="str">
            <v>BYA-918</v>
          </cell>
          <cell r="U125" t="str">
            <v>6R264146</v>
          </cell>
          <cell r="V125" t="str">
            <v>H1164158</v>
          </cell>
          <cell r="W125" t="str">
            <v>25-feb-2029</v>
          </cell>
          <cell r="Y125">
            <v>941650</v>
          </cell>
          <cell r="Z125">
            <v>13039</v>
          </cell>
          <cell r="AA125">
            <v>15125</v>
          </cell>
        </row>
        <row r="126">
          <cell r="B126" t="str">
            <v>KHI/HO/D/MO/PC COMP/P/103764/12/2024</v>
          </cell>
          <cell r="C126" t="str">
            <v>KHI/HO/D/MO/PC COMP/E/51012/00055/01/2025</v>
          </cell>
          <cell r="D126" t="str">
            <v>REN</v>
          </cell>
          <cell r="E126" t="str">
            <v>09/01/25</v>
          </cell>
          <cell r="F126" t="str">
            <v>26/12/2024</v>
          </cell>
          <cell r="G126" t="str">
            <v>25/12/2025</v>
          </cell>
          <cell r="H126" t="str">
            <v>08004499</v>
          </cell>
          <cell r="I126" t="str">
            <v>AL BARAKA BANK (PAKISTAN) LIMITED</v>
          </cell>
          <cell r="J126" t="str">
            <v>BANK</v>
          </cell>
          <cell r="K126" t="str">
            <v>M/s. Al Baraka Bank (Pakistan) Limited
M/S. Al Baraka Bank (Pakistan) Limited 
User: Jahanzaib  Ali</v>
          </cell>
          <cell r="L126" t="str">
            <v>D</v>
          </cell>
          <cell r="M126" t="str">
            <v>09000221</v>
          </cell>
          <cell r="N126">
            <v>100</v>
          </cell>
          <cell r="O126" t="str">
            <v>KARACHI</v>
          </cell>
          <cell r="P126" t="str">
            <v>H # 20 G Block Model Town Lahore</v>
          </cell>
          <cell r="Q126" t="str">
            <v>11000003</v>
          </cell>
          <cell r="R126" t="str">
            <v>HONDA CIVIC VTI  ORIEL PT</v>
          </cell>
          <cell r="S126" t="str">
            <v>2017</v>
          </cell>
          <cell r="T126" t="str">
            <v>AEZ-757</v>
          </cell>
          <cell r="U126" t="str">
            <v>Z1292461</v>
          </cell>
          <cell r="V126" t="str">
            <v>GR003130</v>
          </cell>
          <cell r="W126" t="str">
            <v>10-mar-2029</v>
          </cell>
          <cell r="Y126">
            <v>-2975000</v>
          </cell>
          <cell r="Z126">
            <v>-38470</v>
          </cell>
          <cell r="AA126">
            <v>-44625</v>
          </cell>
        </row>
        <row r="127">
          <cell r="B127" t="str">
            <v>KHI/HO/D/MO/PC COMP/P/103764/12/2024</v>
          </cell>
          <cell r="C127" t="str">
            <v>KHI/HO/D/MO/PC COMP/E/51012/00113/01/2025</v>
          </cell>
          <cell r="D127" t="str">
            <v>REN</v>
          </cell>
          <cell r="E127" t="str">
            <v>09/01/25</v>
          </cell>
          <cell r="F127" t="str">
            <v>23/12/2024</v>
          </cell>
          <cell r="G127" t="str">
            <v>22/12/2025</v>
          </cell>
          <cell r="H127" t="str">
            <v>08004499</v>
          </cell>
          <cell r="I127" t="str">
            <v>AL BARAKA BANK (PAKISTAN) LIMITED</v>
          </cell>
          <cell r="J127" t="str">
            <v>BANK</v>
          </cell>
          <cell r="K127" t="str">
            <v>M/s. Al Baraka Bank (Pakistan) Limited
M/S. Al Baraka Bank (Pakistan) Limited 
User: Samina  Malik</v>
          </cell>
          <cell r="L127" t="str">
            <v>D</v>
          </cell>
          <cell r="M127" t="str">
            <v>09000221</v>
          </cell>
          <cell r="N127">
            <v>100</v>
          </cell>
          <cell r="O127" t="str">
            <v>KARACHI</v>
          </cell>
          <cell r="P127" t="str">
            <v>331-B Johar Town Lahore</v>
          </cell>
          <cell r="Q127" t="str">
            <v>11000003</v>
          </cell>
          <cell r="R127" t="str">
            <v>HONDA CIVIC VTI  ORIEL PT</v>
          </cell>
          <cell r="S127" t="str">
            <v>2021</v>
          </cell>
          <cell r="T127" t="str">
            <v>AGE-922</v>
          </cell>
          <cell r="U127" t="str">
            <v>R18Z16922104</v>
          </cell>
          <cell r="V127" t="str">
            <v>MR074457</v>
          </cell>
          <cell r="W127" t="str">
            <v>07-may-2029</v>
          </cell>
          <cell r="Y127">
            <v>-3280000</v>
          </cell>
          <cell r="Z127">
            <v>-42414</v>
          </cell>
          <cell r="AA127">
            <v>-49200</v>
          </cell>
        </row>
        <row r="128">
          <cell r="B128" t="str">
            <v>KHI/HO/D/MO/PC COMP/P/103764/12/2024</v>
          </cell>
          <cell r="C128" t="str">
            <v>KHI/HO/D/MO/PC COMP/E/51012/00140/01/2025</v>
          </cell>
          <cell r="D128" t="str">
            <v>REN</v>
          </cell>
          <cell r="E128" t="str">
            <v>09/01/25</v>
          </cell>
          <cell r="F128" t="str">
            <v>30/12/2024</v>
          </cell>
          <cell r="G128" t="str">
            <v>29/12/2025</v>
          </cell>
          <cell r="H128" t="str">
            <v>08004499</v>
          </cell>
          <cell r="I128" t="str">
            <v>AL BARAKA BANK (PAKISTAN) LIMITED</v>
          </cell>
          <cell r="J128" t="str">
            <v>BANK</v>
          </cell>
          <cell r="K128" t="str">
            <v>M/s. Al Baraka Bank (Pakistan) Limited
M/S. Al Baraka Bank (Pakistan) Limited 
User: Arslan  Asif</v>
          </cell>
          <cell r="L128" t="str">
            <v>D</v>
          </cell>
          <cell r="M128" t="str">
            <v>09000221</v>
          </cell>
          <cell r="N128">
            <v>100</v>
          </cell>
          <cell r="O128" t="str">
            <v>KARACHI</v>
          </cell>
          <cell r="P128" t="str">
            <v>House No.116 Block C Street  36 Tech Society  Johar Town Lahore</v>
          </cell>
          <cell r="Q128" t="str">
            <v>11000003</v>
          </cell>
          <cell r="R128" t="str">
            <v>HONDA CIVIC VTI  ORIEL PT</v>
          </cell>
          <cell r="S128" t="str">
            <v>2020</v>
          </cell>
          <cell r="T128" t="str">
            <v>ABH-180</v>
          </cell>
          <cell r="U128" t="str">
            <v>6916214</v>
          </cell>
          <cell r="V128" t="str">
            <v>068264</v>
          </cell>
          <cell r="W128" t="str">
            <v>03-jun-2029</v>
          </cell>
          <cell r="Y128">
            <v>2404750</v>
          </cell>
          <cell r="Z128">
            <v>30414</v>
          </cell>
          <cell r="AA128">
            <v>35280</v>
          </cell>
        </row>
        <row r="129">
          <cell r="B129" t="str">
            <v>KHI/HO/D/MO/PC COMP/P/103764/12/2024</v>
          </cell>
          <cell r="C129" t="str">
            <v>KHI/HO/D/MO/PC COMP/E/51012/00145/01/2025</v>
          </cell>
          <cell r="D129" t="str">
            <v>REN</v>
          </cell>
          <cell r="E129" t="str">
            <v>09/01/25</v>
          </cell>
          <cell r="F129" t="str">
            <v>31/12/2024</v>
          </cell>
          <cell r="G129" t="str">
            <v>30/12/2025</v>
          </cell>
          <cell r="H129" t="str">
            <v>08004499</v>
          </cell>
          <cell r="I129" t="str">
            <v>AL BARAKA BANK (PAKISTAN) LIMITED</v>
          </cell>
          <cell r="J129" t="str">
            <v>BANK</v>
          </cell>
          <cell r="K129" t="str">
            <v>M/s. Al Baraka Bank (Pakistan) Limited
M/S. Al Baraka Bank (Pakistan) Limited 
User: Asad  Ali</v>
          </cell>
          <cell r="L129" t="str">
            <v>D</v>
          </cell>
          <cell r="M129" t="str">
            <v>09000221</v>
          </cell>
          <cell r="N129">
            <v>100</v>
          </cell>
          <cell r="O129" t="str">
            <v>KARACHI</v>
          </cell>
          <cell r="P129" t="str">
            <v>House No. 8Treet 12 Zafar Park Badami Baghh Lahore</v>
          </cell>
          <cell r="Q129" t="str">
            <v>11000003</v>
          </cell>
          <cell r="R129" t="str">
            <v>HONDA CIVIC VTI  ORIEL PT</v>
          </cell>
          <cell r="S129" t="str">
            <v>2018</v>
          </cell>
          <cell r="T129" t="str">
            <v>LED-18-6002</v>
          </cell>
          <cell r="U129" t="str">
            <v>Z12931787</v>
          </cell>
          <cell r="V129" t="str">
            <v>JR035144</v>
          </cell>
          <cell r="W129" t="str">
            <v>08-jun-2029</v>
          </cell>
          <cell r="Y129">
            <v>-2775000</v>
          </cell>
          <cell r="Z129">
            <v>-35883</v>
          </cell>
          <cell r="AA129">
            <v>-41625</v>
          </cell>
        </row>
        <row r="130">
          <cell r="B130" t="str">
            <v>KHI/HO/D/MO/PC COMP/P/96726/09/2024</v>
          </cell>
          <cell r="C130" t="str">
            <v>KHI/HO/D/MO/PC COMP/E/51019/00019/01/2025</v>
          </cell>
          <cell r="D130" t="str">
            <v>REN</v>
          </cell>
          <cell r="E130" t="str">
            <v>09/01/25</v>
          </cell>
          <cell r="F130" t="str">
            <v>28/09/2024</v>
          </cell>
          <cell r="G130" t="str">
            <v>27/09/2025</v>
          </cell>
          <cell r="H130" t="str">
            <v>08004499</v>
          </cell>
          <cell r="I130" t="str">
            <v>AL BARAKA BANK (PAKISTAN) LIMITED</v>
          </cell>
          <cell r="J130" t="str">
            <v>BANK</v>
          </cell>
          <cell r="K130" t="str">
            <v>HPA M/S. AL-BARAKA BANK (PAKISTAN) LIMITED
Mr. Muhammad Akram                 
HPA M/s. Al Baraka Bank (Pakistan) Limited</v>
          </cell>
          <cell r="L130" t="str">
            <v>D</v>
          </cell>
          <cell r="M130" t="str">
            <v>09000221</v>
          </cell>
          <cell r="N130">
            <v>100</v>
          </cell>
          <cell r="O130" t="str">
            <v>PAKPATTAN</v>
          </cell>
          <cell r="P130" t="str">
            <v>Mandi More Gali 3 Moh Rehmat Pura Chak No. 27/SP  Patpattan</v>
          </cell>
          <cell r="Q130" t="str">
            <v>11000003</v>
          </cell>
          <cell r="R130" t="str">
            <v>SUZUKI WAGON-R VXL E2</v>
          </cell>
          <cell r="S130" t="str">
            <v>2020</v>
          </cell>
          <cell r="U130" t="str">
            <v>204137</v>
          </cell>
          <cell r="V130" t="str">
            <v>10104115</v>
          </cell>
          <cell r="X130" t="str">
            <v>3</v>
          </cell>
          <cell r="Y130">
            <v>-1417500</v>
          </cell>
          <cell r="Z130">
            <v>-17184</v>
          </cell>
          <cell r="AA130">
            <v>-19934</v>
          </cell>
        </row>
        <row r="131">
          <cell r="B131" t="str">
            <v>KHI/HO/D/MO/PC COMP/P/96726/09/2024</v>
          </cell>
          <cell r="C131" t="str">
            <v>KHI/HO/D/MO/PC COMP/E/51019/00023/01/2025</v>
          </cell>
          <cell r="D131" t="str">
            <v>REN</v>
          </cell>
          <cell r="E131" t="str">
            <v>09/01/25</v>
          </cell>
          <cell r="F131" t="str">
            <v>29/09/2024</v>
          </cell>
          <cell r="G131" t="str">
            <v>28/09/2025</v>
          </cell>
          <cell r="H131" t="str">
            <v>08004499</v>
          </cell>
          <cell r="I131" t="str">
            <v>AL BARAKA BANK (PAKISTAN) LIMITED</v>
          </cell>
          <cell r="J131" t="str">
            <v>BANK</v>
          </cell>
          <cell r="K131" t="str">
            <v>HPA M/S. AL-BARAKA BANK (PAKISTAN) LIMITED
Ms. Hafiza Shakila                  
HPA M/s. Al Baraka Bank (Pakistan) Limited</v>
          </cell>
          <cell r="L131" t="str">
            <v>D</v>
          </cell>
          <cell r="M131" t="str">
            <v>09000221</v>
          </cell>
          <cell r="N131">
            <v>100</v>
          </cell>
          <cell r="P131" t="str">
            <v>House No.75-B  Phase 2 Tuls Pura Moh Sajid Garden Medical Housing Society Lahore</v>
          </cell>
          <cell r="Q131" t="str">
            <v>11000003</v>
          </cell>
          <cell r="R131" t="str">
            <v>CHANGAN KARVAAN VAN</v>
          </cell>
          <cell r="S131" t="str">
            <v>2020</v>
          </cell>
          <cell r="T131" t="str">
            <v>ARX-347</v>
          </cell>
          <cell r="U131" t="str">
            <v>500597</v>
          </cell>
          <cell r="V131" t="str">
            <v>1002503</v>
          </cell>
          <cell r="X131" t="str">
            <v>3</v>
          </cell>
          <cell r="Y131">
            <v>-1004250</v>
          </cell>
          <cell r="Z131">
            <v>-8116</v>
          </cell>
          <cell r="AA131">
            <v>-9414</v>
          </cell>
        </row>
        <row r="132">
          <cell r="B132" t="str">
            <v>KHI/HO/D/MO/PC COMP/P/93457/07/2024</v>
          </cell>
          <cell r="C132" t="str">
            <v>KHI/HO/D/MO/PC COMP/E/51360/00024/01/2025</v>
          </cell>
          <cell r="D132" t="str">
            <v>REN</v>
          </cell>
          <cell r="E132" t="str">
            <v>10/01/25</v>
          </cell>
          <cell r="F132" t="str">
            <v>19/07/2024</v>
          </cell>
          <cell r="G132" t="str">
            <v>18/07/2025</v>
          </cell>
          <cell r="H132" t="str">
            <v>08004499</v>
          </cell>
          <cell r="I132" t="str">
            <v>AL BARAKA BANK (PAKISTAN) LIMITED</v>
          </cell>
          <cell r="J132" t="str">
            <v>BANK</v>
          </cell>
          <cell r="K132" t="str">
            <v>HPA M/s. Al Baraka Bank (Pakistan) Limited
Mr. Muhammad Mudasar Sheraz
HPA M/s. Al Baraka Bank (Pakistan) Limited</v>
          </cell>
          <cell r="L132" t="str">
            <v>D</v>
          </cell>
          <cell r="M132" t="str">
            <v>09000221</v>
          </cell>
          <cell r="N132">
            <v>100</v>
          </cell>
          <cell r="P132" t="str">
            <v>408 C Pak Arab Society ferozpur Road Lahore</v>
          </cell>
          <cell r="Q132" t="str">
            <v>11000003</v>
          </cell>
          <cell r="R132" t="str">
            <v>SUZUKI WAGON R VXL</v>
          </cell>
          <cell r="S132" t="str">
            <v>2022</v>
          </cell>
          <cell r="T132" t="str">
            <v>ALM-959</v>
          </cell>
          <cell r="U132" t="str">
            <v>236734</v>
          </cell>
          <cell r="V132" t="str">
            <v>10136752</v>
          </cell>
          <cell r="Y132">
            <v>1165700</v>
          </cell>
          <cell r="Z132">
            <v>7888</v>
          </cell>
          <cell r="AA132">
            <v>9150</v>
          </cell>
        </row>
        <row r="133">
          <cell r="B133" t="str">
            <v>KHI/HO/D/MO/PC COMP/P/95193/08/2024</v>
          </cell>
          <cell r="C133" t="str">
            <v>KHI/HO/D/MO/PC COMP/E/51574/00011/01/2025</v>
          </cell>
          <cell r="D133" t="str">
            <v>REN</v>
          </cell>
          <cell r="E133" t="str">
            <v>14/01/25</v>
          </cell>
          <cell r="F133" t="str">
            <v>18/08/2024</v>
          </cell>
          <cell r="G133" t="str">
            <v>17/08/2025</v>
          </cell>
          <cell r="H133" t="str">
            <v>08004499</v>
          </cell>
          <cell r="I133" t="str">
            <v>AL BARAKA BANK (PAKISTAN) LIMITED</v>
          </cell>
          <cell r="J133" t="str">
            <v>BANK</v>
          </cell>
          <cell r="K133" t="str">
            <v>HPA M/s. Al Baraka Bank (Pakistan) Limited
Mr. Zeeshan Qasim
HPA M/s. Al Baraka Bank (Pakistan) Limited</v>
          </cell>
          <cell r="L133" t="str">
            <v>D</v>
          </cell>
          <cell r="M133" t="str">
            <v>09000221</v>
          </cell>
          <cell r="N133">
            <v>100</v>
          </cell>
          <cell r="P133" t="str">
            <v>H No 1624/4 A Block Central Park Housing Scheme Lahore</v>
          </cell>
          <cell r="Q133" t="str">
            <v>11000003</v>
          </cell>
          <cell r="R133" t="str">
            <v>TOYOTA YARIS ATIV X CVT</v>
          </cell>
          <cell r="S133" t="str">
            <v>2023</v>
          </cell>
          <cell r="T133" t="str">
            <v>ARC-777</v>
          </cell>
          <cell r="U133" t="str">
            <v>2A62396</v>
          </cell>
          <cell r="V133" t="str">
            <v>7040218</v>
          </cell>
          <cell r="Y133">
            <v>-4568400</v>
          </cell>
          <cell r="Z133">
            <v>-14768</v>
          </cell>
          <cell r="AA133">
            <v>-17131</v>
          </cell>
        </row>
        <row r="134">
          <cell r="B134" t="str">
            <v>KHI/HO/D/MO/PC COMP/P/93458/07/2024</v>
          </cell>
          <cell r="C134" t="str">
            <v>KHI/HO/D/MO/PC COMP/E/51625/00033/01/2025</v>
          </cell>
          <cell r="D134" t="str">
            <v>REN</v>
          </cell>
          <cell r="E134" t="str">
            <v>16/01/25</v>
          </cell>
          <cell r="F134" t="str">
            <v>30/07/2024</v>
          </cell>
          <cell r="G134" t="str">
            <v>29/07/2025</v>
          </cell>
          <cell r="H134" t="str">
            <v>08004499</v>
          </cell>
          <cell r="I134" t="str">
            <v>AL BARAKA BANK (PAKISTAN) LIMITED</v>
          </cell>
          <cell r="J134" t="str">
            <v>BANK</v>
          </cell>
          <cell r="K134" t="str">
            <v>HPA M/s. Al Baraka Bank Pakistan Limited
Mr. Muhammad Saqib   
HPA M/s. Al Baraka Bank Pakistan Limited</v>
          </cell>
          <cell r="L134" t="str">
            <v>D</v>
          </cell>
          <cell r="M134" t="str">
            <v>09000221</v>
          </cell>
          <cell r="N134">
            <v>100</v>
          </cell>
          <cell r="O134" t="str">
            <v>LAHORE</v>
          </cell>
          <cell r="P134" t="str">
            <v>17-A Firdous Colony Gulshan-e-Ravi Lahore</v>
          </cell>
          <cell r="Q134" t="str">
            <v>11000003</v>
          </cell>
          <cell r="R134" t="str">
            <v>SUZUKI BOLAN STD VX EURO</v>
          </cell>
          <cell r="S134" t="str">
            <v>2021</v>
          </cell>
          <cell r="T134" t="str">
            <v>AEH-605</v>
          </cell>
          <cell r="U134" t="str">
            <v>1012663</v>
          </cell>
          <cell r="V134" t="str">
            <v>01129166</v>
          </cell>
          <cell r="X134" t="str">
            <v>3</v>
          </cell>
          <cell r="Y134">
            <v>-839200</v>
          </cell>
          <cell r="Z134">
            <v>-9043</v>
          </cell>
          <cell r="AA134">
            <v>-10489</v>
          </cell>
        </row>
        <row r="135">
          <cell r="B135" t="str">
            <v>KHI/HO/D/MO/PC COMP/P/93458/07/2024</v>
          </cell>
          <cell r="C135" t="str">
            <v>KHI/HO/D/MO/PC COMP/E/51625/00023/01/2025</v>
          </cell>
          <cell r="D135" t="str">
            <v>REN</v>
          </cell>
          <cell r="E135" t="str">
            <v>16/01/25</v>
          </cell>
          <cell r="F135" t="str">
            <v>19/07/2024</v>
          </cell>
          <cell r="G135" t="str">
            <v>18/07/2025</v>
          </cell>
          <cell r="H135" t="str">
            <v>08004499</v>
          </cell>
          <cell r="I135" t="str">
            <v>AL BARAKA BANK (PAKISTAN) LIMITED</v>
          </cell>
          <cell r="J135" t="str">
            <v>BANK</v>
          </cell>
          <cell r="K135" t="str">
            <v>HPA M/s. Al Baraka Bank Pakistan Limited
Mr. Muhammad Nawaz          
HPA M/s. Al Baraka Bank Pakistan Limited</v>
          </cell>
          <cell r="L135" t="str">
            <v>D</v>
          </cell>
          <cell r="M135" t="str">
            <v>09000221</v>
          </cell>
          <cell r="N135">
            <v>100</v>
          </cell>
          <cell r="O135" t="str">
            <v>LAHORE</v>
          </cell>
          <cell r="P135" t="str">
            <v>I-D/2 House No.36 Green Town Lahore</v>
          </cell>
          <cell r="Q135" t="str">
            <v>11000003</v>
          </cell>
          <cell r="R135" t="str">
            <v>HONDA CIVIC VTI  ORIEL PT</v>
          </cell>
          <cell r="S135" t="str">
            <v>2021</v>
          </cell>
          <cell r="T135" t="str">
            <v>AEC-755</v>
          </cell>
          <cell r="U135" t="str">
            <v>16922947</v>
          </cell>
          <cell r="V135" t="str">
            <v>MR075284</v>
          </cell>
          <cell r="X135" t="str">
            <v>3</v>
          </cell>
          <cell r="Y135">
            <v>-3301600</v>
          </cell>
          <cell r="Z135">
            <v>-16010</v>
          </cell>
          <cell r="AA135">
            <v>-18571</v>
          </cell>
        </row>
        <row r="136">
          <cell r="B136" t="str">
            <v>KHI/HO/D/MO/PC COMP/P/84011/02/2024</v>
          </cell>
          <cell r="C136" t="str">
            <v>KHI/HO/D/MO/PC COMP/E/51627/00008/01/2025</v>
          </cell>
          <cell r="D136" t="str">
            <v>REN</v>
          </cell>
          <cell r="E136" t="str">
            <v>16/01/25</v>
          </cell>
          <cell r="F136" t="str">
            <v>04/02/2024</v>
          </cell>
          <cell r="G136" t="str">
            <v>03/02/2025</v>
          </cell>
          <cell r="H136" t="str">
            <v>08004499</v>
          </cell>
          <cell r="I136" t="str">
            <v>AL BARAKA BANK (PAKISTAN) LIMITED</v>
          </cell>
          <cell r="J136" t="str">
            <v>BANK</v>
          </cell>
          <cell r="K136" t="str">
            <v>HPA M/S Al Baraka Bank (Pakistan) Limited
Mr. Rao Affan Ali   
HPA M/S Al Baraka Bank (Pakistan) Limited</v>
          </cell>
          <cell r="L136" t="str">
            <v>D</v>
          </cell>
          <cell r="M136" t="str">
            <v>09000221</v>
          </cell>
          <cell r="N136">
            <v>100</v>
          </cell>
          <cell r="O136" t="str">
            <v>KARACHI</v>
          </cell>
          <cell r="P136" t="str">
            <v>H # C-244 Gulshan-e-Rafi Jamia Millia Road Malir Karachi</v>
          </cell>
          <cell r="Q136" t="str">
            <v>11000003</v>
          </cell>
          <cell r="R136" t="str">
            <v>SUZUKI CULTUS VXL EURO II</v>
          </cell>
          <cell r="S136" t="str">
            <v>2019</v>
          </cell>
          <cell r="T136" t="str">
            <v>BPS-834</v>
          </cell>
          <cell r="U136" t="str">
            <v>136317</v>
          </cell>
          <cell r="V136" t="str">
            <v>1003612</v>
          </cell>
          <cell r="X136" t="str">
            <v>3</v>
          </cell>
          <cell r="Y136">
            <v>-1466250</v>
          </cell>
          <cell r="Z136">
            <v>0</v>
          </cell>
          <cell r="AA136">
            <v>0</v>
          </cell>
        </row>
        <row r="137">
          <cell r="B137" t="str">
            <v>KHI/HO/D/MO/PC COMP/P/95231/08/2024</v>
          </cell>
          <cell r="C137" t="str">
            <v>KHI/HO/D/MO/PC COMP/E/51647/00036/01/2025</v>
          </cell>
          <cell r="D137" t="str">
            <v>REN</v>
          </cell>
          <cell r="E137" t="str">
            <v>17/01/25</v>
          </cell>
          <cell r="F137" t="str">
            <v>31/08/2024</v>
          </cell>
          <cell r="G137" t="str">
            <v>30/08/2025</v>
          </cell>
          <cell r="H137" t="str">
            <v>08004499</v>
          </cell>
          <cell r="I137" t="str">
            <v>AL BARAKA BANK (PAKISTAN) LIMITED</v>
          </cell>
          <cell r="J137" t="str">
            <v>BANK</v>
          </cell>
          <cell r="K137" t="str">
            <v>HPA M/s. Al Baraka Bank (Pakistan) Limited
Mr. Ali Aziz  
HPA M/s. Al Baraka Bank (Pakistan) Limited</v>
          </cell>
          <cell r="L137" t="str">
            <v>D</v>
          </cell>
          <cell r="M137" t="str">
            <v>09000221</v>
          </cell>
          <cell r="N137">
            <v>100</v>
          </cell>
          <cell r="O137" t="str">
            <v>MULTAN</v>
          </cell>
          <cell r="P137" t="str">
            <v>House No. 11 Bilal Street New Shamsabad colony Khanyax  Road Multan</v>
          </cell>
          <cell r="Q137" t="str">
            <v>11000003</v>
          </cell>
          <cell r="R137" t="str">
            <v>SUZUKI ALTO VX</v>
          </cell>
          <cell r="S137" t="str">
            <v>2021</v>
          </cell>
          <cell r="U137" t="str">
            <v>179152</v>
          </cell>
          <cell r="V137" t="str">
            <v>1079136</v>
          </cell>
          <cell r="X137" t="str">
            <v>3</v>
          </cell>
          <cell r="Y137">
            <v>-890400</v>
          </cell>
          <cell r="Z137">
            <v>-4797</v>
          </cell>
          <cell r="AA137">
            <v>-5564</v>
          </cell>
        </row>
        <row r="138">
          <cell r="B138" t="str">
            <v>KHI/HO/D/MO/PC COMP/P/90321/06/2024</v>
          </cell>
          <cell r="C138" t="str">
            <v>KHI/HO/D/MO/PC COMP/E/51657/00013/01/2025</v>
          </cell>
          <cell r="D138" t="str">
            <v>FRE</v>
          </cell>
          <cell r="E138" t="str">
            <v>17/01/25</v>
          </cell>
          <cell r="F138" t="str">
            <v>14/06/2024</v>
          </cell>
          <cell r="G138" t="str">
            <v>13/06/2025</v>
          </cell>
          <cell r="H138" t="str">
            <v>08004499</v>
          </cell>
          <cell r="I138" t="str">
            <v>AL BARAKA BANK (PAKISTAN) LIMITED</v>
          </cell>
          <cell r="J138" t="str">
            <v>BANK</v>
          </cell>
          <cell r="K138" t="str">
            <v>Mr.
HPA M/s. Al Baraka Bank (Pakistan) Limited
Mr. HASSAN AFZAL
HPA M/s. Al Baraka Bank (Pakistan) Limited</v>
          </cell>
          <cell r="L138" t="str">
            <v>D</v>
          </cell>
          <cell r="M138" t="str">
            <v>09000221</v>
          </cell>
          <cell r="N138">
            <v>100</v>
          </cell>
          <cell r="P138" t="str">
            <v>P-99 St No 5 Muslim Town 1 Madina Street Faisalabad</v>
          </cell>
          <cell r="Q138" t="str">
            <v>11000003</v>
          </cell>
          <cell r="R138" t="str">
            <v>SUZUKI ALTO</v>
          </cell>
          <cell r="S138" t="str">
            <v>2020</v>
          </cell>
          <cell r="T138" t="str">
            <v>ARH-910</v>
          </cell>
          <cell r="U138" t="str">
            <v>6R133331</v>
          </cell>
          <cell r="V138" t="str">
            <v>NF1AET306H1033325</v>
          </cell>
          <cell r="X138" t="str">
            <v>1</v>
          </cell>
          <cell r="Y138">
            <v>-2400000</v>
          </cell>
          <cell r="Z138">
            <v>-5263</v>
          </cell>
          <cell r="AA138">
            <v>-5316</v>
          </cell>
        </row>
        <row r="139">
          <cell r="B139" t="str">
            <v>KHI/HO/D/MO/PC COMP/P/102212/11/2024</v>
          </cell>
          <cell r="C139" t="str">
            <v>KHI/HO/D/MO/PC COMP/E/51729/00004/01/2025</v>
          </cell>
          <cell r="D139" t="str">
            <v>REN</v>
          </cell>
          <cell r="E139" t="str">
            <v>21/01/25</v>
          </cell>
          <cell r="F139" t="str">
            <v>05/11/2024</v>
          </cell>
          <cell r="G139" t="str">
            <v>04/11/2025</v>
          </cell>
          <cell r="H139" t="str">
            <v>08004499</v>
          </cell>
          <cell r="I139" t="str">
            <v>AL BARAKA BANK (PAKISTAN) LIMITED</v>
          </cell>
          <cell r="J139" t="str">
            <v>BANK</v>
          </cell>
          <cell r="K139" t="str">
            <v>HPA M/s. Al Baraka Bank (Pakistan) Limited
Hpa M/S. Al Baraka Bank (Pakistan) Limited
User: Muhammad   Ahmad</v>
          </cell>
          <cell r="L139" t="str">
            <v>D</v>
          </cell>
          <cell r="M139" t="str">
            <v>09000221</v>
          </cell>
          <cell r="N139">
            <v>100</v>
          </cell>
          <cell r="O139" t="str">
            <v>KARACHI</v>
          </cell>
          <cell r="P139" t="str">
            <v>Chah Allah Ditta PO Chawka Road Kabotri Michinabad  Bahawalnagar</v>
          </cell>
          <cell r="Q139" t="str">
            <v>11000003</v>
          </cell>
          <cell r="R139" t="str">
            <v>SUZUKI ALTO VXR</v>
          </cell>
          <cell r="S139" t="str">
            <v>2019</v>
          </cell>
          <cell r="U139" t="str">
            <v>119291</v>
          </cell>
          <cell r="V139" t="str">
            <v>1019405</v>
          </cell>
          <cell r="W139" t="str">
            <v>05-nov-2025</v>
          </cell>
          <cell r="Y139">
            <v>-915600</v>
          </cell>
          <cell r="Z139">
            <v>-14799</v>
          </cell>
          <cell r="AA139">
            <v>-17167</v>
          </cell>
        </row>
        <row r="140">
          <cell r="B140" t="str">
            <v>KHI/HO/D/MO/PC COMP/P/101342/11/2024</v>
          </cell>
          <cell r="C140" t="str">
            <v>KHI/HO/D/MO/PC COMP/E/51730/00008/01/2025</v>
          </cell>
          <cell r="D140" t="str">
            <v>FRE</v>
          </cell>
          <cell r="E140" t="str">
            <v>21/01/25</v>
          </cell>
          <cell r="F140" t="str">
            <v>14/11/2024</v>
          </cell>
          <cell r="G140" t="str">
            <v>13/11/2025</v>
          </cell>
          <cell r="H140" t="str">
            <v>08004499</v>
          </cell>
          <cell r="I140" t="str">
            <v>AL BARAKA BANK (PAKISTAN) LIMITED</v>
          </cell>
          <cell r="J140" t="str">
            <v>BANK</v>
          </cell>
          <cell r="K140" t="str">
            <v>Mr.
HPA M/s. Al Baraka Bank Pakitan Limited
Mr. MUHAMMAD USMAN SAFDAR
HPA M/s. Al Baraka Bank Pakitan Limited</v>
          </cell>
          <cell r="L140" t="str">
            <v>D</v>
          </cell>
          <cell r="M140" t="str">
            <v>09000221</v>
          </cell>
          <cell r="N140">
            <v>100</v>
          </cell>
          <cell r="P140" t="str">
            <v>H # 32-B Aitchison H. Society Raiwind Road  Lahore.</v>
          </cell>
          <cell r="Q140" t="str">
            <v>11000003</v>
          </cell>
          <cell r="R140" t="str">
            <v>HONDA CITY 1.2  LS CVT</v>
          </cell>
          <cell r="S140" t="str">
            <v>2022</v>
          </cell>
          <cell r="T140" t="str">
            <v>AMH-741</v>
          </cell>
          <cell r="U140" t="str">
            <v>51014701</v>
          </cell>
          <cell r="V140" t="str">
            <v>R026400</v>
          </cell>
          <cell r="Y140">
            <v>4270000</v>
          </cell>
          <cell r="Z140">
            <v>0</v>
          </cell>
          <cell r="AA140">
            <v>0</v>
          </cell>
        </row>
        <row r="141">
          <cell r="B141" t="str">
            <v>KHI/HO/D/MO/PC COMP/P/96721/09/2024</v>
          </cell>
          <cell r="C141" t="str">
            <v>KHI/HO/D/MO/PC COMP/E/51734/00014/01/2025</v>
          </cell>
          <cell r="D141" t="str">
            <v>REN</v>
          </cell>
          <cell r="E141" t="str">
            <v>21/01/25</v>
          </cell>
          <cell r="F141" t="str">
            <v>16/09/2024</v>
          </cell>
          <cell r="G141" t="str">
            <v>15/09/2025</v>
          </cell>
          <cell r="H141" t="str">
            <v>08004499</v>
          </cell>
          <cell r="I141" t="str">
            <v>AL BARAKA BANK (PAKISTAN) LIMITED</v>
          </cell>
          <cell r="J141" t="str">
            <v>BANK</v>
          </cell>
          <cell r="K141" t="str">
            <v>HPA M/s. Al Baraka Bank (Pakistan) Limited
Mr. Nasir Mahmood               
HPA M/s. Al Baraka Bank (Pakistan) Limited</v>
          </cell>
          <cell r="L141" t="str">
            <v>D</v>
          </cell>
          <cell r="M141" t="str">
            <v>09000221</v>
          </cell>
          <cell r="N141">
            <v>100</v>
          </cell>
          <cell r="O141" t="str">
            <v>LAHORE</v>
          </cell>
          <cell r="P141" t="str">
            <v>House No. 133 Block A-3 Johar Town Lahore</v>
          </cell>
          <cell r="Q141" t="str">
            <v>11000003</v>
          </cell>
          <cell r="R141" t="str">
            <v>HONDA CITY I-VTEC (M/T)</v>
          </cell>
          <cell r="S141" t="str">
            <v>2016</v>
          </cell>
          <cell r="T141" t="str">
            <v>LEF-16-449</v>
          </cell>
          <cell r="U141" t="str">
            <v>L13Z17448590</v>
          </cell>
          <cell r="V141" t="str">
            <v>GR190063</v>
          </cell>
          <cell r="X141" t="str">
            <v>3</v>
          </cell>
          <cell r="Y141">
            <v>1120000</v>
          </cell>
          <cell r="Z141">
            <v>9444</v>
          </cell>
          <cell r="AA141">
            <v>10955</v>
          </cell>
        </row>
        <row r="142">
          <cell r="B142" t="str">
            <v>KHI/HO/D/MO/PC COMP/P/82186/01/2024</v>
          </cell>
          <cell r="C142" t="str">
            <v>KHI/HO/D/MO/PC COMP/E/51760/00041/01/2025</v>
          </cell>
          <cell r="D142" t="str">
            <v>REN</v>
          </cell>
          <cell r="E142" t="str">
            <v>22/01/25</v>
          </cell>
          <cell r="F142" t="str">
            <v>31/01/2024</v>
          </cell>
          <cell r="G142" t="str">
            <v>30/01/2025</v>
          </cell>
          <cell r="H142" t="str">
            <v>08004499</v>
          </cell>
          <cell r="I142" t="str">
            <v>AL BARAKA BANK (PAKISTAN) LIMITED</v>
          </cell>
          <cell r="J142" t="str">
            <v>BANK</v>
          </cell>
          <cell r="K142" t="str">
            <v>Mr. 
HPA M/s. Al Baraka Bank (Pakistan) Limited
Mr. Muhammad Ali Haider
HPA M/s. Al Baraka Bank (Pakistan) Limited</v>
          </cell>
          <cell r="L142" t="str">
            <v>D</v>
          </cell>
          <cell r="M142" t="str">
            <v>09000221</v>
          </cell>
          <cell r="N142">
            <v>100</v>
          </cell>
          <cell r="P142" t="str">
            <v>H NO 147 St NO 02 Block G3 Wapda Town Lahore</v>
          </cell>
          <cell r="Q142" t="str">
            <v>11000003</v>
          </cell>
          <cell r="R142" t="str">
            <v>HONDA CIVIC</v>
          </cell>
          <cell r="S142" t="str">
            <v>2017</v>
          </cell>
          <cell r="T142" t="str">
            <v>LE-17A-390</v>
          </cell>
          <cell r="U142" t="str">
            <v>Z12919153</v>
          </cell>
          <cell r="V142" t="str">
            <v>HR022540</v>
          </cell>
          <cell r="Y142">
            <v>-3420000</v>
          </cell>
          <cell r="Z142">
            <v>0</v>
          </cell>
          <cell r="AA142">
            <v>0</v>
          </cell>
        </row>
        <row r="143">
          <cell r="B143" t="str">
            <v>KHI/HO/D/MO/PC COMP/P/88626/05/2024</v>
          </cell>
          <cell r="C143" t="str">
            <v>KHI/HO/D/MO/PC COMP/E/51797/00046/01/2025</v>
          </cell>
          <cell r="D143" t="str">
            <v>REN</v>
          </cell>
          <cell r="E143" t="str">
            <v>22/01/25</v>
          </cell>
          <cell r="F143" t="str">
            <v>26/05/2024</v>
          </cell>
          <cell r="G143" t="str">
            <v>25/05/2025</v>
          </cell>
          <cell r="H143" t="str">
            <v>08004499</v>
          </cell>
          <cell r="I143" t="str">
            <v>AL BARAKA BANK (PAKISTAN) LIMITED</v>
          </cell>
          <cell r="J143" t="str">
            <v>BANK</v>
          </cell>
          <cell r="K143" t="str">
            <v>Mr. 
HPA M/s. Al Baraka Bank (Pakistan) Limited
Mr. 
Hpa M/S. Al Baraka Bank (Pakistan) Limited 
User:Syed Shahroz Ali</v>
          </cell>
          <cell r="L143" t="str">
            <v>D</v>
          </cell>
          <cell r="M143" t="str">
            <v>09000221</v>
          </cell>
          <cell r="N143">
            <v>100</v>
          </cell>
          <cell r="O143" t="str">
            <v>KARACHI</v>
          </cell>
          <cell r="P143" t="str">
            <v>House No. 49 E Block Pgehs Phase Ii Lahore</v>
          </cell>
          <cell r="Q143" t="str">
            <v>11000003</v>
          </cell>
          <cell r="R143" t="str">
            <v>KIA SPORTAGE FWD</v>
          </cell>
          <cell r="S143" t="str">
            <v>2021</v>
          </cell>
          <cell r="T143" t="str">
            <v>ADG-114</v>
          </cell>
          <cell r="U143" t="str">
            <v>305810</v>
          </cell>
          <cell r="V143" t="str">
            <v>305981</v>
          </cell>
          <cell r="W143" t="str">
            <v>05-jun-2028</v>
          </cell>
          <cell r="Y143">
            <v>-3945600</v>
          </cell>
          <cell r="Z143">
            <v>0</v>
          </cell>
          <cell r="AA143">
            <v>0</v>
          </cell>
        </row>
        <row r="144">
          <cell r="B144" t="str">
            <v>KHI/HO/D/MO/PC COMP/P/88626/05/2024</v>
          </cell>
          <cell r="C144" t="str">
            <v>KHI/HO/D/MO/PC COMP/E/51797/00065/01/2025</v>
          </cell>
          <cell r="D144" t="str">
            <v>REN</v>
          </cell>
          <cell r="E144" t="str">
            <v>22/01/25</v>
          </cell>
          <cell r="F144" t="str">
            <v>31/05/2024</v>
          </cell>
          <cell r="G144" t="str">
            <v>30/05/2025</v>
          </cell>
          <cell r="H144" t="str">
            <v>08004499</v>
          </cell>
          <cell r="I144" t="str">
            <v>AL BARAKA BANK (PAKISTAN) LIMITED</v>
          </cell>
          <cell r="J144" t="str">
            <v>BANK</v>
          </cell>
          <cell r="K144" t="str">
            <v>Mr. 
HPA M/s. Al Baraka Bank (Pakistan) Limited
Mr. 
Hpa M/S. Al Baraka Bank (Pakistan) Limited 
User:Abdul   Aziz</v>
          </cell>
          <cell r="L144" t="str">
            <v>D</v>
          </cell>
          <cell r="M144" t="str">
            <v>09000221</v>
          </cell>
          <cell r="N144">
            <v>100</v>
          </cell>
          <cell r="O144" t="str">
            <v>KARACHI</v>
          </cell>
          <cell r="P144" t="str">
            <v>Po Rohi Mills Chak No. 65 Distr Kot Radha Kishan Kasur</v>
          </cell>
          <cell r="Q144" t="str">
            <v>11000003</v>
          </cell>
          <cell r="R144" t="str">
            <v>SUZUKI WAGON-R VXR</v>
          </cell>
          <cell r="S144" t="str">
            <v>2021</v>
          </cell>
          <cell r="T144" t="str">
            <v>ADH-322</v>
          </cell>
          <cell r="U144" t="str">
            <v>213505</v>
          </cell>
          <cell r="V144" t="str">
            <v>10113513</v>
          </cell>
          <cell r="W144" t="str">
            <v>05-jun-2026</v>
          </cell>
          <cell r="Y144">
            <v>-1384000</v>
          </cell>
          <cell r="Z144">
            <v>-3794</v>
          </cell>
          <cell r="AA144">
            <v>-3832</v>
          </cell>
        </row>
        <row r="145">
          <cell r="B145" t="str">
            <v>KHI/HO/D/MO/CV/P/83818/02/2024</v>
          </cell>
          <cell r="C145" t="str">
            <v>KHI/HO/D/MO/CV/E/51802/00003/01/2025</v>
          </cell>
          <cell r="D145" t="str">
            <v>REN</v>
          </cell>
          <cell r="E145" t="str">
            <v>23/01/25</v>
          </cell>
          <cell r="F145" t="str">
            <v>15/02/2024</v>
          </cell>
          <cell r="G145" t="str">
            <v>14/02/2025</v>
          </cell>
          <cell r="H145" t="str">
            <v>08004499</v>
          </cell>
          <cell r="I145" t="str">
            <v>AL BARAKA BANK (PAKISTAN) LIMITED</v>
          </cell>
          <cell r="J145" t="str">
            <v>BANK</v>
          </cell>
          <cell r="K145" t="str">
            <v>M/s. Al Baraka Bank (Pakistan) Limited
Mr. Khalid Javed  
HPA M/S Al Baraka Bank (Pakistan) Limited</v>
          </cell>
          <cell r="L145" t="str">
            <v>D</v>
          </cell>
          <cell r="M145" t="str">
            <v>09000221</v>
          </cell>
          <cell r="N145">
            <v>100</v>
          </cell>
          <cell r="O145" t="str">
            <v>ISLAMABAD</v>
          </cell>
          <cell r="P145" t="str">
            <v>Mohra Nigyal GT Road Swan Camp PO Humak Model Town Islamabad</v>
          </cell>
          <cell r="Q145" t="str">
            <v>11000003</v>
          </cell>
          <cell r="R145" t="str">
            <v>SUZUKI RAVI VX EURO II</v>
          </cell>
          <cell r="S145" t="str">
            <v>2022</v>
          </cell>
          <cell r="T145" t="str">
            <v>TD-309</v>
          </cell>
          <cell r="U145" t="str">
            <v>380138</v>
          </cell>
          <cell r="V145" t="str">
            <v>484808</v>
          </cell>
          <cell r="X145" t="str">
            <v>3</v>
          </cell>
          <cell r="Y145">
            <v>-949450</v>
          </cell>
          <cell r="Z145">
            <v>0</v>
          </cell>
          <cell r="AA145">
            <v>0</v>
          </cell>
        </row>
        <row r="146">
          <cell r="B146" t="str">
            <v>KHI/HO/D/MO/PC COMP/P/90920/06/2024</v>
          </cell>
          <cell r="C146" t="str">
            <v>KHI/HO/D/MO/PC COMP/E/51836/00051/01/2025</v>
          </cell>
          <cell r="D146" t="str">
            <v>REN</v>
          </cell>
          <cell r="E146" t="str">
            <v>24/01/25</v>
          </cell>
          <cell r="F146" t="str">
            <v>21/06/2024</v>
          </cell>
          <cell r="G146" t="str">
            <v>20/06/2025</v>
          </cell>
          <cell r="H146" t="str">
            <v>08004499</v>
          </cell>
          <cell r="I146" t="str">
            <v>AL BARAKA BANK (PAKISTAN) LIMITED</v>
          </cell>
          <cell r="J146" t="str">
            <v>BANK</v>
          </cell>
          <cell r="K146" t="str">
            <v>M/s. Al Baraka Bank (Pakistan) Limited
M/S. Al Baraka Bank (Pakistan) Limited
User:Nazim  Hussain</v>
          </cell>
          <cell r="L146" t="str">
            <v>D</v>
          </cell>
          <cell r="M146" t="str">
            <v>09000221</v>
          </cell>
          <cell r="N146">
            <v>100</v>
          </cell>
          <cell r="O146" t="str">
            <v>KARACHI</v>
          </cell>
          <cell r="P146" t="str">
            <v>H # 2 Street 2 Mohallah Akhtarabad Foji Gali Khanpur</v>
          </cell>
          <cell r="Q146" t="str">
            <v>11000003</v>
          </cell>
          <cell r="R146" t="str">
            <v>SUZUKI ALTO VXR E-2</v>
          </cell>
          <cell r="S146" t="str">
            <v>2022</v>
          </cell>
          <cell r="T146" t="str">
            <v>ALC-835</v>
          </cell>
          <cell r="U146" t="str">
            <v>6R236029</v>
          </cell>
          <cell r="V146" t="str">
            <v>1136014</v>
          </cell>
          <cell r="W146" t="str">
            <v>05-jul-2025</v>
          </cell>
          <cell r="Y146">
            <v>-1314100</v>
          </cell>
          <cell r="Z146">
            <v>-2522</v>
          </cell>
          <cell r="AA146">
            <v>-2547</v>
          </cell>
        </row>
        <row r="147">
          <cell r="B147" t="str">
            <v>KHI/HO/D/MO/PC COMP/P/86646/04/2024</v>
          </cell>
          <cell r="C147" t="str">
            <v>KHI/HO/D/MO/PC COMP/E/51847/00032/01/2025</v>
          </cell>
          <cell r="D147" t="str">
            <v>REN</v>
          </cell>
          <cell r="E147" t="str">
            <v>24/01/25</v>
          </cell>
          <cell r="F147" t="str">
            <v>13/04/2024</v>
          </cell>
          <cell r="G147" t="str">
            <v>12/04/2025</v>
          </cell>
          <cell r="H147" t="str">
            <v>08004499</v>
          </cell>
          <cell r="I147" t="str">
            <v>AL BARAKA BANK (PAKISTAN) LIMITED</v>
          </cell>
          <cell r="J147" t="str">
            <v>BANK</v>
          </cell>
          <cell r="K147" t="str">
            <v>M/s. Al Baraka Bank (Pakistan) Limited
Mr. Muhammad Amir 
HPA M/s. Al Baraka Bank (Pakistan) Limited</v>
          </cell>
          <cell r="L147" t="str">
            <v>D</v>
          </cell>
          <cell r="M147" t="str">
            <v>09000221</v>
          </cell>
          <cell r="N147">
            <v>100</v>
          </cell>
          <cell r="O147" t="str">
            <v>LAHORE</v>
          </cell>
          <cell r="P147" t="str">
            <v>H # 213 Fayyaz Block New Shoukat Town Ghazi road Lahore</v>
          </cell>
          <cell r="Q147" t="str">
            <v>11000003</v>
          </cell>
          <cell r="R147" t="str">
            <v>TOYOTA HILUX REVO G DC A/</v>
          </cell>
          <cell r="S147" t="str">
            <v>2022</v>
          </cell>
          <cell r="T147" t="str">
            <v>AJQ-328</v>
          </cell>
          <cell r="U147" t="str">
            <v>5144121</v>
          </cell>
          <cell r="V147" t="str">
            <v>5553149</v>
          </cell>
          <cell r="X147" t="str">
            <v>3</v>
          </cell>
          <cell r="Y147">
            <v>-6863750</v>
          </cell>
          <cell r="Z147">
            <v>0</v>
          </cell>
          <cell r="AA147">
            <v>0</v>
          </cell>
        </row>
        <row r="148">
          <cell r="B148" t="str">
            <v>KHI/HO/D/MO/PC COMP/P/98823/10/2024</v>
          </cell>
          <cell r="C148" t="str">
            <v>KHI/HO/D/MO/PC COMP/E/51869/00034/01/2025</v>
          </cell>
          <cell r="D148" t="str">
            <v>FRE</v>
          </cell>
          <cell r="E148" t="str">
            <v>27/01/25</v>
          </cell>
          <cell r="F148" t="str">
            <v>30/10/2024</v>
          </cell>
          <cell r="G148" t="str">
            <v>29/10/2025</v>
          </cell>
          <cell r="H148" t="str">
            <v>08004499</v>
          </cell>
          <cell r="I148" t="str">
            <v>AL BARAKA BANK (PAKISTAN) LIMITED</v>
          </cell>
          <cell r="J148" t="str">
            <v>BANK</v>
          </cell>
          <cell r="K148" t="str">
            <v>Mr. 
HPA M/s. Al Baraka Bank Pakistan Limited
Mr. Haris Zahid Butt
HPA M/s. Al Baraka Bank Pakistan Limited</v>
          </cell>
          <cell r="L148" t="str">
            <v>D</v>
          </cell>
          <cell r="M148" t="str">
            <v>09000221</v>
          </cell>
          <cell r="N148">
            <v>100</v>
          </cell>
          <cell r="P148" t="str">
            <v>H No 07 Block B-3 China Scheme Gujar Pura Lahore</v>
          </cell>
          <cell r="Q148" t="str">
            <v>11000003</v>
          </cell>
          <cell r="R148" t="str">
            <v>SUZUKI SWIFT DLX A/T NAV.</v>
          </cell>
          <cell r="S148" t="str">
            <v>2019</v>
          </cell>
          <cell r="T148" t="str">
            <v>LED-19-2722</v>
          </cell>
          <cell r="U148" t="str">
            <v>PKS13045075</v>
          </cell>
          <cell r="V148" t="str">
            <v>PK100450</v>
          </cell>
          <cell r="Y148">
            <v>-2300000</v>
          </cell>
          <cell r="Z148">
            <v>-19827</v>
          </cell>
          <cell r="AA148">
            <v>-22999</v>
          </cell>
        </row>
        <row r="149">
          <cell r="B149" t="str">
            <v>KHI/HO/D/MO/PC COMP/P/105499/01/2025</v>
          </cell>
          <cell r="C149" t="str">
            <v>KHI/HO/D/MO/PC COMP/E/51914/00132/01/2025</v>
          </cell>
          <cell r="D149" t="str">
            <v>REN</v>
          </cell>
          <cell r="E149" t="str">
            <v>28/01/25</v>
          </cell>
          <cell r="F149" t="str">
            <v>04/01/2025</v>
          </cell>
          <cell r="G149" t="str">
            <v>03/01/2026</v>
          </cell>
          <cell r="H149" t="str">
            <v>08004499</v>
          </cell>
          <cell r="I149" t="str">
            <v>AL BARAKA BANK (PAKISTAN) LIMITED</v>
          </cell>
          <cell r="J149" t="str">
            <v>BANK</v>
          </cell>
          <cell r="K149" t="str">
            <v>Al Baraka Bank Pakistan Limited
Mr. 
Al Baraka Bank Pakistan Limited 
User: Ali  Raza</v>
          </cell>
          <cell r="L149" t="str">
            <v>D</v>
          </cell>
          <cell r="M149" t="str">
            <v>09000221</v>
          </cell>
          <cell r="N149">
            <v>100</v>
          </cell>
          <cell r="O149" t="str">
            <v>KARACHI</v>
          </cell>
          <cell r="P149" t="str">
            <v>Hussain Street Khokhar Road Badami Bagh Lahore</v>
          </cell>
          <cell r="Q149" t="str">
            <v>11000003</v>
          </cell>
          <cell r="R149" t="str">
            <v>SUZUKI ALTO VX EURO II</v>
          </cell>
          <cell r="S149" t="str">
            <v>2021</v>
          </cell>
          <cell r="T149" t="str">
            <v>AGW-475</v>
          </cell>
          <cell r="U149" t="str">
            <v>6R197046</v>
          </cell>
          <cell r="V149" t="str">
            <v>1097039</v>
          </cell>
          <cell r="W149" t="str">
            <v>05-jan-2027</v>
          </cell>
          <cell r="Y149">
            <v>-890400</v>
          </cell>
          <cell r="Z149">
            <v>-19190</v>
          </cell>
          <cell r="AA149">
            <v>-22260</v>
          </cell>
        </row>
        <row r="150">
          <cell r="B150" t="str">
            <v>KHI/HO/D/MO/PC COMP/P/86550/04/2024</v>
          </cell>
          <cell r="C150" t="str">
            <v>KHI/HO/D/MO/PC COMP/E/51947/00029/01/2025</v>
          </cell>
          <cell r="D150" t="str">
            <v>FRE</v>
          </cell>
          <cell r="E150" t="str">
            <v>29/01/25</v>
          </cell>
          <cell r="F150" t="str">
            <v>24/04/2024</v>
          </cell>
          <cell r="G150" t="str">
            <v>23/04/2025</v>
          </cell>
          <cell r="H150" t="str">
            <v>08004499</v>
          </cell>
          <cell r="I150" t="str">
            <v>AL BARAKA BANK (PAKISTAN) LIMITED</v>
          </cell>
          <cell r="J150" t="str">
            <v>BANK</v>
          </cell>
          <cell r="K150" t="str">
            <v>Mr.
HPA M/s. Al Baraka Bank Pakistan Limited
Mr. Usama Jameel  
HPA M/s. Al Baraka Bank Pakistan Limited</v>
          </cell>
          <cell r="L150" t="str">
            <v>D</v>
          </cell>
          <cell r="M150" t="str">
            <v>09000221</v>
          </cell>
          <cell r="N150">
            <v>100</v>
          </cell>
          <cell r="P150" t="str">
            <v>H # CB-1078 Mohallah Riasat Abad Wah Cantt Rawalpindi</v>
          </cell>
          <cell r="Q150" t="str">
            <v>11000003</v>
          </cell>
          <cell r="R150" t="str">
            <v>HONDA CIVIC VTI  ORIEL PT</v>
          </cell>
          <cell r="S150" t="str">
            <v>2018</v>
          </cell>
          <cell r="T150" t="str">
            <v>AHZ-850</v>
          </cell>
          <cell r="U150" t="str">
            <v>12928378</v>
          </cell>
          <cell r="V150" t="str">
            <v>032701</v>
          </cell>
          <cell r="X150" t="str">
            <v>3</v>
          </cell>
          <cell r="Y150">
            <v>-5000000</v>
          </cell>
          <cell r="Z150">
            <v>0</v>
          </cell>
          <cell r="AA150">
            <v>0</v>
          </cell>
        </row>
        <row r="151">
          <cell r="B151" t="str">
            <v>KHI/HO/D/MO/CV/P/103846/12/2024</v>
          </cell>
          <cell r="C151" t="str">
            <v>KHI/HO/D/MO/CV/E/52028/00001/02/2025</v>
          </cell>
          <cell r="D151" t="str">
            <v>FRE</v>
          </cell>
          <cell r="E151" t="str">
            <v>04/02/25</v>
          </cell>
          <cell r="F151" t="str">
            <v>12/12/2024</v>
          </cell>
          <cell r="G151" t="str">
            <v>11/12/2025</v>
          </cell>
          <cell r="H151" t="str">
            <v>08004499</v>
          </cell>
          <cell r="I151" t="str">
            <v>AL BARAKA BANK (PAKISTAN) LIMITED</v>
          </cell>
          <cell r="J151" t="str">
            <v>BANK</v>
          </cell>
          <cell r="K151" t="str">
            <v>Mr. 
HPA M/s. Al Baraka Bank Pakistan Limited
Mr. Ali
HPA M/s. Al Baraka Bank Pakistan Limited</v>
          </cell>
          <cell r="L151" t="str">
            <v>D</v>
          </cell>
          <cell r="M151" t="str">
            <v>09000221</v>
          </cell>
          <cell r="N151">
            <v>100</v>
          </cell>
          <cell r="P151" t="str">
            <v>H No 2012 990 Javed Street Karma Wali Masjid Islam Guni Lahore</v>
          </cell>
          <cell r="Q151" t="str">
            <v>11000003</v>
          </cell>
          <cell r="R151" t="str">
            <v>SUZUKI RAVI PICK UP</v>
          </cell>
          <cell r="S151" t="str">
            <v>2024</v>
          </cell>
          <cell r="U151" t="str">
            <v>394454</v>
          </cell>
          <cell r="V151" t="str">
            <v>499094</v>
          </cell>
          <cell r="Y151">
            <v>-1856000</v>
          </cell>
          <cell r="Z151">
            <v>-19731</v>
          </cell>
          <cell r="AA151">
            <v>-22887</v>
          </cell>
        </row>
        <row r="152">
          <cell r="B152" t="str">
            <v>KHI/HO/D/MO/PC COMP/P/103201/12/2024</v>
          </cell>
          <cell r="C152" t="str">
            <v>KHI/HO/D/MO/PC COMP/E/52031/00006/02/2025</v>
          </cell>
          <cell r="D152" t="str">
            <v>FRE</v>
          </cell>
          <cell r="E152" t="str">
            <v>04/02/25</v>
          </cell>
          <cell r="F152" t="str">
            <v>05/12/2024</v>
          </cell>
          <cell r="G152" t="str">
            <v>04/12/2025</v>
          </cell>
          <cell r="H152" t="str">
            <v>08004499</v>
          </cell>
          <cell r="I152" t="str">
            <v>AL BARAKA BANK (PAKISTAN) LIMITED</v>
          </cell>
          <cell r="J152" t="str">
            <v>BANK</v>
          </cell>
          <cell r="K152" t="str">
            <v>Mr. 
HPA M/s. Al Baraka Bank (Pakistan) Limited
Mr. Muhammad Akber
M/s. Al Baraka Bank (Pakistan) Limited</v>
          </cell>
          <cell r="L152" t="str">
            <v>D</v>
          </cell>
          <cell r="M152" t="str">
            <v>09000221</v>
          </cell>
          <cell r="N152">
            <v>100</v>
          </cell>
          <cell r="P152" t="str">
            <v>H No 124 Sector 4/D Orangi Town Karachi</v>
          </cell>
          <cell r="Q152" t="str">
            <v>11000003</v>
          </cell>
          <cell r="R152" t="str">
            <v>SUZUKI ALTO</v>
          </cell>
          <cell r="S152" t="str">
            <v>2021</v>
          </cell>
          <cell r="T152" t="str">
            <v>BVA-268</v>
          </cell>
          <cell r="U152" t="str">
            <v>R185593</v>
          </cell>
          <cell r="V152" t="str">
            <v>H1085501</v>
          </cell>
          <cell r="Y152">
            <v>2200000</v>
          </cell>
          <cell r="Z152">
            <v>0</v>
          </cell>
          <cell r="AA152">
            <v>0</v>
          </cell>
        </row>
        <row r="153">
          <cell r="B153" t="str">
            <v>KHI/HO/D/MO/PC COMP/P/103201/12/2024</v>
          </cell>
          <cell r="C153" t="str">
            <v>KHI/HO/D/MO/PC COMP/E/52031/00001/02/2025</v>
          </cell>
          <cell r="D153" t="str">
            <v>FRE</v>
          </cell>
          <cell r="E153" t="str">
            <v>04/02/25</v>
          </cell>
          <cell r="F153" t="str">
            <v>02/12/2024</v>
          </cell>
          <cell r="G153" t="str">
            <v>01/12/2025</v>
          </cell>
          <cell r="H153" t="str">
            <v>08004499</v>
          </cell>
          <cell r="I153" t="str">
            <v>AL BARAKA BANK (PAKISTAN) LIMITED</v>
          </cell>
          <cell r="J153" t="str">
            <v>BANK</v>
          </cell>
          <cell r="K153" t="str">
            <v>Mr. 
HPA M/s. Al Baraka Bank (Pakistan) Limited
Mr. Muhammad Aslam
HPA Mr. Al Baraka Bank Pakistan Limited</v>
          </cell>
          <cell r="L153" t="str">
            <v>D</v>
          </cell>
          <cell r="M153" t="str">
            <v>09000221</v>
          </cell>
          <cell r="N153">
            <v>100</v>
          </cell>
          <cell r="P153" t="str">
            <v>H No 146 C Zaman Park Thoker Niaz Baig Near Jutt Chowk Mohallah LDA Society Phase 1 Lahore</v>
          </cell>
          <cell r="Q153" t="str">
            <v>11000003</v>
          </cell>
          <cell r="R153" t="str">
            <v>SUZUKI ALTO VX</v>
          </cell>
          <cell r="S153" t="str">
            <v>2024</v>
          </cell>
          <cell r="T153" t="str">
            <v>ATP-677</v>
          </cell>
          <cell r="U153" t="str">
            <v>6R328756</v>
          </cell>
          <cell r="V153" t="str">
            <v>H1228748</v>
          </cell>
          <cell r="Y153">
            <v>-376000</v>
          </cell>
          <cell r="Z153">
            <v>-6483</v>
          </cell>
          <cell r="AA153">
            <v>-7520</v>
          </cell>
        </row>
        <row r="154">
          <cell r="B154" t="str">
            <v>KHI/HO/D/MO/PC COMP/P/84285/02/2024</v>
          </cell>
          <cell r="C154" t="str">
            <v>KHI/HO/D/MO/PC COMP/E/52075/00005/02/2025</v>
          </cell>
          <cell r="D154" t="str">
            <v>REN</v>
          </cell>
          <cell r="E154" t="str">
            <v>06/02/25</v>
          </cell>
          <cell r="F154" t="str">
            <v>09/02/2024</v>
          </cell>
          <cell r="G154" t="str">
            <v>08/02/2025</v>
          </cell>
          <cell r="H154" t="str">
            <v>08004499</v>
          </cell>
          <cell r="I154" t="str">
            <v>AL BARAKA BANK (PAKISTAN) LIMITED</v>
          </cell>
          <cell r="J154" t="str">
            <v>BANK</v>
          </cell>
          <cell r="K154" t="str">
            <v>HPA M/s. Al Baraka Bank Pakistan Limited
Mr. Mahmood Ahmad   
HPA M/s. Al Baraka Bank Pakistan Limited</v>
          </cell>
          <cell r="L154" t="str">
            <v>D</v>
          </cell>
          <cell r="M154" t="str">
            <v>09000221</v>
          </cell>
          <cell r="N154">
            <v>100</v>
          </cell>
          <cell r="O154" t="str">
            <v>ISLAMABAD</v>
          </cell>
          <cell r="P154" t="str">
            <v>House No. 57 Street 5 Sector E-11/1 Islamabad</v>
          </cell>
          <cell r="Q154" t="str">
            <v>11000003</v>
          </cell>
          <cell r="R154" t="str">
            <v>SUZUKI BOLAN STD VX EURO</v>
          </cell>
          <cell r="S154" t="str">
            <v>2021</v>
          </cell>
          <cell r="T154" t="str">
            <v>ASU-920</v>
          </cell>
          <cell r="U154" t="str">
            <v>1009049</v>
          </cell>
          <cell r="V154" t="str">
            <v>01125555</v>
          </cell>
          <cell r="X154" t="str">
            <v>3</v>
          </cell>
          <cell r="Y154">
            <v>-907200</v>
          </cell>
          <cell r="Z154">
            <v>0</v>
          </cell>
          <cell r="AA154">
            <v>0</v>
          </cell>
        </row>
        <row r="155">
          <cell r="B155" t="str">
            <v>KHI/HO/D/MO/PC COMP/P/96721/09/2024</v>
          </cell>
          <cell r="C155" t="str">
            <v>KHI/HO/D/MO/PC COMP/E/52077/00004/02/2025</v>
          </cell>
          <cell r="D155" t="str">
            <v>REN</v>
          </cell>
          <cell r="E155" t="str">
            <v>06/02/25</v>
          </cell>
          <cell r="F155" t="str">
            <v>06/09/2024</v>
          </cell>
          <cell r="G155" t="str">
            <v>05/09/2025</v>
          </cell>
          <cell r="H155" t="str">
            <v>08004499</v>
          </cell>
          <cell r="I155" t="str">
            <v>AL BARAKA BANK (PAKISTAN) LIMITED</v>
          </cell>
          <cell r="J155" t="str">
            <v>BANK</v>
          </cell>
          <cell r="K155" t="str">
            <v>HPA M/s. Al Baraka Bank (Pakistan) Limited
Mr. Dilshad Hussain  
HPA M/s. Al Baraka Bank (Pakistan) Limited</v>
          </cell>
          <cell r="L155" t="str">
            <v>D</v>
          </cell>
          <cell r="M155" t="str">
            <v>09000221</v>
          </cell>
          <cell r="N155">
            <v>100</v>
          </cell>
          <cell r="O155" t="str">
            <v>LAHORE</v>
          </cell>
          <cell r="P155" t="str">
            <v>House No. 173 S Block Model Town Lahore</v>
          </cell>
          <cell r="Q155" t="str">
            <v>11000003</v>
          </cell>
          <cell r="R155" t="str">
            <v>SUZUKI WAGON-R VXL E2</v>
          </cell>
          <cell r="S155" t="str">
            <v>2021</v>
          </cell>
          <cell r="T155" t="str">
            <v>AEV-672</v>
          </cell>
          <cell r="U155" t="str">
            <v>219848</v>
          </cell>
          <cell r="V155" t="str">
            <v>10119798</v>
          </cell>
          <cell r="X155" t="str">
            <v>3</v>
          </cell>
          <cell r="Y155">
            <v>912000</v>
          </cell>
          <cell r="Z155">
            <v>10603</v>
          </cell>
          <cell r="AA155">
            <v>12300</v>
          </cell>
        </row>
        <row r="156">
          <cell r="B156" t="str">
            <v>KHI/HO/D/MO/PC COMP/P/96721/09/2024</v>
          </cell>
          <cell r="C156" t="str">
            <v>KHI/HO/D/MO/PC COMP/E/52077/00015/02/2025</v>
          </cell>
          <cell r="D156" t="str">
            <v>REN</v>
          </cell>
          <cell r="E156" t="str">
            <v>06/02/25</v>
          </cell>
          <cell r="F156" t="str">
            <v>17/09/2024</v>
          </cell>
          <cell r="G156" t="str">
            <v>16/09/2025</v>
          </cell>
          <cell r="H156" t="str">
            <v>08004499</v>
          </cell>
          <cell r="I156" t="str">
            <v>AL BARAKA BANK (PAKISTAN) LIMITED</v>
          </cell>
          <cell r="J156" t="str">
            <v>BANK</v>
          </cell>
          <cell r="K156" t="str">
            <v>HPA M/s. Al Baraka Bank (Pakistan) Limited
Mr. Abrar Ahmad Khan                 
HPA M/s. Al Baraka Bank (Pakistan) Limited</v>
          </cell>
          <cell r="L156" t="str">
            <v>D</v>
          </cell>
          <cell r="M156" t="str">
            <v>09000221</v>
          </cell>
          <cell r="N156">
            <v>100</v>
          </cell>
          <cell r="O156" t="str">
            <v>RAWALPINDI</v>
          </cell>
          <cell r="P156" t="str">
            <v>House No. E-106 Satellite Town Block E Rawalpindi</v>
          </cell>
          <cell r="Q156" t="str">
            <v>11000003</v>
          </cell>
          <cell r="R156" t="str">
            <v>SUZUKI CULTUS VXL EURO II</v>
          </cell>
          <cell r="S156" t="str">
            <v>2021</v>
          </cell>
          <cell r="T156" t="str">
            <v>AVC-778</v>
          </cell>
          <cell r="U156" t="str">
            <v>183570</v>
          </cell>
          <cell r="V156" t="str">
            <v>10083560</v>
          </cell>
          <cell r="X156" t="str">
            <v>3</v>
          </cell>
          <cell r="Y156">
            <v>-1464000</v>
          </cell>
          <cell r="Z156">
            <v>-7888</v>
          </cell>
          <cell r="AA156">
            <v>-7967</v>
          </cell>
        </row>
        <row r="157">
          <cell r="B157" t="str">
            <v>KHI/HO/D/MO/PC COMP/P/96721/09/2024</v>
          </cell>
          <cell r="C157" t="str">
            <v>KHI/HO/D/MO/PC COMP/E/52077/00019/02/2025</v>
          </cell>
          <cell r="D157" t="str">
            <v>REN</v>
          </cell>
          <cell r="E157" t="str">
            <v>06/02/25</v>
          </cell>
          <cell r="F157" t="str">
            <v>21/09/2024</v>
          </cell>
          <cell r="G157" t="str">
            <v>20/09/2025</v>
          </cell>
          <cell r="H157" t="str">
            <v>08004499</v>
          </cell>
          <cell r="I157" t="str">
            <v>AL BARAKA BANK (PAKISTAN) LIMITED</v>
          </cell>
          <cell r="J157" t="str">
            <v>BANK</v>
          </cell>
          <cell r="K157" t="str">
            <v>HPA M/s. Al Baraka Bank (Pakistan) Limited
Mr. Imtiaz Ahmed                     
HPA M/s. Al Baraka Bank (Pakistan) Limited</v>
          </cell>
          <cell r="L157" t="str">
            <v>D</v>
          </cell>
          <cell r="M157" t="str">
            <v>09000221</v>
          </cell>
          <cell r="N157">
            <v>100</v>
          </cell>
          <cell r="O157" t="str">
            <v>FAISALABAD</v>
          </cell>
          <cell r="P157" t="str">
            <v>House No. 458-A Gulshan Colony Faisalabad</v>
          </cell>
          <cell r="Q157" t="str">
            <v>11000003</v>
          </cell>
          <cell r="R157" t="str">
            <v>SUZUKI WAGON-R VXL E2</v>
          </cell>
          <cell r="S157" t="str">
            <v>2021</v>
          </cell>
          <cell r="T157" t="str">
            <v>AVC-458</v>
          </cell>
          <cell r="U157" t="str">
            <v>PK10B319808</v>
          </cell>
          <cell r="V157" t="str">
            <v>A1J310PK10119807</v>
          </cell>
          <cell r="X157" t="str">
            <v>3</v>
          </cell>
          <cell r="Y157">
            <v>-1288000</v>
          </cell>
          <cell r="Z157">
            <v>-6939</v>
          </cell>
          <cell r="AA157">
            <v>-7008</v>
          </cell>
        </row>
        <row r="158">
          <cell r="B158" t="str">
            <v>KHI/HO/D/MO/PC COMP/P/96721/09/2024</v>
          </cell>
          <cell r="C158" t="str">
            <v>KHI/HO/D/MO/PC COMP/E/52077/00036/02/2025</v>
          </cell>
          <cell r="D158" t="str">
            <v>REN</v>
          </cell>
          <cell r="E158" t="str">
            <v>06/02/25</v>
          </cell>
          <cell r="F158" t="str">
            <v>30/09/2024</v>
          </cell>
          <cell r="G158" t="str">
            <v>29/09/2025</v>
          </cell>
          <cell r="H158" t="str">
            <v>08004499</v>
          </cell>
          <cell r="I158" t="str">
            <v>AL BARAKA BANK (PAKISTAN) LIMITED</v>
          </cell>
          <cell r="J158" t="str">
            <v>BANK</v>
          </cell>
          <cell r="K158" t="str">
            <v>HPA M/s. Al Baraka Bank (Pakistan) Limited
Mr. Ehsan Ali 
HPA M/s. Al Baraka Bank (Pakistan) Limited</v>
          </cell>
          <cell r="L158" t="str">
            <v>D</v>
          </cell>
          <cell r="M158" t="str">
            <v>09000221</v>
          </cell>
          <cell r="N158">
            <v>100</v>
          </cell>
          <cell r="O158" t="str">
            <v>LAHORE</v>
          </cell>
          <cell r="P158" t="str">
            <v>House No. 159 A-1 Mohallah Johar Town Lahore</v>
          </cell>
          <cell r="Q158" t="str">
            <v>11000003</v>
          </cell>
          <cell r="R158" t="str">
            <v>SUZUKI ALTO VXL AGS E-2</v>
          </cell>
          <cell r="S158" t="str">
            <v>2019</v>
          </cell>
          <cell r="T158" t="str">
            <v>LE-19A-8146</v>
          </cell>
          <cell r="U158" t="str">
            <v>6R113663</v>
          </cell>
          <cell r="V158" t="str">
            <v>306H1013648</v>
          </cell>
          <cell r="X158" t="str">
            <v>3</v>
          </cell>
          <cell r="Y158">
            <v>892000</v>
          </cell>
          <cell r="Z158">
            <v>12114</v>
          </cell>
          <cell r="AA158">
            <v>14052</v>
          </cell>
        </row>
        <row r="159">
          <cell r="B159" t="str">
            <v>KHI/HO/D/MO/PC COMP/P/103764/12/2024</v>
          </cell>
          <cell r="C159" t="str">
            <v>KHI/HO/D/MO/PC COMP/E/52157/00029/02/2025</v>
          </cell>
          <cell r="D159" t="str">
            <v>REN</v>
          </cell>
          <cell r="E159" t="str">
            <v>10/02/25</v>
          </cell>
          <cell r="F159" t="str">
            <v>11/12/2024</v>
          </cell>
          <cell r="G159" t="str">
            <v>10/12/2025</v>
          </cell>
          <cell r="H159" t="str">
            <v>08004499</v>
          </cell>
          <cell r="I159" t="str">
            <v>AL BARAKA BANK (PAKISTAN) LIMITED</v>
          </cell>
          <cell r="J159" t="str">
            <v>BANK</v>
          </cell>
          <cell r="K159" t="str">
            <v>M/s. Al Baraka Bank (Pakistan) Limited
M/S. Al Baraka Bank (Pakistan) Limited 
User: Muhammad Tayyab Lakhvi</v>
          </cell>
          <cell r="L159" t="str">
            <v>D</v>
          </cell>
          <cell r="M159" t="str">
            <v>09000221</v>
          </cell>
          <cell r="N159">
            <v>100</v>
          </cell>
          <cell r="O159" t="str">
            <v>KARACHI</v>
          </cell>
          <cell r="P159" t="str">
            <v>Main Road Mohallah Green City Phasse 2 Deepalpur</v>
          </cell>
          <cell r="Q159" t="str">
            <v>11000003</v>
          </cell>
          <cell r="R159" t="str">
            <v>SUZUKI WAGON-R VXL E2</v>
          </cell>
          <cell r="S159" t="str">
            <v>2019</v>
          </cell>
          <cell r="T159" t="str">
            <v>LEF-19-8890</v>
          </cell>
          <cell r="U159" t="str">
            <v>PK10B197443</v>
          </cell>
          <cell r="V159" t="str">
            <v>PK10097547</v>
          </cell>
          <cell r="W159" t="str">
            <v>12-feb-2029</v>
          </cell>
          <cell r="Y159">
            <v>2137500</v>
          </cell>
          <cell r="Z159">
            <v>33420</v>
          </cell>
          <cell r="AA159">
            <v>38768</v>
          </cell>
        </row>
        <row r="160">
          <cell r="B160" t="str">
            <v>KHI/HO/D/MO/PC COMP/P/90920/06/2024</v>
          </cell>
          <cell r="C160" t="str">
            <v>KHI/HO/D/MO/PC COMP/E/52168/00117/02/2025</v>
          </cell>
          <cell r="D160" t="str">
            <v>REN</v>
          </cell>
          <cell r="E160" t="str">
            <v>10/02/25</v>
          </cell>
          <cell r="F160" t="str">
            <v>24/06/2024</v>
          </cell>
          <cell r="G160" t="str">
            <v>23/06/2025</v>
          </cell>
          <cell r="H160" t="str">
            <v>08004499</v>
          </cell>
          <cell r="I160" t="str">
            <v>AL BARAKA BANK (PAKISTAN) LIMITED</v>
          </cell>
          <cell r="J160" t="str">
            <v>BANK</v>
          </cell>
          <cell r="K160" t="str">
            <v>M/s. Al Baraka Bank (Pakistan) Limited
M/S. Al Baraka Bank (Pakistan) Limited
User:Ali  Asghar</v>
          </cell>
          <cell r="L160" t="str">
            <v>D</v>
          </cell>
          <cell r="M160" t="str">
            <v>09000221</v>
          </cell>
          <cell r="N160">
            <v>100</v>
          </cell>
          <cell r="O160" t="str">
            <v>KARACHI</v>
          </cell>
          <cell r="P160" t="str">
            <v>House No. P-147 Street 08 Mohallah Altaf Ghani Faisalabad</v>
          </cell>
          <cell r="Q160" t="str">
            <v>11000003</v>
          </cell>
          <cell r="R160" t="str">
            <v>HONDA CIVIC VTI  ORIEL PT</v>
          </cell>
          <cell r="S160" t="str">
            <v>2021</v>
          </cell>
          <cell r="T160" t="str">
            <v>AUY-122</v>
          </cell>
          <cell r="U160" t="str">
            <v>R18Z16921412</v>
          </cell>
          <cell r="V160" t="str">
            <v>NFBFC6669MR073802</v>
          </cell>
          <cell r="W160" t="str">
            <v>06-jul-2026</v>
          </cell>
          <cell r="Y160">
            <v>-3306800</v>
          </cell>
          <cell r="Z160">
            <v>-5439</v>
          </cell>
          <cell r="AA160">
            <v>-5493</v>
          </cell>
        </row>
        <row r="161">
          <cell r="B161" t="str">
            <v>KHI/HO/D/MO/PC COMP/P/90920/06/2024</v>
          </cell>
          <cell r="C161" t="str">
            <v>KHI/HO/D/MO/PC COMP/E/52168/00155/02/2025</v>
          </cell>
          <cell r="D161" t="str">
            <v>REN</v>
          </cell>
          <cell r="E161" t="str">
            <v>10/02/25</v>
          </cell>
          <cell r="F161" t="str">
            <v>23/06/2024</v>
          </cell>
          <cell r="G161" t="str">
            <v>22/06/2025</v>
          </cell>
          <cell r="H161" t="str">
            <v>08004499</v>
          </cell>
          <cell r="I161" t="str">
            <v>AL BARAKA BANK (PAKISTAN) LIMITED</v>
          </cell>
          <cell r="J161" t="str">
            <v>BANK</v>
          </cell>
          <cell r="K161" t="str">
            <v>M/s. Al Baraka Bank (Pakistan) Limited
M/S. Al Baraka Bank (Pakistan) Limited
User:Muhammad  Saleem</v>
          </cell>
          <cell r="L161" t="str">
            <v>D</v>
          </cell>
          <cell r="M161" t="str">
            <v>09000221</v>
          </cell>
          <cell r="N161">
            <v>100</v>
          </cell>
          <cell r="O161" t="str">
            <v>KARACHI</v>
          </cell>
          <cell r="P161" t="str">
            <v>House No. 181 F Punjab Co Operative Housing Society Lahore</v>
          </cell>
          <cell r="Q161" t="str">
            <v>11000003</v>
          </cell>
          <cell r="R161" t="str">
            <v>SUZUKI WAGON-R VXL E2</v>
          </cell>
          <cell r="S161" t="str">
            <v>2019</v>
          </cell>
          <cell r="T161" t="str">
            <v>LEB-20-8359</v>
          </cell>
          <cell r="U161" t="str">
            <v>202197</v>
          </cell>
          <cell r="V161" t="str">
            <v>10102175</v>
          </cell>
          <cell r="W161" t="str">
            <v>05-jul-2025</v>
          </cell>
          <cell r="Y161">
            <v>-1271250</v>
          </cell>
          <cell r="Z161">
            <v>-5227</v>
          </cell>
          <cell r="AA161">
            <v>-5279</v>
          </cell>
        </row>
        <row r="162">
          <cell r="B162" t="str">
            <v>KHI/HO/D/MO/PC COMP/P/105499/01/2025</v>
          </cell>
          <cell r="C162" t="str">
            <v>KHI/HO/D/MO/PC COMP/E/52186/00093/02/2025</v>
          </cell>
          <cell r="D162" t="str">
            <v>REN</v>
          </cell>
          <cell r="E162" t="str">
            <v>11/02/25</v>
          </cell>
          <cell r="F162" t="str">
            <v>01/02/2025</v>
          </cell>
          <cell r="G162" t="str">
            <v>31/01/2026</v>
          </cell>
          <cell r="H162" t="str">
            <v>08004499</v>
          </cell>
          <cell r="I162" t="str">
            <v>AL BARAKA BANK (PAKISTAN) LIMITED</v>
          </cell>
          <cell r="J162" t="str">
            <v>BANK</v>
          </cell>
          <cell r="K162" t="str">
            <v>Al Baraka Bank Pakistan Limited
Mr. 
Al Baraka Bank Pakistan Limited 
User: Maqbool  Ahmed</v>
          </cell>
          <cell r="L162" t="str">
            <v>D</v>
          </cell>
          <cell r="M162" t="str">
            <v>09000221</v>
          </cell>
          <cell r="N162">
            <v>100</v>
          </cell>
          <cell r="O162" t="str">
            <v>KARACHI</v>
          </cell>
          <cell r="P162" t="str">
            <v>House No. N-645 Sector 11-J North Karachi Karachi</v>
          </cell>
          <cell r="Q162" t="str">
            <v>11000003</v>
          </cell>
          <cell r="R162" t="str">
            <v>TOYOTA COROLLA ALTIS GRAN</v>
          </cell>
          <cell r="S162" t="str">
            <v>2018</v>
          </cell>
          <cell r="T162" t="str">
            <v>BPG-599</v>
          </cell>
          <cell r="U162" t="str">
            <v>Q337547</v>
          </cell>
          <cell r="V162" t="str">
            <v>7036359</v>
          </cell>
          <cell r="W162" t="str">
            <v>05-jan-2026</v>
          </cell>
          <cell r="Y162">
            <v>-1887600</v>
          </cell>
          <cell r="Z162">
            <v>-61022</v>
          </cell>
          <cell r="AA162">
            <v>-70785</v>
          </cell>
        </row>
        <row r="163">
          <cell r="B163" t="str">
            <v>KHI/HO/D/MO/PC COMP/P/105499/01/2025</v>
          </cell>
          <cell r="C163" t="str">
            <v>KHI/HO/D/MO/PC COMP/E/52186/00094/02/2025</v>
          </cell>
          <cell r="D163" t="str">
            <v>REN</v>
          </cell>
          <cell r="E163" t="str">
            <v>11/02/25</v>
          </cell>
          <cell r="F163" t="str">
            <v>01/02/2025</v>
          </cell>
          <cell r="G163" t="str">
            <v>31/01/2026</v>
          </cell>
          <cell r="H163" t="str">
            <v>08004499</v>
          </cell>
          <cell r="I163" t="str">
            <v>AL BARAKA BANK (PAKISTAN) LIMITED</v>
          </cell>
          <cell r="J163" t="str">
            <v>BANK</v>
          </cell>
          <cell r="K163" t="str">
            <v>Al Baraka Bank Pakistan Limited
Al Baraka Bank Pakistan Limited 
User: Irtaza Jaffry</v>
          </cell>
          <cell r="L163" t="str">
            <v>D</v>
          </cell>
          <cell r="M163" t="str">
            <v>09000221</v>
          </cell>
          <cell r="N163">
            <v>100</v>
          </cell>
          <cell r="O163" t="str">
            <v>KARACHI</v>
          </cell>
          <cell r="P163" t="str">
            <v>H#. 88 Block C Usman Ghani Lane Military Accounts, Lahore</v>
          </cell>
          <cell r="Q163" t="str">
            <v>11000003</v>
          </cell>
          <cell r="R163" t="str">
            <v>SUZUKI CULTUS VXR</v>
          </cell>
          <cell r="S163" t="str">
            <v>2019</v>
          </cell>
          <cell r="T163" t="str">
            <v>LEB-19-1932</v>
          </cell>
          <cell r="U163" t="str">
            <v>137020</v>
          </cell>
          <cell r="V163" t="str">
            <v>10037020</v>
          </cell>
          <cell r="W163" t="str">
            <v>05-feb-2026</v>
          </cell>
          <cell r="Y163">
            <v>-916500</v>
          </cell>
          <cell r="Z163">
            <v>-29629</v>
          </cell>
          <cell r="AA163">
            <v>-34369</v>
          </cell>
        </row>
        <row r="164">
          <cell r="B164" t="str">
            <v>KHI/HO/D/MO/PC COMP/P/105499/01/2025</v>
          </cell>
          <cell r="C164" t="str">
            <v>KHI/HO/D/MO/PC COMP/E/52186/00140/02/2025</v>
          </cell>
          <cell r="D164" t="str">
            <v>REN</v>
          </cell>
          <cell r="E164" t="str">
            <v>11/02/25</v>
          </cell>
          <cell r="F164" t="str">
            <v>04/01/2025</v>
          </cell>
          <cell r="G164" t="str">
            <v>03/01/2026</v>
          </cell>
          <cell r="H164" t="str">
            <v>08004499</v>
          </cell>
          <cell r="I164" t="str">
            <v>AL BARAKA BANK (PAKISTAN) LIMITED</v>
          </cell>
          <cell r="J164" t="str">
            <v>BANK</v>
          </cell>
          <cell r="K164" t="str">
            <v>Al Baraka Bank Pakistan Limited
Mr. 
Al Baraka Bank Pakistan Limited 
User: Wajid  Ali</v>
          </cell>
          <cell r="L164" t="str">
            <v>D</v>
          </cell>
          <cell r="M164" t="str">
            <v>09000221</v>
          </cell>
          <cell r="N164">
            <v>100</v>
          </cell>
          <cell r="O164" t="str">
            <v>KARACHI</v>
          </cell>
          <cell r="P164" t="str">
            <v>H # 1 Rehmat Colony Near Shahbaz Book Center Wandala Road Shahdrah Lahore</v>
          </cell>
          <cell r="Q164" t="str">
            <v>11000003</v>
          </cell>
          <cell r="R164" t="str">
            <v>SUZUKI WAGON-R VXL E2</v>
          </cell>
          <cell r="S164" t="str">
            <v>2015</v>
          </cell>
          <cell r="T164" t="str">
            <v>LE-16-5878</v>
          </cell>
          <cell r="U164" t="str">
            <v>110106</v>
          </cell>
          <cell r="V164" t="str">
            <v>10010103</v>
          </cell>
          <cell r="W164" t="str">
            <v>05-jan-2027</v>
          </cell>
          <cell r="Y164">
            <v>-1080000</v>
          </cell>
          <cell r="Z164">
            <v>-16293</v>
          </cell>
          <cell r="AA164">
            <v>-18900</v>
          </cell>
        </row>
        <row r="165">
          <cell r="B165" t="str">
            <v>KHI/HO/D/MO/PC COMP/P/105499/01/2025</v>
          </cell>
          <cell r="C165" t="str">
            <v>KHI/HO/D/MO/PC COMP/E/52186/00006/02/2025</v>
          </cell>
          <cell r="D165" t="str">
            <v>REN</v>
          </cell>
          <cell r="E165" t="str">
            <v>11/02/25</v>
          </cell>
          <cell r="F165" t="str">
            <v>15/01/2025</v>
          </cell>
          <cell r="G165" t="str">
            <v>14/01/2026</v>
          </cell>
          <cell r="H165" t="str">
            <v>08004499</v>
          </cell>
          <cell r="I165" t="str">
            <v>AL BARAKA BANK (PAKISTAN) LIMITED</v>
          </cell>
          <cell r="J165" t="str">
            <v>BANK</v>
          </cell>
          <cell r="K165" t="str">
            <v>Al Baraka Bank Pakistan Limited
Mr. 
Al Baraka Bank Pakistan Limited 
User: Hafiz Shakil Ahmed Qureshi</v>
          </cell>
          <cell r="L165" t="str">
            <v>D</v>
          </cell>
          <cell r="M165" t="str">
            <v>09000221</v>
          </cell>
          <cell r="N165">
            <v>100</v>
          </cell>
          <cell r="O165" t="str">
            <v>KARACHI</v>
          </cell>
          <cell r="P165" t="str">
            <v>H No 21 St 28 F-6/1 Islamabad</v>
          </cell>
          <cell r="Q165" t="str">
            <v>11000003</v>
          </cell>
          <cell r="R165" t="str">
            <v>SUZUKI CULTUS AGS</v>
          </cell>
          <cell r="S165" t="str">
            <v>2021</v>
          </cell>
          <cell r="T165" t="str">
            <v>AVJ-278</v>
          </cell>
          <cell r="U165" t="str">
            <v>171324</v>
          </cell>
          <cell r="V165" t="str">
            <v>10071324</v>
          </cell>
          <cell r="W165" t="str">
            <v>05-feb-2029</v>
          </cell>
          <cell r="Y165">
            <v>-2880000</v>
          </cell>
          <cell r="Z165">
            <v>-49655</v>
          </cell>
          <cell r="AA165">
            <v>-57600</v>
          </cell>
        </row>
        <row r="166">
          <cell r="B166" t="str">
            <v>KHI/HO/D/MO/PC COMP/P/100245/10/2024</v>
          </cell>
          <cell r="C166" t="str">
            <v>KHI/HO/D/MO/PC COMP/E/52263/00001/02/2025</v>
          </cell>
          <cell r="D166" t="str">
            <v>REN</v>
          </cell>
          <cell r="E166" t="str">
            <v>12/02/25</v>
          </cell>
          <cell r="F166" t="str">
            <v>23/10/2024</v>
          </cell>
          <cell r="G166" t="str">
            <v>22/10/2025</v>
          </cell>
          <cell r="H166" t="str">
            <v>08004499</v>
          </cell>
          <cell r="I166" t="str">
            <v>AL BARAKA BANK (PAKISTAN) LIMITED</v>
          </cell>
          <cell r="J166" t="str">
            <v>BANK</v>
          </cell>
          <cell r="K166" t="str">
            <v>M/s. Al Baraka Bank (Pakistan) Limited
Mr Syed Sajid Ali Shah
HPA M/s. Al Baraka Bank (Pakistan) Limited</v>
          </cell>
          <cell r="L166" t="str">
            <v>D</v>
          </cell>
          <cell r="M166" t="str">
            <v>09000221</v>
          </cell>
          <cell r="N166">
            <v>100</v>
          </cell>
          <cell r="P166" t="str">
            <v>H # 101 Block C PCSIR Staff Colony College Road Lahore</v>
          </cell>
          <cell r="Q166" t="str">
            <v>11000003</v>
          </cell>
          <cell r="R166" t="str">
            <v>SUZUKI CULTUS VXR EURO-II</v>
          </cell>
          <cell r="S166" t="str">
            <v>2017</v>
          </cell>
          <cell r="T166" t="str">
            <v>LEH-17-9557</v>
          </cell>
          <cell r="U166" t="str">
            <v>104380</v>
          </cell>
          <cell r="V166" t="str">
            <v>10004378</v>
          </cell>
          <cell r="X166" t="str">
            <v>3</v>
          </cell>
          <cell r="Y166">
            <v>1290000</v>
          </cell>
          <cell r="Z166">
            <v>22242</v>
          </cell>
          <cell r="AA166">
            <v>25800</v>
          </cell>
        </row>
        <row r="167">
          <cell r="B167" t="str">
            <v>KHI/HO/D/MO/PC COMP/P/100245/10/2024</v>
          </cell>
          <cell r="C167" t="str">
            <v>KHI/HO/D/MO/PC COMP/E/52263/00023/02/2025</v>
          </cell>
          <cell r="D167" t="str">
            <v>REN</v>
          </cell>
          <cell r="E167" t="str">
            <v>12/02/25</v>
          </cell>
          <cell r="F167" t="str">
            <v>27/10/2024</v>
          </cell>
          <cell r="G167" t="str">
            <v>26/10/2025</v>
          </cell>
          <cell r="H167" t="str">
            <v>08004499</v>
          </cell>
          <cell r="I167" t="str">
            <v>AL BARAKA BANK (PAKISTAN) LIMITED</v>
          </cell>
          <cell r="J167" t="str">
            <v>BANK</v>
          </cell>
          <cell r="K167" t="str">
            <v>M/s. Al Baraka Bank (Pakistan) Limited
M/S. Al Baraka Bank (Pakistan) Limited 
User:Hafiz Muhammad Azeem</v>
          </cell>
          <cell r="L167" t="str">
            <v>D</v>
          </cell>
          <cell r="M167" t="str">
            <v>09000221</v>
          </cell>
          <cell r="N167">
            <v>100</v>
          </cell>
          <cell r="O167" t="str">
            <v>KARACHI</v>
          </cell>
          <cell r="P167" t="str">
            <v>H No 410-N St No 18 Block D Pwd Housing Society Islamabad</v>
          </cell>
          <cell r="Q167" t="str">
            <v>11000003</v>
          </cell>
          <cell r="R167" t="str">
            <v>SUZUKI ALTO VXR</v>
          </cell>
          <cell r="S167" t="str">
            <v>2022</v>
          </cell>
          <cell r="T167" t="str">
            <v>BAT-497</v>
          </cell>
          <cell r="U167" t="str">
            <v>253972</v>
          </cell>
          <cell r="V167" t="str">
            <v>1153982</v>
          </cell>
          <cell r="W167" t="str">
            <v>05-nov-2025</v>
          </cell>
          <cell r="Y167">
            <v>-1473050</v>
          </cell>
          <cell r="Z167">
            <v>-11905</v>
          </cell>
          <cell r="AA167">
            <v>-12024</v>
          </cell>
        </row>
        <row r="168">
          <cell r="B168" t="str">
            <v>KHI/HO/D/MO/PC COMP/P/100245/10/2024</v>
          </cell>
          <cell r="C168" t="str">
            <v>KHI/HO/D/MO/PC COMP/E/52263/00055/02/2025</v>
          </cell>
          <cell r="D168" t="str">
            <v>REN</v>
          </cell>
          <cell r="E168" t="str">
            <v>12/02/25</v>
          </cell>
          <cell r="F168" t="str">
            <v>05/10/2024</v>
          </cell>
          <cell r="G168" t="str">
            <v>04/10/2025</v>
          </cell>
          <cell r="H168" t="str">
            <v>08004499</v>
          </cell>
          <cell r="I168" t="str">
            <v>AL BARAKA BANK (PAKISTAN) LIMITED</v>
          </cell>
          <cell r="J168" t="str">
            <v>BANK</v>
          </cell>
          <cell r="K168" t="str">
            <v>M/s. Al Baraka Bank (Pakistan) Limited
M/S. Al Baraka Bank (Pakistan) Limited 
User:Muhammad Riaz</v>
          </cell>
          <cell r="L168" t="str">
            <v>D</v>
          </cell>
          <cell r="M168" t="str">
            <v>09000221</v>
          </cell>
          <cell r="N168">
            <v>100</v>
          </cell>
          <cell r="O168" t="str">
            <v>KARACHI</v>
          </cell>
          <cell r="P168" t="str">
            <v>House 6 Street 1 Moh Bilal Gunj Jaranwala District Faisalabad</v>
          </cell>
          <cell r="Q168" t="str">
            <v>11000003</v>
          </cell>
          <cell r="R168" t="str">
            <v>SUZUKI HUSTLER</v>
          </cell>
          <cell r="S168" t="str">
            <v>2014</v>
          </cell>
          <cell r="T168" t="str">
            <v>LEF-18-9188</v>
          </cell>
          <cell r="U168" t="str">
            <v>R06AF623590</v>
          </cell>
          <cell r="V168" t="str">
            <v>MR31S257835</v>
          </cell>
          <cell r="W168" t="str">
            <v>05-nov-2025</v>
          </cell>
          <cell r="Y168">
            <v>1200000</v>
          </cell>
          <cell r="Z168">
            <v>25862</v>
          </cell>
          <cell r="AA168">
            <v>30000</v>
          </cell>
        </row>
        <row r="169">
          <cell r="B169" t="str">
            <v>KHI/HO/D/MO/PC COMP/P/100245/10/2024</v>
          </cell>
          <cell r="C169" t="str">
            <v>KHI/HO/D/MO/PC COMP/E/52263/00106/02/2025</v>
          </cell>
          <cell r="D169" t="str">
            <v>REN</v>
          </cell>
          <cell r="E169" t="str">
            <v>12/02/25</v>
          </cell>
          <cell r="F169" t="str">
            <v>31/10/2024</v>
          </cell>
          <cell r="G169" t="str">
            <v>30/10/2025</v>
          </cell>
          <cell r="H169" t="str">
            <v>08004499</v>
          </cell>
          <cell r="I169" t="str">
            <v>AL BARAKA BANK (PAKISTAN) LIMITED</v>
          </cell>
          <cell r="J169" t="str">
            <v>BANK</v>
          </cell>
          <cell r="K169" t="str">
            <v>M/s. Al Baraka Bank (Pakistan) Limited
M/S. Al Baraka Bank (Pakistan) Limited 
User:Oumais Mushtaq</v>
          </cell>
          <cell r="L169" t="str">
            <v>D</v>
          </cell>
          <cell r="M169" t="str">
            <v>09000221</v>
          </cell>
          <cell r="N169">
            <v>100</v>
          </cell>
          <cell r="O169" t="str">
            <v>KARACHI</v>
          </cell>
          <cell r="P169" t="str">
            <v>H # C-102 Gr Floor Block 11 Fb Area Karachi</v>
          </cell>
          <cell r="Q169" t="str">
            <v>11000003</v>
          </cell>
          <cell r="R169" t="str">
            <v>SUZUKI ALTO VXL AGS E-2</v>
          </cell>
          <cell r="S169" t="str">
            <v>2022</v>
          </cell>
          <cell r="T169" t="str">
            <v>BVU-336</v>
          </cell>
          <cell r="U169" t="str">
            <v>209568</v>
          </cell>
          <cell r="V169" t="str">
            <v>1109624</v>
          </cell>
          <cell r="W169" t="str">
            <v>05-nov-2025</v>
          </cell>
          <cell r="Y169">
            <v>-1887000</v>
          </cell>
          <cell r="Z169">
            <v>-12201</v>
          </cell>
          <cell r="AA169">
            <v>-12323</v>
          </cell>
        </row>
        <row r="170">
          <cell r="B170" t="str">
            <v>KHI/HO/D/MO/PC COMP/P/100245/10/2024</v>
          </cell>
          <cell r="C170" t="str">
            <v>KHI/HO/D/MO/PC COMP/E/52263/00163/02/2025</v>
          </cell>
          <cell r="D170" t="str">
            <v>REN</v>
          </cell>
          <cell r="E170" t="str">
            <v>12/02/25</v>
          </cell>
          <cell r="F170" t="str">
            <v>30/10/2024</v>
          </cell>
          <cell r="G170" t="str">
            <v>29/10/2025</v>
          </cell>
          <cell r="H170" t="str">
            <v>08004499</v>
          </cell>
          <cell r="I170" t="str">
            <v>AL BARAKA BANK (PAKISTAN) LIMITED</v>
          </cell>
          <cell r="J170" t="str">
            <v>BANK</v>
          </cell>
          <cell r="K170" t="str">
            <v>M/s. Al Baraka Bank (Pakistan) Limited
M/S. Al Baraka Bank (Pakistan) Limited 
User:Mohsin Ali</v>
          </cell>
          <cell r="L170" t="str">
            <v>D</v>
          </cell>
          <cell r="M170" t="str">
            <v>09000221</v>
          </cell>
          <cell r="N170">
            <v>100</v>
          </cell>
          <cell r="O170" t="str">
            <v>KARACHI</v>
          </cell>
          <cell r="P170" t="str">
            <v>Pindi Wala Chowkara Chak 79 Sb Sargodha</v>
          </cell>
          <cell r="Q170" t="str">
            <v>11000003</v>
          </cell>
          <cell r="R170" t="str">
            <v>HONDA CIVIC</v>
          </cell>
          <cell r="S170" t="str">
            <v>2019</v>
          </cell>
          <cell r="T170" t="str">
            <v>APU-823</v>
          </cell>
          <cell r="U170" t="str">
            <v>2953959</v>
          </cell>
          <cell r="V170" t="str">
            <v>057451</v>
          </cell>
          <cell r="W170" t="str">
            <v>05-nov-2025</v>
          </cell>
          <cell r="Y170">
            <v>-2734900</v>
          </cell>
          <cell r="Z170">
            <v>-13262</v>
          </cell>
          <cell r="AA170">
            <v>-13262</v>
          </cell>
        </row>
        <row r="171">
          <cell r="B171" t="str">
            <v>KHI/HO/D/MO/PC COMP/P/102191/11/2024</v>
          </cell>
          <cell r="C171" t="str">
            <v>KHI/HO/D/MO/PC COMP/E/52303/00022/02/2025</v>
          </cell>
          <cell r="D171" t="str">
            <v>REN</v>
          </cell>
          <cell r="E171" t="str">
            <v>12/02/25</v>
          </cell>
          <cell r="F171" t="str">
            <v>25/11/2024</v>
          </cell>
          <cell r="G171" t="str">
            <v>24/11/2025</v>
          </cell>
          <cell r="H171" t="str">
            <v>08004499</v>
          </cell>
          <cell r="I171" t="str">
            <v>AL BARAKA BANK (PAKISTAN) LIMITED</v>
          </cell>
          <cell r="J171" t="str">
            <v>BANK</v>
          </cell>
          <cell r="K171" t="str">
            <v>Mr. 
HPA M/s Al Baraka Bank ( Pakistan ) Limited
Ms. Sadia Nadeem
HPA M/s Al Baraka Bank ( Pakistan ) Limited</v>
          </cell>
          <cell r="L171" t="str">
            <v>D</v>
          </cell>
          <cell r="M171" t="str">
            <v>09000221</v>
          </cell>
          <cell r="N171">
            <v>100</v>
          </cell>
          <cell r="P171" t="str">
            <v>H No 11 Street 31 Jinnah Garden Islamabad</v>
          </cell>
          <cell r="Q171" t="str">
            <v>11000003</v>
          </cell>
          <cell r="R171" t="str">
            <v>SUZUKI WAGON R VXL</v>
          </cell>
          <cell r="S171" t="str">
            <v>2022</v>
          </cell>
          <cell r="T171" t="str">
            <v>BAY-541</v>
          </cell>
          <cell r="U171" t="str">
            <v>240557</v>
          </cell>
          <cell r="V171" t="str">
            <v>10140568</v>
          </cell>
          <cell r="X171" t="str">
            <v>5</v>
          </cell>
          <cell r="Y171">
            <v>-2179400</v>
          </cell>
          <cell r="Z171">
            <v>-18788</v>
          </cell>
          <cell r="AA171">
            <v>-18976</v>
          </cell>
        </row>
        <row r="172">
          <cell r="B172" t="str">
            <v>KHI/HO/D/MO/PC COMP/P/102191/11/2024</v>
          </cell>
          <cell r="C172" t="str">
            <v>KHI/HO/D/MO/PC COMP/E/52303/00023/02/2025</v>
          </cell>
          <cell r="D172" t="str">
            <v>REN</v>
          </cell>
          <cell r="E172" t="str">
            <v>12/02/25</v>
          </cell>
          <cell r="F172" t="str">
            <v>28/11/2024</v>
          </cell>
          <cell r="G172" t="str">
            <v>27/11/2025</v>
          </cell>
          <cell r="H172" t="str">
            <v>08004499</v>
          </cell>
          <cell r="I172" t="str">
            <v>AL BARAKA BANK (PAKISTAN) LIMITED</v>
          </cell>
          <cell r="J172" t="str">
            <v>BANK</v>
          </cell>
          <cell r="K172" t="str">
            <v>Mr. 
HPA M/s Al Baraka Bank ( Pakistan ) Limited
Mr. Daud Sarwar
HPA M/s Al Baraka Bank ( Pakistan ) Limited</v>
          </cell>
          <cell r="L172" t="str">
            <v>D</v>
          </cell>
          <cell r="M172" t="str">
            <v>09000221</v>
          </cell>
          <cell r="N172">
            <v>100</v>
          </cell>
          <cell r="P172" t="str">
            <v>H-314/2 St 3 Siddiqui Lane Gulistan Colony Rawalpindi</v>
          </cell>
          <cell r="Q172" t="str">
            <v>11000003</v>
          </cell>
          <cell r="R172" t="str">
            <v>HONDA CIVIC VTI</v>
          </cell>
          <cell r="S172" t="str">
            <v>2018</v>
          </cell>
          <cell r="T172" t="str">
            <v>AKU-021</v>
          </cell>
          <cell r="U172" t="str">
            <v>2941344</v>
          </cell>
          <cell r="V172" t="str">
            <v>044773</v>
          </cell>
          <cell r="Y172">
            <v>-3400000</v>
          </cell>
          <cell r="Z172">
            <v>-43965</v>
          </cell>
          <cell r="AA172">
            <v>-51000</v>
          </cell>
        </row>
        <row r="173">
          <cell r="B173" t="str">
            <v>KHI/HO/D/MO/PC COMP/P/102191/11/2024</v>
          </cell>
          <cell r="C173" t="str">
            <v>KHI/HO/D/MO/PC COMP/E/52303/00024/02/2025</v>
          </cell>
          <cell r="D173" t="str">
            <v>REN</v>
          </cell>
          <cell r="E173" t="str">
            <v>12/02/25</v>
          </cell>
          <cell r="F173" t="str">
            <v>28/11/2024</v>
          </cell>
          <cell r="G173" t="str">
            <v>27/11/2025</v>
          </cell>
          <cell r="H173" t="str">
            <v>08004499</v>
          </cell>
          <cell r="I173" t="str">
            <v>AL BARAKA BANK (PAKISTAN) LIMITED</v>
          </cell>
          <cell r="J173" t="str">
            <v>BANK</v>
          </cell>
          <cell r="K173" t="str">
            <v>Mr. 
HPA M/s Al Baraka Bank ( Pakistan ) Limited
Ms. Sumeira Nadir
HPA M/s Al Baraka Bank ( Pakistan ) Limited</v>
          </cell>
          <cell r="L173" t="str">
            <v>D</v>
          </cell>
          <cell r="M173" t="str">
            <v>09000221</v>
          </cell>
          <cell r="N173">
            <v>100</v>
          </cell>
          <cell r="P173" t="str">
            <v>H No 428 St No 10 Block B Askari 10 Lahore</v>
          </cell>
          <cell r="Q173" t="str">
            <v>11000003</v>
          </cell>
          <cell r="R173" t="str">
            <v>SUZUKI Swift GLX CVT</v>
          </cell>
          <cell r="S173" t="str">
            <v>2022</v>
          </cell>
          <cell r="T173" t="str">
            <v>AMM-502</v>
          </cell>
          <cell r="U173" t="str">
            <v>1011182</v>
          </cell>
          <cell r="V173" t="str">
            <v>00111194</v>
          </cell>
          <cell r="Y173">
            <v>-2464150</v>
          </cell>
          <cell r="Z173">
            <v>-53107</v>
          </cell>
          <cell r="AA173">
            <v>-61604</v>
          </cell>
        </row>
        <row r="174">
          <cell r="B174" t="str">
            <v>KHI/HO/D/MO/PC COMP/P/102191/11/2024</v>
          </cell>
          <cell r="C174" t="str">
            <v>KHI/HO/D/MO/PC COMP/E/52303/00029/02/2025</v>
          </cell>
          <cell r="D174" t="str">
            <v>REN</v>
          </cell>
          <cell r="E174" t="str">
            <v>12/02/25</v>
          </cell>
          <cell r="F174" t="str">
            <v>29/11/2024</v>
          </cell>
          <cell r="G174" t="str">
            <v>28/11/2025</v>
          </cell>
          <cell r="H174" t="str">
            <v>08004499</v>
          </cell>
          <cell r="I174" t="str">
            <v>AL BARAKA BANK (PAKISTAN) LIMITED</v>
          </cell>
          <cell r="J174" t="str">
            <v>BANK</v>
          </cell>
          <cell r="K174" t="str">
            <v>Mr. 
HPA M/s Al Baraka Bank ( Pakistan ) Limited
Mr. Usman Shaukat 
HPA M/s Al Baraka Bank ( Pakistan ) Limited</v>
          </cell>
          <cell r="L174" t="str">
            <v>D</v>
          </cell>
          <cell r="M174" t="str">
            <v>09000221</v>
          </cell>
          <cell r="N174">
            <v>100</v>
          </cell>
          <cell r="P174" t="str">
            <v>H No 182-A-1 St No 4 Cavalry Ground Lahore Cantt</v>
          </cell>
          <cell r="Q174" t="str">
            <v>11000003</v>
          </cell>
          <cell r="R174" t="str">
            <v>HONDA BRV - S</v>
          </cell>
          <cell r="S174" t="str">
            <v>2019</v>
          </cell>
          <cell r="T174" t="str">
            <v>AMD-845</v>
          </cell>
          <cell r="U174" t="str">
            <v>13513958</v>
          </cell>
          <cell r="V174" t="str">
            <v>R013970</v>
          </cell>
          <cell r="Y174">
            <v>-3485000</v>
          </cell>
          <cell r="Z174">
            <v>-22532</v>
          </cell>
          <cell r="AA174">
            <v>-22757</v>
          </cell>
        </row>
        <row r="175">
          <cell r="B175" t="str">
            <v>KHI/HO/D/MO/PC COMP/P/90920/06/2024</v>
          </cell>
          <cell r="C175" t="str">
            <v>KHI/HO/D/MO/PC COMP/E/52328/00058/02/2025</v>
          </cell>
          <cell r="D175" t="str">
            <v>REN</v>
          </cell>
          <cell r="E175" t="str">
            <v>13/02/25</v>
          </cell>
          <cell r="F175" t="str">
            <v>22/06/2024</v>
          </cell>
          <cell r="G175" t="str">
            <v>21/06/2025</v>
          </cell>
          <cell r="H175" t="str">
            <v>08004499</v>
          </cell>
          <cell r="I175" t="str">
            <v>AL BARAKA BANK (PAKISTAN) LIMITED</v>
          </cell>
          <cell r="J175" t="str">
            <v>BANK</v>
          </cell>
          <cell r="K175" t="str">
            <v>M/s. Al Baraka Bank (Pakistan) Limited
M/S. Al Baraka Bank (Pakistan) Limited
User:Iftikhar Ahmad  Awan</v>
          </cell>
          <cell r="L175" t="str">
            <v>D</v>
          </cell>
          <cell r="M175" t="str">
            <v>09000221</v>
          </cell>
          <cell r="N175">
            <v>100</v>
          </cell>
          <cell r="O175" t="str">
            <v>KARACHI</v>
          </cell>
          <cell r="P175" t="str">
            <v>House # CB-988/A-1 Street # 05 East 
Shabbir Lane Peshawar Rd Rawalpindi</v>
          </cell>
          <cell r="Q175" t="str">
            <v>11000003</v>
          </cell>
          <cell r="R175" t="str">
            <v>SUZUKI ALTO VX</v>
          </cell>
          <cell r="S175" t="str">
            <v>2022</v>
          </cell>
          <cell r="T175" t="str">
            <v>AZJ-820</v>
          </cell>
          <cell r="U175" t="str">
            <v>238136</v>
          </cell>
          <cell r="V175" t="str">
            <v>1138247</v>
          </cell>
          <cell r="W175" t="str">
            <v>05-jul-2027</v>
          </cell>
          <cell r="Y175">
            <v>889900</v>
          </cell>
          <cell r="Z175">
            <v>13425</v>
          </cell>
          <cell r="AA175">
            <v>15573</v>
          </cell>
        </row>
        <row r="176">
          <cell r="B176" t="str">
            <v>KHI/HO/D/MO/PC COMP/P/90920/06/2024</v>
          </cell>
          <cell r="C176" t="str">
            <v>KHI/HO/D/MO/PC COMP/E/52328/00114/02/2025</v>
          </cell>
          <cell r="D176" t="str">
            <v>REN</v>
          </cell>
          <cell r="E176" t="str">
            <v>13/02/25</v>
          </cell>
          <cell r="F176" t="str">
            <v>23/06/2024</v>
          </cell>
          <cell r="G176" t="str">
            <v>22/06/2025</v>
          </cell>
          <cell r="H176" t="str">
            <v>08004499</v>
          </cell>
          <cell r="I176" t="str">
            <v>AL BARAKA BANK (PAKISTAN) LIMITED</v>
          </cell>
          <cell r="J176" t="str">
            <v>BANK</v>
          </cell>
          <cell r="K176" t="str">
            <v>M/s. Al Baraka Bank (Pakistan) Limited
M/S. Al Baraka Bank (Pakistan) Limited
User:Jamal  Ajmal</v>
          </cell>
          <cell r="L176" t="str">
            <v>D</v>
          </cell>
          <cell r="M176" t="str">
            <v>09000221</v>
          </cell>
          <cell r="N176">
            <v>100</v>
          </cell>
          <cell r="O176" t="str">
            <v>KARACHI</v>
          </cell>
          <cell r="P176" t="str">
            <v>House No. 801 Ravi Block Allama Iqbal town Lahore</v>
          </cell>
          <cell r="Q176" t="str">
            <v>11000003</v>
          </cell>
          <cell r="R176" t="str">
            <v>MG HS</v>
          </cell>
          <cell r="S176" t="str">
            <v>2021</v>
          </cell>
          <cell r="T176" t="str">
            <v>AEE-844</v>
          </cell>
          <cell r="U176" t="str">
            <v>2170077</v>
          </cell>
          <cell r="V176" t="str">
            <v>49541</v>
          </cell>
          <cell r="W176" t="str">
            <v>06-jul-2026</v>
          </cell>
          <cell r="Y176">
            <v>1112000</v>
          </cell>
          <cell r="Z176">
            <v>14379</v>
          </cell>
          <cell r="AA176">
            <v>16680</v>
          </cell>
        </row>
        <row r="177">
          <cell r="B177" t="str">
            <v>KHI/HO/D/MO/PC COMP/P/90920/06/2024</v>
          </cell>
          <cell r="C177" t="str">
            <v>KHI/HO/D/MO/PC COMP/E/52328/00019/02/2025</v>
          </cell>
          <cell r="D177" t="str">
            <v>REN</v>
          </cell>
          <cell r="E177" t="str">
            <v>13/02/25</v>
          </cell>
          <cell r="F177" t="str">
            <v>07/06/2024</v>
          </cell>
          <cell r="G177" t="str">
            <v>06/06/2025</v>
          </cell>
          <cell r="H177" t="str">
            <v>08004499</v>
          </cell>
          <cell r="I177" t="str">
            <v>AL BARAKA BANK (PAKISTAN) LIMITED</v>
          </cell>
          <cell r="J177" t="str">
            <v>BANK</v>
          </cell>
          <cell r="K177" t="str">
            <v>M/s. Al Baraka Bank (Pakistan) Limited
M/S. Al Baraka Bank (Pakistan) Limited
User:Zawar  Hussain</v>
          </cell>
          <cell r="L177" t="str">
            <v>D</v>
          </cell>
          <cell r="M177" t="str">
            <v>09000221</v>
          </cell>
          <cell r="N177">
            <v>100</v>
          </cell>
          <cell r="O177" t="str">
            <v>KARACHI</v>
          </cell>
          <cell r="P177" t="str">
            <v>Canal Town HMC Road TAxila</v>
          </cell>
          <cell r="Q177" t="str">
            <v>11000003</v>
          </cell>
          <cell r="R177" t="str">
            <v>SUZUKI ALTO VX EURO II</v>
          </cell>
          <cell r="S177" t="str">
            <v>2022</v>
          </cell>
          <cell r="T177" t="str">
            <v>AYZ-980</v>
          </cell>
          <cell r="U177" t="str">
            <v>233943</v>
          </cell>
          <cell r="V177" t="str">
            <v>1133933</v>
          </cell>
          <cell r="W177" t="str">
            <v>05-jun-2027</v>
          </cell>
          <cell r="Y177">
            <v>-1110100</v>
          </cell>
          <cell r="Z177">
            <v>0</v>
          </cell>
          <cell r="AA177">
            <v>0</v>
          </cell>
        </row>
        <row r="178">
          <cell r="B178" t="str">
            <v>KHI/HO/D/MO/PC COMP/P/84011/02/2024</v>
          </cell>
          <cell r="C178" t="str">
            <v>KHI/HO/D/MO/PC COMP/E/52336/00038/02/2025</v>
          </cell>
          <cell r="D178" t="str">
            <v>REN</v>
          </cell>
          <cell r="E178" t="str">
            <v>13/02/25</v>
          </cell>
          <cell r="F178" t="str">
            <v>16/02/2024</v>
          </cell>
          <cell r="G178" t="str">
            <v>15/02/2025</v>
          </cell>
          <cell r="H178" t="str">
            <v>08004499</v>
          </cell>
          <cell r="I178" t="str">
            <v>AL BARAKA BANK (PAKISTAN) LIMITED</v>
          </cell>
          <cell r="J178" t="str">
            <v>BANK</v>
          </cell>
          <cell r="K178" t="str">
            <v>HPA M/S Al Baraka Bank (Pakistan) Limited
Mr.Ghulam Mustafa Hattar
HPA M/S Al Baraka Bank (Pakistan) Limited</v>
          </cell>
          <cell r="L178" t="str">
            <v>D</v>
          </cell>
          <cell r="M178" t="str">
            <v>09000221</v>
          </cell>
          <cell r="N178">
            <v>100</v>
          </cell>
          <cell r="O178" t="str">
            <v>ISLAMABAD</v>
          </cell>
          <cell r="P178" t="str">
            <v>H No 324 Street No 16 Paris city Block F Sector H-13 /4 Islamabad</v>
          </cell>
          <cell r="Q178" t="str">
            <v>11000003</v>
          </cell>
          <cell r="R178" t="str">
            <v>SUZUKI WAGON R VXL</v>
          </cell>
          <cell r="S178" t="str">
            <v>2018</v>
          </cell>
          <cell r="T178" t="str">
            <v>AKV-439</v>
          </cell>
          <cell r="U178" t="str">
            <v>172822</v>
          </cell>
          <cell r="V178" t="str">
            <v>10072836</v>
          </cell>
          <cell r="X178" t="str">
            <v>5</v>
          </cell>
          <cell r="Y178">
            <v>-1360000</v>
          </cell>
          <cell r="Z178">
            <v>0</v>
          </cell>
          <cell r="AA178">
            <v>0</v>
          </cell>
        </row>
        <row r="179">
          <cell r="B179" t="str">
            <v>KHI/HO/D/MO/PC COMP/P/84011/02/2024</v>
          </cell>
          <cell r="C179" t="str">
            <v>KHI/HO/D/MO/PC COMP/E/52336/00072/02/2025</v>
          </cell>
          <cell r="D179" t="str">
            <v>REN</v>
          </cell>
          <cell r="E179" t="str">
            <v>13/02/25</v>
          </cell>
          <cell r="F179" t="str">
            <v>25/02/2024</v>
          </cell>
          <cell r="G179" t="str">
            <v>24/02/2025</v>
          </cell>
          <cell r="H179" t="str">
            <v>08004499</v>
          </cell>
          <cell r="I179" t="str">
            <v>AL BARAKA BANK (PAKISTAN) LIMITED</v>
          </cell>
          <cell r="J179" t="str">
            <v>BANK</v>
          </cell>
          <cell r="K179" t="str">
            <v>HPA M/S Al Baraka Bank (Pakistan) Limited
Mr. Muhammad akhtar Mir 
HPA M/S Al Baraka Bank (Pakistan) Limited</v>
          </cell>
          <cell r="L179" t="str">
            <v>D</v>
          </cell>
          <cell r="M179" t="str">
            <v>09000221</v>
          </cell>
          <cell r="N179">
            <v>100</v>
          </cell>
          <cell r="O179" t="str">
            <v>LAHORE</v>
          </cell>
          <cell r="P179" t="str">
            <v>H # 803 Block G 4 Johar Town Lahore</v>
          </cell>
          <cell r="Q179" t="str">
            <v>11000003</v>
          </cell>
          <cell r="R179" t="str">
            <v>TOYOTA COROLLA ALTIS CVT</v>
          </cell>
          <cell r="S179" t="str">
            <v>2020</v>
          </cell>
          <cell r="T179" t="str">
            <v>ABD-050</v>
          </cell>
          <cell r="U179" t="str">
            <v>Q 346189</v>
          </cell>
          <cell r="V179" t="str">
            <v>R-7045327</v>
          </cell>
          <cell r="X179" t="str">
            <v>3</v>
          </cell>
          <cell r="Y179">
            <v>-3570000</v>
          </cell>
          <cell r="Z179">
            <v>0</v>
          </cell>
          <cell r="AA179">
            <v>0</v>
          </cell>
        </row>
        <row r="180">
          <cell r="B180" t="str">
            <v>KHI/HO/D/MO/PC COMP/P/84011/02/2024</v>
          </cell>
          <cell r="C180" t="str">
            <v>KHI/HO/D/MO/PC COMP/E/52336/00071/02/2025</v>
          </cell>
          <cell r="D180" t="str">
            <v>REN</v>
          </cell>
          <cell r="E180" t="str">
            <v>13/02/25</v>
          </cell>
          <cell r="F180" t="str">
            <v>25/02/2024</v>
          </cell>
          <cell r="G180" t="str">
            <v>24/02/2025</v>
          </cell>
          <cell r="H180" t="str">
            <v>08004499</v>
          </cell>
          <cell r="I180" t="str">
            <v>AL BARAKA BANK (PAKISTAN) LIMITED</v>
          </cell>
          <cell r="J180" t="str">
            <v>BANK</v>
          </cell>
          <cell r="K180" t="str">
            <v>HPA M/S Al Baraka Bank (Pakistan) Limited
Mr. Malik Sakhawat Awan  
HPA M/S Al Baraka Bank (Pakistan) Limited</v>
          </cell>
          <cell r="L180" t="str">
            <v>D</v>
          </cell>
          <cell r="M180" t="str">
            <v>09000221</v>
          </cell>
          <cell r="N180">
            <v>100</v>
          </cell>
          <cell r="P180" t="str">
            <v>H-22 Muhammad Nagar Hussain Pura Bata Pur Lahore</v>
          </cell>
          <cell r="Q180" t="str">
            <v>11000003</v>
          </cell>
          <cell r="R180" t="str">
            <v>SUZUKI CULTUS VXL EURO II</v>
          </cell>
          <cell r="S180" t="str">
            <v>2022</v>
          </cell>
          <cell r="T180" t="str">
            <v>AJW-675</v>
          </cell>
          <cell r="U180" t="str">
            <v>193536</v>
          </cell>
          <cell r="V180" t="str">
            <v>10093490</v>
          </cell>
          <cell r="X180" t="str">
            <v>3</v>
          </cell>
          <cell r="Y180">
            <v>-1907400</v>
          </cell>
          <cell r="Z180">
            <v>0</v>
          </cell>
          <cell r="AA180">
            <v>0</v>
          </cell>
        </row>
        <row r="181">
          <cell r="B181" t="str">
            <v>KHI/HO/D/MO/PC COMP/P/96729/09/2024</v>
          </cell>
          <cell r="C181" t="str">
            <v>KHI/HO/D/MO/PC COMP/E/52338/00049/02/2025</v>
          </cell>
          <cell r="D181" t="str">
            <v>REN</v>
          </cell>
          <cell r="E181" t="str">
            <v>13/02/25</v>
          </cell>
          <cell r="F181" t="str">
            <v>30/09/2024</v>
          </cell>
          <cell r="G181" t="str">
            <v>29/09/2025</v>
          </cell>
          <cell r="H181" t="str">
            <v>08004499</v>
          </cell>
          <cell r="I181" t="str">
            <v>AL BARAKA BANK (PAKISTAN) LIMITED</v>
          </cell>
          <cell r="J181" t="str">
            <v>BANK</v>
          </cell>
          <cell r="K181" t="str">
            <v>Mr. 
HPA M/s.  Al Baraka Bank ( Pakistan ) Limited
Mr. Muhammad Ishaq Kamran 
HPA M/s. Al Baraka Bank ( Pakistan ) Limited</v>
          </cell>
          <cell r="L181" t="str">
            <v>D</v>
          </cell>
          <cell r="M181" t="str">
            <v>09000221</v>
          </cell>
          <cell r="N181">
            <v>100</v>
          </cell>
          <cell r="P181" t="str">
            <v>H # C-76 Tipu Sultan H. Society Check Post 6 Karachi</v>
          </cell>
          <cell r="Q181" t="str">
            <v>11000003</v>
          </cell>
          <cell r="R181" t="str">
            <v>SUZUKI SWIFT DLX A/T NAV.</v>
          </cell>
          <cell r="S181" t="str">
            <v>2020</v>
          </cell>
          <cell r="T181" t="str">
            <v>BSA-248</v>
          </cell>
          <cell r="U181" t="str">
            <v>13048294</v>
          </cell>
          <cell r="V181" t="str">
            <v>10048309</v>
          </cell>
          <cell r="X181" t="str">
            <v>3</v>
          </cell>
          <cell r="Y181">
            <v>2125000</v>
          </cell>
          <cell r="Z181">
            <v>35534</v>
          </cell>
          <cell r="AA181">
            <v>41219</v>
          </cell>
        </row>
        <row r="182">
          <cell r="B182" t="str">
            <v>KHI/HO/D/MO/PC COMP/P/96729/09/2024</v>
          </cell>
          <cell r="C182" t="str">
            <v>KHI/HO/D/MO/PC COMP/E/52338/00008/02/2025</v>
          </cell>
          <cell r="D182" t="str">
            <v>REN</v>
          </cell>
          <cell r="E182" t="str">
            <v>13/02/25</v>
          </cell>
          <cell r="F182" t="str">
            <v>13/09/2024</v>
          </cell>
          <cell r="G182" t="str">
            <v>12/09/2025</v>
          </cell>
          <cell r="H182" t="str">
            <v>08004499</v>
          </cell>
          <cell r="I182" t="str">
            <v>AL BARAKA BANK (PAKISTAN) LIMITED</v>
          </cell>
          <cell r="J182" t="str">
            <v>BANK</v>
          </cell>
          <cell r="K182" t="str">
            <v>Mr. 
HPA M/s.  Al Baraka Bank ( Pakistan ) Limited
Mr. Sarwar Aijaz Siddiqui 
HPA M/s. Al Baraka Bank ( Pakistan ) Limited</v>
          </cell>
          <cell r="L182" t="str">
            <v>D</v>
          </cell>
          <cell r="M182" t="str">
            <v>09000221</v>
          </cell>
          <cell r="N182">
            <v>100</v>
          </cell>
          <cell r="P182" t="str">
            <v>H # A-22 Kehkashan Banglows Block 5 Clifton Karachi</v>
          </cell>
          <cell r="Q182" t="str">
            <v>11000003</v>
          </cell>
          <cell r="R182" t="str">
            <v>TOYOTA Yaris ATIV X 1.5 (</v>
          </cell>
          <cell r="S182" t="str">
            <v>2022</v>
          </cell>
          <cell r="U182" t="str">
            <v>2A56247</v>
          </cell>
          <cell r="V182" t="str">
            <v>7035542</v>
          </cell>
          <cell r="X182" t="str">
            <v>3</v>
          </cell>
          <cell r="Y182">
            <v>-2781872</v>
          </cell>
          <cell r="Z182">
            <v>-8993</v>
          </cell>
          <cell r="AA182">
            <v>-10432</v>
          </cell>
        </row>
        <row r="183">
          <cell r="B183" t="str">
            <v>KHI/HO/D/MO/PC COMP/P/96729/09/2024</v>
          </cell>
          <cell r="C183" t="str">
            <v>KHI/HO/D/MO/PC COMP/E/52338/00030/02/2025</v>
          </cell>
          <cell r="D183" t="str">
            <v>REN</v>
          </cell>
          <cell r="E183" t="str">
            <v>13/02/25</v>
          </cell>
          <cell r="F183" t="str">
            <v>28/09/2024</v>
          </cell>
          <cell r="G183" t="str">
            <v>27/09/2025</v>
          </cell>
          <cell r="H183" t="str">
            <v>08004499</v>
          </cell>
          <cell r="I183" t="str">
            <v>AL BARAKA BANK (PAKISTAN) LIMITED</v>
          </cell>
          <cell r="J183" t="str">
            <v>BANK</v>
          </cell>
          <cell r="K183" t="str">
            <v>Mr. 
HPA M/s.  Al Baraka Bank ( Pakistan ) Limited
Mr. Sheikh Zaka Ullah Javed
HPA M/s.  Al Baraka Bank ( Pakistan ) Limited</v>
          </cell>
          <cell r="L183" t="str">
            <v>D</v>
          </cell>
          <cell r="M183" t="str">
            <v>09000221</v>
          </cell>
          <cell r="N183">
            <v>100</v>
          </cell>
          <cell r="P183" t="str">
            <v>H No E 602 Iqbal Chungi Amar Sidhu Lahore</v>
          </cell>
          <cell r="Q183" t="str">
            <v>11000003</v>
          </cell>
          <cell r="R183" t="str">
            <v>CHANGAN KARVAAN PLUS</v>
          </cell>
          <cell r="S183" t="str">
            <v>2022</v>
          </cell>
          <cell r="T183" t="str">
            <v>AHM-858</v>
          </cell>
          <cell r="U183" t="str">
            <v>U504226</v>
          </cell>
          <cell r="V183" t="str">
            <v>N1016637</v>
          </cell>
          <cell r="Y183">
            <v>-818900</v>
          </cell>
          <cell r="Z183">
            <v>-14119</v>
          </cell>
          <cell r="AA183">
            <v>-16378</v>
          </cell>
        </row>
        <row r="184">
          <cell r="B184" t="str">
            <v>KHI/HO/D/MO/PC COMP/P/96729/09/2024</v>
          </cell>
          <cell r="C184" t="str">
            <v>KHI/HO/D/MO/PC COMP/E/52338/00034/02/2025</v>
          </cell>
          <cell r="D184" t="str">
            <v>REN</v>
          </cell>
          <cell r="E184" t="str">
            <v>13/02/25</v>
          </cell>
          <cell r="F184" t="str">
            <v>28/09/2024</v>
          </cell>
          <cell r="G184" t="str">
            <v>27/09/2025</v>
          </cell>
          <cell r="H184" t="str">
            <v>08004499</v>
          </cell>
          <cell r="I184" t="str">
            <v>AL BARAKA BANK (PAKISTAN) LIMITED</v>
          </cell>
          <cell r="J184" t="str">
            <v>BANK</v>
          </cell>
          <cell r="K184" t="str">
            <v>Mr. 
HPA M/s.  Al Baraka Bank ( Pakistan ) Limited
Mr. Muhammad Mohsin
HPA M/s. Al Baraka Bank ( Pakistan ) Limited</v>
          </cell>
          <cell r="L184" t="str">
            <v>D</v>
          </cell>
          <cell r="M184" t="str">
            <v>09000221</v>
          </cell>
          <cell r="N184">
            <v>100</v>
          </cell>
          <cell r="P184" t="str">
            <v>Pandoki P/O Khas Tehsil Lahore Opp Central Park Lahore</v>
          </cell>
          <cell r="Q184" t="str">
            <v>11000003</v>
          </cell>
          <cell r="R184" t="str">
            <v>SUZUKI WAGON R VXL</v>
          </cell>
          <cell r="S184" t="str">
            <v>2022</v>
          </cell>
          <cell r="T184" t="str">
            <v>AMC-416</v>
          </cell>
          <cell r="U184" t="str">
            <v>240509</v>
          </cell>
          <cell r="V184" t="str">
            <v>10140508</v>
          </cell>
          <cell r="Y184">
            <v>420600</v>
          </cell>
          <cell r="Z184">
            <v>4530</v>
          </cell>
          <cell r="AA184">
            <v>5255</v>
          </cell>
        </row>
        <row r="185">
          <cell r="B185" t="str">
            <v>KHI/HO/D/MO/PC COMP/P/105285/01/2025</v>
          </cell>
          <cell r="C185" t="str">
            <v>KHI/HO/D/MO/PC COMP/E/52358/00005/02/2025</v>
          </cell>
          <cell r="D185" t="str">
            <v>FRE</v>
          </cell>
          <cell r="E185" t="str">
            <v>14/02/25</v>
          </cell>
          <cell r="F185" t="str">
            <v>09/01/2025</v>
          </cell>
          <cell r="G185" t="str">
            <v>08/01/2026</v>
          </cell>
          <cell r="H185" t="str">
            <v>08004499</v>
          </cell>
          <cell r="I185" t="str">
            <v>AL BARAKA BANK (PAKISTAN) LIMITED</v>
          </cell>
          <cell r="J185" t="str">
            <v>BANK</v>
          </cell>
          <cell r="K185" t="str">
            <v>Mr. 
HPA M/s. Al Baraka Bank (Pakistan) Limited
Mr. Tahir Mahmood
HPA M/s. Al Baraka Bank (Pakistan) Limited</v>
          </cell>
          <cell r="L185" t="str">
            <v>D</v>
          </cell>
          <cell r="M185" t="str">
            <v>09000221</v>
          </cell>
          <cell r="N185">
            <v>100</v>
          </cell>
          <cell r="P185" t="str">
            <v>H # 196 ST 1 Village Manawala Badian Road Lahore</v>
          </cell>
          <cell r="Q185" t="str">
            <v>11000003</v>
          </cell>
          <cell r="R185" t="str">
            <v>HONDA CITY 1.3 PT</v>
          </cell>
          <cell r="S185" t="str">
            <v>2020</v>
          </cell>
          <cell r="T185" t="str">
            <v>AAS-317</v>
          </cell>
          <cell r="U185" t="str">
            <v>17541214</v>
          </cell>
          <cell r="V185" t="str">
            <v>264152</v>
          </cell>
          <cell r="Y185">
            <v>-4000000</v>
          </cell>
          <cell r="Z185">
            <v>-51724</v>
          </cell>
          <cell r="AA185">
            <v>-60000</v>
          </cell>
        </row>
        <row r="186">
          <cell r="B186" t="str">
            <v>KHI/HO/D/MO/PC COMP/P/88626/05/2024</v>
          </cell>
          <cell r="C186" t="str">
            <v>KHI/HO/D/MO/PC COMP/E/52429/00137/02/2025</v>
          </cell>
          <cell r="D186" t="str">
            <v>REN</v>
          </cell>
          <cell r="E186" t="str">
            <v>18/02/25</v>
          </cell>
          <cell r="F186" t="str">
            <v>10/05/2024</v>
          </cell>
          <cell r="G186" t="str">
            <v>09/05/2025</v>
          </cell>
          <cell r="H186" t="str">
            <v>08004499</v>
          </cell>
          <cell r="I186" t="str">
            <v>AL BARAKA BANK (PAKISTAN) LIMITED</v>
          </cell>
          <cell r="J186" t="str">
            <v>BANK</v>
          </cell>
          <cell r="K186" t="str">
            <v>HPA M/s. Al Baraka Bank (Pakistan) Limited
Mr. 
Hpa M/S. Al Baraka Bank (Pakistan) Limited 
User:Naveed    Rauf</v>
          </cell>
          <cell r="L186" t="str">
            <v>D</v>
          </cell>
          <cell r="M186" t="str">
            <v>09000221</v>
          </cell>
          <cell r="N186">
            <v>100</v>
          </cell>
          <cell r="O186" t="str">
            <v>KARACHI</v>
          </cell>
          <cell r="P186" t="str">
            <v>Overseas Extension Bahria Town House No. 556 Street 65 Lahore</v>
          </cell>
          <cell r="Q186" t="str">
            <v>11000003</v>
          </cell>
          <cell r="R186" t="str">
            <v>HONDA CIVIC VTI  ORIEL PT</v>
          </cell>
          <cell r="S186" t="str">
            <v>2019</v>
          </cell>
          <cell r="T186" t="str">
            <v>ANK-401</v>
          </cell>
          <cell r="U186" t="str">
            <v>12950769</v>
          </cell>
          <cell r="V186" t="str">
            <v>KR054255</v>
          </cell>
          <cell r="W186" t="str">
            <v>05-jun-2025</v>
          </cell>
          <cell r="Y186">
            <v>2476600</v>
          </cell>
          <cell r="Z186">
            <v>70455</v>
          </cell>
          <cell r="AA186">
            <v>81728</v>
          </cell>
        </row>
        <row r="187">
          <cell r="B187" t="str">
            <v>KHI/HO/D/MO/PC COMP/P/86550/04/2024</v>
          </cell>
          <cell r="C187" t="str">
            <v>KHI/HO/D/MO/PC COMP/E/52430/00015/02/2025</v>
          </cell>
          <cell r="D187" t="str">
            <v>FRE</v>
          </cell>
          <cell r="E187" t="str">
            <v>18/02/25</v>
          </cell>
          <cell r="F187" t="str">
            <v>16/04/2024</v>
          </cell>
          <cell r="G187" t="str">
            <v>15/04/2025</v>
          </cell>
          <cell r="H187" t="str">
            <v>08004499</v>
          </cell>
          <cell r="I187" t="str">
            <v>AL BARAKA BANK (PAKISTAN) LIMITED</v>
          </cell>
          <cell r="J187" t="str">
            <v>BANK</v>
          </cell>
          <cell r="K187" t="str">
            <v>HPA M/s. Al Baraka Bank Pakistan Limited
Mr. Muhammad Awais 
HPA M/s. Al Baraka Bank Pakistan Limited</v>
          </cell>
          <cell r="L187" t="str">
            <v>D</v>
          </cell>
          <cell r="M187" t="str">
            <v>09000221</v>
          </cell>
          <cell r="N187">
            <v>100</v>
          </cell>
          <cell r="P187" t="str">
            <v>H # P-88 89 Street 5 Zubair Colony Faisalabad</v>
          </cell>
          <cell r="Q187" t="str">
            <v>11000003</v>
          </cell>
          <cell r="R187" t="str">
            <v>SUZUKI ALTO VXL AGS E-2</v>
          </cell>
          <cell r="S187" t="str">
            <v>2024</v>
          </cell>
          <cell r="U187" t="str">
            <v>6R255620</v>
          </cell>
          <cell r="V187" t="str">
            <v>NF1AET306H1195653</v>
          </cell>
          <cell r="X187" t="str">
            <v>3</v>
          </cell>
          <cell r="Y187">
            <v>2894000</v>
          </cell>
          <cell r="Z187">
            <v>0</v>
          </cell>
          <cell r="AA187">
            <v>0</v>
          </cell>
        </row>
        <row r="188">
          <cell r="B188" t="str">
            <v>KHI/HO/D/MO/PC COMP/P/86550/04/2024</v>
          </cell>
          <cell r="C188" t="str">
            <v>KHI/HO/D/MO/PC COMP/E/52430/00005/02/2025</v>
          </cell>
          <cell r="D188" t="str">
            <v>FRE</v>
          </cell>
          <cell r="E188" t="str">
            <v>18/02/25</v>
          </cell>
          <cell r="F188" t="str">
            <v>05/04/2024</v>
          </cell>
          <cell r="G188" t="str">
            <v>04/04/2025</v>
          </cell>
          <cell r="H188" t="str">
            <v>08004499</v>
          </cell>
          <cell r="I188" t="str">
            <v>AL BARAKA BANK (PAKISTAN) LIMITED</v>
          </cell>
          <cell r="J188" t="str">
            <v>BANK</v>
          </cell>
          <cell r="K188" t="str">
            <v>HPA M/s. Al Baraka Bank Pakistan Limited
Mr. Ashar Azfar Hussain
HPA M/s. Al Baraka Bank Pakistan Limited</v>
          </cell>
          <cell r="L188" t="str">
            <v>D</v>
          </cell>
          <cell r="M188" t="str">
            <v>09000221</v>
          </cell>
          <cell r="N188">
            <v>100</v>
          </cell>
          <cell r="P188" t="str">
            <v>House # C-166 Ground Floor Block 10 FB Area Karachi</v>
          </cell>
          <cell r="Q188" t="str">
            <v>11000003</v>
          </cell>
          <cell r="R188" t="str">
            <v>TOYOTA COROLLA ALTIS  1.6</v>
          </cell>
          <cell r="S188" t="str">
            <v>2022</v>
          </cell>
          <cell r="T188" t="str">
            <v>BXS-357</v>
          </cell>
          <cell r="U188" t="str">
            <v>Q096872</v>
          </cell>
          <cell r="V188" t="str">
            <v>R6074367</v>
          </cell>
          <cell r="X188" t="str">
            <v>3</v>
          </cell>
          <cell r="Y188">
            <v>5375000</v>
          </cell>
          <cell r="Z188">
            <v>139009</v>
          </cell>
          <cell r="AA188">
            <v>161250</v>
          </cell>
        </row>
        <row r="189">
          <cell r="B189" t="str">
            <v>KHI/HO/D/MO/PC COMP/P/86550/04/2024</v>
          </cell>
          <cell r="C189" t="str">
            <v>KHI/HO/D/MO/PC COMP/E/52430/00022/02/2025</v>
          </cell>
          <cell r="D189" t="str">
            <v>FRE</v>
          </cell>
          <cell r="E189" t="str">
            <v>18/02/25</v>
          </cell>
          <cell r="F189" t="str">
            <v>22/04/2024</v>
          </cell>
          <cell r="G189" t="str">
            <v>21/04/2025</v>
          </cell>
          <cell r="H189" t="str">
            <v>08004499</v>
          </cell>
          <cell r="I189" t="str">
            <v>AL BARAKA BANK (PAKISTAN) LIMITED</v>
          </cell>
          <cell r="J189" t="str">
            <v>BANK</v>
          </cell>
          <cell r="K189" t="str">
            <v>HPA M/s. Al Baraka Bank Pakistan Limited
User Mr. Khalid Mehmood
HPA M/s. Al Baraka Bank Pakistan Limited</v>
          </cell>
          <cell r="L189" t="str">
            <v>D</v>
          </cell>
          <cell r="M189" t="str">
            <v>09000221</v>
          </cell>
          <cell r="N189">
            <v>100</v>
          </cell>
          <cell r="P189" t="str">
            <v>H No 105 Street No 3 Mohallah Khawaha Garden Hilal Road Faisalabad</v>
          </cell>
          <cell r="Q189" t="str">
            <v>11000003</v>
          </cell>
          <cell r="R189" t="str">
            <v>TOYOTA YARIS</v>
          </cell>
          <cell r="S189" t="str">
            <v>2020</v>
          </cell>
          <cell r="T189" t="str">
            <v>AAN-359</v>
          </cell>
          <cell r="U189" t="str">
            <v>2A08640</v>
          </cell>
          <cell r="V189" t="str">
            <v>NSP151R9503669</v>
          </cell>
          <cell r="X189" t="str">
            <v>3</v>
          </cell>
          <cell r="Y189">
            <v>4100000</v>
          </cell>
          <cell r="Z189">
            <v>-20297</v>
          </cell>
          <cell r="AA189">
            <v>-20500</v>
          </cell>
        </row>
        <row r="190">
          <cell r="B190" t="str">
            <v>KHI/HO/D/MO/PC COMP/P/86550/04/2024</v>
          </cell>
          <cell r="C190" t="str">
            <v>KHI/HO/D/MO/PC COMP/E/52430/00007/02/2025</v>
          </cell>
          <cell r="D190" t="str">
            <v>FRE</v>
          </cell>
          <cell r="E190" t="str">
            <v>18/02/25</v>
          </cell>
          <cell r="F190" t="str">
            <v>08/04/2024</v>
          </cell>
          <cell r="G190" t="str">
            <v>07/04/2025</v>
          </cell>
          <cell r="H190" t="str">
            <v>08004499</v>
          </cell>
          <cell r="I190" t="str">
            <v>AL BARAKA BANK (PAKISTAN) LIMITED</v>
          </cell>
          <cell r="J190" t="str">
            <v>BANK</v>
          </cell>
          <cell r="K190" t="str">
            <v>HPA M/s. Al Baraka Bank Pakistan Limited
Mr. Ashar Azfar Hussain
HPA M/s. Al Baraka Bank Pakistan Limited</v>
          </cell>
          <cell r="L190" t="str">
            <v>D</v>
          </cell>
          <cell r="M190" t="str">
            <v>09000221</v>
          </cell>
          <cell r="N190">
            <v>100</v>
          </cell>
          <cell r="P190" t="str">
            <v>House # C-166 Ground Floor Block-10 FB Area Karachi</v>
          </cell>
          <cell r="Q190" t="str">
            <v>11000003</v>
          </cell>
          <cell r="R190" t="str">
            <v>TOYOTA COROLLA ALTIS  1.6</v>
          </cell>
          <cell r="S190" t="str">
            <v>2022</v>
          </cell>
          <cell r="T190" t="str">
            <v>BXS-357</v>
          </cell>
          <cell r="U190" t="str">
            <v>Q096872</v>
          </cell>
          <cell r="V190" t="str">
            <v>R6074367</v>
          </cell>
          <cell r="X190" t="str">
            <v>3</v>
          </cell>
          <cell r="Y190">
            <v>-5375000</v>
          </cell>
          <cell r="Z190">
            <v>-70724</v>
          </cell>
          <cell r="AA190">
            <v>-80625</v>
          </cell>
        </row>
        <row r="191">
          <cell r="B191" t="str">
            <v>KHI/HO/D/MO/PC COMP/P/86550/04/2024</v>
          </cell>
          <cell r="C191" t="str">
            <v>KHI/HO/D/MO/PC COMP/E/52430/00009/02/2025</v>
          </cell>
          <cell r="D191" t="str">
            <v>FRE</v>
          </cell>
          <cell r="E191" t="str">
            <v>18/02/25</v>
          </cell>
          <cell r="F191" t="str">
            <v>08/04/2024</v>
          </cell>
          <cell r="G191" t="str">
            <v>07/04/2025</v>
          </cell>
          <cell r="H191" t="str">
            <v>08004499</v>
          </cell>
          <cell r="I191" t="str">
            <v>AL BARAKA BANK (PAKISTAN) LIMITED</v>
          </cell>
          <cell r="J191" t="str">
            <v>BANK</v>
          </cell>
          <cell r="K191" t="str">
            <v>HPA M/s. Al Baraka Bank Pakistan Limited
M/s. Meezan Bank Limited Main Branch Karachi
User A/c .MUHAMMAD YUSUF MUNIM MOHAJIR</v>
          </cell>
          <cell r="L191" t="str">
            <v>D</v>
          </cell>
          <cell r="M191" t="str">
            <v>09000221</v>
          </cell>
          <cell r="N191">
            <v>100</v>
          </cell>
          <cell r="P191" t="str">
            <v>SDH 359, FALCON COMPLEX, NEW MALIR, KARACHI (MALIR CANTT CHECPOST 5)</v>
          </cell>
          <cell r="Q191" t="str">
            <v>11000003</v>
          </cell>
          <cell r="R191" t="str">
            <v>SUZUKI ALTO VXR</v>
          </cell>
          <cell r="S191" t="str">
            <v>2024</v>
          </cell>
          <cell r="U191" t="str">
            <v>6R297940</v>
          </cell>
          <cell r="V191" t="str">
            <v>NF1AET306H1197915</v>
          </cell>
          <cell r="X191" t="str">
            <v>3</v>
          </cell>
          <cell r="Y191">
            <v>-2894000</v>
          </cell>
          <cell r="Z191">
            <v>-38079</v>
          </cell>
          <cell r="AA191">
            <v>-43410</v>
          </cell>
        </row>
        <row r="192">
          <cell r="B192" t="str">
            <v>KHI/HO/D/MO/PC COMP/P/96715/09/2024</v>
          </cell>
          <cell r="C192" t="str">
            <v>KHI/HO/D/MO/PC COMP/E/52452/00012/02/2025</v>
          </cell>
          <cell r="D192" t="str">
            <v>REN</v>
          </cell>
          <cell r="E192" t="str">
            <v>19/02/25</v>
          </cell>
          <cell r="F192" t="str">
            <v>28/09/2024</v>
          </cell>
          <cell r="G192" t="str">
            <v>27/09/2025</v>
          </cell>
          <cell r="H192" t="str">
            <v>08004499</v>
          </cell>
          <cell r="I192" t="str">
            <v>AL BARAKA BANK (PAKISTAN) LIMITED</v>
          </cell>
          <cell r="J192" t="str">
            <v>BANK</v>
          </cell>
          <cell r="K192" t="str">
            <v>Mr.  
HPA M/s. Al Baraka Bank (Pakistan) Limited
Mr.  Farhan Khan  
HPA M/s. Al Baraka Bank (Pakistan) Limited</v>
          </cell>
          <cell r="L192" t="str">
            <v>D</v>
          </cell>
          <cell r="M192" t="str">
            <v>09000221</v>
          </cell>
          <cell r="N192">
            <v>100</v>
          </cell>
          <cell r="P192" t="str">
            <v>H # M-1107 Street 52 Ammar pura Rawalpindi</v>
          </cell>
          <cell r="Q192" t="str">
            <v>11000003</v>
          </cell>
          <cell r="R192" t="str">
            <v>SUZUKI SWIFT DLX EURO II</v>
          </cell>
          <cell r="S192" t="str">
            <v>2018</v>
          </cell>
          <cell r="T192" t="str">
            <v>AJU-304</v>
          </cell>
          <cell r="U192" t="str">
            <v>13041541</v>
          </cell>
          <cell r="V192" t="str">
            <v>10041525</v>
          </cell>
          <cell r="X192" t="str">
            <v>3</v>
          </cell>
          <cell r="Y192">
            <v>-562500</v>
          </cell>
          <cell r="Z192">
            <v>-9698</v>
          </cell>
          <cell r="AA192">
            <v>-11250</v>
          </cell>
        </row>
        <row r="193">
          <cell r="B193" t="str">
            <v>KHI/HO/D/MO/PC COMP/P/85019/03/2024</v>
          </cell>
          <cell r="C193" t="str">
            <v>KHI/HO/D/MO/PC COMP/E/52466/00001/02/2025</v>
          </cell>
          <cell r="D193" t="str">
            <v>REN</v>
          </cell>
          <cell r="E193" t="str">
            <v>19/02/25</v>
          </cell>
          <cell r="F193" t="str">
            <v>30/03/2024</v>
          </cell>
          <cell r="G193" t="str">
            <v>29/03/2025</v>
          </cell>
          <cell r="H193" t="str">
            <v>08004499</v>
          </cell>
          <cell r="I193" t="str">
            <v>AL BARAKA BANK (PAKISTAN) LIMITED</v>
          </cell>
          <cell r="J193" t="str">
            <v>BANK</v>
          </cell>
          <cell r="K193" t="str">
            <v>Mr. 
HPA M/s. Al Baraka Bank (Pakistan) Limited
Ms. Salma Shaikh 
HP M/s. Al Baraka Bank (Pakistan) Limited</v>
          </cell>
          <cell r="L193" t="str">
            <v>D</v>
          </cell>
          <cell r="M193" t="str">
            <v>09000221</v>
          </cell>
          <cell r="N193">
            <v>100</v>
          </cell>
          <cell r="P193" t="str">
            <v>Flat No. 3 Rafiq Center Block K North Nazimabad Karachi</v>
          </cell>
          <cell r="Q193" t="str">
            <v>11000003</v>
          </cell>
          <cell r="R193" t="str">
            <v>SUZUKI WAGON-R VXR</v>
          </cell>
          <cell r="S193" t="str">
            <v>2015</v>
          </cell>
          <cell r="T193" t="str">
            <v>BDG-776</v>
          </cell>
          <cell r="U193" t="str">
            <v>102174</v>
          </cell>
          <cell r="V193" t="str">
            <v>10002272</v>
          </cell>
          <cell r="X193" t="str">
            <v>3</v>
          </cell>
          <cell r="Y193">
            <v>-968000</v>
          </cell>
          <cell r="Z193">
            <v>-21184</v>
          </cell>
          <cell r="AA193">
            <v>-24200</v>
          </cell>
        </row>
        <row r="194">
          <cell r="B194" t="str">
            <v>KHI/HO/D/MO/PC COMP/P/85019/03/2024</v>
          </cell>
          <cell r="C194" t="str">
            <v>KHI/HO/D/MO/PC COMP/E/52466/00014/02/2025</v>
          </cell>
          <cell r="D194" t="str">
            <v>REN</v>
          </cell>
          <cell r="E194" t="str">
            <v>19/02/25</v>
          </cell>
          <cell r="F194" t="str">
            <v>27/03/2024</v>
          </cell>
          <cell r="G194" t="str">
            <v>26/03/2025</v>
          </cell>
          <cell r="H194" t="str">
            <v>08004499</v>
          </cell>
          <cell r="I194" t="str">
            <v>AL BARAKA BANK (PAKISTAN) LIMITED</v>
          </cell>
          <cell r="J194" t="str">
            <v>BANK</v>
          </cell>
          <cell r="K194" t="str">
            <v>Mr. 
HPA M/s. Al Baraka Bank (Pakistan) Limited
Mr. Ali Muhammad
HPA M/s. Al Baraka Bank (Pakistan) Limited</v>
          </cell>
          <cell r="L194" t="str">
            <v>D</v>
          </cell>
          <cell r="M194" t="str">
            <v>09000221</v>
          </cell>
          <cell r="N194">
            <v>100</v>
          </cell>
          <cell r="P194" t="str">
            <v>Leftside 2nd House Masjid Farooq E Azam Street Baabra Wah Cantt</v>
          </cell>
          <cell r="Q194" t="str">
            <v>11000003</v>
          </cell>
          <cell r="R194" t="str">
            <v>SUZUKI MEHRAN VXR</v>
          </cell>
          <cell r="S194" t="str">
            <v>2018</v>
          </cell>
          <cell r="T194" t="str">
            <v>AMA-710</v>
          </cell>
          <cell r="U194" t="str">
            <v>752295</v>
          </cell>
          <cell r="V194" t="str">
            <v>01290721</v>
          </cell>
          <cell r="Y194">
            <v>-1080000</v>
          </cell>
          <cell r="Z194">
            <v>0</v>
          </cell>
          <cell r="AA194">
            <v>0</v>
          </cell>
        </row>
        <row r="195">
          <cell r="B195" t="str">
            <v>KHI/HO/D/MO/PC COMP/P/102088/11/2024</v>
          </cell>
          <cell r="C195" t="str">
            <v>KHI/HO/D/MO/PC COMP/E/52467/00048/02/2025</v>
          </cell>
          <cell r="D195" t="str">
            <v>REN</v>
          </cell>
          <cell r="E195" t="str">
            <v>19/02/25</v>
          </cell>
          <cell r="F195" t="str">
            <v>24/11/2024</v>
          </cell>
          <cell r="G195" t="str">
            <v>23/11/2025</v>
          </cell>
          <cell r="H195" t="str">
            <v>08004499</v>
          </cell>
          <cell r="I195" t="str">
            <v>AL BARAKA BANK (PAKISTAN) LIMITED</v>
          </cell>
          <cell r="J195" t="str">
            <v>BANK</v>
          </cell>
          <cell r="K195" t="str">
            <v>HPA M/s. Al Baraka Bank (Pakistan) Limited
Hpa M/S. Al Baraka Bank (Pakistan) Limited
User: Muhammad Saleem</v>
          </cell>
          <cell r="L195" t="str">
            <v>D</v>
          </cell>
          <cell r="M195" t="str">
            <v>09000221</v>
          </cell>
          <cell r="N195">
            <v>100</v>
          </cell>
          <cell r="P195" t="str">
            <v>H#5 St # 3 Moh Nain Bazar Astana Naqshbandi Daroghawala Lahore</v>
          </cell>
          <cell r="Q195" t="str">
            <v>11000003</v>
          </cell>
          <cell r="R195" t="str">
            <v>TOYOTA YARIS ATIV CVT</v>
          </cell>
          <cell r="S195" t="str">
            <v>2020</v>
          </cell>
          <cell r="T195" t="str">
            <v>ABA-391</v>
          </cell>
          <cell r="U195" t="str">
            <v>2A12878</v>
          </cell>
          <cell r="V195" t="str">
            <v>7007542</v>
          </cell>
          <cell r="Y195">
            <v>-1873500</v>
          </cell>
          <cell r="Z195">
            <v>-60565</v>
          </cell>
          <cell r="AA195">
            <v>-70256</v>
          </cell>
        </row>
        <row r="196">
          <cell r="B196" t="str">
            <v>KHI/HO/D/MO/PC COMP/P/102088/11/2024</v>
          </cell>
          <cell r="C196" t="str">
            <v>KHI/HO/D/MO/PC COMP/E/52467/00023/02/2025</v>
          </cell>
          <cell r="D196" t="str">
            <v>REN</v>
          </cell>
          <cell r="E196" t="str">
            <v>19/02/25</v>
          </cell>
          <cell r="F196" t="str">
            <v>21/11/2024</v>
          </cell>
          <cell r="G196" t="str">
            <v>20/11/2025</v>
          </cell>
          <cell r="H196" t="str">
            <v>08004499</v>
          </cell>
          <cell r="I196" t="str">
            <v>AL BARAKA BANK (PAKISTAN) LIMITED</v>
          </cell>
          <cell r="J196" t="str">
            <v>BANK</v>
          </cell>
          <cell r="K196" t="str">
            <v>HPA M/s. Al Baraka Bank (Pakistan) Limited
Mr. Muhammad Faisal
HPA M/s. Al Baraka Bank (Pakistan) Limited</v>
          </cell>
          <cell r="L196" t="str">
            <v>D</v>
          </cell>
          <cell r="M196" t="str">
            <v>09000221</v>
          </cell>
          <cell r="N196">
            <v>100</v>
          </cell>
          <cell r="P196" t="str">
            <v>UG-39 Mateen Shopping Galaxy Gulshan 10-A Block Karachi</v>
          </cell>
          <cell r="Q196" t="str">
            <v>11000003</v>
          </cell>
          <cell r="R196" t="str">
            <v>TOYOTA COROLLA ALTIS  1.6</v>
          </cell>
          <cell r="S196" t="str">
            <v>2021</v>
          </cell>
          <cell r="T196" t="str">
            <v>BUZ-973</v>
          </cell>
          <cell r="U196" t="str">
            <v>Q076041</v>
          </cell>
          <cell r="V196" t="str">
            <v>6053544</v>
          </cell>
          <cell r="Y196">
            <v>-4680000</v>
          </cell>
          <cell r="Z196">
            <v>-60517</v>
          </cell>
          <cell r="AA196">
            <v>-70200</v>
          </cell>
        </row>
        <row r="197">
          <cell r="B197" t="str">
            <v>KHI/HO/D/MO/PC COMP/P/102088/11/2024</v>
          </cell>
          <cell r="C197" t="str">
            <v>KHI/HO/D/MO/PC COMP/E/52467/00036/02/2025</v>
          </cell>
          <cell r="D197" t="str">
            <v>REN</v>
          </cell>
          <cell r="E197" t="str">
            <v>19/02/25</v>
          </cell>
          <cell r="F197" t="str">
            <v>29/11/2024</v>
          </cell>
          <cell r="G197" t="str">
            <v>28/11/2025</v>
          </cell>
          <cell r="H197" t="str">
            <v>08004499</v>
          </cell>
          <cell r="I197" t="str">
            <v>AL BARAKA BANK (PAKISTAN) LIMITED</v>
          </cell>
          <cell r="J197" t="str">
            <v>BANK</v>
          </cell>
          <cell r="K197" t="str">
            <v>HPA M/s. Al Baraka Bank (Pakistan) Limited
Mr. Syed Tasawar Hussain Shah
HPA M/s. Al Baraka Bank (Pakistan) Limited</v>
          </cell>
          <cell r="L197" t="str">
            <v>D</v>
          </cell>
          <cell r="M197" t="str">
            <v>09000221</v>
          </cell>
          <cell r="N197">
            <v>100</v>
          </cell>
          <cell r="P197" t="str">
            <v>H No 5 St No 1 Pak Town Shangi Road Lahore</v>
          </cell>
          <cell r="Q197" t="str">
            <v>11000003</v>
          </cell>
          <cell r="R197" t="str">
            <v>KIA SPORTAGE</v>
          </cell>
          <cell r="S197" t="str">
            <v>2019</v>
          </cell>
          <cell r="T197" t="str">
            <v>APY-19-105</v>
          </cell>
          <cell r="U197" t="str">
            <v>H039166</v>
          </cell>
          <cell r="V197" t="str">
            <v>P501200</v>
          </cell>
          <cell r="Y197">
            <v>-6300000</v>
          </cell>
          <cell r="Z197">
            <v>-81465</v>
          </cell>
          <cell r="AA197">
            <v>-94500</v>
          </cell>
        </row>
        <row r="198">
          <cell r="B198" t="str">
            <v>KHI/HO/D/MO/PC COMP/P/73778/08/2023</v>
          </cell>
          <cell r="C198" t="str">
            <v>KHI/HO/D/MO/PC COMP/E/52468/00042/02/2025</v>
          </cell>
          <cell r="D198" t="str">
            <v>REN</v>
          </cell>
          <cell r="E198" t="str">
            <v>19/02/25</v>
          </cell>
          <cell r="F198" t="str">
            <v>16/08/2023</v>
          </cell>
          <cell r="G198" t="str">
            <v>15/08/2024</v>
          </cell>
          <cell r="H198" t="str">
            <v>08004499</v>
          </cell>
          <cell r="I198" t="str">
            <v>AL BARAKA BANK (PAKISTAN) LIMITED</v>
          </cell>
          <cell r="J198" t="str">
            <v>BANK</v>
          </cell>
          <cell r="K198" t="str">
            <v>HPA M/s. Al Baraka Bank (Pakistan) Limited
Mr. Nadeem Iqbal     
HPA M/s. Al Baraka Bank (Pakistan) Limited</v>
          </cell>
          <cell r="L198" t="str">
            <v>D</v>
          </cell>
          <cell r="M198" t="str">
            <v>09000221</v>
          </cell>
          <cell r="N198">
            <v>100</v>
          </cell>
          <cell r="O198" t="str">
            <v>LAHORE</v>
          </cell>
          <cell r="P198" t="str">
            <v>House No. 381 Pak Block Allama Iqbal Town Lahore</v>
          </cell>
          <cell r="Q198" t="str">
            <v>11000003</v>
          </cell>
          <cell r="R198" t="str">
            <v>TOYOTA YARIS ATIV CVT</v>
          </cell>
          <cell r="S198" t="str">
            <v>2021</v>
          </cell>
          <cell r="T198" t="str">
            <v>AEM-451</v>
          </cell>
          <cell r="U198" t="str">
            <v>2A33905</v>
          </cell>
          <cell r="V198" t="str">
            <v>7021031</v>
          </cell>
          <cell r="X198" t="str">
            <v>3</v>
          </cell>
          <cell r="Y198">
            <v>2297550</v>
          </cell>
          <cell r="Z198">
            <v>0</v>
          </cell>
          <cell r="AA198">
            <v>0</v>
          </cell>
        </row>
        <row r="199">
          <cell r="B199" t="str">
            <v>KHI/HO/D/MO/PC COMP/P/102212/11/2024</v>
          </cell>
          <cell r="C199" t="str">
            <v>KHI/HO/D/MO/PC COMP/E/52469/00003/02/2025</v>
          </cell>
          <cell r="D199" t="str">
            <v>REN</v>
          </cell>
          <cell r="E199" t="str">
            <v>19/02/25</v>
          </cell>
          <cell r="F199" t="str">
            <v>05/11/2024</v>
          </cell>
          <cell r="G199" t="str">
            <v>04/11/2025</v>
          </cell>
          <cell r="H199" t="str">
            <v>08004499</v>
          </cell>
          <cell r="I199" t="str">
            <v>AL BARAKA BANK (PAKISTAN) LIMITED</v>
          </cell>
          <cell r="J199" t="str">
            <v>BANK</v>
          </cell>
          <cell r="K199" t="str">
            <v>HPA M/s. Al Baraka Bank (Pakistan) Limited
Hpa M/S. Al Baraka Bank (Pakistan) Limited
User: Muhammad Idrees</v>
          </cell>
          <cell r="L199" t="str">
            <v>D</v>
          </cell>
          <cell r="M199" t="str">
            <v>09000221</v>
          </cell>
          <cell r="N199">
            <v>100</v>
          </cell>
          <cell r="O199" t="str">
            <v>KARACHI</v>
          </cell>
          <cell r="P199" t="str">
            <v>House No. 13 Street 3 Babu Sabu Road Shera Kot Lahore</v>
          </cell>
          <cell r="Q199" t="str">
            <v>11000003</v>
          </cell>
          <cell r="R199" t="str">
            <v>SUZUKI WAGON-R VXL E2</v>
          </cell>
          <cell r="S199" t="str">
            <v>2018</v>
          </cell>
          <cell r="T199" t="str">
            <v>LEC-18A-6259</v>
          </cell>
          <cell r="U199" t="str">
            <v>175093</v>
          </cell>
          <cell r="V199" t="str">
            <v>10075076</v>
          </cell>
          <cell r="W199" t="str">
            <v>05-dec-2025</v>
          </cell>
          <cell r="Y199">
            <v>-769600</v>
          </cell>
          <cell r="Z199">
            <v>-24879</v>
          </cell>
          <cell r="AA199">
            <v>-28860</v>
          </cell>
        </row>
        <row r="200">
          <cell r="B200" t="str">
            <v>KHI/HO/D/MO/PC COMP/P/101342/11/2024</v>
          </cell>
          <cell r="C200" t="str">
            <v>KHI/HO/D/MO/PC COMP/E/52470/00003/02/2025</v>
          </cell>
          <cell r="D200" t="str">
            <v>FRE</v>
          </cell>
          <cell r="E200" t="str">
            <v>19/02/25</v>
          </cell>
          <cell r="F200" t="str">
            <v>05/11/2024</v>
          </cell>
          <cell r="G200" t="str">
            <v>04/11/2025</v>
          </cell>
          <cell r="H200" t="str">
            <v>08004499</v>
          </cell>
          <cell r="I200" t="str">
            <v>AL BARAKA BANK (PAKISTAN) LIMITED</v>
          </cell>
          <cell r="J200" t="str">
            <v>BANK</v>
          </cell>
          <cell r="K200" t="str">
            <v>Mr.
HPA M/s. Al Baraka Bank Pakitan Limited
M/s. Al Baraka Bank Pakistan Limited
User Mr. Salman ul Hasan Farooqui</v>
          </cell>
          <cell r="L200" t="str">
            <v>D</v>
          </cell>
          <cell r="M200" t="str">
            <v>09000221</v>
          </cell>
          <cell r="N200">
            <v>100</v>
          </cell>
          <cell r="P200" t="str">
            <v>3rd Floor Flat no 77, G Street 19, Askari IV Rashid Minhas Road Karachi</v>
          </cell>
          <cell r="Q200" t="str">
            <v>11000003</v>
          </cell>
          <cell r="R200" t="str">
            <v>TOYOTA Yaris ATIV 1.3 (CV</v>
          </cell>
          <cell r="S200" t="str">
            <v>2021</v>
          </cell>
          <cell r="T200" t="str">
            <v>BTJ-559</v>
          </cell>
          <cell r="U200" t="str">
            <v>23589</v>
          </cell>
          <cell r="V200" t="str">
            <v>7014189</v>
          </cell>
          <cell r="X200" t="str">
            <v>3</v>
          </cell>
          <cell r="Y200">
            <v>-3800000</v>
          </cell>
          <cell r="Z200">
            <v>-49138</v>
          </cell>
          <cell r="AA200">
            <v>-57000</v>
          </cell>
        </row>
        <row r="201">
          <cell r="B201" t="str">
            <v>KHI/HO/D/MO/PC COMP/P/98823/10/2024</v>
          </cell>
          <cell r="C201" t="str">
            <v>KHI/HO/D/MO/PC COMP/E/52471/00044/02/2025</v>
          </cell>
          <cell r="D201" t="str">
            <v>FRE</v>
          </cell>
          <cell r="E201" t="str">
            <v>19/02/25</v>
          </cell>
          <cell r="F201" t="str">
            <v>31/10/2024</v>
          </cell>
          <cell r="G201" t="str">
            <v>30/10/2025</v>
          </cell>
          <cell r="H201" t="str">
            <v>08004499</v>
          </cell>
          <cell r="I201" t="str">
            <v>AL BARAKA BANK (PAKISTAN) LIMITED</v>
          </cell>
          <cell r="J201" t="str">
            <v>BANK</v>
          </cell>
          <cell r="K201" t="str">
            <v>Mr. 
HPA M/s. Al Baraka Bank Pakistan Limited
Mr. Muhammad Asghar 
HPA M/s. Al Baraka Bank Pakistan Limited</v>
          </cell>
          <cell r="L201" t="str">
            <v>D</v>
          </cell>
          <cell r="M201" t="str">
            <v>09000221</v>
          </cell>
          <cell r="N201">
            <v>100</v>
          </cell>
          <cell r="P201" t="str">
            <v>Raja Bola Village PO Khas Lahore</v>
          </cell>
          <cell r="Q201" t="str">
            <v>11000003</v>
          </cell>
          <cell r="R201" t="str">
            <v>SUZUKI ALTO VXR E-2</v>
          </cell>
          <cell r="S201" t="str">
            <v>2020</v>
          </cell>
          <cell r="T201" t="str">
            <v>AAK-969</v>
          </cell>
          <cell r="U201" t="str">
            <v>6R138903</v>
          </cell>
          <cell r="V201" t="str">
            <v>H1038896</v>
          </cell>
          <cell r="X201" t="str">
            <v>3</v>
          </cell>
          <cell r="Y201">
            <v>-2150000</v>
          </cell>
          <cell r="Z201">
            <v>-37069</v>
          </cell>
          <cell r="AA201">
            <v>-43000</v>
          </cell>
        </row>
        <row r="202">
          <cell r="B202" t="str">
            <v>KHI/HO/D/MO/CV/P/88993/05/2024</v>
          </cell>
          <cell r="C202" t="str">
            <v>HO/D/MO/CV/E/52479/00002/02/2025</v>
          </cell>
          <cell r="D202" t="str">
            <v>REN</v>
          </cell>
          <cell r="E202" t="str">
            <v>19/02/25</v>
          </cell>
          <cell r="F202" t="str">
            <v>16/05/2024</v>
          </cell>
          <cell r="G202" t="str">
            <v>15/05/2025</v>
          </cell>
          <cell r="H202" t="str">
            <v>08004499</v>
          </cell>
          <cell r="I202" t="str">
            <v>AL BARAKA BANK (PAKISTAN) LIMITED</v>
          </cell>
          <cell r="J202" t="str">
            <v>BANK</v>
          </cell>
          <cell r="K202" t="str">
            <v>HPA M/s. Al Baraka Bank (Pakistan) Limited
Mr. Hafiz Muhammad Azeem
HPA M/s. Al Baraka Bank (Pakistan) Limited</v>
          </cell>
          <cell r="L202" t="str">
            <v>D</v>
          </cell>
          <cell r="M202" t="str">
            <v>09000221</v>
          </cell>
          <cell r="N202">
            <v>100</v>
          </cell>
          <cell r="P202" t="str">
            <v>H-410 N St 18 Block D PWD Housing Society Islamabad</v>
          </cell>
          <cell r="Q202" t="str">
            <v>11000003</v>
          </cell>
          <cell r="R202" t="str">
            <v>SUZUKI RAVI STD</v>
          </cell>
          <cell r="S202" t="str">
            <v>2022</v>
          </cell>
          <cell r="U202" t="str">
            <v>384371</v>
          </cell>
          <cell r="V202" t="str">
            <v>489036</v>
          </cell>
          <cell r="X202" t="str">
            <v>3</v>
          </cell>
          <cell r="Y202">
            <v>-1067600</v>
          </cell>
          <cell r="Z202">
            <v>0</v>
          </cell>
          <cell r="AA202">
            <v>0</v>
          </cell>
        </row>
        <row r="203">
          <cell r="B203" t="str">
            <v>KHI/HO/D/MO/PC COMP/P/83022/02/2024</v>
          </cell>
          <cell r="C203" t="str">
            <v>KHI/HO/D/MO/PC COMP/E/52480/00007/02/2025</v>
          </cell>
          <cell r="D203" t="str">
            <v>FRE</v>
          </cell>
          <cell r="E203" t="str">
            <v>19/02/25</v>
          </cell>
          <cell r="F203" t="str">
            <v>09/02/2024</v>
          </cell>
          <cell r="G203" t="str">
            <v>08/02/2025</v>
          </cell>
          <cell r="H203" t="str">
            <v>08004499</v>
          </cell>
          <cell r="I203" t="str">
            <v>AL BARAKA BANK (PAKISTAN) LIMITED</v>
          </cell>
          <cell r="J203" t="str">
            <v>BANK</v>
          </cell>
          <cell r="K203" t="str">
            <v>Mr
HPA M/s. Al Baraka Bank (Pakistan) Limited
Mr Muhammad Tayyab 
HPA M/s. Al Baraka Bank (Pakistan) Limited</v>
          </cell>
          <cell r="L203" t="str">
            <v>D</v>
          </cell>
          <cell r="M203" t="str">
            <v>09000221</v>
          </cell>
          <cell r="N203">
            <v>100</v>
          </cell>
          <cell r="P203" t="str">
            <v>Near Kss School Barkat Colony Shalimar Scheme Daroghawala Lahore</v>
          </cell>
          <cell r="Q203" t="str">
            <v>11000003</v>
          </cell>
          <cell r="R203" t="str">
            <v>SUZUKI CULTUS VXR EURO-II</v>
          </cell>
          <cell r="S203" t="str">
            <v>2017</v>
          </cell>
          <cell r="T203" t="str">
            <v>LEC-17-8578</v>
          </cell>
          <cell r="U203" t="str">
            <v>637250</v>
          </cell>
          <cell r="V203" t="str">
            <v>544125</v>
          </cell>
          <cell r="X203" t="str">
            <v>3</v>
          </cell>
          <cell r="Y203">
            <v>-1450000</v>
          </cell>
          <cell r="Z203">
            <v>-25439</v>
          </cell>
          <cell r="AA203">
            <v>-29000</v>
          </cell>
        </row>
        <row r="204">
          <cell r="B204" t="str">
            <v>KHI/HO/D/MO/PC COMP/P/103764/12/2024</v>
          </cell>
          <cell r="C204" t="str">
            <v>KHI/HO/D/MO/PC COMP/E/52481/00012/02/2025</v>
          </cell>
          <cell r="D204" t="str">
            <v>REN</v>
          </cell>
          <cell r="E204" t="str">
            <v>19/02/25</v>
          </cell>
          <cell r="F204" t="str">
            <v>23/12/2024</v>
          </cell>
          <cell r="G204" t="str">
            <v>22/12/2025</v>
          </cell>
          <cell r="H204" t="str">
            <v>08004499</v>
          </cell>
          <cell r="I204" t="str">
            <v>AL BARAKA BANK (PAKISTAN) LIMITED</v>
          </cell>
          <cell r="J204" t="str">
            <v>BANK</v>
          </cell>
          <cell r="K204" t="str">
            <v>M/s. Al Baraka Bank (Pakistan) Limited
M/S. Al Baraka Bank (Pakistan) Limited 
User: Faisal  .</v>
          </cell>
          <cell r="L204" t="str">
            <v>D</v>
          </cell>
          <cell r="M204" t="str">
            <v>09000221</v>
          </cell>
          <cell r="N204">
            <v>100</v>
          </cell>
          <cell r="O204" t="str">
            <v>KARACHI</v>
          </cell>
          <cell r="P204" t="str">
            <v>H No 261 Street No 20 Azam Basti Mehmoodabad Karachi</v>
          </cell>
          <cell r="Q204" t="str">
            <v>11000003</v>
          </cell>
          <cell r="R204" t="str">
            <v>SUZUKI ALTO</v>
          </cell>
          <cell r="S204" t="str">
            <v>2024</v>
          </cell>
          <cell r="T204" t="str">
            <v>BZH-314</v>
          </cell>
          <cell r="U204" t="str">
            <v>291969</v>
          </cell>
          <cell r="V204" t="str">
            <v>1192048</v>
          </cell>
          <cell r="W204" t="str">
            <v>26-jan-2029</v>
          </cell>
          <cell r="Y204">
            <v>-2350800</v>
          </cell>
          <cell r="Z204">
            <v>-25332</v>
          </cell>
          <cell r="AA204">
            <v>-25585</v>
          </cell>
        </row>
        <row r="205">
          <cell r="B205" t="str">
            <v>KHI/HO/D/MO/PC COMP/P/103764/12/2024</v>
          </cell>
          <cell r="C205" t="str">
            <v>KHI/HO/D/MO/PC COMP/E/52481/00117/02/2025</v>
          </cell>
          <cell r="D205" t="str">
            <v>REN</v>
          </cell>
          <cell r="E205" t="str">
            <v>19/02/25</v>
          </cell>
          <cell r="F205" t="str">
            <v>28/12/2024</v>
          </cell>
          <cell r="G205" t="str">
            <v>27/12/2025</v>
          </cell>
          <cell r="H205" t="str">
            <v>08004499</v>
          </cell>
          <cell r="I205" t="str">
            <v>AL BARAKA BANK (PAKISTAN) LIMITED</v>
          </cell>
          <cell r="J205" t="str">
            <v>BANK</v>
          </cell>
          <cell r="K205" t="str">
            <v>M/s. Al Baraka Bank (Pakistan) Limited
M/S. Al Baraka Bank (Pakistan) Limited 
User: Aleem  Ali</v>
          </cell>
          <cell r="L205" t="str">
            <v>D</v>
          </cell>
          <cell r="M205" t="str">
            <v>09000221</v>
          </cell>
          <cell r="N205">
            <v>100</v>
          </cell>
          <cell r="O205" t="str">
            <v>KARACHI</v>
          </cell>
          <cell r="P205" t="str">
            <v>Chak 466 Gb Shahpur Samundari Faisalabad</v>
          </cell>
          <cell r="Q205" t="str">
            <v>11000003</v>
          </cell>
          <cell r="R205" t="str">
            <v>CHANGAN KARVAAN PLUS</v>
          </cell>
          <cell r="S205" t="str">
            <v>2021</v>
          </cell>
          <cell r="T205" t="str">
            <v>AGJ-740</v>
          </cell>
          <cell r="U205" t="str">
            <v>503297</v>
          </cell>
          <cell r="V205" t="str">
            <v>1011387</v>
          </cell>
          <cell r="W205" t="str">
            <v>11-may-2029</v>
          </cell>
          <cell r="Y205">
            <v>-1231200</v>
          </cell>
          <cell r="Z205">
            <v>-26535</v>
          </cell>
          <cell r="AA205">
            <v>-30780</v>
          </cell>
        </row>
        <row r="206">
          <cell r="B206" t="str">
            <v>KHI/HO/D/MO/PC COMP/P/107407/02/2025</v>
          </cell>
          <cell r="C206" t="str">
            <v>KHI/HO/D/MO/PC COMP/E/52526/00054/02/2025</v>
          </cell>
          <cell r="D206" t="str">
            <v>REN</v>
          </cell>
          <cell r="E206" t="str">
            <v>20/02/25</v>
          </cell>
          <cell r="F206" t="str">
            <v>16/02/2025</v>
          </cell>
          <cell r="G206" t="str">
            <v>15/02/2026</v>
          </cell>
          <cell r="H206" t="str">
            <v>08004499</v>
          </cell>
          <cell r="I206" t="str">
            <v>AL BARAKA BANK (PAKISTAN) LIMITED</v>
          </cell>
          <cell r="J206" t="str">
            <v>BANK</v>
          </cell>
          <cell r="K206" t="str">
            <v>Mr.
HPA M/s. Al Baraka Bank (Pakistan) Limited
Hpa M/S. Al Baraka Bank (Pakistan) Limited 
User: Rao  Zohair  Hussain</v>
          </cell>
          <cell r="L206" t="str">
            <v>D</v>
          </cell>
          <cell r="M206" t="str">
            <v>09000221</v>
          </cell>
          <cell r="N206">
            <v>100</v>
          </cell>
          <cell r="O206" t="str">
            <v>KARACHI</v>
          </cell>
          <cell r="P206" t="str">
            <v>H # R-329 Anwar-e-Ibrahim Malir City Karachi</v>
          </cell>
          <cell r="Q206" t="str">
            <v>11000003</v>
          </cell>
          <cell r="R206" t="str">
            <v>SUZUKI ALTO VXL AGS E-2</v>
          </cell>
          <cell r="S206" t="str">
            <v>2020</v>
          </cell>
          <cell r="T206" t="str">
            <v>BRT-130</v>
          </cell>
          <cell r="U206" t="str">
            <v>6R125324</v>
          </cell>
          <cell r="V206" t="str">
            <v>1025347</v>
          </cell>
          <cell r="W206" t="str">
            <v>06-mar-2028</v>
          </cell>
          <cell r="Y206">
            <v>557500</v>
          </cell>
          <cell r="Z206">
            <v>7210</v>
          </cell>
          <cell r="AA206">
            <v>8363</v>
          </cell>
        </row>
        <row r="207">
          <cell r="B207" t="str">
            <v>KHI/HO/D/MO/CV/P/85008/03/2024</v>
          </cell>
          <cell r="C207" t="str">
            <v>KHI/HO/D/MO/CV/E/52568/00001/02/2025</v>
          </cell>
          <cell r="D207" t="str">
            <v>REN</v>
          </cell>
          <cell r="E207" t="str">
            <v>21/02/25</v>
          </cell>
          <cell r="F207" t="str">
            <v>02/03/2024</v>
          </cell>
          <cell r="G207" t="str">
            <v>01/03/2025</v>
          </cell>
          <cell r="H207" t="str">
            <v>08004499</v>
          </cell>
          <cell r="I207" t="str">
            <v>AL BARAKA BANK (PAKISTAN) LIMITED</v>
          </cell>
          <cell r="J207" t="str">
            <v>BANK</v>
          </cell>
          <cell r="K207" t="str">
            <v>HPA M/s. Al Baraka Bank (Pakistan) Limited
Mr. Atif Khan
HPA M/s. Al Baraka Bank (Pakistan) Limited</v>
          </cell>
          <cell r="L207" t="str">
            <v>D</v>
          </cell>
          <cell r="M207" t="str">
            <v>09000221</v>
          </cell>
          <cell r="N207">
            <v>100</v>
          </cell>
          <cell r="O207" t="str">
            <v>KARACHI</v>
          </cell>
          <cell r="P207" t="str">
            <v>House No. C-38 Block H North Nazimabad Karachi</v>
          </cell>
          <cell r="Q207" t="str">
            <v>11000003</v>
          </cell>
          <cell r="R207" t="str">
            <v>JAC X-200</v>
          </cell>
          <cell r="S207" t="str">
            <v>2021</v>
          </cell>
          <cell r="T207" t="str">
            <v>KZ-7066</v>
          </cell>
          <cell r="U207" t="str">
            <v>L4018839</v>
          </cell>
          <cell r="V207" t="str">
            <v>L1803436</v>
          </cell>
          <cell r="X207" t="str">
            <v>3</v>
          </cell>
          <cell r="Y207">
            <v>1932000</v>
          </cell>
          <cell r="Z207">
            <v>-23911</v>
          </cell>
          <cell r="AA207">
            <v>-24150</v>
          </cell>
        </row>
        <row r="208">
          <cell r="B208" t="str">
            <v>KHI/HO/D/MO/PC COMP/P/70036/04/2023</v>
          </cell>
          <cell r="C208" t="str">
            <v>KHI/HO/D/MO/PC COMP/E/52591/00033/02/2025</v>
          </cell>
          <cell r="D208" t="str">
            <v>REN</v>
          </cell>
          <cell r="E208" t="str">
            <v>24/02/25</v>
          </cell>
          <cell r="F208" t="str">
            <v>28/04/2023</v>
          </cell>
          <cell r="G208" t="str">
            <v>27/04/2024</v>
          </cell>
          <cell r="H208" t="str">
            <v>08004499</v>
          </cell>
          <cell r="I208" t="str">
            <v>AL BARAKA BANK (PAKISTAN) LIMITED</v>
          </cell>
          <cell r="J208" t="str">
            <v>BANK</v>
          </cell>
          <cell r="K208" t="str">
            <v>HPA M/s. Al Baraka Bank Pakistan Limited
Mr. Noman Mehdi 
HPA M/s. Al Baraka Bank Pakistan Limited</v>
          </cell>
          <cell r="L208" t="str">
            <v>D</v>
          </cell>
          <cell r="M208" t="str">
            <v>09000221</v>
          </cell>
          <cell r="N208">
            <v>100</v>
          </cell>
          <cell r="O208" t="str">
            <v>KARACHI</v>
          </cell>
          <cell r="P208" t="str">
            <v>Flat No. 806 Gulf Residency  Gulf tower Karachi</v>
          </cell>
          <cell r="Q208" t="str">
            <v>11000003</v>
          </cell>
          <cell r="R208" t="str">
            <v>TOYOTA YARIS ATIV X CVT</v>
          </cell>
          <cell r="S208" t="str">
            <v>2021</v>
          </cell>
          <cell r="U208" t="str">
            <v>24518</v>
          </cell>
          <cell r="V208" t="str">
            <v>9509772</v>
          </cell>
          <cell r="X208" t="str">
            <v>3</v>
          </cell>
          <cell r="Y208">
            <v>148250</v>
          </cell>
          <cell r="Z208">
            <v>1917</v>
          </cell>
          <cell r="AA208">
            <v>2224</v>
          </cell>
        </row>
        <row r="209">
          <cell r="B209" t="str">
            <v>KHI/HO/D/MO/PC COMP/P/86646/04/2024</v>
          </cell>
          <cell r="C209" t="str">
            <v>KHI/HO/D/MO/PC COMP/E/52594/00059/02/2025</v>
          </cell>
          <cell r="D209" t="str">
            <v>REN</v>
          </cell>
          <cell r="E209" t="str">
            <v>24/02/25</v>
          </cell>
          <cell r="F209" t="str">
            <v>25/04/2024</v>
          </cell>
          <cell r="G209" t="str">
            <v>24/04/2025</v>
          </cell>
          <cell r="H209" t="str">
            <v>08004499</v>
          </cell>
          <cell r="I209" t="str">
            <v>AL BARAKA BANK (PAKISTAN) LIMITED</v>
          </cell>
          <cell r="J209" t="str">
            <v>BANK</v>
          </cell>
          <cell r="K209" t="str">
            <v>M/s. Al Baraka Bank (Pakistan) Limited
Mr. Muhammad Afzal
HPA M/s. Al Baraka Bank Pakistan Limited</v>
          </cell>
          <cell r="L209" t="str">
            <v>D</v>
          </cell>
          <cell r="M209" t="str">
            <v>09000221</v>
          </cell>
          <cell r="N209">
            <v>100</v>
          </cell>
          <cell r="P209" t="str">
            <v>H No 2 St 3 Rasool ullah Town Sanghar Rawalpindi</v>
          </cell>
          <cell r="Q209" t="str">
            <v>11000003</v>
          </cell>
          <cell r="R209" t="str">
            <v>SUZUKI ALTO VXL AGS</v>
          </cell>
          <cell r="S209" t="str">
            <v>2022</v>
          </cell>
          <cell r="T209" t="str">
            <v>AYV-912</v>
          </cell>
          <cell r="U209" t="str">
            <v>227175</v>
          </cell>
          <cell r="V209" t="str">
            <v>1127175</v>
          </cell>
          <cell r="Y209">
            <v>-1603100</v>
          </cell>
          <cell r="Z209">
            <v>0</v>
          </cell>
          <cell r="AA209">
            <v>0</v>
          </cell>
        </row>
        <row r="210">
          <cell r="B210" t="str">
            <v>KHI/HO/D/MO/PC COMP/P/88249/05/2024</v>
          </cell>
          <cell r="C210" t="str">
            <v>KHI/HO/D/MO/PC COMP/E/52596/00013/02/2025</v>
          </cell>
          <cell r="D210" t="str">
            <v>FRE</v>
          </cell>
          <cell r="E210" t="str">
            <v>24/02/25</v>
          </cell>
          <cell r="F210" t="str">
            <v>15/05/2024</v>
          </cell>
          <cell r="G210" t="str">
            <v>14/05/2025</v>
          </cell>
          <cell r="H210" t="str">
            <v>08004499</v>
          </cell>
          <cell r="I210" t="str">
            <v>AL BARAKA BANK (PAKISTAN) LIMITED</v>
          </cell>
          <cell r="J210" t="str">
            <v>BANK</v>
          </cell>
          <cell r="K210" t="str">
            <v>Mr.
HPA M/s. Al Baraka Bank (Pakistan) Limited
Mr. Imran Ali 
HPA M/s. Al Baraka Bank (Pakistan) Limited</v>
          </cell>
          <cell r="L210" t="str">
            <v>D</v>
          </cell>
          <cell r="M210" t="str">
            <v>09000221</v>
          </cell>
          <cell r="N210">
            <v>100</v>
          </cell>
          <cell r="P210" t="str">
            <v>Flat No. 5 Mahboob Terrace Plot 15/6-C Block D North Nazimabad Karachi</v>
          </cell>
          <cell r="Q210" t="str">
            <v>11000003</v>
          </cell>
          <cell r="R210" t="str">
            <v>FAW V2 M/T</v>
          </cell>
          <cell r="S210" t="str">
            <v>2019</v>
          </cell>
          <cell r="T210" t="str">
            <v>BQT227</v>
          </cell>
          <cell r="U210" t="str">
            <v>301134</v>
          </cell>
          <cell r="V210" t="str">
            <v>19002464</v>
          </cell>
          <cell r="X210" t="str">
            <v>3</v>
          </cell>
          <cell r="Y210">
            <v>-1400000</v>
          </cell>
          <cell r="Z210">
            <v>0</v>
          </cell>
          <cell r="AA210">
            <v>0</v>
          </cell>
        </row>
        <row r="211">
          <cell r="B211" t="str">
            <v>KHI/HO/D/MO/PC COMP/P/83400/02/2024</v>
          </cell>
          <cell r="C211" t="str">
            <v>KHI/HO/D/MO/PC COMP/E/52598/00001/02/2025</v>
          </cell>
          <cell r="D211" t="str">
            <v>REN</v>
          </cell>
          <cell r="E211" t="str">
            <v>24/02/25</v>
          </cell>
          <cell r="F211" t="str">
            <v>20/03/2022</v>
          </cell>
          <cell r="G211" t="str">
            <v>19/03/2023</v>
          </cell>
          <cell r="H211" t="str">
            <v>08004499</v>
          </cell>
          <cell r="I211" t="str">
            <v>AL BARAKA BANK (PAKISTAN) LIMITED</v>
          </cell>
          <cell r="J211" t="str">
            <v>BANK</v>
          </cell>
          <cell r="K211" t="str">
            <v>M/s. Al Baraka Bank (Pakistan) Limited
Mr. Muhammad Irfan
HPA M/s. Al Baraka Bank (Pakistan) Limited</v>
          </cell>
          <cell r="L211" t="str">
            <v>D</v>
          </cell>
          <cell r="M211" t="str">
            <v>09000221</v>
          </cell>
          <cell r="N211">
            <v>100</v>
          </cell>
          <cell r="P211" t="str">
            <v>Upper Portion H # 383 Block F Gulshan-e-Ravi Lahore</v>
          </cell>
          <cell r="Q211" t="str">
            <v>11000003</v>
          </cell>
          <cell r="R211" t="str">
            <v>HONDA CIVIC VTI  ORIEL PT</v>
          </cell>
          <cell r="S211" t="str">
            <v>2020</v>
          </cell>
          <cell r="T211" t="str">
            <v>LEB-20-1137</v>
          </cell>
          <cell r="U211" t="str">
            <v>Z12957038</v>
          </cell>
          <cell r="V211" t="str">
            <v>LR061017</v>
          </cell>
          <cell r="X211" t="str">
            <v>3</v>
          </cell>
          <cell r="Y211">
            <v>392700</v>
          </cell>
          <cell r="Z211">
            <v>5078</v>
          </cell>
          <cell r="AA211">
            <v>5891</v>
          </cell>
        </row>
        <row r="212">
          <cell r="B212" t="str">
            <v>KHI/HO/D/MO/PC COMP/P/54909/07/2021</v>
          </cell>
          <cell r="C212" t="str">
            <v>KHI/HO/D/MO/PC COMP/E/52787/00030/02/2025</v>
          </cell>
          <cell r="D212" t="str">
            <v>FRE</v>
          </cell>
          <cell r="E212" t="str">
            <v>28/02/25</v>
          </cell>
          <cell r="F212" t="str">
            <v>15/07/2021</v>
          </cell>
          <cell r="G212" t="str">
            <v>14/07/2022</v>
          </cell>
          <cell r="H212" t="str">
            <v>08004499</v>
          </cell>
          <cell r="I212" t="str">
            <v>AL BARAKA BANK (PAKISTAN) LIMITED</v>
          </cell>
          <cell r="J212" t="str">
            <v>BANK</v>
          </cell>
          <cell r="K212" t="str">
            <v>HPA M/s. Al Baraka Bank Pakistan Limited
Mr. Tariq Mehmood Khan   
HPA M/s. Al Baraka Bank Pakistan Limited</v>
          </cell>
          <cell r="L212" t="str">
            <v>D</v>
          </cell>
          <cell r="M212" t="str">
            <v>09000221</v>
          </cell>
          <cell r="N212">
            <v>100</v>
          </cell>
          <cell r="O212" t="str">
            <v>RAWALPINDI</v>
          </cell>
          <cell r="P212" t="str">
            <v>House No. 135 Lane 6 Askari 10 Rawalpindi</v>
          </cell>
          <cell r="Q212" t="str">
            <v>11000003</v>
          </cell>
          <cell r="R212" t="str">
            <v>SUZUKI CULTUS VXL EURO II</v>
          </cell>
          <cell r="S212" t="str">
            <v>2021</v>
          </cell>
          <cell r="U212" t="str">
            <v>178707</v>
          </cell>
          <cell r="V212" t="str">
            <v>10078700</v>
          </cell>
          <cell r="X212" t="str">
            <v>3</v>
          </cell>
          <cell r="Y212">
            <v>120000</v>
          </cell>
          <cell r="Z212">
            <v>2586</v>
          </cell>
          <cell r="AA212">
            <v>3000</v>
          </cell>
        </row>
        <row r="213">
          <cell r="B213" t="str">
            <v>KHI/HO/D/MO/PC COMP/P/72882/07/2023</v>
          </cell>
          <cell r="C213" t="str">
            <v>KHI/HO/D/MO/PC COMP/E/52788/00014/02/2025</v>
          </cell>
          <cell r="D213" t="str">
            <v>REN</v>
          </cell>
          <cell r="E213" t="str">
            <v>28/02/25</v>
          </cell>
          <cell r="F213" t="str">
            <v>15/07/2023</v>
          </cell>
          <cell r="G213" t="str">
            <v>14/07/2024</v>
          </cell>
          <cell r="H213" t="str">
            <v>08004499</v>
          </cell>
          <cell r="I213" t="str">
            <v>AL BARAKA BANK (PAKISTAN) LIMITED</v>
          </cell>
          <cell r="J213" t="str">
            <v>BANK</v>
          </cell>
          <cell r="K213" t="str">
            <v>M/S. AL BARAKA BANK (PAKISTAN ) LIMITED
Mr. Tariq Mehmood Khan
HPA M/s. Al Baraka Bank Pakistan Limited</v>
          </cell>
          <cell r="L213" t="str">
            <v>D</v>
          </cell>
          <cell r="M213" t="str">
            <v>09000221</v>
          </cell>
          <cell r="N213">
            <v>100</v>
          </cell>
          <cell r="P213" t="str">
            <v>House No. 135 Lane 6 Askari 10 Rawalpindi</v>
          </cell>
          <cell r="Q213" t="str">
            <v>11000003</v>
          </cell>
          <cell r="R213" t="str">
            <v>SUZUKI CULTUS VXL EURO II</v>
          </cell>
          <cell r="S213" t="str">
            <v>2021</v>
          </cell>
          <cell r="T213" t="str">
            <v>AUE-852</v>
          </cell>
          <cell r="U213" t="str">
            <v>178707</v>
          </cell>
          <cell r="V213" t="str">
            <v>10078700</v>
          </cell>
          <cell r="X213" t="str">
            <v>3</v>
          </cell>
          <cell r="Y213">
            <v>-95160</v>
          </cell>
          <cell r="Z213">
            <v>-2355</v>
          </cell>
          <cell r="AA213">
            <v>-2379</v>
          </cell>
        </row>
        <row r="214">
          <cell r="B214" t="str">
            <v>KHI/HO/D/MO/PC COMP/P/72882/07/2023</v>
          </cell>
          <cell r="C214" t="str">
            <v>KHI/HO/D/MO/PC COMP/E/52788/00011/02/2025</v>
          </cell>
          <cell r="D214" t="str">
            <v>REN</v>
          </cell>
          <cell r="E214" t="str">
            <v>28/02/25</v>
          </cell>
          <cell r="F214" t="str">
            <v>01/08/2023</v>
          </cell>
          <cell r="G214" t="str">
            <v>31/07/2024</v>
          </cell>
          <cell r="H214" t="str">
            <v>08004499</v>
          </cell>
          <cell r="I214" t="str">
            <v>AL BARAKA BANK (PAKISTAN) LIMITED</v>
          </cell>
          <cell r="J214" t="str">
            <v>BANK</v>
          </cell>
          <cell r="K214" t="str">
            <v>M/S. AL BARAKA BANK (PAKISTAN ) LIMITED
Mr. Omais Munir
HPA M/s. Al Baraka Bank ( Pakistan ) Limited</v>
          </cell>
          <cell r="L214" t="str">
            <v>D</v>
          </cell>
          <cell r="M214" t="str">
            <v>09000221</v>
          </cell>
          <cell r="N214">
            <v>100</v>
          </cell>
          <cell r="P214" t="str">
            <v>H No 108 C Mohallah Muhammad Abad Faisalabad</v>
          </cell>
          <cell r="Q214" t="str">
            <v>11000003</v>
          </cell>
          <cell r="R214" t="str">
            <v>HYUNDAI ELANTRA A/T SUNRO</v>
          </cell>
          <cell r="S214" t="str">
            <v>2022</v>
          </cell>
          <cell r="U214" t="str">
            <v>G4FGNU202221</v>
          </cell>
          <cell r="V214" t="str">
            <v>PMHD841CMNN304404</v>
          </cell>
          <cell r="X214" t="str">
            <v>3</v>
          </cell>
          <cell r="Y214">
            <v>-158600</v>
          </cell>
          <cell r="Z214">
            <v>0</v>
          </cell>
          <cell r="AA214">
            <v>0</v>
          </cell>
        </row>
        <row r="215">
          <cell r="B215" t="str">
            <v>KHI/HO/D/MO/PC COMP/P/93460/07/2024</v>
          </cell>
          <cell r="C215" t="str">
            <v>KHI/HO/D/MO/PC COMP/E/52789/00011/02/2025</v>
          </cell>
          <cell r="D215" t="str">
            <v>REN</v>
          </cell>
          <cell r="E215" t="str">
            <v>28/02/25</v>
          </cell>
          <cell r="F215" t="str">
            <v>15/07/2024</v>
          </cell>
          <cell r="G215" t="str">
            <v>14/07/2025</v>
          </cell>
          <cell r="H215" t="str">
            <v>08004499</v>
          </cell>
          <cell r="I215" t="str">
            <v>AL BARAKA BANK (PAKISTAN) LIMITED</v>
          </cell>
          <cell r="J215" t="str">
            <v>BANK</v>
          </cell>
          <cell r="K215" t="str">
            <v>M/S. AL BARAKA BANK (PAKISTAN ) LIMITED
Mr. Tariq Mehmood Khan
HPA M/s. Al Baraka Bank Pakistan Limited</v>
          </cell>
          <cell r="L215" t="str">
            <v>D</v>
          </cell>
          <cell r="M215" t="str">
            <v>09000221</v>
          </cell>
          <cell r="N215">
            <v>100</v>
          </cell>
          <cell r="P215" t="str">
            <v>House No. 135 Lane 6 Askari 10 Rawalpindi</v>
          </cell>
          <cell r="Q215" t="str">
            <v>11000003</v>
          </cell>
          <cell r="R215" t="str">
            <v>SUZUKI CULTUS VXL EURO II</v>
          </cell>
          <cell r="S215" t="str">
            <v>2021</v>
          </cell>
          <cell r="T215" t="str">
            <v>AUE-852</v>
          </cell>
          <cell r="U215" t="str">
            <v>178707</v>
          </cell>
          <cell r="V215" t="str">
            <v>10078700</v>
          </cell>
          <cell r="X215" t="str">
            <v>3</v>
          </cell>
          <cell r="Y215">
            <v>-95160</v>
          </cell>
          <cell r="Z215">
            <v>-2355</v>
          </cell>
          <cell r="AA215">
            <v>-2379</v>
          </cell>
        </row>
        <row r="216">
          <cell r="B216" t="str">
            <v>KHI/HO/D/MO/PC COMP/P/93457/07/2024</v>
          </cell>
          <cell r="C216" t="str">
            <v>KHI/HO/D/MO/PC COMP/E/52795/00034/02/2025</v>
          </cell>
          <cell r="D216" t="str">
            <v>REN</v>
          </cell>
          <cell r="E216" t="str">
            <v>28/02/25</v>
          </cell>
          <cell r="F216" t="str">
            <v>26/07/2024</v>
          </cell>
          <cell r="G216" t="str">
            <v>25/07/2025</v>
          </cell>
          <cell r="H216" t="str">
            <v>08004499</v>
          </cell>
          <cell r="I216" t="str">
            <v>AL BARAKA BANK (PAKISTAN) LIMITED</v>
          </cell>
          <cell r="J216" t="str">
            <v>BANK</v>
          </cell>
          <cell r="K216" t="str">
            <v>HPA M/s. Al Baraka Bank (Pakistan) Limited
Mr. Muhammad Yasir
HPA M/s. Al Baraka Bank (Pakistan) Limited</v>
          </cell>
          <cell r="L216" t="str">
            <v>D</v>
          </cell>
          <cell r="M216" t="str">
            <v>09000221</v>
          </cell>
          <cell r="N216">
            <v>100</v>
          </cell>
          <cell r="P216" t="str">
            <v>H # 27/5-A Waris Rd Lahore</v>
          </cell>
          <cell r="Q216" t="str">
            <v>11000003</v>
          </cell>
          <cell r="R216" t="str">
            <v>HONDA CITY</v>
          </cell>
          <cell r="S216" t="str">
            <v>2022</v>
          </cell>
          <cell r="T216" t="str">
            <v>ANA-752</v>
          </cell>
          <cell r="U216" t="str">
            <v>1013449</v>
          </cell>
          <cell r="V216" t="str">
            <v>NR024550</v>
          </cell>
          <cell r="Y216">
            <v>-2665600</v>
          </cell>
          <cell r="Z216">
            <v>-7181</v>
          </cell>
          <cell r="AA216">
            <v>-7181</v>
          </cell>
        </row>
        <row r="217">
          <cell r="B217" t="str">
            <v>KHI/HO/D/MO/CV/P/83823/02/2024</v>
          </cell>
          <cell r="C217" t="str">
            <v>KHI/HO/D/MO/CV/E/52796/02/2025</v>
          </cell>
          <cell r="D217" t="str">
            <v>FRE</v>
          </cell>
          <cell r="E217" t="str">
            <v>28/02/25</v>
          </cell>
          <cell r="F217" t="str">
            <v>01/02/2024</v>
          </cell>
          <cell r="G217" t="str">
            <v>31/01/2029</v>
          </cell>
          <cell r="H217" t="str">
            <v>08004499</v>
          </cell>
          <cell r="I217" t="str">
            <v>AL BARAKA BANK (PAKISTAN) LIMITED</v>
          </cell>
          <cell r="J217" t="str">
            <v>BANK</v>
          </cell>
          <cell r="K217" t="str">
            <v>Mr. Naseer Ahmad 
CNIC No. 31303-3836555-9
Cell No. 03039795100
...</v>
          </cell>
          <cell r="L217" t="str">
            <v>D</v>
          </cell>
          <cell r="M217" t="str">
            <v>09000221</v>
          </cell>
          <cell r="N217">
            <v>100</v>
          </cell>
          <cell r="O217" t="str">
            <v>RAHIM YAR KHAN</v>
          </cell>
          <cell r="Q217" t="str">
            <v>11000003</v>
          </cell>
          <cell r="R217" t="str">
            <v>MILLAT TRACTOR MF 385</v>
          </cell>
          <cell r="S217" t="str">
            <v>2023</v>
          </cell>
          <cell r="T217" t="str">
            <v>CAR-9912</v>
          </cell>
          <cell r="U217" t="str">
            <v>619338 J</v>
          </cell>
          <cell r="V217" t="str">
            <v>902702423</v>
          </cell>
          <cell r="Y217">
            <v>-3465000</v>
          </cell>
          <cell r="Z217">
            <v>-85718</v>
          </cell>
          <cell r="AA217">
            <v>-86625</v>
          </cell>
        </row>
        <row r="218">
          <cell r="B218" t="str">
            <v>KHI/HO/D/MO/PC COMP/P/88626/05/2024</v>
          </cell>
          <cell r="C218" t="str">
            <v>KHI/HO/D/MO/PC COMP/E/52826/00078/03/2025</v>
          </cell>
          <cell r="D218" t="str">
            <v>REN</v>
          </cell>
          <cell r="E218" t="str">
            <v>03/03/25</v>
          </cell>
          <cell r="F218" t="str">
            <v>11/05/2024</v>
          </cell>
          <cell r="G218" t="str">
            <v>10/05/2025</v>
          </cell>
          <cell r="H218" t="str">
            <v>08004499</v>
          </cell>
          <cell r="I218" t="str">
            <v>AL BARAKA BANK (PAKISTAN) LIMITED</v>
          </cell>
          <cell r="J218" t="str">
            <v>BANK</v>
          </cell>
          <cell r="K218" t="str">
            <v>Mr. 
HPA M/s. Al Baraka Bank (Pakistan) Limited
Mr. 
Hpa M/S. Al Baraka Bank (Pakistan) Limited 
User:Manzoor  Ahmad</v>
          </cell>
          <cell r="L218" t="str">
            <v>D</v>
          </cell>
          <cell r="M218" t="str">
            <v>09000221</v>
          </cell>
          <cell r="N218">
            <v>100</v>
          </cell>
          <cell r="O218" t="str">
            <v>KARACHI</v>
          </cell>
          <cell r="P218" t="str">
            <v>H # 178 Lda Sikandaria Colony Sodaywal Multan Road Lahore</v>
          </cell>
          <cell r="Q218" t="str">
            <v>11000003</v>
          </cell>
          <cell r="R218" t="str">
            <v>SUZUKI ALTO VXR E-2</v>
          </cell>
          <cell r="S218" t="str">
            <v>2022</v>
          </cell>
          <cell r="T218" t="str">
            <v>ADJ-427</v>
          </cell>
          <cell r="U218" t="str">
            <v>6R228551</v>
          </cell>
          <cell r="V218" t="str">
            <v>H1128477</v>
          </cell>
          <cell r="W218" t="str">
            <v>05-jun-2027</v>
          </cell>
          <cell r="Y218">
            <v>170850</v>
          </cell>
          <cell r="Z218">
            <v>3682</v>
          </cell>
          <cell r="AA218">
            <v>4271</v>
          </cell>
        </row>
        <row r="219">
          <cell r="B219" t="str">
            <v>KHI/HO/D/MO/PC COMP/P/88626/05/2024</v>
          </cell>
          <cell r="C219" t="str">
            <v>KHI/HO/D/MO/PC COMP/E/52826/00001/03/2025</v>
          </cell>
          <cell r="D219" t="str">
            <v>REN</v>
          </cell>
          <cell r="E219" t="str">
            <v>03/03/25</v>
          </cell>
          <cell r="F219" t="str">
            <v>03/05/2024</v>
          </cell>
          <cell r="G219" t="str">
            <v>02/05/2025</v>
          </cell>
          <cell r="H219" t="str">
            <v>08004499</v>
          </cell>
          <cell r="I219" t="str">
            <v>AL BARAKA BANK (PAKISTAN) LIMITED</v>
          </cell>
          <cell r="J219" t="str">
            <v>BANK</v>
          </cell>
          <cell r="K219" t="str">
            <v>Mr. 
HPA M/s. Al Baraka Bank (Pakistan) Limited
Mr. Masood Ahmed Khan
HPA M/s. Al Baraka Bank (Pakistan) Limited</v>
          </cell>
          <cell r="L219" t="str">
            <v>D</v>
          </cell>
          <cell r="M219" t="str">
            <v>09000221</v>
          </cell>
          <cell r="N219">
            <v>100</v>
          </cell>
          <cell r="P219" t="str">
            <v>House No. 134 Street 13 Block B PAEC Housing Society Rawat Rawalpindi</v>
          </cell>
          <cell r="Q219" t="str">
            <v>11000003</v>
          </cell>
          <cell r="R219" t="str">
            <v>SUZUKI WAGON-R VXL E2</v>
          </cell>
          <cell r="S219" t="str">
            <v>2021</v>
          </cell>
          <cell r="T219" t="str">
            <v>ATT-837</v>
          </cell>
          <cell r="U219" t="str">
            <v>214064</v>
          </cell>
          <cell r="V219" t="str">
            <v>10114073</v>
          </cell>
          <cell r="X219" t="str">
            <v>3</v>
          </cell>
          <cell r="Y219">
            <v>60550</v>
          </cell>
          <cell r="Z219">
            <v>8050</v>
          </cell>
          <cell r="AA219">
            <v>8131</v>
          </cell>
        </row>
        <row r="220">
          <cell r="B220" t="str">
            <v>KHI/HO/D/MO/PC COMP/P/90321/06/2024</v>
          </cell>
          <cell r="C220" t="str">
            <v>KHI/HO/D/MO/PC COMP/E/52828/00003/03/2025</v>
          </cell>
          <cell r="D220" t="str">
            <v>FRE</v>
          </cell>
          <cell r="E220" t="str">
            <v>03/03/25</v>
          </cell>
          <cell r="F220" t="str">
            <v>10/06/2024</v>
          </cell>
          <cell r="G220" t="str">
            <v>09/06/2025</v>
          </cell>
          <cell r="H220" t="str">
            <v>08004499</v>
          </cell>
          <cell r="I220" t="str">
            <v>AL BARAKA BANK (PAKISTAN) LIMITED</v>
          </cell>
          <cell r="J220" t="str">
            <v>BANK</v>
          </cell>
          <cell r="K220" t="str">
            <v>Mr.
HPA M/s. Al Baraka Bank (Pakistan) Limited
Mr. Kamran Rauf Chaudhary 
HPA M/s. Al Baraka Bank (Pakistan) Limited</v>
          </cell>
          <cell r="L220" t="str">
            <v>D</v>
          </cell>
          <cell r="M220" t="str">
            <v>09000221</v>
          </cell>
          <cell r="N220">
            <v>100</v>
          </cell>
          <cell r="P220" t="str">
            <v>H No 455 Block 3 Sector D 2 Green Town Lahore</v>
          </cell>
          <cell r="Q220" t="str">
            <v>11000003</v>
          </cell>
          <cell r="R220" t="str">
            <v>HONDA CITY PROSMATEC</v>
          </cell>
          <cell r="S220" t="str">
            <v>2020</v>
          </cell>
          <cell r="T220" t="str">
            <v>ABY-162</v>
          </cell>
          <cell r="U220" t="str">
            <v>17542125</v>
          </cell>
          <cell r="V220" t="str">
            <v>265393</v>
          </cell>
          <cell r="Y220">
            <v>3000000</v>
          </cell>
          <cell r="Z220">
            <v>12931</v>
          </cell>
          <cell r="AA220">
            <v>15000</v>
          </cell>
        </row>
        <row r="221">
          <cell r="B221" t="str">
            <v>KHI/HO/D/MO/PC COMP/P/86550/04/2024</v>
          </cell>
          <cell r="C221" t="str">
            <v>KHI/HO/D/MO/PC COMP/E/52829/00039/03/2025</v>
          </cell>
          <cell r="D221" t="str">
            <v>FRE</v>
          </cell>
          <cell r="E221" t="str">
            <v>03/03/25</v>
          </cell>
          <cell r="F221" t="str">
            <v>27/04/2024</v>
          </cell>
          <cell r="G221" t="str">
            <v>26/04/2025</v>
          </cell>
          <cell r="H221" t="str">
            <v>08004499</v>
          </cell>
          <cell r="I221" t="str">
            <v>AL BARAKA BANK (PAKISTAN) LIMITED</v>
          </cell>
          <cell r="J221" t="str">
            <v>BANK</v>
          </cell>
          <cell r="K221" t="str">
            <v>Mr.
HPA M/s. Al Baraka Bank Pakistan Limited
Mr. Ch. Muhammad Mateen 
HPA M/s. Al Baraka Bank Pakistan Limited</v>
          </cell>
          <cell r="L221" t="str">
            <v>D</v>
          </cell>
          <cell r="M221" t="str">
            <v>09000221</v>
          </cell>
          <cell r="N221">
            <v>100</v>
          </cell>
          <cell r="P221" t="str">
            <v>H # 106 Block A Waris  Street Nazir Garden Harbanspura Lahore</v>
          </cell>
          <cell r="Q221" t="str">
            <v>11000003</v>
          </cell>
          <cell r="R221" t="str">
            <v>HONDA CITY I-VTEC (M/T)</v>
          </cell>
          <cell r="S221" t="str">
            <v>2017</v>
          </cell>
          <cell r="T221" t="str">
            <v>LEF-17-8937</v>
          </cell>
          <cell r="U221" t="str">
            <v>459653</v>
          </cell>
          <cell r="V221" t="str">
            <v>HR202418</v>
          </cell>
          <cell r="X221" t="str">
            <v>3</v>
          </cell>
          <cell r="Y221">
            <v>100000</v>
          </cell>
          <cell r="Z221">
            <v>1724</v>
          </cell>
          <cell r="AA221">
            <v>2000</v>
          </cell>
        </row>
        <row r="222">
          <cell r="B222" t="str">
            <v>KHI/HO/D/MO/PC COMP/P/86646/04/2024</v>
          </cell>
          <cell r="C222" t="str">
            <v>KHI/HO/D/MO/PC COMP/E/52830/00050/03/2025</v>
          </cell>
          <cell r="D222" t="str">
            <v>REN</v>
          </cell>
          <cell r="E222" t="str">
            <v>03/03/25</v>
          </cell>
          <cell r="F222" t="str">
            <v>20/04/2024</v>
          </cell>
          <cell r="G222" t="str">
            <v>19/04/2025</v>
          </cell>
          <cell r="H222" t="str">
            <v>08004499</v>
          </cell>
          <cell r="I222" t="str">
            <v>AL BARAKA BANK (PAKISTAN) LIMITED</v>
          </cell>
          <cell r="J222" t="str">
            <v>BANK</v>
          </cell>
          <cell r="K222" t="str">
            <v>M/s. Al Baraka Bank (Pakistan) Limited
Mr. Hafiz Dilawar Hussain 
HPA M/s. Al Baraka Bank (Pakistan) Limited</v>
          </cell>
          <cell r="L222" t="str">
            <v>D</v>
          </cell>
          <cell r="M222" t="str">
            <v>09000221</v>
          </cell>
          <cell r="N222">
            <v>100</v>
          </cell>
          <cell r="P222" t="str">
            <v>Basti Sultana Abad Post Office Shah Pur 
Ablain Tehsil Hasilpur</v>
          </cell>
          <cell r="Q222" t="str">
            <v>11000003</v>
          </cell>
          <cell r="R222" t="str">
            <v>SUZUKI WAGON-R VXR</v>
          </cell>
          <cell r="S222" t="str">
            <v>2022</v>
          </cell>
          <cell r="T222" t="str">
            <v>AGX-876</v>
          </cell>
          <cell r="U222" t="str">
            <v>233940</v>
          </cell>
          <cell r="V222" t="str">
            <v>10133915</v>
          </cell>
          <cell r="Y222">
            <v>1809650</v>
          </cell>
          <cell r="Z222">
            <v>-17917</v>
          </cell>
          <cell r="AA222">
            <v>-18096</v>
          </cell>
        </row>
        <row r="223">
          <cell r="B223" t="str">
            <v>KHI/HO/D/MO/PC COMP/P/86646/04/2024</v>
          </cell>
          <cell r="C223" t="str">
            <v>KHI/HO/D/MO/PC COMP/E/52830/00063/03/2025</v>
          </cell>
          <cell r="D223" t="str">
            <v>REN</v>
          </cell>
          <cell r="E223" t="str">
            <v>03/03/25</v>
          </cell>
          <cell r="F223" t="str">
            <v>26/04/2024</v>
          </cell>
          <cell r="G223" t="str">
            <v>25/04/2025</v>
          </cell>
          <cell r="H223" t="str">
            <v>08004499</v>
          </cell>
          <cell r="I223" t="str">
            <v>AL BARAKA BANK (PAKISTAN) LIMITED</v>
          </cell>
          <cell r="J223" t="str">
            <v>BANK</v>
          </cell>
          <cell r="K223" t="str">
            <v>M/s. Al Baraka Bank (Pakistan) Limited
Mr. Zulfiqar Ali
HPA M/s. Al Baraka Bank Pakistan Limited</v>
          </cell>
          <cell r="L223" t="str">
            <v>D</v>
          </cell>
          <cell r="M223" t="str">
            <v>09000221</v>
          </cell>
          <cell r="N223">
            <v>100</v>
          </cell>
          <cell r="P223" t="str">
            <v>H No 15 St 14 Sanda Kalan Lahore</v>
          </cell>
          <cell r="Q223" t="str">
            <v>11000003</v>
          </cell>
          <cell r="R223" t="str">
            <v>HONDA CIVIC VTI  ORIEL PT</v>
          </cell>
          <cell r="S223" t="str">
            <v>2018</v>
          </cell>
          <cell r="T223" t="str">
            <v>LE-18A-540</v>
          </cell>
          <cell r="U223" t="str">
            <v>Z12935680</v>
          </cell>
          <cell r="V223" t="str">
            <v>R039169</v>
          </cell>
          <cell r="Y223">
            <v>-3145000</v>
          </cell>
          <cell r="Z223">
            <v>0</v>
          </cell>
          <cell r="AA223">
            <v>0</v>
          </cell>
        </row>
        <row r="224">
          <cell r="B224" t="str">
            <v>KHI/HO/D/MO/PC COMP/P/85047/03/2024</v>
          </cell>
          <cell r="C224" t="str">
            <v>KHI/HO/D/MO/PC COMP/E/52831/00048/03/2025</v>
          </cell>
          <cell r="D224" t="str">
            <v>REN</v>
          </cell>
          <cell r="E224" t="str">
            <v>03/03/25</v>
          </cell>
          <cell r="F224" t="str">
            <v>24/03/2024</v>
          </cell>
          <cell r="G224" t="str">
            <v>23/03/2025</v>
          </cell>
          <cell r="H224" t="str">
            <v>08004499</v>
          </cell>
          <cell r="I224" t="str">
            <v>AL BARAKA BANK (PAKISTAN) LIMITED</v>
          </cell>
          <cell r="J224" t="str">
            <v>BANK</v>
          </cell>
          <cell r="K224" t="str">
            <v>Mr.
HPA M/S Al Baraka Bank (Pakistan) Limited
Mr. Awais Aslam  
HPA M/S Al Baraka Bank (Pakistan) Limited</v>
          </cell>
          <cell r="L224" t="str">
            <v>D</v>
          </cell>
          <cell r="M224" t="str">
            <v>09000221</v>
          </cell>
          <cell r="N224">
            <v>100</v>
          </cell>
          <cell r="O224" t="str">
            <v>LAHORE</v>
          </cell>
          <cell r="P224" t="str">
            <v>91-N Sabzazar Scheme Multan Road Lahore</v>
          </cell>
          <cell r="Q224" t="str">
            <v>11000003</v>
          </cell>
          <cell r="R224" t="str">
            <v>KIA PICANTO 1.0L A/T</v>
          </cell>
          <cell r="S224" t="str">
            <v>2022</v>
          </cell>
          <cell r="T224" t="str">
            <v>AMJ-889</v>
          </cell>
          <cell r="U224" t="str">
            <v>170011</v>
          </cell>
          <cell r="V224" t="str">
            <v>709496</v>
          </cell>
          <cell r="X224" t="str">
            <v>3</v>
          </cell>
          <cell r="Y224">
            <v>-896750</v>
          </cell>
          <cell r="Z224">
            <v>-894</v>
          </cell>
          <cell r="AA224">
            <v>-903</v>
          </cell>
        </row>
        <row r="225">
          <cell r="B225" t="str">
            <v>KHI/HO/D/MO/PC COMP/P/85047/03/2024</v>
          </cell>
          <cell r="C225" t="str">
            <v>KHI/HO/D/MO/PC COMP/E/52831/00045/03/2025</v>
          </cell>
          <cell r="D225" t="str">
            <v>REN</v>
          </cell>
          <cell r="E225" t="str">
            <v>03/03/25</v>
          </cell>
          <cell r="F225" t="str">
            <v>22/03/2024</v>
          </cell>
          <cell r="G225" t="str">
            <v>21/03/2025</v>
          </cell>
          <cell r="H225" t="str">
            <v>08004499</v>
          </cell>
          <cell r="I225" t="str">
            <v>AL BARAKA BANK (PAKISTAN) LIMITED</v>
          </cell>
          <cell r="J225" t="str">
            <v>BANK</v>
          </cell>
          <cell r="K225" t="str">
            <v>Mr.
HPA M/S Al Baraka Bank (Pakistan) Limited
Mr. Adil Usman 
HPA M/S Al Baraka Bank (Pakistan) Limited</v>
          </cell>
          <cell r="L225" t="str">
            <v>D</v>
          </cell>
          <cell r="M225" t="str">
            <v>09000221</v>
          </cell>
          <cell r="N225">
            <v>100</v>
          </cell>
          <cell r="P225" t="str">
            <v>Jaranawla Road Faisalabad</v>
          </cell>
          <cell r="Q225" t="str">
            <v>11000003</v>
          </cell>
          <cell r="R225" t="str">
            <v>SUZUKI CULTUS VXR</v>
          </cell>
          <cell r="S225" t="str">
            <v>2022</v>
          </cell>
          <cell r="T225" t="str">
            <v>AJD-145</v>
          </cell>
          <cell r="U225" t="str">
            <v>193915</v>
          </cell>
          <cell r="V225" t="str">
            <v>10093892</v>
          </cell>
          <cell r="X225" t="str">
            <v>5</v>
          </cell>
          <cell r="Y225">
            <v>-1925250</v>
          </cell>
          <cell r="Z225">
            <v>-8209</v>
          </cell>
          <cell r="AA225">
            <v>-8291</v>
          </cell>
        </row>
        <row r="226">
          <cell r="B226" t="str">
            <v>KHI/HO/D/MO/PC COMP/P/85065/03/2024</v>
          </cell>
          <cell r="C226" t="str">
            <v>KHI/HO/D/MO/PC COMP/E/52834/00012/03/2025</v>
          </cell>
          <cell r="D226" t="str">
            <v>REN</v>
          </cell>
          <cell r="E226" t="str">
            <v>03/03/25</v>
          </cell>
          <cell r="F226" t="str">
            <v>16/03/2024</v>
          </cell>
          <cell r="G226" t="str">
            <v>15/03/2025</v>
          </cell>
          <cell r="H226" t="str">
            <v>08004499</v>
          </cell>
          <cell r="I226" t="str">
            <v>AL BARAKA BANK (PAKISTAN) LIMITED</v>
          </cell>
          <cell r="J226" t="str">
            <v>BANK</v>
          </cell>
          <cell r="K226" t="str">
            <v>HPA M/s. Al Baraka Bank (Pakistan) Limited
Mr.  Jawaid Gulzar
HPA M/s. Al Baraka Bank (Pakistan) Limited</v>
          </cell>
          <cell r="L226" t="str">
            <v>D</v>
          </cell>
          <cell r="M226" t="str">
            <v>09000221</v>
          </cell>
          <cell r="N226">
            <v>100</v>
          </cell>
          <cell r="O226" t="str">
            <v>KARACHI</v>
          </cell>
          <cell r="P226" t="str">
            <v>House No. 495 Street 07 AFOHS Complex Karachi</v>
          </cell>
          <cell r="Q226" t="str">
            <v>11000003</v>
          </cell>
          <cell r="R226" t="str">
            <v>SUZUKI ALTO VXL AGS E-2</v>
          </cell>
          <cell r="S226" t="str">
            <v>2021</v>
          </cell>
          <cell r="U226" t="str">
            <v>157202</v>
          </cell>
          <cell r="V226" t="str">
            <v>1057189</v>
          </cell>
          <cell r="X226" t="str">
            <v>3</v>
          </cell>
          <cell r="Y226">
            <v>399200</v>
          </cell>
          <cell r="Z226">
            <v>8603</v>
          </cell>
          <cell r="AA226">
            <v>9980</v>
          </cell>
        </row>
        <row r="227">
          <cell r="B227" t="str">
            <v>KHI/HO/D/MO/PC COMP/P/85065/03/2024</v>
          </cell>
          <cell r="C227" t="str">
            <v>KHI/HO/D/MO/PC COMP/E/52834/00015/03/2025</v>
          </cell>
          <cell r="D227" t="str">
            <v>REN</v>
          </cell>
          <cell r="E227" t="str">
            <v>03/03/25</v>
          </cell>
          <cell r="F227" t="str">
            <v>25/03/2024</v>
          </cell>
          <cell r="G227" t="str">
            <v>24/03/2025</v>
          </cell>
          <cell r="H227" t="str">
            <v>08004499</v>
          </cell>
          <cell r="I227" t="str">
            <v>AL BARAKA BANK (PAKISTAN) LIMITED</v>
          </cell>
          <cell r="J227" t="str">
            <v>BANK</v>
          </cell>
          <cell r="K227" t="str">
            <v>HPA M/s. Al Baraka Bank (Pakistan) Limited
Mr. Iftikhar Ahmed
HPA M/s. Al Baraka Bank (Pakistan) Limited</v>
          </cell>
          <cell r="L227" t="str">
            <v>D</v>
          </cell>
          <cell r="M227" t="str">
            <v>09000221</v>
          </cell>
          <cell r="N227">
            <v>100</v>
          </cell>
          <cell r="O227" t="str">
            <v>BHAWALPUR</v>
          </cell>
          <cell r="P227" t="str">
            <v>Ward No.24 Street 1 Moh Ghalla Mandi Lodhran</v>
          </cell>
          <cell r="Q227" t="str">
            <v>11000003</v>
          </cell>
          <cell r="R227" t="str">
            <v>SUZUKI ALTO VXR E-2</v>
          </cell>
          <cell r="S227" t="str">
            <v>2021</v>
          </cell>
          <cell r="T227" t="str">
            <v>ACX-202</v>
          </cell>
          <cell r="U227" t="str">
            <v>160459</v>
          </cell>
          <cell r="V227" t="str">
            <v>1060520</v>
          </cell>
          <cell r="X227" t="str">
            <v>3</v>
          </cell>
          <cell r="Y227">
            <v>1146400</v>
          </cell>
          <cell r="Z227">
            <v>0</v>
          </cell>
          <cell r="AA227">
            <v>0</v>
          </cell>
        </row>
        <row r="228">
          <cell r="B228" t="str">
            <v>KHI/HO/D/MO/PC COMP/P/74804/09/2023</v>
          </cell>
          <cell r="C228" t="str">
            <v>KHI/HO/D/MO/PC COMP/E/52919/00009/03/2025</v>
          </cell>
          <cell r="D228" t="str">
            <v>FRE</v>
          </cell>
          <cell r="E228" t="str">
            <v>05/03/25</v>
          </cell>
          <cell r="F228" t="str">
            <v>22/09/2023</v>
          </cell>
          <cell r="G228" t="str">
            <v>21/09/2024</v>
          </cell>
          <cell r="H228" t="str">
            <v>08004499</v>
          </cell>
          <cell r="I228" t="str">
            <v>AL BARAKA BANK (PAKISTAN) LIMITED</v>
          </cell>
          <cell r="J228" t="str">
            <v>BANK</v>
          </cell>
          <cell r="K228" t="str">
            <v>Mr.  
HPA M/s. Al Baraka Bank (Pakistan) Limited
Ms. Hina Iqbal Junaid  
HPA M/s. Al Baraka Bank (Pakistan) Limited</v>
          </cell>
          <cell r="L228" t="str">
            <v>D</v>
          </cell>
          <cell r="M228" t="str">
            <v>09000221</v>
          </cell>
          <cell r="N228">
            <v>100</v>
          </cell>
          <cell r="P228" t="str">
            <v>H # 326 Street 15 Sector G-8/1 Islamabad</v>
          </cell>
          <cell r="Q228" t="str">
            <v>11000003</v>
          </cell>
          <cell r="R228" t="str">
            <v>SUZUKI BOLAN VX  EURO II</v>
          </cell>
          <cell r="S228" t="str">
            <v>2023</v>
          </cell>
          <cell r="U228" t="str">
            <v>1028596</v>
          </cell>
          <cell r="V228" t="str">
            <v>1145121</v>
          </cell>
          <cell r="X228" t="str">
            <v>3</v>
          </cell>
          <cell r="Y228">
            <v>1940000</v>
          </cell>
          <cell r="Z228">
            <v>4254</v>
          </cell>
          <cell r="AA228">
            <v>4296</v>
          </cell>
        </row>
        <row r="229">
          <cell r="B229" t="str">
            <v>KHI/HO/D/MO/PC COMP/P/92394/07/2024</v>
          </cell>
          <cell r="C229" t="str">
            <v>KHI/HO/D/MO/PC COMP/E/52920/00042/03/2025</v>
          </cell>
          <cell r="D229" t="str">
            <v>FRE</v>
          </cell>
          <cell r="E229" t="str">
            <v>05/03/25</v>
          </cell>
          <cell r="F229" t="str">
            <v>30/07/2024</v>
          </cell>
          <cell r="G229" t="str">
            <v>29/07/2025</v>
          </cell>
          <cell r="H229" t="str">
            <v>08004499</v>
          </cell>
          <cell r="I229" t="str">
            <v>AL BARAKA BANK (PAKISTAN) LIMITED</v>
          </cell>
          <cell r="J229" t="str">
            <v>BANK</v>
          </cell>
          <cell r="K229" t="str">
            <v>Mr. 
HPA M/s. Al Baraka Bank ( Pakistan ) Limited
Mr. Sardar Muhammad Ishaq 
HPA M/s. Al Baraka Bank ( Pakistan ) Limited</v>
          </cell>
          <cell r="L229" t="str">
            <v>D</v>
          </cell>
          <cell r="M229" t="str">
            <v>09000221</v>
          </cell>
          <cell r="N229">
            <v>100</v>
          </cell>
          <cell r="P229" t="str">
            <v>H # 448-A Phase 5 DHA Lahore</v>
          </cell>
          <cell r="Q229" t="str">
            <v>11000003</v>
          </cell>
          <cell r="R229" t="str">
            <v>HYUNDAI Elantra GLS Sport</v>
          </cell>
          <cell r="T229" t="str">
            <v>AMD-248</v>
          </cell>
          <cell r="U229" t="str">
            <v>U748934</v>
          </cell>
          <cell r="V229" t="str">
            <v>MMN300145</v>
          </cell>
          <cell r="X229" t="str">
            <v>3</v>
          </cell>
          <cell r="Y229">
            <v>5450000</v>
          </cell>
          <cell r="Z229">
            <v>44046</v>
          </cell>
          <cell r="AA229">
            <v>51094</v>
          </cell>
        </row>
        <row r="230">
          <cell r="B230" t="str">
            <v>KHI/HO/D/MO/PC COMP/P/90920/06/2024</v>
          </cell>
          <cell r="C230" t="str">
            <v>KHI/HO/D/MO/PC COMP/E/53012/00188/03/2025</v>
          </cell>
          <cell r="D230" t="str">
            <v>REN</v>
          </cell>
          <cell r="E230" t="str">
            <v>07/03/25</v>
          </cell>
          <cell r="F230" t="str">
            <v>27/06/2024</v>
          </cell>
          <cell r="G230" t="str">
            <v>26/06/2025</v>
          </cell>
          <cell r="H230" t="str">
            <v>08004499</v>
          </cell>
          <cell r="I230" t="str">
            <v>AL BARAKA BANK (PAKISTAN) LIMITED</v>
          </cell>
          <cell r="J230" t="str">
            <v>BANK</v>
          </cell>
          <cell r="K230" t="str">
            <v>M/s. Al Baraka Bank (Pakistan) Limited
M/S. Al Baraka Bank (Pakistan) Limited
User:Rohan  Hafeez</v>
          </cell>
          <cell r="L230" t="str">
            <v>D</v>
          </cell>
          <cell r="M230" t="str">
            <v>09000221</v>
          </cell>
          <cell r="N230">
            <v>100</v>
          </cell>
          <cell r="O230" t="str">
            <v>KARACHI</v>
          </cell>
          <cell r="P230" t="str">
            <v>H No 1142 Street 26 Sector G-11/1 Islamabad</v>
          </cell>
          <cell r="Q230" t="str">
            <v>11000003</v>
          </cell>
          <cell r="R230" t="str">
            <v>SUZUKI ALTO VX</v>
          </cell>
          <cell r="S230" t="str">
            <v>2023</v>
          </cell>
          <cell r="T230" t="str">
            <v>BCE-894</v>
          </cell>
          <cell r="U230" t="str">
            <v>272609</v>
          </cell>
          <cell r="V230" t="str">
            <v>1172565</v>
          </cell>
          <cell r="W230" t="str">
            <v>05-jul-2028</v>
          </cell>
          <cell r="Y230">
            <v>-2025900</v>
          </cell>
          <cell r="Z230">
            <v>0</v>
          </cell>
          <cell r="AA230">
            <v>0</v>
          </cell>
        </row>
        <row r="231">
          <cell r="B231" t="str">
            <v>KHI/HO/D/MO/PC COMP/P/90920/06/2024</v>
          </cell>
          <cell r="C231" t="str">
            <v>KHI/HO/D/MO/PC COMP/E/53012/00115/03/2025</v>
          </cell>
          <cell r="D231" t="str">
            <v>REN</v>
          </cell>
          <cell r="E231" t="str">
            <v>07/03/25</v>
          </cell>
          <cell r="F231" t="str">
            <v>02/06/2024</v>
          </cell>
          <cell r="G231" t="str">
            <v>01/06/2025</v>
          </cell>
          <cell r="H231" t="str">
            <v>08004499</v>
          </cell>
          <cell r="I231" t="str">
            <v>AL BARAKA BANK (PAKISTAN) LIMITED</v>
          </cell>
          <cell r="J231" t="str">
            <v>BANK</v>
          </cell>
          <cell r="K231" t="str">
            <v>M/s. Al Baraka Bank (Pakistan) Limited
M/S. Al Baraka Bank (Pakistan) Limited
User:Yousuf  Mujeeb</v>
          </cell>
          <cell r="L231" t="str">
            <v>D</v>
          </cell>
          <cell r="M231" t="str">
            <v>09000221</v>
          </cell>
          <cell r="N231">
            <v>100</v>
          </cell>
          <cell r="O231" t="str">
            <v>KARACHI</v>
          </cell>
          <cell r="P231" t="str">
            <v>House No. A-47, Block A North Nazimabad Karachi</v>
          </cell>
          <cell r="Q231" t="str">
            <v>11000003</v>
          </cell>
          <cell r="R231" t="str">
            <v>CHANGAN KARVAAN VAN</v>
          </cell>
          <cell r="S231" t="str">
            <v>2021</v>
          </cell>
          <cell r="T231" t="str">
            <v>CZ-2968</v>
          </cell>
          <cell r="U231" t="str">
            <v>501327</v>
          </cell>
          <cell r="V231" t="str">
            <v>1006278</v>
          </cell>
          <cell r="W231" t="str">
            <v>05-jul-2025</v>
          </cell>
          <cell r="Y231">
            <v>-1268000</v>
          </cell>
          <cell r="Z231">
            <v>0</v>
          </cell>
          <cell r="AA231">
            <v>0</v>
          </cell>
        </row>
        <row r="232">
          <cell r="B232" t="str">
            <v>KHI/HO/D/MO/PC COMP/P/107407/02/2025</v>
          </cell>
          <cell r="C232" t="str">
            <v>KHI/HO/D/MO/PC COMP/E/53117/00160/03/2025</v>
          </cell>
          <cell r="D232" t="str">
            <v>REN</v>
          </cell>
          <cell r="E232" t="str">
            <v>10/03/25</v>
          </cell>
          <cell r="F232" t="str">
            <v>18/02/2025</v>
          </cell>
          <cell r="G232" t="str">
            <v>17/02/2026</v>
          </cell>
          <cell r="H232" t="str">
            <v>08004499</v>
          </cell>
          <cell r="I232" t="str">
            <v>AL BARAKA BANK (PAKISTAN) LIMITED</v>
          </cell>
          <cell r="J232" t="str">
            <v>BANK</v>
          </cell>
          <cell r="K232" t="str">
            <v>Mr.
HPA M/s. Al Baraka Bank (Pakistan) Limited
Hpa M/S. Al Baraka Bank (Pakistan) Limited 
User: Muhammad  Ehsan</v>
          </cell>
          <cell r="L232" t="str">
            <v>D</v>
          </cell>
          <cell r="M232" t="str">
            <v>09000221</v>
          </cell>
          <cell r="N232">
            <v>100</v>
          </cell>
          <cell r="O232" t="str">
            <v>KARACHI</v>
          </cell>
          <cell r="P232" t="str">
            <v>House No. 220-F-1 Wapda Town  Lahore</v>
          </cell>
          <cell r="Q232" t="str">
            <v>11000003</v>
          </cell>
          <cell r="R232" t="str">
            <v>HONDA CITY I-VTEC (M/T)</v>
          </cell>
          <cell r="S232" t="str">
            <v>2021</v>
          </cell>
          <cell r="T232" t="str">
            <v>ABX-732</v>
          </cell>
          <cell r="U232" t="str">
            <v>7544159</v>
          </cell>
          <cell r="V232" t="str">
            <v>MR268169</v>
          </cell>
          <cell r="W232" t="str">
            <v>06-mar-2028</v>
          </cell>
          <cell r="Y232">
            <v>1358750</v>
          </cell>
          <cell r="Z232">
            <v>29283</v>
          </cell>
          <cell r="AA232">
            <v>33969</v>
          </cell>
        </row>
        <row r="233">
          <cell r="B233" t="str">
            <v>KHI/HO/D/MO/PC COMP/P/107407/02/2025</v>
          </cell>
          <cell r="C233" t="str">
            <v>KHI/HO/D/MO/PC COMP/E/53117/00191/03/2025</v>
          </cell>
          <cell r="D233" t="str">
            <v>REN</v>
          </cell>
          <cell r="E233" t="str">
            <v>10/03/25</v>
          </cell>
          <cell r="F233" t="str">
            <v>09/02/2025</v>
          </cell>
          <cell r="G233" t="str">
            <v>08/02/2026</v>
          </cell>
          <cell r="H233" t="str">
            <v>08004499</v>
          </cell>
          <cell r="I233" t="str">
            <v>AL BARAKA BANK (PAKISTAN) LIMITED</v>
          </cell>
          <cell r="J233" t="str">
            <v>BANK</v>
          </cell>
          <cell r="K233" t="str">
            <v>Mr.
HPA M/s. Al Baraka Bank (Pakistan) Limited
Hpa M/S. Al Baraka Bank (Pakistan) Limited 
User: Muhammad Saeed Khan</v>
          </cell>
          <cell r="L233" t="str">
            <v>D</v>
          </cell>
          <cell r="M233" t="str">
            <v>09000221</v>
          </cell>
          <cell r="N233">
            <v>100</v>
          </cell>
          <cell r="O233" t="str">
            <v>KARACHI</v>
          </cell>
          <cell r="P233" t="str">
            <v>Sector II Street 02 Somarzar Colony Opp Shafqat Model School Rawalpindi</v>
          </cell>
          <cell r="Q233" t="str">
            <v>11000003</v>
          </cell>
          <cell r="R233" t="str">
            <v>SUZUKI CULTUS VXR EURO-II</v>
          </cell>
          <cell r="S233" t="str">
            <v>2021</v>
          </cell>
          <cell r="T233" t="str">
            <v>ASU-205</v>
          </cell>
          <cell r="U233" t="str">
            <v>167853</v>
          </cell>
          <cell r="V233" t="str">
            <v>10067861</v>
          </cell>
          <cell r="W233" t="str">
            <v>05-feb-2026</v>
          </cell>
          <cell r="Y233">
            <v>-1335000</v>
          </cell>
          <cell r="Z233">
            <v>-28771</v>
          </cell>
          <cell r="AA233">
            <v>-33375</v>
          </cell>
        </row>
        <row r="234">
          <cell r="B234" t="str">
            <v>KHI/HO/D/MO/PC COMP/P/95230/08/2024</v>
          </cell>
          <cell r="C234" t="str">
            <v>KHI/HO/D/MO/PC COMP/E/53196/00063/03/2025</v>
          </cell>
          <cell r="D234" t="str">
            <v>REN</v>
          </cell>
          <cell r="E234" t="str">
            <v>12/03/25</v>
          </cell>
          <cell r="F234" t="str">
            <v>04/08/2024</v>
          </cell>
          <cell r="G234" t="str">
            <v>03/08/2025</v>
          </cell>
          <cell r="H234" t="str">
            <v>08004499</v>
          </cell>
          <cell r="I234" t="str">
            <v>AL BARAKA BANK (PAKISTAN) LIMITED</v>
          </cell>
          <cell r="J234" t="str">
            <v>BANK</v>
          </cell>
          <cell r="K234" t="str">
            <v>Mr.
Al Baraka Bank ( Pakistan ) Limited
Mr. Syed Hassan Ahmed
Al Baraka Bank ( Pakistan ) Limited</v>
          </cell>
          <cell r="L234" t="str">
            <v>D</v>
          </cell>
          <cell r="M234" t="str">
            <v>09000221</v>
          </cell>
          <cell r="N234">
            <v>100</v>
          </cell>
          <cell r="P234" t="str">
            <v>Flat # 1 Hassan Appartment Block 13-C
Gulshan-e-Iqbal Karachi</v>
          </cell>
          <cell r="Q234" t="str">
            <v>11000003</v>
          </cell>
          <cell r="R234" t="str">
            <v>SUZUKI ALTO VXL AGS E-2</v>
          </cell>
          <cell r="S234" t="str">
            <v>2022</v>
          </cell>
          <cell r="T234" t="str">
            <v>BXH-669</v>
          </cell>
          <cell r="U234" t="str">
            <v>244386</v>
          </cell>
          <cell r="V234" t="str">
            <v>1144372</v>
          </cell>
          <cell r="X234" t="str">
            <v>3</v>
          </cell>
          <cell r="Y234">
            <v>-1484950</v>
          </cell>
          <cell r="Z234">
            <v>-2800</v>
          </cell>
          <cell r="AA234">
            <v>-2800</v>
          </cell>
        </row>
        <row r="235">
          <cell r="B235" t="str">
            <v>KHI/HO/D/MO/PC COMP/P/71072/05/2023</v>
          </cell>
          <cell r="C235" t="str">
            <v>KHI/HO/D/MO/PC COMP/E/53205/00062/03/2025</v>
          </cell>
          <cell r="D235" t="str">
            <v>REN</v>
          </cell>
          <cell r="E235" t="str">
            <v>13/03/25</v>
          </cell>
          <cell r="F235" t="str">
            <v>27/05/2023</v>
          </cell>
          <cell r="G235" t="str">
            <v>26/05/2024</v>
          </cell>
          <cell r="H235" t="str">
            <v>08004499</v>
          </cell>
          <cell r="I235" t="str">
            <v>AL BARAKA BANK (PAKISTAN) LIMITED</v>
          </cell>
          <cell r="J235" t="str">
            <v>BANK</v>
          </cell>
          <cell r="K235" t="str">
            <v>HPA M/s. Al Baraka Bank Pakistan Limited
Mr. Rana Adeel Farooq Shabbir
HPA M/s. Al Baraka Bank Pakistan Limited</v>
          </cell>
          <cell r="L235" t="str">
            <v>D</v>
          </cell>
          <cell r="M235" t="str">
            <v>09000221</v>
          </cell>
          <cell r="N235">
            <v>100</v>
          </cell>
          <cell r="P235" t="str">
            <v>Rana House Near Railway Phatak 
Mumtazabad Multan</v>
          </cell>
          <cell r="Q235" t="str">
            <v>11000003</v>
          </cell>
          <cell r="R235" t="str">
            <v>TOYOTA ALTIS</v>
          </cell>
          <cell r="S235" t="str">
            <v>2022</v>
          </cell>
          <cell r="U235" t="str">
            <v>Q095597</v>
          </cell>
          <cell r="V235" t="str">
            <v>6073080</v>
          </cell>
          <cell r="Y235">
            <v>3212100</v>
          </cell>
          <cell r="Z235">
            <v>8805</v>
          </cell>
          <cell r="AA235">
            <v>8893</v>
          </cell>
        </row>
        <row r="236">
          <cell r="B236" t="str">
            <v>KHI/HO/D/MO/PC COMP/P/105499/01/2025</v>
          </cell>
          <cell r="C236" t="str">
            <v>KHI/HO/D/MO/PC COMP/E/58887/00152/03/2025</v>
          </cell>
          <cell r="D236" t="str">
            <v>REN</v>
          </cell>
          <cell r="E236" t="str">
            <v>20/03/25</v>
          </cell>
          <cell r="F236" t="str">
            <v>24/01/2025</v>
          </cell>
          <cell r="G236" t="str">
            <v>23/01/2026</v>
          </cell>
          <cell r="H236" t="str">
            <v>08004499</v>
          </cell>
          <cell r="I236" t="str">
            <v>AL BARAKA BANK (PAKISTAN) LIMITED</v>
          </cell>
          <cell r="J236" t="str">
            <v>BANK</v>
          </cell>
          <cell r="K236" t="str">
            <v>Mr. 
Al Baraka Bank Pakistan Limited
Mr. 
Al Baraka Bank Pakistan Limited 
User: Muhammad Sohail Akhtar</v>
          </cell>
          <cell r="L236" t="str">
            <v>D</v>
          </cell>
          <cell r="M236" t="str">
            <v>09000221</v>
          </cell>
          <cell r="N236">
            <v>100</v>
          </cell>
          <cell r="O236" t="str">
            <v>KARACHI</v>
          </cell>
          <cell r="P236" t="str">
            <v>H No 510Moh Model Town B Khanpur</v>
          </cell>
          <cell r="Q236" t="str">
            <v>11000003</v>
          </cell>
          <cell r="R236" t="str">
            <v>SUZUKI CULTUS</v>
          </cell>
          <cell r="S236" t="str">
            <v>2021</v>
          </cell>
          <cell r="T236" t="str">
            <v>BUQ-105</v>
          </cell>
          <cell r="U236" t="str">
            <v>181665</v>
          </cell>
          <cell r="V236" t="str">
            <v>10081664</v>
          </cell>
          <cell r="W236" t="str">
            <v>05-feb-2029</v>
          </cell>
          <cell r="Y236">
            <v>-1680000</v>
          </cell>
          <cell r="Z236">
            <v>-15841</v>
          </cell>
          <cell r="AA236">
            <v>-15841</v>
          </cell>
        </row>
        <row r="237">
          <cell r="B237" t="str">
            <v>KHI/HO/D/MO/PC COMP/C/101342/1/11/2024</v>
          </cell>
          <cell r="D237" t="str">
            <v>FRE</v>
          </cell>
          <cell r="E237" t="str">
            <v>05/11/24</v>
          </cell>
          <cell r="F237" t="str">
            <v>05/11/2024</v>
          </cell>
          <cell r="G237" t="str">
            <v>04/11/2025</v>
          </cell>
          <cell r="H237" t="str">
            <v>08004499</v>
          </cell>
          <cell r="I237" t="str">
            <v>AL BARAKA BANK (PAKISTAN) LIMITED</v>
          </cell>
          <cell r="J237" t="str">
            <v>BANK</v>
          </cell>
          <cell r="K237" t="str">
            <v>Mr.
HPA M/s. Al Baraka Bank Pakitan Limited
Mr. Muhammad Ayaz
HPA M/s. Al Baraka Bank Pakitan Limited</v>
          </cell>
          <cell r="L237" t="str">
            <v>D</v>
          </cell>
          <cell r="M237" t="str">
            <v>09000221</v>
          </cell>
          <cell r="N237">
            <v>100</v>
          </cell>
          <cell r="O237" t="str">
            <v>DERA GHAZI KHAN</v>
          </cell>
          <cell r="P237" t="str">
            <v>Farooq Azam Bhuti Colony DG Khan</v>
          </cell>
          <cell r="Q237" t="str">
            <v>11000003</v>
          </cell>
          <cell r="R237" t="str">
            <v>SUZUKI CULTUS</v>
          </cell>
          <cell r="S237" t="str">
            <v>2024</v>
          </cell>
          <cell r="U237" t="str">
            <v>211066</v>
          </cell>
          <cell r="V237" t="str">
            <v>10111066</v>
          </cell>
          <cell r="Y237">
            <v>4546000</v>
          </cell>
          <cell r="Z237">
            <v>58353</v>
          </cell>
          <cell r="AA237">
            <v>68190</v>
          </cell>
        </row>
        <row r="238">
          <cell r="B238" t="str">
            <v>KHI/HO/D/MO/PC COMP/C/101342/2/11/2024</v>
          </cell>
          <cell r="D238" t="str">
            <v>FRE</v>
          </cell>
          <cell r="E238" t="str">
            <v>05/11/24</v>
          </cell>
          <cell r="F238" t="str">
            <v>05/11/2024</v>
          </cell>
          <cell r="G238" t="str">
            <v>04/11/2025</v>
          </cell>
          <cell r="H238" t="str">
            <v>08004499</v>
          </cell>
          <cell r="I238" t="str">
            <v>AL BARAKA BANK (PAKISTAN) LIMITED</v>
          </cell>
          <cell r="J238" t="str">
            <v>BANK</v>
          </cell>
          <cell r="K238" t="str">
            <v>Mr.
HPA M/s. Al Baraka Bank Pakitan Limited
M/s Al Baraka Bank PVT Limited 
User Qamar uz Zaman</v>
          </cell>
          <cell r="L238" t="str">
            <v>D</v>
          </cell>
          <cell r="M238" t="str">
            <v>09000221</v>
          </cell>
          <cell r="N238">
            <v>100</v>
          </cell>
          <cell r="O238" t="str">
            <v>KARACHI</v>
          </cell>
          <cell r="P238" t="str">
            <v>Flat no 6 3rd Floor Plot no 28-C St  12-A Phase 5 DHA Badar Comm Karachi</v>
          </cell>
          <cell r="Q238" t="str">
            <v>11000003</v>
          </cell>
          <cell r="R238" t="str">
            <v>HONDA BRV - S</v>
          </cell>
          <cell r="S238" t="str">
            <v>2018</v>
          </cell>
          <cell r="T238" t="str">
            <v>BG-7323</v>
          </cell>
          <cell r="U238" t="str">
            <v>13508318</v>
          </cell>
          <cell r="V238" t="str">
            <v>008323</v>
          </cell>
          <cell r="X238" t="str">
            <v>3</v>
          </cell>
          <cell r="Y238">
            <v>4000000</v>
          </cell>
          <cell r="Z238">
            <v>51724</v>
          </cell>
          <cell r="AA238">
            <v>60000</v>
          </cell>
        </row>
        <row r="239">
          <cell r="B239" t="str">
            <v>KHI/HO/D/MO/PC COMP/C/101342/3/11/2024</v>
          </cell>
          <cell r="D239" t="str">
            <v>FRE</v>
          </cell>
          <cell r="E239" t="str">
            <v>05/11/24</v>
          </cell>
          <cell r="F239" t="str">
            <v>05/11/2024</v>
          </cell>
          <cell r="G239" t="str">
            <v>04/11/2025</v>
          </cell>
          <cell r="H239" t="str">
            <v>08004499</v>
          </cell>
          <cell r="I239" t="str">
            <v>AL BARAKA BANK (PAKISTAN) LIMITED</v>
          </cell>
          <cell r="J239" t="str">
            <v>BANK</v>
          </cell>
          <cell r="K239" t="str">
            <v>Mr.
HPA M/s. Al Baraka Bank Pakitan Limited
M/s. Al Baraka Bank Pakistan Limited
User Mr. Salman ul Hasan Farooqui</v>
          </cell>
          <cell r="L239" t="str">
            <v>D</v>
          </cell>
          <cell r="M239" t="str">
            <v>09000221</v>
          </cell>
          <cell r="N239">
            <v>100</v>
          </cell>
          <cell r="P239" t="str">
            <v>3rd Floor Flat no 77, G Street 19, Askari IV Rashid Minhas Road Karachi</v>
          </cell>
          <cell r="Q239" t="str">
            <v>11000003</v>
          </cell>
          <cell r="R239" t="str">
            <v>TOYOTA Yaris ATIV 1.3 (CV</v>
          </cell>
          <cell r="S239" t="str">
            <v>2021</v>
          </cell>
          <cell r="T239" t="str">
            <v>BTJ-559</v>
          </cell>
          <cell r="U239" t="str">
            <v>23589</v>
          </cell>
          <cell r="V239" t="str">
            <v>7014189</v>
          </cell>
          <cell r="X239" t="str">
            <v>3</v>
          </cell>
          <cell r="Y239">
            <v>3800000</v>
          </cell>
          <cell r="Z239">
            <v>49138</v>
          </cell>
          <cell r="AA239">
            <v>57000</v>
          </cell>
        </row>
        <row r="240">
          <cell r="B240" t="str">
            <v>KHI/HO/D/MO/PC COMP/C/101342/4/11/2024</v>
          </cell>
          <cell r="D240" t="str">
            <v>FRE</v>
          </cell>
          <cell r="E240" t="str">
            <v>05/11/24</v>
          </cell>
          <cell r="F240" t="str">
            <v>05/11/2024</v>
          </cell>
          <cell r="G240" t="str">
            <v>04/11/2025</v>
          </cell>
          <cell r="H240" t="str">
            <v>08004499</v>
          </cell>
          <cell r="I240" t="str">
            <v>AL BARAKA BANK (PAKISTAN) LIMITED</v>
          </cell>
          <cell r="J240" t="str">
            <v>BANK</v>
          </cell>
          <cell r="K240" t="str">
            <v>Mr.
HPA M/s. Al Baraka Bank Pakitan Limited
Mr. Saad Ali Malik
HPA M/s. Al Baraka Bank Pakitan Limited</v>
          </cell>
          <cell r="L240" t="str">
            <v>D</v>
          </cell>
          <cell r="M240" t="str">
            <v>09000221</v>
          </cell>
          <cell r="N240">
            <v>100</v>
          </cell>
          <cell r="O240" t="str">
            <v>LAHORE</v>
          </cell>
          <cell r="P240" t="str">
            <v>H No 97 Block F LDA Avenue 1 Raiwind Road Lahore</v>
          </cell>
          <cell r="Q240" t="str">
            <v>11000003</v>
          </cell>
          <cell r="R240" t="str">
            <v>CHANGAN KARVAAN PLUS</v>
          </cell>
          <cell r="S240" t="str">
            <v>2024</v>
          </cell>
          <cell r="U240" t="str">
            <v>503240</v>
          </cell>
          <cell r="V240" t="str">
            <v>1002056</v>
          </cell>
          <cell r="Y240">
            <v>2999000</v>
          </cell>
          <cell r="Z240">
            <v>51707</v>
          </cell>
          <cell r="AA240">
            <v>59980</v>
          </cell>
        </row>
        <row r="241">
          <cell r="B241" t="str">
            <v>KHI/HO/D/MO/PC COMP/C/101342/5/11/2024</v>
          </cell>
          <cell r="D241" t="str">
            <v>FRE</v>
          </cell>
          <cell r="E241" t="str">
            <v>05/11/24</v>
          </cell>
          <cell r="F241" t="str">
            <v>05/11/2024</v>
          </cell>
          <cell r="G241" t="str">
            <v>04/11/2025</v>
          </cell>
          <cell r="H241" t="str">
            <v>08004499</v>
          </cell>
          <cell r="I241" t="str">
            <v>AL BARAKA BANK (PAKISTAN) LIMITED</v>
          </cell>
          <cell r="J241" t="str">
            <v>BANK</v>
          </cell>
          <cell r="K241" t="str">
            <v>Mr.
HPA M/s. Al Baraka Bank Pakitan Limited
Mr. Muhammad Ashiq 
HPA M/s. Al Baraka Bank Pakitan Limited</v>
          </cell>
          <cell r="L241" t="str">
            <v>D</v>
          </cell>
          <cell r="M241" t="str">
            <v>09000221</v>
          </cell>
          <cell r="N241">
            <v>100</v>
          </cell>
          <cell r="O241" t="str">
            <v>LAHORE</v>
          </cell>
          <cell r="P241" t="str">
            <v>H No 47/1B Canal Garden Lahore</v>
          </cell>
          <cell r="Q241" t="str">
            <v>11000003</v>
          </cell>
          <cell r="R241" t="str">
            <v>SUZUKI ALTO VX</v>
          </cell>
          <cell r="S241" t="str">
            <v>2024</v>
          </cell>
          <cell r="U241" t="str">
            <v>325664</v>
          </cell>
          <cell r="V241" t="str">
            <v>1225540</v>
          </cell>
          <cell r="Y241">
            <v>2331000</v>
          </cell>
          <cell r="Z241">
            <v>40190</v>
          </cell>
          <cell r="AA241">
            <v>46620</v>
          </cell>
        </row>
        <row r="242">
          <cell r="B242" t="str">
            <v>KHI/HO/D/MO/PC COMP/C/101342/6/11/2024</v>
          </cell>
          <cell r="D242" t="str">
            <v>FRE</v>
          </cell>
          <cell r="E242" t="str">
            <v>11/11/24</v>
          </cell>
          <cell r="F242" t="str">
            <v>11/11/2024</v>
          </cell>
          <cell r="G242" t="str">
            <v>10/11/2025</v>
          </cell>
          <cell r="H242" t="str">
            <v>08004499</v>
          </cell>
          <cell r="I242" t="str">
            <v>AL BARAKA BANK (PAKISTAN) LIMITED</v>
          </cell>
          <cell r="J242" t="str">
            <v>BANK</v>
          </cell>
          <cell r="K242" t="str">
            <v>Mr.
HPA M/s. Al Baraka Bank Pakitan Limited
Mr. Faiz Ur Rehman
HPA M/s. Al Baraka Bank Pakitan Limited</v>
          </cell>
          <cell r="L242" t="str">
            <v>D</v>
          </cell>
          <cell r="M242" t="str">
            <v>09000221</v>
          </cell>
          <cell r="N242">
            <v>100</v>
          </cell>
          <cell r="O242" t="str">
            <v>LAHORE</v>
          </cell>
          <cell r="P242" t="str">
            <v>Village Sajjkot Main Road Near Govt Girls High School Sajjikot Qulandera</v>
          </cell>
          <cell r="Q242" t="str">
            <v>11000003</v>
          </cell>
          <cell r="R242" t="str">
            <v>SUZUKI BOLAN</v>
          </cell>
          <cell r="S242" t="str">
            <v>2024</v>
          </cell>
          <cell r="U242" t="str">
            <v>1033484</v>
          </cell>
          <cell r="V242" t="str">
            <v>01149993</v>
          </cell>
          <cell r="Y242">
            <v>1940000</v>
          </cell>
          <cell r="Z242">
            <v>33449</v>
          </cell>
          <cell r="AA242">
            <v>38800</v>
          </cell>
        </row>
        <row r="243">
          <cell r="B243" t="str">
            <v>KHI/HO/D/MO/PC COMP/C/101342/7/11/2024</v>
          </cell>
          <cell r="D243" t="str">
            <v>FRE</v>
          </cell>
          <cell r="E243" t="str">
            <v>11/11/24</v>
          </cell>
          <cell r="F243" t="str">
            <v>11/11/2024</v>
          </cell>
          <cell r="G243" t="str">
            <v>10/11/2025</v>
          </cell>
          <cell r="H243" t="str">
            <v>08004499</v>
          </cell>
          <cell r="I243" t="str">
            <v>AL BARAKA BANK (PAKISTAN) LIMITED</v>
          </cell>
          <cell r="J243" t="str">
            <v>BANK</v>
          </cell>
          <cell r="K243" t="str">
            <v>Mr.
HPA M/s. Al Baraka Bank Pakitan Limited
Mr. MUHAMMAD SUFYAN
HPA M/s. Al Baraka Bank Pakitan Limited</v>
          </cell>
          <cell r="L243" t="str">
            <v>D</v>
          </cell>
          <cell r="M243" t="str">
            <v>09000221</v>
          </cell>
          <cell r="N243">
            <v>100</v>
          </cell>
          <cell r="O243" t="str">
            <v>ABBOTABAD</v>
          </cell>
          <cell r="P243" t="str">
            <v>St No 1 Ghulam Rasool Town GM Abad Faisalabad</v>
          </cell>
          <cell r="Q243" t="str">
            <v>11000003</v>
          </cell>
          <cell r="R243" t="str">
            <v>HONDA CIVIC</v>
          </cell>
          <cell r="S243" t="str">
            <v>2018</v>
          </cell>
          <cell r="T243" t="str">
            <v>AJH-188</v>
          </cell>
          <cell r="U243" t="str">
            <v>R18Z12935735</v>
          </cell>
          <cell r="V243" t="str">
            <v>NFBFC6667JR039157</v>
          </cell>
          <cell r="Y243">
            <v>5000000</v>
          </cell>
          <cell r="Z243">
            <v>64655</v>
          </cell>
          <cell r="AA243">
            <v>75000</v>
          </cell>
        </row>
        <row r="244">
          <cell r="B244" t="str">
            <v>KHI/HO/D/MO/PC COMP/C/101342/8/11/2024</v>
          </cell>
          <cell r="D244" t="str">
            <v>FRE</v>
          </cell>
          <cell r="E244" t="str">
            <v>14/11/24</v>
          </cell>
          <cell r="F244" t="str">
            <v>14/11/2024</v>
          </cell>
          <cell r="G244" t="str">
            <v>13/11/2025</v>
          </cell>
          <cell r="H244" t="str">
            <v>08004499</v>
          </cell>
          <cell r="I244" t="str">
            <v>AL BARAKA BANK (PAKISTAN) LIMITED</v>
          </cell>
          <cell r="J244" t="str">
            <v>BANK</v>
          </cell>
          <cell r="K244" t="str">
            <v>Mr.
HPA M/s. Al Baraka Bank Pakitan Limited
Mr. MUHAMMAD USMAN SAFDAR
HPA M/s. Al Baraka Bank Pakitan Limited</v>
          </cell>
          <cell r="L244" t="str">
            <v>D</v>
          </cell>
          <cell r="M244" t="str">
            <v>09000221</v>
          </cell>
          <cell r="N244">
            <v>100</v>
          </cell>
          <cell r="O244" t="str">
            <v>LAHORE</v>
          </cell>
          <cell r="P244" t="str">
            <v>H # 32-B Aitchison H. Society Raiwind Road  Lahore.</v>
          </cell>
          <cell r="Q244" t="str">
            <v>11000003</v>
          </cell>
          <cell r="R244" t="str">
            <v>HONDA CITY 1.2  LS CVT</v>
          </cell>
          <cell r="S244" t="str">
            <v>2022</v>
          </cell>
          <cell r="T244" t="str">
            <v>AMH-741</v>
          </cell>
          <cell r="U244" t="str">
            <v>51014701</v>
          </cell>
          <cell r="V244" t="str">
            <v>R026400</v>
          </cell>
          <cell r="Y244">
            <v>4270000</v>
          </cell>
          <cell r="Z244">
            <v>55216</v>
          </cell>
          <cell r="AA244">
            <v>64050</v>
          </cell>
        </row>
        <row r="245">
          <cell r="B245" t="str">
            <v>KHI/HO/D/MO/PC COMP/C/101342/9/11/2024</v>
          </cell>
          <cell r="D245" t="str">
            <v>FRE</v>
          </cell>
          <cell r="E245" t="str">
            <v>14/11/24</v>
          </cell>
          <cell r="F245" t="str">
            <v>14/11/2024</v>
          </cell>
          <cell r="G245" t="str">
            <v>13/11/2025</v>
          </cell>
          <cell r="H245" t="str">
            <v>08004499</v>
          </cell>
          <cell r="I245" t="str">
            <v>AL BARAKA BANK (PAKISTAN) LIMITED</v>
          </cell>
          <cell r="J245" t="str">
            <v>BANK</v>
          </cell>
          <cell r="K245" t="str">
            <v>Mr.
HPA M/s. Al Baraka Bank Pakitan Limited
Mr. Aqeel Ahmed 
HPA M/s. Al Baraka Bank Pakitan Limited</v>
          </cell>
          <cell r="L245" t="str">
            <v>D</v>
          </cell>
          <cell r="M245" t="str">
            <v>09000221</v>
          </cell>
          <cell r="N245">
            <v>100</v>
          </cell>
          <cell r="O245" t="str">
            <v>FAISALABAD</v>
          </cell>
          <cell r="P245" t="str">
            <v>P-666 D GM Abad Faisalabad</v>
          </cell>
          <cell r="Q245" t="str">
            <v>11000003</v>
          </cell>
          <cell r="R245" t="str">
            <v>SUZUKI MEHRAN VXR EURO-II</v>
          </cell>
          <cell r="S245" t="str">
            <v>2001</v>
          </cell>
          <cell r="T245" t="str">
            <v>LEH-18-3574</v>
          </cell>
          <cell r="U245" t="str">
            <v>PKB735264</v>
          </cell>
          <cell r="V245" t="str">
            <v>SB 308PK01273780</v>
          </cell>
          <cell r="X245" t="str">
            <v>3</v>
          </cell>
          <cell r="Y245">
            <v>1425000</v>
          </cell>
          <cell r="Z245">
            <v>24569</v>
          </cell>
          <cell r="AA245">
            <v>28500</v>
          </cell>
        </row>
        <row r="246">
          <cell r="B246" t="str">
            <v>KHI/HO/D/MO/PC COMP/C/101342/10/11/2024</v>
          </cell>
          <cell r="D246" t="str">
            <v>FRE</v>
          </cell>
          <cell r="E246" t="str">
            <v>15/11/24</v>
          </cell>
          <cell r="F246" t="str">
            <v>15/11/2024</v>
          </cell>
          <cell r="G246" t="str">
            <v>14/11/2025</v>
          </cell>
          <cell r="H246" t="str">
            <v>08004499</v>
          </cell>
          <cell r="I246" t="str">
            <v>AL BARAKA BANK (PAKISTAN) LIMITED</v>
          </cell>
          <cell r="J246" t="str">
            <v>BANK</v>
          </cell>
          <cell r="K246" t="str">
            <v>Mr.
HPA M/s. Al Baraka Bank Pakitan Limited
Mr. Suleman Ghufrani
HPA M/s. Al Baraka Bank Pakitan Limited</v>
          </cell>
          <cell r="L246" t="str">
            <v>D</v>
          </cell>
          <cell r="M246" t="str">
            <v>09000221</v>
          </cell>
          <cell r="N246">
            <v>100</v>
          </cell>
          <cell r="O246" t="str">
            <v>KARACHI</v>
          </cell>
          <cell r="P246" t="str">
            <v>H # 710 Plot 193 Al Mustafa Colony Sector 11-A Orangi Town Karachi</v>
          </cell>
          <cell r="Q246" t="str">
            <v>11000003</v>
          </cell>
          <cell r="R246" t="str">
            <v>PRINCE PEARL</v>
          </cell>
          <cell r="S246" t="str">
            <v>2023</v>
          </cell>
          <cell r="T246" t="str">
            <v>BYF-059</v>
          </cell>
          <cell r="U246" t="str">
            <v>4603174W</v>
          </cell>
          <cell r="V246" t="str">
            <v>04244</v>
          </cell>
          <cell r="X246" t="str">
            <v>3</v>
          </cell>
          <cell r="Y246">
            <v>1430000</v>
          </cell>
          <cell r="Z246">
            <v>24655</v>
          </cell>
          <cell r="AA246">
            <v>28600</v>
          </cell>
        </row>
        <row r="247">
          <cell r="B247" t="str">
            <v>KHI/HO/D/MO/PC COMP/C/101342/11/11/2024</v>
          </cell>
          <cell r="D247" t="str">
            <v>FRE</v>
          </cell>
          <cell r="E247" t="str">
            <v>15/11/24</v>
          </cell>
          <cell r="F247" t="str">
            <v>15/11/2024</v>
          </cell>
          <cell r="G247" t="str">
            <v>14/11/2025</v>
          </cell>
          <cell r="H247" t="str">
            <v>08004499</v>
          </cell>
          <cell r="I247" t="str">
            <v>AL BARAKA BANK (PAKISTAN) LIMITED</v>
          </cell>
          <cell r="J247" t="str">
            <v>BANK</v>
          </cell>
          <cell r="K247" t="str">
            <v>Mr.
HPA M/s. Al Baraka Bank Pakitan Limited
Mr. MUHAMMAD ASGHAR
HPA M/s. Al Baraka Bank Pakitan Limited</v>
          </cell>
          <cell r="L247" t="str">
            <v>D</v>
          </cell>
          <cell r="M247" t="str">
            <v>09000221</v>
          </cell>
          <cell r="N247">
            <v>100</v>
          </cell>
          <cell r="O247" t="str">
            <v>LAHORE</v>
          </cell>
          <cell r="P247" t="str">
            <v>Raja Bola Village PO Khas Lahore</v>
          </cell>
          <cell r="Q247" t="str">
            <v>11000003</v>
          </cell>
          <cell r="R247" t="str">
            <v>SUZUKI ALTO VXR E-2</v>
          </cell>
          <cell r="S247" t="str">
            <v>2019</v>
          </cell>
          <cell r="T247" t="str">
            <v>LE-19A-8013</v>
          </cell>
          <cell r="U247" t="str">
            <v>6R111597</v>
          </cell>
          <cell r="V247" t="str">
            <v>H1011547</v>
          </cell>
          <cell r="X247" t="str">
            <v>3</v>
          </cell>
          <cell r="Y247">
            <v>2150000</v>
          </cell>
          <cell r="Z247">
            <v>37069</v>
          </cell>
          <cell r="AA247">
            <v>43000</v>
          </cell>
        </row>
        <row r="248">
          <cell r="B248" t="str">
            <v>KHI/HO/D/MO/PC COMP/C/102088/1/11/2024</v>
          </cell>
          <cell r="D248" t="str">
            <v>REN</v>
          </cell>
          <cell r="E248" t="str">
            <v>18/11/24</v>
          </cell>
          <cell r="F248" t="str">
            <v>04/11/2024</v>
          </cell>
          <cell r="G248" t="str">
            <v>03/11/2025</v>
          </cell>
          <cell r="H248" t="str">
            <v>08004499</v>
          </cell>
          <cell r="I248" t="str">
            <v>AL BARAKA BANK (PAKISTAN) LIMITED</v>
          </cell>
          <cell r="J248" t="str">
            <v>BANK</v>
          </cell>
          <cell r="K248" t="str">
            <v>HPA M/s. Al Baraka Bank (Pakistan) Limited
Mr. Muhammad Habib Ullah 
HPA M/s. Al Baraka Bank (Pakistan) Limited</v>
          </cell>
          <cell r="L248" t="str">
            <v>D</v>
          </cell>
          <cell r="M248" t="str">
            <v>09000221</v>
          </cell>
          <cell r="N248">
            <v>100</v>
          </cell>
          <cell r="O248" t="str">
            <v>FAISALABAD</v>
          </cell>
          <cell r="P248" t="str">
            <v>Chak No. 200 RB Lathian Wala PO Khas Faisalabad</v>
          </cell>
          <cell r="Q248" t="str">
            <v>11000003</v>
          </cell>
          <cell r="R248" t="str">
            <v>SUZUKI ALTO VXR E-2</v>
          </cell>
          <cell r="S248" t="str">
            <v>2021</v>
          </cell>
          <cell r="T248" t="str">
            <v>AFQ-947</v>
          </cell>
          <cell r="U248" t="str">
            <v>190976</v>
          </cell>
          <cell r="V248" t="str">
            <v>1091001</v>
          </cell>
          <cell r="X248" t="str">
            <v>3</v>
          </cell>
          <cell r="Y248">
            <v>1068000</v>
          </cell>
          <cell r="Z248">
            <v>22586</v>
          </cell>
          <cell r="AA248">
            <v>26700</v>
          </cell>
        </row>
        <row r="249">
          <cell r="B249" t="str">
            <v>KHI/HO/D/MO/CV/C/102122/1/11/2024</v>
          </cell>
          <cell r="D249" t="str">
            <v>REN</v>
          </cell>
          <cell r="E249" t="str">
            <v>18/11/24</v>
          </cell>
          <cell r="F249" t="str">
            <v>09/11/2024</v>
          </cell>
          <cell r="G249" t="str">
            <v>08/11/2025</v>
          </cell>
          <cell r="H249" t="str">
            <v>08004499</v>
          </cell>
          <cell r="I249" t="str">
            <v>AL BARAKA BANK (PAKISTAN) LIMITED</v>
          </cell>
          <cell r="J249" t="str">
            <v>BANK</v>
          </cell>
          <cell r="K249" t="str">
            <v>AL-BARAKA BANK (PAKISTAN) LIMITED
Ms.Shamim Bano
HPA M/s. Al Baraka Bank (Pakistan) Limited</v>
          </cell>
          <cell r="L249" t="str">
            <v>D</v>
          </cell>
          <cell r="M249" t="str">
            <v>09000221</v>
          </cell>
          <cell r="N249">
            <v>100</v>
          </cell>
          <cell r="O249" t="str">
            <v>KARACHI</v>
          </cell>
          <cell r="P249" t="str">
            <v>Flat No 1 1st Floor Imli Compound Bheempurah Lee Market Karachi</v>
          </cell>
          <cell r="Q249" t="str">
            <v>11000003</v>
          </cell>
          <cell r="R249" t="str">
            <v>SUZUKI RAVI VX</v>
          </cell>
          <cell r="S249" t="str">
            <v>2021</v>
          </cell>
          <cell r="T249" t="str">
            <v>LA-6554</v>
          </cell>
          <cell r="U249" t="str">
            <v>376145</v>
          </cell>
          <cell r="V249" t="str">
            <v>480812</v>
          </cell>
          <cell r="X249" t="str">
            <v>5</v>
          </cell>
          <cell r="Y249">
            <v>816000</v>
          </cell>
          <cell r="Z249">
            <v>17155</v>
          </cell>
          <cell r="AA249">
            <v>20400</v>
          </cell>
        </row>
        <row r="250">
          <cell r="B250" t="str">
            <v>KHI/HO/D/MO/CV/C/102122/2/11/2024</v>
          </cell>
          <cell r="D250" t="str">
            <v>REN</v>
          </cell>
          <cell r="E250" t="str">
            <v>18/11/24</v>
          </cell>
          <cell r="F250" t="str">
            <v>11/11/2024</v>
          </cell>
          <cell r="G250" t="str">
            <v>10/11/2025</v>
          </cell>
          <cell r="H250" t="str">
            <v>08004499</v>
          </cell>
          <cell r="I250" t="str">
            <v>AL BARAKA BANK (PAKISTAN) LIMITED</v>
          </cell>
          <cell r="J250" t="str">
            <v>BANK</v>
          </cell>
          <cell r="K250" t="str">
            <v>AL-BARAKA BANK (PAKISTAN) LIMITED
Mr.Rao Muhammad Khalid Shabbir
HPA M/s. Al Baraka Bank (Pakistan) Limited</v>
          </cell>
          <cell r="L250" t="str">
            <v>D</v>
          </cell>
          <cell r="M250" t="str">
            <v>09000221</v>
          </cell>
          <cell r="N250">
            <v>100</v>
          </cell>
          <cell r="O250" t="str">
            <v>KARACHI</v>
          </cell>
          <cell r="P250" t="str">
            <v>Ho No A/20 Gulshan -e Roohi Adj Jamia Millia Campus Malir Karachi</v>
          </cell>
          <cell r="Q250" t="str">
            <v>11000003</v>
          </cell>
          <cell r="R250" t="str">
            <v>SUZUKI RAVI VX EURO II</v>
          </cell>
          <cell r="S250" t="str">
            <v>2021</v>
          </cell>
          <cell r="T250" t="str">
            <v>LA-7026</v>
          </cell>
          <cell r="U250" t="str">
            <v>376737</v>
          </cell>
          <cell r="V250" t="str">
            <v>481397</v>
          </cell>
          <cell r="Y250">
            <v>816000</v>
          </cell>
          <cell r="Z250">
            <v>12310</v>
          </cell>
          <cell r="AA250">
            <v>14280</v>
          </cell>
        </row>
        <row r="251">
          <cell r="B251" t="str">
            <v>KHI/HO/D/MO/CV/C/102122/3/11/2024</v>
          </cell>
          <cell r="D251" t="str">
            <v>REN</v>
          </cell>
          <cell r="E251" t="str">
            <v>18/11/24</v>
          </cell>
          <cell r="F251" t="str">
            <v>25/11/2024</v>
          </cell>
          <cell r="G251" t="str">
            <v>24/11/2025</v>
          </cell>
          <cell r="H251" t="str">
            <v>08004499</v>
          </cell>
          <cell r="I251" t="str">
            <v>AL BARAKA BANK (PAKISTAN) LIMITED</v>
          </cell>
          <cell r="J251" t="str">
            <v>BANK</v>
          </cell>
          <cell r="K251" t="str">
            <v>AL-BARAKA BANK (PAKISTAN) LIMITED
Mr. Muhammad Saeed
HPA M/s. Al Baraka Bank (Pakistan) Limited</v>
          </cell>
          <cell r="L251" t="str">
            <v>D</v>
          </cell>
          <cell r="M251" t="str">
            <v>09000221</v>
          </cell>
          <cell r="N251">
            <v>100</v>
          </cell>
          <cell r="O251" t="str">
            <v>ISLAMABAD</v>
          </cell>
          <cell r="P251" t="str">
            <v>H No 6 ST No 1 Al Qasim Town Islamabad</v>
          </cell>
          <cell r="Q251" t="str">
            <v>11000003</v>
          </cell>
          <cell r="R251" t="str">
            <v>SUZUKI RAVI PICK UP</v>
          </cell>
          <cell r="S251" t="str">
            <v>2021</v>
          </cell>
          <cell r="T251" t="str">
            <v>AEH-743</v>
          </cell>
          <cell r="U251" t="str">
            <v>377774</v>
          </cell>
          <cell r="V251" t="str">
            <v>482449</v>
          </cell>
          <cell r="X251" t="str">
            <v>5</v>
          </cell>
          <cell r="Y251">
            <v>816000</v>
          </cell>
          <cell r="Z251">
            <v>12310</v>
          </cell>
          <cell r="AA251">
            <v>14280</v>
          </cell>
        </row>
        <row r="252">
          <cell r="B252" t="str">
            <v>KHI/HO/D/MO/CV/C/102121/1/11/2024</v>
          </cell>
          <cell r="D252" t="str">
            <v>REN</v>
          </cell>
          <cell r="E252" t="str">
            <v>18/11/24</v>
          </cell>
          <cell r="F252" t="str">
            <v>03/11/2024</v>
          </cell>
          <cell r="G252" t="str">
            <v>02/11/2025</v>
          </cell>
          <cell r="H252" t="str">
            <v>08004499</v>
          </cell>
          <cell r="I252" t="str">
            <v>AL BARAKA BANK (PAKISTAN) LIMITED</v>
          </cell>
          <cell r="J252" t="str">
            <v>BANK</v>
          </cell>
          <cell r="K252" t="str">
            <v>Mr.
HPA M/s. Al Baraka Bank ( Pakistan) Limited 
Mr. Prem Ji
HPA M/s Al Baraka Bank Pakistan Limited</v>
          </cell>
          <cell r="L252" t="str">
            <v>D</v>
          </cell>
          <cell r="M252" t="str">
            <v>09000221</v>
          </cell>
          <cell r="N252">
            <v>100</v>
          </cell>
          <cell r="P252" t="str">
            <v>H# 12/2-C,  Adam Abbas Mansion,  Muhammad Ali Alvi Road,  Kumhar Wara, Khi.</v>
          </cell>
          <cell r="Q252" t="str">
            <v>11000003</v>
          </cell>
          <cell r="R252" t="str">
            <v>SUZUKI RAVI PICK UP</v>
          </cell>
          <cell r="S252" t="str">
            <v>2022</v>
          </cell>
          <cell r="T252" t="str">
            <v>LC-0994</v>
          </cell>
          <cell r="U252" t="str">
            <v>386827</v>
          </cell>
          <cell r="V252" t="str">
            <v>491493</v>
          </cell>
          <cell r="Y252">
            <v>1210400</v>
          </cell>
          <cell r="Z252">
            <v>20438</v>
          </cell>
          <cell r="AA252">
            <v>24208</v>
          </cell>
        </row>
        <row r="253">
          <cell r="B253" t="str">
            <v>KHI/HO/D/MO/CV/C/102121/2/11/2024</v>
          </cell>
          <cell r="D253" t="str">
            <v>REN</v>
          </cell>
          <cell r="E253" t="str">
            <v>18/11/24</v>
          </cell>
          <cell r="F253" t="str">
            <v>25/11/2024</v>
          </cell>
          <cell r="G253" t="str">
            <v>24/11/2025</v>
          </cell>
          <cell r="H253" t="str">
            <v>08004499</v>
          </cell>
          <cell r="I253" t="str">
            <v>AL BARAKA BANK (PAKISTAN) LIMITED</v>
          </cell>
          <cell r="J253" t="str">
            <v>BANK</v>
          </cell>
          <cell r="K253" t="str">
            <v>Mr.
HPA M/s. Al Baraka Bank ( Pakistan) Limited 
Mr. Muhammad Abdullah
HPA M/s Al Baraka Bank ( Pakistan ) Limited</v>
          </cell>
          <cell r="L253" t="str">
            <v>D</v>
          </cell>
          <cell r="M253" t="str">
            <v>09000221</v>
          </cell>
          <cell r="N253">
            <v>100</v>
          </cell>
          <cell r="P253" t="str">
            <v>H No 565 Street No 35 Sector G-6 /1-3 Islamabad</v>
          </cell>
          <cell r="Q253" t="str">
            <v>11000003</v>
          </cell>
          <cell r="R253" t="str">
            <v>SUZUKI RAVI PICK UP</v>
          </cell>
          <cell r="S253" t="str">
            <v>2022</v>
          </cell>
          <cell r="T253" t="str">
            <v>TAB-592</v>
          </cell>
          <cell r="U253" t="str">
            <v>387190</v>
          </cell>
          <cell r="V253" t="str">
            <v>491850</v>
          </cell>
          <cell r="X253" t="str">
            <v>5</v>
          </cell>
          <cell r="Y253">
            <v>1210400</v>
          </cell>
          <cell r="Z253">
            <v>20869</v>
          </cell>
          <cell r="AA253">
            <v>24208</v>
          </cell>
        </row>
        <row r="254">
          <cell r="B254" t="str">
            <v>KHI/HO/D/MO/CV/C/102121/3/11/2024</v>
          </cell>
          <cell r="D254" t="str">
            <v>REN</v>
          </cell>
          <cell r="E254" t="str">
            <v>18/11/24</v>
          </cell>
          <cell r="F254" t="str">
            <v>30/11/2024</v>
          </cell>
          <cell r="G254" t="str">
            <v>29/11/2025</v>
          </cell>
          <cell r="H254" t="str">
            <v>08004499</v>
          </cell>
          <cell r="I254" t="str">
            <v>AL BARAKA BANK (PAKISTAN) LIMITED</v>
          </cell>
          <cell r="J254" t="str">
            <v>BANK</v>
          </cell>
          <cell r="K254" t="str">
            <v>Mr.
HPA M/s. Al Baraka Bank ( Pakistan) Limited 
Ms. Nida Bibi
HPA M/s Al Baraka Bank ( Pakistan ) Limited</v>
          </cell>
          <cell r="L254" t="str">
            <v>D</v>
          </cell>
          <cell r="M254" t="str">
            <v>09000221</v>
          </cell>
          <cell r="N254">
            <v>100</v>
          </cell>
          <cell r="P254" t="str">
            <v>Flat No C-1-5 /20 5th Floor PL No 88 Block 2 PECHS Al Ghafoor Chalet Karachi</v>
          </cell>
          <cell r="Q254" t="str">
            <v>11000003</v>
          </cell>
          <cell r="R254" t="str">
            <v>SUZUKI RAVI STD</v>
          </cell>
          <cell r="S254" t="str">
            <v>2022</v>
          </cell>
          <cell r="T254" t="str">
            <v>LC-3878</v>
          </cell>
          <cell r="U254" t="str">
            <v>387366</v>
          </cell>
          <cell r="V254" t="str">
            <v>492008</v>
          </cell>
          <cell r="Y254">
            <v>1210400</v>
          </cell>
          <cell r="Z254">
            <v>20869</v>
          </cell>
          <cell r="AA254">
            <v>24208</v>
          </cell>
        </row>
        <row r="255">
          <cell r="B255" t="str">
            <v>KHI/HO/D/MO/PC COMP/C/101342/12/11/2024</v>
          </cell>
          <cell r="D255" t="str">
            <v>FRE</v>
          </cell>
          <cell r="E255" t="str">
            <v>18/11/24</v>
          </cell>
          <cell r="F255" t="str">
            <v>18/11/2024</v>
          </cell>
          <cell r="G255" t="str">
            <v>17/11/2025</v>
          </cell>
          <cell r="H255" t="str">
            <v>08004499</v>
          </cell>
          <cell r="I255" t="str">
            <v>AL BARAKA BANK (PAKISTAN) LIMITED</v>
          </cell>
          <cell r="J255" t="str">
            <v>BANK</v>
          </cell>
          <cell r="K255" t="str">
            <v>Mr.
HPA M/s. Al Baraka Bank Pakitan Limited
Mr. Yashwa 
HPA M/s. Al Baraka Bank Pakitan Limited</v>
          </cell>
          <cell r="L255" t="str">
            <v>D</v>
          </cell>
          <cell r="M255" t="str">
            <v>09000221</v>
          </cell>
          <cell r="N255">
            <v>100</v>
          </cell>
          <cell r="O255" t="str">
            <v>LAHORE</v>
          </cell>
          <cell r="P255" t="str">
            <v>H No 147/A LDA St No 14 Hawary K Colony Gulberg III Lahore</v>
          </cell>
          <cell r="Q255" t="str">
            <v>11000003</v>
          </cell>
          <cell r="R255" t="str">
            <v>SUZUKI WAGON-R</v>
          </cell>
          <cell r="S255" t="str">
            <v>2018</v>
          </cell>
          <cell r="T255" t="str">
            <v>LEE-18-4617</v>
          </cell>
          <cell r="U255" t="str">
            <v>159369</v>
          </cell>
          <cell r="V255" t="str">
            <v>10059359</v>
          </cell>
          <cell r="Y255">
            <v>2200000</v>
          </cell>
          <cell r="Z255">
            <v>37931</v>
          </cell>
          <cell r="AA255">
            <v>44000</v>
          </cell>
        </row>
        <row r="256">
          <cell r="B256" t="str">
            <v>KHI/HO/D/MO/PC COMP/C/101342/13/11/2024</v>
          </cell>
          <cell r="D256" t="str">
            <v>FRE</v>
          </cell>
          <cell r="E256" t="str">
            <v>18/11/24</v>
          </cell>
          <cell r="F256" t="str">
            <v>18/11/2024</v>
          </cell>
          <cell r="G256" t="str">
            <v>17/11/2025</v>
          </cell>
          <cell r="H256" t="str">
            <v>08004499</v>
          </cell>
          <cell r="I256" t="str">
            <v>AL BARAKA BANK (PAKISTAN) LIMITED</v>
          </cell>
          <cell r="J256" t="str">
            <v>BANK</v>
          </cell>
          <cell r="K256" t="str">
            <v>Mr.
HPA M/s. Al Baraka Bank Pakitan Limited
Mr. Syed Shariq Hussain
HPA M/s. Al Baraka Bank Pakitan Limited</v>
          </cell>
          <cell r="L256" t="str">
            <v>D</v>
          </cell>
          <cell r="M256" t="str">
            <v>09000221</v>
          </cell>
          <cell r="N256">
            <v>100</v>
          </cell>
          <cell r="O256" t="str">
            <v>LAHORE</v>
          </cell>
          <cell r="P256" t="str">
            <v>H No 38/52 Siddiqui Street Mohallah Haider Road Islam Pura Lahore</v>
          </cell>
          <cell r="Q256" t="str">
            <v>11000003</v>
          </cell>
          <cell r="R256" t="str">
            <v>SUZUKI ALTO</v>
          </cell>
          <cell r="S256" t="str">
            <v>2022</v>
          </cell>
          <cell r="T256" t="str">
            <v>ANT-559</v>
          </cell>
          <cell r="U256" t="str">
            <v>6R264676</v>
          </cell>
          <cell r="V256" t="str">
            <v>H1164657</v>
          </cell>
          <cell r="Y256">
            <v>2350000</v>
          </cell>
          <cell r="Z256">
            <v>40517</v>
          </cell>
          <cell r="AA256">
            <v>47000</v>
          </cell>
        </row>
        <row r="257">
          <cell r="B257" t="str">
            <v>KHI/HO/D/MO/PC COMP/C/101342/14/11/2024</v>
          </cell>
          <cell r="D257" t="str">
            <v>FRE</v>
          </cell>
          <cell r="E257" t="str">
            <v>19/11/24</v>
          </cell>
          <cell r="F257" t="str">
            <v>19/11/2024</v>
          </cell>
          <cell r="G257" t="str">
            <v>18/11/2025</v>
          </cell>
          <cell r="H257" t="str">
            <v>08004499</v>
          </cell>
          <cell r="I257" t="str">
            <v>AL BARAKA BANK (PAKISTAN) LIMITED</v>
          </cell>
          <cell r="J257" t="str">
            <v>BANK</v>
          </cell>
          <cell r="K257" t="str">
            <v>Mr.
HPA M/s. Al Baraka Bank Pakitan Limited
Mr. SHEHROZE SAJJAD
HPA M/s. Al Baraka Bank Pakitan Limited</v>
          </cell>
          <cell r="L257" t="str">
            <v>D</v>
          </cell>
          <cell r="M257" t="str">
            <v>09000221</v>
          </cell>
          <cell r="N257">
            <v>100</v>
          </cell>
          <cell r="O257" t="str">
            <v>FAISALABAD</v>
          </cell>
          <cell r="P257" t="str">
            <v>H No 13 Nasrullah Khan Town Canal Road Faisalabad</v>
          </cell>
          <cell r="Q257" t="str">
            <v>11000003</v>
          </cell>
          <cell r="R257" t="str">
            <v>HONDA CIVIC</v>
          </cell>
          <cell r="S257" t="str">
            <v>2016</v>
          </cell>
          <cell r="T257" t="str">
            <v>LEH-16-929</v>
          </cell>
          <cell r="U257" t="str">
            <v>R18Z 12900366</v>
          </cell>
          <cell r="V257" t="str">
            <v>NFBFC6668GR000568</v>
          </cell>
          <cell r="X257" t="str">
            <v>2</v>
          </cell>
          <cell r="Y257">
            <v>4200000</v>
          </cell>
          <cell r="Z257">
            <v>54310</v>
          </cell>
          <cell r="AA257">
            <v>63000</v>
          </cell>
        </row>
        <row r="258">
          <cell r="B258" t="str">
            <v>KHI/HO/D/MO/PC COMP/C/101342/15/11/2024</v>
          </cell>
          <cell r="D258" t="str">
            <v>FRE</v>
          </cell>
          <cell r="E258" t="str">
            <v>19/11/24</v>
          </cell>
          <cell r="F258" t="str">
            <v>19/11/2024</v>
          </cell>
          <cell r="G258" t="str">
            <v>18/11/2025</v>
          </cell>
          <cell r="H258" t="str">
            <v>08004499</v>
          </cell>
          <cell r="I258" t="str">
            <v>AL BARAKA BANK (PAKISTAN) LIMITED</v>
          </cell>
          <cell r="J258" t="str">
            <v>BANK</v>
          </cell>
          <cell r="K258" t="str">
            <v>Mr.
HPA M/s. Al Baraka Bank Pakitan Limited
Mr. MUHAMMAD WAQAR YASIR
HPA M/s. Al Baraka Bank Pakitan Limited</v>
          </cell>
          <cell r="L258" t="str">
            <v>D</v>
          </cell>
          <cell r="M258" t="str">
            <v>09000221</v>
          </cell>
          <cell r="N258">
            <v>100</v>
          </cell>
          <cell r="O258" t="str">
            <v>FAISALABAD</v>
          </cell>
          <cell r="P258" t="str">
            <v>H No - 961 Qazafi Street Muhammad Abad Faisalabad</v>
          </cell>
          <cell r="Q258" t="str">
            <v>11000003</v>
          </cell>
          <cell r="R258" t="str">
            <v>SUZUKI WAGON-R</v>
          </cell>
          <cell r="S258" t="str">
            <v>2018</v>
          </cell>
          <cell r="T258" t="str">
            <v>LEB-18A-2079</v>
          </cell>
          <cell r="U258" t="str">
            <v>PK10B171472</v>
          </cell>
          <cell r="V258" t="str">
            <v>A1J310PK10071464</v>
          </cell>
          <cell r="X258" t="str">
            <v>5</v>
          </cell>
          <cell r="Y258">
            <v>2200000</v>
          </cell>
          <cell r="Z258">
            <v>37931</v>
          </cell>
          <cell r="AA258">
            <v>44000</v>
          </cell>
        </row>
        <row r="259">
          <cell r="B259" t="str">
            <v>KHI/HO/D/MO/PC COMP/C/102088/2/11/2024</v>
          </cell>
          <cell r="D259" t="str">
            <v>REN</v>
          </cell>
          <cell r="E259" t="str">
            <v>19/11/24</v>
          </cell>
          <cell r="F259" t="str">
            <v>02/11/2024</v>
          </cell>
          <cell r="G259" t="str">
            <v>01/11/2025</v>
          </cell>
          <cell r="H259" t="str">
            <v>08004499</v>
          </cell>
          <cell r="I259" t="str">
            <v>AL BARAKA BANK (PAKISTAN) LIMITED</v>
          </cell>
          <cell r="J259" t="str">
            <v>BANK</v>
          </cell>
          <cell r="K259" t="str">
            <v>Mr. 
HPA M/s. Al Baraka Bank (Pakistan) Limited
Mr. Maqbool Hussain 
HPA M/s. Al Baraka Bank (Pakistan) Limited</v>
          </cell>
          <cell r="L259" t="str">
            <v>D</v>
          </cell>
          <cell r="M259" t="str">
            <v>09000221</v>
          </cell>
          <cell r="N259">
            <v>100</v>
          </cell>
          <cell r="P259" t="str">
            <v>Qasba Bela PO Khas Basti Shorkot Multan</v>
          </cell>
          <cell r="Q259" t="str">
            <v>11000003</v>
          </cell>
          <cell r="R259" t="str">
            <v>SUZUKI MEHRAN VXR EURO-II</v>
          </cell>
          <cell r="S259" t="str">
            <v>2016</v>
          </cell>
          <cell r="T259" t="str">
            <v>MND-16-513</v>
          </cell>
          <cell r="U259" t="str">
            <v>646276</v>
          </cell>
          <cell r="V259" t="str">
            <v>1184768</v>
          </cell>
          <cell r="X259" t="str">
            <v>3</v>
          </cell>
          <cell r="Y259">
            <v>900000</v>
          </cell>
          <cell r="Z259">
            <v>15517</v>
          </cell>
          <cell r="AA259">
            <v>18000</v>
          </cell>
        </row>
        <row r="260">
          <cell r="B260" t="str">
            <v>KHI/HO/D/MO/PC COMP/C/102088/3/11/2024</v>
          </cell>
          <cell r="D260" t="str">
            <v>REN</v>
          </cell>
          <cell r="E260" t="str">
            <v>19/11/24</v>
          </cell>
          <cell r="F260" t="str">
            <v>02/11/2024</v>
          </cell>
          <cell r="G260" t="str">
            <v>01/11/2025</v>
          </cell>
          <cell r="H260" t="str">
            <v>08004499</v>
          </cell>
          <cell r="I260" t="str">
            <v>AL BARAKA BANK (PAKISTAN) LIMITED</v>
          </cell>
          <cell r="J260" t="str">
            <v>BANK</v>
          </cell>
          <cell r="K260" t="str">
            <v>Mr. 
HPA M/s. Al Baraka Bank (Pakistan) Limited
Mr. MALIK AZHAR RASHEED
HPA M/s. Al Baraka Bank (Pakistan) Limited</v>
          </cell>
          <cell r="L260" t="str">
            <v>D</v>
          </cell>
          <cell r="M260" t="str">
            <v>09000221</v>
          </cell>
          <cell r="N260">
            <v>100</v>
          </cell>
          <cell r="P260" t="str">
            <v>KHAN VILLAGE ROAD MULTAN</v>
          </cell>
          <cell r="Q260" t="str">
            <v>11000003</v>
          </cell>
          <cell r="R260" t="str">
            <v>HONDA CITY I-VTEC (M/T)</v>
          </cell>
          <cell r="S260" t="str">
            <v>2018</v>
          </cell>
          <cell r="T260" t="str">
            <v>LE-19-4802</v>
          </cell>
          <cell r="U260" t="str">
            <v>17523976</v>
          </cell>
          <cell r="V260" t="str">
            <v>241102</v>
          </cell>
          <cell r="X260" t="str">
            <v>3</v>
          </cell>
          <cell r="Y260">
            <v>3150000</v>
          </cell>
          <cell r="Z260">
            <v>40733</v>
          </cell>
          <cell r="AA260">
            <v>47250</v>
          </cell>
        </row>
        <row r="261">
          <cell r="B261" t="str">
            <v>KHI/HO/D/MO/PC COMP/C/102088/4/11/2024</v>
          </cell>
          <cell r="D261" t="str">
            <v>REN</v>
          </cell>
          <cell r="E261" t="str">
            <v>19/11/24</v>
          </cell>
          <cell r="F261" t="str">
            <v>02/11/2024</v>
          </cell>
          <cell r="G261" t="str">
            <v>01/11/2025</v>
          </cell>
          <cell r="H261" t="str">
            <v>08004499</v>
          </cell>
          <cell r="I261" t="str">
            <v>AL BARAKA BANK (PAKISTAN) LIMITED</v>
          </cell>
          <cell r="J261" t="str">
            <v>BANK</v>
          </cell>
          <cell r="K261" t="str">
            <v>Mr. 
HPA M/s. Al Baraka Bank (Pakistan) Limited
Mr. Asghar
HPA M/s. Al Baraka Bank (Pakistan) Limited</v>
          </cell>
          <cell r="L261" t="str">
            <v>D</v>
          </cell>
          <cell r="M261" t="str">
            <v>09000221</v>
          </cell>
          <cell r="N261">
            <v>100</v>
          </cell>
          <cell r="P261" t="str">
            <v>Chah Parsotay Wala PO Rangeel Kayan Pur The &amp; Distt</v>
          </cell>
          <cell r="Q261" t="str">
            <v>11000003</v>
          </cell>
          <cell r="R261" t="str">
            <v>SUZUKI ALTO</v>
          </cell>
          <cell r="S261" t="str">
            <v>2023</v>
          </cell>
          <cell r="T261" t="str">
            <v>BYR-476</v>
          </cell>
          <cell r="U261" t="str">
            <v>272065</v>
          </cell>
          <cell r="V261" t="str">
            <v>1172053</v>
          </cell>
          <cell r="Y261">
            <v>2610000</v>
          </cell>
          <cell r="Z261">
            <v>45000</v>
          </cell>
          <cell r="AA261">
            <v>52200</v>
          </cell>
        </row>
        <row r="262">
          <cell r="B262" t="str">
            <v>KHI/HO/D/MO/PC COMP/C/102088/5/11/2024</v>
          </cell>
          <cell r="D262" t="str">
            <v>REN</v>
          </cell>
          <cell r="E262" t="str">
            <v>19/11/24</v>
          </cell>
          <cell r="F262" t="str">
            <v>02/11/2024</v>
          </cell>
          <cell r="G262" t="str">
            <v>01/11/2025</v>
          </cell>
          <cell r="H262" t="str">
            <v>08004499</v>
          </cell>
          <cell r="I262" t="str">
            <v>AL BARAKA BANK (PAKISTAN) LIMITED</v>
          </cell>
          <cell r="J262" t="str">
            <v>BANK</v>
          </cell>
          <cell r="K262" t="str">
            <v>Mr. 
HPA M/s. Al Baraka Bank (Pakistan) Limited
Mr. Abdul Hameed
HPA M/s. Al Baraka Bank (Pakistan) Limited</v>
          </cell>
          <cell r="L262" t="str">
            <v>D</v>
          </cell>
          <cell r="M262" t="str">
            <v>09000221</v>
          </cell>
          <cell r="N262">
            <v>100</v>
          </cell>
          <cell r="P262" t="str">
            <v>H No 16 Gardiana Block C Bahria Town Lahore</v>
          </cell>
          <cell r="Q262" t="str">
            <v>11000003</v>
          </cell>
          <cell r="R262" t="str">
            <v>TOYOTA YARIS ATIV X CVT 1</v>
          </cell>
          <cell r="S262" t="str">
            <v>2020</v>
          </cell>
          <cell r="T262" t="str">
            <v>AFM-964</v>
          </cell>
          <cell r="U262" t="str">
            <v>2A10202</v>
          </cell>
          <cell r="V262" t="str">
            <v>R7005830</v>
          </cell>
          <cell r="Y262">
            <v>2880000</v>
          </cell>
          <cell r="Z262">
            <v>49655</v>
          </cell>
          <cell r="AA262">
            <v>57600</v>
          </cell>
        </row>
        <row r="263">
          <cell r="B263" t="str">
            <v>KHI/HO/D/MO/PC COMP/C/102088/6/11/2024</v>
          </cell>
          <cell r="D263" t="str">
            <v>REN</v>
          </cell>
          <cell r="E263" t="str">
            <v>19/11/24</v>
          </cell>
          <cell r="F263" t="str">
            <v>02/11/2024</v>
          </cell>
          <cell r="G263" t="str">
            <v>01/11/2025</v>
          </cell>
          <cell r="H263" t="str">
            <v>08004499</v>
          </cell>
          <cell r="I263" t="str">
            <v>AL BARAKA BANK (PAKISTAN) LIMITED</v>
          </cell>
          <cell r="J263" t="str">
            <v>BANK</v>
          </cell>
          <cell r="K263" t="str">
            <v>Mr. 
HPA M/s. Al Baraka Bank (Pakistan) Limited
Mr. Muhammad Umair Yaqoob
HPA M/s. Al Baraka Bank (Pakistan) Limited</v>
          </cell>
          <cell r="L263" t="str">
            <v>D</v>
          </cell>
          <cell r="M263" t="str">
            <v>09000221</v>
          </cell>
          <cell r="N263">
            <v>100</v>
          </cell>
          <cell r="P263" t="str">
            <v>H No 634 E Ahmed St Muhallah Nadirabad Ali Park Bedian Lahore Cantt Lahore</v>
          </cell>
          <cell r="Q263" t="str">
            <v>11000003</v>
          </cell>
          <cell r="R263" t="str">
            <v>SUZUKI WAGON R VXL</v>
          </cell>
          <cell r="S263" t="str">
            <v>2018</v>
          </cell>
          <cell r="T263" t="str">
            <v>LEH-18-3356</v>
          </cell>
          <cell r="U263" t="str">
            <v>160576</v>
          </cell>
          <cell r="V263" t="str">
            <v>10060572</v>
          </cell>
          <cell r="Y263">
            <v>1667700</v>
          </cell>
          <cell r="Z263">
            <v>28753</v>
          </cell>
          <cell r="AA263">
            <v>33354</v>
          </cell>
        </row>
        <row r="264">
          <cell r="B264" t="str">
            <v>KHI/HO/D/MO/PC COMP/C/102088/7/11/2024</v>
          </cell>
          <cell r="D264" t="str">
            <v>REN</v>
          </cell>
          <cell r="E264" t="str">
            <v>19/11/24</v>
          </cell>
          <cell r="F264" t="str">
            <v>02/11/2024</v>
          </cell>
          <cell r="G264" t="str">
            <v>01/11/2025</v>
          </cell>
          <cell r="H264" t="str">
            <v>08004499</v>
          </cell>
          <cell r="I264" t="str">
            <v>AL BARAKA BANK (PAKISTAN) LIMITED</v>
          </cell>
          <cell r="J264" t="str">
            <v>BANK</v>
          </cell>
          <cell r="K264" t="str">
            <v>Mr. 
HPA M/s. Al Baraka Bank (Pakistan) Limited
Mr. ZAFAR IQBAL KHAN NIAZI
HPA M/s. Al Baraka Bank (Pakistan) Limited</v>
          </cell>
          <cell r="L264" t="str">
            <v>D</v>
          </cell>
          <cell r="M264" t="str">
            <v>09000221</v>
          </cell>
          <cell r="N264">
            <v>100</v>
          </cell>
          <cell r="P264" t="str">
            <v>P-590 Sarfaraz Colony Faisalabad</v>
          </cell>
          <cell r="Q264" t="str">
            <v>11000003</v>
          </cell>
          <cell r="R264" t="str">
            <v>SUZUKI WAGON R VXL</v>
          </cell>
          <cell r="S264" t="str">
            <v>2022</v>
          </cell>
          <cell r="T264" t="str">
            <v>AJY-976</v>
          </cell>
          <cell r="U264" t="str">
            <v>PK 10B 33337</v>
          </cell>
          <cell r="V264" t="str">
            <v>A1J310 PK 10133369</v>
          </cell>
          <cell r="X264" t="str">
            <v>5</v>
          </cell>
          <cell r="Y264">
            <v>2565000</v>
          </cell>
          <cell r="Z264">
            <v>44224</v>
          </cell>
          <cell r="AA264">
            <v>51300</v>
          </cell>
        </row>
        <row r="265">
          <cell r="B265" t="str">
            <v>KHI/HO/D/MO/PC COMP/C/102088/8/11/2024</v>
          </cell>
          <cell r="D265" t="str">
            <v>REN</v>
          </cell>
          <cell r="E265" t="str">
            <v>19/11/24</v>
          </cell>
          <cell r="F265" t="str">
            <v>02/11/2024</v>
          </cell>
          <cell r="G265" t="str">
            <v>01/11/2025</v>
          </cell>
          <cell r="H265" t="str">
            <v>08004499</v>
          </cell>
          <cell r="I265" t="str">
            <v>AL BARAKA BANK (PAKISTAN) LIMITED</v>
          </cell>
          <cell r="J265" t="str">
            <v>BANK</v>
          </cell>
          <cell r="K265" t="str">
            <v>Mr. 
HPA M/s. Al Baraka Bank (Pakistan) Limited
Mrs. Saba Ahmad
HPA M/s. Al Baraka Bank (Pakistan) Limited</v>
          </cell>
          <cell r="L265" t="str">
            <v>D</v>
          </cell>
          <cell r="M265" t="str">
            <v>09000221</v>
          </cell>
          <cell r="N265">
            <v>100</v>
          </cell>
          <cell r="P265" t="str">
            <v>H No 156 A Phase 2 High Court Society College Road Ameer Chowk Lahore</v>
          </cell>
          <cell r="Q265" t="str">
            <v>11000003</v>
          </cell>
          <cell r="R265" t="str">
            <v>SUZUKI MEHRAN</v>
          </cell>
          <cell r="S265" t="str">
            <v>2015</v>
          </cell>
          <cell r="T265" t="str">
            <v>LED-15-3862</v>
          </cell>
          <cell r="U265" t="str">
            <v>612097</v>
          </cell>
          <cell r="V265" t="str">
            <v>1150603</v>
          </cell>
          <cell r="Y265">
            <v>810000</v>
          </cell>
          <cell r="Z265">
            <v>13965</v>
          </cell>
          <cell r="AA265">
            <v>16200</v>
          </cell>
        </row>
        <row r="266">
          <cell r="B266" t="str">
            <v>KHI/HO/D/MO/PC COMP/C/102088/9/11/2024</v>
          </cell>
          <cell r="D266" t="str">
            <v>REN</v>
          </cell>
          <cell r="E266" t="str">
            <v>19/11/24</v>
          </cell>
          <cell r="F266" t="str">
            <v>03/11/2024</v>
          </cell>
          <cell r="G266" t="str">
            <v>02/11/2025</v>
          </cell>
          <cell r="H266" t="str">
            <v>08004499</v>
          </cell>
          <cell r="I266" t="str">
            <v>AL BARAKA BANK (PAKISTAN) LIMITED</v>
          </cell>
          <cell r="J266" t="str">
            <v>BANK</v>
          </cell>
          <cell r="K266" t="str">
            <v>Mr. 
HPA M/s. Al Baraka Bank (Pakistan) Limited
Mr. Mubasher Abbas 
HPA M/s. Al Baraka Bank (Pakistan) Limited</v>
          </cell>
          <cell r="L266" t="str">
            <v>D</v>
          </cell>
          <cell r="M266" t="str">
            <v>09000221</v>
          </cell>
          <cell r="N266">
            <v>100</v>
          </cell>
          <cell r="P266" t="str">
            <v>H # 16 Block C Street 9 Marghzar Colony Multan Colony Lahoe</v>
          </cell>
          <cell r="Q266" t="str">
            <v>11000003</v>
          </cell>
          <cell r="R266" t="str">
            <v>TOYOTA HILUX REVO V A/T</v>
          </cell>
          <cell r="S266" t="str">
            <v>2016</v>
          </cell>
          <cell r="T266" t="str">
            <v>LE-17-3006</v>
          </cell>
          <cell r="U266" t="str">
            <v>928482</v>
          </cell>
          <cell r="V266" t="str">
            <v>R0960853</v>
          </cell>
          <cell r="X266" t="str">
            <v>3</v>
          </cell>
          <cell r="Y266">
            <v>7200000</v>
          </cell>
          <cell r="Z266">
            <v>93103</v>
          </cell>
          <cell r="AA266">
            <v>108000</v>
          </cell>
        </row>
        <row r="267">
          <cell r="B267" t="str">
            <v>KHI/HO/D/MO/PC COMP/C/102088/10/11/2024</v>
          </cell>
          <cell r="D267" t="str">
            <v>REN</v>
          </cell>
          <cell r="E267" t="str">
            <v>19/11/24</v>
          </cell>
          <cell r="F267" t="str">
            <v>06/11/2024</v>
          </cell>
          <cell r="G267" t="str">
            <v>05/11/2025</v>
          </cell>
          <cell r="H267" t="str">
            <v>08004499</v>
          </cell>
          <cell r="I267" t="str">
            <v>AL BARAKA BANK (PAKISTAN) LIMITED</v>
          </cell>
          <cell r="J267" t="str">
            <v>BANK</v>
          </cell>
          <cell r="K267" t="str">
            <v>Mr. 
HPA M/s. Al Baraka Bank (Pakistan) Limited
Mr. Ch Zubair Sultan 
HPA M/s. Al Baraka Bank (Pakistan) Limited</v>
          </cell>
          <cell r="L267" t="str">
            <v>D</v>
          </cell>
          <cell r="M267" t="str">
            <v>09000221</v>
          </cell>
          <cell r="N267">
            <v>100</v>
          </cell>
          <cell r="P267" t="str">
            <v>H No 215 A 2B Mohallah Allama Iqbal Colony Dhok Hassu Rawalpindi</v>
          </cell>
          <cell r="Q267" t="str">
            <v>11000003</v>
          </cell>
          <cell r="R267" t="str">
            <v>SUZUKI ALTO VXL</v>
          </cell>
          <cell r="S267" t="str">
            <v>2023</v>
          </cell>
          <cell r="U267" t="str">
            <v>286437</v>
          </cell>
          <cell r="V267" t="str">
            <v>1186398</v>
          </cell>
          <cell r="X267" t="str">
            <v>05</v>
          </cell>
          <cell r="Y267">
            <v>2641500</v>
          </cell>
          <cell r="Z267">
            <v>45544</v>
          </cell>
          <cell r="AA267">
            <v>52830</v>
          </cell>
        </row>
        <row r="268">
          <cell r="B268" t="str">
            <v>KHI/HO/D/MO/PC COMP/C/102088/11/11/2024</v>
          </cell>
          <cell r="D268" t="str">
            <v>REN</v>
          </cell>
          <cell r="E268" t="str">
            <v>19/11/24</v>
          </cell>
          <cell r="F268" t="str">
            <v>13/11/2024</v>
          </cell>
          <cell r="G268" t="str">
            <v>12/11/2025</v>
          </cell>
          <cell r="H268" t="str">
            <v>08004499</v>
          </cell>
          <cell r="I268" t="str">
            <v>AL BARAKA BANK (PAKISTAN) LIMITED</v>
          </cell>
          <cell r="J268" t="str">
            <v>BANK</v>
          </cell>
          <cell r="K268" t="str">
            <v>Mr. 
HPA M/s. Al Baraka Bank (Pakistan) Limited
Mr. Khawaja Ghulam Qutubiddin Faridi
HPA M/s. Al Baraka Bank (Pakistan) Limited</v>
          </cell>
          <cell r="L268" t="str">
            <v>D</v>
          </cell>
          <cell r="M268" t="str">
            <v>09000221</v>
          </cell>
          <cell r="N268">
            <v>100</v>
          </cell>
          <cell r="P268" t="str">
            <v>Garhi Ikhtiyar Khan Darbar Hazrat Muhammad Yar Faridi Tehsil Khanpur Dist Rahim Yar Khan</v>
          </cell>
          <cell r="Q268" t="str">
            <v>11000003</v>
          </cell>
          <cell r="R268" t="str">
            <v>HYUNDAI TUSCON AWD</v>
          </cell>
          <cell r="S268" t="str">
            <v>2023</v>
          </cell>
          <cell r="T268" t="str">
            <v>AQL-303</v>
          </cell>
          <cell r="U268" t="str">
            <v>363639</v>
          </cell>
          <cell r="V268" t="str">
            <v>214684</v>
          </cell>
          <cell r="X268" t="str">
            <v>3</v>
          </cell>
          <cell r="Y268">
            <v>7991100</v>
          </cell>
          <cell r="Z268">
            <v>103334</v>
          </cell>
          <cell r="AA268">
            <v>119867</v>
          </cell>
        </row>
        <row r="269">
          <cell r="B269" t="str">
            <v>KHI/HO/D/MO/PC COMP/C/102088/12/11/2024</v>
          </cell>
          <cell r="D269" t="str">
            <v>REN</v>
          </cell>
          <cell r="E269" t="str">
            <v>19/11/24</v>
          </cell>
          <cell r="F269" t="str">
            <v>07/11/2024</v>
          </cell>
          <cell r="G269" t="str">
            <v>06/11/2025</v>
          </cell>
          <cell r="H269" t="str">
            <v>08004499</v>
          </cell>
          <cell r="I269" t="str">
            <v>AL BARAKA BANK (PAKISTAN) LIMITED</v>
          </cell>
          <cell r="J269" t="str">
            <v>BANK</v>
          </cell>
          <cell r="K269" t="str">
            <v>Mr. 
HPA M/s. Al Baraka Bank (Pakistan) Limited
Mr. Muhammad Sajid Akbar
HPA M/s. Al Baraka Bank (Pakistan) Limited</v>
          </cell>
          <cell r="L269" t="str">
            <v>D</v>
          </cell>
          <cell r="M269" t="str">
            <v>09000221</v>
          </cell>
          <cell r="N269">
            <v>100</v>
          </cell>
          <cell r="P269" t="str">
            <v>H No 532 St 05 Atif Park 02 New Bhogiwal Baghban Pura Lahore</v>
          </cell>
          <cell r="Q269" t="str">
            <v>11000003</v>
          </cell>
          <cell r="R269" t="str">
            <v>HONDA CITY ASPIRE A/T</v>
          </cell>
          <cell r="S269" t="str">
            <v>2015</v>
          </cell>
          <cell r="T269" t="str">
            <v>LEB-15-154</v>
          </cell>
          <cell r="U269" t="str">
            <v>17424195</v>
          </cell>
          <cell r="V269" t="str">
            <v>161447</v>
          </cell>
          <cell r="Y269">
            <v>2340000</v>
          </cell>
          <cell r="Z269">
            <v>40345</v>
          </cell>
          <cell r="AA269">
            <v>46800</v>
          </cell>
        </row>
        <row r="270">
          <cell r="B270" t="str">
            <v>KHI/HO/D/MO/PC COMP/C/102088/13/11/2024</v>
          </cell>
          <cell r="D270" t="str">
            <v>REN</v>
          </cell>
          <cell r="E270" t="str">
            <v>19/11/24</v>
          </cell>
          <cell r="F270" t="str">
            <v>07/11/2024</v>
          </cell>
          <cell r="G270" t="str">
            <v>06/11/2025</v>
          </cell>
          <cell r="H270" t="str">
            <v>08004499</v>
          </cell>
          <cell r="I270" t="str">
            <v>AL BARAKA BANK (PAKISTAN) LIMITED</v>
          </cell>
          <cell r="J270" t="str">
            <v>BANK</v>
          </cell>
          <cell r="K270" t="str">
            <v>Mr. 
HPA M/s. Al Baraka Bank (Pakistan) Limited
Mr. Muhammad Tahir Khan
HPA M/s. Al Baraka Bank (Pakistan) Limited</v>
          </cell>
          <cell r="L270" t="str">
            <v>D</v>
          </cell>
          <cell r="M270" t="str">
            <v>09000221</v>
          </cell>
          <cell r="N270">
            <v>100</v>
          </cell>
          <cell r="P270" t="str">
            <v>H # B-17 3rd Floor Railway Housing Society Abul Hassan Ispahani Road Karachi</v>
          </cell>
          <cell r="Q270" t="str">
            <v>11000003</v>
          </cell>
          <cell r="R270" t="str">
            <v>TOYOTA HILUX REVO 4X4 AT</v>
          </cell>
          <cell r="S270" t="str">
            <v>2019</v>
          </cell>
          <cell r="T270" t="str">
            <v>KY-7676</v>
          </cell>
          <cell r="U270" t="str">
            <v>0555514</v>
          </cell>
          <cell r="V270" t="str">
            <v>5533920</v>
          </cell>
          <cell r="X270" t="str">
            <v>3</v>
          </cell>
          <cell r="Y270">
            <v>9000000</v>
          </cell>
          <cell r="Z270">
            <v>116379</v>
          </cell>
          <cell r="AA270">
            <v>135000</v>
          </cell>
        </row>
        <row r="271">
          <cell r="B271" t="str">
            <v>KHI/HO/D/MO/PC COMP/C/102088/14/11/2024</v>
          </cell>
          <cell r="D271" t="str">
            <v>REN</v>
          </cell>
          <cell r="E271" t="str">
            <v>19/11/24</v>
          </cell>
          <cell r="F271" t="str">
            <v>06/11/2024</v>
          </cell>
          <cell r="G271" t="str">
            <v>05/11/2025</v>
          </cell>
          <cell r="H271" t="str">
            <v>08004499</v>
          </cell>
          <cell r="I271" t="str">
            <v>AL BARAKA BANK (PAKISTAN) LIMITED</v>
          </cell>
          <cell r="J271" t="str">
            <v>BANK</v>
          </cell>
          <cell r="K271" t="str">
            <v>Mr. 
HPA M/s. Al Baraka Bank (Pakistan) Limited
Mr. Muhammad Afzaal
HPA M/s. Al Baraka Bank (Pakistan) Limited</v>
          </cell>
          <cell r="L271" t="str">
            <v>D</v>
          </cell>
          <cell r="M271" t="str">
            <v>09000221</v>
          </cell>
          <cell r="N271">
            <v>100</v>
          </cell>
          <cell r="P271" t="str">
            <v>H No 678 N Block Samanabad Lahore</v>
          </cell>
          <cell r="Q271" t="str">
            <v>11000003</v>
          </cell>
          <cell r="R271" t="str">
            <v>SUZUKI Swift GLX CVT</v>
          </cell>
          <cell r="S271" t="str">
            <v>2023</v>
          </cell>
          <cell r="U271" t="str">
            <v>1016022</v>
          </cell>
          <cell r="V271" t="str">
            <v>116050</v>
          </cell>
          <cell r="Y271">
            <v>4026600</v>
          </cell>
          <cell r="Z271">
            <v>52068</v>
          </cell>
          <cell r="AA271">
            <v>60399</v>
          </cell>
        </row>
        <row r="272">
          <cell r="B272" t="str">
            <v>KHI/HO/D/MO/PC COMP/C/102088/15/11/2024</v>
          </cell>
          <cell r="D272" t="str">
            <v>REN</v>
          </cell>
          <cell r="E272" t="str">
            <v>19/11/24</v>
          </cell>
          <cell r="F272" t="str">
            <v>13/11/2024</v>
          </cell>
          <cell r="G272" t="str">
            <v>12/11/2025</v>
          </cell>
          <cell r="H272" t="str">
            <v>08004499</v>
          </cell>
          <cell r="I272" t="str">
            <v>AL BARAKA BANK (PAKISTAN) LIMITED</v>
          </cell>
          <cell r="J272" t="str">
            <v>BANK</v>
          </cell>
          <cell r="K272" t="str">
            <v>Mr. 
HPA M/s. Al Baraka Bank (Pakistan) Limited
Mr. Mola Bux
HPA M/s. Al Baraka Bank (Pakistan) Limited</v>
          </cell>
          <cell r="L272" t="str">
            <v>D</v>
          </cell>
          <cell r="M272" t="str">
            <v>09000221</v>
          </cell>
          <cell r="N272">
            <v>100</v>
          </cell>
          <cell r="P272" t="str">
            <v>Chak No Bachal Khan PO Seetha Village Pakko Seetha Dist Dadu</v>
          </cell>
          <cell r="Q272" t="str">
            <v>11000003</v>
          </cell>
          <cell r="R272" t="str">
            <v>SUZUKI CULTUS VXL</v>
          </cell>
          <cell r="S272" t="str">
            <v>2021</v>
          </cell>
          <cell r="T272" t="str">
            <v>BVK-050</v>
          </cell>
          <cell r="U272" t="str">
            <v>176740</v>
          </cell>
          <cell r="V272" t="str">
            <v>10076759</v>
          </cell>
          <cell r="X272" t="str">
            <v>05</v>
          </cell>
          <cell r="Y272">
            <v>2700000</v>
          </cell>
          <cell r="Z272">
            <v>46551</v>
          </cell>
          <cell r="AA272">
            <v>54000</v>
          </cell>
        </row>
        <row r="273">
          <cell r="B273" t="str">
            <v>KHI/HO/D/MO/PC COMP/C/102088/16/11/2024</v>
          </cell>
          <cell r="D273" t="str">
            <v>REN</v>
          </cell>
          <cell r="E273" t="str">
            <v>19/11/24</v>
          </cell>
          <cell r="F273" t="str">
            <v>15/11/2024</v>
          </cell>
          <cell r="G273" t="str">
            <v>14/11/2025</v>
          </cell>
          <cell r="H273" t="str">
            <v>08004499</v>
          </cell>
          <cell r="I273" t="str">
            <v>AL BARAKA BANK (PAKISTAN) LIMITED</v>
          </cell>
          <cell r="J273" t="str">
            <v>BANK</v>
          </cell>
          <cell r="K273" t="str">
            <v>Mr. 
HPA M/s. Al Baraka Bank (Pakistan) Limited
Ms. Rubina Shakil 
HPA M/s. Al Baraka Bank (Pakistan) Limited</v>
          </cell>
          <cell r="L273" t="str">
            <v>D</v>
          </cell>
          <cell r="M273" t="str">
            <v>09000221</v>
          </cell>
          <cell r="N273">
            <v>100</v>
          </cell>
          <cell r="P273" t="str">
            <v>H # 153-B Phase 3 GECHS Link Road Model Town Lahore</v>
          </cell>
          <cell r="Q273" t="str">
            <v>11000003</v>
          </cell>
          <cell r="R273" t="str">
            <v>HONDA CITY ASPIRE CVT PT</v>
          </cell>
          <cell r="S273" t="str">
            <v>2020</v>
          </cell>
          <cell r="T273" t="str">
            <v>AAP-682</v>
          </cell>
          <cell r="U273" t="str">
            <v>7979967</v>
          </cell>
          <cell r="V273" t="str">
            <v>263769</v>
          </cell>
          <cell r="X273" t="str">
            <v>3</v>
          </cell>
          <cell r="Y273">
            <v>3870000</v>
          </cell>
          <cell r="Z273">
            <v>50044</v>
          </cell>
          <cell r="AA273">
            <v>58050</v>
          </cell>
        </row>
        <row r="274">
          <cell r="B274" t="str">
            <v>KHI/HO/D/MO/PC COMP/C/102088/17/11/2024</v>
          </cell>
          <cell r="D274" t="str">
            <v>REN</v>
          </cell>
          <cell r="E274" t="str">
            <v>19/11/24</v>
          </cell>
          <cell r="F274" t="str">
            <v>17/11/2024</v>
          </cell>
          <cell r="G274" t="str">
            <v>16/11/2025</v>
          </cell>
          <cell r="H274" t="str">
            <v>08004499</v>
          </cell>
          <cell r="I274" t="str">
            <v>AL BARAKA BANK (PAKISTAN) LIMITED</v>
          </cell>
          <cell r="J274" t="str">
            <v>BANK</v>
          </cell>
          <cell r="K274" t="str">
            <v>Mr. 
HPA M/s. Al Baraka Bank (Pakistan) Limited
Mr. Ubaid Ul Hassan
HPA M/s. Al Baraka Bank (Pakistan) Limited</v>
          </cell>
          <cell r="L274" t="str">
            <v>D</v>
          </cell>
          <cell r="M274" t="str">
            <v>09000221</v>
          </cell>
          <cell r="N274">
            <v>100</v>
          </cell>
          <cell r="P274" t="str">
            <v>H # 26-D BLOCK Y SATELITE TOWN KHANPUR</v>
          </cell>
          <cell r="Q274" t="str">
            <v>11000003</v>
          </cell>
          <cell r="R274" t="str">
            <v>SUZUKI MEHRAN</v>
          </cell>
          <cell r="S274" t="str">
            <v>2019</v>
          </cell>
          <cell r="T274" t="str">
            <v>BPZ-328</v>
          </cell>
          <cell r="U274" t="str">
            <v>769467</v>
          </cell>
          <cell r="V274" t="str">
            <v>PK01307999</v>
          </cell>
          <cell r="Y274">
            <v>1260000</v>
          </cell>
          <cell r="Z274">
            <v>21724</v>
          </cell>
          <cell r="AA274">
            <v>25200</v>
          </cell>
        </row>
        <row r="275">
          <cell r="B275" t="str">
            <v>KHI/HO/D/MO/PC COMP/C/102088/18/11/2024</v>
          </cell>
          <cell r="D275" t="str">
            <v>REN</v>
          </cell>
          <cell r="E275" t="str">
            <v>19/11/24</v>
          </cell>
          <cell r="F275" t="str">
            <v>27/11/2024</v>
          </cell>
          <cell r="G275" t="str">
            <v>26/11/2025</v>
          </cell>
          <cell r="H275" t="str">
            <v>08004499</v>
          </cell>
          <cell r="I275" t="str">
            <v>AL BARAKA BANK (PAKISTAN) LIMITED</v>
          </cell>
          <cell r="J275" t="str">
            <v>BANK</v>
          </cell>
          <cell r="K275" t="str">
            <v>Mr. 
HPA M/s. Al Baraka Bank (Pakistan) Limited
Mr. Adnan Manzoor
HPA M/s. Al Baraka Bank (Pakistan) Limited</v>
          </cell>
          <cell r="L275" t="str">
            <v>D</v>
          </cell>
          <cell r="M275" t="str">
            <v>09000221</v>
          </cell>
          <cell r="N275">
            <v>100</v>
          </cell>
          <cell r="P275" t="str">
            <v>H No 362 Line 18 Askari 9 Shaheed Road Cantt Lahore</v>
          </cell>
          <cell r="Q275" t="str">
            <v>11000003</v>
          </cell>
          <cell r="R275" t="str">
            <v>SUZUKI WAGON R VXL</v>
          </cell>
          <cell r="S275" t="str">
            <v>2023</v>
          </cell>
          <cell r="U275" t="str">
            <v>245535</v>
          </cell>
          <cell r="V275" t="str">
            <v>10145532</v>
          </cell>
          <cell r="Y275">
            <v>2889090</v>
          </cell>
          <cell r="Z275">
            <v>49812</v>
          </cell>
          <cell r="AA275">
            <v>57782</v>
          </cell>
        </row>
        <row r="276">
          <cell r="B276" t="str">
            <v>KHI/HO/D/MO/PC COMP/C/102088/19/11/2024</v>
          </cell>
          <cell r="D276" t="str">
            <v>REN</v>
          </cell>
          <cell r="E276" t="str">
            <v>19/11/24</v>
          </cell>
          <cell r="F276" t="str">
            <v>20/11/2024</v>
          </cell>
          <cell r="G276" t="str">
            <v>19/11/2025</v>
          </cell>
          <cell r="H276" t="str">
            <v>08004499</v>
          </cell>
          <cell r="I276" t="str">
            <v>AL BARAKA BANK (PAKISTAN) LIMITED</v>
          </cell>
          <cell r="J276" t="str">
            <v>BANK</v>
          </cell>
          <cell r="K276" t="str">
            <v>Mr. 
HPA M/s. Al Baraka Bank (Pakistan) Limited
Ms. Shazia Ilyas
HPA M/s. Al Baraka Bank (Pakistan) Limited</v>
          </cell>
          <cell r="L276" t="str">
            <v>D</v>
          </cell>
          <cell r="M276" t="str">
            <v>09000221</v>
          </cell>
          <cell r="N276">
            <v>100</v>
          </cell>
          <cell r="P276" t="str">
            <v>H No 10-B Block Shabbir Park Awan Market 17-KM Ferozpur Road Lahore</v>
          </cell>
          <cell r="Q276" t="str">
            <v>11000003</v>
          </cell>
          <cell r="R276" t="str">
            <v>SUZUKI ALTO AGS A/T</v>
          </cell>
          <cell r="S276" t="str">
            <v>2019</v>
          </cell>
          <cell r="T276" t="str">
            <v>LE-19A-8665</v>
          </cell>
          <cell r="U276" t="str">
            <v>6R114253</v>
          </cell>
          <cell r="V276" t="str">
            <v>1014246</v>
          </cell>
          <cell r="Y276">
            <v>1980000</v>
          </cell>
          <cell r="Z276">
            <v>34138</v>
          </cell>
          <cell r="AA276">
            <v>39600</v>
          </cell>
        </row>
        <row r="277">
          <cell r="B277" t="str">
            <v>KHI/HO/D/MO/PC COMP/C/102088/20/11/2024</v>
          </cell>
          <cell r="D277" t="str">
            <v>REN</v>
          </cell>
          <cell r="E277" t="str">
            <v>19/11/24</v>
          </cell>
          <cell r="F277" t="str">
            <v>20/11/2024</v>
          </cell>
          <cell r="G277" t="str">
            <v>19/11/2025</v>
          </cell>
          <cell r="H277" t="str">
            <v>08004499</v>
          </cell>
          <cell r="I277" t="str">
            <v>AL BARAKA BANK (PAKISTAN) LIMITED</v>
          </cell>
          <cell r="J277" t="str">
            <v>BANK</v>
          </cell>
          <cell r="K277" t="str">
            <v>Mr. 
HPA M/s. Al Baraka Bank (Pakistan) Limited
Mr. Umair Khurshid 
HPA M/s. Al Baraka Bank (Pakistan) Limited</v>
          </cell>
          <cell r="L277" t="str">
            <v>D</v>
          </cell>
          <cell r="M277" t="str">
            <v>09000221</v>
          </cell>
          <cell r="N277">
            <v>100</v>
          </cell>
          <cell r="O277" t="str">
            <v>HYDERABAD</v>
          </cell>
          <cell r="P277" t="str">
            <v>Village Abdul Sattar Arain P.O Nasarpur Distt Matiari</v>
          </cell>
          <cell r="Q277" t="str">
            <v>11000003</v>
          </cell>
          <cell r="R277" t="str">
            <v>SUZUKI CULTUS</v>
          </cell>
          <cell r="S277" t="str">
            <v>2023</v>
          </cell>
          <cell r="T277" t="str">
            <v>BZD-416</v>
          </cell>
          <cell r="U277" t="str">
            <v>206862</v>
          </cell>
          <cell r="V277" t="str">
            <v>10106865</v>
          </cell>
          <cell r="X277" t="str">
            <v>05</v>
          </cell>
          <cell r="Y277">
            <v>3675600</v>
          </cell>
          <cell r="Z277">
            <v>47530</v>
          </cell>
          <cell r="AA277">
            <v>55134</v>
          </cell>
        </row>
        <row r="278">
          <cell r="B278" t="str">
            <v>KHI/HO/D/MO/PC COMP/C/102088/21/11/2024</v>
          </cell>
          <cell r="D278" t="str">
            <v>REN</v>
          </cell>
          <cell r="E278" t="str">
            <v>19/11/24</v>
          </cell>
          <cell r="F278" t="str">
            <v>21/11/2024</v>
          </cell>
          <cell r="G278" t="str">
            <v>20/11/2025</v>
          </cell>
          <cell r="H278" t="str">
            <v>08004499</v>
          </cell>
          <cell r="I278" t="str">
            <v>AL BARAKA BANK (PAKISTAN) LIMITED</v>
          </cell>
          <cell r="J278" t="str">
            <v>BANK</v>
          </cell>
          <cell r="K278" t="str">
            <v>Mr. 
HPA M/s. Al Baraka Bank (Pakistan) Limited
Mr. Abdul Latif Anjum
HPA M/s. Al Baraka Bank (Pakistan) Limited</v>
          </cell>
          <cell r="L278" t="str">
            <v>D</v>
          </cell>
          <cell r="M278" t="str">
            <v>09000221</v>
          </cell>
          <cell r="N278">
            <v>100</v>
          </cell>
          <cell r="P278" t="str">
            <v>H No 6 St 5 B Block Eden Value Homes Society Multan Road Lahore</v>
          </cell>
          <cell r="Q278" t="str">
            <v>11000003</v>
          </cell>
          <cell r="R278" t="str">
            <v>TOYOTA COROLLA ALTIS GRAN</v>
          </cell>
          <cell r="S278" t="str">
            <v>2015</v>
          </cell>
          <cell r="T278" t="str">
            <v>LE-15-4944</v>
          </cell>
          <cell r="U278" t="str">
            <v>Q305485</v>
          </cell>
          <cell r="V278" t="str">
            <v>7004493</v>
          </cell>
          <cell r="Y278">
            <v>3420000</v>
          </cell>
          <cell r="Z278">
            <v>44224</v>
          </cell>
          <cell r="AA278">
            <v>51300</v>
          </cell>
        </row>
        <row r="279">
          <cell r="B279" t="str">
            <v>KHI/HO/D/MO/PC COMP/C/102088/22/11/2024</v>
          </cell>
          <cell r="D279" t="str">
            <v>REN</v>
          </cell>
          <cell r="E279" t="str">
            <v>19/11/24</v>
          </cell>
          <cell r="F279" t="str">
            <v>21/11/2024</v>
          </cell>
          <cell r="G279" t="str">
            <v>20/11/2025</v>
          </cell>
          <cell r="H279" t="str">
            <v>08004499</v>
          </cell>
          <cell r="I279" t="str">
            <v>AL BARAKA BANK (PAKISTAN) LIMITED</v>
          </cell>
          <cell r="J279" t="str">
            <v>BANK</v>
          </cell>
          <cell r="K279" t="str">
            <v>Mr. 
HPA M/s. Al Baraka Bank (Pakistan) Limited
Mr. Muhammad Bilal
HPA M/s. Al Baraka Bank (Pakistan) Limited</v>
          </cell>
          <cell r="L279" t="str">
            <v>D</v>
          </cell>
          <cell r="M279" t="str">
            <v>09000221</v>
          </cell>
          <cell r="N279">
            <v>100</v>
          </cell>
          <cell r="P279" t="str">
            <v>Nai Abadi St No 5 Near Shahzad Jutt Haw Moman Pura Lahore</v>
          </cell>
          <cell r="Q279" t="str">
            <v>11000003</v>
          </cell>
          <cell r="R279" t="str">
            <v>SUZUKI CULTUS</v>
          </cell>
          <cell r="S279" t="str">
            <v>2019</v>
          </cell>
          <cell r="T279" t="str">
            <v>LEA-19A-8848</v>
          </cell>
          <cell r="U279" t="str">
            <v>153572</v>
          </cell>
          <cell r="V279" t="str">
            <v>10053552</v>
          </cell>
          <cell r="Y279">
            <v>2655000</v>
          </cell>
          <cell r="Z279">
            <v>45776</v>
          </cell>
          <cell r="AA279">
            <v>53100</v>
          </cell>
        </row>
        <row r="280">
          <cell r="B280" t="str">
            <v>KHI/HO/D/MO/PC COMP/C/102088/23/11/2024</v>
          </cell>
          <cell r="D280" t="str">
            <v>REN</v>
          </cell>
          <cell r="E280" t="str">
            <v>19/11/24</v>
          </cell>
          <cell r="F280" t="str">
            <v>21/11/2024</v>
          </cell>
          <cell r="G280" t="str">
            <v>20/11/2025</v>
          </cell>
          <cell r="H280" t="str">
            <v>08004499</v>
          </cell>
          <cell r="I280" t="str">
            <v>AL BARAKA BANK (PAKISTAN) LIMITED</v>
          </cell>
          <cell r="J280" t="str">
            <v>BANK</v>
          </cell>
          <cell r="K280" t="str">
            <v>Mr. 
HPA M/s. Al Baraka Bank (Pakistan) Limited
Mr. Muhammad Faisal
HPA M/s. Al Baraka Bank (Pakistan) Limited</v>
          </cell>
          <cell r="L280" t="str">
            <v>D</v>
          </cell>
          <cell r="M280" t="str">
            <v>09000221</v>
          </cell>
          <cell r="N280">
            <v>100</v>
          </cell>
          <cell r="P280" t="str">
            <v>UG-39 Mateen Shopping Galaxy Gulshan 10-A Block Karachi</v>
          </cell>
          <cell r="Q280" t="str">
            <v>11000003</v>
          </cell>
          <cell r="R280" t="str">
            <v>TOYOTA COROLLA ALTIS  1.6</v>
          </cell>
          <cell r="S280" t="str">
            <v>2021</v>
          </cell>
          <cell r="T280" t="str">
            <v>BUZ-973</v>
          </cell>
          <cell r="U280" t="str">
            <v>Q076041</v>
          </cell>
          <cell r="V280" t="str">
            <v>6053544</v>
          </cell>
          <cell r="Y280">
            <v>4680000</v>
          </cell>
          <cell r="Z280">
            <v>60517</v>
          </cell>
          <cell r="AA280">
            <v>70200</v>
          </cell>
        </row>
        <row r="281">
          <cell r="B281" t="str">
            <v>KHI/HO/D/MO/PC COMP/C/102088/24/11/2024</v>
          </cell>
          <cell r="D281" t="str">
            <v>REN</v>
          </cell>
          <cell r="E281" t="str">
            <v>19/11/24</v>
          </cell>
          <cell r="F281" t="str">
            <v>22/11/2024</v>
          </cell>
          <cell r="G281" t="str">
            <v>21/11/2025</v>
          </cell>
          <cell r="H281" t="str">
            <v>08004499</v>
          </cell>
          <cell r="I281" t="str">
            <v>AL BARAKA BANK (PAKISTAN) LIMITED</v>
          </cell>
          <cell r="J281" t="str">
            <v>BANK</v>
          </cell>
          <cell r="K281" t="str">
            <v>Mr. 
HPA M/s. Al Baraka Bank (Pakistan) Limited
Mr. Waseem Ur Rehman Khan
HPA M/s. Al Baraka Bank (Pakistan) Limited</v>
          </cell>
          <cell r="L281" t="str">
            <v>D</v>
          </cell>
          <cell r="M281" t="str">
            <v>09000221</v>
          </cell>
          <cell r="N281">
            <v>100</v>
          </cell>
          <cell r="P281" t="str">
            <v>H NO 217-A New Chauburji Park Lahore</v>
          </cell>
          <cell r="Q281" t="str">
            <v>11000003</v>
          </cell>
          <cell r="R281" t="str">
            <v>HONDA BRV - S</v>
          </cell>
          <cell r="S281" t="str">
            <v>2021</v>
          </cell>
          <cell r="T281" t="str">
            <v>ADY-423</v>
          </cell>
          <cell r="U281" t="str">
            <v>14805426</v>
          </cell>
          <cell r="V281" t="str">
            <v>R-022099</v>
          </cell>
          <cell r="Y281">
            <v>4500000</v>
          </cell>
          <cell r="Z281">
            <v>58190</v>
          </cell>
          <cell r="AA281">
            <v>67500</v>
          </cell>
        </row>
        <row r="282">
          <cell r="B282" t="str">
            <v>KHI/HO/D/MO/PC COMP/C/102088/25/11/2024</v>
          </cell>
          <cell r="D282" t="str">
            <v>REN</v>
          </cell>
          <cell r="E282" t="str">
            <v>19/11/24</v>
          </cell>
          <cell r="F282" t="str">
            <v>22/11/2024</v>
          </cell>
          <cell r="G282" t="str">
            <v>21/11/2025</v>
          </cell>
          <cell r="H282" t="str">
            <v>08004499</v>
          </cell>
          <cell r="I282" t="str">
            <v>AL BARAKA BANK (PAKISTAN) LIMITED</v>
          </cell>
          <cell r="J282" t="str">
            <v>BANK</v>
          </cell>
          <cell r="K282" t="str">
            <v>Mr. 
HPA M/s. Al Baraka Bank (Pakistan) Limited
Mr. IRSHAD HUSSAIN SHAH 
HPA M/s. Al Baraka Bank (Pakistan) Limited</v>
          </cell>
          <cell r="L282" t="str">
            <v>D</v>
          </cell>
          <cell r="M282" t="str">
            <v>09000221</v>
          </cell>
          <cell r="N282">
            <v>100</v>
          </cell>
          <cell r="P282" t="str">
            <v>H No 69-B Model City 1208 Chak Road Faisalabad</v>
          </cell>
          <cell r="Q282" t="str">
            <v>11000003</v>
          </cell>
          <cell r="R282" t="str">
            <v>TOYOTA COROLLA GLI A/T 1.</v>
          </cell>
          <cell r="S282" t="str">
            <v>2018</v>
          </cell>
          <cell r="T282" t="str">
            <v>LEH-18-3592</v>
          </cell>
          <cell r="U282" t="str">
            <v>Z522826</v>
          </cell>
          <cell r="V282" t="str">
            <v>NZE170R4149473</v>
          </cell>
          <cell r="Y282">
            <v>3600000</v>
          </cell>
          <cell r="Z282">
            <v>46551</v>
          </cell>
          <cell r="AA282">
            <v>54000</v>
          </cell>
        </row>
        <row r="283">
          <cell r="B283" t="str">
            <v>KHI/HO/D/MO/PC COMP/C/102088/26/11/2024</v>
          </cell>
          <cell r="D283" t="str">
            <v>REN</v>
          </cell>
          <cell r="E283" t="str">
            <v>19/11/24</v>
          </cell>
          <cell r="F283" t="str">
            <v>23/11/2024</v>
          </cell>
          <cell r="G283" t="str">
            <v>22/11/2025</v>
          </cell>
          <cell r="H283" t="str">
            <v>08004499</v>
          </cell>
          <cell r="I283" t="str">
            <v>AL BARAKA BANK (PAKISTAN) LIMITED</v>
          </cell>
          <cell r="J283" t="str">
            <v>BANK</v>
          </cell>
          <cell r="K283" t="str">
            <v>Mr. 
HPA M/s. Al Baraka Bank (Pakistan) Limited
Mr. Zee Waqar Hamdani
HPA M/s. Al Baraka Bank (Pakistan) Limited</v>
          </cell>
          <cell r="L283" t="str">
            <v>D</v>
          </cell>
          <cell r="M283" t="str">
            <v>09000221</v>
          </cell>
          <cell r="N283">
            <v>100</v>
          </cell>
          <cell r="P283" t="str">
            <v>H NO 3/A Zamindara Colony Rahim Yaar Khan</v>
          </cell>
          <cell r="Q283" t="str">
            <v>11000003</v>
          </cell>
          <cell r="R283" t="str">
            <v>TOYOTA COROLLA ALTIS GRAN</v>
          </cell>
          <cell r="S283" t="str">
            <v>2016</v>
          </cell>
          <cell r="T283" t="str">
            <v>BGM-568</v>
          </cell>
          <cell r="U283" t="str">
            <v>Q317657</v>
          </cell>
          <cell r="V283" t="str">
            <v>7016745</v>
          </cell>
          <cell r="Y283">
            <v>3645000</v>
          </cell>
          <cell r="Z283">
            <v>47134</v>
          </cell>
          <cell r="AA283">
            <v>54675</v>
          </cell>
        </row>
        <row r="284">
          <cell r="B284" t="str">
            <v>KHI/HO/D/MO/PC COMP/C/102088/27/11/2024</v>
          </cell>
          <cell r="D284" t="str">
            <v>REN</v>
          </cell>
          <cell r="E284" t="str">
            <v>19/11/24</v>
          </cell>
          <cell r="F284" t="str">
            <v>23/11/2024</v>
          </cell>
          <cell r="G284" t="str">
            <v>22/11/2025</v>
          </cell>
          <cell r="H284" t="str">
            <v>08004499</v>
          </cell>
          <cell r="I284" t="str">
            <v>AL BARAKA BANK (PAKISTAN) LIMITED</v>
          </cell>
          <cell r="J284" t="str">
            <v>BANK</v>
          </cell>
          <cell r="K284" t="str">
            <v>Mr. 
HPA M/s. Al Baraka Bank (Pakistan) Limited
Mr. Qaseem Ghouri
HPA M/s. Al Baraka Bank (Pakistan) Limited</v>
          </cell>
          <cell r="L284" t="str">
            <v>D</v>
          </cell>
          <cell r="M284" t="str">
            <v>09000221</v>
          </cell>
          <cell r="N284">
            <v>100</v>
          </cell>
          <cell r="P284" t="str">
            <v>H No 310 C block Uet Housing Society Valencia Town Lahore</v>
          </cell>
          <cell r="Q284" t="str">
            <v>11000003</v>
          </cell>
          <cell r="R284" t="str">
            <v>HONDA CITY 1.2  LS CVT</v>
          </cell>
          <cell r="S284" t="str">
            <v>2021</v>
          </cell>
          <cell r="T284" t="str">
            <v>AHQ-222</v>
          </cell>
          <cell r="U284" t="str">
            <v>51005042</v>
          </cell>
          <cell r="V284" t="str">
            <v>MR007389</v>
          </cell>
          <cell r="Y284">
            <v>3856500</v>
          </cell>
          <cell r="Z284">
            <v>49869</v>
          </cell>
          <cell r="AA284">
            <v>57848</v>
          </cell>
        </row>
        <row r="285">
          <cell r="B285" t="str">
            <v>KHI/HO/D/MO/PC COMP/C/102088/28/11/2024</v>
          </cell>
          <cell r="D285" t="str">
            <v>REN</v>
          </cell>
          <cell r="E285" t="str">
            <v>19/11/24</v>
          </cell>
          <cell r="F285" t="str">
            <v>23/11/2024</v>
          </cell>
          <cell r="G285" t="str">
            <v>22/11/2025</v>
          </cell>
          <cell r="H285" t="str">
            <v>08004499</v>
          </cell>
          <cell r="I285" t="str">
            <v>AL BARAKA BANK (PAKISTAN) LIMITED</v>
          </cell>
          <cell r="J285" t="str">
            <v>BANK</v>
          </cell>
          <cell r="K285" t="str">
            <v>Mr. 
HPA M/s. Al Baraka Bank (Pakistan) Limited
Ms. KOUSAR PARVEEN
HPA M/s. Al Baraka Bank (Pakistan) Limited</v>
          </cell>
          <cell r="L285" t="str">
            <v>D</v>
          </cell>
          <cell r="M285" t="str">
            <v>09000221</v>
          </cell>
          <cell r="N285">
            <v>100</v>
          </cell>
          <cell r="P285" t="str">
            <v>P-123 Lane No 07 Faisal Town Canal Road Faisalabad</v>
          </cell>
          <cell r="Q285" t="str">
            <v>11000003</v>
          </cell>
          <cell r="R285" t="str">
            <v>KIA SPORTAGE</v>
          </cell>
          <cell r="S285" t="str">
            <v>2020</v>
          </cell>
          <cell r="T285" t="str">
            <v>AQT-792</v>
          </cell>
          <cell r="U285" t="str">
            <v>G4NALH311475</v>
          </cell>
          <cell r="V285" t="str">
            <v>NNAQL51AZKP301959</v>
          </cell>
          <cell r="X285" t="str">
            <v>3</v>
          </cell>
          <cell r="Y285">
            <v>6210000</v>
          </cell>
          <cell r="Z285">
            <v>80302</v>
          </cell>
          <cell r="AA285">
            <v>93150</v>
          </cell>
        </row>
        <row r="286">
          <cell r="B286" t="str">
            <v>KHI/HO/D/MO/PC COMP/C/102088/29/11/2024</v>
          </cell>
          <cell r="D286" t="str">
            <v>REN</v>
          </cell>
          <cell r="E286" t="str">
            <v>19/11/24</v>
          </cell>
          <cell r="F286" t="str">
            <v>24/11/2024</v>
          </cell>
          <cell r="G286" t="str">
            <v>23/11/2025</v>
          </cell>
          <cell r="H286" t="str">
            <v>08004499</v>
          </cell>
          <cell r="I286" t="str">
            <v>AL BARAKA BANK (PAKISTAN) LIMITED</v>
          </cell>
          <cell r="J286" t="str">
            <v>BANK</v>
          </cell>
          <cell r="K286" t="str">
            <v>Mr. 
HPA M/s. Al Baraka Bank (Pakistan) Limited
Mr. Azhar Iqbal
HPA M/s. Al Baraka Bank (Pakistan) Limited</v>
          </cell>
          <cell r="L286" t="str">
            <v>D</v>
          </cell>
          <cell r="M286" t="str">
            <v>09000221</v>
          </cell>
          <cell r="N286">
            <v>100</v>
          </cell>
          <cell r="P286" t="str">
            <v>H No 357-A 1 PH 1 Johar Town Lahore</v>
          </cell>
          <cell r="Q286" t="str">
            <v>11000003</v>
          </cell>
          <cell r="R286" t="str">
            <v>HONDA CIVIC</v>
          </cell>
          <cell r="S286" t="str">
            <v>2016</v>
          </cell>
          <cell r="T286" t="str">
            <v>ABT-951</v>
          </cell>
          <cell r="U286" t="str">
            <v>12902029</v>
          </cell>
          <cell r="V286" t="str">
            <v>002548</v>
          </cell>
          <cell r="Y286">
            <v>3600000</v>
          </cell>
          <cell r="Z286">
            <v>46551</v>
          </cell>
          <cell r="AA286">
            <v>54000</v>
          </cell>
        </row>
        <row r="287">
          <cell r="B287" t="str">
            <v>KHI/HO/D/MO/PC COMP/C/102088/30/11/2024</v>
          </cell>
          <cell r="D287" t="str">
            <v>REN</v>
          </cell>
          <cell r="E287" t="str">
            <v>19/11/24</v>
          </cell>
          <cell r="F287" t="str">
            <v>27/11/2024</v>
          </cell>
          <cell r="G287" t="str">
            <v>26/11/2025</v>
          </cell>
          <cell r="H287" t="str">
            <v>08004499</v>
          </cell>
          <cell r="I287" t="str">
            <v>AL BARAKA BANK (PAKISTAN) LIMITED</v>
          </cell>
          <cell r="J287" t="str">
            <v>BANK</v>
          </cell>
          <cell r="K287" t="str">
            <v>Mr. 
HPA M/s. Al Baraka Bank (Pakistan) Limited
Mr. Muhammad Kashif 
HPA M/s. Al Baraka Bank (Pakistan) Limited</v>
          </cell>
          <cell r="L287" t="str">
            <v>D</v>
          </cell>
          <cell r="M287" t="str">
            <v>09000221</v>
          </cell>
          <cell r="N287">
            <v>100</v>
          </cell>
          <cell r="P287" t="str">
            <v>Paj Homes  Jahangir Abad Road NLC Bypass Multan</v>
          </cell>
          <cell r="Q287" t="str">
            <v>11000003</v>
          </cell>
          <cell r="R287" t="str">
            <v>SUZUKI ALTO VXR</v>
          </cell>
          <cell r="S287" t="str">
            <v>2022</v>
          </cell>
          <cell r="T287" t="str">
            <v>AKG-180</v>
          </cell>
          <cell r="U287" t="str">
            <v>6R207097</v>
          </cell>
          <cell r="V287" t="str">
            <v>NF1AET306H1107105</v>
          </cell>
          <cell r="Y287">
            <v>1890000</v>
          </cell>
          <cell r="Z287">
            <v>32586</v>
          </cell>
          <cell r="AA287">
            <v>37800</v>
          </cell>
        </row>
        <row r="288">
          <cell r="B288" t="str">
            <v>KHI/HO/D/MO/PC COMP/C/102088/31/11/2024</v>
          </cell>
          <cell r="D288" t="str">
            <v>REN</v>
          </cell>
          <cell r="E288" t="str">
            <v>19/11/24</v>
          </cell>
          <cell r="F288" t="str">
            <v>28/11/2024</v>
          </cell>
          <cell r="G288" t="str">
            <v>27/11/2025</v>
          </cell>
          <cell r="H288" t="str">
            <v>08004499</v>
          </cell>
          <cell r="I288" t="str">
            <v>AL BARAKA BANK (PAKISTAN) LIMITED</v>
          </cell>
          <cell r="J288" t="str">
            <v>BANK</v>
          </cell>
          <cell r="K288" t="str">
            <v>Mr. 
HPA M/s. Al Baraka Bank (Pakistan) Limited
Mr. Muhammad Danish Alvi
HPA M/s. Al Baraka Bank (Pakistan) Limited</v>
          </cell>
          <cell r="L288" t="str">
            <v>D</v>
          </cell>
          <cell r="M288" t="str">
            <v>09000221</v>
          </cell>
          <cell r="N288">
            <v>100</v>
          </cell>
          <cell r="P288" t="str">
            <v>Flat No C.A D-31 Hassan Lodge Block -7 FB Area Karachi</v>
          </cell>
          <cell r="Q288" t="str">
            <v>11000003</v>
          </cell>
          <cell r="R288" t="str">
            <v>SUZUKI ALTO</v>
          </cell>
          <cell r="S288" t="str">
            <v>2023</v>
          </cell>
          <cell r="T288" t="str">
            <v>BZF-681</v>
          </cell>
          <cell r="U288" t="str">
            <v>285749</v>
          </cell>
          <cell r="V288" t="str">
            <v>1185525</v>
          </cell>
          <cell r="Y288">
            <v>2641500</v>
          </cell>
          <cell r="Z288">
            <v>45544</v>
          </cell>
          <cell r="AA288">
            <v>52830</v>
          </cell>
        </row>
        <row r="289">
          <cell r="B289" t="str">
            <v>KHI/HO/D/MO/PC COMP/C/102088/32/11/2024</v>
          </cell>
          <cell r="D289" t="str">
            <v>REN</v>
          </cell>
          <cell r="E289" t="str">
            <v>19/11/24</v>
          </cell>
          <cell r="F289" t="str">
            <v>28/11/2024</v>
          </cell>
          <cell r="G289" t="str">
            <v>27/11/2025</v>
          </cell>
          <cell r="H289" t="str">
            <v>08004499</v>
          </cell>
          <cell r="I289" t="str">
            <v>AL BARAKA BANK (PAKISTAN) LIMITED</v>
          </cell>
          <cell r="J289" t="str">
            <v>BANK</v>
          </cell>
          <cell r="K289" t="str">
            <v>Mr. 
HPA M/s. Al Baraka Bank (Pakistan) Limited
Mr. Waseem Ali
HPA M/s. Al Baraka Bank (Pakistan) Limited</v>
          </cell>
          <cell r="L289" t="str">
            <v>D</v>
          </cell>
          <cell r="M289" t="str">
            <v>09000221</v>
          </cell>
          <cell r="N289">
            <v>100</v>
          </cell>
          <cell r="P289" t="str">
            <v>MALIK HOUSE NO 133 AHMAD BLOCK NEW GARDEN TOWN LAHORE</v>
          </cell>
          <cell r="Q289" t="str">
            <v>11000003</v>
          </cell>
          <cell r="R289" t="str">
            <v>CHANGAN KARVAAN PLUS</v>
          </cell>
          <cell r="S289" t="str">
            <v>2023</v>
          </cell>
          <cell r="U289" t="str">
            <v>503682</v>
          </cell>
          <cell r="V289" t="str">
            <v>1000024</v>
          </cell>
          <cell r="Y289">
            <v>2699100</v>
          </cell>
          <cell r="Z289">
            <v>46537</v>
          </cell>
          <cell r="AA289">
            <v>53982</v>
          </cell>
        </row>
        <row r="290">
          <cell r="B290" t="str">
            <v>KHI/HO/D/MO/PC COMP/C/102088/33/11/2024</v>
          </cell>
          <cell r="D290" t="str">
            <v>REN</v>
          </cell>
          <cell r="E290" t="str">
            <v>19/11/24</v>
          </cell>
          <cell r="F290" t="str">
            <v>28/11/2024</v>
          </cell>
          <cell r="G290" t="str">
            <v>27/11/2025</v>
          </cell>
          <cell r="H290" t="str">
            <v>08004499</v>
          </cell>
          <cell r="I290" t="str">
            <v>AL BARAKA BANK (PAKISTAN) LIMITED</v>
          </cell>
          <cell r="J290" t="str">
            <v>BANK</v>
          </cell>
          <cell r="K290" t="str">
            <v>Mr. 
HPA M/s. Al Baraka Bank (Pakistan) Limited
Mr. Muhammad Zahid Hameed
HPA M/s. Al Baraka Bank (Pakistan) Limited</v>
          </cell>
          <cell r="L290" t="str">
            <v>D</v>
          </cell>
          <cell r="M290" t="str">
            <v>09000221</v>
          </cell>
          <cell r="N290">
            <v>100</v>
          </cell>
          <cell r="P290" t="str">
            <v>Flat No 04 Floor 02 Al Moqeet Heights PWD Pakistan Town Phase No 01 Islamabad</v>
          </cell>
          <cell r="Q290" t="str">
            <v>11000003</v>
          </cell>
          <cell r="R290" t="str">
            <v>SUZUKI WAGON R VXL</v>
          </cell>
          <cell r="S290" t="str">
            <v>2022</v>
          </cell>
          <cell r="T290" t="str">
            <v>AKY-395</v>
          </cell>
          <cell r="U290" t="str">
            <v>237005</v>
          </cell>
          <cell r="V290" t="str">
            <v>1037003</v>
          </cell>
          <cell r="X290" t="str">
            <v>05</v>
          </cell>
          <cell r="Y290">
            <v>1800000</v>
          </cell>
          <cell r="Z290">
            <v>31035</v>
          </cell>
          <cell r="AA290">
            <v>36000</v>
          </cell>
        </row>
        <row r="291">
          <cell r="B291" t="str">
            <v>KHI/HO/D/MO/PC COMP/C/102088/34/11/2024</v>
          </cell>
          <cell r="D291" t="str">
            <v>REN</v>
          </cell>
          <cell r="E291" t="str">
            <v>19/11/24</v>
          </cell>
          <cell r="F291" t="str">
            <v>28/11/2024</v>
          </cell>
          <cell r="G291" t="str">
            <v>27/11/2025</v>
          </cell>
          <cell r="H291" t="str">
            <v>08004499</v>
          </cell>
          <cell r="I291" t="str">
            <v>AL BARAKA BANK (PAKISTAN) LIMITED</v>
          </cell>
          <cell r="J291" t="str">
            <v>BANK</v>
          </cell>
          <cell r="K291" t="str">
            <v>Mr. 
HPA M/s. Al Baraka Bank (Pakistan) Limited
Mr. Tauqeer Nasir
HPA M/s. Al Baraka Bank (Pakistan) Limited</v>
          </cell>
          <cell r="L291" t="str">
            <v>D</v>
          </cell>
          <cell r="M291" t="str">
            <v>09000221</v>
          </cell>
          <cell r="N291">
            <v>100</v>
          </cell>
          <cell r="P291" t="str">
            <v>Mian Sansi Road Moh Nazir Park Sher Meharwala Gujranwala</v>
          </cell>
          <cell r="Q291" t="str">
            <v>11000003</v>
          </cell>
          <cell r="R291" t="str">
            <v>TOYOTA COROLL A/T</v>
          </cell>
          <cell r="S291" t="str">
            <v>2016</v>
          </cell>
          <cell r="T291" t="str">
            <v>LEF-16-6741</v>
          </cell>
          <cell r="U291" t="str">
            <v>Z456113</v>
          </cell>
          <cell r="V291" t="str">
            <v>4085409</v>
          </cell>
          <cell r="Y291">
            <v>3420000</v>
          </cell>
          <cell r="Z291">
            <v>44224</v>
          </cell>
          <cell r="AA291">
            <v>51300</v>
          </cell>
        </row>
        <row r="292">
          <cell r="B292" t="str">
            <v>KHI/HO/D/MO/PC COMP/C/102088/35/11/2024</v>
          </cell>
          <cell r="D292" t="str">
            <v>REN</v>
          </cell>
          <cell r="E292" t="str">
            <v>19/11/24</v>
          </cell>
          <cell r="F292" t="str">
            <v>29/11/2024</v>
          </cell>
          <cell r="G292" t="str">
            <v>28/11/2025</v>
          </cell>
          <cell r="H292" t="str">
            <v>08004499</v>
          </cell>
          <cell r="I292" t="str">
            <v>AL BARAKA BANK (PAKISTAN) LIMITED</v>
          </cell>
          <cell r="J292" t="str">
            <v>BANK</v>
          </cell>
          <cell r="K292" t="str">
            <v>Mr. 
HPA M/s. Al Baraka Bank (Pakistan) Limited
Mr. Arslan Amanat 
HPA M/s. Al Baraka Bank (Pakistan) Limited</v>
          </cell>
          <cell r="L292" t="str">
            <v>D</v>
          </cell>
          <cell r="M292" t="str">
            <v>09000221</v>
          </cell>
          <cell r="N292">
            <v>100</v>
          </cell>
          <cell r="P292" t="str">
            <v>Peoples Colony Scheme 4 Sui Gass Road Ferozwala Rachna Town Lahore</v>
          </cell>
          <cell r="Q292" t="str">
            <v>11000003</v>
          </cell>
          <cell r="R292" t="str">
            <v>TOYOTA YARIS ATIV X 1.5 A</v>
          </cell>
          <cell r="S292" t="str">
            <v>2020</v>
          </cell>
          <cell r="T292" t="str">
            <v>AAG-432</v>
          </cell>
          <cell r="U292" t="str">
            <v>2A06448</v>
          </cell>
          <cell r="V292" t="str">
            <v>R9502991</v>
          </cell>
          <cell r="Y292">
            <v>4050000</v>
          </cell>
          <cell r="Z292">
            <v>52370</v>
          </cell>
          <cell r="AA292">
            <v>60750</v>
          </cell>
        </row>
        <row r="293">
          <cell r="B293" t="str">
            <v>KHI/HO/D/MO/PC COMP/C/102088/36/11/2024</v>
          </cell>
          <cell r="D293" t="str">
            <v>REN</v>
          </cell>
          <cell r="E293" t="str">
            <v>19/11/24</v>
          </cell>
          <cell r="F293" t="str">
            <v>29/11/2024</v>
          </cell>
          <cell r="G293" t="str">
            <v>28/11/2025</v>
          </cell>
          <cell r="H293" t="str">
            <v>08004499</v>
          </cell>
          <cell r="I293" t="str">
            <v>AL BARAKA BANK (PAKISTAN) LIMITED</v>
          </cell>
          <cell r="J293" t="str">
            <v>BANK</v>
          </cell>
          <cell r="K293" t="str">
            <v>Mr. 
HPA M/s. Al Baraka Bank (Pakistan) Limited
Mr. Syed Tasawar Hussain Shah
HPA M/s. Al Baraka Bank (Pakistan) Limited</v>
          </cell>
          <cell r="L293" t="str">
            <v>D</v>
          </cell>
          <cell r="M293" t="str">
            <v>09000221</v>
          </cell>
          <cell r="N293">
            <v>100</v>
          </cell>
          <cell r="P293" t="str">
            <v>H No 5 St No 1 Pak Town Shangi Road Lahore</v>
          </cell>
          <cell r="Q293" t="str">
            <v>11000003</v>
          </cell>
          <cell r="R293" t="str">
            <v>KIA SPORTAGE</v>
          </cell>
          <cell r="S293" t="str">
            <v>2019</v>
          </cell>
          <cell r="T293" t="str">
            <v>APY-19-105</v>
          </cell>
          <cell r="U293" t="str">
            <v>H039166</v>
          </cell>
          <cell r="V293" t="str">
            <v>P501200</v>
          </cell>
          <cell r="Y293">
            <v>6300000</v>
          </cell>
          <cell r="Z293">
            <v>81465</v>
          </cell>
          <cell r="AA293">
            <v>94500</v>
          </cell>
        </row>
        <row r="294">
          <cell r="B294" t="str">
            <v>KHI/HO/D/MO/PC COMP/C/102088/37/11/2024</v>
          </cell>
          <cell r="D294" t="str">
            <v>REN</v>
          </cell>
          <cell r="E294" t="str">
            <v>19/11/24</v>
          </cell>
          <cell r="F294" t="str">
            <v>29/11/2024</v>
          </cell>
          <cell r="G294" t="str">
            <v>28/11/2025</v>
          </cell>
          <cell r="H294" t="str">
            <v>08004499</v>
          </cell>
          <cell r="I294" t="str">
            <v>AL BARAKA BANK (PAKISTAN) LIMITED</v>
          </cell>
          <cell r="J294" t="str">
            <v>BANK</v>
          </cell>
          <cell r="K294" t="str">
            <v>Mr. 
HPA M/s. Al Baraka Bank (Pakistan) Limited
Mr. Syed Kazim Raza
HPA M/s. Al Baraka Bank (Pakistan) Limited</v>
          </cell>
          <cell r="L294" t="str">
            <v>D</v>
          </cell>
          <cell r="M294" t="str">
            <v>09000221</v>
          </cell>
          <cell r="N294">
            <v>100</v>
          </cell>
          <cell r="P294" t="str">
            <v>H No 164 St 20 Sec F-11/2 Islamabad</v>
          </cell>
          <cell r="Q294" t="str">
            <v>11000003</v>
          </cell>
          <cell r="R294" t="str">
            <v>HYUNDAI TUCSON</v>
          </cell>
          <cell r="S294" t="str">
            <v>2022</v>
          </cell>
          <cell r="T294" t="str">
            <v>AXF-110</v>
          </cell>
          <cell r="U294" t="str">
            <v>166986</v>
          </cell>
          <cell r="V294" t="str">
            <v>205930</v>
          </cell>
          <cell r="X294" t="str">
            <v>03</v>
          </cell>
          <cell r="Y294">
            <v>7200000</v>
          </cell>
          <cell r="Z294">
            <v>93103</v>
          </cell>
          <cell r="AA294">
            <v>108000</v>
          </cell>
        </row>
        <row r="295">
          <cell r="B295" t="str">
            <v>KHI/HO/D/MO/PC COMP/C/102088/38/11/2024</v>
          </cell>
          <cell r="D295" t="str">
            <v>REN</v>
          </cell>
          <cell r="E295" t="str">
            <v>19/11/24</v>
          </cell>
          <cell r="F295" t="str">
            <v>29/11/2024</v>
          </cell>
          <cell r="G295" t="str">
            <v>28/11/2025</v>
          </cell>
          <cell r="H295" t="str">
            <v>08004499</v>
          </cell>
          <cell r="I295" t="str">
            <v>AL BARAKA BANK (PAKISTAN) LIMITED</v>
          </cell>
          <cell r="J295" t="str">
            <v>BANK</v>
          </cell>
          <cell r="K295" t="str">
            <v>Mr. 
HPA M/s. Al Baraka Bank (Pakistan) Limited
Mr. Muhammad Atif
HPA M/s. Al Baraka Bank (Pakistan) Limited</v>
          </cell>
          <cell r="L295" t="str">
            <v>D</v>
          </cell>
          <cell r="M295" t="str">
            <v>09000221</v>
          </cell>
          <cell r="N295">
            <v>100</v>
          </cell>
          <cell r="P295" t="str">
            <v>IH-26 Falcon Complex Shaheed Millat Karachi</v>
          </cell>
          <cell r="Q295" t="str">
            <v>11000003</v>
          </cell>
          <cell r="R295" t="str">
            <v>HONDA HRV-S</v>
          </cell>
          <cell r="S295" t="str">
            <v>2022</v>
          </cell>
          <cell r="T295" t="str">
            <v>BL-1701</v>
          </cell>
          <cell r="U295" t="str">
            <v>1000065</v>
          </cell>
          <cell r="V295" t="str">
            <v>R000036</v>
          </cell>
          <cell r="Y295">
            <v>6075000</v>
          </cell>
          <cell r="Z295">
            <v>78556</v>
          </cell>
          <cell r="AA295">
            <v>91125</v>
          </cell>
        </row>
        <row r="296">
          <cell r="B296" t="str">
            <v>KHI/HO/D/MO/PC COMP/C/102088/39/11/2024</v>
          </cell>
          <cell r="D296" t="str">
            <v>REN</v>
          </cell>
          <cell r="E296" t="str">
            <v>19/11/24</v>
          </cell>
          <cell r="F296" t="str">
            <v>29/11/2024</v>
          </cell>
          <cell r="G296" t="str">
            <v>28/11/2025</v>
          </cell>
          <cell r="H296" t="str">
            <v>08004499</v>
          </cell>
          <cell r="I296" t="str">
            <v>AL BARAKA BANK (PAKISTAN) LIMITED</v>
          </cell>
          <cell r="J296" t="str">
            <v>BANK</v>
          </cell>
          <cell r="K296" t="str">
            <v>Mr. 
HPA M/s. Al Baraka Bank (Pakistan) Limited
Mr. Asif Ali
HPA M/s. Al Baraka Bank (Pakistan) Limited</v>
          </cell>
          <cell r="L296" t="str">
            <v>D</v>
          </cell>
          <cell r="M296" t="str">
            <v>09000221</v>
          </cell>
          <cell r="N296">
            <v>100</v>
          </cell>
          <cell r="P296" t="str">
            <v>H No 580 Dhani Baksh Goth Glistan e Johar Karachi</v>
          </cell>
          <cell r="Q296" t="str">
            <v>11000003</v>
          </cell>
          <cell r="R296" t="str">
            <v>CHANGAN KARVAAN PLUS</v>
          </cell>
          <cell r="S296" t="str">
            <v>2023</v>
          </cell>
          <cell r="U296" t="str">
            <v>502000</v>
          </cell>
          <cell r="V296" t="str">
            <v>1000118</v>
          </cell>
          <cell r="Y296">
            <v>2699100</v>
          </cell>
          <cell r="Z296">
            <v>46537</v>
          </cell>
          <cell r="AA296">
            <v>53982</v>
          </cell>
        </row>
        <row r="297">
          <cell r="B297" t="str">
            <v>KHI/HO/D/MO/PC COMP/C/102088/40/11/2024</v>
          </cell>
          <cell r="D297" t="str">
            <v>REN</v>
          </cell>
          <cell r="E297" t="str">
            <v>19/11/24</v>
          </cell>
          <cell r="F297" t="str">
            <v>30/11/2024</v>
          </cell>
          <cell r="G297" t="str">
            <v>29/11/2025</v>
          </cell>
          <cell r="H297" t="str">
            <v>08004499</v>
          </cell>
          <cell r="I297" t="str">
            <v>AL BARAKA BANK (PAKISTAN) LIMITED</v>
          </cell>
          <cell r="J297" t="str">
            <v>BANK</v>
          </cell>
          <cell r="K297" t="str">
            <v>Mr. 
HPA M/s. Al Baraka Bank (Pakistan) Limited
Mr. Noman Yaqoob 
HPA M/s. Al Baraka Bank (Pakistan) Limited</v>
          </cell>
          <cell r="L297" t="str">
            <v>D</v>
          </cell>
          <cell r="M297" t="str">
            <v>09000221</v>
          </cell>
          <cell r="N297">
            <v>100</v>
          </cell>
          <cell r="P297" t="str">
            <v>H No 213 Street No 02 GHQ Colony Kalyala Road Rawalpindi</v>
          </cell>
          <cell r="Q297" t="str">
            <v>11000003</v>
          </cell>
          <cell r="R297" t="str">
            <v>SUZUKI ALTO VXR</v>
          </cell>
          <cell r="S297" t="str">
            <v>2022</v>
          </cell>
          <cell r="T297" t="str">
            <v>BAW-357</v>
          </cell>
          <cell r="U297" t="str">
            <v>253142</v>
          </cell>
          <cell r="V297" t="str">
            <v>1153131</v>
          </cell>
          <cell r="X297" t="str">
            <v>05</v>
          </cell>
          <cell r="Y297">
            <v>2340000</v>
          </cell>
          <cell r="Z297">
            <v>40345</v>
          </cell>
          <cell r="AA297">
            <v>46800</v>
          </cell>
        </row>
        <row r="298">
          <cell r="B298" t="str">
            <v>KHI/HO/D/MO/PC COMP/C/102088/41/11/2024</v>
          </cell>
          <cell r="D298" t="str">
            <v>REN</v>
          </cell>
          <cell r="E298" t="str">
            <v>19/11/24</v>
          </cell>
          <cell r="F298" t="str">
            <v>30/11/2024</v>
          </cell>
          <cell r="G298" t="str">
            <v>29/11/2025</v>
          </cell>
          <cell r="H298" t="str">
            <v>08004499</v>
          </cell>
          <cell r="I298" t="str">
            <v>AL BARAKA BANK (PAKISTAN) LIMITED</v>
          </cell>
          <cell r="J298" t="str">
            <v>BANK</v>
          </cell>
          <cell r="K298" t="str">
            <v>Mr. 
HPA M/s. Al Baraka Bank (Pakistan) Limited
Mr. Naik Muhammad
HPA M/s. Al Baraka Bank (Pakistan) Limited</v>
          </cell>
          <cell r="L298" t="str">
            <v>D</v>
          </cell>
          <cell r="M298" t="str">
            <v>09000221</v>
          </cell>
          <cell r="N298">
            <v>100</v>
          </cell>
          <cell r="P298" t="str">
            <v>H No A-16 Ali Town Deh Gujo Hala Naka Road Hyderabad</v>
          </cell>
          <cell r="Q298" t="str">
            <v>11000003</v>
          </cell>
          <cell r="R298" t="str">
            <v>SUZUKI ALTO</v>
          </cell>
          <cell r="S298" t="str">
            <v>2021</v>
          </cell>
          <cell r="T298" t="str">
            <v>BVR-062</v>
          </cell>
          <cell r="U298" t="str">
            <v>172572</v>
          </cell>
          <cell r="V298" t="str">
            <v>1072558</v>
          </cell>
          <cell r="X298" t="str">
            <v>05</v>
          </cell>
          <cell r="Y298">
            <v>1890000</v>
          </cell>
          <cell r="Z298">
            <v>32586</v>
          </cell>
          <cell r="AA298">
            <v>37800</v>
          </cell>
        </row>
        <row r="299">
          <cell r="B299" t="str">
            <v>KHI/HO/D/MO/PC COMP/C/102088/42/11/2024</v>
          </cell>
          <cell r="D299" t="str">
            <v>REN</v>
          </cell>
          <cell r="E299" t="str">
            <v>19/11/24</v>
          </cell>
          <cell r="F299" t="str">
            <v>30/11/2024</v>
          </cell>
          <cell r="G299" t="str">
            <v>29/11/2025</v>
          </cell>
          <cell r="H299" t="str">
            <v>08004499</v>
          </cell>
          <cell r="I299" t="str">
            <v>AL BARAKA BANK (PAKISTAN) LIMITED</v>
          </cell>
          <cell r="J299" t="str">
            <v>BANK</v>
          </cell>
          <cell r="K299" t="str">
            <v>Mr. 
HPA M/s. Al Baraka Bank (Pakistan) Limited
Mr. Muhammad Maqsood Ahmad
HPA M/s. Al Baraka Bank (Pakistan) Limited</v>
          </cell>
          <cell r="L299" t="str">
            <v>D</v>
          </cell>
          <cell r="M299" t="str">
            <v>09000221</v>
          </cell>
          <cell r="N299">
            <v>100</v>
          </cell>
          <cell r="P299" t="str">
            <v>H No. 270 B Block Pak Arab Housing Society Lahore</v>
          </cell>
          <cell r="Q299" t="str">
            <v>11000003</v>
          </cell>
          <cell r="R299" t="str">
            <v>SUZUKI CULTUS</v>
          </cell>
          <cell r="S299" t="str">
            <v>2018</v>
          </cell>
          <cell r="T299" t="str">
            <v>LEB-18-8695</v>
          </cell>
          <cell r="U299" t="str">
            <v>107875</v>
          </cell>
          <cell r="V299" t="str">
            <v>10007825</v>
          </cell>
          <cell r="Y299">
            <v>1350000</v>
          </cell>
          <cell r="Z299">
            <v>23276</v>
          </cell>
          <cell r="AA299">
            <v>27000</v>
          </cell>
        </row>
        <row r="300">
          <cell r="B300" t="str">
            <v>KHI/HO/D/MO/PC COMP/C/102088/43/11/2024</v>
          </cell>
          <cell r="D300" t="str">
            <v>REN</v>
          </cell>
          <cell r="E300" t="str">
            <v>19/11/24</v>
          </cell>
          <cell r="F300" t="str">
            <v>30/11/2024</v>
          </cell>
          <cell r="G300" t="str">
            <v>29/11/2025</v>
          </cell>
          <cell r="H300" t="str">
            <v>08004499</v>
          </cell>
          <cell r="I300" t="str">
            <v>AL BARAKA BANK (PAKISTAN) LIMITED</v>
          </cell>
          <cell r="J300" t="str">
            <v>BANK</v>
          </cell>
          <cell r="K300" t="str">
            <v>Mr. 
HPA M/s. Al Baraka Bank (Pakistan) Limited
Applicant Name. Mr. Syed Saad Ahmed 
Co Applicant Name. Mr. Syed Mubussir Ahmed Cnic No. 42401-7695120-3
HPA M/s. Al Baraka Bank (Pakistan) Limited</v>
          </cell>
          <cell r="L300" t="str">
            <v>D</v>
          </cell>
          <cell r="M300" t="str">
            <v>09000221</v>
          </cell>
          <cell r="N300">
            <v>100</v>
          </cell>
          <cell r="P300" t="str">
            <v>H # 879 and 880 Sector 8-L Orangi Town Karachi</v>
          </cell>
          <cell r="Q300" t="str">
            <v>11000003</v>
          </cell>
          <cell r="R300" t="str">
            <v>FAW FAW V2 M/T</v>
          </cell>
          <cell r="S300" t="str">
            <v>2018</v>
          </cell>
          <cell r="T300" t="str">
            <v>BMZ ? 934</v>
          </cell>
          <cell r="U300" t="str">
            <v>HJ-300217</v>
          </cell>
          <cell r="V300" t="str">
            <v>M-18001686</v>
          </cell>
          <cell r="X300" t="str">
            <v>3</v>
          </cell>
          <cell r="Y300">
            <v>1192500</v>
          </cell>
          <cell r="Z300">
            <v>20560</v>
          </cell>
          <cell r="AA300">
            <v>23850</v>
          </cell>
        </row>
        <row r="301">
          <cell r="B301" t="str">
            <v>KHI/HO/D/MO/PC COMP/C/102088/44/11/2024</v>
          </cell>
          <cell r="D301" t="str">
            <v>REN</v>
          </cell>
          <cell r="E301" t="str">
            <v>19/11/24</v>
          </cell>
          <cell r="F301" t="str">
            <v>30/11/2024</v>
          </cell>
          <cell r="G301" t="str">
            <v>29/11/2025</v>
          </cell>
          <cell r="H301" t="str">
            <v>08004499</v>
          </cell>
          <cell r="I301" t="str">
            <v>AL BARAKA BANK (PAKISTAN) LIMITED</v>
          </cell>
          <cell r="J301" t="str">
            <v>BANK</v>
          </cell>
          <cell r="K301" t="str">
            <v>Mr. 
HPA M/s. Al Baraka Bank (Pakistan) Limited
Mr. Anees Ahmad
HPA M/s. Al Baraka Bank (Pakistan) Limited</v>
          </cell>
          <cell r="L301" t="str">
            <v>D</v>
          </cell>
          <cell r="M301" t="str">
            <v>09000221</v>
          </cell>
          <cell r="N301">
            <v>100</v>
          </cell>
          <cell r="P301" t="str">
            <v>Gulshan Madina Colony Ward No 25 Lodhran</v>
          </cell>
          <cell r="Q301" t="str">
            <v>11000003</v>
          </cell>
          <cell r="R301" t="str">
            <v>DAIHATSU MOVE</v>
          </cell>
          <cell r="S301" t="str">
            <v>2021</v>
          </cell>
          <cell r="T301" t="str">
            <v>AQE-149</v>
          </cell>
          <cell r="U301" t="str">
            <v>K091977KF</v>
          </cell>
          <cell r="V301" t="str">
            <v>LA150S2108067</v>
          </cell>
          <cell r="Y301">
            <v>3420000</v>
          </cell>
          <cell r="Z301">
            <v>44224</v>
          </cell>
          <cell r="AA301">
            <v>51300</v>
          </cell>
        </row>
        <row r="302">
          <cell r="B302" t="str">
            <v>KHI/HO/D/MO/PC COMP/C/102088/45/11/2024</v>
          </cell>
          <cell r="D302" t="str">
            <v>REN</v>
          </cell>
          <cell r="E302" t="str">
            <v>19/11/24</v>
          </cell>
          <cell r="F302" t="str">
            <v>30/11/2024</v>
          </cell>
          <cell r="G302" t="str">
            <v>29/11/2025</v>
          </cell>
          <cell r="H302" t="str">
            <v>08004499</v>
          </cell>
          <cell r="I302" t="str">
            <v>AL BARAKA BANK (PAKISTAN) LIMITED</v>
          </cell>
          <cell r="J302" t="str">
            <v>BANK</v>
          </cell>
          <cell r="K302" t="str">
            <v>Mr. 
HPA M/s. Al Baraka Bank (Pakistan) Limited
Mr. Rizwan
HPA M/s. Al Baraka Bank (Pakistan) Limited</v>
          </cell>
          <cell r="L302" t="str">
            <v>D</v>
          </cell>
          <cell r="M302" t="str">
            <v>09000221</v>
          </cell>
          <cell r="N302">
            <v>100</v>
          </cell>
          <cell r="P302" t="str">
            <v>H No 04 St No 06 Drighroad Cant Bazar Karachi</v>
          </cell>
          <cell r="Q302" t="str">
            <v>11000003</v>
          </cell>
          <cell r="R302" t="str">
            <v>TOYOTA COROLLA XE</v>
          </cell>
          <cell r="S302" t="str">
            <v>2018</v>
          </cell>
          <cell r="T302" t="str">
            <v>BMA-037</v>
          </cell>
          <cell r="U302" t="str">
            <v>518521</v>
          </cell>
          <cell r="V302" t="str">
            <v>4144486</v>
          </cell>
          <cell r="Y302">
            <v>2250000</v>
          </cell>
          <cell r="Z302">
            <v>38793</v>
          </cell>
          <cell r="AA302">
            <v>45000</v>
          </cell>
        </row>
        <row r="303">
          <cell r="B303" t="str">
            <v>KHI/HO/D/MO/PC COMP/C/102088/46/11/2024</v>
          </cell>
          <cell r="D303" t="str">
            <v>REN</v>
          </cell>
          <cell r="E303" t="str">
            <v>19/11/24</v>
          </cell>
          <cell r="F303" t="str">
            <v>30/11/2024</v>
          </cell>
          <cell r="G303" t="str">
            <v>29/11/2025</v>
          </cell>
          <cell r="H303" t="str">
            <v>08004499</v>
          </cell>
          <cell r="I303" t="str">
            <v>AL BARAKA BANK (PAKISTAN) LIMITED</v>
          </cell>
          <cell r="J303" t="str">
            <v>BANK</v>
          </cell>
          <cell r="K303" t="str">
            <v>Mr. 
HPA M/s. Al Baraka Bank (Pakistan) Limited
Mr. Abdul Jalil Abbasi
HPA M/s. Al Baraka Bank (Pakistan) Limited</v>
          </cell>
          <cell r="L303" t="str">
            <v>D</v>
          </cell>
          <cell r="M303" t="str">
            <v>09000221</v>
          </cell>
          <cell r="N303">
            <v>100</v>
          </cell>
          <cell r="P303" t="str">
            <v>Flat 02 Al Farid Plaza 1-8/4 Islamabad</v>
          </cell>
          <cell r="Q303" t="str">
            <v>11000003</v>
          </cell>
          <cell r="R303" t="str">
            <v>SUZUKI ALTO VXR</v>
          </cell>
          <cell r="S303" t="str">
            <v>2020</v>
          </cell>
          <cell r="T303" t="str">
            <v>ARJ-208</v>
          </cell>
          <cell r="U303" t="str">
            <v>139546</v>
          </cell>
          <cell r="V303" t="str">
            <v>1039442</v>
          </cell>
          <cell r="X303" t="str">
            <v>05</v>
          </cell>
          <cell r="Y303">
            <v>1800000</v>
          </cell>
          <cell r="Z303">
            <v>31035</v>
          </cell>
          <cell r="AA303">
            <v>36000</v>
          </cell>
        </row>
        <row r="304">
          <cell r="B304" t="str">
            <v>KHI/HO/D/MO/PC COMP/C/102191/1/11/2024</v>
          </cell>
          <cell r="D304" t="str">
            <v>REN</v>
          </cell>
          <cell r="E304" t="str">
            <v>19/11/24</v>
          </cell>
          <cell r="F304" t="str">
            <v>02/11/2024</v>
          </cell>
          <cell r="G304" t="str">
            <v>01/11/2025</v>
          </cell>
          <cell r="H304" t="str">
            <v>08004499</v>
          </cell>
          <cell r="I304" t="str">
            <v>AL BARAKA BANK (PAKISTAN) LIMITED</v>
          </cell>
          <cell r="J304" t="str">
            <v>BANK</v>
          </cell>
          <cell r="K304" t="str">
            <v>Mr. 
HPA M/s Al Baraka Bank ( Pakistan ) Limited 
Mr. Zohaib Zulqarnain
HPA M/s Al Baraka Bank ( Pakistan ) Limited</v>
          </cell>
          <cell r="L304" t="str">
            <v>D</v>
          </cell>
          <cell r="M304" t="str">
            <v>09000221</v>
          </cell>
          <cell r="N304">
            <v>100</v>
          </cell>
          <cell r="P304" t="str">
            <v>H No 20 St No 31 Usman Park sanda Kalan Lahore</v>
          </cell>
          <cell r="Q304" t="str">
            <v>11000003</v>
          </cell>
          <cell r="R304" t="str">
            <v>HONDA CITY 1.2  LS CVT</v>
          </cell>
          <cell r="S304" t="str">
            <v>2022</v>
          </cell>
          <cell r="T304" t="str">
            <v>AML-790</v>
          </cell>
          <cell r="U304" t="str">
            <v>51015773</v>
          </cell>
          <cell r="V304" t="str">
            <v>NR027882</v>
          </cell>
          <cell r="Y304">
            <v>2767600</v>
          </cell>
          <cell r="Z304">
            <v>59216</v>
          </cell>
          <cell r="AA304">
            <v>69190</v>
          </cell>
        </row>
        <row r="305">
          <cell r="B305" t="str">
            <v>KHI/HO/D/MO/PC COMP/C/102191/2/11/2024</v>
          </cell>
          <cell r="D305" t="str">
            <v>REN</v>
          </cell>
          <cell r="E305" t="str">
            <v>19/11/24</v>
          </cell>
          <cell r="F305" t="str">
            <v>03/11/2024</v>
          </cell>
          <cell r="G305" t="str">
            <v>02/11/2025</v>
          </cell>
          <cell r="H305" t="str">
            <v>08004499</v>
          </cell>
          <cell r="I305" t="str">
            <v>AL BARAKA BANK (PAKISTAN) LIMITED</v>
          </cell>
          <cell r="J305" t="str">
            <v>BANK</v>
          </cell>
          <cell r="K305" t="str">
            <v>Mr. 
HPA M/s Al Baraka Bank ( Pakistan ) Limited 
Mr. Muhammad Irfan 
HPA M/s Al Baraka Bank ( Pakistan ) Limited</v>
          </cell>
          <cell r="L305" t="str">
            <v>D</v>
          </cell>
          <cell r="M305" t="str">
            <v>09000221</v>
          </cell>
          <cell r="N305">
            <v>100</v>
          </cell>
          <cell r="P305" t="str">
            <v>H # 1422/1 Moulvi Akhtar wali Masjid Band Road Bhawalpur</v>
          </cell>
          <cell r="Q305" t="str">
            <v>11000003</v>
          </cell>
          <cell r="R305" t="str">
            <v>SUZUKI ALTO VXR E-2</v>
          </cell>
          <cell r="S305" t="str">
            <v>2022</v>
          </cell>
          <cell r="U305" t="str">
            <v>253842</v>
          </cell>
          <cell r="V305" t="str">
            <v>1153739</v>
          </cell>
          <cell r="X305" t="str">
            <v>3</v>
          </cell>
          <cell r="Y305">
            <v>1423750</v>
          </cell>
          <cell r="Z305">
            <v>30684</v>
          </cell>
          <cell r="AA305">
            <v>35594</v>
          </cell>
        </row>
        <row r="306">
          <cell r="B306" t="str">
            <v>KHI/HO/D/MO/PC COMP/C/102191/3/11/2024</v>
          </cell>
          <cell r="D306" t="str">
            <v>REN</v>
          </cell>
          <cell r="E306" t="str">
            <v>19/11/24</v>
          </cell>
          <cell r="F306" t="str">
            <v>07/11/2024</v>
          </cell>
          <cell r="G306" t="str">
            <v>06/11/2025</v>
          </cell>
          <cell r="H306" t="str">
            <v>08004499</v>
          </cell>
          <cell r="I306" t="str">
            <v>AL BARAKA BANK (PAKISTAN) LIMITED</v>
          </cell>
          <cell r="J306" t="str">
            <v>BANK</v>
          </cell>
          <cell r="K306" t="str">
            <v>Mr. 
HPA M/s Al Baraka Bank ( Pakistan ) Limited 
Mr. Shahzaib Iftikhar 
HPA M/s Al Baraka Bank ( Pakistan ) Limited</v>
          </cell>
          <cell r="L306" t="str">
            <v>D</v>
          </cell>
          <cell r="M306" t="str">
            <v>09000221</v>
          </cell>
          <cell r="N306">
            <v>100</v>
          </cell>
          <cell r="P306" t="str">
            <v>H # 102 Street 9-C Mohallah Nasir Colony Latpak Road Shahdra Lahore</v>
          </cell>
          <cell r="Q306" t="str">
            <v>11000003</v>
          </cell>
          <cell r="R306" t="str">
            <v>HONDA CITY 1.2  LS CVT</v>
          </cell>
          <cell r="S306" t="str">
            <v>2022</v>
          </cell>
          <cell r="U306" t="str">
            <v>1015881</v>
          </cell>
          <cell r="V306" t="str">
            <v>NR027988</v>
          </cell>
          <cell r="X306" t="str">
            <v>3</v>
          </cell>
          <cell r="Y306">
            <v>3322650</v>
          </cell>
          <cell r="Z306">
            <v>71609</v>
          </cell>
          <cell r="AA306">
            <v>83066</v>
          </cell>
        </row>
        <row r="307">
          <cell r="B307" t="str">
            <v>KHI/HO/D/MO/PC COMP/C/102191/4/11/2024</v>
          </cell>
          <cell r="D307" t="str">
            <v>REN</v>
          </cell>
          <cell r="E307" t="str">
            <v>19/11/24</v>
          </cell>
          <cell r="F307" t="str">
            <v>10/11/2024</v>
          </cell>
          <cell r="G307" t="str">
            <v>09/11/2025</v>
          </cell>
          <cell r="H307" t="str">
            <v>08004499</v>
          </cell>
          <cell r="I307" t="str">
            <v>AL BARAKA BANK (PAKISTAN) LIMITED</v>
          </cell>
          <cell r="J307" t="str">
            <v>BANK</v>
          </cell>
          <cell r="K307" t="str">
            <v>Mr. 
HPA M/s Al Baraka Bank ( Pakistan ) Limited 
Mr. Faraz Ahmed Quddusi   
HPA M/s Al Baraka Bank ( Pakistan ) Limited</v>
          </cell>
          <cell r="L307" t="str">
            <v>D</v>
          </cell>
          <cell r="M307" t="str">
            <v>09000221</v>
          </cell>
          <cell r="N307">
            <v>100</v>
          </cell>
          <cell r="P307" t="str">
            <v>H # Y-30/1 17th East Street Phase 1 DHA Karachi</v>
          </cell>
          <cell r="Q307" t="str">
            <v>11000003</v>
          </cell>
          <cell r="R307" t="str">
            <v>MG MG ZS</v>
          </cell>
          <cell r="S307" t="str">
            <v>2021</v>
          </cell>
          <cell r="T307" t="str">
            <v>BJ-8523</v>
          </cell>
          <cell r="U307" t="str">
            <v>2230961</v>
          </cell>
          <cell r="V307" t="str">
            <v>105627</v>
          </cell>
          <cell r="X307" t="str">
            <v>3</v>
          </cell>
          <cell r="Y307">
            <v>4250000</v>
          </cell>
          <cell r="Z307">
            <v>54956</v>
          </cell>
          <cell r="AA307">
            <v>63750</v>
          </cell>
        </row>
        <row r="308">
          <cell r="B308" t="str">
            <v>KHI/HO/D/MO/PC COMP/C/102191/5/11/2024</v>
          </cell>
          <cell r="D308" t="str">
            <v>REN</v>
          </cell>
          <cell r="E308" t="str">
            <v>19/11/24</v>
          </cell>
          <cell r="F308" t="str">
            <v>10/11/2024</v>
          </cell>
          <cell r="G308" t="str">
            <v>09/11/2025</v>
          </cell>
          <cell r="H308" t="str">
            <v>08004499</v>
          </cell>
          <cell r="I308" t="str">
            <v>AL BARAKA BANK (PAKISTAN) LIMITED</v>
          </cell>
          <cell r="J308" t="str">
            <v>BANK</v>
          </cell>
          <cell r="K308" t="str">
            <v>Mr. 
HPA M/s Al Baraka Bank ( Pakistan ) Limited 
Mr. Muhammad Zeeshan Khan
HPA M/s Al Baraka Bank ( Pakistan ) Limited</v>
          </cell>
          <cell r="L308" t="str">
            <v>D</v>
          </cell>
          <cell r="M308" t="str">
            <v>09000221</v>
          </cell>
          <cell r="N308">
            <v>100</v>
          </cell>
          <cell r="P308" t="str">
            <v>H No 1091 -8-1 St No 19 Block F Nishat Colony Lahore Cantt</v>
          </cell>
          <cell r="Q308" t="str">
            <v>11000003</v>
          </cell>
          <cell r="R308" t="str">
            <v>TOYOTA YARIS ATIV X CVT</v>
          </cell>
          <cell r="S308" t="str">
            <v>2022</v>
          </cell>
          <cell r="T308" t="str">
            <v>AMF-599</v>
          </cell>
          <cell r="U308" t="str">
            <v>2A58007</v>
          </cell>
          <cell r="V308" t="str">
            <v>7036700</v>
          </cell>
          <cell r="Y308">
            <v>2975000</v>
          </cell>
          <cell r="Z308">
            <v>38470</v>
          </cell>
          <cell r="AA308">
            <v>44625</v>
          </cell>
        </row>
        <row r="309">
          <cell r="B309" t="str">
            <v>KHI/HO/D/MO/PC COMP/C/102191/6/11/2024</v>
          </cell>
          <cell r="D309" t="str">
            <v>REN</v>
          </cell>
          <cell r="E309" t="str">
            <v>19/11/24</v>
          </cell>
          <cell r="F309" t="str">
            <v>11/11/2024</v>
          </cell>
          <cell r="G309" t="str">
            <v>10/11/2025</v>
          </cell>
          <cell r="H309" t="str">
            <v>08004499</v>
          </cell>
          <cell r="I309" t="str">
            <v>AL BARAKA BANK (PAKISTAN) LIMITED</v>
          </cell>
          <cell r="J309" t="str">
            <v>BANK</v>
          </cell>
          <cell r="K309" t="str">
            <v>Mr. 
HPA M/s Al Baraka Bank ( Pakistan ) Limited 
Mr. Muhammad Irfan 
HPA M/s Al Baraka Bank ( Pakistan ) Limited</v>
          </cell>
          <cell r="L309" t="str">
            <v>D</v>
          </cell>
          <cell r="M309" t="str">
            <v>09000221</v>
          </cell>
          <cell r="N309">
            <v>100</v>
          </cell>
          <cell r="P309" t="str">
            <v>H # 506 Tariq Road Ishaq Street Colony Muhammad Pura Faisalabad</v>
          </cell>
          <cell r="Q309" t="str">
            <v>11000003</v>
          </cell>
          <cell r="R309" t="str">
            <v>TOYOTA COROLLA ALTIS CVT</v>
          </cell>
          <cell r="S309" t="str">
            <v>2022</v>
          </cell>
          <cell r="T309" t="str">
            <v>BAW-794</v>
          </cell>
          <cell r="U309" t="str">
            <v>Q363357</v>
          </cell>
          <cell r="V309" t="str">
            <v>ZRE172R-7062522</v>
          </cell>
          <cell r="X309" t="str">
            <v>3</v>
          </cell>
          <cell r="Y309">
            <v>3664342</v>
          </cell>
          <cell r="Z309">
            <v>47383</v>
          </cell>
          <cell r="AA309">
            <v>54965</v>
          </cell>
        </row>
        <row r="310">
          <cell r="B310" t="str">
            <v>KHI/HO/D/MO/PC COMP/C/102191/7/11/2024</v>
          </cell>
          <cell r="D310" t="str">
            <v>REN</v>
          </cell>
          <cell r="E310" t="str">
            <v>19/11/24</v>
          </cell>
          <cell r="F310" t="str">
            <v>11/11/2024</v>
          </cell>
          <cell r="G310" t="str">
            <v>10/11/2025</v>
          </cell>
          <cell r="H310" t="str">
            <v>08004499</v>
          </cell>
          <cell r="I310" t="str">
            <v>AL BARAKA BANK (PAKISTAN) LIMITED</v>
          </cell>
          <cell r="J310" t="str">
            <v>BANK</v>
          </cell>
          <cell r="K310" t="str">
            <v>Mr. 
HPA M/s Al Baraka Bank ( Pakistan ) Limited 
Mr. Aijaz Ullah Khan
HPA M/s Al Baraka Bank ( Pakistan ) Limited</v>
          </cell>
          <cell r="L310" t="str">
            <v>D</v>
          </cell>
          <cell r="M310" t="str">
            <v>09000221</v>
          </cell>
          <cell r="N310">
            <v>100</v>
          </cell>
          <cell r="P310" t="str">
            <v>H No B-56 PCSIR Society Sec 24-A Sch 33 Karachi</v>
          </cell>
          <cell r="Q310" t="str">
            <v>11000003</v>
          </cell>
          <cell r="R310" t="str">
            <v>SUZUKI Swift GLX CVT</v>
          </cell>
          <cell r="S310" t="str">
            <v>2022</v>
          </cell>
          <cell r="T310" t="str">
            <v>BXW-878</v>
          </cell>
          <cell r="U310" t="str">
            <v>1010126</v>
          </cell>
          <cell r="V310" t="str">
            <v>110117</v>
          </cell>
          <cell r="Y310">
            <v>2464150</v>
          </cell>
          <cell r="Z310">
            <v>53107</v>
          </cell>
          <cell r="AA310">
            <v>61604</v>
          </cell>
        </row>
        <row r="311">
          <cell r="B311" t="str">
            <v>KHI/HO/D/MO/PC COMP/C/102191/8/11/2024</v>
          </cell>
          <cell r="D311" t="str">
            <v>REN</v>
          </cell>
          <cell r="E311" t="str">
            <v>19/11/24</v>
          </cell>
          <cell r="F311" t="str">
            <v>11/11/2024</v>
          </cell>
          <cell r="G311" t="str">
            <v>10/11/2025</v>
          </cell>
          <cell r="H311" t="str">
            <v>08004499</v>
          </cell>
          <cell r="I311" t="str">
            <v>AL BARAKA BANK (PAKISTAN) LIMITED</v>
          </cell>
          <cell r="J311" t="str">
            <v>BANK</v>
          </cell>
          <cell r="K311" t="str">
            <v>Mr. 
HPA M/s Al Baraka Bank ( Pakistan ) Limited 
Mr. Afzaal Anjum 
HPA M/s Al Baraka Bank ( Pakistan ) Limited</v>
          </cell>
          <cell r="L311" t="str">
            <v>D</v>
          </cell>
          <cell r="M311" t="str">
            <v>09000221</v>
          </cell>
          <cell r="N311">
            <v>100</v>
          </cell>
          <cell r="P311" t="str">
            <v>19-C Block B Militry Accounts Society College Road Lahore</v>
          </cell>
          <cell r="Q311" t="str">
            <v>11000003</v>
          </cell>
          <cell r="R311" t="str">
            <v>SUZUKI ALTO</v>
          </cell>
          <cell r="S311" t="str">
            <v>2022</v>
          </cell>
          <cell r="T311" t="str">
            <v>AMG-897</v>
          </cell>
          <cell r="U311" t="str">
            <v>R252234</v>
          </cell>
          <cell r="V311" t="str">
            <v>H1152244</v>
          </cell>
          <cell r="Y311">
            <v>1314100</v>
          </cell>
          <cell r="Z311">
            <v>19825</v>
          </cell>
          <cell r="AA311">
            <v>22997</v>
          </cell>
        </row>
        <row r="312">
          <cell r="B312" t="str">
            <v>KHI/HO/D/MO/PC COMP/C/102191/9/11/2024</v>
          </cell>
          <cell r="D312" t="str">
            <v>REN</v>
          </cell>
          <cell r="E312" t="str">
            <v>19/11/24</v>
          </cell>
          <cell r="F312" t="str">
            <v>14/11/2024</v>
          </cell>
          <cell r="G312" t="str">
            <v>13/11/2025</v>
          </cell>
          <cell r="H312" t="str">
            <v>08004499</v>
          </cell>
          <cell r="I312" t="str">
            <v>AL BARAKA BANK (PAKISTAN) LIMITED</v>
          </cell>
          <cell r="J312" t="str">
            <v>BANK</v>
          </cell>
          <cell r="K312" t="str">
            <v>Mr. 
HPA M/s Al Baraka Bank ( Pakistan ) Limited 
Mr. Ali Nasir 
HPA M/s Al Baraka Bank ( Pakistan ) Limited</v>
          </cell>
          <cell r="L312" t="str">
            <v>D</v>
          </cell>
          <cell r="M312" t="str">
            <v>09000221</v>
          </cell>
          <cell r="N312">
            <v>100</v>
          </cell>
          <cell r="P312" t="str">
            <v>H # 72 E-1 Johar Town Lahore</v>
          </cell>
          <cell r="Q312" t="str">
            <v>11000003</v>
          </cell>
          <cell r="R312" t="str">
            <v>SUZUKI ALTO VX EURO II</v>
          </cell>
          <cell r="S312" t="str">
            <v>2022</v>
          </cell>
          <cell r="T312" t="str">
            <v>AMK-426</v>
          </cell>
          <cell r="U312" t="str">
            <v>256504</v>
          </cell>
          <cell r="V312" t="str">
            <v>1156534</v>
          </cell>
          <cell r="Y312">
            <v>1211250</v>
          </cell>
          <cell r="Z312">
            <v>26104</v>
          </cell>
          <cell r="AA312">
            <v>30281</v>
          </cell>
        </row>
        <row r="313">
          <cell r="B313" t="str">
            <v>KHI/HO/D/MO/PC COMP/C/102191/10/11/2024</v>
          </cell>
          <cell r="D313" t="str">
            <v>REN</v>
          </cell>
          <cell r="E313" t="str">
            <v>19/11/24</v>
          </cell>
          <cell r="F313" t="str">
            <v>15/11/2024</v>
          </cell>
          <cell r="G313" t="str">
            <v>14/11/2025</v>
          </cell>
          <cell r="H313" t="str">
            <v>08004499</v>
          </cell>
          <cell r="I313" t="str">
            <v>AL BARAKA BANK (PAKISTAN) LIMITED</v>
          </cell>
          <cell r="J313" t="str">
            <v>BANK</v>
          </cell>
          <cell r="K313" t="str">
            <v>Mr. 
HPA M/s Al Baraka Bank ( Pakistan ) Limited 
Mr. Sabir Ali 
HPA M/s Al Baraka Bank ( Pakistan ) Limited</v>
          </cell>
          <cell r="L313" t="str">
            <v>D</v>
          </cell>
          <cell r="M313" t="str">
            <v>09000221</v>
          </cell>
          <cell r="N313">
            <v>100</v>
          </cell>
          <cell r="P313" t="str">
            <v>Husnain Park H No 42 Block Fazal Muhallah  Street Ittefaq Town</v>
          </cell>
          <cell r="Q313" t="str">
            <v>11000003</v>
          </cell>
          <cell r="R313" t="str">
            <v>SUZUKI ALTO</v>
          </cell>
          <cell r="S313" t="str">
            <v>2022</v>
          </cell>
          <cell r="T313" t="str">
            <v>AML-875</v>
          </cell>
          <cell r="U313" t="str">
            <v>256255</v>
          </cell>
          <cell r="V313" t="str">
            <v>H1156288</v>
          </cell>
          <cell r="Y313">
            <v>1473050</v>
          </cell>
          <cell r="Z313">
            <v>31747</v>
          </cell>
          <cell r="AA313">
            <v>36826</v>
          </cell>
        </row>
        <row r="314">
          <cell r="B314" t="str">
            <v>KHI/HO/D/MO/PC COMP/C/102191/11/11/2024</v>
          </cell>
          <cell r="D314" t="str">
            <v>REN</v>
          </cell>
          <cell r="E314" t="str">
            <v>19/11/24</v>
          </cell>
          <cell r="F314" t="str">
            <v>17/11/2024</v>
          </cell>
          <cell r="G314" t="str">
            <v>16/11/2025</v>
          </cell>
          <cell r="H314" t="str">
            <v>08004499</v>
          </cell>
          <cell r="I314" t="str">
            <v>AL BARAKA BANK (PAKISTAN) LIMITED</v>
          </cell>
          <cell r="J314" t="str">
            <v>BANK</v>
          </cell>
          <cell r="K314" t="str">
            <v>Mr. 
HPA M/s Al Baraka Bank ( Pakistan ) Limited 
Mr. Muhammad Shakeel
HPA M/s Al Baraka Bank ( Pakistan ) Limited</v>
          </cell>
          <cell r="L314" t="str">
            <v>D</v>
          </cell>
          <cell r="M314" t="str">
            <v>09000221</v>
          </cell>
          <cell r="N314">
            <v>100</v>
          </cell>
          <cell r="P314" t="str">
            <v>Near Doosako Chowk Saggian Bypass Road Lahore</v>
          </cell>
          <cell r="Q314" t="str">
            <v>11000003</v>
          </cell>
          <cell r="R314" t="str">
            <v>SUZUKI Swift GLX CVT</v>
          </cell>
          <cell r="S314" t="str">
            <v>2022</v>
          </cell>
          <cell r="T314" t="str">
            <v>ANE-387</v>
          </cell>
          <cell r="U314" t="str">
            <v>MR1010166</v>
          </cell>
          <cell r="V314" t="str">
            <v>S00110168</v>
          </cell>
          <cell r="Y314">
            <v>2464150</v>
          </cell>
          <cell r="Z314">
            <v>53107</v>
          </cell>
          <cell r="AA314">
            <v>61604</v>
          </cell>
        </row>
        <row r="315">
          <cell r="B315" t="str">
            <v>KHI/HO/D/MO/PC COMP/C/102191/12/11/2024</v>
          </cell>
          <cell r="D315" t="str">
            <v>REN</v>
          </cell>
          <cell r="E315" t="str">
            <v>19/11/24</v>
          </cell>
          <cell r="F315" t="str">
            <v>17/11/2024</v>
          </cell>
          <cell r="G315" t="str">
            <v>16/11/2025</v>
          </cell>
          <cell r="H315" t="str">
            <v>08004499</v>
          </cell>
          <cell r="I315" t="str">
            <v>AL BARAKA BANK (PAKISTAN) LIMITED</v>
          </cell>
          <cell r="J315" t="str">
            <v>BANK</v>
          </cell>
          <cell r="K315" t="str">
            <v>Mr. 
HPA M/s Al Baraka Bank ( Pakistan ) Limited 
Mr. Moeez Shahbaz 
HPA M/s Al Baraka Bank ( Pakistan ) Limited</v>
          </cell>
          <cell r="L315" t="str">
            <v>D</v>
          </cell>
          <cell r="M315" t="str">
            <v>09000221</v>
          </cell>
          <cell r="N315">
            <v>100</v>
          </cell>
          <cell r="P315" t="str">
            <v>H # 104 C T &amp; T Abpara H. Society Raiwind Road Lahore</v>
          </cell>
          <cell r="Q315" t="str">
            <v>11000003</v>
          </cell>
          <cell r="R315" t="str">
            <v>SUZUKI ALTO VXL AGS E-2</v>
          </cell>
          <cell r="S315" t="str">
            <v>2020</v>
          </cell>
          <cell r="T315" t="str">
            <v>AAZ-669</v>
          </cell>
          <cell r="U315" t="str">
            <v>6R143354</v>
          </cell>
          <cell r="V315" t="str">
            <v>1043372</v>
          </cell>
          <cell r="X315" t="str">
            <v>3</v>
          </cell>
          <cell r="Y315">
            <v>1253750</v>
          </cell>
          <cell r="Z315">
            <v>21617</v>
          </cell>
          <cell r="AA315">
            <v>25075</v>
          </cell>
        </row>
        <row r="316">
          <cell r="B316" t="str">
            <v>KHI/HO/D/MO/PC COMP/C/102191/13/11/2024</v>
          </cell>
          <cell r="D316" t="str">
            <v>REN</v>
          </cell>
          <cell r="E316" t="str">
            <v>19/11/24</v>
          </cell>
          <cell r="F316" t="str">
            <v>17/11/2024</v>
          </cell>
          <cell r="G316" t="str">
            <v>16/11/2025</v>
          </cell>
          <cell r="H316" t="str">
            <v>08004499</v>
          </cell>
          <cell r="I316" t="str">
            <v>AL BARAKA BANK (PAKISTAN) LIMITED</v>
          </cell>
          <cell r="J316" t="str">
            <v>BANK</v>
          </cell>
          <cell r="K316" t="str">
            <v>Mr. 
HPA M/s Al Baraka Bank ( Pakistan ) Limited 
Mr. Nasir Mehmood 
HPA M/s Al Baraka Bank ( Pakistan ) Limited</v>
          </cell>
          <cell r="L316" t="str">
            <v>D</v>
          </cell>
          <cell r="M316" t="str">
            <v>09000221</v>
          </cell>
          <cell r="N316">
            <v>100</v>
          </cell>
          <cell r="P316" t="str">
            <v>H # 5 Plaza Building 2nd Floor Main 100 ft Road Commercial Sher Shah Colony Lahore</v>
          </cell>
          <cell r="Q316" t="str">
            <v>11000003</v>
          </cell>
          <cell r="R316" t="str">
            <v>SUZUKI ALTO VX EURO II</v>
          </cell>
          <cell r="S316" t="str">
            <v>2022</v>
          </cell>
          <cell r="T316" t="str">
            <v>AMM-603</v>
          </cell>
          <cell r="U316" t="str">
            <v>256379</v>
          </cell>
          <cell r="V316" t="str">
            <v>1156418</v>
          </cell>
          <cell r="X316" t="str">
            <v>3</v>
          </cell>
          <cell r="Y316">
            <v>1110100</v>
          </cell>
          <cell r="Z316">
            <v>16748</v>
          </cell>
          <cell r="AA316">
            <v>19427</v>
          </cell>
        </row>
        <row r="317">
          <cell r="B317" t="str">
            <v>KHI/HO/D/MO/PC COMP/C/102191/14/11/2024</v>
          </cell>
          <cell r="D317" t="str">
            <v>REN</v>
          </cell>
          <cell r="E317" t="str">
            <v>19/11/24</v>
          </cell>
          <cell r="F317" t="str">
            <v>18/11/2024</v>
          </cell>
          <cell r="G317" t="str">
            <v>17/11/2025</v>
          </cell>
          <cell r="H317" t="str">
            <v>08004499</v>
          </cell>
          <cell r="I317" t="str">
            <v>AL BARAKA BANK (PAKISTAN) LIMITED</v>
          </cell>
          <cell r="J317" t="str">
            <v>BANK</v>
          </cell>
          <cell r="K317" t="str">
            <v>Mr. 
HPA M/s Al Baraka Bank ( Pakistan ) Limited 
Mr. Rehman Irshad 
HPA M/s Al Baraka Bank ( Pakistan ) Limited</v>
          </cell>
          <cell r="L317" t="str">
            <v>D</v>
          </cell>
          <cell r="M317" t="str">
            <v>09000221</v>
          </cell>
          <cell r="N317">
            <v>100</v>
          </cell>
          <cell r="P317" t="str">
            <v>H # 402 Street 10-A Mohallah Dhoke Sayedan Kamalabad Rawalpindi</v>
          </cell>
          <cell r="Q317" t="str">
            <v>11000003</v>
          </cell>
          <cell r="R317" t="str">
            <v>SUZUKI ALTO VXR E-2</v>
          </cell>
          <cell r="S317" t="str">
            <v>2022</v>
          </cell>
          <cell r="U317" t="str">
            <v>256854</v>
          </cell>
          <cell r="V317" t="str">
            <v>156705</v>
          </cell>
          <cell r="X317" t="str">
            <v>3</v>
          </cell>
          <cell r="Y317">
            <v>1473050</v>
          </cell>
          <cell r="Z317">
            <v>31747</v>
          </cell>
          <cell r="AA317">
            <v>36826</v>
          </cell>
        </row>
        <row r="318">
          <cell r="B318" t="str">
            <v>KHI/HO/D/MO/PC COMP/C/102191/15/11/2024</v>
          </cell>
          <cell r="D318" t="str">
            <v>REN</v>
          </cell>
          <cell r="E318" t="str">
            <v>19/11/24</v>
          </cell>
          <cell r="F318" t="str">
            <v>21/11/2024</v>
          </cell>
          <cell r="G318" t="str">
            <v>20/11/2025</v>
          </cell>
          <cell r="H318" t="str">
            <v>08004499</v>
          </cell>
          <cell r="I318" t="str">
            <v>AL BARAKA BANK (PAKISTAN) LIMITED</v>
          </cell>
          <cell r="J318" t="str">
            <v>BANK</v>
          </cell>
          <cell r="K318" t="str">
            <v>Mr. 
HPA M/s Al Baraka Bank ( Pakistan ) Limited 
Ms.  Farhat Zahoor  
HPA M/s Al Baraka Bank ( Pakistan ) Limited</v>
          </cell>
          <cell r="L318" t="str">
            <v>D</v>
          </cell>
          <cell r="M318" t="str">
            <v>09000221</v>
          </cell>
          <cell r="N318">
            <v>100</v>
          </cell>
          <cell r="P318" t="str">
            <v>H # 2134 Street 16 Sector I-10/1 Islamabad</v>
          </cell>
          <cell r="Q318" t="str">
            <v>11000003</v>
          </cell>
          <cell r="R318" t="str">
            <v>SUZUKI ALTO VXL AGS E-2</v>
          </cell>
          <cell r="S318" t="str">
            <v>2022</v>
          </cell>
          <cell r="T318" t="str">
            <v>BAH-543</v>
          </cell>
          <cell r="U318" t="str">
            <v>257213</v>
          </cell>
          <cell r="V318" t="str">
            <v>1156938</v>
          </cell>
          <cell r="X318" t="str">
            <v>3</v>
          </cell>
          <cell r="Y318">
            <v>1658350</v>
          </cell>
          <cell r="Z318">
            <v>35741</v>
          </cell>
          <cell r="AA318">
            <v>41459</v>
          </cell>
        </row>
        <row r="319">
          <cell r="B319" t="str">
            <v>KHI/HO/D/MO/PC COMP/C/102191/16/11/2024</v>
          </cell>
          <cell r="D319" t="str">
            <v>REN</v>
          </cell>
          <cell r="E319" t="str">
            <v>19/11/24</v>
          </cell>
          <cell r="F319" t="str">
            <v>21/11/2024</v>
          </cell>
          <cell r="G319" t="str">
            <v>20/11/2025</v>
          </cell>
          <cell r="H319" t="str">
            <v>08004499</v>
          </cell>
          <cell r="I319" t="str">
            <v>AL BARAKA BANK (PAKISTAN) LIMITED</v>
          </cell>
          <cell r="J319" t="str">
            <v>BANK</v>
          </cell>
          <cell r="K319" t="str">
            <v>Mr. 
HPA M/s Al Baraka Bank ( Pakistan ) Limited 
Mr. Waqas Ali Qureshi   
HPA M/s Al Baraka Bank ( Pakistan ) Limited</v>
          </cell>
          <cell r="L319" t="str">
            <v>D</v>
          </cell>
          <cell r="M319" t="str">
            <v>09000221</v>
          </cell>
          <cell r="N319">
            <v>100</v>
          </cell>
          <cell r="P319" t="str">
            <v>H # 6 Street 18 Jalal Colony Sanda Khurd  Syed Street Lahore</v>
          </cell>
          <cell r="Q319" t="str">
            <v>11000003</v>
          </cell>
          <cell r="R319" t="str">
            <v>SUZUKI ALTO VXR E-2</v>
          </cell>
          <cell r="S319" t="str">
            <v>2022</v>
          </cell>
          <cell r="T319" t="str">
            <v>AMU-492</v>
          </cell>
          <cell r="U319" t="str">
            <v>255783</v>
          </cell>
          <cell r="V319" t="str">
            <v>1155799</v>
          </cell>
          <cell r="X319" t="str">
            <v>3</v>
          </cell>
          <cell r="Y319">
            <v>1473050</v>
          </cell>
          <cell r="Z319">
            <v>31747</v>
          </cell>
          <cell r="AA319">
            <v>36826</v>
          </cell>
        </row>
        <row r="320">
          <cell r="B320" t="str">
            <v>KHI/HO/D/MO/PC COMP/C/102191/17/11/2024</v>
          </cell>
          <cell r="D320" t="str">
            <v>REN</v>
          </cell>
          <cell r="E320" t="str">
            <v>19/11/24</v>
          </cell>
          <cell r="F320" t="str">
            <v>21/11/2024</v>
          </cell>
          <cell r="G320" t="str">
            <v>20/11/2025</v>
          </cell>
          <cell r="H320" t="str">
            <v>08004499</v>
          </cell>
          <cell r="I320" t="str">
            <v>AL BARAKA BANK (PAKISTAN) LIMITED</v>
          </cell>
          <cell r="J320" t="str">
            <v>BANK</v>
          </cell>
          <cell r="K320" t="str">
            <v>Mr. 
HPA M/s Al Baraka Bank ( Pakistan ) Limited 
Mr. Ehsan Ahmed    
HPA M/s Al Baraka Bank ( Pakistan ) Limited</v>
          </cell>
          <cell r="L320" t="str">
            <v>D</v>
          </cell>
          <cell r="M320" t="str">
            <v>09000221</v>
          </cell>
          <cell r="N320">
            <v>100</v>
          </cell>
          <cell r="P320" t="str">
            <v>H # 8 Mohallah INT Center Sector G-7/1 Islamabad</v>
          </cell>
          <cell r="Q320" t="str">
            <v>11000003</v>
          </cell>
          <cell r="R320" t="str">
            <v>SUZUKI ALTO VXL AGS E-2</v>
          </cell>
          <cell r="S320" t="str">
            <v>2022</v>
          </cell>
          <cell r="U320" t="str">
            <v>258246</v>
          </cell>
          <cell r="V320" t="str">
            <v>1158257</v>
          </cell>
          <cell r="X320" t="str">
            <v>3</v>
          </cell>
          <cell r="Y320">
            <v>1658350</v>
          </cell>
          <cell r="Z320">
            <v>35741</v>
          </cell>
          <cell r="AA320">
            <v>41459</v>
          </cell>
        </row>
        <row r="321">
          <cell r="B321" t="str">
            <v>KHI/HO/D/MO/PC COMP/C/102191/18/11/2024</v>
          </cell>
          <cell r="D321" t="str">
            <v>REN</v>
          </cell>
          <cell r="E321" t="str">
            <v>19/11/24</v>
          </cell>
          <cell r="F321" t="str">
            <v>21/11/2024</v>
          </cell>
          <cell r="G321" t="str">
            <v>20/11/2025</v>
          </cell>
          <cell r="H321" t="str">
            <v>08004499</v>
          </cell>
          <cell r="I321" t="str">
            <v>AL BARAKA BANK (PAKISTAN) LIMITED</v>
          </cell>
          <cell r="J321" t="str">
            <v>BANK</v>
          </cell>
          <cell r="K321" t="str">
            <v>Mr. 
HPA M/s Al Baraka Bank ( Pakistan ) Limited 
Mr. Shahzad Ahmad Butt
HPA M/s Al Baraka Bank ( Pakistan ) Limited</v>
          </cell>
          <cell r="L321" t="str">
            <v>D</v>
          </cell>
          <cell r="M321" t="str">
            <v>09000221</v>
          </cell>
          <cell r="N321">
            <v>100</v>
          </cell>
          <cell r="P321" t="str">
            <v>H No 934 Ravi Block Allama Iqbal Town Lahore</v>
          </cell>
          <cell r="Q321" t="str">
            <v>11000003</v>
          </cell>
          <cell r="R321" t="str">
            <v>SUZUKI WAGON R VXL</v>
          </cell>
          <cell r="S321" t="str">
            <v>2019</v>
          </cell>
          <cell r="T321" t="str">
            <v>LEC-19-8771</v>
          </cell>
          <cell r="U321" t="str">
            <v>PK10B185016</v>
          </cell>
          <cell r="V321" t="str">
            <v>PK10085020</v>
          </cell>
          <cell r="Y321">
            <v>1487500</v>
          </cell>
          <cell r="Z321">
            <v>19236</v>
          </cell>
          <cell r="AA321">
            <v>22313</v>
          </cell>
        </row>
        <row r="322">
          <cell r="B322" t="str">
            <v>KHI/HO/D/MO/PC COMP/C/102191/19/11/2024</v>
          </cell>
          <cell r="D322" t="str">
            <v>REN</v>
          </cell>
          <cell r="E322" t="str">
            <v>19/11/24</v>
          </cell>
          <cell r="F322" t="str">
            <v>21/11/2024</v>
          </cell>
          <cell r="G322" t="str">
            <v>20/11/2025</v>
          </cell>
          <cell r="H322" t="str">
            <v>08004499</v>
          </cell>
          <cell r="I322" t="str">
            <v>AL BARAKA BANK (PAKISTAN) LIMITED</v>
          </cell>
          <cell r="J322" t="str">
            <v>BANK</v>
          </cell>
          <cell r="K322" t="str">
            <v>Mr. 
HPA M/s Al Baraka Bank ( Pakistan ) Limited 
Mr. Abdul Ghaffar
HPA M/s Al Baraka Bank ( Pakistan ) Limited</v>
          </cell>
          <cell r="L322" t="str">
            <v>D</v>
          </cell>
          <cell r="M322" t="str">
            <v>09000221</v>
          </cell>
          <cell r="N322">
            <v>100</v>
          </cell>
          <cell r="P322" t="str">
            <v>H No 2334-6 Mohallah Agha Pura OS Delhi Gate Multan</v>
          </cell>
          <cell r="Q322" t="str">
            <v>11000003</v>
          </cell>
          <cell r="R322" t="str">
            <v>CHANGAN KARVAAN PLUS</v>
          </cell>
          <cell r="S322" t="str">
            <v>2022</v>
          </cell>
          <cell r="T322" t="str">
            <v>AMJ-793</v>
          </cell>
          <cell r="U322" t="str">
            <v>504273</v>
          </cell>
          <cell r="V322" t="str">
            <v>1016789</v>
          </cell>
          <cell r="Y322">
            <v>2137750</v>
          </cell>
          <cell r="Z322">
            <v>46072</v>
          </cell>
          <cell r="AA322">
            <v>53444</v>
          </cell>
        </row>
        <row r="323">
          <cell r="B323" t="str">
            <v>KHI/HO/D/MO/PC COMP/C/102191/20/11/2024</v>
          </cell>
          <cell r="D323" t="str">
            <v>REN</v>
          </cell>
          <cell r="E323" t="str">
            <v>19/11/24</v>
          </cell>
          <cell r="F323" t="str">
            <v>24/11/2024</v>
          </cell>
          <cell r="G323" t="str">
            <v>23/11/2025</v>
          </cell>
          <cell r="H323" t="str">
            <v>08004499</v>
          </cell>
          <cell r="I323" t="str">
            <v>AL BARAKA BANK (PAKISTAN) LIMITED</v>
          </cell>
          <cell r="J323" t="str">
            <v>BANK</v>
          </cell>
          <cell r="K323" t="str">
            <v>Mr. 
HPA M/s Al Baraka Bank ( Pakistan ) Limited 
Mr. Muhammad Khubaib  
HPA M/s Al Baraka Bank ( Pakistan ) Limited</v>
          </cell>
          <cell r="L323" t="str">
            <v>D</v>
          </cell>
          <cell r="M323" t="str">
            <v>09000221</v>
          </cell>
          <cell r="N323">
            <v>100</v>
          </cell>
          <cell r="P323" t="str">
            <v>H # 9 Street 60 Purana Dharampura Lahore</v>
          </cell>
          <cell r="Q323" t="str">
            <v>11000003</v>
          </cell>
          <cell r="R323" t="str">
            <v>SUZUKI ALTO VXR E-2</v>
          </cell>
          <cell r="S323" t="str">
            <v>2022</v>
          </cell>
          <cell r="T323" t="str">
            <v>ANJ-022</v>
          </cell>
          <cell r="U323" t="str">
            <v>256303</v>
          </cell>
          <cell r="V323" t="str">
            <v>1156248</v>
          </cell>
          <cell r="X323" t="str">
            <v>3</v>
          </cell>
          <cell r="Y323">
            <v>1679600</v>
          </cell>
          <cell r="Z323">
            <v>28958</v>
          </cell>
          <cell r="AA323">
            <v>33592</v>
          </cell>
        </row>
        <row r="324">
          <cell r="B324" t="str">
            <v>KHI/HO/D/MO/PC COMP/C/102191/21/11/2024</v>
          </cell>
          <cell r="D324" t="str">
            <v>REN</v>
          </cell>
          <cell r="E324" t="str">
            <v>19/11/24</v>
          </cell>
          <cell r="F324" t="str">
            <v>25/11/2024</v>
          </cell>
          <cell r="G324" t="str">
            <v>24/11/2025</v>
          </cell>
          <cell r="H324" t="str">
            <v>08004499</v>
          </cell>
          <cell r="I324" t="str">
            <v>AL BARAKA BANK (PAKISTAN) LIMITED</v>
          </cell>
          <cell r="J324" t="str">
            <v>BANK</v>
          </cell>
          <cell r="K324" t="str">
            <v>Mr. 
HPA M/s Al Baraka Bank ( Pakistan ) Limited 
Ms. Shazina John
HPA M/s Al Baraka Bank ( Pakistan ) Limited</v>
          </cell>
          <cell r="L324" t="str">
            <v>D</v>
          </cell>
          <cell r="M324" t="str">
            <v>09000221</v>
          </cell>
          <cell r="N324">
            <v>100</v>
          </cell>
          <cell r="P324" t="str">
            <v>H No 49 Near Sos Village Sharnoor Colony GT Road Rawalpindi</v>
          </cell>
          <cell r="Q324" t="str">
            <v>11000003</v>
          </cell>
          <cell r="R324" t="str">
            <v>SUZUKI WAGON R VXL</v>
          </cell>
          <cell r="S324" t="str">
            <v>2022</v>
          </cell>
          <cell r="T324" t="str">
            <v>DZ-213</v>
          </cell>
          <cell r="U324" t="str">
            <v>105141</v>
          </cell>
          <cell r="V324" t="str">
            <v>10005137</v>
          </cell>
          <cell r="X324" t="str">
            <v>04</v>
          </cell>
          <cell r="Y324">
            <v>1487500</v>
          </cell>
          <cell r="Z324">
            <v>25647</v>
          </cell>
          <cell r="AA324">
            <v>29750</v>
          </cell>
        </row>
        <row r="325">
          <cell r="B325" t="str">
            <v>KHI/HO/D/MO/PC COMP/C/102191/22/11/2024</v>
          </cell>
          <cell r="D325" t="str">
            <v>REN</v>
          </cell>
          <cell r="E325" t="str">
            <v>19/11/24</v>
          </cell>
          <cell r="F325" t="str">
            <v>25/11/2024</v>
          </cell>
          <cell r="G325" t="str">
            <v>24/11/2025</v>
          </cell>
          <cell r="H325" t="str">
            <v>08004499</v>
          </cell>
          <cell r="I325" t="str">
            <v>AL BARAKA BANK (PAKISTAN) LIMITED</v>
          </cell>
          <cell r="J325" t="str">
            <v>BANK</v>
          </cell>
          <cell r="K325" t="str">
            <v>Mr. 
HPA M/s Al Baraka Bank ( Pakistan ) Limited 
Ms. Sadia Nadeem
HPA M/s Al Baraka Bank ( Pakistan ) Limited</v>
          </cell>
          <cell r="L325" t="str">
            <v>D</v>
          </cell>
          <cell r="M325" t="str">
            <v>09000221</v>
          </cell>
          <cell r="N325">
            <v>100</v>
          </cell>
          <cell r="P325" t="str">
            <v>H No 11 Street 31 Jinnah Garden Islamabad</v>
          </cell>
          <cell r="Q325" t="str">
            <v>11000003</v>
          </cell>
          <cell r="R325" t="str">
            <v>SUZUKI WAGON R VXL</v>
          </cell>
          <cell r="S325" t="str">
            <v>2022</v>
          </cell>
          <cell r="T325" t="str">
            <v>BAY-541</v>
          </cell>
          <cell r="U325" t="str">
            <v>240557</v>
          </cell>
          <cell r="V325" t="str">
            <v>10140568</v>
          </cell>
          <cell r="X325" t="str">
            <v>5</v>
          </cell>
          <cell r="Y325">
            <v>2179400</v>
          </cell>
          <cell r="Z325">
            <v>37576</v>
          </cell>
          <cell r="AA325">
            <v>43588</v>
          </cell>
        </row>
        <row r="326">
          <cell r="B326" t="str">
            <v>KHI/HO/D/MO/PC COMP/C/102191/23/11/2024</v>
          </cell>
          <cell r="D326" t="str">
            <v>REN</v>
          </cell>
          <cell r="E326" t="str">
            <v>19/11/24</v>
          </cell>
          <cell r="F326" t="str">
            <v>28/11/2024</v>
          </cell>
          <cell r="G326" t="str">
            <v>27/11/2025</v>
          </cell>
          <cell r="H326" t="str">
            <v>08004499</v>
          </cell>
          <cell r="I326" t="str">
            <v>AL BARAKA BANK (PAKISTAN) LIMITED</v>
          </cell>
          <cell r="J326" t="str">
            <v>BANK</v>
          </cell>
          <cell r="K326" t="str">
            <v>Mr. 
HPA M/s Al Baraka Bank ( Pakistan ) Limited 
Mr. Daud Sarwar
HPA M/s Al Baraka Bank ( Pakistan ) Limited</v>
          </cell>
          <cell r="L326" t="str">
            <v>D</v>
          </cell>
          <cell r="M326" t="str">
            <v>09000221</v>
          </cell>
          <cell r="N326">
            <v>100</v>
          </cell>
          <cell r="P326" t="str">
            <v>H-314/2 St 3 Siddiqui Lane Gulistan Colony Rawalpindi</v>
          </cell>
          <cell r="Q326" t="str">
            <v>11000003</v>
          </cell>
          <cell r="R326" t="str">
            <v>HONDA CIVIC VTI</v>
          </cell>
          <cell r="S326" t="str">
            <v>2018</v>
          </cell>
          <cell r="T326" t="str">
            <v>AKU-021</v>
          </cell>
          <cell r="U326" t="str">
            <v>2941344</v>
          </cell>
          <cell r="V326" t="str">
            <v>044773</v>
          </cell>
          <cell r="Y326">
            <v>3400000</v>
          </cell>
          <cell r="Z326">
            <v>43965</v>
          </cell>
          <cell r="AA326">
            <v>51000</v>
          </cell>
        </row>
        <row r="327">
          <cell r="B327" t="str">
            <v>KHI/HO/D/MO/PC COMP/C/102191/24/11/2024</v>
          </cell>
          <cell r="D327" t="str">
            <v>REN</v>
          </cell>
          <cell r="E327" t="str">
            <v>19/11/24</v>
          </cell>
          <cell r="F327" t="str">
            <v>28/11/2024</v>
          </cell>
          <cell r="G327" t="str">
            <v>27/11/2025</v>
          </cell>
          <cell r="H327" t="str">
            <v>08004499</v>
          </cell>
          <cell r="I327" t="str">
            <v>AL BARAKA BANK (PAKISTAN) LIMITED</v>
          </cell>
          <cell r="J327" t="str">
            <v>BANK</v>
          </cell>
          <cell r="K327" t="str">
            <v>Mr. 
HPA M/s Al Baraka Bank ( Pakistan ) Limited 
Ms. Sumeira Nadir
HPA M/s Al Baraka Bank ( Pakistan ) Limited</v>
          </cell>
          <cell r="L327" t="str">
            <v>D</v>
          </cell>
          <cell r="M327" t="str">
            <v>09000221</v>
          </cell>
          <cell r="N327">
            <v>100</v>
          </cell>
          <cell r="P327" t="str">
            <v>H No 428 St No 10 Block B Askari 10 Lahore</v>
          </cell>
          <cell r="Q327" t="str">
            <v>11000003</v>
          </cell>
          <cell r="R327" t="str">
            <v>SUZUKI Swift GLX CVT</v>
          </cell>
          <cell r="S327" t="str">
            <v>2022</v>
          </cell>
          <cell r="T327" t="str">
            <v>AMM-502</v>
          </cell>
          <cell r="U327" t="str">
            <v>1011182</v>
          </cell>
          <cell r="V327" t="str">
            <v>00111194</v>
          </cell>
          <cell r="Y327">
            <v>2464150</v>
          </cell>
          <cell r="Z327">
            <v>53107</v>
          </cell>
          <cell r="AA327">
            <v>61604</v>
          </cell>
        </row>
        <row r="328">
          <cell r="B328" t="str">
            <v>KHI/HO/D/MO/PC COMP/C/102191/25/11/2024</v>
          </cell>
          <cell r="D328" t="str">
            <v>REN</v>
          </cell>
          <cell r="E328" t="str">
            <v>19/11/24</v>
          </cell>
          <cell r="F328" t="str">
            <v>29/11/2024</v>
          </cell>
          <cell r="G328" t="str">
            <v>28/11/2025</v>
          </cell>
          <cell r="H328" t="str">
            <v>08004499</v>
          </cell>
          <cell r="I328" t="str">
            <v>AL BARAKA BANK (PAKISTAN) LIMITED</v>
          </cell>
          <cell r="J328" t="str">
            <v>BANK</v>
          </cell>
          <cell r="K328" t="str">
            <v>Mr. 
HPA M/s Al Baraka Bank ( Pakistan ) Limited 
Ms. Shahida Parveen
HPA M/s Al Baraka Bank ( Pakistan ) Limited</v>
          </cell>
          <cell r="L328" t="str">
            <v>D</v>
          </cell>
          <cell r="M328" t="str">
            <v>09000221</v>
          </cell>
          <cell r="N328">
            <v>100</v>
          </cell>
          <cell r="P328" t="str">
            <v>H NO B-1963 Street No 02 Mohalla Muslim Town Rawalpindi</v>
          </cell>
          <cell r="Q328" t="str">
            <v>11000003</v>
          </cell>
          <cell r="R328" t="str">
            <v>SUZUKI ALTO VXL</v>
          </cell>
          <cell r="S328" t="str">
            <v>2019</v>
          </cell>
          <cell r="T328" t="str">
            <v>LEA-3290</v>
          </cell>
          <cell r="U328" t="str">
            <v>118761</v>
          </cell>
          <cell r="V328" t="str">
            <v>1018775</v>
          </cell>
          <cell r="X328" t="str">
            <v>05</v>
          </cell>
          <cell r="Y328">
            <v>1827500</v>
          </cell>
          <cell r="Z328">
            <v>31509</v>
          </cell>
          <cell r="AA328">
            <v>36550</v>
          </cell>
        </row>
        <row r="329">
          <cell r="B329" t="str">
            <v>KHI/HO/D/MO/PC COMP/C/102191/26/11/2024</v>
          </cell>
          <cell r="D329" t="str">
            <v>REN</v>
          </cell>
          <cell r="E329" t="str">
            <v>19/11/24</v>
          </cell>
          <cell r="F329" t="str">
            <v>29/11/2024</v>
          </cell>
          <cell r="G329" t="str">
            <v>28/11/2025</v>
          </cell>
          <cell r="H329" t="str">
            <v>08004499</v>
          </cell>
          <cell r="I329" t="str">
            <v>AL BARAKA BANK (PAKISTAN) LIMITED</v>
          </cell>
          <cell r="J329" t="str">
            <v>BANK</v>
          </cell>
          <cell r="K329" t="str">
            <v>Mr. 
HPA M/s Al Baraka Bank ( Pakistan ) Limited 
Mr. Muhammad Bilal
HPA M/s Al Baraka Bank ( Pakistan ) Limited</v>
          </cell>
          <cell r="L329" t="str">
            <v>D</v>
          </cell>
          <cell r="M329" t="str">
            <v>09000221</v>
          </cell>
          <cell r="N329">
            <v>100</v>
          </cell>
          <cell r="P329" t="str">
            <v>H No 2 St 5 Scheme 2 Bara Dari Road Shahdara Lahore</v>
          </cell>
          <cell r="Q329" t="str">
            <v>11000003</v>
          </cell>
          <cell r="R329" t="str">
            <v>TOYOTA COROLLA GLI M/T 1.</v>
          </cell>
          <cell r="S329" t="str">
            <v>2016</v>
          </cell>
          <cell r="T329" t="str">
            <v>LEA-16-8138</v>
          </cell>
          <cell r="U329" t="str">
            <v>Z393525</v>
          </cell>
          <cell r="V329" t="str">
            <v>R4062138</v>
          </cell>
          <cell r="Y329">
            <v>2380000</v>
          </cell>
          <cell r="Z329">
            <v>41035</v>
          </cell>
          <cell r="AA329">
            <v>47600</v>
          </cell>
        </row>
        <row r="330">
          <cell r="B330" t="str">
            <v>KHI/HO/D/MO/PC COMP/C/102191/27/11/2024</v>
          </cell>
          <cell r="D330" t="str">
            <v>REN</v>
          </cell>
          <cell r="E330" t="str">
            <v>19/11/24</v>
          </cell>
          <cell r="F330" t="str">
            <v>29/11/2024</v>
          </cell>
          <cell r="G330" t="str">
            <v>28/11/2025</v>
          </cell>
          <cell r="H330" t="str">
            <v>08004499</v>
          </cell>
          <cell r="I330" t="str">
            <v>AL BARAKA BANK (PAKISTAN) LIMITED</v>
          </cell>
          <cell r="J330" t="str">
            <v>BANK</v>
          </cell>
          <cell r="K330" t="str">
            <v>Mr. 
HPA M/s Al Baraka Bank ( Pakistan ) Limited 
Mr. Waseem Raza
HPA M/s Al Baraka Bank ( Pakistan ) Limit</v>
          </cell>
          <cell r="L330" t="str">
            <v>D</v>
          </cell>
          <cell r="M330" t="str">
            <v>09000221</v>
          </cell>
          <cell r="N330">
            <v>100</v>
          </cell>
          <cell r="P330" t="str">
            <v>H NO 150 D Block Gulshan Lahore</v>
          </cell>
          <cell r="Q330" t="str">
            <v>11000003</v>
          </cell>
          <cell r="R330" t="str">
            <v>SUZUKI CULTUS</v>
          </cell>
          <cell r="S330" t="str">
            <v>2022</v>
          </cell>
          <cell r="T330" t="str">
            <v>AMK-924</v>
          </cell>
          <cell r="U330" t="str">
            <v>203186</v>
          </cell>
          <cell r="V330" t="str">
            <v>10103171</v>
          </cell>
          <cell r="Y330">
            <v>2550000</v>
          </cell>
          <cell r="Z330">
            <v>43965</v>
          </cell>
          <cell r="AA330">
            <v>51000</v>
          </cell>
        </row>
        <row r="331">
          <cell r="B331" t="str">
            <v>KHI/HO/D/MO/PC COMP/C/102191/28/11/2024</v>
          </cell>
          <cell r="D331" t="str">
            <v>REN</v>
          </cell>
          <cell r="E331" t="str">
            <v>19/11/24</v>
          </cell>
          <cell r="F331" t="str">
            <v>29/11/2024</v>
          </cell>
          <cell r="G331" t="str">
            <v>28/11/2025</v>
          </cell>
          <cell r="H331" t="str">
            <v>08004499</v>
          </cell>
          <cell r="I331" t="str">
            <v>AL BARAKA BANK (PAKISTAN) LIMITED</v>
          </cell>
          <cell r="J331" t="str">
            <v>BANK</v>
          </cell>
          <cell r="K331" t="str">
            <v>Mr. 
HPA M/s Al Baraka Bank ( Pakistan ) Limited 
Mr. Naeem Aslam
HPA M/s Al Baraka Bank ( Pakistan ) Limited</v>
          </cell>
          <cell r="L331" t="str">
            <v>D</v>
          </cell>
          <cell r="M331" t="str">
            <v>09000221</v>
          </cell>
          <cell r="N331">
            <v>100</v>
          </cell>
          <cell r="P331" t="str">
            <v>H No 293/3 Moh Old CIA Staff Colony Khawaja Wala Chowk Lodhran</v>
          </cell>
          <cell r="Q331" t="str">
            <v>11000003</v>
          </cell>
          <cell r="R331" t="str">
            <v>SUZUKI ALTO</v>
          </cell>
          <cell r="S331" t="str">
            <v>2022</v>
          </cell>
          <cell r="T331" t="str">
            <v>AML-515</v>
          </cell>
          <cell r="U331" t="str">
            <v>6R256431</v>
          </cell>
          <cell r="V331" t="str">
            <v>6H1156434</v>
          </cell>
          <cell r="Y331">
            <v>1679600</v>
          </cell>
          <cell r="Z331">
            <v>28958</v>
          </cell>
          <cell r="AA331">
            <v>33592</v>
          </cell>
        </row>
        <row r="332">
          <cell r="B332" t="str">
            <v>KHI/HO/D/MO/PC COMP/C/102191/29/11/2024</v>
          </cell>
          <cell r="D332" t="str">
            <v>REN</v>
          </cell>
          <cell r="E332" t="str">
            <v>19/11/24</v>
          </cell>
          <cell r="F332" t="str">
            <v>29/11/2024</v>
          </cell>
          <cell r="G332" t="str">
            <v>28/11/2025</v>
          </cell>
          <cell r="H332" t="str">
            <v>08004499</v>
          </cell>
          <cell r="I332" t="str">
            <v>AL BARAKA BANK (PAKISTAN) LIMITED</v>
          </cell>
          <cell r="J332" t="str">
            <v>BANK</v>
          </cell>
          <cell r="K332" t="str">
            <v>Mr. 
HPA M/s Al Baraka Bank ( Pakistan ) Limited 
Mr. Usman Shaukat 
HPA M/s Al Baraka Bank ( Pakistan ) Limited</v>
          </cell>
          <cell r="L332" t="str">
            <v>D</v>
          </cell>
          <cell r="M332" t="str">
            <v>09000221</v>
          </cell>
          <cell r="N332">
            <v>100</v>
          </cell>
          <cell r="P332" t="str">
            <v>H No 182-A-1 St No 4 Cavalry Ground Lahore Cantt</v>
          </cell>
          <cell r="Q332" t="str">
            <v>11000003</v>
          </cell>
          <cell r="R332" t="str">
            <v>HONDA BRV - S</v>
          </cell>
          <cell r="S332" t="str">
            <v>2019</v>
          </cell>
          <cell r="T332" t="str">
            <v>AMD-845</v>
          </cell>
          <cell r="U332" t="str">
            <v>13513958</v>
          </cell>
          <cell r="V332" t="str">
            <v>R013970</v>
          </cell>
          <cell r="Y332">
            <v>3485000</v>
          </cell>
          <cell r="Z332">
            <v>45064</v>
          </cell>
          <cell r="AA332">
            <v>52275</v>
          </cell>
        </row>
        <row r="333">
          <cell r="B333" t="str">
            <v>KHI/HO/D/MO/PC COMP/C/102191/30/11/2024</v>
          </cell>
          <cell r="D333" t="str">
            <v>REN</v>
          </cell>
          <cell r="E333" t="str">
            <v>19/11/24</v>
          </cell>
          <cell r="F333" t="str">
            <v>30/11/2024</v>
          </cell>
          <cell r="G333" t="str">
            <v>29/11/2025</v>
          </cell>
          <cell r="H333" t="str">
            <v>08004499</v>
          </cell>
          <cell r="I333" t="str">
            <v>AL BARAKA BANK (PAKISTAN) LIMITED</v>
          </cell>
          <cell r="J333" t="str">
            <v>BANK</v>
          </cell>
          <cell r="K333" t="str">
            <v>Mr. 
HPA M/s Al Baraka Bank ( Pakistan ) Limited 
Mr. Hassan Shakeel
HPA M/s Al Baraka Bank ( Pakistan ) Limited</v>
          </cell>
          <cell r="L333" t="str">
            <v>D</v>
          </cell>
          <cell r="M333" t="str">
            <v>09000221</v>
          </cell>
          <cell r="N333">
            <v>100</v>
          </cell>
          <cell r="P333" t="str">
            <v>H No 718- A Block Gulshan Ravi Lahore</v>
          </cell>
          <cell r="Q333" t="str">
            <v>11000003</v>
          </cell>
          <cell r="R333" t="str">
            <v>HONDA CIVIC</v>
          </cell>
          <cell r="S333" t="str">
            <v>2017</v>
          </cell>
          <cell r="T333" t="str">
            <v>LEA-17-6300</v>
          </cell>
          <cell r="U333" t="str">
            <v>12906604</v>
          </cell>
          <cell r="V333" t="str">
            <v>9674</v>
          </cell>
          <cell r="Y333">
            <v>3230000</v>
          </cell>
          <cell r="Z333">
            <v>41767</v>
          </cell>
          <cell r="AA333">
            <v>48450</v>
          </cell>
        </row>
        <row r="334">
          <cell r="B334" t="str">
            <v>KHI/HO/D/MO/PC COMP/C/102191/31/11/2024</v>
          </cell>
          <cell r="D334" t="str">
            <v>REN</v>
          </cell>
          <cell r="E334" t="str">
            <v>19/11/24</v>
          </cell>
          <cell r="F334" t="str">
            <v>30/11/2024</v>
          </cell>
          <cell r="G334" t="str">
            <v>29/11/2025</v>
          </cell>
          <cell r="H334" t="str">
            <v>08004499</v>
          </cell>
          <cell r="I334" t="str">
            <v>AL BARAKA BANK (PAKISTAN) LIMITED</v>
          </cell>
          <cell r="J334" t="str">
            <v>BANK</v>
          </cell>
          <cell r="K334" t="str">
            <v>Mr. 
HPA M/s Al Baraka Bank ( Pakistan ) Limited 
Mr. Umair Waheed
HPA M/s Al Baraka Bank ( Pakistan ) Limited</v>
          </cell>
          <cell r="L334" t="str">
            <v>D</v>
          </cell>
          <cell r="M334" t="str">
            <v>09000221</v>
          </cell>
          <cell r="N334">
            <v>100</v>
          </cell>
          <cell r="P334" t="str">
            <v>793-C Ravi Block Allama Iqbal Town Lahore</v>
          </cell>
          <cell r="Q334" t="str">
            <v>11000003</v>
          </cell>
          <cell r="R334" t="str">
            <v>SUZUKI WAGON R VXL</v>
          </cell>
          <cell r="S334" t="str">
            <v>2018</v>
          </cell>
          <cell r="T334" t="str">
            <v>LE-19-5412</v>
          </cell>
          <cell r="U334" t="str">
            <v>B176125</v>
          </cell>
          <cell r="V334" t="str">
            <v>PK10076124</v>
          </cell>
          <cell r="Y334">
            <v>1445000</v>
          </cell>
          <cell r="Z334">
            <v>24914</v>
          </cell>
          <cell r="AA334">
            <v>28900</v>
          </cell>
        </row>
        <row r="335">
          <cell r="B335" t="str">
            <v>KHI/HO/D/MO/PC COMP/C/102191/32/11/2024</v>
          </cell>
          <cell r="D335" t="str">
            <v>REN</v>
          </cell>
          <cell r="E335" t="str">
            <v>19/11/24</v>
          </cell>
          <cell r="F335" t="str">
            <v>30/11/2024</v>
          </cell>
          <cell r="G335" t="str">
            <v>29/11/2025</v>
          </cell>
          <cell r="H335" t="str">
            <v>08004499</v>
          </cell>
          <cell r="I335" t="str">
            <v>AL BARAKA BANK (PAKISTAN) LIMITED</v>
          </cell>
          <cell r="J335" t="str">
            <v>BANK</v>
          </cell>
          <cell r="K335" t="str">
            <v>Mr. 
HPA M/s Al Baraka Bank ( Pakistan ) Limited 
Mr. Tanzeel Ur Rahman Azad
HPA M/s Al Baraka Bank ( Pakistan ) Limited</v>
          </cell>
          <cell r="L335" t="str">
            <v>D</v>
          </cell>
          <cell r="M335" t="str">
            <v>09000221</v>
          </cell>
          <cell r="N335">
            <v>100</v>
          </cell>
          <cell r="P335" t="str">
            <v>7A upper Mall Lahore</v>
          </cell>
          <cell r="Q335" t="str">
            <v>11000003</v>
          </cell>
          <cell r="R335" t="str">
            <v>SUZUKI WAGON R VXL</v>
          </cell>
          <cell r="S335" t="str">
            <v>2022</v>
          </cell>
          <cell r="T335" t="str">
            <v>AMH-022</v>
          </cell>
          <cell r="U335" t="str">
            <v>242232</v>
          </cell>
          <cell r="V335" t="str">
            <v>10142228</v>
          </cell>
          <cell r="Y335">
            <v>2179400</v>
          </cell>
          <cell r="Z335">
            <v>37576</v>
          </cell>
          <cell r="AA335">
            <v>43588</v>
          </cell>
        </row>
        <row r="336">
          <cell r="B336" t="str">
            <v>KHI/HO/D/MO/PC COMP/C/102191/33/11/2024</v>
          </cell>
          <cell r="D336" t="str">
            <v>REN</v>
          </cell>
          <cell r="E336" t="str">
            <v>19/11/24</v>
          </cell>
          <cell r="F336" t="str">
            <v>30/11/2024</v>
          </cell>
          <cell r="G336" t="str">
            <v>29/11/2025</v>
          </cell>
          <cell r="H336" t="str">
            <v>08004499</v>
          </cell>
          <cell r="I336" t="str">
            <v>AL BARAKA BANK (PAKISTAN) LIMITED</v>
          </cell>
          <cell r="J336" t="str">
            <v>BANK</v>
          </cell>
          <cell r="K336" t="str">
            <v>Mr. 
HPA M/s Al Baraka Bank ( Pakistan ) Limited 
Mr. Muhammad Arqam Iqbal
HPA M/s Al Baraka Bank ( Pakistan ) Limited</v>
          </cell>
          <cell r="L336" t="str">
            <v>D</v>
          </cell>
          <cell r="M336" t="str">
            <v>09000221</v>
          </cell>
          <cell r="N336">
            <v>100</v>
          </cell>
          <cell r="P336" t="str">
            <v>H No 469 Street 48 Sector G-10 / 4 Islamabad</v>
          </cell>
          <cell r="Q336" t="str">
            <v>11000003</v>
          </cell>
          <cell r="R336" t="str">
            <v>CHANGAN KARVAAN PLUS</v>
          </cell>
          <cell r="S336" t="str">
            <v>2022</v>
          </cell>
          <cell r="U336" t="str">
            <v>502585</v>
          </cell>
          <cell r="V336" t="str">
            <v>1016896</v>
          </cell>
          <cell r="Y336">
            <v>2142000</v>
          </cell>
          <cell r="Z336">
            <v>36931</v>
          </cell>
          <cell r="AA336">
            <v>42840</v>
          </cell>
        </row>
        <row r="337">
          <cell r="B337" t="str">
            <v>KHI/HO/D/MO/PC COMP/C/102191/34/11/2024</v>
          </cell>
          <cell r="D337" t="str">
            <v>REN</v>
          </cell>
          <cell r="E337" t="str">
            <v>19/11/24</v>
          </cell>
          <cell r="F337" t="str">
            <v>30/11/2024</v>
          </cell>
          <cell r="G337" t="str">
            <v>29/11/2025</v>
          </cell>
          <cell r="H337" t="str">
            <v>08004499</v>
          </cell>
          <cell r="I337" t="str">
            <v>AL BARAKA BANK (PAKISTAN) LIMITED</v>
          </cell>
          <cell r="J337" t="str">
            <v>BANK</v>
          </cell>
          <cell r="K337" t="str">
            <v>Mr. 
HPA M/s Al Baraka Bank ( Pakistan ) Limited 
Mr. Adnan Dilawar 
HPA M/s Al Baraka Bank ( Pakistan ) Limited</v>
          </cell>
          <cell r="L337" t="str">
            <v>D</v>
          </cell>
          <cell r="M337" t="str">
            <v>09000221</v>
          </cell>
          <cell r="N337">
            <v>100</v>
          </cell>
          <cell r="P337" t="str">
            <v>H NO CS-1 Green Park City Quaidabad Landhi Karachi</v>
          </cell>
          <cell r="Q337" t="str">
            <v>11000003</v>
          </cell>
          <cell r="R337" t="str">
            <v>HONDA CIVIC VTI</v>
          </cell>
          <cell r="S337" t="str">
            <v>2017</v>
          </cell>
          <cell r="T337" t="str">
            <v>BNM-205</v>
          </cell>
          <cell r="U337" t="str">
            <v>12918709</v>
          </cell>
          <cell r="V337" t="str">
            <v>22088</v>
          </cell>
          <cell r="Y337">
            <v>3060000</v>
          </cell>
          <cell r="Z337">
            <v>39569</v>
          </cell>
          <cell r="AA337">
            <v>45900</v>
          </cell>
        </row>
        <row r="338">
          <cell r="B338" t="str">
            <v>KHI/HO/D/MO/PC COMP/C/102191/35/11/2024</v>
          </cell>
          <cell r="D338" t="str">
            <v>REN</v>
          </cell>
          <cell r="E338" t="str">
            <v>19/11/24</v>
          </cell>
          <cell r="F338" t="str">
            <v>30/11/2024</v>
          </cell>
          <cell r="G338" t="str">
            <v>29/11/2025</v>
          </cell>
          <cell r="H338" t="str">
            <v>08004499</v>
          </cell>
          <cell r="I338" t="str">
            <v>AL BARAKA BANK (PAKISTAN) LIMITED</v>
          </cell>
          <cell r="J338" t="str">
            <v>BANK</v>
          </cell>
          <cell r="K338" t="str">
            <v>Mr. 
HPA M/s Al Baraka Bank ( Pakistan ) Limited 
Mr. Nisar Ahmad Baig
HPA M/s Al Baraka Bank ( Pakistan ) Limited</v>
          </cell>
          <cell r="L338" t="str">
            <v>D</v>
          </cell>
          <cell r="M338" t="str">
            <v>09000221</v>
          </cell>
          <cell r="N338">
            <v>100</v>
          </cell>
          <cell r="P338" t="str">
            <v>2nd Floor 94-B Venus Housing Society 17 KM Feroz Pur Road Lahore</v>
          </cell>
          <cell r="Q338" t="str">
            <v>11000003</v>
          </cell>
          <cell r="R338" t="str">
            <v>TOYOTA COROLLA ALTIS GRAN</v>
          </cell>
          <cell r="S338" t="str">
            <v>2016</v>
          </cell>
          <cell r="T338" t="str">
            <v>LEA-16-3855</v>
          </cell>
          <cell r="U338" t="str">
            <v>Q313629</v>
          </cell>
          <cell r="V338" t="str">
            <v>7012656</v>
          </cell>
          <cell r="Y338">
            <v>2720000</v>
          </cell>
          <cell r="Z338">
            <v>46897</v>
          </cell>
          <cell r="AA338">
            <v>54400</v>
          </cell>
        </row>
        <row r="339">
          <cell r="B339" t="str">
            <v>KHI/HO/D/MO/PC COMP/C/102191/36/11/2024</v>
          </cell>
          <cell r="D339" t="str">
            <v>REN</v>
          </cell>
          <cell r="E339" t="str">
            <v>19/11/24</v>
          </cell>
          <cell r="F339" t="str">
            <v>30/11/2024</v>
          </cell>
          <cell r="G339" t="str">
            <v>29/11/2025</v>
          </cell>
          <cell r="H339" t="str">
            <v>08004499</v>
          </cell>
          <cell r="I339" t="str">
            <v>AL BARAKA BANK (PAKISTAN) LIMITED</v>
          </cell>
          <cell r="J339" t="str">
            <v>BANK</v>
          </cell>
          <cell r="K339" t="str">
            <v>Mr. 
HPA M/s Al Baraka Bank ( Pakistan ) Limited 
Mr. Danish Ali
HPA M/s Al Baraka Bank ( Pakistan ) Limited</v>
          </cell>
          <cell r="L339" t="str">
            <v>D</v>
          </cell>
          <cell r="M339" t="str">
            <v>09000221</v>
          </cell>
          <cell r="N339">
            <v>100</v>
          </cell>
          <cell r="P339" t="str">
            <v>H NO 88 St No 06-A Block Al Falah Town Lahore</v>
          </cell>
          <cell r="Q339" t="str">
            <v>11000003</v>
          </cell>
          <cell r="R339" t="str">
            <v>SUZUKI ALTO</v>
          </cell>
          <cell r="S339" t="str">
            <v>2020</v>
          </cell>
          <cell r="T339" t="str">
            <v>LEB-20-9587</v>
          </cell>
          <cell r="U339" t="str">
            <v>6R130166</v>
          </cell>
          <cell r="V339" t="str">
            <v>1030152</v>
          </cell>
          <cell r="Y339">
            <v>1870000</v>
          </cell>
          <cell r="Z339">
            <v>32242</v>
          </cell>
          <cell r="AA339">
            <v>37400</v>
          </cell>
        </row>
        <row r="340">
          <cell r="B340" t="str">
            <v>KHI/HO/D/MO/PC COMP/C/102191/37/11/2024</v>
          </cell>
          <cell r="D340" t="str">
            <v>REN</v>
          </cell>
          <cell r="E340" t="str">
            <v>19/11/24</v>
          </cell>
          <cell r="F340" t="str">
            <v>30/11/2024</v>
          </cell>
          <cell r="G340" t="str">
            <v>29/11/2025</v>
          </cell>
          <cell r="H340" t="str">
            <v>08004499</v>
          </cell>
          <cell r="I340" t="str">
            <v>AL BARAKA BANK (PAKISTAN) LIMITED</v>
          </cell>
          <cell r="J340" t="str">
            <v>BANK</v>
          </cell>
          <cell r="K340" t="str">
            <v>Mr. 
HPA M/s Al Baraka Bank ( Pakistan ) Limited 
Mr. Zohaib Ahmed
HPA M/s Al Baraka Bank ( Pakistan ) Limited</v>
          </cell>
          <cell r="L340" t="str">
            <v>D</v>
          </cell>
          <cell r="M340" t="str">
            <v>09000221</v>
          </cell>
          <cell r="N340">
            <v>100</v>
          </cell>
          <cell r="P340" t="str">
            <v>H No 85 Block K-1 Wapda Town Lahore</v>
          </cell>
          <cell r="Q340" t="str">
            <v>11000003</v>
          </cell>
          <cell r="R340" t="str">
            <v>TOYOTA COROLLA ALTIS GRAN</v>
          </cell>
          <cell r="S340" t="str">
            <v>2018</v>
          </cell>
          <cell r="U340" t="str">
            <v>332748</v>
          </cell>
          <cell r="V340" t="str">
            <v>7031872</v>
          </cell>
          <cell r="Y340">
            <v>3315000</v>
          </cell>
          <cell r="Z340">
            <v>42866</v>
          </cell>
          <cell r="AA340">
            <v>49725</v>
          </cell>
        </row>
        <row r="341">
          <cell r="B341" t="str">
            <v>KHI/HO/D/MO/PC COMP/C/102191/38/11/2024</v>
          </cell>
          <cell r="D341" t="str">
            <v>REN</v>
          </cell>
          <cell r="E341" t="str">
            <v>19/11/24</v>
          </cell>
          <cell r="F341" t="str">
            <v>30/11/2024</v>
          </cell>
          <cell r="G341" t="str">
            <v>29/11/2025</v>
          </cell>
          <cell r="H341" t="str">
            <v>08004499</v>
          </cell>
          <cell r="I341" t="str">
            <v>AL BARAKA BANK (PAKISTAN) LIMITED</v>
          </cell>
          <cell r="J341" t="str">
            <v>BANK</v>
          </cell>
          <cell r="K341" t="str">
            <v>Mr. 
HPA M/s Al Baraka Bank ( Pakistan ) Limited 
Mr. Raoof Khan
HPA M/s Al Baraka Bank ( Pakistan ) Limited</v>
          </cell>
          <cell r="L341" t="str">
            <v>D</v>
          </cell>
          <cell r="M341" t="str">
            <v>09000221</v>
          </cell>
          <cell r="N341">
            <v>100</v>
          </cell>
          <cell r="P341" t="str">
            <v>H No 09 Street 80 Sector G-113/1 Islamabad</v>
          </cell>
          <cell r="Q341" t="str">
            <v>11000003</v>
          </cell>
          <cell r="R341" t="str">
            <v>TOYOTA PRIUS</v>
          </cell>
          <cell r="S341" t="str">
            <v>2014</v>
          </cell>
          <cell r="T341" t="str">
            <v>AHG-518</v>
          </cell>
          <cell r="U341" t="str">
            <v>6180376</v>
          </cell>
          <cell r="V341" t="str">
            <v>1868305</v>
          </cell>
          <cell r="Y341">
            <v>3740000</v>
          </cell>
          <cell r="Z341">
            <v>48362</v>
          </cell>
          <cell r="AA341">
            <v>56100</v>
          </cell>
        </row>
        <row r="342">
          <cell r="B342" t="str">
            <v>KHI/HO/D/MO/PC COMP/C/102191/39/11/2024</v>
          </cell>
          <cell r="D342" t="str">
            <v>REN</v>
          </cell>
          <cell r="E342" t="str">
            <v>19/11/24</v>
          </cell>
          <cell r="F342" t="str">
            <v>30/11/2024</v>
          </cell>
          <cell r="G342" t="str">
            <v>29/11/2025</v>
          </cell>
          <cell r="H342" t="str">
            <v>08004499</v>
          </cell>
          <cell r="I342" t="str">
            <v>AL BARAKA BANK (PAKISTAN) LIMITED</v>
          </cell>
          <cell r="J342" t="str">
            <v>BANK</v>
          </cell>
          <cell r="K342" t="str">
            <v>Mr. 
HPA M/s Al Baraka Bank ( Pakistan ) Limited 
Mr. Adeel Ahmed 
HPA M/s Al Baraka Bank ( Pakistan ) Limited</v>
          </cell>
          <cell r="L342" t="str">
            <v>D</v>
          </cell>
          <cell r="M342" t="str">
            <v>09000221</v>
          </cell>
          <cell r="N342">
            <v>100</v>
          </cell>
          <cell r="P342" t="str">
            <v>H No 175 St No 04 Nisar Colony Faisalabad</v>
          </cell>
          <cell r="Q342" t="str">
            <v>11000003</v>
          </cell>
          <cell r="R342" t="str">
            <v>TOYOTA COROLLA ALTIS GRAN</v>
          </cell>
          <cell r="S342" t="str">
            <v>2018</v>
          </cell>
          <cell r="T342" t="str">
            <v>AKJ 15</v>
          </cell>
          <cell r="U342" t="str">
            <v>Q333307</v>
          </cell>
          <cell r="V342" t="str">
            <v>ZRE172R7032406</v>
          </cell>
          <cell r="X342" t="str">
            <v>3</v>
          </cell>
          <cell r="Y342">
            <v>3400000</v>
          </cell>
          <cell r="Z342">
            <v>43965</v>
          </cell>
          <cell r="AA342">
            <v>51000</v>
          </cell>
        </row>
        <row r="343">
          <cell r="B343" t="str">
            <v>KHI/HO/D/MO/PC COMP/C/102191/40/11/2024</v>
          </cell>
          <cell r="D343" t="str">
            <v>REN</v>
          </cell>
          <cell r="E343" t="str">
            <v>19/11/24</v>
          </cell>
          <cell r="F343" t="str">
            <v>30/11/2024</v>
          </cell>
          <cell r="G343" t="str">
            <v>29/11/2025</v>
          </cell>
          <cell r="H343" t="str">
            <v>08004499</v>
          </cell>
          <cell r="I343" t="str">
            <v>AL BARAKA BANK (PAKISTAN) LIMITED</v>
          </cell>
          <cell r="J343" t="str">
            <v>BANK</v>
          </cell>
          <cell r="K343" t="str">
            <v>Mr. 
HPA M/s Al Baraka Bank ( Pakistan ) Limited 
Mr. Awais Ali
HPA M/s Al Baraka Bank ( Pakistan ) Limited</v>
          </cell>
          <cell r="L343" t="str">
            <v>D</v>
          </cell>
          <cell r="M343" t="str">
            <v>09000221</v>
          </cell>
          <cell r="N343">
            <v>100</v>
          </cell>
          <cell r="P343" t="str">
            <v>PO Kahna Nau Raj Bola Tehsil Lahore Cantt</v>
          </cell>
          <cell r="Q343" t="str">
            <v>11000003</v>
          </cell>
          <cell r="R343" t="str">
            <v>SUZUKI CULTUS</v>
          </cell>
          <cell r="S343" t="str">
            <v>2018</v>
          </cell>
          <cell r="T343" t="str">
            <v>LE-18-8870</v>
          </cell>
          <cell r="U343" t="str">
            <v>114115</v>
          </cell>
          <cell r="V343" t="str">
            <v>10014117</v>
          </cell>
          <cell r="Y343">
            <v>1317500</v>
          </cell>
          <cell r="Z343">
            <v>22716</v>
          </cell>
          <cell r="AA343">
            <v>26350</v>
          </cell>
        </row>
        <row r="344">
          <cell r="B344" t="str">
            <v>KHI/HO/D/MO/PC COMP/C/102191/41/11/2024</v>
          </cell>
          <cell r="D344" t="str">
            <v>REN</v>
          </cell>
          <cell r="E344" t="str">
            <v>19/11/24</v>
          </cell>
          <cell r="F344" t="str">
            <v>30/11/2024</v>
          </cell>
          <cell r="G344" t="str">
            <v>29/11/2025</v>
          </cell>
          <cell r="H344" t="str">
            <v>08004499</v>
          </cell>
          <cell r="I344" t="str">
            <v>AL BARAKA BANK (PAKISTAN) LIMITED</v>
          </cell>
          <cell r="J344" t="str">
            <v>BANK</v>
          </cell>
          <cell r="K344" t="str">
            <v>Mr. 
HPA M/s Al Baraka Bank ( Pakistan ) Limited 
Mr. Farman Ullah 
HPA M/s Al Baraka Bank ( Pakistan ) Limited</v>
          </cell>
          <cell r="L344" t="str">
            <v>D</v>
          </cell>
          <cell r="M344" t="str">
            <v>09000221</v>
          </cell>
          <cell r="N344">
            <v>100</v>
          </cell>
          <cell r="P344" t="str">
            <v>H # 13 Shakeeb Street Defence Road Adyala Rawalpindi</v>
          </cell>
          <cell r="Q344" t="str">
            <v>11000003</v>
          </cell>
          <cell r="R344" t="str">
            <v>SUZUKI Swift GLX CVT</v>
          </cell>
          <cell r="S344" t="str">
            <v>2022</v>
          </cell>
          <cell r="T344" t="str">
            <v>AYX-387</v>
          </cell>
          <cell r="U344" t="str">
            <v>1004632</v>
          </cell>
          <cell r="V344" t="str">
            <v>104619</v>
          </cell>
          <cell r="X344" t="str">
            <v>3</v>
          </cell>
          <cell r="Y344">
            <v>3196000</v>
          </cell>
          <cell r="Z344">
            <v>41328</v>
          </cell>
          <cell r="AA344">
            <v>47940</v>
          </cell>
        </row>
        <row r="345">
          <cell r="B345" t="str">
            <v>KHI/HO/D/MO/PC COMP/C/102208/1/11/2024</v>
          </cell>
          <cell r="D345" t="str">
            <v>REN</v>
          </cell>
          <cell r="E345" t="str">
            <v>19/11/24</v>
          </cell>
          <cell r="F345" t="str">
            <v>04/11/2024</v>
          </cell>
          <cell r="G345" t="str">
            <v>03/11/2025</v>
          </cell>
          <cell r="H345" t="str">
            <v>08004499</v>
          </cell>
          <cell r="I345" t="str">
            <v>AL BARAKA BANK (PAKISTAN) LIMITED</v>
          </cell>
          <cell r="J345" t="str">
            <v>BANK</v>
          </cell>
          <cell r="K345" t="str">
            <v>HPA M/s. Al Baraka Bank (Pakistan) Limited
Mr. Mukhtar Ahmed 
HPA M/s. Al Baraka Bank (Pakistan) Limited</v>
          </cell>
          <cell r="L345" t="str">
            <v>D</v>
          </cell>
          <cell r="M345" t="str">
            <v>09000221</v>
          </cell>
          <cell r="N345">
            <v>100</v>
          </cell>
          <cell r="O345" t="str">
            <v>LAHORE</v>
          </cell>
          <cell r="P345" t="str">
            <v>House NO. 239 R Phase II DHA Lahore</v>
          </cell>
          <cell r="Q345" t="str">
            <v>11000003</v>
          </cell>
          <cell r="R345" t="str">
            <v>TOYOTA YARIS ATIV X 1.5 A</v>
          </cell>
          <cell r="S345" t="str">
            <v>2021</v>
          </cell>
          <cell r="U345" t="str">
            <v>39729</v>
          </cell>
          <cell r="V345" t="str">
            <v>9514839</v>
          </cell>
          <cell r="X345" t="str">
            <v>3</v>
          </cell>
          <cell r="Y345">
            <v>2346400</v>
          </cell>
          <cell r="Z345">
            <v>35398</v>
          </cell>
          <cell r="AA345">
            <v>41062</v>
          </cell>
        </row>
        <row r="346">
          <cell r="B346" t="str">
            <v>KHI/HO/D/MO/PC COMP/C/102208/2/11/2024</v>
          </cell>
          <cell r="D346" t="str">
            <v>REN</v>
          </cell>
          <cell r="E346" t="str">
            <v>19/11/24</v>
          </cell>
          <cell r="F346" t="str">
            <v>04/11/2024</v>
          </cell>
          <cell r="G346" t="str">
            <v>03/11/2025</v>
          </cell>
          <cell r="H346" t="str">
            <v>08004499</v>
          </cell>
          <cell r="I346" t="str">
            <v>AL BARAKA BANK (PAKISTAN) LIMITED</v>
          </cell>
          <cell r="J346" t="str">
            <v>BANK</v>
          </cell>
          <cell r="K346" t="str">
            <v>HPA M/s. Al Baraka Bank (Pakistan) Limited
Mr. Khalid Mehmood 
HPA M/s. Al Baraka Bank (Pakistan) Limited</v>
          </cell>
          <cell r="L346" t="str">
            <v>D</v>
          </cell>
          <cell r="M346" t="str">
            <v>09000221</v>
          </cell>
          <cell r="N346">
            <v>100</v>
          </cell>
          <cell r="O346" t="str">
            <v>LAHORE</v>
          </cell>
          <cell r="P346" t="str">
            <v>House No. 103-A Street 5 Al Rehman Garden Phase III Soter Mill Lahore</v>
          </cell>
          <cell r="Q346" t="str">
            <v>11000003</v>
          </cell>
          <cell r="R346" t="str">
            <v>SUZUKI ALTO VXL AGS E-2</v>
          </cell>
          <cell r="S346" t="str">
            <v>2021</v>
          </cell>
          <cell r="T346" t="str">
            <v>AFX-840</v>
          </cell>
          <cell r="U346" t="str">
            <v>6R191077</v>
          </cell>
          <cell r="V346" t="str">
            <v>H1090970</v>
          </cell>
          <cell r="X346" t="str">
            <v>3</v>
          </cell>
          <cell r="Y346">
            <v>1216800</v>
          </cell>
          <cell r="Z346">
            <v>26224</v>
          </cell>
          <cell r="AA346">
            <v>30420</v>
          </cell>
        </row>
        <row r="347">
          <cell r="B347" t="str">
            <v>KHI/HO/D/MO/PC COMP/C/102208/3/11/2024</v>
          </cell>
          <cell r="D347" t="str">
            <v>REN</v>
          </cell>
          <cell r="E347" t="str">
            <v>19/11/24</v>
          </cell>
          <cell r="F347" t="str">
            <v>04/11/2024</v>
          </cell>
          <cell r="G347" t="str">
            <v>03/11/2025</v>
          </cell>
          <cell r="H347" t="str">
            <v>08004499</v>
          </cell>
          <cell r="I347" t="str">
            <v>AL BARAKA BANK (PAKISTAN) LIMITED</v>
          </cell>
          <cell r="J347" t="str">
            <v>BANK</v>
          </cell>
          <cell r="K347" t="str">
            <v>HPA M/s. Al Baraka Bank (Pakistan) Limited
Mr. Malik Naveed Sarwar
HPA M/s. Al Baraka Bank (Pakistan) Limited</v>
          </cell>
          <cell r="L347" t="str">
            <v>D</v>
          </cell>
          <cell r="M347" t="str">
            <v>09000221</v>
          </cell>
          <cell r="N347">
            <v>100</v>
          </cell>
          <cell r="O347" t="str">
            <v>LAHORE</v>
          </cell>
          <cell r="P347" t="str">
            <v>Main Bazar Jamal Town Near Malik Hotel Kot Abdul Malik Sheikhupura Road Lahore</v>
          </cell>
          <cell r="Q347" t="str">
            <v>11000003</v>
          </cell>
          <cell r="R347" t="str">
            <v>TOYOTA COROLLA XLI 1.3</v>
          </cell>
          <cell r="S347" t="str">
            <v>2017</v>
          </cell>
          <cell r="T347" t="str">
            <v>LEE-17-8573</v>
          </cell>
          <cell r="U347" t="str">
            <v>Z48763</v>
          </cell>
          <cell r="V347" t="str">
            <v>4113804</v>
          </cell>
          <cell r="Y347">
            <v>1760000</v>
          </cell>
          <cell r="Z347">
            <v>26551</v>
          </cell>
          <cell r="AA347">
            <v>30800</v>
          </cell>
        </row>
        <row r="348">
          <cell r="B348" t="str">
            <v>KHI/HO/D/MO/PC COMP/C/102208/4/11/2024</v>
          </cell>
          <cell r="D348" t="str">
            <v>REN</v>
          </cell>
          <cell r="E348" t="str">
            <v>19/11/24</v>
          </cell>
          <cell r="F348" t="str">
            <v>05/11/2024</v>
          </cell>
          <cell r="G348" t="str">
            <v>04/11/2025</v>
          </cell>
          <cell r="H348" t="str">
            <v>08004499</v>
          </cell>
          <cell r="I348" t="str">
            <v>AL BARAKA BANK (PAKISTAN) LIMITED</v>
          </cell>
          <cell r="J348" t="str">
            <v>BANK</v>
          </cell>
          <cell r="K348" t="str">
            <v>HPA M/s. Al Baraka Bank (Pakistan) Limited
Mr. Haris Rehman Shamsi 
HPA M/s. Al Baraka Bank (Pakistan) Limited</v>
          </cell>
          <cell r="L348" t="str">
            <v>D</v>
          </cell>
          <cell r="M348" t="str">
            <v>09000221</v>
          </cell>
          <cell r="N348">
            <v>100</v>
          </cell>
          <cell r="O348" t="str">
            <v>LAHORE</v>
          </cell>
          <cell r="P348" t="str">
            <v>House No. 107 Mohallah Main Outfall Road Shant Nagar Lahore</v>
          </cell>
          <cell r="Q348" t="str">
            <v>11000003</v>
          </cell>
          <cell r="R348" t="str">
            <v>SUZUKI ALTO VXR E-2</v>
          </cell>
          <cell r="S348" t="str">
            <v>2021</v>
          </cell>
          <cell r="T348" t="str">
            <v>AHP-193</v>
          </cell>
          <cell r="U348" t="str">
            <v>190962</v>
          </cell>
          <cell r="V348" t="str">
            <v>1090974</v>
          </cell>
          <cell r="X348" t="str">
            <v>3</v>
          </cell>
          <cell r="Y348">
            <v>1068000</v>
          </cell>
          <cell r="Z348">
            <v>23017</v>
          </cell>
          <cell r="AA348">
            <v>26700</v>
          </cell>
        </row>
        <row r="349">
          <cell r="B349" t="str">
            <v>KHI/HO/D/MO/PC COMP/C/102208/5/11/2024</v>
          </cell>
          <cell r="D349" t="str">
            <v>REN</v>
          </cell>
          <cell r="E349" t="str">
            <v>19/11/24</v>
          </cell>
          <cell r="F349" t="str">
            <v>09/11/2024</v>
          </cell>
          <cell r="G349" t="str">
            <v>08/11/2025</v>
          </cell>
          <cell r="H349" t="str">
            <v>08004499</v>
          </cell>
          <cell r="I349" t="str">
            <v>AL BARAKA BANK (PAKISTAN) LIMITED</v>
          </cell>
          <cell r="J349" t="str">
            <v>BANK</v>
          </cell>
          <cell r="K349" t="str">
            <v>HPA M/s. Al Baraka Bank (Pakistan) Limited
Mr. Syed Zeeshan Ali 
HPA M/s. Al Baraka Bank (Pakistan) Limited</v>
          </cell>
          <cell r="L349" t="str">
            <v>D</v>
          </cell>
          <cell r="M349" t="str">
            <v>09000221</v>
          </cell>
          <cell r="N349">
            <v>100</v>
          </cell>
          <cell r="O349" t="str">
            <v>LAHORE</v>
          </cell>
          <cell r="P349" t="str">
            <v>H No 253 A1 ST No 08 Valancia Town Lahore</v>
          </cell>
          <cell r="Q349" t="str">
            <v>11000003</v>
          </cell>
          <cell r="R349" t="str">
            <v>SUZUKI ALTO VXR</v>
          </cell>
          <cell r="S349" t="str">
            <v>2021</v>
          </cell>
          <cell r="T349" t="str">
            <v>AHP-757</v>
          </cell>
          <cell r="U349" t="str">
            <v>189796</v>
          </cell>
          <cell r="V349" t="str">
            <v>1089797</v>
          </cell>
          <cell r="Y349">
            <v>1281800</v>
          </cell>
          <cell r="Z349">
            <v>19338</v>
          </cell>
          <cell r="AA349">
            <v>22432</v>
          </cell>
        </row>
        <row r="350">
          <cell r="B350" t="str">
            <v>KHI/HO/D/MO/PC COMP/C/102208/6/11/2024</v>
          </cell>
          <cell r="D350" t="str">
            <v>REN</v>
          </cell>
          <cell r="E350" t="str">
            <v>19/11/24</v>
          </cell>
          <cell r="F350" t="str">
            <v>09/11/2024</v>
          </cell>
          <cell r="G350" t="str">
            <v>08/11/2025</v>
          </cell>
          <cell r="H350" t="str">
            <v>08004499</v>
          </cell>
          <cell r="I350" t="str">
            <v>AL BARAKA BANK (PAKISTAN) LIMITED</v>
          </cell>
          <cell r="J350" t="str">
            <v>BANK</v>
          </cell>
          <cell r="K350" t="str">
            <v>HPA M/s. Al Baraka Bank (Pakistan) Limited
Mr. Ali Muhammad 
HPA M/s. Al Baraka Bank (Pakistan) Limited</v>
          </cell>
          <cell r="L350" t="str">
            <v>D</v>
          </cell>
          <cell r="M350" t="str">
            <v>09000221</v>
          </cell>
          <cell r="N350">
            <v>100</v>
          </cell>
          <cell r="O350" t="str">
            <v>KARACHI</v>
          </cell>
          <cell r="P350" t="str">
            <v>FL A 508 5th Floor Rado Hill View Appartment Block 16-A Gulstan e Johar Karachi</v>
          </cell>
          <cell r="Q350" t="str">
            <v>11000003</v>
          </cell>
          <cell r="R350" t="str">
            <v>SUZUKI ALTO</v>
          </cell>
          <cell r="S350" t="str">
            <v>2021</v>
          </cell>
          <cell r="T350" t="str">
            <v>BVG-190</v>
          </cell>
          <cell r="U350" t="str">
            <v>192847</v>
          </cell>
          <cell r="V350" t="str">
            <v>1092829</v>
          </cell>
          <cell r="Y350">
            <v>1206400</v>
          </cell>
          <cell r="Z350">
            <v>18200</v>
          </cell>
          <cell r="AA350">
            <v>21112</v>
          </cell>
        </row>
        <row r="351">
          <cell r="B351" t="str">
            <v>KHI/HO/D/MO/PC COMP/C/102208/7/11/2024</v>
          </cell>
          <cell r="D351" t="str">
            <v>REN</v>
          </cell>
          <cell r="E351" t="str">
            <v>19/11/24</v>
          </cell>
          <cell r="F351" t="str">
            <v>10/11/2024</v>
          </cell>
          <cell r="G351" t="str">
            <v>09/11/2025</v>
          </cell>
          <cell r="H351" t="str">
            <v>08004499</v>
          </cell>
          <cell r="I351" t="str">
            <v>AL BARAKA BANK (PAKISTAN) LIMITED</v>
          </cell>
          <cell r="J351" t="str">
            <v>BANK</v>
          </cell>
          <cell r="K351" t="str">
            <v>HPA M/s. Al Baraka Bank (Pakistan) Limited
Mr. Hashim Raza
HPA M/s. Al Baraka Bank (Pakistan) Limited</v>
          </cell>
          <cell r="L351" t="str">
            <v>D</v>
          </cell>
          <cell r="M351" t="str">
            <v>09000221</v>
          </cell>
          <cell r="N351">
            <v>100</v>
          </cell>
          <cell r="O351" t="str">
            <v>LAHORE</v>
          </cell>
          <cell r="P351" t="str">
            <v>H 91 B Pajpoot Town Near EME DHA Canal Road  Lahore</v>
          </cell>
          <cell r="Q351" t="str">
            <v>11000003</v>
          </cell>
          <cell r="R351" t="str">
            <v>TOYOTA COROLLA ALTIS GRAN</v>
          </cell>
          <cell r="S351" t="str">
            <v>2021</v>
          </cell>
          <cell r="T351" t="str">
            <v>AGG-110</v>
          </cell>
          <cell r="U351" t="str">
            <v>Q354150</v>
          </cell>
          <cell r="V351" t="str">
            <v>7053318</v>
          </cell>
          <cell r="Y351">
            <v>3138400</v>
          </cell>
          <cell r="Z351">
            <v>40583</v>
          </cell>
          <cell r="AA351">
            <v>47076</v>
          </cell>
        </row>
        <row r="352">
          <cell r="B352" t="str">
            <v>KHI/HO/D/MO/PC COMP/C/102208/8/11/2024</v>
          </cell>
          <cell r="D352" t="str">
            <v>REN</v>
          </cell>
          <cell r="E352" t="str">
            <v>19/11/24</v>
          </cell>
          <cell r="F352" t="str">
            <v>10/11/2024</v>
          </cell>
          <cell r="G352" t="str">
            <v>09/11/2025</v>
          </cell>
          <cell r="H352" t="str">
            <v>08004499</v>
          </cell>
          <cell r="I352" t="str">
            <v>AL BARAKA BANK (PAKISTAN) LIMITED</v>
          </cell>
          <cell r="J352" t="str">
            <v>BANK</v>
          </cell>
          <cell r="K352" t="str">
            <v>HPA M/s. Al Baraka Bank (Pakistan) Limited
Mr. Akhtar Ayub Khan
HPA M/s. Al Baraka Bank (Pakistan) Limited</v>
          </cell>
          <cell r="L352" t="str">
            <v>D</v>
          </cell>
          <cell r="M352" t="str">
            <v>09000221</v>
          </cell>
          <cell r="N352">
            <v>100</v>
          </cell>
          <cell r="O352" t="str">
            <v>LAHORE</v>
          </cell>
          <cell r="P352" t="str">
            <v>H No 626 ST No 14 Sector-XX Phase -03 DHA Lahore</v>
          </cell>
          <cell r="Q352" t="str">
            <v>11000003</v>
          </cell>
          <cell r="R352" t="str">
            <v>TOYOTA COROLLA ALTIS GRAN</v>
          </cell>
          <cell r="S352" t="str">
            <v>2021</v>
          </cell>
          <cell r="T352" t="str">
            <v>AGF-626</v>
          </cell>
          <cell r="U352" t="str">
            <v>352550</v>
          </cell>
          <cell r="V352" t="str">
            <v>7051779</v>
          </cell>
          <cell r="Y352">
            <v>3122400</v>
          </cell>
          <cell r="Z352">
            <v>40376</v>
          </cell>
          <cell r="AA352">
            <v>46836</v>
          </cell>
        </row>
        <row r="353">
          <cell r="B353" t="str">
            <v>KHI/HO/D/MO/PC COMP/C/102208/9/11/2024</v>
          </cell>
          <cell r="D353" t="str">
            <v>REN</v>
          </cell>
          <cell r="E353" t="str">
            <v>19/11/24</v>
          </cell>
          <cell r="F353" t="str">
            <v>11/11/2024</v>
          </cell>
          <cell r="G353" t="str">
            <v>10/11/2025</v>
          </cell>
          <cell r="H353" t="str">
            <v>08004499</v>
          </cell>
          <cell r="I353" t="str">
            <v>AL BARAKA BANK (PAKISTAN) LIMITED</v>
          </cell>
          <cell r="J353" t="str">
            <v>BANK</v>
          </cell>
          <cell r="K353" t="str">
            <v>HPA M/s. Al Baraka Bank (Pakistan) Limited
Mr. Syed Ameer Ul Hassan Shah
HPA M/s. Al Baraka Bank (Pakistan) Limited</v>
          </cell>
          <cell r="L353" t="str">
            <v>D</v>
          </cell>
          <cell r="M353" t="str">
            <v>09000221</v>
          </cell>
          <cell r="N353">
            <v>100</v>
          </cell>
          <cell r="O353" t="str">
            <v>SARGODHA</v>
          </cell>
          <cell r="P353" t="str">
            <v>Chak No 145-C B Tehsil &amp; Dist Sargodha</v>
          </cell>
          <cell r="Q353" t="str">
            <v>11000003</v>
          </cell>
          <cell r="R353" t="str">
            <v>HONDA CITY ASPIRE M/T</v>
          </cell>
          <cell r="S353" t="str">
            <v>2018</v>
          </cell>
          <cell r="T353" t="str">
            <v>AGS-019</v>
          </cell>
          <cell r="U353" t="str">
            <v>L15A79788666</v>
          </cell>
          <cell r="V353" t="str">
            <v>NFBGM2642JR217940</v>
          </cell>
          <cell r="X353" t="str">
            <v>5</v>
          </cell>
          <cell r="Y353">
            <v>1840000</v>
          </cell>
          <cell r="Z353">
            <v>27758</v>
          </cell>
          <cell r="AA353">
            <v>32200</v>
          </cell>
        </row>
        <row r="354">
          <cell r="B354" t="str">
            <v>KHI/HO/D/MO/PC COMP/C/102208/10/11/2024</v>
          </cell>
          <cell r="D354" t="str">
            <v>REN</v>
          </cell>
          <cell r="E354" t="str">
            <v>19/11/24</v>
          </cell>
          <cell r="F354" t="str">
            <v>11/11/2024</v>
          </cell>
          <cell r="G354" t="str">
            <v>10/11/2025</v>
          </cell>
          <cell r="H354" t="str">
            <v>08004499</v>
          </cell>
          <cell r="I354" t="str">
            <v>AL BARAKA BANK (PAKISTAN) LIMITED</v>
          </cell>
          <cell r="J354" t="str">
            <v>BANK</v>
          </cell>
          <cell r="K354" t="str">
            <v>HPA M/s. Al Baraka Bank (Pakistan) Limited
Mr. Muhammad Asif Haneef
HPA M/s. Al Baraka Bank (Pakistan) Limited</v>
          </cell>
          <cell r="L354" t="str">
            <v>D</v>
          </cell>
          <cell r="M354" t="str">
            <v>09000221</v>
          </cell>
          <cell r="N354">
            <v>100</v>
          </cell>
          <cell r="O354" t="str">
            <v>LAHORE</v>
          </cell>
          <cell r="P354" t="str">
            <v>H No 22-B Block Naz Town Valancia Town Lahore</v>
          </cell>
          <cell r="Q354" t="str">
            <v>11000003</v>
          </cell>
          <cell r="R354" t="str">
            <v>TOYOTA YARIS ATIV CVT</v>
          </cell>
          <cell r="S354" t="str">
            <v>2021</v>
          </cell>
          <cell r="T354" t="str">
            <v>ASS-167</v>
          </cell>
          <cell r="U354" t="str">
            <v>2A39451</v>
          </cell>
          <cell r="V354" t="str">
            <v>7024580</v>
          </cell>
          <cell r="Y354">
            <v>2162400</v>
          </cell>
          <cell r="Z354">
            <v>32623</v>
          </cell>
          <cell r="AA354">
            <v>37842</v>
          </cell>
        </row>
        <row r="355">
          <cell r="B355" t="str">
            <v>KHI/HO/D/MO/PC COMP/C/102208/11/11/2024</v>
          </cell>
          <cell r="D355" t="str">
            <v>REN</v>
          </cell>
          <cell r="E355" t="str">
            <v>19/11/24</v>
          </cell>
          <cell r="F355" t="str">
            <v>12/11/2024</v>
          </cell>
          <cell r="G355" t="str">
            <v>11/11/2025</v>
          </cell>
          <cell r="H355" t="str">
            <v>08004499</v>
          </cell>
          <cell r="I355" t="str">
            <v>AL BARAKA BANK (PAKISTAN) LIMITED</v>
          </cell>
          <cell r="J355" t="str">
            <v>BANK</v>
          </cell>
          <cell r="K355" t="str">
            <v>HPA M/s. Al Baraka Bank (Pakistan) Limited
Mr. Muhammad Usman
HPA M/s. Al Baraka Bank (Pakistan) Limited</v>
          </cell>
          <cell r="L355" t="str">
            <v>D</v>
          </cell>
          <cell r="M355" t="str">
            <v>09000221</v>
          </cell>
          <cell r="N355">
            <v>100</v>
          </cell>
          <cell r="O355" t="str">
            <v>GUJRANWALA</v>
          </cell>
          <cell r="P355" t="str">
            <v>Jami e Masjid Farooq e Azam Tokay Road H No 4 St No 2 Moh Islamabad Kamoki</v>
          </cell>
          <cell r="Q355" t="str">
            <v>11000003</v>
          </cell>
          <cell r="R355" t="str">
            <v>HONDA CITY 1.2 LS MT</v>
          </cell>
          <cell r="S355" t="str">
            <v>2021</v>
          </cell>
          <cell r="T355" t="str">
            <v>ADH-003</v>
          </cell>
          <cell r="U355" t="str">
            <v>L13Z17542478</v>
          </cell>
          <cell r="V355" t="str">
            <v>NFBGM1640LR265885</v>
          </cell>
          <cell r="X355" t="str">
            <v>5</v>
          </cell>
          <cell r="Y355">
            <v>2080000</v>
          </cell>
          <cell r="Z355">
            <v>31379</v>
          </cell>
          <cell r="AA355">
            <v>36400</v>
          </cell>
        </row>
        <row r="356">
          <cell r="B356" t="str">
            <v>KHI/HO/D/MO/PC COMP/C/102208/12/11/2024</v>
          </cell>
          <cell r="D356" t="str">
            <v>REN</v>
          </cell>
          <cell r="E356" t="str">
            <v>19/11/24</v>
          </cell>
          <cell r="F356" t="str">
            <v>19/11/2024</v>
          </cell>
          <cell r="G356" t="str">
            <v>18/11/2025</v>
          </cell>
          <cell r="H356" t="str">
            <v>08004499</v>
          </cell>
          <cell r="I356" t="str">
            <v>AL BARAKA BANK (PAKISTAN) LIMITED</v>
          </cell>
          <cell r="J356" t="str">
            <v>BANK</v>
          </cell>
          <cell r="K356" t="str">
            <v>HPA M/s. Al Baraka Bank (Pakistan) Limited
Mr. Muhammad Iqbal
HPA M/s. Al Baraka Bank (Pakistan) Limited</v>
          </cell>
          <cell r="L356" t="str">
            <v>D</v>
          </cell>
          <cell r="M356" t="str">
            <v>09000221</v>
          </cell>
          <cell r="N356">
            <v>100</v>
          </cell>
          <cell r="O356" t="str">
            <v>MARDAN</v>
          </cell>
          <cell r="P356" t="str">
            <v>Gairari P/O Johar Tehsil dagar Bunir</v>
          </cell>
          <cell r="Q356" t="str">
            <v>11000003</v>
          </cell>
          <cell r="R356" t="str">
            <v>HONDA CITY CVT ASPIRE A/T</v>
          </cell>
          <cell r="S356" t="str">
            <v>2021</v>
          </cell>
          <cell r="T356" t="str">
            <v>AVX-278</v>
          </cell>
          <cell r="U356" t="str">
            <v>81001482</v>
          </cell>
          <cell r="V356" t="str">
            <v>005613</v>
          </cell>
          <cell r="Y356">
            <v>2552000</v>
          </cell>
          <cell r="Z356">
            <v>55000</v>
          </cell>
          <cell r="AA356">
            <v>63800</v>
          </cell>
        </row>
        <row r="357">
          <cell r="B357" t="str">
            <v>KHI/HO/D/MO/PC COMP/C/102208/13/11/2024</v>
          </cell>
          <cell r="D357" t="str">
            <v>REN</v>
          </cell>
          <cell r="E357" t="str">
            <v>19/11/24</v>
          </cell>
          <cell r="F357" t="str">
            <v>11/11/2024</v>
          </cell>
          <cell r="G357" t="str">
            <v>10/11/2025</v>
          </cell>
          <cell r="H357" t="str">
            <v>08004499</v>
          </cell>
          <cell r="I357" t="str">
            <v>AL BARAKA BANK (PAKISTAN) LIMITED</v>
          </cell>
          <cell r="J357" t="str">
            <v>BANK</v>
          </cell>
          <cell r="K357" t="str">
            <v>HPA M/s. Al Baraka Bank (Pakistan) Limited
Mr. Allah Ditta Kiani 
HPA M/s. Al Baraka Bank (Pakistan) Limited</v>
          </cell>
          <cell r="L357" t="str">
            <v>D</v>
          </cell>
          <cell r="M357" t="str">
            <v>09000221</v>
          </cell>
          <cell r="N357">
            <v>100</v>
          </cell>
          <cell r="P357" t="str">
            <v>Flat no block noA-1 Aiwan e Saddar colony G-5 Islamabad</v>
          </cell>
          <cell r="Q357" t="str">
            <v>11000003</v>
          </cell>
          <cell r="R357" t="str">
            <v>SUZUKI MEHRAN VXR EURO-II</v>
          </cell>
          <cell r="S357" t="str">
            <v>2019</v>
          </cell>
          <cell r="T357" t="str">
            <v>ALX-910</v>
          </cell>
          <cell r="U357" t="str">
            <v>761271</v>
          </cell>
          <cell r="V357" t="str">
            <v>01299820</v>
          </cell>
          <cell r="Y357">
            <v>800000</v>
          </cell>
          <cell r="Z357">
            <v>12069</v>
          </cell>
          <cell r="AA357">
            <v>14000</v>
          </cell>
        </row>
        <row r="358">
          <cell r="B358" t="str">
            <v>KHI/HO/D/MO/PC COMP/C/102208/14/11/2024</v>
          </cell>
          <cell r="D358" t="str">
            <v>REN</v>
          </cell>
          <cell r="E358" t="str">
            <v>19/11/24</v>
          </cell>
          <cell r="F358" t="str">
            <v>12/11/2024</v>
          </cell>
          <cell r="G358" t="str">
            <v>11/11/2025</v>
          </cell>
          <cell r="H358" t="str">
            <v>08004499</v>
          </cell>
          <cell r="I358" t="str">
            <v>AL BARAKA BANK (PAKISTAN) LIMITED</v>
          </cell>
          <cell r="J358" t="str">
            <v>BANK</v>
          </cell>
          <cell r="K358" t="str">
            <v>HPA M/s. Al Baraka Bank (Pakistan) Limited
Mr. Hassan Shabbir
HPA M/s. Al Baraka Bank (Pakistan) Limited</v>
          </cell>
          <cell r="L358" t="str">
            <v>D</v>
          </cell>
          <cell r="M358" t="str">
            <v>09000221</v>
          </cell>
          <cell r="N358">
            <v>100</v>
          </cell>
          <cell r="O358" t="str">
            <v>LAHORE</v>
          </cell>
          <cell r="P358" t="str">
            <v>H No. 16  ST No 17 Lakshman Sing Ravi Road Lahore</v>
          </cell>
          <cell r="Q358" t="str">
            <v>11000003</v>
          </cell>
          <cell r="R358" t="str">
            <v>SUZUKI ALTO VXL AGS E-2</v>
          </cell>
          <cell r="S358" t="str">
            <v>2020</v>
          </cell>
          <cell r="T358" t="str">
            <v>ABK-183</v>
          </cell>
          <cell r="U358" t="str">
            <v>6R149047</v>
          </cell>
          <cell r="V358" t="str">
            <v>H1049030</v>
          </cell>
          <cell r="Y358">
            <v>1300000</v>
          </cell>
          <cell r="Z358">
            <v>19612</v>
          </cell>
          <cell r="AA358">
            <v>22750</v>
          </cell>
        </row>
        <row r="359">
          <cell r="B359" t="str">
            <v>KHI/HO/D/MO/PC COMP/C/102208/15/11/2024</v>
          </cell>
          <cell r="D359" t="str">
            <v>REN</v>
          </cell>
          <cell r="E359" t="str">
            <v>19/11/24</v>
          </cell>
          <cell r="F359" t="str">
            <v>12/11/2024</v>
          </cell>
          <cell r="G359" t="str">
            <v>11/11/2025</v>
          </cell>
          <cell r="H359" t="str">
            <v>08004499</v>
          </cell>
          <cell r="I359" t="str">
            <v>AL BARAKA BANK (PAKISTAN) LIMITED</v>
          </cell>
          <cell r="J359" t="str">
            <v>BANK</v>
          </cell>
          <cell r="K359" t="str">
            <v>HPA M/s. Al Baraka Bank (Pakistan) Limited
Mr. Salman Umer
HPA M/s. Al Baraka Bank (Pakistan) Limited</v>
          </cell>
          <cell r="L359" t="str">
            <v>D</v>
          </cell>
          <cell r="M359" t="str">
            <v>09000221</v>
          </cell>
          <cell r="N359">
            <v>100</v>
          </cell>
          <cell r="P359" t="str">
            <v>7-A QUEENS ROAD LAHORE</v>
          </cell>
          <cell r="Q359" t="str">
            <v>11000003</v>
          </cell>
          <cell r="R359" t="str">
            <v>HONDA CITY ASPIRE A/T</v>
          </cell>
          <cell r="S359" t="str">
            <v>2021</v>
          </cell>
          <cell r="U359" t="str">
            <v>Z81001435</v>
          </cell>
          <cell r="V359" t="str">
            <v>MR005578</v>
          </cell>
          <cell r="Y359">
            <v>2544000</v>
          </cell>
          <cell r="Z359">
            <v>38379</v>
          </cell>
          <cell r="AA359">
            <v>44520</v>
          </cell>
        </row>
        <row r="360">
          <cell r="B360" t="str">
            <v>KHI/HO/D/MO/PC COMP/C/102208/16/11/2024</v>
          </cell>
          <cell r="D360" t="str">
            <v>REN</v>
          </cell>
          <cell r="E360" t="str">
            <v>19/11/24</v>
          </cell>
          <cell r="F360" t="str">
            <v>15/11/2024</v>
          </cell>
          <cell r="G360" t="str">
            <v>14/11/2025</v>
          </cell>
          <cell r="H360" t="str">
            <v>08004499</v>
          </cell>
          <cell r="I360" t="str">
            <v>AL BARAKA BANK (PAKISTAN) LIMITED</v>
          </cell>
          <cell r="J360" t="str">
            <v>BANK</v>
          </cell>
          <cell r="K360" t="str">
            <v>HPA M/s. Al Baraka Bank (Pakistan) Limited
Mr. Abdul Salam
HPA M/s. Al Baraka Bank (Pakistan) Limited</v>
          </cell>
          <cell r="L360" t="str">
            <v>D</v>
          </cell>
          <cell r="M360" t="str">
            <v>09000221</v>
          </cell>
          <cell r="N360">
            <v>100</v>
          </cell>
          <cell r="P360" t="str">
            <v>H No B-337,Street # 7,Mpr Colony, Mangopir Road ,Karachi</v>
          </cell>
          <cell r="Q360" t="str">
            <v>11000003</v>
          </cell>
          <cell r="R360" t="str">
            <v>CHANGAN KARVAAN PLUS</v>
          </cell>
          <cell r="S360" t="str">
            <v>2021</v>
          </cell>
          <cell r="U360" t="str">
            <v>503396</v>
          </cell>
          <cell r="V360" t="str">
            <v>1010660</v>
          </cell>
          <cell r="X360" t="str">
            <v>7</v>
          </cell>
          <cell r="Y360">
            <v>1394000</v>
          </cell>
          <cell r="Z360">
            <v>30044</v>
          </cell>
          <cell r="AA360">
            <v>34850</v>
          </cell>
        </row>
        <row r="361">
          <cell r="B361" t="str">
            <v>KHI/HO/D/MO/PC COMP/C/102208/17/11/2024</v>
          </cell>
          <cell r="D361" t="str">
            <v>REN</v>
          </cell>
          <cell r="E361" t="str">
            <v>19/11/24</v>
          </cell>
          <cell r="F361" t="str">
            <v>16/11/2024</v>
          </cell>
          <cell r="G361" t="str">
            <v>15/11/2025</v>
          </cell>
          <cell r="H361" t="str">
            <v>08004499</v>
          </cell>
          <cell r="I361" t="str">
            <v>AL BARAKA BANK (PAKISTAN) LIMITED</v>
          </cell>
          <cell r="J361" t="str">
            <v>BANK</v>
          </cell>
          <cell r="K361" t="str">
            <v>HPA M/s. Al Baraka Bank (Pakistan) Limited
Mr. Fazal Ameen Khan
HPA M/s. Al Baraka Bank (Pakistan) Limited</v>
          </cell>
          <cell r="L361" t="str">
            <v>D</v>
          </cell>
          <cell r="M361" t="str">
            <v>09000221</v>
          </cell>
          <cell r="N361">
            <v>100</v>
          </cell>
          <cell r="P361" t="str">
            <v>H No 1 ST No 3 Madina Town Faisalabad</v>
          </cell>
          <cell r="Q361" t="str">
            <v>11000003</v>
          </cell>
          <cell r="R361" t="str">
            <v>SUZUKI WAGON R VXL</v>
          </cell>
          <cell r="S361" t="str">
            <v>2021</v>
          </cell>
          <cell r="U361" t="str">
            <v>PK10B219264</v>
          </cell>
          <cell r="V361" t="str">
            <v>PK10119260</v>
          </cell>
          <cell r="Y361">
            <v>1224000</v>
          </cell>
          <cell r="Z361">
            <v>18465</v>
          </cell>
          <cell r="AA361">
            <v>21420</v>
          </cell>
        </row>
        <row r="362">
          <cell r="B362" t="str">
            <v>KHI/HO/D/MO/PC COMP/C/102208/18/11/2024</v>
          </cell>
          <cell r="D362" t="str">
            <v>REN</v>
          </cell>
          <cell r="E362" t="str">
            <v>19/11/24</v>
          </cell>
          <cell r="F362" t="str">
            <v>17/11/2024</v>
          </cell>
          <cell r="G362" t="str">
            <v>16/11/2025</v>
          </cell>
          <cell r="H362" t="str">
            <v>08004499</v>
          </cell>
          <cell r="I362" t="str">
            <v>AL BARAKA BANK (PAKISTAN) LIMITED</v>
          </cell>
          <cell r="J362" t="str">
            <v>BANK</v>
          </cell>
          <cell r="K362" t="str">
            <v>HPA M/s. Al Baraka Bank (Pakistan) Limited
Mr. Muhammad Ishraq
HPA M/s. Al Baraka Bank (Pakistan) Limited</v>
          </cell>
          <cell r="L362" t="str">
            <v>D</v>
          </cell>
          <cell r="M362" t="str">
            <v>09000221</v>
          </cell>
          <cell r="N362">
            <v>100</v>
          </cell>
          <cell r="P362" t="str">
            <v>H No 19 Street N o 10 Shalimar Housing scheme Salah Uddin Road Lahore</v>
          </cell>
          <cell r="Q362" t="str">
            <v>11000003</v>
          </cell>
          <cell r="R362" t="str">
            <v>SUZUKI ALTO VXR</v>
          </cell>
          <cell r="S362" t="str">
            <v>2021</v>
          </cell>
          <cell r="T362" t="str">
            <v>AGG-840</v>
          </cell>
          <cell r="U362" t="str">
            <v>194188</v>
          </cell>
          <cell r="V362" t="str">
            <v>1094160</v>
          </cell>
          <cell r="Y362">
            <v>1206400</v>
          </cell>
          <cell r="Z362">
            <v>18200</v>
          </cell>
          <cell r="AA362">
            <v>21112</v>
          </cell>
        </row>
        <row r="363">
          <cell r="B363" t="str">
            <v>KHI/HO/D/MO/PC COMP/C/102208/19/11/2024</v>
          </cell>
          <cell r="D363" t="str">
            <v>REN</v>
          </cell>
          <cell r="E363" t="str">
            <v>19/11/24</v>
          </cell>
          <cell r="F363" t="str">
            <v>17/11/2024</v>
          </cell>
          <cell r="G363" t="str">
            <v>16/11/2025</v>
          </cell>
          <cell r="H363" t="str">
            <v>08004499</v>
          </cell>
          <cell r="I363" t="str">
            <v>AL BARAKA BANK (PAKISTAN) LIMITED</v>
          </cell>
          <cell r="J363" t="str">
            <v>BANK</v>
          </cell>
          <cell r="K363" t="str">
            <v>HPA M/s. Al Baraka Bank (Pakistan) Limited
Mr. Sajjad Akhtar
HPA M/s. Al Baraka Bank (Pakistan) Limited</v>
          </cell>
          <cell r="L363" t="str">
            <v>D</v>
          </cell>
          <cell r="M363" t="str">
            <v>09000221</v>
          </cell>
          <cell r="N363">
            <v>100</v>
          </cell>
          <cell r="P363" t="str">
            <v>Kiyani Motors Street No 06 ,Mohalla Battani New Shakrial,,Rawalpindi</v>
          </cell>
          <cell r="Q363" t="str">
            <v>11000003</v>
          </cell>
          <cell r="R363" t="str">
            <v>HONDA CIVIC</v>
          </cell>
          <cell r="S363" t="str">
            <v>2021</v>
          </cell>
          <cell r="T363" t="str">
            <v>AVY-438</v>
          </cell>
          <cell r="U363" t="str">
            <v>6927717</v>
          </cell>
          <cell r="V363" t="str">
            <v>080396</v>
          </cell>
          <cell r="X363" t="str">
            <v>7</v>
          </cell>
          <cell r="Y363">
            <v>3217600</v>
          </cell>
          <cell r="Z363">
            <v>41607</v>
          </cell>
          <cell r="AA363">
            <v>48264</v>
          </cell>
        </row>
        <row r="364">
          <cell r="B364" t="str">
            <v>KHI/HO/D/MO/PC COMP/C/102208/20/11/2024</v>
          </cell>
          <cell r="D364" t="str">
            <v>REN</v>
          </cell>
          <cell r="E364" t="str">
            <v>19/11/24</v>
          </cell>
          <cell r="F364" t="str">
            <v>17/11/2024</v>
          </cell>
          <cell r="G364" t="str">
            <v>16/11/2025</v>
          </cell>
          <cell r="H364" t="str">
            <v>08004499</v>
          </cell>
          <cell r="I364" t="str">
            <v>AL BARAKA BANK (PAKISTAN) LIMITED</v>
          </cell>
          <cell r="J364" t="str">
            <v>BANK</v>
          </cell>
          <cell r="K364" t="str">
            <v>HPA M/s. Al Baraka Bank (Pakistan) Limited
Mr. Muhammad Rashid
HPA M/s. Al Baraka Bank (Pakistan) Limited</v>
          </cell>
          <cell r="L364" t="str">
            <v>D</v>
          </cell>
          <cell r="M364" t="str">
            <v>09000221</v>
          </cell>
          <cell r="N364">
            <v>100</v>
          </cell>
          <cell r="O364" t="str">
            <v>LAHORE</v>
          </cell>
          <cell r="P364" t="str">
            <v>H No 25 Nadeem Street Canal Bank Housing Scheme Harbanspura Lahore</v>
          </cell>
          <cell r="Q364" t="str">
            <v>11000003</v>
          </cell>
          <cell r="R364" t="str">
            <v>SUZUKI WAGON R VXL</v>
          </cell>
          <cell r="S364" t="str">
            <v>2018</v>
          </cell>
          <cell r="T364" t="str">
            <v>LEE-19-3291</v>
          </cell>
          <cell r="U364" t="str">
            <v>B156985</v>
          </cell>
          <cell r="V364" t="str">
            <v>10056997</v>
          </cell>
          <cell r="Y364">
            <v>1288000</v>
          </cell>
          <cell r="Z364">
            <v>19431</v>
          </cell>
          <cell r="AA364">
            <v>22540</v>
          </cell>
        </row>
        <row r="365">
          <cell r="B365" t="str">
            <v>KHI/HO/D/MO/PC COMP/C/102208/21/11/2024</v>
          </cell>
          <cell r="D365" t="str">
            <v>REN</v>
          </cell>
          <cell r="E365" t="str">
            <v>19/11/24</v>
          </cell>
          <cell r="F365" t="str">
            <v>17/11/2024</v>
          </cell>
          <cell r="G365" t="str">
            <v>16/11/2025</v>
          </cell>
          <cell r="H365" t="str">
            <v>08004499</v>
          </cell>
          <cell r="I365" t="str">
            <v>AL BARAKA BANK (PAKISTAN) LIMITED</v>
          </cell>
          <cell r="J365" t="str">
            <v>BANK</v>
          </cell>
          <cell r="K365" t="str">
            <v>HPA M/s. Al Baraka Bank (Pakistan) Limited
Mr. Muhammad Sadaqat 
HPA M/s. Al Baraka Bank (Pakistan) Limited</v>
          </cell>
          <cell r="L365" t="str">
            <v>D</v>
          </cell>
          <cell r="M365" t="str">
            <v>09000221</v>
          </cell>
          <cell r="N365">
            <v>100</v>
          </cell>
          <cell r="O365" t="str">
            <v>LAHORE</v>
          </cell>
          <cell r="P365" t="str">
            <v>H No 98 St No 18 bhama Pind Shad Bagh Lahore</v>
          </cell>
          <cell r="Q365" t="str">
            <v>11000003</v>
          </cell>
          <cell r="R365" t="str">
            <v>SUZUKI WAGON R VXL</v>
          </cell>
          <cell r="S365" t="str">
            <v>2021</v>
          </cell>
          <cell r="T365" t="str">
            <v>AFJ-982</v>
          </cell>
          <cell r="U365" t="str">
            <v>222770</v>
          </cell>
          <cell r="V365" t="str">
            <v>10122770</v>
          </cell>
          <cell r="Y365">
            <v>1481600</v>
          </cell>
          <cell r="Z365">
            <v>22351</v>
          </cell>
          <cell r="AA365">
            <v>25928</v>
          </cell>
        </row>
        <row r="366">
          <cell r="B366" t="str">
            <v>KHI/HO/D/MO/PC COMP/C/102208/22/11/2024</v>
          </cell>
          <cell r="D366" t="str">
            <v>REN</v>
          </cell>
          <cell r="E366" t="str">
            <v>19/11/24</v>
          </cell>
          <cell r="F366" t="str">
            <v>17/11/2024</v>
          </cell>
          <cell r="G366" t="str">
            <v>16/11/2025</v>
          </cell>
          <cell r="H366" t="str">
            <v>08004499</v>
          </cell>
          <cell r="I366" t="str">
            <v>AL BARAKA BANK (PAKISTAN) LIMITED</v>
          </cell>
          <cell r="J366" t="str">
            <v>BANK</v>
          </cell>
          <cell r="K366" t="str">
            <v>HPA M/s. Al Baraka Bank (Pakistan) Limited
Mr. Usman Amin
HPA M/s. Al Baraka Bank (Pakistan) Limited</v>
          </cell>
          <cell r="L366" t="str">
            <v>D</v>
          </cell>
          <cell r="M366" t="str">
            <v>09000221</v>
          </cell>
          <cell r="N366">
            <v>100</v>
          </cell>
          <cell r="O366" t="str">
            <v>LAHORE</v>
          </cell>
          <cell r="P366" t="str">
            <v>Madina Chowk Kashmir Road Near baghat Pura Lahore</v>
          </cell>
          <cell r="Q366" t="str">
            <v>11000003</v>
          </cell>
          <cell r="R366" t="str">
            <v>SUZUKI ALTO VXR</v>
          </cell>
          <cell r="S366" t="str">
            <v>2021</v>
          </cell>
          <cell r="T366" t="str">
            <v>AGR-857</v>
          </cell>
          <cell r="U366" t="str">
            <v>6R194129</v>
          </cell>
          <cell r="V366" t="str">
            <v>H1094122</v>
          </cell>
          <cell r="Y366">
            <v>1206400</v>
          </cell>
          <cell r="Z366">
            <v>18200</v>
          </cell>
          <cell r="AA366">
            <v>21112</v>
          </cell>
        </row>
        <row r="367">
          <cell r="B367" t="str">
            <v>KHI/HO/D/MO/PC COMP/C/102208/23/11/2024</v>
          </cell>
          <cell r="D367" t="str">
            <v>REN</v>
          </cell>
          <cell r="E367" t="str">
            <v>19/11/24</v>
          </cell>
          <cell r="F367" t="str">
            <v>16/11/2024</v>
          </cell>
          <cell r="G367" t="str">
            <v>15/11/2025</v>
          </cell>
          <cell r="H367" t="str">
            <v>08004499</v>
          </cell>
          <cell r="I367" t="str">
            <v>AL BARAKA BANK (PAKISTAN) LIMITED</v>
          </cell>
          <cell r="J367" t="str">
            <v>BANK</v>
          </cell>
          <cell r="K367" t="str">
            <v>HPA M/s. Al Baraka Bank (Pakistan) Limited
Mr. Kashif Raza Zafar
HPA M/s. Al Baraka Bank (Pakistan) Limited</v>
          </cell>
          <cell r="L367" t="str">
            <v>D</v>
          </cell>
          <cell r="M367" t="str">
            <v>09000221</v>
          </cell>
          <cell r="N367">
            <v>100</v>
          </cell>
          <cell r="O367" t="str">
            <v>LAHORE</v>
          </cell>
          <cell r="P367" t="str">
            <v>H # 660 Karim Block Allama Iqbal Town Lahore</v>
          </cell>
          <cell r="Q367" t="str">
            <v>11000003</v>
          </cell>
          <cell r="R367" t="str">
            <v>HONDA BRV I-VTEC</v>
          </cell>
          <cell r="S367" t="str">
            <v>2021</v>
          </cell>
          <cell r="T367" t="str">
            <v>AGM-089</v>
          </cell>
          <cell r="U367" t="str">
            <v>4807227</v>
          </cell>
          <cell r="V367" t="str">
            <v>23874</v>
          </cell>
          <cell r="Y367">
            <v>2704000</v>
          </cell>
          <cell r="Z367">
            <v>58276</v>
          </cell>
          <cell r="AA367">
            <v>67600</v>
          </cell>
        </row>
        <row r="368">
          <cell r="B368" t="str">
            <v>KHI/HO/D/MO/PC COMP/C/102208/24/11/2024</v>
          </cell>
          <cell r="D368" t="str">
            <v>REN</v>
          </cell>
          <cell r="E368" t="str">
            <v>19/11/24</v>
          </cell>
          <cell r="F368" t="str">
            <v>17/11/2024</v>
          </cell>
          <cell r="G368" t="str">
            <v>16/11/2025</v>
          </cell>
          <cell r="H368" t="str">
            <v>08004499</v>
          </cell>
          <cell r="I368" t="str">
            <v>AL BARAKA BANK (PAKISTAN) LIMITED</v>
          </cell>
          <cell r="J368" t="str">
            <v>BANK</v>
          </cell>
          <cell r="K368" t="str">
            <v>HPA M/s. Al Baraka Bank (Pakistan) Limited
Mr. Syed Ali Raza Naqvi
HPA M/s. Al Baraka Bank (Pakistan) Limited</v>
          </cell>
          <cell r="L368" t="str">
            <v>D</v>
          </cell>
          <cell r="M368" t="str">
            <v>09000221</v>
          </cell>
          <cell r="N368">
            <v>100</v>
          </cell>
          <cell r="O368" t="str">
            <v>ISLAMABAD</v>
          </cell>
          <cell r="P368" t="str">
            <v>H No 69-A Street No 75 Sector G-6/1 Islamabad</v>
          </cell>
          <cell r="Q368" t="str">
            <v>11000003</v>
          </cell>
          <cell r="R368" t="str">
            <v>CHANGAN ALSVIN</v>
          </cell>
          <cell r="S368" t="str">
            <v>2021</v>
          </cell>
          <cell r="T368" t="str">
            <v>AWA-967</v>
          </cell>
          <cell r="U368" t="str">
            <v>521434</v>
          </cell>
          <cell r="V368" t="str">
            <v>1003984</v>
          </cell>
          <cell r="X368" t="str">
            <v>4</v>
          </cell>
          <cell r="Y368">
            <v>2071200</v>
          </cell>
          <cell r="Z368">
            <v>44638</v>
          </cell>
          <cell r="AA368">
            <v>51780</v>
          </cell>
        </row>
        <row r="369">
          <cell r="B369" t="str">
            <v>KHI/HO/D/MO/PC COMP/C/102208/25/11/2024</v>
          </cell>
          <cell r="D369" t="str">
            <v>REN</v>
          </cell>
          <cell r="E369" t="str">
            <v>19/11/24</v>
          </cell>
          <cell r="F369" t="str">
            <v>17/11/2024</v>
          </cell>
          <cell r="G369" t="str">
            <v>16/11/2025</v>
          </cell>
          <cell r="H369" t="str">
            <v>08004499</v>
          </cell>
          <cell r="I369" t="str">
            <v>AL BARAKA BANK (PAKISTAN) LIMITED</v>
          </cell>
          <cell r="J369" t="str">
            <v>BANK</v>
          </cell>
          <cell r="K369" t="str">
            <v>HPA M/s. Al Baraka Bank (Pakistan) Limited
 Falak Sher Tabasum 
HPA M/s. Al Baraka Bank (Pakistan) Limited</v>
          </cell>
          <cell r="L369" t="str">
            <v>D</v>
          </cell>
          <cell r="M369" t="str">
            <v>09000221</v>
          </cell>
          <cell r="N369">
            <v>100</v>
          </cell>
          <cell r="O369" t="str">
            <v>FAISALABAD</v>
          </cell>
          <cell r="P369" t="str">
            <v>H No 408 ST No 8 Mohallah ALi Irfan Abad 203 Rd Manawal Faisalabad</v>
          </cell>
          <cell r="Q369" t="str">
            <v>11000003</v>
          </cell>
          <cell r="R369" t="str">
            <v>SUZUKI BOLAN</v>
          </cell>
          <cell r="S369" t="str">
            <v>2021</v>
          </cell>
          <cell r="T369" t="str">
            <v>AFU-854</v>
          </cell>
          <cell r="U369" t="str">
            <v>1017187</v>
          </cell>
          <cell r="V369" t="str">
            <v>1133702</v>
          </cell>
          <cell r="Y369">
            <v>839200</v>
          </cell>
          <cell r="Z369">
            <v>18086</v>
          </cell>
          <cell r="AA369">
            <v>20980</v>
          </cell>
        </row>
        <row r="370">
          <cell r="B370" t="str">
            <v>KHI/HO/D/MO/PC COMP/C/102208/26/11/2024</v>
          </cell>
          <cell r="D370" t="str">
            <v>REN</v>
          </cell>
          <cell r="E370" t="str">
            <v>19/11/24</v>
          </cell>
          <cell r="F370" t="str">
            <v>18/11/2024</v>
          </cell>
          <cell r="G370" t="str">
            <v>17/11/2025</v>
          </cell>
          <cell r="H370" t="str">
            <v>08004499</v>
          </cell>
          <cell r="I370" t="str">
            <v>AL BARAKA BANK (PAKISTAN) LIMITED</v>
          </cell>
          <cell r="J370" t="str">
            <v>BANK</v>
          </cell>
          <cell r="K370" t="str">
            <v>HPA M/s. Al Baraka Bank (Pakistan) Limited
Mr. Ayaz Ali 
HPA M/s. Al Baraka Bank (Pakistan) Limited</v>
          </cell>
          <cell r="L370" t="str">
            <v>D</v>
          </cell>
          <cell r="M370" t="str">
            <v>09000221</v>
          </cell>
          <cell r="N370">
            <v>100</v>
          </cell>
          <cell r="O370" t="str">
            <v>LAHORE</v>
          </cell>
          <cell r="P370" t="str">
            <v>House No. E-94-F Ali View Garden Phase 3 Street 5 Near Bhatta Chowk Bedian Road Lahore</v>
          </cell>
          <cell r="Q370" t="str">
            <v>11000003</v>
          </cell>
          <cell r="R370" t="str">
            <v>PRINCE GLORY 580 PRO TURB</v>
          </cell>
          <cell r="S370" t="str">
            <v>2021</v>
          </cell>
          <cell r="T370" t="str">
            <v>AFW-927</v>
          </cell>
          <cell r="U370" t="str">
            <v>21745500</v>
          </cell>
          <cell r="V370" t="str">
            <v>LR2111889</v>
          </cell>
          <cell r="X370" t="str">
            <v>3</v>
          </cell>
          <cell r="Y370">
            <v>3584000</v>
          </cell>
          <cell r="Z370">
            <v>46345</v>
          </cell>
          <cell r="AA370">
            <v>53760</v>
          </cell>
        </row>
        <row r="371">
          <cell r="B371" t="str">
            <v>KHI/HO/D/MO/PC COMP/C/102208/27/11/2024</v>
          </cell>
          <cell r="D371" t="str">
            <v>REN</v>
          </cell>
          <cell r="E371" t="str">
            <v>19/11/24</v>
          </cell>
          <cell r="F371" t="str">
            <v>18/11/2024</v>
          </cell>
          <cell r="G371" t="str">
            <v>17/11/2025</v>
          </cell>
          <cell r="H371" t="str">
            <v>08004499</v>
          </cell>
          <cell r="I371" t="str">
            <v>AL BARAKA BANK (PAKISTAN) LIMITED</v>
          </cell>
          <cell r="J371" t="str">
            <v>BANK</v>
          </cell>
          <cell r="K371" t="str">
            <v>HPA M/s. Al Baraka Bank (Pakistan) Limited
Mr. Abu Sufyan 
HPA M/s. Al Baraka Bank (Pakistan) Limited</v>
          </cell>
          <cell r="L371" t="str">
            <v>D</v>
          </cell>
          <cell r="M371" t="str">
            <v>09000221</v>
          </cell>
          <cell r="N371">
            <v>100</v>
          </cell>
          <cell r="O371" t="str">
            <v>LAHORE</v>
          </cell>
          <cell r="P371" t="str">
            <v>House No. 19-1 Street 6 Rehmanpura Ichra Lahore</v>
          </cell>
          <cell r="Q371" t="str">
            <v>11000003</v>
          </cell>
          <cell r="R371" t="str">
            <v>SUZUKI CULTUS VXL EURO II</v>
          </cell>
          <cell r="S371" t="str">
            <v>2018</v>
          </cell>
          <cell r="T371" t="str">
            <v>AGT-699</v>
          </cell>
          <cell r="U371" t="str">
            <v>K113408</v>
          </cell>
          <cell r="V371" t="str">
            <v>H10013400</v>
          </cell>
          <cell r="X371" t="str">
            <v>3</v>
          </cell>
          <cell r="Y371">
            <v>1400000</v>
          </cell>
          <cell r="Z371">
            <v>21121</v>
          </cell>
          <cell r="AA371">
            <v>24500</v>
          </cell>
        </row>
        <row r="372">
          <cell r="B372" t="str">
            <v>KHI/HO/D/MO/PC COMP/C/102208/28/11/2024</v>
          </cell>
          <cell r="D372" t="str">
            <v>REN</v>
          </cell>
          <cell r="E372" t="str">
            <v>19/11/24</v>
          </cell>
          <cell r="F372" t="str">
            <v>19/11/2024</v>
          </cell>
          <cell r="G372" t="str">
            <v>18/11/2025</v>
          </cell>
          <cell r="H372" t="str">
            <v>08004499</v>
          </cell>
          <cell r="I372" t="str">
            <v>AL BARAKA BANK (PAKISTAN) LIMITED</v>
          </cell>
          <cell r="J372" t="str">
            <v>BANK</v>
          </cell>
          <cell r="K372" t="str">
            <v>HPA M/s. Al Baraka Bank (Pakistan) Limited
Mr. Sohail Akhtar
HPA M/s. Al Baraka Bank (Pakistan) Limited</v>
          </cell>
          <cell r="L372" t="str">
            <v>D</v>
          </cell>
          <cell r="M372" t="str">
            <v>09000221</v>
          </cell>
          <cell r="N372">
            <v>100</v>
          </cell>
          <cell r="O372" t="str">
            <v>KARACHI</v>
          </cell>
          <cell r="P372" t="str">
            <v>Plot No 449 1st Floor Block 2 Azizabad F.B Area Karachi</v>
          </cell>
          <cell r="Q372" t="str">
            <v>11000003</v>
          </cell>
          <cell r="R372" t="str">
            <v>TOYOTA COROLLA ALTIS  A/T</v>
          </cell>
          <cell r="S372" t="str">
            <v>2021</v>
          </cell>
          <cell r="T372" t="str">
            <v>BVB-717</v>
          </cell>
          <cell r="U372" t="str">
            <v>Q083847</v>
          </cell>
          <cell r="V372" t="str">
            <v>6061338</v>
          </cell>
          <cell r="Y372">
            <v>2766750</v>
          </cell>
          <cell r="Z372">
            <v>29814</v>
          </cell>
          <cell r="AA372">
            <v>34584</v>
          </cell>
        </row>
        <row r="373">
          <cell r="B373" t="str">
            <v>KHI/HO/D/MO/PC COMP/C/102208/29/11/2024</v>
          </cell>
          <cell r="D373" t="str">
            <v>REN</v>
          </cell>
          <cell r="E373" t="str">
            <v>19/11/24</v>
          </cell>
          <cell r="F373" t="str">
            <v>22/11/2024</v>
          </cell>
          <cell r="G373" t="str">
            <v>21/11/2025</v>
          </cell>
          <cell r="H373" t="str">
            <v>08004499</v>
          </cell>
          <cell r="I373" t="str">
            <v>AL BARAKA BANK (PAKISTAN) LIMITED</v>
          </cell>
          <cell r="J373" t="str">
            <v>BANK</v>
          </cell>
          <cell r="K373" t="str">
            <v>HPA M/s. Al Baraka Bank (Pakistan) Limited
Mr. Azeem Elahi  
HPA M/s. Al Baraka Bank (Pakistan) Limited</v>
          </cell>
          <cell r="L373" t="str">
            <v>D</v>
          </cell>
          <cell r="M373" t="str">
            <v>09000221</v>
          </cell>
          <cell r="N373">
            <v>100</v>
          </cell>
          <cell r="O373" t="str">
            <v>LAHORE</v>
          </cell>
          <cell r="P373" t="str">
            <v>House No. 13 Street 1 Siddiquia Pura Colony Bdami Bagh Lahore</v>
          </cell>
          <cell r="Q373" t="str">
            <v>11000003</v>
          </cell>
          <cell r="R373" t="str">
            <v>TOYOTA YARIS ATIV X CVT 1</v>
          </cell>
          <cell r="S373" t="str">
            <v>2021</v>
          </cell>
          <cell r="U373" t="str">
            <v>2A40868</v>
          </cell>
          <cell r="V373" t="str">
            <v>7025597</v>
          </cell>
          <cell r="X373" t="str">
            <v>3</v>
          </cell>
          <cell r="Y373">
            <v>2162400</v>
          </cell>
          <cell r="Z373">
            <v>46603</v>
          </cell>
          <cell r="AA373">
            <v>54060</v>
          </cell>
        </row>
        <row r="374">
          <cell r="B374" t="str">
            <v>KHI/HO/D/MO/PC COMP/C/102208/30/11/2024</v>
          </cell>
          <cell r="D374" t="str">
            <v>REN</v>
          </cell>
          <cell r="E374" t="str">
            <v>19/11/24</v>
          </cell>
          <cell r="F374" t="str">
            <v>23/11/2024</v>
          </cell>
          <cell r="G374" t="str">
            <v>22/11/2025</v>
          </cell>
          <cell r="H374" t="str">
            <v>08004499</v>
          </cell>
          <cell r="I374" t="str">
            <v>AL BARAKA BANK (PAKISTAN) LIMITED</v>
          </cell>
          <cell r="J374" t="str">
            <v>BANK</v>
          </cell>
          <cell r="K374" t="str">
            <v>HPA M/s. Al Baraka Bank (Pakistan) Limited
Mr. Faisal Shabbir 
HPA M/s. Al Baraka Bank (Pakistan) Limited</v>
          </cell>
          <cell r="L374" t="str">
            <v>D</v>
          </cell>
          <cell r="M374" t="str">
            <v>09000221</v>
          </cell>
          <cell r="N374">
            <v>100</v>
          </cell>
          <cell r="O374" t="str">
            <v>LAHORE</v>
          </cell>
          <cell r="P374" t="str">
            <v>House No. 35 Lakhan Sharif road Jalo More Batapur Lahore</v>
          </cell>
          <cell r="Q374" t="str">
            <v>11000003</v>
          </cell>
          <cell r="R374" t="str">
            <v>CHANGAN ALSVIN LUMEIRE</v>
          </cell>
          <cell r="S374" t="str">
            <v>2021</v>
          </cell>
          <cell r="U374" t="str">
            <v>50756</v>
          </cell>
          <cell r="V374" t="str">
            <v>1001513</v>
          </cell>
          <cell r="X374" t="str">
            <v>3</v>
          </cell>
          <cell r="Y374">
            <v>1991200</v>
          </cell>
          <cell r="Z374">
            <v>30040</v>
          </cell>
          <cell r="AA374">
            <v>34846</v>
          </cell>
        </row>
        <row r="375">
          <cell r="B375" t="str">
            <v>KHI/HO/D/MO/PC COMP/C/102208/31/11/2024</v>
          </cell>
          <cell r="D375" t="str">
            <v>REN</v>
          </cell>
          <cell r="E375" t="str">
            <v>19/11/24</v>
          </cell>
          <cell r="F375" t="str">
            <v>23/11/2024</v>
          </cell>
          <cell r="G375" t="str">
            <v>22/11/2025</v>
          </cell>
          <cell r="H375" t="str">
            <v>08004499</v>
          </cell>
          <cell r="I375" t="str">
            <v>AL BARAKA BANK (PAKISTAN) LIMITED</v>
          </cell>
          <cell r="J375" t="str">
            <v>BANK</v>
          </cell>
          <cell r="K375" t="str">
            <v>HPA M/s. Al Baraka Bank (Pakistan) Limited
Mr. Mehtab Ahmed 
HPA M/s. Al Baraka Bank (Pakistan) Limited</v>
          </cell>
          <cell r="L375" t="str">
            <v>D</v>
          </cell>
          <cell r="M375" t="str">
            <v>09000221</v>
          </cell>
          <cell r="N375">
            <v>100</v>
          </cell>
          <cell r="O375" t="str">
            <v>BHAWALPUR</v>
          </cell>
          <cell r="P375" t="str">
            <v>90-A Street 3 Block A Hashmi Garden Cantt Bahawalpur</v>
          </cell>
          <cell r="Q375" t="str">
            <v>11000003</v>
          </cell>
          <cell r="R375" t="str">
            <v>HYUNDAI TUSCON AWD</v>
          </cell>
          <cell r="S375" t="str">
            <v>2021</v>
          </cell>
          <cell r="U375" t="str">
            <v>G4KMMA955503</v>
          </cell>
          <cell r="V375" t="str">
            <v>400533</v>
          </cell>
          <cell r="X375" t="str">
            <v>3</v>
          </cell>
          <cell r="Y375">
            <v>5679200</v>
          </cell>
          <cell r="Z375">
            <v>73438</v>
          </cell>
          <cell r="AA375">
            <v>85188</v>
          </cell>
        </row>
        <row r="376">
          <cell r="B376" t="str">
            <v>KHI/HO/D/MO/PC COMP/C/102208/32/11/2024</v>
          </cell>
          <cell r="D376" t="str">
            <v>REN</v>
          </cell>
          <cell r="E376" t="str">
            <v>19/11/24</v>
          </cell>
          <cell r="F376" t="str">
            <v>23/11/2024</v>
          </cell>
          <cell r="G376" t="str">
            <v>22/11/2025</v>
          </cell>
          <cell r="H376" t="str">
            <v>08004499</v>
          </cell>
          <cell r="I376" t="str">
            <v>AL BARAKA BANK (PAKISTAN) LIMITED</v>
          </cell>
          <cell r="J376" t="str">
            <v>BANK</v>
          </cell>
          <cell r="K376" t="str">
            <v>HPA M/s. Al Baraka Bank (Pakistan) Limited
Mr. Mehran Wahid 
HPA M/s. Al Baraka Bank (Pakistan) Limited</v>
          </cell>
          <cell r="L376" t="str">
            <v>D</v>
          </cell>
          <cell r="M376" t="str">
            <v>09000221</v>
          </cell>
          <cell r="N376">
            <v>100</v>
          </cell>
          <cell r="O376" t="str">
            <v>LAHORE</v>
          </cell>
          <cell r="P376" t="str">
            <v>House No. 19 Street 01 Shah Kamal Ranwa Road Ichra Lahore</v>
          </cell>
          <cell r="Q376" t="str">
            <v>11000003</v>
          </cell>
          <cell r="R376" t="str">
            <v>SUZUKI WAGON-R VXL E2</v>
          </cell>
          <cell r="S376" t="str">
            <v>2018</v>
          </cell>
          <cell r="T376" t="str">
            <v>LE-18-110</v>
          </cell>
          <cell r="U376" t="str">
            <v>148639</v>
          </cell>
          <cell r="V376" t="str">
            <v>10048629</v>
          </cell>
          <cell r="X376" t="str">
            <v>3</v>
          </cell>
          <cell r="Y376">
            <v>1252000</v>
          </cell>
          <cell r="Z376">
            <v>18888</v>
          </cell>
          <cell r="AA376">
            <v>21910</v>
          </cell>
        </row>
        <row r="377">
          <cell r="B377" t="str">
            <v>KHI/HO/D/MO/PC COMP/C/102208/33/11/2024</v>
          </cell>
          <cell r="D377" t="str">
            <v>REN</v>
          </cell>
          <cell r="E377" t="str">
            <v>19/11/24</v>
          </cell>
          <cell r="F377" t="str">
            <v>23/11/2024</v>
          </cell>
          <cell r="G377" t="str">
            <v>22/11/2025</v>
          </cell>
          <cell r="H377" t="str">
            <v>08004499</v>
          </cell>
          <cell r="I377" t="str">
            <v>AL BARAKA BANK (PAKISTAN) LIMITED</v>
          </cell>
          <cell r="J377" t="str">
            <v>BANK</v>
          </cell>
          <cell r="K377" t="str">
            <v>HPA M/s. Al Baraka Bank (Pakistan) Limited
Mr. Qamar Khan  
HPA M/s. Al Baraka Bank (Pakistan) Limited</v>
          </cell>
          <cell r="L377" t="str">
            <v>D</v>
          </cell>
          <cell r="M377" t="str">
            <v>09000221</v>
          </cell>
          <cell r="N377">
            <v>100</v>
          </cell>
          <cell r="O377" t="str">
            <v>LAHORE</v>
          </cell>
          <cell r="P377" t="str">
            <v>Shadab Colony Road Opp Nishter Colony Main Ferozepur Road Lahore</v>
          </cell>
          <cell r="Q377" t="str">
            <v>11000003</v>
          </cell>
          <cell r="R377" t="str">
            <v>HONDA CIVIC VTI  ORIEL PT</v>
          </cell>
          <cell r="S377" t="str">
            <v>2021</v>
          </cell>
          <cell r="T377" t="str">
            <v>AGC-330</v>
          </cell>
          <cell r="U377" t="str">
            <v>Z16928022</v>
          </cell>
          <cell r="V377" t="str">
            <v>MR080611</v>
          </cell>
          <cell r="X377" t="str">
            <v>3</v>
          </cell>
          <cell r="Y377">
            <v>3525600</v>
          </cell>
          <cell r="Z377">
            <v>45590</v>
          </cell>
          <cell r="AA377">
            <v>52884</v>
          </cell>
        </row>
        <row r="378">
          <cell r="B378" t="str">
            <v>KHI/HO/D/MO/PC COMP/C/102208/34/11/2024</v>
          </cell>
          <cell r="D378" t="str">
            <v>REN</v>
          </cell>
          <cell r="E378" t="str">
            <v>19/11/24</v>
          </cell>
          <cell r="F378" t="str">
            <v>18/11/2024</v>
          </cell>
          <cell r="G378" t="str">
            <v>17/11/2025</v>
          </cell>
          <cell r="H378" t="str">
            <v>08004499</v>
          </cell>
          <cell r="I378" t="str">
            <v>AL BARAKA BANK (PAKISTAN) LIMITED</v>
          </cell>
          <cell r="J378" t="str">
            <v>BANK</v>
          </cell>
          <cell r="K378" t="str">
            <v>HPA M/s. Al Baraka Bank (Pakistan) Limited
Mr. Muhammad Saleem
HPA M/s. Al Baraka Bank (Pakistan) Limited</v>
          </cell>
          <cell r="L378" t="str">
            <v>D</v>
          </cell>
          <cell r="M378" t="str">
            <v>09000221</v>
          </cell>
          <cell r="N378">
            <v>100</v>
          </cell>
          <cell r="O378" t="str">
            <v>BHAWALPUR</v>
          </cell>
          <cell r="P378" t="str">
            <v>Basti Salah Chowk Johk Rahim Buksh Northern By Pass Bahawalpur</v>
          </cell>
          <cell r="Q378" t="str">
            <v>11000003</v>
          </cell>
          <cell r="R378" t="str">
            <v>SUZUKI ALTO VXR</v>
          </cell>
          <cell r="S378" t="str">
            <v>2021</v>
          </cell>
          <cell r="T378" t="str">
            <v>AGN-947</v>
          </cell>
          <cell r="U378" t="str">
            <v>194048</v>
          </cell>
          <cell r="V378" t="str">
            <v>1094023</v>
          </cell>
          <cell r="Y378">
            <v>1206400</v>
          </cell>
          <cell r="Z378">
            <v>18200</v>
          </cell>
          <cell r="AA378">
            <v>21112</v>
          </cell>
        </row>
        <row r="379">
          <cell r="B379" t="str">
            <v>KHI/HO/D/MO/PC COMP/C/102208/35/11/2024</v>
          </cell>
          <cell r="D379" t="str">
            <v>REN</v>
          </cell>
          <cell r="E379" t="str">
            <v>19/11/24</v>
          </cell>
          <cell r="F379" t="str">
            <v>23/11/2024</v>
          </cell>
          <cell r="G379" t="str">
            <v>22/11/2025</v>
          </cell>
          <cell r="H379" t="str">
            <v>08004499</v>
          </cell>
          <cell r="I379" t="str">
            <v>AL BARAKA BANK (PAKISTAN) LIMITED</v>
          </cell>
          <cell r="J379" t="str">
            <v>BANK</v>
          </cell>
          <cell r="K379" t="str">
            <v>HPA M/s. Al Baraka Bank (Pakistan) Limited
Mr. Muhammad Sajjad Hanif 
HPA M/s. Al Baraka Bank (Pakistan) Limited</v>
          </cell>
          <cell r="L379" t="str">
            <v>D</v>
          </cell>
          <cell r="M379" t="str">
            <v>09000221</v>
          </cell>
          <cell r="N379">
            <v>100</v>
          </cell>
          <cell r="O379" t="str">
            <v>LAHORE</v>
          </cell>
          <cell r="P379" t="str">
            <v>100-E PCSIR Staff Colony College Road Lahore</v>
          </cell>
          <cell r="Q379" t="str">
            <v>11000003</v>
          </cell>
          <cell r="R379" t="str">
            <v>HONDA CITY I-VTEC (M/T)</v>
          </cell>
          <cell r="S379" t="str">
            <v>2017</v>
          </cell>
          <cell r="T379" t="str">
            <v>LEC-17-3820</v>
          </cell>
          <cell r="U379" t="str">
            <v>17458633</v>
          </cell>
          <cell r="V379" t="str">
            <v>HR201283</v>
          </cell>
          <cell r="X379" t="str">
            <v>3</v>
          </cell>
          <cell r="Y379">
            <v>1600000</v>
          </cell>
          <cell r="Z379">
            <v>24138</v>
          </cell>
          <cell r="AA379">
            <v>28000</v>
          </cell>
        </row>
        <row r="380">
          <cell r="B380" t="str">
            <v>KHI/HO/D/MO/PC COMP/C/102208/36/11/2024</v>
          </cell>
          <cell r="D380" t="str">
            <v>REN</v>
          </cell>
          <cell r="E380" t="str">
            <v>19/11/24</v>
          </cell>
          <cell r="F380" t="str">
            <v>23/11/2024</v>
          </cell>
          <cell r="G380" t="str">
            <v>22/11/2025</v>
          </cell>
          <cell r="H380" t="str">
            <v>08004499</v>
          </cell>
          <cell r="I380" t="str">
            <v>AL BARAKA BANK (PAKISTAN) LIMITED</v>
          </cell>
          <cell r="J380" t="str">
            <v>BANK</v>
          </cell>
          <cell r="K380" t="str">
            <v>HPA M/s. Al Baraka Bank (Pakistan) Limited
Mr. Syed Zeerak Hussain 
HPA M/s. Al Baraka Bank (Pakistan) Limited</v>
          </cell>
          <cell r="L380" t="str">
            <v>D</v>
          </cell>
          <cell r="M380" t="str">
            <v>09000221</v>
          </cell>
          <cell r="N380">
            <v>100</v>
          </cell>
          <cell r="O380" t="str">
            <v>LAHORE</v>
          </cell>
          <cell r="P380" t="str">
            <v>House No. 90 Block Mounds Mohallah Paragon City Barki Road Lahore</v>
          </cell>
          <cell r="Q380" t="str">
            <v>11000003</v>
          </cell>
          <cell r="R380" t="str">
            <v>SUZUKI CULTUS VXL EURO II</v>
          </cell>
          <cell r="S380" t="str">
            <v>2018</v>
          </cell>
          <cell r="T380" t="str">
            <v>LEH-18-8052</v>
          </cell>
          <cell r="U380" t="str">
            <v>124418</v>
          </cell>
          <cell r="V380" t="str">
            <v>10024408</v>
          </cell>
          <cell r="X380" t="str">
            <v>3</v>
          </cell>
          <cell r="Y380">
            <v>1464000</v>
          </cell>
          <cell r="Z380">
            <v>22086</v>
          </cell>
          <cell r="AA380">
            <v>25620</v>
          </cell>
        </row>
        <row r="381">
          <cell r="B381" t="str">
            <v>KHI/HO/D/MO/PC COMP/C/102208/37/11/2024</v>
          </cell>
          <cell r="D381" t="str">
            <v>REN</v>
          </cell>
          <cell r="E381" t="str">
            <v>19/11/24</v>
          </cell>
          <cell r="F381" t="str">
            <v>23/11/2024</v>
          </cell>
          <cell r="G381" t="str">
            <v>22/11/2025</v>
          </cell>
          <cell r="H381" t="str">
            <v>08004499</v>
          </cell>
          <cell r="I381" t="str">
            <v>AL BARAKA BANK (PAKISTAN) LIMITED</v>
          </cell>
          <cell r="J381" t="str">
            <v>BANK</v>
          </cell>
          <cell r="K381" t="str">
            <v>HPA M/s. Al Baraka Bank (Pakistan) Limited
Mr. Mahboob  Ali Shaikh 
HPA M/s. Al Baraka Bank (Pakistan) Limited</v>
          </cell>
          <cell r="L381" t="str">
            <v>D</v>
          </cell>
          <cell r="M381" t="str">
            <v>09000221</v>
          </cell>
          <cell r="N381">
            <v>100</v>
          </cell>
          <cell r="O381" t="str">
            <v>LAHORE</v>
          </cell>
          <cell r="P381" t="str">
            <v>House No. 242 Block E PGECNS Phase 2 College Road Lahore</v>
          </cell>
          <cell r="Q381" t="str">
            <v>11000003</v>
          </cell>
          <cell r="R381" t="str">
            <v>TOYOTA YARIS ATIV X CVT</v>
          </cell>
          <cell r="S381" t="str">
            <v>2020</v>
          </cell>
          <cell r="T381" t="str">
            <v>ACJ-634</v>
          </cell>
          <cell r="U381" t="str">
            <v>2A08194</v>
          </cell>
          <cell r="V381" t="str">
            <v>9503526</v>
          </cell>
          <cell r="X381" t="str">
            <v>3</v>
          </cell>
          <cell r="Y381">
            <v>2376000</v>
          </cell>
          <cell r="Z381">
            <v>35845</v>
          </cell>
          <cell r="AA381">
            <v>41580</v>
          </cell>
        </row>
        <row r="382">
          <cell r="B382" t="str">
            <v>KHI/HO/D/MO/PC COMP/C/102208/38/11/2024</v>
          </cell>
          <cell r="D382" t="str">
            <v>REN</v>
          </cell>
          <cell r="E382" t="str">
            <v>19/11/24</v>
          </cell>
          <cell r="F382" t="str">
            <v>23/11/2024</v>
          </cell>
          <cell r="G382" t="str">
            <v>22/11/2025</v>
          </cell>
          <cell r="H382" t="str">
            <v>08004499</v>
          </cell>
          <cell r="I382" t="str">
            <v>AL BARAKA BANK (PAKISTAN) LIMITED</v>
          </cell>
          <cell r="J382" t="str">
            <v>BANK</v>
          </cell>
          <cell r="K382" t="str">
            <v>HPA M/s. Al Baraka Bank (Pakistan) Limited
Mr. Rana Majid 
HPA M/s. Al Baraka Bank (Pakistan) Limited</v>
          </cell>
          <cell r="L382" t="str">
            <v>D</v>
          </cell>
          <cell r="M382" t="str">
            <v>09000221</v>
          </cell>
          <cell r="N382">
            <v>100</v>
          </cell>
          <cell r="O382" t="str">
            <v>LAHORE</v>
          </cell>
          <cell r="P382" t="str">
            <v>House No. 7 Street 25 Mohallah Shahnoor Park Kot Khawaja Saeed Lahore</v>
          </cell>
          <cell r="Q382" t="str">
            <v>11000003</v>
          </cell>
          <cell r="R382" t="str">
            <v>SUZUKI CULTUS VXL EURO II</v>
          </cell>
          <cell r="S382" t="str">
            <v>2017</v>
          </cell>
          <cell r="T382" t="str">
            <v>LEH-17-2490</v>
          </cell>
          <cell r="U382" t="str">
            <v>104553</v>
          </cell>
          <cell r="V382" t="str">
            <v>10004573</v>
          </cell>
          <cell r="X382" t="str">
            <v>3</v>
          </cell>
          <cell r="Y382">
            <v>1360000</v>
          </cell>
          <cell r="Z382">
            <v>20517</v>
          </cell>
          <cell r="AA382">
            <v>23800</v>
          </cell>
        </row>
        <row r="383">
          <cell r="B383" t="str">
            <v>KHI/HO/D/MO/PC COMP/C/102208/39/11/2024</v>
          </cell>
          <cell r="D383" t="str">
            <v>REN</v>
          </cell>
          <cell r="E383" t="str">
            <v>19/11/24</v>
          </cell>
          <cell r="F383" t="str">
            <v>23/11/2024</v>
          </cell>
          <cell r="G383" t="str">
            <v>22/11/2025</v>
          </cell>
          <cell r="H383" t="str">
            <v>08004499</v>
          </cell>
          <cell r="I383" t="str">
            <v>AL BARAKA BANK (PAKISTAN) LIMITED</v>
          </cell>
          <cell r="J383" t="str">
            <v>BANK</v>
          </cell>
          <cell r="K383" t="str">
            <v>HPA M/s. Al Baraka Bank (Pakistan) Limited
Mr. Waqas Saleem  
HPA M/s. Al Baraka Bank (Pakistan) Limited</v>
          </cell>
          <cell r="L383" t="str">
            <v>D</v>
          </cell>
          <cell r="M383" t="str">
            <v>09000221</v>
          </cell>
          <cell r="N383">
            <v>100</v>
          </cell>
          <cell r="O383" t="str">
            <v>MULTAN</v>
          </cell>
          <cell r="P383" t="str">
            <v>House No. 7510-5 Street Jama Masjid Farooq-e-Azam Mohallah Islamabad Kamoke</v>
          </cell>
          <cell r="Q383" t="str">
            <v>11000003</v>
          </cell>
          <cell r="R383" t="str">
            <v>SUZUKI ALTO VXL AGS E-2</v>
          </cell>
          <cell r="S383" t="str">
            <v>2021</v>
          </cell>
          <cell r="T383" t="str">
            <v>AHE-042</v>
          </cell>
          <cell r="U383" t="str">
            <v>189135</v>
          </cell>
          <cell r="V383" t="str">
            <v>1089117</v>
          </cell>
          <cell r="X383" t="str">
            <v>3</v>
          </cell>
          <cell r="Y383">
            <v>1216800</v>
          </cell>
          <cell r="Z383">
            <v>18356</v>
          </cell>
          <cell r="AA383">
            <v>21294</v>
          </cell>
        </row>
        <row r="384">
          <cell r="B384" t="str">
            <v>KHI/HO/D/MO/PC COMP/C/102208/40/11/2024</v>
          </cell>
          <cell r="D384" t="str">
            <v>REN</v>
          </cell>
          <cell r="E384" t="str">
            <v>19/11/24</v>
          </cell>
          <cell r="F384" t="str">
            <v>23/11/2024</v>
          </cell>
          <cell r="G384" t="str">
            <v>22/11/2025</v>
          </cell>
          <cell r="H384" t="str">
            <v>08004499</v>
          </cell>
          <cell r="I384" t="str">
            <v>AL BARAKA BANK (PAKISTAN) LIMITED</v>
          </cell>
          <cell r="J384" t="str">
            <v>BANK</v>
          </cell>
          <cell r="K384" t="str">
            <v>HPA M/s. Al Baraka Bank (Pakistan) Limited
Mr. Hafiz Sharjeel Ashraf  
HPA M/s. Al Baraka Bank (Pakistan) Limited</v>
          </cell>
          <cell r="L384" t="str">
            <v>D</v>
          </cell>
          <cell r="M384" t="str">
            <v>09000221</v>
          </cell>
          <cell r="N384">
            <v>100</v>
          </cell>
          <cell r="O384" t="str">
            <v>LAHORE</v>
          </cell>
          <cell r="P384" t="str">
            <v>House No. 446 Street 14 Imperial Garden Paragon City Barki Road Lahore</v>
          </cell>
          <cell r="Q384" t="str">
            <v>11000003</v>
          </cell>
          <cell r="R384" t="str">
            <v>SUZUKI ALTO VXR E-2</v>
          </cell>
          <cell r="S384" t="str">
            <v>2019</v>
          </cell>
          <cell r="T384" t="str">
            <v>LE-20-9676</v>
          </cell>
          <cell r="U384" t="str">
            <v>120952</v>
          </cell>
          <cell r="V384" t="str">
            <v>1020954</v>
          </cell>
          <cell r="X384" t="str">
            <v>3</v>
          </cell>
          <cell r="Y384">
            <v>1180000</v>
          </cell>
          <cell r="Z384">
            <v>17802</v>
          </cell>
          <cell r="AA384">
            <v>20650</v>
          </cell>
        </row>
        <row r="385">
          <cell r="B385" t="str">
            <v>KHI/HO/D/MO/PC COMP/C/102208/41/11/2024</v>
          </cell>
          <cell r="D385" t="str">
            <v>REN</v>
          </cell>
          <cell r="E385" t="str">
            <v>19/11/24</v>
          </cell>
          <cell r="F385" t="str">
            <v>24/11/2024</v>
          </cell>
          <cell r="G385" t="str">
            <v>23/11/2025</v>
          </cell>
          <cell r="H385" t="str">
            <v>08004499</v>
          </cell>
          <cell r="I385" t="str">
            <v>AL BARAKA BANK (PAKISTAN) LIMITED</v>
          </cell>
          <cell r="J385" t="str">
            <v>BANK</v>
          </cell>
          <cell r="K385" t="str">
            <v>HPA M/s. Al Baraka Bank (Pakistan) Limited
Mr. Rana Waheed Murad  
HPA M/s. Al Baraka Bank (Pakistan) Limited</v>
          </cell>
          <cell r="L385" t="str">
            <v>D</v>
          </cell>
          <cell r="M385" t="str">
            <v>09000221</v>
          </cell>
          <cell r="N385">
            <v>100</v>
          </cell>
          <cell r="O385" t="str">
            <v>MULTAN</v>
          </cell>
          <cell r="P385" t="str">
            <v>Ward No. 8 Street 1 Moh Gulab Pura Lodhran</v>
          </cell>
          <cell r="Q385" t="str">
            <v>11000003</v>
          </cell>
          <cell r="R385" t="str">
            <v>SUZUKI ALTO VXR E-2</v>
          </cell>
          <cell r="S385" t="str">
            <v>2021</v>
          </cell>
          <cell r="U385" t="str">
            <v>194197</v>
          </cell>
          <cell r="V385" t="str">
            <v>1094203</v>
          </cell>
          <cell r="X385" t="str">
            <v>3</v>
          </cell>
          <cell r="Y385">
            <v>1206400</v>
          </cell>
          <cell r="Z385">
            <v>18200</v>
          </cell>
          <cell r="AA385">
            <v>21112</v>
          </cell>
        </row>
        <row r="386">
          <cell r="B386" t="str">
            <v>KHI/HO/D/MO/PC COMP/C/102208/42/11/2024</v>
          </cell>
          <cell r="D386" t="str">
            <v>REN</v>
          </cell>
          <cell r="E386" t="str">
            <v>19/11/24</v>
          </cell>
          <cell r="F386" t="str">
            <v>24/11/2024</v>
          </cell>
          <cell r="G386" t="str">
            <v>23/11/2025</v>
          </cell>
          <cell r="H386" t="str">
            <v>08004499</v>
          </cell>
          <cell r="I386" t="str">
            <v>AL BARAKA BANK (PAKISTAN) LIMITED</v>
          </cell>
          <cell r="J386" t="str">
            <v>BANK</v>
          </cell>
          <cell r="K386" t="str">
            <v>HPA M/s. Al Baraka Bank (Pakistan) Limited
Mr. Tanveer Masih Gill
HPA M/s. Al Baraka Bank (Pakistan) Limited</v>
          </cell>
          <cell r="L386" t="str">
            <v>D</v>
          </cell>
          <cell r="M386" t="str">
            <v>09000221</v>
          </cell>
          <cell r="N386">
            <v>100</v>
          </cell>
          <cell r="O386" t="str">
            <v>GUJRANWALA</v>
          </cell>
          <cell r="P386" t="str">
            <v>Aziz Colony St No 5 Near Wazir Khan Masjid No3Gujranwala Sialkot Road Gujranwala</v>
          </cell>
          <cell r="Q386" t="str">
            <v>11000003</v>
          </cell>
          <cell r="R386" t="str">
            <v>SUZUKI WAGON R VXL AGS</v>
          </cell>
          <cell r="S386" t="str">
            <v>2020</v>
          </cell>
          <cell r="T386" t="str">
            <v>ACD-304</v>
          </cell>
          <cell r="U386" t="str">
            <v>PK10B204099</v>
          </cell>
          <cell r="V386" t="str">
            <v>PK10104096</v>
          </cell>
          <cell r="Y386">
            <v>1580000</v>
          </cell>
          <cell r="Z386">
            <v>23837</v>
          </cell>
          <cell r="AA386">
            <v>27650</v>
          </cell>
        </row>
        <row r="387">
          <cell r="B387" t="str">
            <v>KHI/HO/D/MO/PC COMP/C/102208/43/11/2024</v>
          </cell>
          <cell r="D387" t="str">
            <v>REN</v>
          </cell>
          <cell r="E387" t="str">
            <v>19/11/24</v>
          </cell>
          <cell r="F387" t="str">
            <v>25/11/2024</v>
          </cell>
          <cell r="G387" t="str">
            <v>24/11/2025</v>
          </cell>
          <cell r="H387" t="str">
            <v>08004499</v>
          </cell>
          <cell r="I387" t="str">
            <v>AL BARAKA BANK (PAKISTAN) LIMITED</v>
          </cell>
          <cell r="J387" t="str">
            <v>BANK</v>
          </cell>
          <cell r="K387" t="str">
            <v>HPA M/s. Al Baraka Bank (Pakistan) Limited
Mr. Usman Mehmood 
HPA M/s. Al Baraka Bank (Pakistan) Limited</v>
          </cell>
          <cell r="L387" t="str">
            <v>D</v>
          </cell>
          <cell r="M387" t="str">
            <v>09000221</v>
          </cell>
          <cell r="N387">
            <v>100</v>
          </cell>
          <cell r="O387" t="str">
            <v>RAWALPINDI</v>
          </cell>
          <cell r="P387" t="str">
            <v>H No 170 K Bill ST No 9 Mohallah Khurrum Colony Rawalpindi</v>
          </cell>
          <cell r="Q387" t="str">
            <v>11000003</v>
          </cell>
          <cell r="R387" t="str">
            <v>SUZUKI WAGON R VXL</v>
          </cell>
          <cell r="S387" t="str">
            <v>2021</v>
          </cell>
          <cell r="T387" t="str">
            <v>AWB-161</v>
          </cell>
          <cell r="U387" t="str">
            <v>224188</v>
          </cell>
          <cell r="V387" t="str">
            <v>10124221</v>
          </cell>
          <cell r="Y387">
            <v>1481600</v>
          </cell>
          <cell r="Z387">
            <v>22351</v>
          </cell>
          <cell r="AA387">
            <v>25928</v>
          </cell>
        </row>
        <row r="388">
          <cell r="B388" t="str">
            <v>KHI/HO/D/MO/PC COMP/C/102208/44/11/2024</v>
          </cell>
          <cell r="D388" t="str">
            <v>REN</v>
          </cell>
          <cell r="E388" t="str">
            <v>19/11/24</v>
          </cell>
          <cell r="F388" t="str">
            <v>22/11/2024</v>
          </cell>
          <cell r="G388" t="str">
            <v>21/11/2025</v>
          </cell>
          <cell r="H388" t="str">
            <v>08004499</v>
          </cell>
          <cell r="I388" t="str">
            <v>AL BARAKA BANK (PAKISTAN) LIMITED</v>
          </cell>
          <cell r="J388" t="str">
            <v>BANK</v>
          </cell>
          <cell r="K388" t="str">
            <v>HPA M/s. Al Baraka Bank (Pakistan) Limited
Mr. Iftikhar Ahmad
HPA M/s. Al Baraka Bank (Pakistan) Limited</v>
          </cell>
          <cell r="L388" t="str">
            <v>D</v>
          </cell>
          <cell r="M388" t="str">
            <v>09000221</v>
          </cell>
          <cell r="N388">
            <v>100</v>
          </cell>
          <cell r="O388" t="str">
            <v>GUJRANWALA</v>
          </cell>
          <cell r="P388" t="str">
            <v>H No 330-B Mohallah Chowk Ghaffar Park Gojra Distt Toba Tak Singh</v>
          </cell>
          <cell r="Q388" t="str">
            <v>11000003</v>
          </cell>
          <cell r="R388" t="str">
            <v>SUZUKI WAGON R VXL</v>
          </cell>
          <cell r="S388" t="str">
            <v>2021</v>
          </cell>
          <cell r="T388" t="str">
            <v>AGD-363</v>
          </cell>
          <cell r="U388" t="str">
            <v>224168</v>
          </cell>
          <cell r="V388" t="str">
            <v>10124188</v>
          </cell>
          <cell r="Y388">
            <v>1481600</v>
          </cell>
          <cell r="Z388">
            <v>22351</v>
          </cell>
          <cell r="AA388">
            <v>25928</v>
          </cell>
        </row>
        <row r="389">
          <cell r="B389" t="str">
            <v>KHI/HO/D/MO/PC COMP/C/102208/45/11/2024</v>
          </cell>
          <cell r="D389" t="str">
            <v>REN</v>
          </cell>
          <cell r="E389" t="str">
            <v>19/11/24</v>
          </cell>
          <cell r="F389" t="str">
            <v>25/11/2024</v>
          </cell>
          <cell r="G389" t="str">
            <v>24/11/2025</v>
          </cell>
          <cell r="H389" t="str">
            <v>08004499</v>
          </cell>
          <cell r="I389" t="str">
            <v>AL BARAKA BANK (PAKISTAN) LIMITED</v>
          </cell>
          <cell r="J389" t="str">
            <v>BANK</v>
          </cell>
          <cell r="K389" t="str">
            <v>HPA M/s. Al Baraka Bank (Pakistan) Limited
Mr. Muhammad Tahir Shah  
HPA M/s. Al Baraka Bank (Pakistan) Limited</v>
          </cell>
          <cell r="L389" t="str">
            <v>D</v>
          </cell>
          <cell r="M389" t="str">
            <v>09000221</v>
          </cell>
          <cell r="N389">
            <v>100</v>
          </cell>
          <cell r="O389" t="str">
            <v>MULTAN</v>
          </cell>
          <cell r="P389" t="str">
            <v>House No. 185 Green Town Bahadurpur Bosan Road Multan</v>
          </cell>
          <cell r="Q389" t="str">
            <v>11000003</v>
          </cell>
          <cell r="R389" t="str">
            <v>SUZUKI CULTUS VXL AGS EUR</v>
          </cell>
          <cell r="S389" t="str">
            <v>2021</v>
          </cell>
          <cell r="T389" t="str">
            <v>AEA-477</v>
          </cell>
          <cell r="U389" t="str">
            <v>172741</v>
          </cell>
          <cell r="V389" t="str">
            <v>10072763</v>
          </cell>
          <cell r="X389" t="str">
            <v>3</v>
          </cell>
          <cell r="Y389">
            <v>1640000</v>
          </cell>
          <cell r="Z389">
            <v>24742</v>
          </cell>
          <cell r="AA389">
            <v>28700</v>
          </cell>
        </row>
        <row r="390">
          <cell r="B390" t="str">
            <v>KHI/HO/D/MO/PC COMP/C/102208/46/11/2024</v>
          </cell>
          <cell r="D390" t="str">
            <v>REN</v>
          </cell>
          <cell r="E390" t="str">
            <v>19/11/24</v>
          </cell>
          <cell r="F390" t="str">
            <v>25/11/2024</v>
          </cell>
          <cell r="G390" t="str">
            <v>24/11/2025</v>
          </cell>
          <cell r="H390" t="str">
            <v>08004499</v>
          </cell>
          <cell r="I390" t="str">
            <v>AL BARAKA BANK (PAKISTAN) LIMITED</v>
          </cell>
          <cell r="J390" t="str">
            <v>BANK</v>
          </cell>
          <cell r="K390" t="str">
            <v>HPA M/s. Al Baraka Bank (Pakistan) Limited
Mr. Liaquat Ali 
HPA M/s. Al Baraka Bank (Pakistan) Limited</v>
          </cell>
          <cell r="L390" t="str">
            <v>D</v>
          </cell>
          <cell r="M390" t="str">
            <v>09000221</v>
          </cell>
          <cell r="N390">
            <v>100</v>
          </cell>
          <cell r="O390" t="str">
            <v>KASUR</v>
          </cell>
          <cell r="P390" t="str">
            <v>Out side Kot Pakka Qila Mohallah Roshan Abad Colony Kasur</v>
          </cell>
          <cell r="Q390" t="str">
            <v>11000003</v>
          </cell>
          <cell r="R390" t="str">
            <v>HONDA CITY 1.2 LS MT</v>
          </cell>
          <cell r="S390" t="str">
            <v>2021</v>
          </cell>
          <cell r="U390" t="str">
            <v>51004105</v>
          </cell>
          <cell r="V390" t="str">
            <v>5474</v>
          </cell>
          <cell r="X390" t="str">
            <v>3</v>
          </cell>
          <cell r="Y390">
            <v>2084000</v>
          </cell>
          <cell r="Z390">
            <v>31440</v>
          </cell>
          <cell r="AA390">
            <v>36470</v>
          </cell>
        </row>
        <row r="391">
          <cell r="B391" t="str">
            <v>KHI/HO/D/MO/PC COMP/C/102208/47/11/2024</v>
          </cell>
          <cell r="D391" t="str">
            <v>REN</v>
          </cell>
          <cell r="E391" t="str">
            <v>19/11/24</v>
          </cell>
          <cell r="F391" t="str">
            <v>26/11/2024</v>
          </cell>
          <cell r="G391" t="str">
            <v>25/11/2025</v>
          </cell>
          <cell r="H391" t="str">
            <v>08004499</v>
          </cell>
          <cell r="I391" t="str">
            <v>AL BARAKA BANK (PAKISTAN) LIMITED</v>
          </cell>
          <cell r="J391" t="str">
            <v>BANK</v>
          </cell>
          <cell r="K391" t="str">
            <v>HPA M/s. Al Baraka Bank (Pakistan) Limited
Mr. Waseem Arshad 
HPA M/s. Al Baraka Bank (Pakistan) Limited</v>
          </cell>
          <cell r="L391" t="str">
            <v>D</v>
          </cell>
          <cell r="M391" t="str">
            <v>09000221</v>
          </cell>
          <cell r="N391">
            <v>100</v>
          </cell>
          <cell r="O391" t="str">
            <v>FAISALABAD</v>
          </cell>
          <cell r="P391" t="str">
            <v>Chak 67 GB Fouji Lahorian Teh samundari Faisalabad</v>
          </cell>
          <cell r="Q391" t="str">
            <v>11000003</v>
          </cell>
          <cell r="R391" t="str">
            <v>HONDA CITY 1.2 LS MT</v>
          </cell>
          <cell r="S391" t="str">
            <v>2021</v>
          </cell>
          <cell r="T391" t="str">
            <v>AWA-502</v>
          </cell>
          <cell r="U391" t="str">
            <v>51004292</v>
          </cell>
          <cell r="V391" t="str">
            <v>MR005833</v>
          </cell>
          <cell r="X391" t="str">
            <v>3</v>
          </cell>
          <cell r="Y391">
            <v>2084000</v>
          </cell>
          <cell r="Z391">
            <v>44914</v>
          </cell>
          <cell r="AA391">
            <v>52100</v>
          </cell>
        </row>
        <row r="392">
          <cell r="B392" t="str">
            <v>KHI/HO/D/MO/PC COMP/C/102208/48/11/2024</v>
          </cell>
          <cell r="D392" t="str">
            <v>REN</v>
          </cell>
          <cell r="E392" t="str">
            <v>19/11/24</v>
          </cell>
          <cell r="F392" t="str">
            <v>24/11/2024</v>
          </cell>
          <cell r="G392" t="str">
            <v>23/11/2025</v>
          </cell>
          <cell r="H392" t="str">
            <v>08004499</v>
          </cell>
          <cell r="I392" t="str">
            <v>AL BARAKA BANK (PAKISTAN) LIMITED</v>
          </cell>
          <cell r="J392" t="str">
            <v>BANK</v>
          </cell>
          <cell r="K392" t="str">
            <v>HPA M/s. Al Baraka Bank (Pakistan) Limited
Mr. Qalab Abbas
HPA M/s. Al Baraka Bank (Pakistan) Limited</v>
          </cell>
          <cell r="L392" t="str">
            <v>D</v>
          </cell>
          <cell r="M392" t="str">
            <v>09000221</v>
          </cell>
          <cell r="N392">
            <v>100</v>
          </cell>
          <cell r="O392" t="str">
            <v>LAHORE</v>
          </cell>
          <cell r="P392" t="str">
            <v>H No16 ST No 42 Kashana jafri Near Takia Bamay Shah chan Miran Lahore</v>
          </cell>
          <cell r="Q392" t="str">
            <v>11000003</v>
          </cell>
          <cell r="R392" t="str">
            <v>HONDA CITY ASPIRE</v>
          </cell>
          <cell r="S392" t="str">
            <v>2021</v>
          </cell>
          <cell r="T392" t="str">
            <v>AFY-674</v>
          </cell>
          <cell r="U392" t="str">
            <v>1001563</v>
          </cell>
          <cell r="V392" t="str">
            <v>MR006076</v>
          </cell>
          <cell r="Y392">
            <v>2544000</v>
          </cell>
          <cell r="Z392">
            <v>38379</v>
          </cell>
          <cell r="AA392">
            <v>44520</v>
          </cell>
        </row>
        <row r="393">
          <cell r="B393" t="str">
            <v>KHI/HO/D/MO/PC COMP/C/102208/49/11/2024</v>
          </cell>
          <cell r="D393" t="str">
            <v>REN</v>
          </cell>
          <cell r="E393" t="str">
            <v>19/11/24</v>
          </cell>
          <cell r="F393" t="str">
            <v>24/11/2024</v>
          </cell>
          <cell r="G393" t="str">
            <v>23/11/2025</v>
          </cell>
          <cell r="H393" t="str">
            <v>08004499</v>
          </cell>
          <cell r="I393" t="str">
            <v>AL BARAKA BANK (PAKISTAN) LIMITED</v>
          </cell>
          <cell r="J393" t="str">
            <v>BANK</v>
          </cell>
          <cell r="K393" t="str">
            <v>HPA M/s. Al Baraka Bank (Pakistan) Limited
Ms. Maira Malik 
HPA M/s. Al Baraka Bank (Pakistan) Limited</v>
          </cell>
          <cell r="L393" t="str">
            <v>D</v>
          </cell>
          <cell r="M393" t="str">
            <v>09000221</v>
          </cell>
          <cell r="N393">
            <v>100</v>
          </cell>
          <cell r="O393" t="str">
            <v>MULTAN</v>
          </cell>
          <cell r="P393" t="str">
            <v>House No. 787 Mohallah Kohinoor Colony Suraj Kund Road Chowk Shah Abbas Multan</v>
          </cell>
          <cell r="Q393" t="str">
            <v>11000003</v>
          </cell>
          <cell r="R393" t="str">
            <v>KIA SPORTAGE FWD</v>
          </cell>
          <cell r="S393" t="str">
            <v>2021</v>
          </cell>
          <cell r="T393" t="str">
            <v>AWK-309</v>
          </cell>
          <cell r="U393" t="str">
            <v>318819</v>
          </cell>
          <cell r="V393" t="str">
            <v>102432</v>
          </cell>
          <cell r="X393" t="str">
            <v>3</v>
          </cell>
          <cell r="Y393">
            <v>3464000</v>
          </cell>
          <cell r="Z393">
            <v>44793</v>
          </cell>
          <cell r="AA393">
            <v>51960</v>
          </cell>
        </row>
        <row r="394">
          <cell r="B394" t="str">
            <v>KHI/HO/D/MO/PC COMP/C/102208/50/11/2024</v>
          </cell>
          <cell r="D394" t="str">
            <v>REN</v>
          </cell>
          <cell r="E394" t="str">
            <v>19/11/24</v>
          </cell>
          <cell r="F394" t="str">
            <v>29/11/2024</v>
          </cell>
          <cell r="G394" t="str">
            <v>28/11/2025</v>
          </cell>
          <cell r="H394" t="str">
            <v>08004499</v>
          </cell>
          <cell r="I394" t="str">
            <v>AL BARAKA BANK (PAKISTAN) LIMITED</v>
          </cell>
          <cell r="J394" t="str">
            <v>BANK</v>
          </cell>
          <cell r="K394" t="str">
            <v>HPA M/s. Al Baraka Bank (Pakistan) Limited
Mr. Faisal Mahmood 
HPA M/s. Al Baraka Bank (Pakistan) Limited</v>
          </cell>
          <cell r="L394" t="str">
            <v>D</v>
          </cell>
          <cell r="M394" t="str">
            <v>09000221</v>
          </cell>
          <cell r="N394">
            <v>100</v>
          </cell>
          <cell r="O394" t="str">
            <v>FAISALABAD</v>
          </cell>
          <cell r="P394" t="str">
            <v>P 219 /10 St No 4 Muhammad Pura Faisalabad</v>
          </cell>
          <cell r="Q394" t="str">
            <v>11000003</v>
          </cell>
          <cell r="R394" t="str">
            <v>SUZUKI CULTUS VXR</v>
          </cell>
          <cell r="S394" t="str">
            <v>2021</v>
          </cell>
          <cell r="U394" t="str">
            <v>189555</v>
          </cell>
          <cell r="V394" t="str">
            <v>10089537</v>
          </cell>
          <cell r="X394" t="str">
            <v>5</v>
          </cell>
          <cell r="Y394">
            <v>1324000</v>
          </cell>
          <cell r="Z394">
            <v>28535</v>
          </cell>
          <cell r="AA394">
            <v>33100</v>
          </cell>
        </row>
        <row r="395">
          <cell r="B395" t="str">
            <v>KHI/HO/D/MO/PC COMP/C/102208/51/11/2024</v>
          </cell>
          <cell r="D395" t="str">
            <v>REN</v>
          </cell>
          <cell r="E395" t="str">
            <v>19/11/24</v>
          </cell>
          <cell r="F395" t="str">
            <v>29/11/2024</v>
          </cell>
          <cell r="G395" t="str">
            <v>28/11/2025</v>
          </cell>
          <cell r="H395" t="str">
            <v>08004499</v>
          </cell>
          <cell r="I395" t="str">
            <v>AL BARAKA BANK (PAKISTAN) LIMITED</v>
          </cell>
          <cell r="J395" t="str">
            <v>BANK</v>
          </cell>
          <cell r="K395" t="str">
            <v>HPA M/s. Al Baraka Bank (Pakistan) Limited
Mr. Muhammad Usman  
HPA M/s. Al Baraka Bank (Pakistan) Limited</v>
          </cell>
          <cell r="L395" t="str">
            <v>D</v>
          </cell>
          <cell r="M395" t="str">
            <v>09000221</v>
          </cell>
          <cell r="N395">
            <v>100</v>
          </cell>
          <cell r="O395" t="str">
            <v>FAISALABAD</v>
          </cell>
          <cell r="P395" t="str">
            <v>House No. 156 Tower Wali Gali Seigal City Samundari Road Faisalabad</v>
          </cell>
          <cell r="Q395" t="str">
            <v>11000003</v>
          </cell>
          <cell r="R395" t="str">
            <v>HONDA CITY I-VTEC (M/T)</v>
          </cell>
          <cell r="S395" t="str">
            <v>2018</v>
          </cell>
          <cell r="T395" t="str">
            <v>LEC-18-5264</v>
          </cell>
          <cell r="U395" t="str">
            <v>L13Z17505930</v>
          </cell>
          <cell r="V395" t="str">
            <v>NFBGM1645JR217537</v>
          </cell>
          <cell r="X395" t="str">
            <v>3</v>
          </cell>
          <cell r="Y395">
            <v>2000000</v>
          </cell>
          <cell r="Z395">
            <v>30172</v>
          </cell>
          <cell r="AA395">
            <v>35000</v>
          </cell>
        </row>
        <row r="396">
          <cell r="B396" t="str">
            <v>KHI/HO/D/MO/PC COMP/C/102208/52/11/2024</v>
          </cell>
          <cell r="D396" t="str">
            <v>REN</v>
          </cell>
          <cell r="E396" t="str">
            <v>19/11/24</v>
          </cell>
          <cell r="F396" t="str">
            <v>30/11/2024</v>
          </cell>
          <cell r="G396" t="str">
            <v>29/11/2025</v>
          </cell>
          <cell r="H396" t="str">
            <v>08004499</v>
          </cell>
          <cell r="I396" t="str">
            <v>AL BARAKA BANK (PAKISTAN) LIMITED</v>
          </cell>
          <cell r="J396" t="str">
            <v>BANK</v>
          </cell>
          <cell r="K396" t="str">
            <v>HPA M/s. Al Baraka Bank (Pakistan) Limited
Mr. Inam Ul Haq Shah  
HPA M/s. Al Baraka Bank (Pakistan) Limited</v>
          </cell>
          <cell r="L396" t="str">
            <v>D</v>
          </cell>
          <cell r="M396" t="str">
            <v>09000221</v>
          </cell>
          <cell r="N396">
            <v>100</v>
          </cell>
          <cell r="O396" t="str">
            <v>LAHORE</v>
          </cell>
          <cell r="P396" t="str">
            <v>House No. E-168/3 Sheraz Villas Phase 3 Cavalary Gound Lahore</v>
          </cell>
          <cell r="Q396" t="str">
            <v>11000003</v>
          </cell>
          <cell r="R396" t="str">
            <v>SUZUKI WAGON-R VXL E2</v>
          </cell>
          <cell r="S396" t="str">
            <v>2018</v>
          </cell>
          <cell r="T396" t="str">
            <v>LE-18-8459</v>
          </cell>
          <cell r="U396" t="str">
            <v>147451</v>
          </cell>
          <cell r="V396" t="str">
            <v>10047452</v>
          </cell>
          <cell r="X396" t="str">
            <v>3</v>
          </cell>
          <cell r="Y396">
            <v>1080000</v>
          </cell>
          <cell r="Z396">
            <v>16293</v>
          </cell>
          <cell r="AA396">
            <v>18900</v>
          </cell>
        </row>
        <row r="397">
          <cell r="B397" t="str">
            <v>KHI/HO/D/MO/PC COMP/C/102208/53/11/2024</v>
          </cell>
          <cell r="D397" t="str">
            <v>REN</v>
          </cell>
          <cell r="E397" t="str">
            <v>19/11/24</v>
          </cell>
          <cell r="F397" t="str">
            <v>30/11/2024</v>
          </cell>
          <cell r="G397" t="str">
            <v>29/11/2025</v>
          </cell>
          <cell r="H397" t="str">
            <v>08004499</v>
          </cell>
          <cell r="I397" t="str">
            <v>AL BARAKA BANK (PAKISTAN) LIMITED</v>
          </cell>
          <cell r="J397" t="str">
            <v>BANK</v>
          </cell>
          <cell r="K397" t="str">
            <v>HPA M/s. Al Baraka Bank (Pakistan) Limited
Mr. Afzal Mahmood Sheikh 
HPA M/s. Al Baraka Bank (Pakistan) Limited</v>
          </cell>
          <cell r="L397" t="str">
            <v>D</v>
          </cell>
          <cell r="M397" t="str">
            <v>09000221</v>
          </cell>
          <cell r="N397">
            <v>100</v>
          </cell>
          <cell r="O397" t="str">
            <v>LAHORE</v>
          </cell>
          <cell r="P397" t="str">
            <v>House No. 02 Street 2 Mohallah Rehmat Pura Ya Ali Colony Qanchi Bazar Lahore</v>
          </cell>
          <cell r="Q397" t="str">
            <v>11000003</v>
          </cell>
          <cell r="R397" t="str">
            <v>CHANGAN ALSVIN LUMEIRE</v>
          </cell>
          <cell r="S397" t="str">
            <v>2021</v>
          </cell>
          <cell r="U397" t="str">
            <v>522085</v>
          </cell>
          <cell r="V397" t="str">
            <v>1004564</v>
          </cell>
          <cell r="X397" t="str">
            <v>3</v>
          </cell>
          <cell r="Y397">
            <v>2071200</v>
          </cell>
          <cell r="Z397">
            <v>31247</v>
          </cell>
          <cell r="AA397">
            <v>36246</v>
          </cell>
        </row>
        <row r="398">
          <cell r="B398" t="str">
            <v>KHI/HO/D/MO/PC COMP/C/102208/54/11/2024</v>
          </cell>
          <cell r="D398" t="str">
            <v>REN</v>
          </cell>
          <cell r="E398" t="str">
            <v>19/11/24</v>
          </cell>
          <cell r="F398" t="str">
            <v>30/11/2024</v>
          </cell>
          <cell r="G398" t="str">
            <v>29/11/2025</v>
          </cell>
          <cell r="H398" t="str">
            <v>08004499</v>
          </cell>
          <cell r="I398" t="str">
            <v>AL BARAKA BANK (PAKISTAN) LIMITED</v>
          </cell>
          <cell r="J398" t="str">
            <v>BANK</v>
          </cell>
          <cell r="K398" t="str">
            <v>HPA M/s. Al Baraka Bank (Pakistan) Limited
Mr. Hafiz Fahad Bin Munir  
HPA M/s. Al Baraka Bank (Pakistan) Limited</v>
          </cell>
          <cell r="L398" t="str">
            <v>D</v>
          </cell>
          <cell r="M398" t="str">
            <v>09000221</v>
          </cell>
          <cell r="N398">
            <v>100</v>
          </cell>
          <cell r="O398" t="str">
            <v>LAHORE</v>
          </cell>
          <cell r="P398" t="str">
            <v>House No. 19 Street 9 Mohallah New Wasanpura New Shadbagh Lahore</v>
          </cell>
          <cell r="Q398" t="str">
            <v>11000003</v>
          </cell>
          <cell r="R398" t="str">
            <v>SUZUKI WAGON-R VXL E2</v>
          </cell>
          <cell r="S398" t="str">
            <v>2021</v>
          </cell>
          <cell r="T398" t="str">
            <v>AGB-461</v>
          </cell>
          <cell r="U398" t="str">
            <v>223264</v>
          </cell>
          <cell r="V398" t="str">
            <v>10123256</v>
          </cell>
          <cell r="X398" t="str">
            <v>3</v>
          </cell>
          <cell r="Y398">
            <v>1481600</v>
          </cell>
          <cell r="Z398">
            <v>22351</v>
          </cell>
          <cell r="AA398">
            <v>25928</v>
          </cell>
        </row>
        <row r="399">
          <cell r="B399" t="str">
            <v>KHI/HO/D/MO/PC COMP/C/102208/55/11/2024</v>
          </cell>
          <cell r="D399" t="str">
            <v>REN</v>
          </cell>
          <cell r="E399" t="str">
            <v>19/11/24</v>
          </cell>
          <cell r="F399" t="str">
            <v>30/11/2024</v>
          </cell>
          <cell r="G399" t="str">
            <v>29/11/2025</v>
          </cell>
          <cell r="H399" t="str">
            <v>08004499</v>
          </cell>
          <cell r="I399" t="str">
            <v>AL BARAKA BANK (PAKISTAN) LIMITED</v>
          </cell>
          <cell r="J399" t="str">
            <v>BANK</v>
          </cell>
          <cell r="K399" t="str">
            <v>HPA M/s. Al Baraka Bank (Pakistan) Limited
Mr. Muhammad Saqib 
HPA M/s. Al Baraka Bank (Pakistan) Limited</v>
          </cell>
          <cell r="L399" t="str">
            <v>D</v>
          </cell>
          <cell r="M399" t="str">
            <v>09000221</v>
          </cell>
          <cell r="N399">
            <v>100</v>
          </cell>
          <cell r="O399" t="str">
            <v>LAHORE</v>
          </cell>
          <cell r="P399" t="str">
            <v>House No. 5 Street 10 Ranger Bazar Jory Pull Lahore</v>
          </cell>
          <cell r="Q399" t="str">
            <v>11000003</v>
          </cell>
          <cell r="R399" t="str">
            <v>SUZUKI WAGON-R VXL E2</v>
          </cell>
          <cell r="S399" t="str">
            <v>2021</v>
          </cell>
          <cell r="T399" t="str">
            <v>AGW-508</v>
          </cell>
          <cell r="U399" t="str">
            <v>PK10123971</v>
          </cell>
          <cell r="V399" t="str">
            <v>PK10B223993</v>
          </cell>
          <cell r="X399" t="str">
            <v>3</v>
          </cell>
          <cell r="Y399">
            <v>1481600</v>
          </cell>
          <cell r="Z399">
            <v>22351</v>
          </cell>
          <cell r="AA399">
            <v>25928</v>
          </cell>
        </row>
        <row r="400">
          <cell r="B400" t="str">
            <v>KHI/HO/D/MO/PC COMP/C/102208/56/11/2024</v>
          </cell>
          <cell r="D400" t="str">
            <v>REN</v>
          </cell>
          <cell r="E400" t="str">
            <v>19/11/24</v>
          </cell>
          <cell r="F400" t="str">
            <v>30/11/2024</v>
          </cell>
          <cell r="G400" t="str">
            <v>29/11/2025</v>
          </cell>
          <cell r="H400" t="str">
            <v>08004499</v>
          </cell>
          <cell r="I400" t="str">
            <v>AL BARAKA BANK (PAKISTAN) LIMITED</v>
          </cell>
          <cell r="J400" t="str">
            <v>BANK</v>
          </cell>
          <cell r="K400" t="str">
            <v>HPA M/s. Al Baraka Bank (Pakistan) Limited
Mr. Muhammad Irfan Ahmad  
HPA M/s. Al Baraka Bank (Pakistan) Limited</v>
          </cell>
          <cell r="L400" t="str">
            <v>D</v>
          </cell>
          <cell r="M400" t="str">
            <v>09000221</v>
          </cell>
          <cell r="N400">
            <v>100</v>
          </cell>
          <cell r="O400" t="str">
            <v>MULTAN</v>
          </cell>
          <cell r="P400" t="str">
            <v>Basti Dhorkat Suraj Miani Multan</v>
          </cell>
          <cell r="Q400" t="str">
            <v>11000003</v>
          </cell>
          <cell r="R400" t="str">
            <v>SUZUKI WAGON-R VXL E2</v>
          </cell>
          <cell r="S400" t="str">
            <v>2018</v>
          </cell>
          <cell r="T400" t="str">
            <v>MND-18-384</v>
          </cell>
          <cell r="U400" t="str">
            <v>168007</v>
          </cell>
          <cell r="V400" t="str">
            <v>10068002</v>
          </cell>
          <cell r="X400" t="str">
            <v>3</v>
          </cell>
          <cell r="Y400">
            <v>1220000</v>
          </cell>
          <cell r="Z400">
            <v>18405</v>
          </cell>
          <cell r="AA400">
            <v>21350</v>
          </cell>
        </row>
        <row r="401">
          <cell r="B401" t="str">
            <v>KHI/HO/D/MO/PC COMP/C/102208/57/11/2024</v>
          </cell>
          <cell r="D401" t="str">
            <v>REN</v>
          </cell>
          <cell r="E401" t="str">
            <v>19/11/24</v>
          </cell>
          <cell r="F401" t="str">
            <v>30/11/2024</v>
          </cell>
          <cell r="G401" t="str">
            <v>29/11/2025</v>
          </cell>
          <cell r="H401" t="str">
            <v>08004499</v>
          </cell>
          <cell r="I401" t="str">
            <v>AL BARAKA BANK (PAKISTAN) LIMITED</v>
          </cell>
          <cell r="J401" t="str">
            <v>BANK</v>
          </cell>
          <cell r="K401" t="str">
            <v>HPA M/s. Al Baraka Bank (Pakistan) Limited
Mr. Taimoor Shoukat
HPA M/S. Al Baraka Bank (Pakistan) Limited</v>
          </cell>
          <cell r="L401" t="str">
            <v>D</v>
          </cell>
          <cell r="M401" t="str">
            <v>09000221</v>
          </cell>
          <cell r="N401">
            <v>100</v>
          </cell>
          <cell r="O401" t="str">
            <v>LAHORE</v>
          </cell>
          <cell r="P401" t="str">
            <v>287 Mehran Block Allama Iqbal Town Lahore</v>
          </cell>
          <cell r="Q401" t="str">
            <v>11000003</v>
          </cell>
          <cell r="R401" t="str">
            <v>HONDA Civic CVT Oriel NAV</v>
          </cell>
          <cell r="S401" t="str">
            <v>2018</v>
          </cell>
          <cell r="T401" t="str">
            <v>AAY-065</v>
          </cell>
          <cell r="U401" t="str">
            <v>R18Z12927157</v>
          </cell>
          <cell r="V401" t="str">
            <v>R030515</v>
          </cell>
          <cell r="X401" t="str">
            <v>3</v>
          </cell>
          <cell r="Y401">
            <v>3040000</v>
          </cell>
          <cell r="Z401">
            <v>39310</v>
          </cell>
          <cell r="AA401">
            <v>45600</v>
          </cell>
        </row>
        <row r="402">
          <cell r="B402" t="str">
            <v>KHI/HO/D/MO/PC COMP/C/102208/58/11/2024</v>
          </cell>
          <cell r="D402" t="str">
            <v>REN</v>
          </cell>
          <cell r="E402" t="str">
            <v>19/11/24</v>
          </cell>
          <cell r="F402" t="str">
            <v>30/11/2024</v>
          </cell>
          <cell r="G402" t="str">
            <v>29/11/2025</v>
          </cell>
          <cell r="H402" t="str">
            <v>08004499</v>
          </cell>
          <cell r="I402" t="str">
            <v>AL BARAKA BANK (PAKISTAN) LIMITED</v>
          </cell>
          <cell r="J402" t="str">
            <v>BANK</v>
          </cell>
          <cell r="K402" t="str">
            <v>HPA M/s. Al Baraka Bank (Pakistan) Limited
Ms. Nayyar Jabeen  
HPA M/s. Al Baraka Bank (Pakistan) Limited</v>
          </cell>
          <cell r="L402" t="str">
            <v>D</v>
          </cell>
          <cell r="M402" t="str">
            <v>09000221</v>
          </cell>
          <cell r="N402">
            <v>100</v>
          </cell>
          <cell r="O402" t="str">
            <v>LAHORE</v>
          </cell>
          <cell r="P402" t="str">
            <v>27-C Canal Bank Ext Larex Colony Lahore</v>
          </cell>
          <cell r="Q402" t="str">
            <v>11000003</v>
          </cell>
          <cell r="R402" t="str">
            <v>HONDA BRV MTI I-VTEC 1.5L</v>
          </cell>
          <cell r="S402" t="str">
            <v>2020</v>
          </cell>
          <cell r="T402" t="str">
            <v>LE-20-694</v>
          </cell>
          <cell r="U402" t="str">
            <v>14800921</v>
          </cell>
          <cell r="V402" t="str">
            <v>017610</v>
          </cell>
          <cell r="X402" t="str">
            <v>3</v>
          </cell>
          <cell r="Y402">
            <v>2840000</v>
          </cell>
          <cell r="Z402">
            <v>36724</v>
          </cell>
          <cell r="AA402">
            <v>42600</v>
          </cell>
        </row>
        <row r="403">
          <cell r="B403" t="str">
            <v>KHI/HO/D/MO/PC COMP/C/102208/59/11/2024</v>
          </cell>
          <cell r="D403" t="str">
            <v>REN</v>
          </cell>
          <cell r="E403" t="str">
            <v>19/11/24</v>
          </cell>
          <cell r="F403" t="str">
            <v>30/11/2024</v>
          </cell>
          <cell r="G403" t="str">
            <v>29/11/2025</v>
          </cell>
          <cell r="H403" t="str">
            <v>08004499</v>
          </cell>
          <cell r="I403" t="str">
            <v>AL BARAKA BANK (PAKISTAN) LIMITED</v>
          </cell>
          <cell r="J403" t="str">
            <v>BANK</v>
          </cell>
          <cell r="K403" t="str">
            <v>HPA M/s. Al Baraka Bank (Pakistan) Limited
Mr. Shaikh Muhammad Talha 
HPA M/s. Al Baraka Bank (Pakistan) Limited</v>
          </cell>
          <cell r="L403" t="str">
            <v>D</v>
          </cell>
          <cell r="M403" t="str">
            <v>09000221</v>
          </cell>
          <cell r="N403">
            <v>100</v>
          </cell>
          <cell r="O403" t="str">
            <v>LAHORE</v>
          </cell>
          <cell r="P403" t="str">
            <v>123 Atta Turk Block New Garden Town Lahore</v>
          </cell>
          <cell r="Q403" t="str">
            <v>11000003</v>
          </cell>
          <cell r="R403" t="str">
            <v>TOYOTA COROLLA ALTIS VVT-</v>
          </cell>
          <cell r="S403" t="str">
            <v>2021</v>
          </cell>
          <cell r="T403" t="str">
            <v>AFY-880</v>
          </cell>
          <cell r="U403" t="str">
            <v>Q083607</v>
          </cell>
          <cell r="V403" t="str">
            <v>R6061107</v>
          </cell>
          <cell r="X403" t="str">
            <v>3</v>
          </cell>
          <cell r="Y403">
            <v>2626400</v>
          </cell>
          <cell r="Z403">
            <v>39623</v>
          </cell>
          <cell r="AA403">
            <v>45962</v>
          </cell>
        </row>
        <row r="404">
          <cell r="B404" t="str">
            <v>KHI/HO/D/MO/PC COMP/C/102208/60/11/2024</v>
          </cell>
          <cell r="D404" t="str">
            <v>REN</v>
          </cell>
          <cell r="E404" t="str">
            <v>19/11/24</v>
          </cell>
          <cell r="F404" t="str">
            <v>30/11/2024</v>
          </cell>
          <cell r="G404" t="str">
            <v>29/11/2025</v>
          </cell>
          <cell r="H404" t="str">
            <v>08004499</v>
          </cell>
          <cell r="I404" t="str">
            <v>AL BARAKA BANK (PAKISTAN) LIMITED</v>
          </cell>
          <cell r="J404" t="str">
            <v>BANK</v>
          </cell>
          <cell r="K404" t="str">
            <v>HPA M/s. Al Baraka Bank (Pakistan) Limited
Mr. Muhammad Arham 
HPA M/s. Al Baraka Bank (Pakistan) Limited</v>
          </cell>
          <cell r="L404" t="str">
            <v>D</v>
          </cell>
          <cell r="M404" t="str">
            <v>09000221</v>
          </cell>
          <cell r="N404">
            <v>100</v>
          </cell>
          <cell r="O404" t="str">
            <v>RAWALPINDI</v>
          </cell>
          <cell r="P404" t="str">
            <v>26-A Street 06 Lane 1 Gulraiz Ph 2 Rawalpindi</v>
          </cell>
          <cell r="Q404" t="str">
            <v>11000003</v>
          </cell>
          <cell r="R404" t="str">
            <v>CHANGAN KARVAAN PLUS</v>
          </cell>
          <cell r="S404" t="str">
            <v>2021</v>
          </cell>
          <cell r="T404" t="str">
            <v>AQX-311</v>
          </cell>
          <cell r="U404" t="str">
            <v>505740</v>
          </cell>
          <cell r="V404" t="str">
            <v>1009995</v>
          </cell>
          <cell r="X404" t="str">
            <v>3</v>
          </cell>
          <cell r="Y404">
            <v>1231200</v>
          </cell>
          <cell r="Z404">
            <v>18574</v>
          </cell>
          <cell r="AA404">
            <v>21546</v>
          </cell>
        </row>
        <row r="405">
          <cell r="B405" t="str">
            <v>KHI/HO/D/MO/PC COMP/C/102208/61/11/2024</v>
          </cell>
          <cell r="D405" t="str">
            <v>REN</v>
          </cell>
          <cell r="E405" t="str">
            <v>19/11/24</v>
          </cell>
          <cell r="F405" t="str">
            <v>30/11/2024</v>
          </cell>
          <cell r="G405" t="str">
            <v>29/11/2025</v>
          </cell>
          <cell r="H405" t="str">
            <v>08004499</v>
          </cell>
          <cell r="I405" t="str">
            <v>AL BARAKA BANK (PAKISTAN) LIMITED</v>
          </cell>
          <cell r="J405" t="str">
            <v>BANK</v>
          </cell>
          <cell r="K405" t="str">
            <v>HPA M/s. Al Baraka Bank (Pakistan) Limited
Mr. Muhammad Ehsan 
HPA M/s. Al Baraka Bank (Pakistan) Limited</v>
          </cell>
          <cell r="L405" t="str">
            <v>D</v>
          </cell>
          <cell r="M405" t="str">
            <v>09000221</v>
          </cell>
          <cell r="N405">
            <v>100</v>
          </cell>
          <cell r="O405" t="str">
            <v>LAHORE</v>
          </cell>
          <cell r="P405" t="str">
            <v>House NO. 220-F-2 Wapda Town Lahore</v>
          </cell>
          <cell r="Q405" t="str">
            <v>11000003</v>
          </cell>
          <cell r="R405" t="str">
            <v>SUZUKI WAGON-R VXL E2</v>
          </cell>
          <cell r="S405" t="str">
            <v>2021</v>
          </cell>
          <cell r="T405" t="str">
            <v>AHE-308</v>
          </cell>
          <cell r="U405" t="str">
            <v>PK10B224110</v>
          </cell>
          <cell r="V405" t="str">
            <v>PK10124065</v>
          </cell>
          <cell r="X405" t="str">
            <v>3</v>
          </cell>
          <cell r="Y405">
            <v>1481600</v>
          </cell>
          <cell r="Z405">
            <v>22351</v>
          </cell>
          <cell r="AA405">
            <v>25928</v>
          </cell>
        </row>
        <row r="406">
          <cell r="B406" t="str">
            <v>KHI/HO/D/MO/PC COMP/C/102208/62/11/2024</v>
          </cell>
          <cell r="D406" t="str">
            <v>REN</v>
          </cell>
          <cell r="E406" t="str">
            <v>19/11/24</v>
          </cell>
          <cell r="F406" t="str">
            <v>30/11/2024</v>
          </cell>
          <cell r="G406" t="str">
            <v>29/11/2025</v>
          </cell>
          <cell r="H406" t="str">
            <v>08004499</v>
          </cell>
          <cell r="I406" t="str">
            <v>AL BARAKA BANK (PAKISTAN) LIMITED</v>
          </cell>
          <cell r="J406" t="str">
            <v>BANK</v>
          </cell>
          <cell r="K406" t="str">
            <v>HPA M/s. Al Baraka Bank (Pakistan) Limited
Mr. Muhammad Naveed 
HPA M/s. Al Baraka Bank (Pakistan) Limited</v>
          </cell>
          <cell r="L406" t="str">
            <v>D</v>
          </cell>
          <cell r="M406" t="str">
            <v>09000221</v>
          </cell>
          <cell r="N406">
            <v>100</v>
          </cell>
          <cell r="O406" t="str">
            <v>FAISALABAD</v>
          </cell>
          <cell r="P406" t="str">
            <v>69 Main Road Al Noor Garden Faisalabad</v>
          </cell>
          <cell r="Q406" t="str">
            <v>11000003</v>
          </cell>
          <cell r="R406" t="str">
            <v>TOYOTA COROLLA ALTIS VVT-</v>
          </cell>
          <cell r="S406" t="str">
            <v>2021</v>
          </cell>
          <cell r="T406" t="str">
            <v>Reg no AGB-265</v>
          </cell>
          <cell r="U406" t="str">
            <v>Q084726</v>
          </cell>
          <cell r="V406" t="str">
            <v>6062194</v>
          </cell>
          <cell r="X406" t="str">
            <v>3</v>
          </cell>
          <cell r="Y406">
            <v>2626400</v>
          </cell>
          <cell r="Z406">
            <v>39623</v>
          </cell>
          <cell r="AA406">
            <v>45962</v>
          </cell>
        </row>
        <row r="407">
          <cell r="B407" t="str">
            <v>KHI/HO/D/MO/PC COMP/C/102208/63/11/2024</v>
          </cell>
          <cell r="D407" t="str">
            <v>REN</v>
          </cell>
          <cell r="E407" t="str">
            <v>19/11/24</v>
          </cell>
          <cell r="F407" t="str">
            <v>30/11/2024</v>
          </cell>
          <cell r="G407" t="str">
            <v>29/11/2025</v>
          </cell>
          <cell r="H407" t="str">
            <v>08004499</v>
          </cell>
          <cell r="I407" t="str">
            <v>AL BARAKA BANK (PAKISTAN) LIMITED</v>
          </cell>
          <cell r="J407" t="str">
            <v>BANK</v>
          </cell>
          <cell r="K407" t="str">
            <v>HPA M/s. Al Baraka Bank (Pakistan) Limited
Mr. Humayun 
HPA M/s. Al Baraka Bank (Pakistan) Limited</v>
          </cell>
          <cell r="L407" t="str">
            <v>D</v>
          </cell>
          <cell r="M407" t="str">
            <v>09000221</v>
          </cell>
          <cell r="N407">
            <v>100</v>
          </cell>
          <cell r="O407" t="str">
            <v>LAHORE</v>
          </cell>
          <cell r="P407" t="str">
            <v>Qazafi Colony Bismillah Park Badami Bagh Lahore</v>
          </cell>
          <cell r="Q407" t="str">
            <v>11000003</v>
          </cell>
          <cell r="R407" t="str">
            <v>SUZUKI WAGON-R VXL E2</v>
          </cell>
          <cell r="S407" t="str">
            <v>2021</v>
          </cell>
          <cell r="T407" t="str">
            <v>AGG-672</v>
          </cell>
          <cell r="U407" t="str">
            <v>10124645</v>
          </cell>
          <cell r="V407" t="str">
            <v>224693</v>
          </cell>
          <cell r="X407" t="str">
            <v>3</v>
          </cell>
          <cell r="Y407">
            <v>1481600</v>
          </cell>
          <cell r="Z407">
            <v>22351</v>
          </cell>
          <cell r="AA407">
            <v>25928</v>
          </cell>
        </row>
        <row r="408">
          <cell r="B408" t="str">
            <v>KHI/HO/D/MO/PC COMP/C/102212/1/11/2024</v>
          </cell>
          <cell r="D408" t="str">
            <v>REN</v>
          </cell>
          <cell r="E408" t="str">
            <v>19/11/24</v>
          </cell>
          <cell r="F408" t="str">
            <v>29/11/2024</v>
          </cell>
          <cell r="G408" t="str">
            <v>28/11/2025</v>
          </cell>
          <cell r="H408" t="str">
            <v>08004499</v>
          </cell>
          <cell r="I408" t="str">
            <v>AL BARAKA BANK (PAKISTAN) LIMITED</v>
          </cell>
          <cell r="J408" t="str">
            <v>BANK</v>
          </cell>
          <cell r="K408" t="str">
            <v>HPA M/s. Al Baraka Bank (Pakistan) Limited
Hpa M/S. Al Baraka Bank (Pakistan) Limited
User: Zafar  Ahmad</v>
          </cell>
          <cell r="L408" t="str">
            <v>D</v>
          </cell>
          <cell r="M408" t="str">
            <v>09000221</v>
          </cell>
          <cell r="N408">
            <v>100</v>
          </cell>
          <cell r="O408" t="str">
            <v>KARACHI</v>
          </cell>
          <cell r="P408" t="str">
            <v>House No. 1426 Bice Line Kaleem Shaheed Colony No.2 Faisalabad</v>
          </cell>
          <cell r="Q408" t="str">
            <v>11000003</v>
          </cell>
          <cell r="R408" t="str">
            <v>HONDA CITY I-VTEC A/T PT</v>
          </cell>
          <cell r="S408" t="str">
            <v>2018</v>
          </cell>
          <cell r="T408" t="str">
            <v>LEC-18A-8746</v>
          </cell>
          <cell r="U408" t="str">
            <v>7523473</v>
          </cell>
          <cell r="V408" t="str">
            <v>R240467</v>
          </cell>
          <cell r="W408" t="str">
            <v>05-dec-2025</v>
          </cell>
          <cell r="Y408">
            <v>1219400</v>
          </cell>
          <cell r="Z408">
            <v>34258</v>
          </cell>
          <cell r="AA408">
            <v>40240</v>
          </cell>
        </row>
        <row r="409">
          <cell r="B409" t="str">
            <v>KHI/HO/D/MO/PC COMP/C/102212/2/11/2024</v>
          </cell>
          <cell r="D409" t="str">
            <v>REN</v>
          </cell>
          <cell r="E409" t="str">
            <v>19/11/24</v>
          </cell>
          <cell r="F409" t="str">
            <v>05/11/2024</v>
          </cell>
          <cell r="G409" t="str">
            <v>04/11/2025</v>
          </cell>
          <cell r="H409" t="str">
            <v>08004499</v>
          </cell>
          <cell r="I409" t="str">
            <v>AL BARAKA BANK (PAKISTAN) LIMITED</v>
          </cell>
          <cell r="J409" t="str">
            <v>BANK</v>
          </cell>
          <cell r="K409" t="str">
            <v>HPA M/s. Al Baraka Bank (Pakistan) Limited
Hpa M/S. Al Baraka Bank (Pakistan) Limited
User: Samina  Rafique</v>
          </cell>
          <cell r="L409" t="str">
            <v>D</v>
          </cell>
          <cell r="M409" t="str">
            <v>09000221</v>
          </cell>
          <cell r="N409">
            <v>100</v>
          </cell>
          <cell r="O409" t="str">
            <v>KARACHI</v>
          </cell>
          <cell r="P409" t="str">
            <v>2nd Floor Bhatti International Hospital Raiwind Road Kasur .</v>
          </cell>
          <cell r="Q409" t="str">
            <v>11000003</v>
          </cell>
          <cell r="R409" t="str">
            <v>SUZUKI CULTUS VXL EURO II</v>
          </cell>
          <cell r="S409" t="str">
            <v>2018</v>
          </cell>
          <cell r="T409" t="str">
            <v>LEC-18A-9360</v>
          </cell>
          <cell r="U409" t="str">
            <v>131230</v>
          </cell>
          <cell r="V409" t="str">
            <v>H10031240</v>
          </cell>
          <cell r="W409" t="str">
            <v>05-dec-2025</v>
          </cell>
          <cell r="Y409">
            <v>975650</v>
          </cell>
          <cell r="Z409">
            <v>31541</v>
          </cell>
          <cell r="AA409">
            <v>36587</v>
          </cell>
        </row>
        <row r="410">
          <cell r="B410" t="str">
            <v>KHI/HO/D/MO/PC COMP/C/102212/3/11/2024</v>
          </cell>
          <cell r="D410" t="str">
            <v>REN</v>
          </cell>
          <cell r="E410" t="str">
            <v>19/11/24</v>
          </cell>
          <cell r="F410" t="str">
            <v>05/11/2024</v>
          </cell>
          <cell r="G410" t="str">
            <v>04/11/2025</v>
          </cell>
          <cell r="H410" t="str">
            <v>08004499</v>
          </cell>
          <cell r="I410" t="str">
            <v>AL BARAKA BANK (PAKISTAN) LIMITED</v>
          </cell>
          <cell r="J410" t="str">
            <v>BANK</v>
          </cell>
          <cell r="K410" t="str">
            <v>HPA M/s. Al Baraka Bank (Pakistan) Limited
Hpa M/S. Al Baraka Bank (Pakistan) Limited
User: Muhammad Idrees</v>
          </cell>
          <cell r="L410" t="str">
            <v>D</v>
          </cell>
          <cell r="M410" t="str">
            <v>09000221</v>
          </cell>
          <cell r="N410">
            <v>100</v>
          </cell>
          <cell r="O410" t="str">
            <v>KARACHI</v>
          </cell>
          <cell r="P410" t="str">
            <v>House No. 13 Street 3 Babu Sabu Road Shera Kot Lahore</v>
          </cell>
          <cell r="Q410" t="str">
            <v>11000003</v>
          </cell>
          <cell r="R410" t="str">
            <v>SUZUKI WAGON-R VXL E2</v>
          </cell>
          <cell r="S410" t="str">
            <v>2018</v>
          </cell>
          <cell r="T410" t="str">
            <v>LEC-18A-6259</v>
          </cell>
          <cell r="U410" t="str">
            <v>175093</v>
          </cell>
          <cell r="V410" t="str">
            <v>10075076</v>
          </cell>
          <cell r="W410" t="str">
            <v>05-dec-2025</v>
          </cell>
          <cell r="Y410">
            <v>769600</v>
          </cell>
          <cell r="Z410">
            <v>24879</v>
          </cell>
          <cell r="AA410">
            <v>28860</v>
          </cell>
        </row>
        <row r="411">
          <cell r="B411" t="str">
            <v>KHI/HO/D/MO/PC COMP/C/102212/4/11/2024</v>
          </cell>
          <cell r="D411" t="str">
            <v>REN</v>
          </cell>
          <cell r="E411" t="str">
            <v>19/11/24</v>
          </cell>
          <cell r="F411" t="str">
            <v>05/11/2024</v>
          </cell>
          <cell r="G411" t="str">
            <v>04/11/2025</v>
          </cell>
          <cell r="H411" t="str">
            <v>08004499</v>
          </cell>
          <cell r="I411" t="str">
            <v>AL BARAKA BANK (PAKISTAN) LIMITED</v>
          </cell>
          <cell r="J411" t="str">
            <v>BANK</v>
          </cell>
          <cell r="K411" t="str">
            <v>HPA M/s. Al Baraka Bank (Pakistan) Limited
Hpa M/S. Al Baraka Bank (Pakistan) Limited
User: Muhammad   Ahmad</v>
          </cell>
          <cell r="L411" t="str">
            <v>D</v>
          </cell>
          <cell r="M411" t="str">
            <v>09000221</v>
          </cell>
          <cell r="N411">
            <v>100</v>
          </cell>
          <cell r="O411" t="str">
            <v>KARACHI</v>
          </cell>
          <cell r="P411" t="str">
            <v>Chah Allah Ditta PO Chawka Road Kabotri Michinabad  Bahawalnagar</v>
          </cell>
          <cell r="Q411" t="str">
            <v>11000003</v>
          </cell>
          <cell r="R411" t="str">
            <v>SUZUKI ALTO VXR</v>
          </cell>
          <cell r="S411" t="str">
            <v>2019</v>
          </cell>
          <cell r="U411" t="str">
            <v>119291</v>
          </cell>
          <cell r="V411" t="str">
            <v>1019405</v>
          </cell>
          <cell r="W411" t="str">
            <v>05-nov-2025</v>
          </cell>
          <cell r="Y411">
            <v>915600</v>
          </cell>
          <cell r="Z411">
            <v>29599</v>
          </cell>
          <cell r="AA411">
            <v>34335</v>
          </cell>
        </row>
        <row r="412">
          <cell r="B412" t="str">
            <v>KHI/HO/D/MO/PC COMP/C/102212/5/11/2024</v>
          </cell>
          <cell r="D412" t="str">
            <v>REN</v>
          </cell>
          <cell r="E412" t="str">
            <v>19/11/24</v>
          </cell>
          <cell r="F412" t="str">
            <v>26/11/2024</v>
          </cell>
          <cell r="G412" t="str">
            <v>25/11/2025</v>
          </cell>
          <cell r="H412" t="str">
            <v>08004499</v>
          </cell>
          <cell r="I412" t="str">
            <v>AL BARAKA BANK (PAKISTAN) LIMITED</v>
          </cell>
          <cell r="J412" t="str">
            <v>BANK</v>
          </cell>
          <cell r="K412" t="str">
            <v>HPA M/s. Al Baraka Bank (Pakistan) Limited
Hpa M/S. Al Baraka Bank (Pakistan) Limited
User: Muhammad Baqir Sharif</v>
          </cell>
          <cell r="L412" t="str">
            <v>D</v>
          </cell>
          <cell r="M412" t="str">
            <v>09000221</v>
          </cell>
          <cell r="N412">
            <v>100</v>
          </cell>
          <cell r="O412" t="str">
            <v>KARACHI</v>
          </cell>
          <cell r="P412" t="str">
            <v>House No.948 Divin Garden New Airport Road Lahore</v>
          </cell>
          <cell r="Q412" t="str">
            <v>11000003</v>
          </cell>
          <cell r="R412" t="str">
            <v>TOYOTA COROLLA ALTIS VVT-</v>
          </cell>
          <cell r="S412" t="str">
            <v>2019</v>
          </cell>
          <cell r="T412" t="str">
            <v>APY-295</v>
          </cell>
          <cell r="U412" t="str">
            <v>Q063308</v>
          </cell>
          <cell r="V412" t="str">
            <v>ZRE171R-6040805</v>
          </cell>
          <cell r="W412" t="str">
            <v>05-dec-2025</v>
          </cell>
          <cell r="Y412">
            <v>2228100</v>
          </cell>
          <cell r="Z412">
            <v>72030</v>
          </cell>
          <cell r="AA412">
            <v>83554</v>
          </cell>
        </row>
        <row r="413">
          <cell r="B413" t="str">
            <v>KHI/HO/D/MO/PC COMP/C/102212/6/11/2024</v>
          </cell>
          <cell r="D413" t="str">
            <v>REN</v>
          </cell>
          <cell r="E413" t="str">
            <v>19/11/24</v>
          </cell>
          <cell r="F413" t="str">
            <v>29/11/2024</v>
          </cell>
          <cell r="G413" t="str">
            <v>28/11/2025</v>
          </cell>
          <cell r="H413" t="str">
            <v>08004499</v>
          </cell>
          <cell r="I413" t="str">
            <v>AL BARAKA BANK (PAKISTAN) LIMITED</v>
          </cell>
          <cell r="J413" t="str">
            <v>BANK</v>
          </cell>
          <cell r="K413" t="str">
            <v>HPA M/s. Al Baraka Bank (Pakistan) Limited
Hpa M/S. Al Baraka Bank (Pakistan) Limited
User: Shamia  Zeeshan</v>
          </cell>
          <cell r="L413" t="str">
            <v>D</v>
          </cell>
          <cell r="M413" t="str">
            <v>09000221</v>
          </cell>
          <cell r="N413">
            <v>100</v>
          </cell>
          <cell r="O413" t="str">
            <v>KARACHI</v>
          </cell>
          <cell r="P413" t="str">
            <v>House No.549 Block J Johar Town Lahore</v>
          </cell>
          <cell r="Q413" t="str">
            <v>11000003</v>
          </cell>
          <cell r="R413" t="str">
            <v>SUZUKI ALTO VXL AGS E-2</v>
          </cell>
          <cell r="S413" t="str">
            <v>2019</v>
          </cell>
          <cell r="T413" t="str">
            <v>LEC-8164</v>
          </cell>
          <cell r="U413" t="str">
            <v>122635</v>
          </cell>
          <cell r="V413" t="str">
            <v>1022661</v>
          </cell>
          <cell r="W413" t="str">
            <v>05-dec-2025</v>
          </cell>
          <cell r="Y413">
            <v>1062600</v>
          </cell>
          <cell r="Z413">
            <v>29771</v>
          </cell>
          <cell r="AA413">
            <v>34535</v>
          </cell>
        </row>
        <row r="414">
          <cell r="B414" t="str">
            <v>KHI/HO/D/MO/PC COMP/C/102212/7/11/2024</v>
          </cell>
          <cell r="D414" t="str">
            <v>REN</v>
          </cell>
          <cell r="E414" t="str">
            <v>19/11/24</v>
          </cell>
          <cell r="F414" t="str">
            <v>20/11/2024</v>
          </cell>
          <cell r="G414" t="str">
            <v>19/11/2025</v>
          </cell>
          <cell r="H414" t="str">
            <v>08004499</v>
          </cell>
          <cell r="I414" t="str">
            <v>AL BARAKA BANK (PAKISTAN) LIMITED</v>
          </cell>
          <cell r="J414" t="str">
            <v>BANK</v>
          </cell>
          <cell r="K414" t="str">
            <v>HPA M/s. Al Baraka Bank (Pakistan) Limited
Hpa M/S. Al Baraka Bank (Pakistan) Limited
User: Arif  Mehmood</v>
          </cell>
          <cell r="L414" t="str">
            <v>D</v>
          </cell>
          <cell r="M414" t="str">
            <v>09000221</v>
          </cell>
          <cell r="N414">
            <v>100</v>
          </cell>
          <cell r="O414" t="str">
            <v>KARACHI</v>
          </cell>
          <cell r="P414" t="str">
            <v>House No.3693 Hassan Parwana  Colony Lakar Mandi Chowk Multan</v>
          </cell>
          <cell r="Q414" t="str">
            <v>11000003</v>
          </cell>
          <cell r="R414" t="str">
            <v>TOYOTA YARIS GLI MT</v>
          </cell>
          <cell r="S414" t="str">
            <v>2020</v>
          </cell>
          <cell r="T414" t="str">
            <v>ABA-031</v>
          </cell>
          <cell r="U414" t="str">
            <v>2A12855</v>
          </cell>
          <cell r="V414" t="str">
            <v>7007570</v>
          </cell>
          <cell r="W414" t="str">
            <v>06-dec-2027</v>
          </cell>
          <cell r="Y414">
            <v>1870500</v>
          </cell>
          <cell r="Z414">
            <v>60469</v>
          </cell>
          <cell r="AA414">
            <v>70144</v>
          </cell>
        </row>
        <row r="415">
          <cell r="B415" t="str">
            <v>KHI/HO/D/MO/PC COMP/C/102212/8/11/2024</v>
          </cell>
          <cell r="D415" t="str">
            <v>REN</v>
          </cell>
          <cell r="E415" t="str">
            <v>19/11/24</v>
          </cell>
          <cell r="F415" t="str">
            <v>23/11/2024</v>
          </cell>
          <cell r="G415" t="str">
            <v>22/11/2025</v>
          </cell>
          <cell r="H415" t="str">
            <v>08004499</v>
          </cell>
          <cell r="I415" t="str">
            <v>AL BARAKA BANK (PAKISTAN) LIMITED</v>
          </cell>
          <cell r="J415" t="str">
            <v>BANK</v>
          </cell>
          <cell r="K415" t="str">
            <v>HPA M/s. Al Baraka Bank (Pakistan) Limited
Hpa M/S. Al Baraka Bank (Pakistan) Limited
User: Tayyab  Mudassar</v>
          </cell>
          <cell r="L415" t="str">
            <v>D</v>
          </cell>
          <cell r="M415" t="str">
            <v>09000221</v>
          </cell>
          <cell r="N415">
            <v>100</v>
          </cell>
          <cell r="O415" t="str">
            <v>KARACHI</v>
          </cell>
          <cell r="P415" t="str">
            <v>Street # Makhdoom Raiwind The &amp; Distt Lhr</v>
          </cell>
          <cell r="Q415" t="str">
            <v>11000003</v>
          </cell>
          <cell r="R415" t="str">
            <v>SUZUKI ALTO</v>
          </cell>
          <cell r="S415" t="str">
            <v>2020</v>
          </cell>
          <cell r="U415" t="str">
            <v>6R145684</v>
          </cell>
          <cell r="V415" t="str">
            <v>1045669</v>
          </cell>
          <cell r="W415" t="str">
            <v>05-dec-2025</v>
          </cell>
          <cell r="Y415">
            <v>898500</v>
          </cell>
          <cell r="Z415">
            <v>19364</v>
          </cell>
          <cell r="AA415">
            <v>22463</v>
          </cell>
        </row>
        <row r="416">
          <cell r="B416" t="str">
            <v>KHI/HO/D/MO/PC COMP/C/102212/9/11/2024</v>
          </cell>
          <cell r="D416" t="str">
            <v>REN</v>
          </cell>
          <cell r="E416" t="str">
            <v>19/11/24</v>
          </cell>
          <cell r="F416" t="str">
            <v>12/11/2024</v>
          </cell>
          <cell r="G416" t="str">
            <v>11/11/2025</v>
          </cell>
          <cell r="H416" t="str">
            <v>08004499</v>
          </cell>
          <cell r="I416" t="str">
            <v>AL BARAKA BANK (PAKISTAN) LIMITED</v>
          </cell>
          <cell r="J416" t="str">
            <v>BANK</v>
          </cell>
          <cell r="K416" t="str">
            <v>HPA M/s. Al Baraka Bank (Pakistan) Limited
Hpa M/S. Al Baraka Bank (Pakistan) Limited
User: Sheikh Muhammad Ali Madni</v>
          </cell>
          <cell r="L416" t="str">
            <v>D</v>
          </cell>
          <cell r="M416" t="str">
            <v>09000221</v>
          </cell>
          <cell r="N416">
            <v>100</v>
          </cell>
          <cell r="O416" t="str">
            <v>KARACHI</v>
          </cell>
          <cell r="P416" t="str">
            <v>House NO. 214 A Mohallah Model Town Khanpur</v>
          </cell>
          <cell r="Q416" t="str">
            <v>11000003</v>
          </cell>
          <cell r="R416" t="str">
            <v>HONDA CITY CVT ASPIRE A/T</v>
          </cell>
          <cell r="S416" t="str">
            <v>2020</v>
          </cell>
          <cell r="T416" t="str">
            <v>ABZ-808</v>
          </cell>
          <cell r="U416" t="str">
            <v>L15A79799965</v>
          </cell>
          <cell r="V416" t="str">
            <v>R265321</v>
          </cell>
          <cell r="W416" t="str">
            <v>06-dec-2027</v>
          </cell>
          <cell r="Y416">
            <v>2155200</v>
          </cell>
          <cell r="Z416">
            <v>46449</v>
          </cell>
          <cell r="AA416">
            <v>53880</v>
          </cell>
        </row>
        <row r="417">
          <cell r="B417" t="str">
            <v>KHI/HO/D/MO/PC COMP/C/102212/10/11/2024</v>
          </cell>
          <cell r="D417" t="str">
            <v>REN</v>
          </cell>
          <cell r="E417" t="str">
            <v>19/11/24</v>
          </cell>
          <cell r="F417" t="str">
            <v>12/11/2024</v>
          </cell>
          <cell r="G417" t="str">
            <v>11/11/2025</v>
          </cell>
          <cell r="H417" t="str">
            <v>08004499</v>
          </cell>
          <cell r="I417" t="str">
            <v>AL BARAKA BANK (PAKISTAN) LIMITED</v>
          </cell>
          <cell r="J417" t="str">
            <v>BANK</v>
          </cell>
          <cell r="K417" t="str">
            <v>HPA M/s. Al Baraka Bank (Pakistan) Limited
Hpa M/S. Al Baraka Bank (Pakistan) Limited
User: Abdul  Raheem</v>
          </cell>
          <cell r="L417" t="str">
            <v>D</v>
          </cell>
          <cell r="M417" t="str">
            <v>09000221</v>
          </cell>
          <cell r="N417">
            <v>100</v>
          </cell>
          <cell r="O417" t="str">
            <v>KARACHI</v>
          </cell>
          <cell r="P417" t="str">
            <v>House No. 3/974 Shah Faisal Colony No.3 Karachi</v>
          </cell>
          <cell r="Q417" t="str">
            <v>11000003</v>
          </cell>
          <cell r="R417" t="str">
            <v>TOYOTA COROLLA ALTIS VVT-</v>
          </cell>
          <cell r="S417" t="str">
            <v>2015</v>
          </cell>
          <cell r="T417" t="str">
            <v>BEL-535</v>
          </cell>
          <cell r="U417" t="str">
            <v>Q027808</v>
          </cell>
          <cell r="V417" t="str">
            <v>6005283</v>
          </cell>
          <cell r="W417" t="str">
            <v>05-dec-2025</v>
          </cell>
          <cell r="Y417">
            <v>1800000</v>
          </cell>
          <cell r="Z417">
            <v>38793</v>
          </cell>
          <cell r="AA417">
            <v>45000</v>
          </cell>
        </row>
        <row r="418">
          <cell r="B418" t="str">
            <v>KHI/HO/D/MO/PC COMP/C/102212/11/11/2024</v>
          </cell>
          <cell r="D418" t="str">
            <v>REN</v>
          </cell>
          <cell r="E418" t="str">
            <v>19/11/24</v>
          </cell>
          <cell r="F418" t="str">
            <v>06/11/2024</v>
          </cell>
          <cell r="G418" t="str">
            <v>05/11/2025</v>
          </cell>
          <cell r="H418" t="str">
            <v>08004499</v>
          </cell>
          <cell r="I418" t="str">
            <v>AL BARAKA BANK (PAKISTAN) LIMITED</v>
          </cell>
          <cell r="J418" t="str">
            <v>BANK</v>
          </cell>
          <cell r="K418" t="str">
            <v>HPA M/s. Al Baraka Bank (Pakistan) Limited
Hpa M/S. Al Baraka Bank (Pakistan) Limited
User: Rana Maqsood  Mehmood  Khan</v>
          </cell>
          <cell r="L418" t="str">
            <v>D</v>
          </cell>
          <cell r="M418" t="str">
            <v>09000221</v>
          </cell>
          <cell r="N418">
            <v>100</v>
          </cell>
          <cell r="O418" t="str">
            <v>KARACHI</v>
          </cell>
          <cell r="P418" t="str">
            <v>Nai Abadi Gullo Factory Street 3 Moh Muhammad Pura Arifwala</v>
          </cell>
          <cell r="Q418" t="str">
            <v>11000003</v>
          </cell>
          <cell r="R418" t="str">
            <v>SUZUKI BOLAN STD VX EURO</v>
          </cell>
          <cell r="S418" t="str">
            <v>2020</v>
          </cell>
          <cell r="T418" t="str">
            <v>AAZ-531</v>
          </cell>
          <cell r="U418" t="str">
            <v>1006681</v>
          </cell>
          <cell r="V418" t="str">
            <v>1123193</v>
          </cell>
          <cell r="W418" t="str">
            <v>05-nov-2025</v>
          </cell>
          <cell r="Y418">
            <v>850500</v>
          </cell>
          <cell r="Z418">
            <v>18330</v>
          </cell>
          <cell r="AA418">
            <v>21263</v>
          </cell>
        </row>
        <row r="419">
          <cell r="B419" t="str">
            <v>KHI/HO/D/MO/PC COMP/C/102212/12/11/2024</v>
          </cell>
          <cell r="D419" t="str">
            <v>REN</v>
          </cell>
          <cell r="E419" t="str">
            <v>19/11/24</v>
          </cell>
          <cell r="F419" t="str">
            <v>18/11/2024</v>
          </cell>
          <cell r="G419" t="str">
            <v>17/11/2025</v>
          </cell>
          <cell r="H419" t="str">
            <v>08004499</v>
          </cell>
          <cell r="I419" t="str">
            <v>AL BARAKA BANK (PAKISTAN) LIMITED</v>
          </cell>
          <cell r="J419" t="str">
            <v>BANK</v>
          </cell>
          <cell r="K419" t="str">
            <v>HPA M/s. Al Baraka Bank (Pakistan) Limited
Hpa M/S. Al Baraka Bank (Pakistan) Limited
User: Muhammad Yaseen Khan</v>
          </cell>
          <cell r="L419" t="str">
            <v>D</v>
          </cell>
          <cell r="M419" t="str">
            <v>09000221</v>
          </cell>
          <cell r="N419">
            <v>100</v>
          </cell>
          <cell r="O419" t="str">
            <v>KARACHI</v>
          </cell>
          <cell r="P419" t="str">
            <v>Flat No.47 Block C-2 Rabia City Gulistan-e-Johar Block 18 Karachi</v>
          </cell>
          <cell r="Q419" t="str">
            <v>11000003</v>
          </cell>
          <cell r="R419" t="str">
            <v>SUZUKI ALTO VXL AGS E-2</v>
          </cell>
          <cell r="S419" t="str">
            <v>2020</v>
          </cell>
          <cell r="T419" t="str">
            <v>BSP-832</v>
          </cell>
          <cell r="U419" t="str">
            <v>1425246</v>
          </cell>
          <cell r="V419" t="str">
            <v>1045199</v>
          </cell>
          <cell r="W419" t="str">
            <v>05-dec-2025</v>
          </cell>
          <cell r="Y419">
            <v>1224750</v>
          </cell>
          <cell r="Z419">
            <v>26396</v>
          </cell>
          <cell r="AA419">
            <v>30619</v>
          </cell>
        </row>
        <row r="420">
          <cell r="B420" t="str">
            <v>KHI/HO/D/MO/PC COMP/C/102212/13/11/2024</v>
          </cell>
          <cell r="D420" t="str">
            <v>REN</v>
          </cell>
          <cell r="E420" t="str">
            <v>19/11/24</v>
          </cell>
          <cell r="F420" t="str">
            <v>12/11/2024</v>
          </cell>
          <cell r="G420" t="str">
            <v>11/11/2025</v>
          </cell>
          <cell r="H420" t="str">
            <v>08004499</v>
          </cell>
          <cell r="I420" t="str">
            <v>AL BARAKA BANK (PAKISTAN) LIMITED</v>
          </cell>
          <cell r="J420" t="str">
            <v>BANK</v>
          </cell>
          <cell r="K420" t="str">
            <v>HPA M/s. Al Baraka Bank (Pakistan) Limited
Hpa M/S. Al Baraka Bank (Pakistan) Limited
User: Muhammad Adil Ameen</v>
          </cell>
          <cell r="L420" t="str">
            <v>D</v>
          </cell>
          <cell r="M420" t="str">
            <v>09000221</v>
          </cell>
          <cell r="N420">
            <v>100</v>
          </cell>
          <cell r="O420" t="str">
            <v>KARACHI</v>
          </cell>
          <cell r="P420" t="str">
            <v>House No. 99-A Jalil Abad Colony Multan</v>
          </cell>
          <cell r="Q420" t="str">
            <v>11000003</v>
          </cell>
          <cell r="R420" t="str">
            <v>HONDA CITY I-VTEC (M/T)</v>
          </cell>
          <cell r="S420" t="str">
            <v>2019</v>
          </cell>
          <cell r="T420" t="str">
            <v>MNB-19-678</v>
          </cell>
          <cell r="U420" t="str">
            <v>527568</v>
          </cell>
          <cell r="V420" t="str">
            <v>245352</v>
          </cell>
          <cell r="W420" t="str">
            <v>05-dec-2025</v>
          </cell>
          <cell r="Y420">
            <v>1800000</v>
          </cell>
          <cell r="Z420">
            <v>23276</v>
          </cell>
          <cell r="AA420">
            <v>27000</v>
          </cell>
        </row>
        <row r="421">
          <cell r="B421" t="str">
            <v>KHI/HO/D/MO/PC COMP/C/102212/14/11/2024</v>
          </cell>
          <cell r="D421" t="str">
            <v>REN</v>
          </cell>
          <cell r="E421" t="str">
            <v>19/11/24</v>
          </cell>
          <cell r="F421" t="str">
            <v>18/11/2024</v>
          </cell>
          <cell r="G421" t="str">
            <v>17/11/2025</v>
          </cell>
          <cell r="H421" t="str">
            <v>08004499</v>
          </cell>
          <cell r="I421" t="str">
            <v>AL BARAKA BANK (PAKISTAN) LIMITED</v>
          </cell>
          <cell r="J421" t="str">
            <v>BANK</v>
          </cell>
          <cell r="K421" t="str">
            <v>HPA M/s. Al Baraka Bank (Pakistan) Limited
Hpa M/S. Al Baraka Bank (Pakistan) Limited
User: Muhammad  Rafique</v>
          </cell>
          <cell r="L421" t="str">
            <v>D</v>
          </cell>
          <cell r="M421" t="str">
            <v>09000221</v>
          </cell>
          <cell r="N421">
            <v>100</v>
          </cell>
          <cell r="O421" t="str">
            <v>KARACHI</v>
          </cell>
          <cell r="P421" t="str">
            <v>Main Chowk Bhatta No.1 Near New Green Town Lahore</v>
          </cell>
          <cell r="Q421" t="str">
            <v>11000003</v>
          </cell>
          <cell r="R421" t="str">
            <v>SUZUKI WAGON-R VXL E2</v>
          </cell>
          <cell r="S421" t="str">
            <v>2020</v>
          </cell>
          <cell r="T421" t="str">
            <v>ABG-991</v>
          </cell>
          <cell r="U421" t="str">
            <v>206564</v>
          </cell>
          <cell r="V421" t="str">
            <v>10106588</v>
          </cell>
          <cell r="W421" t="str">
            <v>05-dec-2025</v>
          </cell>
          <cell r="Y421">
            <v>1297500</v>
          </cell>
          <cell r="Z421">
            <v>27963</v>
          </cell>
          <cell r="AA421">
            <v>32438</v>
          </cell>
        </row>
        <row r="422">
          <cell r="B422" t="str">
            <v>KHI/HO/D/MO/PC COMP/C/102212/15/11/2024</v>
          </cell>
          <cell r="D422" t="str">
            <v>REN</v>
          </cell>
          <cell r="E422" t="str">
            <v>19/11/24</v>
          </cell>
          <cell r="F422" t="str">
            <v>17/11/2024</v>
          </cell>
          <cell r="G422" t="str">
            <v>16/11/2025</v>
          </cell>
          <cell r="H422" t="str">
            <v>08004499</v>
          </cell>
          <cell r="I422" t="str">
            <v>AL BARAKA BANK (PAKISTAN) LIMITED</v>
          </cell>
          <cell r="J422" t="str">
            <v>BANK</v>
          </cell>
          <cell r="K422" t="str">
            <v>HPA M/s. Al Baraka Bank (Pakistan) Limited
Hpa M/S. Al Baraka Bank (Pakistan) Limited
User: Abdul  Waheed</v>
          </cell>
          <cell r="L422" t="str">
            <v>D</v>
          </cell>
          <cell r="M422" t="str">
            <v>09000221</v>
          </cell>
          <cell r="N422">
            <v>100</v>
          </cell>
          <cell r="O422" t="str">
            <v>KARACHI</v>
          </cell>
          <cell r="P422" t="str">
            <v>House No.10 Club Road Rahim yar Khan</v>
          </cell>
          <cell r="Q422" t="str">
            <v>11000003</v>
          </cell>
          <cell r="R422" t="str">
            <v>TOYOTA COROLLA ALTIS CVT</v>
          </cell>
          <cell r="S422" t="str">
            <v>2019</v>
          </cell>
          <cell r="T422" t="str">
            <v>BPP-141</v>
          </cell>
          <cell r="U422" t="str">
            <v>Q338818</v>
          </cell>
          <cell r="V422" t="str">
            <v>7037957</v>
          </cell>
          <cell r="W422" t="str">
            <v>05-dec-2025</v>
          </cell>
          <cell r="Y422">
            <v>2925000</v>
          </cell>
          <cell r="Z422">
            <v>37824</v>
          </cell>
          <cell r="AA422">
            <v>43875</v>
          </cell>
        </row>
        <row r="423">
          <cell r="B423" t="str">
            <v>KHI/HO/D/MO/PC COMP/C/102212/16/11/2024</v>
          </cell>
          <cell r="D423" t="str">
            <v>REN</v>
          </cell>
          <cell r="E423" t="str">
            <v>19/11/24</v>
          </cell>
          <cell r="F423" t="str">
            <v>20/11/2024</v>
          </cell>
          <cell r="G423" t="str">
            <v>19/11/2025</v>
          </cell>
          <cell r="H423" t="str">
            <v>08004499</v>
          </cell>
          <cell r="I423" t="str">
            <v>AL BARAKA BANK (PAKISTAN) LIMITED</v>
          </cell>
          <cell r="J423" t="str">
            <v>BANK</v>
          </cell>
          <cell r="K423" t="str">
            <v>HPA M/s. Al Baraka Bank (Pakistan) Limited
Hpa M/S. Al Baraka Bank (Pakistan) Limited
User: Nabeel  Mughal</v>
          </cell>
          <cell r="L423" t="str">
            <v>D</v>
          </cell>
          <cell r="M423" t="str">
            <v>09000221</v>
          </cell>
          <cell r="N423">
            <v>100</v>
          </cell>
          <cell r="O423" t="str">
            <v>KARACHI</v>
          </cell>
          <cell r="P423" t="str">
            <v>House No.9-C Street 4 Okaf Colony Baghbanpura Housing Scheme Lahore</v>
          </cell>
          <cell r="Q423" t="str">
            <v>11000003</v>
          </cell>
          <cell r="R423" t="str">
            <v>HONDA VEZEL HYBRID A/T.</v>
          </cell>
          <cell r="S423" t="str">
            <v>2015</v>
          </cell>
          <cell r="T423" t="str">
            <v>LEF-15-3470</v>
          </cell>
          <cell r="U423" t="str">
            <v>387449</v>
          </cell>
          <cell r="V423" t="str">
            <v>RU31071095</v>
          </cell>
          <cell r="W423" t="str">
            <v>05-dec-2025</v>
          </cell>
          <cell r="Y423">
            <v>2625000</v>
          </cell>
          <cell r="Z423">
            <v>33944</v>
          </cell>
          <cell r="AA423">
            <v>39375</v>
          </cell>
        </row>
        <row r="424">
          <cell r="B424" t="str">
            <v>KHI/HO/D/MO/PC COMP/C/102212/17/11/2024</v>
          </cell>
          <cell r="D424" t="str">
            <v>REN</v>
          </cell>
          <cell r="E424" t="str">
            <v>19/11/24</v>
          </cell>
          <cell r="F424" t="str">
            <v>16/11/2024</v>
          </cell>
          <cell r="G424" t="str">
            <v>15/11/2025</v>
          </cell>
          <cell r="H424" t="str">
            <v>08004499</v>
          </cell>
          <cell r="I424" t="str">
            <v>AL BARAKA BANK (PAKISTAN) LIMITED</v>
          </cell>
          <cell r="J424" t="str">
            <v>BANK</v>
          </cell>
          <cell r="K424" t="str">
            <v>HPA M/s. Al Baraka Bank (Pakistan) Limited
Hpa M/S. Al Baraka Bank (Pakistan) Limited
User: Samar  Abbas</v>
          </cell>
          <cell r="L424" t="str">
            <v>D</v>
          </cell>
          <cell r="M424" t="str">
            <v>09000221</v>
          </cell>
          <cell r="N424">
            <v>100</v>
          </cell>
          <cell r="O424" t="str">
            <v>KARACHI</v>
          </cell>
          <cell r="P424" t="str">
            <v>House No.19 Abubakar Block Bismillah HOusing Scheme Manawa Lahore</v>
          </cell>
          <cell r="Q424" t="str">
            <v>11000003</v>
          </cell>
          <cell r="R424" t="str">
            <v>SUZUKI CULTUS VXL EURO II</v>
          </cell>
          <cell r="S424" t="str">
            <v>2020</v>
          </cell>
          <cell r="T424" t="str">
            <v>LEA-20-1775</v>
          </cell>
          <cell r="U424" t="str">
            <v>154891</v>
          </cell>
          <cell r="V424" t="str">
            <v>10054871</v>
          </cell>
          <cell r="W424" t="str">
            <v>05-dec-2025</v>
          </cell>
          <cell r="Y424">
            <v>1425000</v>
          </cell>
          <cell r="Z424">
            <v>30711</v>
          </cell>
          <cell r="AA424">
            <v>35625</v>
          </cell>
        </row>
        <row r="425">
          <cell r="B425" t="str">
            <v>KHI/HO/D/MO/PC COMP/C/102212/18/11/2024</v>
          </cell>
          <cell r="D425" t="str">
            <v>REN</v>
          </cell>
          <cell r="E425" t="str">
            <v>19/11/24</v>
          </cell>
          <cell r="F425" t="str">
            <v>20/11/2024</v>
          </cell>
          <cell r="G425" t="str">
            <v>19/11/2025</v>
          </cell>
          <cell r="H425" t="str">
            <v>08004499</v>
          </cell>
          <cell r="I425" t="str">
            <v>AL BARAKA BANK (PAKISTAN) LIMITED</v>
          </cell>
          <cell r="J425" t="str">
            <v>BANK</v>
          </cell>
          <cell r="K425" t="str">
            <v>HPA M/s. Al Baraka Bank (Pakistan) Limited
Hpa M/S. Al Baraka Bank (Pakistan) Limited
User: Ahmad Raza Khan</v>
          </cell>
          <cell r="L425" t="str">
            <v>D</v>
          </cell>
          <cell r="M425" t="str">
            <v>09000221</v>
          </cell>
          <cell r="N425">
            <v>100</v>
          </cell>
          <cell r="O425" t="str">
            <v>KARACHI</v>
          </cell>
          <cell r="P425" t="str">
            <v>Boota Kot Jageer Bhuman Shah Tehsil Sepalpur Dist Okara</v>
          </cell>
          <cell r="Q425" t="str">
            <v>11000003</v>
          </cell>
          <cell r="R425" t="str">
            <v>HONDA CIVIC VTI  ORIEL PT</v>
          </cell>
          <cell r="S425" t="str">
            <v>2020</v>
          </cell>
          <cell r="T425" t="str">
            <v>ARJ-710</v>
          </cell>
          <cell r="U425" t="str">
            <v>16914895</v>
          </cell>
          <cell r="V425" t="str">
            <v>LR066815</v>
          </cell>
          <cell r="W425" t="str">
            <v>05-dec-2025</v>
          </cell>
          <cell r="Y425">
            <v>3039375</v>
          </cell>
          <cell r="Z425">
            <v>39303</v>
          </cell>
          <cell r="AA425">
            <v>45591</v>
          </cell>
        </row>
        <row r="426">
          <cell r="B426" t="str">
            <v>KHI/HO/D/MO/PC COMP/C/102212/19/11/2024</v>
          </cell>
          <cell r="D426" t="str">
            <v>REN</v>
          </cell>
          <cell r="E426" t="str">
            <v>19/11/24</v>
          </cell>
          <cell r="F426" t="str">
            <v>17/11/2024</v>
          </cell>
          <cell r="G426" t="str">
            <v>16/11/2025</v>
          </cell>
          <cell r="H426" t="str">
            <v>08004499</v>
          </cell>
          <cell r="I426" t="str">
            <v>AL BARAKA BANK (PAKISTAN) LIMITED</v>
          </cell>
          <cell r="J426" t="str">
            <v>BANK</v>
          </cell>
          <cell r="K426" t="str">
            <v>HPA M/s. Al Baraka Bank (Pakistan) Limited
Hpa M/S. Al Baraka Bank (Pakistan) Limited
User: Umar Shahab Ud Din</v>
          </cell>
          <cell r="L426" t="str">
            <v>D</v>
          </cell>
          <cell r="M426" t="str">
            <v>09000221</v>
          </cell>
          <cell r="N426">
            <v>100</v>
          </cell>
          <cell r="O426" t="str">
            <v>KARACHI</v>
          </cell>
          <cell r="P426" t="str">
            <v>Chak No. 53/E-B PO Chak No.51/E-B Arifwala</v>
          </cell>
          <cell r="Q426" t="str">
            <v>11000003</v>
          </cell>
          <cell r="R426" t="str">
            <v>HONDA BRV I-VTEC S STD</v>
          </cell>
          <cell r="S426" t="str">
            <v>2020</v>
          </cell>
          <cell r="T426" t="str">
            <v>ABE-846</v>
          </cell>
          <cell r="U426" t="str">
            <v>4803097</v>
          </cell>
          <cell r="V426" t="str">
            <v>LR019785</v>
          </cell>
          <cell r="W426" t="str">
            <v>06-dec-2027</v>
          </cell>
          <cell r="Y426">
            <v>2621625</v>
          </cell>
          <cell r="Z426">
            <v>56501</v>
          </cell>
          <cell r="AA426">
            <v>65541</v>
          </cell>
        </row>
        <row r="427">
          <cell r="B427" t="str">
            <v>KHI/HO/D/MO/PC COMP/C/102212/20/11/2024</v>
          </cell>
          <cell r="D427" t="str">
            <v>REN</v>
          </cell>
          <cell r="E427" t="str">
            <v>19/11/24</v>
          </cell>
          <cell r="F427" t="str">
            <v>19/11/2024</v>
          </cell>
          <cell r="G427" t="str">
            <v>18/11/2025</v>
          </cell>
          <cell r="H427" t="str">
            <v>08004499</v>
          </cell>
          <cell r="I427" t="str">
            <v>AL BARAKA BANK (PAKISTAN) LIMITED</v>
          </cell>
          <cell r="J427" t="str">
            <v>BANK</v>
          </cell>
          <cell r="K427" t="str">
            <v>HPA M/s. Al Baraka Bank (Pakistan) Limited
Hpa M/S. Al Baraka Bank (Pakistan) Limited
User: Hafiz Muhammad Athar</v>
          </cell>
          <cell r="L427" t="str">
            <v>D</v>
          </cell>
          <cell r="M427" t="str">
            <v>09000221</v>
          </cell>
          <cell r="N427">
            <v>100</v>
          </cell>
          <cell r="O427" t="str">
            <v>KARACHI</v>
          </cell>
          <cell r="P427" t="str">
            <v>Sheikh Cotton Colony  House No. 105/3/14 Vehari</v>
          </cell>
          <cell r="Q427" t="str">
            <v>11000003</v>
          </cell>
          <cell r="R427" t="str">
            <v>TOYOTA YARIS ATIV X CVT</v>
          </cell>
          <cell r="S427" t="str">
            <v>2020</v>
          </cell>
          <cell r="T427" t="str">
            <v>ACE-313</v>
          </cell>
          <cell r="U427" t="str">
            <v>2A10214</v>
          </cell>
          <cell r="V427" t="str">
            <v>9504297</v>
          </cell>
          <cell r="W427" t="str">
            <v>05-dec-2025</v>
          </cell>
          <cell r="Y427">
            <v>2271000</v>
          </cell>
          <cell r="Z427">
            <v>39155</v>
          </cell>
          <cell r="AA427">
            <v>45420</v>
          </cell>
        </row>
        <row r="428">
          <cell r="B428" t="str">
            <v>KHI/HO/D/MO/PC COMP/C/102212/21/11/2024</v>
          </cell>
          <cell r="D428" t="str">
            <v>REN</v>
          </cell>
          <cell r="E428" t="str">
            <v>19/11/24</v>
          </cell>
          <cell r="F428" t="str">
            <v>20/11/2024</v>
          </cell>
          <cell r="G428" t="str">
            <v>19/11/2025</v>
          </cell>
          <cell r="H428" t="str">
            <v>08004499</v>
          </cell>
          <cell r="I428" t="str">
            <v>AL BARAKA BANK (PAKISTAN) LIMITED</v>
          </cell>
          <cell r="J428" t="str">
            <v>BANK</v>
          </cell>
          <cell r="K428" t="str">
            <v>HPA M/s. Al Baraka Bank (Pakistan) Limited
Hpa M/S. Al Baraka Bank (Pakistan) Limited
User: Muhammad Asif Awan</v>
          </cell>
          <cell r="L428" t="str">
            <v>D</v>
          </cell>
          <cell r="M428" t="str">
            <v>09000221</v>
          </cell>
          <cell r="N428">
            <v>100</v>
          </cell>
          <cell r="O428" t="str">
            <v>KARACHI</v>
          </cell>
          <cell r="P428" t="str">
            <v>House No. 194 Phase 1 AA Block City HOusing Gujranwala</v>
          </cell>
          <cell r="Q428" t="str">
            <v>11000003</v>
          </cell>
          <cell r="R428" t="str">
            <v>TOYOTA COROLLA GLI M/T 1.</v>
          </cell>
          <cell r="S428" t="str">
            <v>2020</v>
          </cell>
          <cell r="T428" t="str">
            <v>ABA-659</v>
          </cell>
          <cell r="U428" t="str">
            <v>Z579487</v>
          </cell>
          <cell r="V428" t="str">
            <v>4204393</v>
          </cell>
          <cell r="W428" t="str">
            <v>05-dec-2025</v>
          </cell>
          <cell r="Y428">
            <v>2175000</v>
          </cell>
          <cell r="Z428">
            <v>46875</v>
          </cell>
          <cell r="AA428">
            <v>54375</v>
          </cell>
        </row>
        <row r="429">
          <cell r="B429" t="str">
            <v>KHI/HO/D/MO/PC COMP/C/102212/22/11/2024</v>
          </cell>
          <cell r="D429" t="str">
            <v>REN</v>
          </cell>
          <cell r="E429" t="str">
            <v>19/11/24</v>
          </cell>
          <cell r="F429" t="str">
            <v>20/11/2024</v>
          </cell>
          <cell r="G429" t="str">
            <v>19/11/2025</v>
          </cell>
          <cell r="H429" t="str">
            <v>08004499</v>
          </cell>
          <cell r="I429" t="str">
            <v>AL BARAKA BANK (PAKISTAN) LIMITED</v>
          </cell>
          <cell r="J429" t="str">
            <v>BANK</v>
          </cell>
          <cell r="K429" t="str">
            <v>HPA M/s. Al Baraka Bank (Pakistan) Limited
Hpa M/S. Al Baraka Bank (Pakistan) Limited
User: Shabbir  Ahmed</v>
          </cell>
          <cell r="L429" t="str">
            <v>D</v>
          </cell>
          <cell r="M429" t="str">
            <v>09000221</v>
          </cell>
          <cell r="N429">
            <v>100</v>
          </cell>
          <cell r="O429" t="str">
            <v>KARACHI</v>
          </cell>
          <cell r="P429" t="str">
            <v>House No. 02 Street 12 A Road 3 Kund Rajan Chatta Bakhtawar Islamabad</v>
          </cell>
          <cell r="Q429" t="str">
            <v>11000003</v>
          </cell>
          <cell r="R429" t="str">
            <v>SUZUKI EVERY WAGON</v>
          </cell>
          <cell r="S429" t="str">
            <v>2016</v>
          </cell>
          <cell r="T429" t="str">
            <v>AFA-374</v>
          </cell>
          <cell r="U429" t="str">
            <v>1771488</v>
          </cell>
          <cell r="V429" t="str">
            <v>167838</v>
          </cell>
          <cell r="W429" t="str">
            <v>05-dec-2025</v>
          </cell>
          <cell r="Y429">
            <v>1125000</v>
          </cell>
          <cell r="Z429">
            <v>24246</v>
          </cell>
          <cell r="AA429">
            <v>28125</v>
          </cell>
        </row>
        <row r="430">
          <cell r="B430" t="str">
            <v>KHI/HO/D/MO/PC COMP/C/102212/23/11/2024</v>
          </cell>
          <cell r="D430" t="str">
            <v>REN</v>
          </cell>
          <cell r="E430" t="str">
            <v>19/11/24</v>
          </cell>
          <cell r="F430" t="str">
            <v>24/11/2024</v>
          </cell>
          <cell r="G430" t="str">
            <v>23/11/2025</v>
          </cell>
          <cell r="H430" t="str">
            <v>08004499</v>
          </cell>
          <cell r="I430" t="str">
            <v>AL BARAKA BANK (PAKISTAN) LIMITED</v>
          </cell>
          <cell r="J430" t="str">
            <v>BANK</v>
          </cell>
          <cell r="K430" t="str">
            <v>HPA M/s. Al Baraka Bank (Pakistan) Limited
Hpa M/S. Al Baraka Bank (Pakistan) Limited
User: Muhammad Adeel Asif</v>
          </cell>
          <cell r="L430" t="str">
            <v>D</v>
          </cell>
          <cell r="M430" t="str">
            <v>09000221</v>
          </cell>
          <cell r="N430">
            <v>100</v>
          </cell>
          <cell r="O430" t="str">
            <v>KARACHI</v>
          </cell>
          <cell r="P430" t="str">
            <v>Chak # 13 Wb Po Vehari Tehsil &amp; Distruict Vehari</v>
          </cell>
          <cell r="Q430" t="str">
            <v>11000003</v>
          </cell>
          <cell r="R430" t="str">
            <v>TOYOTA COROLLA GLI A/T LE</v>
          </cell>
          <cell r="S430" t="str">
            <v>2015</v>
          </cell>
          <cell r="T430" t="str">
            <v>LEH-15-2847</v>
          </cell>
          <cell r="U430" t="str">
            <v>Z324684</v>
          </cell>
          <cell r="V430" t="str">
            <v>4047465</v>
          </cell>
          <cell r="W430" t="str">
            <v>05-dec-2025</v>
          </cell>
          <cell r="Y430">
            <v>1762500</v>
          </cell>
          <cell r="Z430">
            <v>37985</v>
          </cell>
          <cell r="AA430">
            <v>44063</v>
          </cell>
        </row>
        <row r="431">
          <cell r="B431" t="str">
            <v>KHI/HO/D/MO/PC COMP/C/102212/24/11/2024</v>
          </cell>
          <cell r="D431" t="str">
            <v>REN</v>
          </cell>
          <cell r="E431" t="str">
            <v>19/11/24</v>
          </cell>
          <cell r="F431" t="str">
            <v>20/11/2024</v>
          </cell>
          <cell r="G431" t="str">
            <v>19/11/2025</v>
          </cell>
          <cell r="H431" t="str">
            <v>08004499</v>
          </cell>
          <cell r="I431" t="str">
            <v>AL BARAKA BANK (PAKISTAN) LIMITED</v>
          </cell>
          <cell r="J431" t="str">
            <v>BANK</v>
          </cell>
          <cell r="K431" t="str">
            <v>HPA M/s. Al Baraka Bank (Pakistan) Limited
Hpa M/S. Al Baraka Bank (Pakistan) Limited
User: Aman  Ullah</v>
          </cell>
          <cell r="L431" t="str">
            <v>D</v>
          </cell>
          <cell r="M431" t="str">
            <v>09000221</v>
          </cell>
          <cell r="N431">
            <v>100</v>
          </cell>
          <cell r="O431" t="str">
            <v>KARACHI</v>
          </cell>
          <cell r="P431" t="str">
            <v>House No.50 Street 19 Zafar Colony Samanabad  Lahore</v>
          </cell>
          <cell r="Q431" t="str">
            <v>11000003</v>
          </cell>
          <cell r="R431" t="str">
            <v>HONDA CITY I-VTEC (M/T)</v>
          </cell>
          <cell r="S431" t="str">
            <v>2020</v>
          </cell>
          <cell r="T431" t="str">
            <v>ABC-220</v>
          </cell>
          <cell r="U431" t="str">
            <v>7542019</v>
          </cell>
          <cell r="V431" t="str">
            <v>265148</v>
          </cell>
          <cell r="W431" t="str">
            <v>05-dec-2025</v>
          </cell>
          <cell r="Y431">
            <v>1841250</v>
          </cell>
          <cell r="Z431">
            <v>39682</v>
          </cell>
          <cell r="AA431">
            <v>46031</v>
          </cell>
        </row>
        <row r="432">
          <cell r="B432" t="str">
            <v>KHI/HO/D/MO/PC COMP/C/102212/25/11/2024</v>
          </cell>
          <cell r="D432" t="str">
            <v>REN</v>
          </cell>
          <cell r="E432" t="str">
            <v>19/11/24</v>
          </cell>
          <cell r="F432" t="str">
            <v>26/11/2024</v>
          </cell>
          <cell r="G432" t="str">
            <v>25/11/2025</v>
          </cell>
          <cell r="H432" t="str">
            <v>08004499</v>
          </cell>
          <cell r="I432" t="str">
            <v>AL BARAKA BANK (PAKISTAN) LIMITED</v>
          </cell>
          <cell r="J432" t="str">
            <v>BANK</v>
          </cell>
          <cell r="K432" t="str">
            <v>HPA M/s. Al Baraka Bank (Pakistan) Limited
Hpa M/S. Al Baraka Bank (Pakistan) Limited
User: Jalil Ur Rehman Khan Kakar</v>
          </cell>
          <cell r="L432" t="str">
            <v>D</v>
          </cell>
          <cell r="M432" t="str">
            <v>09000221</v>
          </cell>
          <cell r="N432">
            <v>100</v>
          </cell>
          <cell r="O432" t="str">
            <v>KARACHI</v>
          </cell>
          <cell r="P432" t="str">
            <v>Rehman Pura  PO Khas Ralla Khan Tehsil Deepalpur District Okara</v>
          </cell>
          <cell r="Q432" t="str">
            <v>11000003</v>
          </cell>
          <cell r="R432" t="str">
            <v>SUZUKI SWIFT DLX M/T NAV.</v>
          </cell>
          <cell r="S432" t="str">
            <v>2020</v>
          </cell>
          <cell r="T432" t="str">
            <v>ABB-426</v>
          </cell>
          <cell r="U432" t="str">
            <v>13048912</v>
          </cell>
          <cell r="V432" t="str">
            <v>10048916</v>
          </cell>
          <cell r="W432" t="str">
            <v>05-dec-2025</v>
          </cell>
          <cell r="Y432">
            <v>1522500</v>
          </cell>
          <cell r="Z432">
            <v>32813</v>
          </cell>
          <cell r="AA432">
            <v>38063</v>
          </cell>
        </row>
        <row r="433">
          <cell r="B433" t="str">
            <v>KHI/HO/D/MO/PC COMP/C/102212/26/11/2024</v>
          </cell>
          <cell r="D433" t="str">
            <v>REN</v>
          </cell>
          <cell r="E433" t="str">
            <v>19/11/24</v>
          </cell>
          <cell r="F433" t="str">
            <v>24/11/2024</v>
          </cell>
          <cell r="G433" t="str">
            <v>23/11/2025</v>
          </cell>
          <cell r="H433" t="str">
            <v>08004499</v>
          </cell>
          <cell r="I433" t="str">
            <v>AL BARAKA BANK (PAKISTAN) LIMITED</v>
          </cell>
          <cell r="J433" t="str">
            <v>BANK</v>
          </cell>
          <cell r="K433" t="str">
            <v>HPA M/s. Al Baraka Bank (Pakistan) Limited
Hpa M/S. Al Baraka Bank (Pakistan) Limited
User: Muhammad    Abbas</v>
          </cell>
          <cell r="L433" t="str">
            <v>D</v>
          </cell>
          <cell r="M433" t="str">
            <v>09000221</v>
          </cell>
          <cell r="N433">
            <v>100</v>
          </cell>
          <cell r="O433" t="str">
            <v>KARACHI</v>
          </cell>
          <cell r="P433" t="str">
            <v>P/o Manochriyan Bhai Rao Kya The Depalpur
Okara</v>
          </cell>
          <cell r="Q433" t="str">
            <v>11000003</v>
          </cell>
          <cell r="R433" t="str">
            <v>SUZUKI ALTO VXR</v>
          </cell>
          <cell r="S433" t="str">
            <v>2020</v>
          </cell>
          <cell r="T433" t="str">
            <v>ABE-591</v>
          </cell>
          <cell r="U433" t="str">
            <v>1045648</v>
          </cell>
          <cell r="V433" t="str">
            <v>145651</v>
          </cell>
          <cell r="W433" t="str">
            <v>05-dec-2025</v>
          </cell>
          <cell r="Y433">
            <v>1074750</v>
          </cell>
          <cell r="Z433">
            <v>23163</v>
          </cell>
          <cell r="AA433">
            <v>26869</v>
          </cell>
        </row>
        <row r="434">
          <cell r="B434" t="str">
            <v>KHI/HO/D/MO/PC COMP/C/102212/27/11/2024</v>
          </cell>
          <cell r="D434" t="str">
            <v>REN</v>
          </cell>
          <cell r="E434" t="str">
            <v>19/11/24</v>
          </cell>
          <cell r="F434" t="str">
            <v>20/11/2024</v>
          </cell>
          <cell r="G434" t="str">
            <v>19/11/2025</v>
          </cell>
          <cell r="H434" t="str">
            <v>08004499</v>
          </cell>
          <cell r="I434" t="str">
            <v>AL BARAKA BANK (PAKISTAN) LIMITED</v>
          </cell>
          <cell r="J434" t="str">
            <v>BANK</v>
          </cell>
          <cell r="K434" t="str">
            <v>HPA M/s. Al Baraka Bank (Pakistan) Limited
Hpa M/S. Al Baraka Bank (Pakistan) Limited
User: Muhammad  Najeeb Younas</v>
          </cell>
          <cell r="L434" t="str">
            <v>D</v>
          </cell>
          <cell r="M434" t="str">
            <v>09000221</v>
          </cell>
          <cell r="N434">
            <v>100</v>
          </cell>
          <cell r="O434" t="str">
            <v>KARACHI</v>
          </cell>
          <cell r="P434" t="str">
            <v>Gali 2 House Al Atta House Moh Islam Pura  Near Govt Degree College Khushab</v>
          </cell>
          <cell r="Q434" t="str">
            <v>11000003</v>
          </cell>
          <cell r="R434" t="str">
            <v>SUZUKI WAGON-R VXL E2</v>
          </cell>
          <cell r="S434" t="str">
            <v>2020</v>
          </cell>
          <cell r="T434" t="str">
            <v>ABB - 857</v>
          </cell>
          <cell r="U434" t="str">
            <v>207419</v>
          </cell>
          <cell r="V434" t="str">
            <v>10107428</v>
          </cell>
          <cell r="W434" t="str">
            <v>05-dec-2025</v>
          </cell>
          <cell r="Y434">
            <v>1297500</v>
          </cell>
          <cell r="Z434">
            <v>27963</v>
          </cell>
          <cell r="AA434">
            <v>32438</v>
          </cell>
        </row>
        <row r="435">
          <cell r="B435" t="str">
            <v>KHI/HO/D/MO/PC COMP/C/102212/28/11/2024</v>
          </cell>
          <cell r="D435" t="str">
            <v>REN</v>
          </cell>
          <cell r="E435" t="str">
            <v>19/11/24</v>
          </cell>
          <cell r="F435" t="str">
            <v>26/11/2024</v>
          </cell>
          <cell r="G435" t="str">
            <v>25/11/2025</v>
          </cell>
          <cell r="H435" t="str">
            <v>08004499</v>
          </cell>
          <cell r="I435" t="str">
            <v>AL BARAKA BANK (PAKISTAN) LIMITED</v>
          </cell>
          <cell r="J435" t="str">
            <v>BANK</v>
          </cell>
          <cell r="K435" t="str">
            <v>HPA M/s. Al Baraka Bank (Pakistan) Limited
Hpa M/S. Al Baraka Bank (Pakistan) Limited
User: Muhammad Shakeel Rafiq</v>
          </cell>
          <cell r="L435" t="str">
            <v>D</v>
          </cell>
          <cell r="M435" t="str">
            <v>09000221</v>
          </cell>
          <cell r="N435">
            <v>100</v>
          </cell>
          <cell r="O435" t="str">
            <v>KARACHI</v>
          </cell>
          <cell r="P435" t="str">
            <v>1st Floor House No. 6-B Street 4 Main Bazar Yateem Khana Market Near New Golden Market Lahore</v>
          </cell>
          <cell r="Q435" t="str">
            <v>11000003</v>
          </cell>
          <cell r="R435" t="str">
            <v>SUZUKI WAGON-R VXL E2</v>
          </cell>
          <cell r="S435" t="str">
            <v>2020</v>
          </cell>
          <cell r="T435" t="str">
            <v>ABK-288</v>
          </cell>
          <cell r="U435" t="str">
            <v>206881</v>
          </cell>
          <cell r="V435" t="str">
            <v>10106878</v>
          </cell>
          <cell r="W435" t="str">
            <v>06-dec-2027</v>
          </cell>
          <cell r="Y435">
            <v>1297500</v>
          </cell>
          <cell r="Z435">
            <v>27963</v>
          </cell>
          <cell r="AA435">
            <v>32438</v>
          </cell>
        </row>
        <row r="436">
          <cell r="B436" t="str">
            <v>KHI/HO/D/MO/PC COMP/C/102212/29/11/2024</v>
          </cell>
          <cell r="D436" t="str">
            <v>REN</v>
          </cell>
          <cell r="E436" t="str">
            <v>19/11/24</v>
          </cell>
          <cell r="F436" t="str">
            <v>23/11/2024</v>
          </cell>
          <cell r="G436" t="str">
            <v>22/11/2025</v>
          </cell>
          <cell r="H436" t="str">
            <v>08004499</v>
          </cell>
          <cell r="I436" t="str">
            <v>AL BARAKA BANK (PAKISTAN) LIMITED</v>
          </cell>
          <cell r="J436" t="str">
            <v>BANK</v>
          </cell>
          <cell r="K436" t="str">
            <v>HPA M/s. Al Baraka Bank (Pakistan) Limited
Hpa M/S. Al Baraka Bank (Pakistan) Limited
User: Ibrar  Nisar</v>
          </cell>
          <cell r="L436" t="str">
            <v>D</v>
          </cell>
          <cell r="M436" t="str">
            <v>09000221</v>
          </cell>
          <cell r="N436">
            <v>100</v>
          </cell>
          <cell r="O436" t="str">
            <v>KARACHI</v>
          </cell>
          <cell r="P436" t="str">
            <v>Main Bazar House no 389St E Block 3 Boulevard Dist Sargodha</v>
          </cell>
          <cell r="Q436" t="str">
            <v>11000003</v>
          </cell>
          <cell r="R436" t="str">
            <v>TOYOTA COROLLA ALTIS CVTI</v>
          </cell>
          <cell r="S436" t="str">
            <v>2020</v>
          </cell>
          <cell r="U436" t="str">
            <v>Q345946</v>
          </cell>
          <cell r="V436" t="str">
            <v>7045103</v>
          </cell>
          <cell r="W436" t="str">
            <v>05-dec-2025</v>
          </cell>
          <cell r="Y436">
            <v>2949750</v>
          </cell>
          <cell r="Z436">
            <v>38144</v>
          </cell>
          <cell r="AA436">
            <v>44246</v>
          </cell>
        </row>
        <row r="437">
          <cell r="B437" t="str">
            <v>KHI/HO/D/MO/PC COMP/C/102212/30/11/2024</v>
          </cell>
          <cell r="D437" t="str">
            <v>REN</v>
          </cell>
          <cell r="E437" t="str">
            <v>19/11/24</v>
          </cell>
          <cell r="F437" t="str">
            <v>30/11/2024</v>
          </cell>
          <cell r="G437" t="str">
            <v>29/11/2025</v>
          </cell>
          <cell r="H437" t="str">
            <v>08004499</v>
          </cell>
          <cell r="I437" t="str">
            <v>AL BARAKA BANK (PAKISTAN) LIMITED</v>
          </cell>
          <cell r="J437" t="str">
            <v>BANK</v>
          </cell>
          <cell r="K437" t="str">
            <v>HPA M/s. Al Baraka Bank (Pakistan) Limited
Hpa M/S. Al Baraka Bank (Pakistan) Limited
User: Rana Muhammad Gulman Ashraf</v>
          </cell>
          <cell r="L437" t="str">
            <v>D</v>
          </cell>
          <cell r="M437" t="str">
            <v>09000221</v>
          </cell>
          <cell r="N437">
            <v>100</v>
          </cell>
          <cell r="O437" t="str">
            <v>KARACHI</v>
          </cell>
          <cell r="P437" t="str">
            <v>House No. 28 A Street 4 Block Z Moh Satellite Town East Ahmedpur  Dist. Bahawalpur</v>
          </cell>
          <cell r="Q437" t="str">
            <v>11000003</v>
          </cell>
          <cell r="R437" t="str">
            <v>HONDA CITY I-VTEC (M/T)</v>
          </cell>
          <cell r="S437" t="str">
            <v>2018</v>
          </cell>
          <cell r="T437" t="str">
            <v>LEC-18-2673</v>
          </cell>
          <cell r="U437" t="str">
            <v>17507832</v>
          </cell>
          <cell r="V437" t="str">
            <v>JR220214</v>
          </cell>
          <cell r="W437" t="str">
            <v>05-dec-2026</v>
          </cell>
          <cell r="Y437">
            <v>1650000</v>
          </cell>
          <cell r="Z437">
            <v>35560</v>
          </cell>
          <cell r="AA437">
            <v>41250</v>
          </cell>
        </row>
        <row r="438">
          <cell r="B438" t="str">
            <v>KHI/HO/D/MO/PC COMP/C/102212/31/11/2024</v>
          </cell>
          <cell r="D438" t="str">
            <v>REN</v>
          </cell>
          <cell r="E438" t="str">
            <v>19/11/24</v>
          </cell>
          <cell r="F438" t="str">
            <v>27/11/2024</v>
          </cell>
          <cell r="G438" t="str">
            <v>26/11/2025</v>
          </cell>
          <cell r="H438" t="str">
            <v>08004499</v>
          </cell>
          <cell r="I438" t="str">
            <v>AL BARAKA BANK (PAKISTAN) LIMITED</v>
          </cell>
          <cell r="J438" t="str">
            <v>BANK</v>
          </cell>
          <cell r="K438" t="str">
            <v>HPA M/s. Al Baraka Bank (Pakistan) Limited
Hpa M/S. Al Baraka Bank (Pakistan) Limited
User: Mahboob  - Ali</v>
          </cell>
          <cell r="L438" t="str">
            <v>D</v>
          </cell>
          <cell r="M438" t="str">
            <v>09000221</v>
          </cell>
          <cell r="N438">
            <v>100</v>
          </cell>
          <cell r="O438" t="str">
            <v>KARACHI</v>
          </cell>
          <cell r="P438" t="str">
            <v>Farooq Road Main Bazar Siddique Pura Badami Bagh Upper Portion  Lahore</v>
          </cell>
          <cell r="Q438" t="str">
            <v>11000003</v>
          </cell>
          <cell r="R438" t="str">
            <v>SUZUKI WAGON-R VXL E2</v>
          </cell>
          <cell r="S438" t="str">
            <v>2020</v>
          </cell>
          <cell r="T438" t="str">
            <v>ABC-643</v>
          </cell>
          <cell r="U438" t="str">
            <v>206528</v>
          </cell>
          <cell r="V438" t="str">
            <v>10106533</v>
          </cell>
          <cell r="W438" t="str">
            <v>05-dec-2025</v>
          </cell>
          <cell r="Y438">
            <v>1297500</v>
          </cell>
          <cell r="Z438">
            <v>27963</v>
          </cell>
          <cell r="AA438">
            <v>32438</v>
          </cell>
        </row>
        <row r="439">
          <cell r="B439" t="str">
            <v>KHI/HO/D/MO/PC COMP/C/102212/32/11/2024</v>
          </cell>
          <cell r="D439" t="str">
            <v>REN</v>
          </cell>
          <cell r="E439" t="str">
            <v>19/11/24</v>
          </cell>
          <cell r="F439" t="str">
            <v>27/11/2024</v>
          </cell>
          <cell r="G439" t="str">
            <v>26/11/2025</v>
          </cell>
          <cell r="H439" t="str">
            <v>08004499</v>
          </cell>
          <cell r="I439" t="str">
            <v>AL BARAKA BANK (PAKISTAN) LIMITED</v>
          </cell>
          <cell r="J439" t="str">
            <v>BANK</v>
          </cell>
          <cell r="K439" t="str">
            <v>HPA M/s. Al Baraka Bank (Pakistan) Limited
Hpa M/S. Al Baraka Bank (Pakistan) Limited
User: Wahab  Ali</v>
          </cell>
          <cell r="L439" t="str">
            <v>D</v>
          </cell>
          <cell r="M439" t="str">
            <v>09000221</v>
          </cell>
          <cell r="N439">
            <v>100</v>
          </cell>
          <cell r="O439" t="str">
            <v>KARACHI</v>
          </cell>
          <cell r="P439" t="str">
            <v>Khan Colony Alpha Town Sheikhupura</v>
          </cell>
          <cell r="Q439" t="str">
            <v>11000003</v>
          </cell>
          <cell r="R439" t="str">
            <v>HONDA CIVIC VTI  ORIEL PT</v>
          </cell>
          <cell r="S439" t="str">
            <v>2020</v>
          </cell>
          <cell r="T439" t="str">
            <v>ABB-894</v>
          </cell>
          <cell r="U439" t="str">
            <v>6915121</v>
          </cell>
          <cell r="V439" t="str">
            <v>067047</v>
          </cell>
          <cell r="W439" t="str">
            <v>05-dec-2025</v>
          </cell>
          <cell r="Y439">
            <v>3095250</v>
          </cell>
          <cell r="Z439">
            <v>40025</v>
          </cell>
          <cell r="AA439">
            <v>46429</v>
          </cell>
        </row>
        <row r="440">
          <cell r="B440" t="str">
            <v>KHI/HO/D/MO/PC COMP/C/102212/33/11/2024</v>
          </cell>
          <cell r="D440" t="str">
            <v>REN</v>
          </cell>
          <cell r="E440" t="str">
            <v>19/11/24</v>
          </cell>
          <cell r="F440" t="str">
            <v>30/11/2024</v>
          </cell>
          <cell r="G440" t="str">
            <v>29/11/2025</v>
          </cell>
          <cell r="H440" t="str">
            <v>08004499</v>
          </cell>
          <cell r="I440" t="str">
            <v>AL BARAKA BANK (PAKISTAN) LIMITED</v>
          </cell>
          <cell r="J440" t="str">
            <v>BANK</v>
          </cell>
          <cell r="K440" t="str">
            <v>HPA M/s. Al Baraka Bank (Pakistan) Limited
Hpa M/S. Al Baraka Bank (Pakistan) Limited
User: Muhammad  Rashid</v>
          </cell>
          <cell r="L440" t="str">
            <v>D</v>
          </cell>
          <cell r="M440" t="str">
            <v>09000221</v>
          </cell>
          <cell r="N440">
            <v>100</v>
          </cell>
          <cell r="O440" t="str">
            <v>KARACHI</v>
          </cell>
          <cell r="P440" t="str">
            <v>House No. 4 Street 89 Ali Park Chowk Shershah Road Bhogiwal Lahore</v>
          </cell>
          <cell r="Q440" t="str">
            <v>11000003</v>
          </cell>
          <cell r="R440" t="str">
            <v>SUZUKI ALTO VXL AGS E-2</v>
          </cell>
          <cell r="S440" t="str">
            <v>2020</v>
          </cell>
          <cell r="U440" t="str">
            <v>144917</v>
          </cell>
          <cell r="V440" t="str">
            <v>1044900</v>
          </cell>
          <cell r="W440" t="str">
            <v>05-dec-2025</v>
          </cell>
          <cell r="Y440">
            <v>1224750</v>
          </cell>
          <cell r="Z440">
            <v>26396</v>
          </cell>
          <cell r="AA440">
            <v>30619</v>
          </cell>
        </row>
        <row r="441">
          <cell r="B441" t="str">
            <v>KHI/HO/D/MO/PC COMP/C/102212/34/11/2024</v>
          </cell>
          <cell r="D441" t="str">
            <v>REN</v>
          </cell>
          <cell r="E441" t="str">
            <v>19/11/24</v>
          </cell>
          <cell r="F441" t="str">
            <v>30/11/2024</v>
          </cell>
          <cell r="G441" t="str">
            <v>29/11/2025</v>
          </cell>
          <cell r="H441" t="str">
            <v>08004499</v>
          </cell>
          <cell r="I441" t="str">
            <v>AL BARAKA BANK (PAKISTAN) LIMITED</v>
          </cell>
          <cell r="J441" t="str">
            <v>BANK</v>
          </cell>
          <cell r="K441" t="str">
            <v>HPA M/s. Al Baraka Bank (Pakistan) Limited
Hpa M/S. Al Baraka Bank (Pakistan) Limited
User: Muhammad Sharif Bhatti</v>
          </cell>
          <cell r="L441" t="str">
            <v>D</v>
          </cell>
          <cell r="M441" t="str">
            <v>09000221</v>
          </cell>
          <cell r="N441">
            <v>100</v>
          </cell>
          <cell r="O441" t="str">
            <v>KARACHI</v>
          </cell>
          <cell r="P441" t="str">
            <v>Millat Town Misan PO Kot A Malik Ferozewala Dist Sheikhupura</v>
          </cell>
          <cell r="Q441" t="str">
            <v>11000003</v>
          </cell>
          <cell r="R441" t="str">
            <v>TOYOTA COROLLA XLI 1.3</v>
          </cell>
          <cell r="S441" t="str">
            <v>2020</v>
          </cell>
          <cell r="U441" t="str">
            <v>Z579754</v>
          </cell>
          <cell r="V441" t="str">
            <v>4205893</v>
          </cell>
          <cell r="W441" t="str">
            <v>05-dec-2025</v>
          </cell>
          <cell r="Y441">
            <v>1893750</v>
          </cell>
          <cell r="Z441">
            <v>40814</v>
          </cell>
          <cell r="AA441">
            <v>47344</v>
          </cell>
        </row>
        <row r="442">
          <cell r="B442" t="str">
            <v>KHI/HO/D/MO/PC COMP/C/102212/35/11/2024</v>
          </cell>
          <cell r="D442" t="str">
            <v>REN</v>
          </cell>
          <cell r="E442" t="str">
            <v>19/11/24</v>
          </cell>
          <cell r="F442" t="str">
            <v>30/11/2024</v>
          </cell>
          <cell r="G442" t="str">
            <v>29/11/2025</v>
          </cell>
          <cell r="H442" t="str">
            <v>08004499</v>
          </cell>
          <cell r="I442" t="str">
            <v>AL BARAKA BANK (PAKISTAN) LIMITED</v>
          </cell>
          <cell r="J442" t="str">
            <v>BANK</v>
          </cell>
          <cell r="K442" t="str">
            <v>HPA M/s. Al Baraka Bank (Pakistan) Limited
Hpa M/S. Al Baraka Bank (Pakistan) Limited
User: Muhammad  Jahangir</v>
          </cell>
          <cell r="L442" t="str">
            <v>D</v>
          </cell>
          <cell r="M442" t="str">
            <v>09000221</v>
          </cell>
          <cell r="N442">
            <v>100</v>
          </cell>
          <cell r="O442" t="str">
            <v>KARACHI</v>
          </cell>
          <cell r="P442" t="str">
            <v>Street 2 Gulraiz Colony Near Pull Barara  Opp Darul Arkam School Multan</v>
          </cell>
          <cell r="Q442" t="str">
            <v>11000003</v>
          </cell>
          <cell r="R442" t="str">
            <v>SUZUKI ALTO VXR</v>
          </cell>
          <cell r="S442" t="str">
            <v>2020</v>
          </cell>
          <cell r="U442" t="str">
            <v>6R146408</v>
          </cell>
          <cell r="V442" t="str">
            <v>1046358</v>
          </cell>
          <cell r="W442" t="str">
            <v>05-dec-2025</v>
          </cell>
          <cell r="Y442">
            <v>1074750</v>
          </cell>
          <cell r="Z442">
            <v>23163</v>
          </cell>
          <cell r="AA442">
            <v>26869</v>
          </cell>
        </row>
        <row r="443">
          <cell r="B443" t="str">
            <v>KHI/HO/D/MO/PC COMP/C/102212/36/11/2024</v>
          </cell>
          <cell r="D443" t="str">
            <v>REN</v>
          </cell>
          <cell r="E443" t="str">
            <v>19/11/24</v>
          </cell>
          <cell r="F443" t="str">
            <v>30/11/2024</v>
          </cell>
          <cell r="G443" t="str">
            <v>29/11/2025</v>
          </cell>
          <cell r="H443" t="str">
            <v>08004499</v>
          </cell>
          <cell r="I443" t="str">
            <v>AL BARAKA BANK (PAKISTAN) LIMITED</v>
          </cell>
          <cell r="J443" t="str">
            <v>BANK</v>
          </cell>
          <cell r="K443" t="str">
            <v>HPA M/s. Al Baraka Bank (Pakistan) Limited
Hpa M/S. Al Baraka Bank (Pakistan) Limited
User: Muhammad  Iqbal</v>
          </cell>
          <cell r="L443" t="str">
            <v>D</v>
          </cell>
          <cell r="M443" t="str">
            <v>09000221</v>
          </cell>
          <cell r="N443">
            <v>100</v>
          </cell>
          <cell r="O443" t="str">
            <v>KARACHI</v>
          </cell>
          <cell r="P443" t="str">
            <v>Warraich Pind Near Govt Girls Middle School PO Kahna Nau Lahore</v>
          </cell>
          <cell r="Q443" t="str">
            <v>11000003</v>
          </cell>
          <cell r="R443" t="str">
            <v>KIA SPORTAGE AWD-CW</v>
          </cell>
          <cell r="S443" t="str">
            <v>2020</v>
          </cell>
          <cell r="T443" t="str">
            <v>LHA-134</v>
          </cell>
          <cell r="U443" t="str">
            <v>H331873</v>
          </cell>
          <cell r="V443" t="str">
            <v>P506465</v>
          </cell>
          <cell r="W443" t="str">
            <v>06-dec-2027</v>
          </cell>
          <cell r="Y443">
            <v>4072500</v>
          </cell>
          <cell r="Z443">
            <v>52662</v>
          </cell>
          <cell r="AA443">
            <v>61088</v>
          </cell>
        </row>
        <row r="444">
          <cell r="B444" t="str">
            <v>KHI/HO/D/MO/PC COMP/C/102212/37/11/2024</v>
          </cell>
          <cell r="D444" t="str">
            <v>REN</v>
          </cell>
          <cell r="E444" t="str">
            <v>19/11/24</v>
          </cell>
          <cell r="F444" t="str">
            <v>30/11/2024</v>
          </cell>
          <cell r="G444" t="str">
            <v>29/11/2025</v>
          </cell>
          <cell r="H444" t="str">
            <v>08004499</v>
          </cell>
          <cell r="I444" t="str">
            <v>AL BARAKA BANK (PAKISTAN) LIMITED</v>
          </cell>
          <cell r="J444" t="str">
            <v>BANK</v>
          </cell>
          <cell r="K444" t="str">
            <v>HPA M/s. Al Baraka Bank (Pakistan) Limited
Hpa M/S. Al Baraka Bank (Pakistan) Limited
User: Zeeshan</v>
          </cell>
          <cell r="L444" t="str">
            <v>D</v>
          </cell>
          <cell r="M444" t="str">
            <v>09000221</v>
          </cell>
          <cell r="N444">
            <v>100</v>
          </cell>
          <cell r="O444" t="str">
            <v>KARACHI</v>
          </cell>
          <cell r="P444" t="str">
            <v>Shop No.4 Nasir Autos Near Niazi Adda Bund Road Lahore</v>
          </cell>
          <cell r="Q444" t="str">
            <v>11000003</v>
          </cell>
          <cell r="R444" t="str">
            <v>CHANGAN KARVAAN VAN</v>
          </cell>
          <cell r="S444" t="str">
            <v>2020</v>
          </cell>
          <cell r="T444" t="str">
            <v>ABG-970</v>
          </cell>
          <cell r="U444" t="str">
            <v>501055</v>
          </cell>
          <cell r="V444" t="str">
            <v>1003230</v>
          </cell>
          <cell r="W444" t="str">
            <v>06-dec-2027</v>
          </cell>
          <cell r="Y444">
            <v>1076250</v>
          </cell>
          <cell r="Z444">
            <v>23195</v>
          </cell>
          <cell r="AA444">
            <v>26906</v>
          </cell>
        </row>
        <row r="445">
          <cell r="B445" t="str">
            <v>KHI/HO/D/MO/PC COMP/C/102212/38/11/2024</v>
          </cell>
          <cell r="D445" t="str">
            <v>REN</v>
          </cell>
          <cell r="E445" t="str">
            <v>19/11/24</v>
          </cell>
          <cell r="F445" t="str">
            <v>30/11/2024</v>
          </cell>
          <cell r="G445" t="str">
            <v>29/11/2025</v>
          </cell>
          <cell r="H445" t="str">
            <v>08004499</v>
          </cell>
          <cell r="I445" t="str">
            <v>AL BARAKA BANK (PAKISTAN) LIMITED</v>
          </cell>
          <cell r="J445" t="str">
            <v>BANK</v>
          </cell>
          <cell r="K445" t="str">
            <v>HPA M/s. Al Baraka Bank (Pakistan) Limited
Hpa M/S. Al Baraka Bank (Pakistan) Limited
User: Muhammad  Ashraf</v>
          </cell>
          <cell r="L445" t="str">
            <v>D</v>
          </cell>
          <cell r="M445" t="str">
            <v>09000221</v>
          </cell>
          <cell r="N445">
            <v>100</v>
          </cell>
          <cell r="O445" t="str">
            <v>KARACHI</v>
          </cell>
          <cell r="P445" t="str">
            <v>Main Bazar Mustafaabad  Maqbaera Moor Shahdra Lahore</v>
          </cell>
          <cell r="Q445" t="str">
            <v>11000003</v>
          </cell>
          <cell r="R445" t="str">
            <v>SUZUKI WAGON-R VXL E2</v>
          </cell>
          <cell r="S445" t="str">
            <v>2015</v>
          </cell>
          <cell r="T445" t="str">
            <v>LEE-15-5693</v>
          </cell>
          <cell r="U445" t="str">
            <v>107665</v>
          </cell>
          <cell r="V445" t="str">
            <v>10007685</v>
          </cell>
          <cell r="W445" t="str">
            <v>05-dec-2025</v>
          </cell>
          <cell r="Y445">
            <v>881250</v>
          </cell>
          <cell r="Z445">
            <v>18992</v>
          </cell>
          <cell r="AA445">
            <v>22031</v>
          </cell>
        </row>
        <row r="446">
          <cell r="B446" t="str">
            <v>KHI/HO/D/MO/PC COMP/C/102212/39/11/2024</v>
          </cell>
          <cell r="D446" t="str">
            <v>REN</v>
          </cell>
          <cell r="E446" t="str">
            <v>19/11/24</v>
          </cell>
          <cell r="F446" t="str">
            <v>30/11/2024</v>
          </cell>
          <cell r="G446" t="str">
            <v>29/11/2025</v>
          </cell>
          <cell r="H446" t="str">
            <v>08004499</v>
          </cell>
          <cell r="I446" t="str">
            <v>AL BARAKA BANK (PAKISTAN) LIMITED</v>
          </cell>
          <cell r="J446" t="str">
            <v>BANK</v>
          </cell>
          <cell r="K446" t="str">
            <v>HPA M/s. Al Baraka Bank (Pakistan) Limited
Hpa M/S. Al Baraka Bank (Pakistan) Limited
User: Zaib  Riaz</v>
          </cell>
          <cell r="L446" t="str">
            <v>D</v>
          </cell>
          <cell r="M446" t="str">
            <v>09000221</v>
          </cell>
          <cell r="N446">
            <v>100</v>
          </cell>
          <cell r="O446" t="str">
            <v>KARACHI</v>
          </cell>
          <cell r="P446" t="str">
            <v>House No. 53 Block B Al Rehman Garden Phase III PO Bata Pur Lahore</v>
          </cell>
          <cell r="Q446" t="str">
            <v>11000003</v>
          </cell>
          <cell r="R446" t="str">
            <v>TOYOTA YARIS ATIV X CVT</v>
          </cell>
          <cell r="S446" t="str">
            <v>2020</v>
          </cell>
          <cell r="T446" t="str">
            <v>ABB-858</v>
          </cell>
          <cell r="U446" t="str">
            <v>2A10296</v>
          </cell>
          <cell r="V446" t="str">
            <v>7005926</v>
          </cell>
          <cell r="W446" t="str">
            <v>05-dec-2025</v>
          </cell>
          <cell r="Y446">
            <v>2072250</v>
          </cell>
          <cell r="Z446">
            <v>44660</v>
          </cell>
          <cell r="AA446">
            <v>51806</v>
          </cell>
        </row>
        <row r="447">
          <cell r="B447" t="str">
            <v>KHI/HO/D/MO/PC COMP/C/102212/40/11/2024</v>
          </cell>
          <cell r="D447" t="str">
            <v>REN</v>
          </cell>
          <cell r="E447" t="str">
            <v>19/11/24</v>
          </cell>
          <cell r="F447" t="str">
            <v>01/12/2024</v>
          </cell>
          <cell r="G447" t="str">
            <v>30/11/2025</v>
          </cell>
          <cell r="H447" t="str">
            <v>08004499</v>
          </cell>
          <cell r="I447" t="str">
            <v>AL BARAKA BANK (PAKISTAN) LIMITED</v>
          </cell>
          <cell r="J447" t="str">
            <v>BANK</v>
          </cell>
          <cell r="K447" t="str">
            <v>HPA M/s. Al Baraka Bank (Pakistan) Limited
Hpa M/S. Al Baraka Bank (Pakistan) Limited
User: Gulab  Khan</v>
          </cell>
          <cell r="L447" t="str">
            <v>D</v>
          </cell>
          <cell r="M447" t="str">
            <v>09000221</v>
          </cell>
          <cell r="N447">
            <v>100</v>
          </cell>
          <cell r="O447" t="str">
            <v>KARACHI</v>
          </cell>
          <cell r="P447" t="str">
            <v>House No. 98-D Hazrat Ali Street Umer-e-Farooq park Rafayabad Bund Road Lahore</v>
          </cell>
          <cell r="Q447" t="str">
            <v>11000003</v>
          </cell>
          <cell r="R447" t="str">
            <v>HONDA CITY I-VTEC (M/T)</v>
          </cell>
          <cell r="S447" t="str">
            <v>2020</v>
          </cell>
          <cell r="T447" t="str">
            <v>ACB-362</v>
          </cell>
          <cell r="U447" t="str">
            <v>7542463</v>
          </cell>
          <cell r="V447" t="str">
            <v>265888</v>
          </cell>
          <cell r="W447" t="str">
            <v>05-dec-2026</v>
          </cell>
          <cell r="Y447">
            <v>1983750</v>
          </cell>
          <cell r="Z447">
            <v>42753</v>
          </cell>
          <cell r="AA447">
            <v>49594</v>
          </cell>
        </row>
        <row r="448">
          <cell r="B448" t="str">
            <v>KHI/HO/D/MO/PC COMP/C/102212/41/11/2024</v>
          </cell>
          <cell r="D448" t="str">
            <v>REN</v>
          </cell>
          <cell r="E448" t="str">
            <v>19/11/24</v>
          </cell>
          <cell r="F448" t="str">
            <v>01/12/2024</v>
          </cell>
          <cell r="G448" t="str">
            <v>30/11/2025</v>
          </cell>
          <cell r="H448" t="str">
            <v>08004499</v>
          </cell>
          <cell r="I448" t="str">
            <v>AL BARAKA BANK (PAKISTAN) LIMITED</v>
          </cell>
          <cell r="J448" t="str">
            <v>BANK</v>
          </cell>
          <cell r="K448" t="str">
            <v>HPA M/s. Al Baraka Bank (Pakistan) Limited
Hpa M/S. Al Baraka Bank (Pakistan) Limited
User: Ahmed  Raza</v>
          </cell>
          <cell r="L448" t="str">
            <v>D</v>
          </cell>
          <cell r="M448" t="str">
            <v>09000221</v>
          </cell>
          <cell r="N448">
            <v>100</v>
          </cell>
          <cell r="O448" t="str">
            <v>KARACHI</v>
          </cell>
          <cell r="P448" t="str">
            <v>House No.13-C Satellite Town Bahawalpur</v>
          </cell>
          <cell r="Q448" t="str">
            <v>11000003</v>
          </cell>
          <cell r="R448" t="str">
            <v>HONDA CIVIC VTI  ORIEL PT</v>
          </cell>
          <cell r="S448" t="str">
            <v>2020</v>
          </cell>
          <cell r="T448" t="str">
            <v>ASV-952</v>
          </cell>
          <cell r="U448" t="str">
            <v>6915467</v>
          </cell>
          <cell r="V448" t="str">
            <v>LR067450</v>
          </cell>
          <cell r="W448" t="str">
            <v>05-dec-2025</v>
          </cell>
          <cell r="Y448">
            <v>3100875</v>
          </cell>
          <cell r="Z448">
            <v>40097</v>
          </cell>
          <cell r="AA448">
            <v>46513</v>
          </cell>
        </row>
        <row r="449">
          <cell r="B449" t="str">
            <v>KHI/HO/D/MO/PC COMP/C/102212/42/11/2024</v>
          </cell>
          <cell r="D449" t="str">
            <v>REN</v>
          </cell>
          <cell r="E449" t="str">
            <v>19/11/24</v>
          </cell>
          <cell r="F449" t="str">
            <v>01/12/2024</v>
          </cell>
          <cell r="G449" t="str">
            <v>30/11/2025</v>
          </cell>
          <cell r="H449" t="str">
            <v>08004499</v>
          </cell>
          <cell r="I449" t="str">
            <v>AL BARAKA BANK (PAKISTAN) LIMITED</v>
          </cell>
          <cell r="J449" t="str">
            <v>BANK</v>
          </cell>
          <cell r="K449" t="str">
            <v>HPA M/s. Al Baraka Bank (Pakistan) Limited
Mr. Muhammad Shahid Qureshi
HPA M/s. Al Baraka Bank (Pakistan) Limited</v>
          </cell>
          <cell r="L449" t="str">
            <v>D</v>
          </cell>
          <cell r="M449" t="str">
            <v>09000221</v>
          </cell>
          <cell r="N449">
            <v>100</v>
          </cell>
          <cell r="P449" t="str">
            <v>H No 17/3 Zubaida Park Multan Road Lahore</v>
          </cell>
          <cell r="Q449" t="str">
            <v>11000003</v>
          </cell>
          <cell r="R449" t="str">
            <v>HONDA CIVIC VTI  ORIEL PT</v>
          </cell>
          <cell r="S449" t="str">
            <v>2017</v>
          </cell>
          <cell r="T449" t="str">
            <v>LEA-17A-3704</v>
          </cell>
          <cell r="U449" t="str">
            <v>R18Z12922253</v>
          </cell>
          <cell r="V449" t="str">
            <v>R025616</v>
          </cell>
          <cell r="X449" t="str">
            <v>3</v>
          </cell>
          <cell r="Y449">
            <v>2560000</v>
          </cell>
          <cell r="Z449">
            <v>38621</v>
          </cell>
          <cell r="AA449">
            <v>44800</v>
          </cell>
        </row>
        <row r="450">
          <cell r="B450" t="str">
            <v>KHI/HO/D/MO/PC COMP/C/102212/43/11/2024</v>
          </cell>
          <cell r="D450" t="str">
            <v>REN</v>
          </cell>
          <cell r="E450" t="str">
            <v>19/11/24</v>
          </cell>
          <cell r="F450" t="str">
            <v>01/12/2024</v>
          </cell>
          <cell r="G450" t="str">
            <v>30/11/2025</v>
          </cell>
          <cell r="H450" t="str">
            <v>08004499</v>
          </cell>
          <cell r="I450" t="str">
            <v>AL BARAKA BANK (PAKISTAN) LIMITED</v>
          </cell>
          <cell r="J450" t="str">
            <v>BANK</v>
          </cell>
          <cell r="K450" t="str">
            <v>HPA M/s. Al Baraka Bank (Pakistan) Limited
Mr. Tahir Mehmood 
HPA M/s. Al Baraka Bank (Pakistan) Limited</v>
          </cell>
          <cell r="L450" t="str">
            <v>D</v>
          </cell>
          <cell r="M450" t="str">
            <v>09000221</v>
          </cell>
          <cell r="N450">
            <v>100</v>
          </cell>
          <cell r="P450" t="str">
            <v>P No 78 Rail Bazar Near Shoukat Prise Bond Wali FSD</v>
          </cell>
          <cell r="Q450" t="str">
            <v>11000003</v>
          </cell>
          <cell r="R450" t="str">
            <v>SUZUKI WAGON-R VXL E2</v>
          </cell>
          <cell r="S450" t="str">
            <v>2021</v>
          </cell>
          <cell r="U450" t="str">
            <v>224406</v>
          </cell>
          <cell r="V450" t="str">
            <v>10124415</v>
          </cell>
          <cell r="X450" t="str">
            <v>3</v>
          </cell>
          <cell r="Y450">
            <v>1288000</v>
          </cell>
          <cell r="Z450">
            <v>27758</v>
          </cell>
          <cell r="AA450">
            <v>32200</v>
          </cell>
        </row>
        <row r="451">
          <cell r="B451" t="str">
            <v>KHI/HO/D/MO/PC COMP/C/102212/44/11/2024</v>
          </cell>
          <cell r="D451" t="str">
            <v>REN</v>
          </cell>
          <cell r="E451" t="str">
            <v>19/11/24</v>
          </cell>
          <cell r="F451" t="str">
            <v>20/11/2024</v>
          </cell>
          <cell r="G451" t="str">
            <v>19/11/2025</v>
          </cell>
          <cell r="H451" t="str">
            <v>08004499</v>
          </cell>
          <cell r="I451" t="str">
            <v>AL BARAKA BANK (PAKISTAN) LIMITED</v>
          </cell>
          <cell r="J451" t="str">
            <v>BANK</v>
          </cell>
          <cell r="K451" t="str">
            <v>HPA M/s. Al Baraka Bank (Pakistan) Limited
Hpa M/S. Al Baraka Bank (Pakistan) Limited
User: Mujahid Saeed</v>
          </cell>
          <cell r="L451" t="str">
            <v>D</v>
          </cell>
          <cell r="M451" t="str">
            <v>09000221</v>
          </cell>
          <cell r="N451">
            <v>100</v>
          </cell>
          <cell r="P451" t="str">
            <v>Mohallah Siddiqabad PO Khas Shadan Lound Chak Dana DG Khan</v>
          </cell>
          <cell r="Q451" t="str">
            <v>11000003</v>
          </cell>
          <cell r="R451" t="str">
            <v>SUZUKI WAGON-R VXL E2</v>
          </cell>
          <cell r="S451" t="str">
            <v>2017</v>
          </cell>
          <cell r="T451" t="str">
            <v>LED-17-2255</v>
          </cell>
          <cell r="U451" t="str">
            <v>127829</v>
          </cell>
          <cell r="V451" t="str">
            <v>10027834</v>
          </cell>
          <cell r="Y451">
            <v>1012500</v>
          </cell>
          <cell r="Z451">
            <v>21822</v>
          </cell>
          <cell r="AA451">
            <v>25313</v>
          </cell>
        </row>
        <row r="452">
          <cell r="B452" t="str">
            <v>KHI/HO/D/MO/PC COMP/C/102212/45/11/2024</v>
          </cell>
          <cell r="D452" t="str">
            <v>REN</v>
          </cell>
          <cell r="E452" t="str">
            <v>19/11/24</v>
          </cell>
          <cell r="F452" t="str">
            <v>01/12/2024</v>
          </cell>
          <cell r="G452" t="str">
            <v>30/11/2025</v>
          </cell>
          <cell r="H452" t="str">
            <v>08004499</v>
          </cell>
          <cell r="I452" t="str">
            <v>AL BARAKA BANK (PAKISTAN) LIMITED</v>
          </cell>
          <cell r="J452" t="str">
            <v>BANK</v>
          </cell>
          <cell r="K452" t="str">
            <v>HPA M/s. Al Baraka Bank (Pakistan) Limited
Mr. Adnan Ramzan
HPA M/s. Al Baraka Bank (Pakistan) Limited</v>
          </cell>
          <cell r="L452" t="str">
            <v>D</v>
          </cell>
          <cell r="M452" t="str">
            <v>09000221</v>
          </cell>
          <cell r="N452">
            <v>100</v>
          </cell>
          <cell r="P452" t="str">
            <v>P-192 St No 24 Raheem Garden Samanabad Faisalabad</v>
          </cell>
          <cell r="Q452" t="str">
            <v>11000003</v>
          </cell>
          <cell r="R452" t="str">
            <v>SUZUKI ALTO VXR E-2</v>
          </cell>
          <cell r="S452" t="str">
            <v>2022</v>
          </cell>
          <cell r="T452" t="str">
            <v>AMM-825</v>
          </cell>
          <cell r="U452" t="str">
            <v>257977</v>
          </cell>
          <cell r="V452" t="str">
            <v>1157948</v>
          </cell>
          <cell r="X452" t="str">
            <v>3</v>
          </cell>
          <cell r="Y452">
            <v>1211250</v>
          </cell>
          <cell r="Z452">
            <v>26104</v>
          </cell>
          <cell r="AA452">
            <v>30281</v>
          </cell>
        </row>
        <row r="453">
          <cell r="B453" t="str">
            <v>KHI/HO/D/MO/PC COMP/C/102212/46/11/2024</v>
          </cell>
          <cell r="D453" t="str">
            <v>REN</v>
          </cell>
          <cell r="E453" t="str">
            <v>19/11/24</v>
          </cell>
          <cell r="F453" t="str">
            <v>30/11/2024</v>
          </cell>
          <cell r="G453" t="str">
            <v>29/11/2025</v>
          </cell>
          <cell r="H453" t="str">
            <v>08004499</v>
          </cell>
          <cell r="I453" t="str">
            <v>AL BARAKA BANK (PAKISTAN) LIMITED</v>
          </cell>
          <cell r="J453" t="str">
            <v>BANK</v>
          </cell>
          <cell r="K453" t="str">
            <v>HPA M/s. Al Baraka Bank (Pakistan) Limited
Mr. Muhammad Saeed
HPA M/s. Al Baraka Bank (Pakistan) Limited</v>
          </cell>
          <cell r="L453" t="str">
            <v>D</v>
          </cell>
          <cell r="M453" t="str">
            <v>09000221</v>
          </cell>
          <cell r="N453">
            <v>100</v>
          </cell>
          <cell r="P453" t="str">
            <v>House No. 236 Street 4 Karim Park Ravi Road Lahore</v>
          </cell>
          <cell r="Q453" t="str">
            <v>11000003</v>
          </cell>
          <cell r="R453" t="str">
            <v>HONDA CITY 1.2  LS CVT</v>
          </cell>
          <cell r="S453" t="str">
            <v>2021</v>
          </cell>
          <cell r="U453" t="str">
            <v>1004169</v>
          </cell>
          <cell r="V453" t="str">
            <v>MR005742</v>
          </cell>
          <cell r="X453" t="str">
            <v>3</v>
          </cell>
          <cell r="Y453">
            <v>2244000</v>
          </cell>
          <cell r="Z453">
            <v>33853</v>
          </cell>
          <cell r="AA453">
            <v>39270</v>
          </cell>
        </row>
        <row r="454">
          <cell r="B454" t="str">
            <v>KHI/HO/D/MO/PC COMP/C/101342/16/11/2024</v>
          </cell>
          <cell r="D454" t="str">
            <v>FRE</v>
          </cell>
          <cell r="E454" t="str">
            <v>19/11/24</v>
          </cell>
          <cell r="F454" t="str">
            <v>19/11/2024</v>
          </cell>
          <cell r="G454" t="str">
            <v>18/11/2025</v>
          </cell>
          <cell r="H454" t="str">
            <v>08004499</v>
          </cell>
          <cell r="I454" t="str">
            <v>AL BARAKA BANK (PAKISTAN) LIMITED</v>
          </cell>
          <cell r="J454" t="str">
            <v>BANK</v>
          </cell>
          <cell r="K454" t="str">
            <v>Mr.
HPA M/s. Al Baraka Bank Pakitan Limited
Mr. Arslan Ahmad
HPA M/s. Al Baraka Bank Pakitan Limited</v>
          </cell>
          <cell r="L454" t="str">
            <v>D</v>
          </cell>
          <cell r="M454" t="str">
            <v>09000221</v>
          </cell>
          <cell r="N454">
            <v>100</v>
          </cell>
          <cell r="O454" t="str">
            <v>LAHORE</v>
          </cell>
          <cell r="P454" t="str">
            <v>H No 227 F Block Al Rehman Garden Main Sharqpur Road Lahore</v>
          </cell>
          <cell r="Q454" t="str">
            <v>11000003</v>
          </cell>
          <cell r="R454" t="str">
            <v>CHANGAN ALSVIN</v>
          </cell>
          <cell r="S454" t="str">
            <v>2021</v>
          </cell>
          <cell r="T454" t="str">
            <v>AED-252</v>
          </cell>
          <cell r="U454" t="str">
            <v>504844</v>
          </cell>
          <cell r="V454" t="str">
            <v>1001076</v>
          </cell>
          <cell r="Y454">
            <v>2200000</v>
          </cell>
          <cell r="Z454">
            <v>37931</v>
          </cell>
          <cell r="AA454">
            <v>44000</v>
          </cell>
        </row>
        <row r="455">
          <cell r="B455" t="str">
            <v>KHI/HO/D/MO/PC COMP/C/101342/17/11/2024</v>
          </cell>
          <cell r="D455" t="str">
            <v>FRE</v>
          </cell>
          <cell r="E455" t="str">
            <v>20/11/24</v>
          </cell>
          <cell r="F455" t="str">
            <v>20/11/2024</v>
          </cell>
          <cell r="G455" t="str">
            <v>19/11/2025</v>
          </cell>
          <cell r="H455" t="str">
            <v>08004499</v>
          </cell>
          <cell r="I455" t="str">
            <v>AL BARAKA BANK (PAKISTAN) LIMITED</v>
          </cell>
          <cell r="J455" t="str">
            <v>BANK</v>
          </cell>
          <cell r="K455" t="str">
            <v>Mr.
HPA M/s. Al Baraka Bank Pakitan Limited
Mr. MUHAMMAD ALI AMJAD
HPA M/s. Al Baraka Bank Pakitan Limited</v>
          </cell>
          <cell r="L455" t="str">
            <v>D</v>
          </cell>
          <cell r="M455" t="str">
            <v>09000221</v>
          </cell>
          <cell r="N455">
            <v>100</v>
          </cell>
          <cell r="O455" t="str">
            <v>LAHORE</v>
          </cell>
          <cell r="P455" t="str">
            <v>H # 40 Street 55 Nehru Park Shant Nagar Lahore</v>
          </cell>
          <cell r="Q455" t="str">
            <v>11000003</v>
          </cell>
          <cell r="R455" t="str">
            <v>HONDA CITY 1.2  LS CVT</v>
          </cell>
          <cell r="S455" t="str">
            <v>2024</v>
          </cell>
          <cell r="U455" t="str">
            <v>51028599</v>
          </cell>
          <cell r="V455" t="str">
            <v>RR045379</v>
          </cell>
          <cell r="X455" t="str">
            <v>3</v>
          </cell>
          <cell r="Y455">
            <v>5118000</v>
          </cell>
          <cell r="Z455">
            <v>66181</v>
          </cell>
          <cell r="AA455">
            <v>76770</v>
          </cell>
        </row>
        <row r="456">
          <cell r="B456" t="str">
            <v>KHI/HO/D/MO/PC COMP/C/101342/18/11/2024</v>
          </cell>
          <cell r="D456" t="str">
            <v>FRE</v>
          </cell>
          <cell r="E456" t="str">
            <v>20/11/24</v>
          </cell>
          <cell r="F456" t="str">
            <v>20/11/2024</v>
          </cell>
          <cell r="G456" t="str">
            <v>19/11/2025</v>
          </cell>
          <cell r="H456" t="str">
            <v>08004499</v>
          </cell>
          <cell r="I456" t="str">
            <v>AL BARAKA BANK (PAKISTAN) LIMITED</v>
          </cell>
          <cell r="J456" t="str">
            <v>BANK</v>
          </cell>
          <cell r="K456" t="str">
            <v>Mr.
HPA M/s. Al Baraka Bank Pakitan Limited
Mr. Tariq Zaman
HPA M/s. Al Baraka Bank Pakitan Limited</v>
          </cell>
          <cell r="L456" t="str">
            <v>D</v>
          </cell>
          <cell r="M456" t="str">
            <v>09000221</v>
          </cell>
          <cell r="N456">
            <v>100</v>
          </cell>
          <cell r="P456" t="str">
            <v>Housing Colony Street National Bank House 14 Hafizabad</v>
          </cell>
          <cell r="Q456" t="str">
            <v>11000003</v>
          </cell>
          <cell r="R456" t="str">
            <v>CHANGAN OSHAN X7 COMFORT</v>
          </cell>
          <cell r="S456" t="str">
            <v>2024</v>
          </cell>
          <cell r="U456" t="str">
            <v>258334</v>
          </cell>
          <cell r="V456" t="str">
            <v>1001076</v>
          </cell>
          <cell r="Y456">
            <v>8099000</v>
          </cell>
          <cell r="Z456">
            <v>104729</v>
          </cell>
          <cell r="AA456">
            <v>121485</v>
          </cell>
        </row>
        <row r="457">
          <cell r="B457" t="str">
            <v>KHI/HO/D/MO/PC COMP/C/101342/19/11/2024</v>
          </cell>
          <cell r="D457" t="str">
            <v>FRE</v>
          </cell>
          <cell r="E457" t="str">
            <v>21/11/24</v>
          </cell>
          <cell r="F457" t="str">
            <v>21/11/2024</v>
          </cell>
          <cell r="G457" t="str">
            <v>20/11/2025</v>
          </cell>
          <cell r="H457" t="str">
            <v>08004499</v>
          </cell>
          <cell r="I457" t="str">
            <v>AL BARAKA BANK (PAKISTAN) LIMITED</v>
          </cell>
          <cell r="J457" t="str">
            <v>BANK</v>
          </cell>
          <cell r="K457" t="str">
            <v>Mr.
HPA M/s. Al Baraka Bank Pakitan Limited
Mr. Zain Kamran
HPA M/s. Al Baraka Bank Pakitan Limited</v>
          </cell>
          <cell r="L457" t="str">
            <v>D</v>
          </cell>
          <cell r="M457" t="str">
            <v>09000221</v>
          </cell>
          <cell r="N457">
            <v>100</v>
          </cell>
          <cell r="O457" t="str">
            <v>LAHORE</v>
          </cell>
          <cell r="P457" t="str">
            <v>H No 227 A Block Sabzazar Scheme Lahore</v>
          </cell>
          <cell r="Q457" t="str">
            <v>11000003</v>
          </cell>
          <cell r="R457" t="str">
            <v>HONDA CIVIC</v>
          </cell>
          <cell r="S457" t="str">
            <v>2017</v>
          </cell>
          <cell r="T457" t="str">
            <v>LEA-18-5005</v>
          </cell>
          <cell r="U457" t="str">
            <v>2923652</v>
          </cell>
          <cell r="V457" t="str">
            <v>R026853</v>
          </cell>
          <cell r="Y457">
            <v>4500000</v>
          </cell>
          <cell r="Z457">
            <v>58190</v>
          </cell>
          <cell r="AA457">
            <v>67500</v>
          </cell>
        </row>
        <row r="458">
          <cell r="B458" t="str">
            <v>KHI/HO/D/MO/PC COMP/C/101342/20/11/2024</v>
          </cell>
          <cell r="D458" t="str">
            <v>FRE</v>
          </cell>
          <cell r="E458" t="str">
            <v>21/11/24</v>
          </cell>
          <cell r="F458" t="str">
            <v>21/11/2024</v>
          </cell>
          <cell r="G458" t="str">
            <v>20/11/2025</v>
          </cell>
          <cell r="H458" t="str">
            <v>08004499</v>
          </cell>
          <cell r="I458" t="str">
            <v>AL BARAKA BANK (PAKISTAN) LIMITED</v>
          </cell>
          <cell r="J458" t="str">
            <v>BANK</v>
          </cell>
          <cell r="K458" t="str">
            <v>Mr.
HPA M/s. Al Baraka Bank Pakitan Limited
Mr. Muhammad Ashfaq
HPA M/s. Al Baraka Bank Pakitan Limited</v>
          </cell>
          <cell r="L458" t="str">
            <v>D</v>
          </cell>
          <cell r="M458" t="str">
            <v>09000221</v>
          </cell>
          <cell r="N458">
            <v>100</v>
          </cell>
          <cell r="O458" t="str">
            <v>LAHORE</v>
          </cell>
          <cell r="P458" t="str">
            <v>H No 2 St 1 Hanif Park Canal Bank Harbans Pura Lahore</v>
          </cell>
          <cell r="Q458" t="str">
            <v>11000003</v>
          </cell>
          <cell r="R458" t="str">
            <v>SUZUKI ALTO AGS A/T</v>
          </cell>
          <cell r="S458" t="str">
            <v>2024</v>
          </cell>
          <cell r="U458" t="str">
            <v>327572</v>
          </cell>
          <cell r="V458" t="str">
            <v>1227594</v>
          </cell>
          <cell r="Y458">
            <v>3045000</v>
          </cell>
          <cell r="Z458">
            <v>52500</v>
          </cell>
          <cell r="AA458">
            <v>60900</v>
          </cell>
        </row>
        <row r="459">
          <cell r="B459" t="str">
            <v>KHI/HO/D/MO/PC COMP/C/101342/21/11/2024</v>
          </cell>
          <cell r="D459" t="str">
            <v>FRE</v>
          </cell>
          <cell r="E459" t="str">
            <v>22/11/24</v>
          </cell>
          <cell r="F459" t="str">
            <v>22/11/2024</v>
          </cell>
          <cell r="G459" t="str">
            <v>21/11/2025</v>
          </cell>
          <cell r="H459" t="str">
            <v>08004499</v>
          </cell>
          <cell r="I459" t="str">
            <v>AL BARAKA BANK (PAKISTAN) LIMITED</v>
          </cell>
          <cell r="J459" t="str">
            <v>BANK</v>
          </cell>
          <cell r="K459" t="str">
            <v>Mr.
HPA M/s. Al Baraka Bank Pakitan Limited
Mr. Muhammad Ishaq 
HPA M/s. Al Baraka Bank Pakitan Limited</v>
          </cell>
          <cell r="L459" t="str">
            <v>D</v>
          </cell>
          <cell r="M459" t="str">
            <v>09000221</v>
          </cell>
          <cell r="N459">
            <v>100</v>
          </cell>
          <cell r="P459" t="str">
            <v>H # 25 Sector B Sukh Chain Garden Housing Estate Canal Road</v>
          </cell>
          <cell r="Q459" t="str">
            <v>11000003</v>
          </cell>
          <cell r="R459" t="str">
            <v>TOYOTA COROLLA XLI 1.3</v>
          </cell>
          <cell r="S459" t="str">
            <v>2016</v>
          </cell>
          <cell r="T459" t="str">
            <v>LEE-16-7683</v>
          </cell>
          <cell r="U459" t="str">
            <v>Z-453472</v>
          </cell>
          <cell r="V459" t="str">
            <v>R-4082875</v>
          </cell>
          <cell r="X459" t="str">
            <v>3</v>
          </cell>
          <cell r="Y459">
            <v>3500000</v>
          </cell>
          <cell r="Z459">
            <v>45258</v>
          </cell>
          <cell r="AA459">
            <v>52500</v>
          </cell>
        </row>
        <row r="460">
          <cell r="B460" t="str">
            <v>KHI/HO/D/MO/PC COMP/C/101342/22/11/2024</v>
          </cell>
          <cell r="D460" t="str">
            <v>FRE</v>
          </cell>
          <cell r="E460" t="str">
            <v>25/11/24</v>
          </cell>
          <cell r="F460" t="str">
            <v>25/11/2024</v>
          </cell>
          <cell r="G460" t="str">
            <v>24/11/2025</v>
          </cell>
          <cell r="H460" t="str">
            <v>08004499</v>
          </cell>
          <cell r="I460" t="str">
            <v>AL BARAKA BANK (PAKISTAN) LIMITED</v>
          </cell>
          <cell r="J460" t="str">
            <v>BANK</v>
          </cell>
          <cell r="K460" t="str">
            <v>Mr.
HPA M/s. Al Baraka Bank Pakitan Limited
Mr. Muhammad Ishaq
HPA M/s. Al Baraka Bank Pakitan Limited</v>
          </cell>
          <cell r="L460" t="str">
            <v>D</v>
          </cell>
          <cell r="M460" t="str">
            <v>09000221</v>
          </cell>
          <cell r="N460">
            <v>100</v>
          </cell>
          <cell r="O460" t="str">
            <v>LAHORE</v>
          </cell>
          <cell r="P460" t="str">
            <v>H No 125 Sector B Sukh Chayn Gardens Housing Estate Canal Road Lahore</v>
          </cell>
          <cell r="Q460" t="str">
            <v>11000003</v>
          </cell>
          <cell r="R460" t="str">
            <v>TOYOTA COROLLA XLI 1.3</v>
          </cell>
          <cell r="S460" t="str">
            <v>2016</v>
          </cell>
          <cell r="T460" t="str">
            <v>LEE-16-7683</v>
          </cell>
          <cell r="U460" t="str">
            <v>Z-453472</v>
          </cell>
          <cell r="V460" t="str">
            <v>R-4082875</v>
          </cell>
          <cell r="Y460">
            <v>3500000</v>
          </cell>
          <cell r="Z460">
            <v>45258</v>
          </cell>
          <cell r="AA460">
            <v>52500</v>
          </cell>
        </row>
        <row r="461">
          <cell r="B461" t="str">
            <v>KHI/HO/D/MO/PC COMP/C/102088/47/11/2024</v>
          </cell>
          <cell r="D461" t="str">
            <v>REN</v>
          </cell>
          <cell r="E461" t="str">
            <v>25/11/24</v>
          </cell>
          <cell r="F461" t="str">
            <v>17/11/2024</v>
          </cell>
          <cell r="G461" t="str">
            <v>16/11/2025</v>
          </cell>
          <cell r="H461" t="str">
            <v>08004499</v>
          </cell>
          <cell r="I461" t="str">
            <v>AL BARAKA BANK (PAKISTAN) LIMITED</v>
          </cell>
          <cell r="J461" t="str">
            <v>BANK</v>
          </cell>
          <cell r="K461" t="str">
            <v>HPA M/s. Al Baraka Bank (Pakistan) Limited
Mr. Hafiz Muhammad Yousaf
HPA M/s Al Baraka Bank ( Pakistan ) Limited</v>
          </cell>
          <cell r="L461" t="str">
            <v>D</v>
          </cell>
          <cell r="M461" t="str">
            <v>09000221</v>
          </cell>
          <cell r="N461">
            <v>100</v>
          </cell>
          <cell r="P461" t="str">
            <v>H # 50 Street 1 Gulshan-e- Iqbal Khanpur</v>
          </cell>
          <cell r="Q461" t="str">
            <v>11000003</v>
          </cell>
          <cell r="R461" t="str">
            <v>SUZUKI Swift GLX CVT</v>
          </cell>
          <cell r="S461" t="str">
            <v>2022</v>
          </cell>
          <cell r="T461" t="str">
            <v>ANK-346</v>
          </cell>
          <cell r="U461" t="str">
            <v>1010003</v>
          </cell>
          <cell r="V461" t="str">
            <v>110123</v>
          </cell>
          <cell r="Y461">
            <v>2464150</v>
          </cell>
          <cell r="Z461">
            <v>53107</v>
          </cell>
          <cell r="AA461">
            <v>61604</v>
          </cell>
        </row>
        <row r="462">
          <cell r="B462" t="str">
            <v>KHI/HO/D/MO/PC COMP/C/102088/48/11/2024</v>
          </cell>
          <cell r="D462" t="str">
            <v>REN</v>
          </cell>
          <cell r="E462" t="str">
            <v>25/11/24</v>
          </cell>
          <cell r="F462" t="str">
            <v>24/11/2024</v>
          </cell>
          <cell r="G462" t="str">
            <v>23/11/2025</v>
          </cell>
          <cell r="H462" t="str">
            <v>08004499</v>
          </cell>
          <cell r="I462" t="str">
            <v>AL BARAKA BANK (PAKISTAN) LIMITED</v>
          </cell>
          <cell r="J462" t="str">
            <v>BANK</v>
          </cell>
          <cell r="K462" t="str">
            <v>HPA M/s. Al Baraka Bank (Pakistan) Limited
Hpa M/S. Al Baraka Bank (Pakistan) Limited
User: Muhammad Saleem</v>
          </cell>
          <cell r="L462" t="str">
            <v>D</v>
          </cell>
          <cell r="M462" t="str">
            <v>09000221</v>
          </cell>
          <cell r="N462">
            <v>100</v>
          </cell>
          <cell r="P462" t="str">
            <v>H#5 St # 3 Moh Nain Bazar Astana Naqshbandi Daroghawala Lahore</v>
          </cell>
          <cell r="Q462" t="str">
            <v>11000003</v>
          </cell>
          <cell r="R462" t="str">
            <v>TOYOTA YARIS ATIV CVT</v>
          </cell>
          <cell r="S462" t="str">
            <v>2020</v>
          </cell>
          <cell r="T462" t="str">
            <v>ABA-391</v>
          </cell>
          <cell r="U462" t="str">
            <v>2A12878</v>
          </cell>
          <cell r="V462" t="str">
            <v>7007542</v>
          </cell>
          <cell r="Y462">
            <v>1873500</v>
          </cell>
          <cell r="Z462">
            <v>60565</v>
          </cell>
          <cell r="AA462">
            <v>70256</v>
          </cell>
        </row>
        <row r="463">
          <cell r="B463" t="str">
            <v>KHI/HO/D/MO/PC COMP/C/101342/23/11/2024</v>
          </cell>
          <cell r="D463" t="str">
            <v>FRE</v>
          </cell>
          <cell r="E463" t="str">
            <v>26/11/24</v>
          </cell>
          <cell r="F463" t="str">
            <v>25/11/2024</v>
          </cell>
          <cell r="G463" t="str">
            <v>24/11/2025</v>
          </cell>
          <cell r="H463" t="str">
            <v>08004499</v>
          </cell>
          <cell r="I463" t="str">
            <v>AL BARAKA BANK (PAKISTAN) LIMITED</v>
          </cell>
          <cell r="J463" t="str">
            <v>BANK</v>
          </cell>
          <cell r="K463" t="str">
            <v>Mr.
HPA M/s. Al Baraka Bank Pakitan Limited
Ms. Shazia
HPA M/s. Al Baraka Bank Pakitan Limited</v>
          </cell>
          <cell r="L463" t="str">
            <v>D</v>
          </cell>
          <cell r="M463" t="str">
            <v>09000221</v>
          </cell>
          <cell r="N463">
            <v>100</v>
          </cell>
          <cell r="O463" t="str">
            <v>KARACHI</v>
          </cell>
          <cell r="P463" t="str">
            <v>Flat No 15 B 4th Floor Gulshan Complex Phase 1 Johar Mor Karachi</v>
          </cell>
          <cell r="Q463" t="str">
            <v>11000003</v>
          </cell>
          <cell r="R463" t="str">
            <v>SUZUKI ALTO</v>
          </cell>
          <cell r="S463" t="str">
            <v>2020</v>
          </cell>
          <cell r="T463" t="str">
            <v>BRU-904</v>
          </cell>
          <cell r="U463" t="str">
            <v>132859</v>
          </cell>
          <cell r="V463" t="str">
            <v>1032848</v>
          </cell>
          <cell r="Y463">
            <v>2200000</v>
          </cell>
          <cell r="Z463">
            <v>37931</v>
          </cell>
          <cell r="AA463">
            <v>44000</v>
          </cell>
        </row>
        <row r="464">
          <cell r="B464" t="str">
            <v>KHI/HO/D/MO/PC COMP/C/101342/24/11/2024</v>
          </cell>
          <cell r="D464" t="str">
            <v>FRE</v>
          </cell>
          <cell r="E464" t="str">
            <v>27/11/24</v>
          </cell>
          <cell r="F464" t="str">
            <v>27/11/2024</v>
          </cell>
          <cell r="G464" t="str">
            <v>26/11/2025</v>
          </cell>
          <cell r="H464" t="str">
            <v>08004499</v>
          </cell>
          <cell r="I464" t="str">
            <v>AL BARAKA BANK (PAKISTAN) LIMITED</v>
          </cell>
          <cell r="J464" t="str">
            <v>BANK</v>
          </cell>
          <cell r="K464" t="str">
            <v>Mr.
HPA M/s. Al Baraka Bank Pakitan Limited
Mr. Fahad Khan
HPA M/s. Al Baraka Bank Pakitan Limited</v>
          </cell>
          <cell r="L464" t="str">
            <v>D</v>
          </cell>
          <cell r="M464" t="str">
            <v>09000221</v>
          </cell>
          <cell r="N464">
            <v>100</v>
          </cell>
          <cell r="O464" t="str">
            <v>KARACHI</v>
          </cell>
          <cell r="P464" t="str">
            <v>H No 183 Area 37 G Landhi No 4 Karachi</v>
          </cell>
          <cell r="Q464" t="str">
            <v>11000003</v>
          </cell>
          <cell r="R464" t="str">
            <v>SUZUKI ALTO</v>
          </cell>
          <cell r="S464" t="str">
            <v>2022</v>
          </cell>
          <cell r="T464" t="str">
            <v>BXX-585</v>
          </cell>
          <cell r="U464" t="str">
            <v>259073</v>
          </cell>
          <cell r="V464" t="str">
            <v>1159056</v>
          </cell>
          <cell r="Y464">
            <v>2580000</v>
          </cell>
          <cell r="Z464">
            <v>44483</v>
          </cell>
          <cell r="AA464">
            <v>51600</v>
          </cell>
        </row>
        <row r="465">
          <cell r="B465" t="str">
            <v>KHI/HO/D/MO/PC COMP/C/101342/25/11/2024</v>
          </cell>
          <cell r="D465" t="str">
            <v>FRE</v>
          </cell>
          <cell r="E465" t="str">
            <v>27/11/24</v>
          </cell>
          <cell r="F465" t="str">
            <v>27/11/2024</v>
          </cell>
          <cell r="G465" t="str">
            <v>26/11/2025</v>
          </cell>
          <cell r="H465" t="str">
            <v>08004499</v>
          </cell>
          <cell r="I465" t="str">
            <v>AL BARAKA BANK (PAKISTAN) LIMITED</v>
          </cell>
          <cell r="J465" t="str">
            <v>BANK</v>
          </cell>
          <cell r="K465" t="str">
            <v>Mr.
HPA M/s. Al Baraka Bank Pakitan Limited
Ms. Najma Khalid
HPA M/s. Al Baraka Bank Pakitan Limited</v>
          </cell>
          <cell r="L465" t="str">
            <v>D</v>
          </cell>
          <cell r="M465" t="str">
            <v>09000221</v>
          </cell>
          <cell r="N465">
            <v>100</v>
          </cell>
          <cell r="O465" t="str">
            <v>KARACHI</v>
          </cell>
          <cell r="P465" t="str">
            <v>Plot No 111-C 10/11 Nazimabad Karachi</v>
          </cell>
          <cell r="Q465" t="str">
            <v>11000003</v>
          </cell>
          <cell r="R465" t="str">
            <v>SUZUKI ALTO</v>
          </cell>
          <cell r="S465" t="str">
            <v>2024</v>
          </cell>
          <cell r="T465" t="str">
            <v>BZP-223</v>
          </cell>
          <cell r="U465" t="str">
            <v>6R301631</v>
          </cell>
          <cell r="V465" t="str">
            <v>1201615</v>
          </cell>
          <cell r="Y465">
            <v>3045000</v>
          </cell>
          <cell r="Z465">
            <v>52500</v>
          </cell>
          <cell r="AA465">
            <v>60900</v>
          </cell>
        </row>
        <row r="466">
          <cell r="B466" t="str">
            <v>KHI/HO/D/MO/PC COMP/C/101342/26/11/2024</v>
          </cell>
          <cell r="D466" t="str">
            <v>FRE</v>
          </cell>
          <cell r="E466" t="str">
            <v>27/11/24</v>
          </cell>
          <cell r="F466" t="str">
            <v>27/11/2024</v>
          </cell>
          <cell r="G466" t="str">
            <v>26/11/2025</v>
          </cell>
          <cell r="H466" t="str">
            <v>08004499</v>
          </cell>
          <cell r="I466" t="str">
            <v>AL BARAKA BANK (PAKISTAN) LIMITED</v>
          </cell>
          <cell r="J466" t="str">
            <v>BANK</v>
          </cell>
          <cell r="K466" t="str">
            <v>Mr.
HPA M/s. Al Baraka Bank Pakitan Limited
Mr. MASROOR HUSSAIN SHAIKH
HPA M/s. Al Baraka Bank Pakitan Limited</v>
          </cell>
          <cell r="L466" t="str">
            <v>D</v>
          </cell>
          <cell r="M466" t="str">
            <v>09000221</v>
          </cell>
          <cell r="N466">
            <v>100</v>
          </cell>
          <cell r="O466" t="str">
            <v>FAISALABAD</v>
          </cell>
          <cell r="P466" t="str">
            <v>Aiwan E Sheikh H-P-699 Khayaban Colony 02 Faisalabad</v>
          </cell>
          <cell r="Q466" t="str">
            <v>11000003</v>
          </cell>
          <cell r="R466" t="str">
            <v>HAVAL H6</v>
          </cell>
          <cell r="S466" t="str">
            <v>2024</v>
          </cell>
          <cell r="U466" t="str">
            <v>24458525345</v>
          </cell>
          <cell r="V466" t="str">
            <v>NF9EF4A55R2011384</v>
          </cell>
          <cell r="X466" t="str">
            <v>3</v>
          </cell>
          <cell r="Y466">
            <v>9240990</v>
          </cell>
          <cell r="Z466">
            <v>119496</v>
          </cell>
          <cell r="AA466">
            <v>138615</v>
          </cell>
        </row>
        <row r="467">
          <cell r="B467" t="str">
            <v>KHI/HO/D/MO/PC COMP/C/101342/27/11/2024</v>
          </cell>
          <cell r="D467" t="str">
            <v>FRE</v>
          </cell>
          <cell r="E467" t="str">
            <v>28/11/24</v>
          </cell>
          <cell r="F467" t="str">
            <v>28/11/2024</v>
          </cell>
          <cell r="G467" t="str">
            <v>27/11/2025</v>
          </cell>
          <cell r="H467" t="str">
            <v>08004499</v>
          </cell>
          <cell r="I467" t="str">
            <v>AL BARAKA BANK (PAKISTAN) LIMITED</v>
          </cell>
          <cell r="J467" t="str">
            <v>BANK</v>
          </cell>
          <cell r="K467" t="str">
            <v>Mr.
HPA M/s. Al Baraka Bank Pakitan Limited
Mr. Shoaib Mumtaz Karimi
HPA M/s. Al Baraka Bank Pakitan Limited</v>
          </cell>
          <cell r="L467" t="str">
            <v>D</v>
          </cell>
          <cell r="M467" t="str">
            <v>09000221</v>
          </cell>
          <cell r="N467">
            <v>100</v>
          </cell>
          <cell r="O467" t="str">
            <v>KARACHI</v>
          </cell>
          <cell r="P467" t="str">
            <v>H No B226 Block 18 Area Gulshan E Iqbal Karachi</v>
          </cell>
          <cell r="Q467" t="str">
            <v>11000003</v>
          </cell>
          <cell r="R467" t="str">
            <v>HONDA CITY</v>
          </cell>
          <cell r="S467" t="str">
            <v>2022</v>
          </cell>
          <cell r="T467" t="str">
            <v>BVL-063</v>
          </cell>
          <cell r="U467" t="str">
            <v>1002546</v>
          </cell>
          <cell r="V467" t="str">
            <v>R007831</v>
          </cell>
          <cell r="Y467">
            <v>4300000</v>
          </cell>
          <cell r="Z467">
            <v>55603</v>
          </cell>
          <cell r="AA467">
            <v>64500</v>
          </cell>
        </row>
        <row r="468">
          <cell r="B468" t="str">
            <v>KHI/HO/D/MO/PC COMP/C/101342/28/11/2024</v>
          </cell>
          <cell r="D468" t="str">
            <v>FRE</v>
          </cell>
          <cell r="E468" t="str">
            <v>28/11/24</v>
          </cell>
          <cell r="F468" t="str">
            <v>28/11/2024</v>
          </cell>
          <cell r="G468" t="str">
            <v>27/11/2025</v>
          </cell>
          <cell r="H468" t="str">
            <v>08004499</v>
          </cell>
          <cell r="I468" t="str">
            <v>AL BARAKA BANK (PAKISTAN) LIMITED</v>
          </cell>
          <cell r="J468" t="str">
            <v>BANK</v>
          </cell>
          <cell r="K468" t="str">
            <v>Mr.
HPA M/s. Al Baraka Bank Pakitan Limited
Mr. ANWAR HUSSAIN
HPA M/s. Al Baraka Bank Pakitan Limited</v>
          </cell>
          <cell r="L468" t="str">
            <v>D</v>
          </cell>
          <cell r="M468" t="str">
            <v>09000221</v>
          </cell>
          <cell r="N468">
            <v>100</v>
          </cell>
          <cell r="O468" t="str">
            <v>FAISALABAD</v>
          </cell>
          <cell r="P468" t="str">
            <v>H No 164 Dream St Ismail Road Sitara Sapna City Faisalabad</v>
          </cell>
          <cell r="Q468" t="str">
            <v>11000003</v>
          </cell>
          <cell r="R468" t="str">
            <v>SUZUKI ALTO VXR</v>
          </cell>
          <cell r="S468" t="str">
            <v>2021</v>
          </cell>
          <cell r="T468" t="str">
            <v>ACE-549</v>
          </cell>
          <cell r="U468" t="str">
            <v>6R155121</v>
          </cell>
          <cell r="V468" t="str">
            <v>NF1AET306H1055115</v>
          </cell>
          <cell r="X468" t="str">
            <v>5</v>
          </cell>
          <cell r="Y468">
            <v>2350000</v>
          </cell>
          <cell r="Z468">
            <v>40517</v>
          </cell>
          <cell r="AA468">
            <v>47000</v>
          </cell>
        </row>
        <row r="469">
          <cell r="B469" t="str">
            <v>KHI/HO/D/MO/PC COMP/C/101342/29/11/2024</v>
          </cell>
          <cell r="D469" t="str">
            <v>FRE</v>
          </cell>
          <cell r="E469" t="str">
            <v>28/11/24</v>
          </cell>
          <cell r="F469" t="str">
            <v>28/11/2024</v>
          </cell>
          <cell r="G469" t="str">
            <v>27/11/2025</v>
          </cell>
          <cell r="H469" t="str">
            <v>08004499</v>
          </cell>
          <cell r="I469" t="str">
            <v>AL BARAKA BANK (PAKISTAN) LIMITED</v>
          </cell>
          <cell r="J469" t="str">
            <v>BANK</v>
          </cell>
          <cell r="K469" t="str">
            <v>Mr.
HPA M/s. Al Baraka Bank Pakitan Limited
Mr. Abbas Ali Raza 
HPA M/s. Al Baraka Bank Pakitan Limited</v>
          </cell>
          <cell r="L469" t="str">
            <v>D</v>
          </cell>
          <cell r="M469" t="str">
            <v>09000221</v>
          </cell>
          <cell r="N469">
            <v>100</v>
          </cell>
          <cell r="O469" t="str">
            <v>LAHORE</v>
          </cell>
          <cell r="P469" t="str">
            <v>H No 73/1 street 02 Block G Mohallah Phase 05 DHA Lahore</v>
          </cell>
          <cell r="Q469" t="str">
            <v>11000003</v>
          </cell>
          <cell r="R469" t="str">
            <v>SUZUKI ALTO VXL</v>
          </cell>
          <cell r="S469" t="str">
            <v>2020</v>
          </cell>
          <cell r="T469" t="str">
            <v>AAM-115</v>
          </cell>
          <cell r="U469" t="str">
            <v>141367</v>
          </cell>
          <cell r="V469" t="str">
            <v>1041346</v>
          </cell>
          <cell r="Y469">
            <v>2600000</v>
          </cell>
          <cell r="Z469">
            <v>44828</v>
          </cell>
          <cell r="AA469">
            <v>52000</v>
          </cell>
        </row>
        <row r="470">
          <cell r="B470" t="str">
            <v>KHI/HO/D/MO/PC COMP/C/101342/30/11/2024</v>
          </cell>
          <cell r="D470" t="str">
            <v>FRE</v>
          </cell>
          <cell r="E470" t="str">
            <v>29/11/24</v>
          </cell>
          <cell r="F470" t="str">
            <v>29/11/2024</v>
          </cell>
          <cell r="G470" t="str">
            <v>28/11/2025</v>
          </cell>
          <cell r="H470" t="str">
            <v>08004499</v>
          </cell>
          <cell r="I470" t="str">
            <v>AL BARAKA BANK (PAKISTAN) LIMITED</v>
          </cell>
          <cell r="J470" t="str">
            <v>BANK</v>
          </cell>
          <cell r="K470" t="str">
            <v>Mr.
HPA M/s. Al Baraka Bank Pakitan Limited
Mr. Muhammad Imran
HPA M/s. Al Baraka Bank Pakitan Limited</v>
          </cell>
          <cell r="L470" t="str">
            <v>D</v>
          </cell>
          <cell r="M470" t="str">
            <v>09000221</v>
          </cell>
          <cell r="N470">
            <v>100</v>
          </cell>
          <cell r="O470" t="str">
            <v>BHAI PHERU</v>
          </cell>
          <cell r="P470" t="str">
            <v>St No 2 Jouji Basti Sharqi Near Norani Masjid Bahawalpur</v>
          </cell>
          <cell r="Q470" t="str">
            <v>11000003</v>
          </cell>
          <cell r="R470" t="str">
            <v>SUZUKI ALTO</v>
          </cell>
          <cell r="S470" t="str">
            <v>2024</v>
          </cell>
          <cell r="U470" t="str">
            <v>329402</v>
          </cell>
          <cell r="V470" t="str">
            <v>1229433</v>
          </cell>
          <cell r="Y470">
            <v>2707000</v>
          </cell>
          <cell r="Z470">
            <v>46672</v>
          </cell>
          <cell r="AA470">
            <v>54140</v>
          </cell>
        </row>
        <row r="471">
          <cell r="B471" t="str">
            <v>KHI/HO/D/MO/PC COMP/C/101342/31/11/2024</v>
          </cell>
          <cell r="D471" t="str">
            <v>FRE</v>
          </cell>
          <cell r="E471" t="str">
            <v>29/11/24</v>
          </cell>
          <cell r="F471" t="str">
            <v>29/11/2024</v>
          </cell>
          <cell r="G471" t="str">
            <v>28/11/2025</v>
          </cell>
          <cell r="H471" t="str">
            <v>08004499</v>
          </cell>
          <cell r="I471" t="str">
            <v>AL BARAKA BANK (PAKISTAN) LIMITED</v>
          </cell>
          <cell r="J471" t="str">
            <v>BANK</v>
          </cell>
          <cell r="K471" t="str">
            <v>Mr.
HPA M/s. Al Baraka Bank Pakitan Limited
Mr. MUHAMMAD KHIZAR SHAHID
HPA M/s. Al Baraka Bank Pakitan Limited</v>
          </cell>
          <cell r="L471" t="str">
            <v>D</v>
          </cell>
          <cell r="M471" t="str">
            <v>09000221</v>
          </cell>
          <cell r="N471">
            <v>100</v>
          </cell>
          <cell r="O471" t="str">
            <v>FAISALABAD</v>
          </cell>
          <cell r="P471" t="str">
            <v>H No 29 Block D Royal Vllas Lower Canal Road Faisalabad</v>
          </cell>
          <cell r="Q471" t="str">
            <v>11000003</v>
          </cell>
          <cell r="R471" t="str">
            <v>CHANGAN ALSVIN</v>
          </cell>
          <cell r="S471" t="str">
            <v>2024</v>
          </cell>
          <cell r="U471" t="str">
            <v>JL473Q4R3EE503388</v>
          </cell>
          <cell r="V471" t="str">
            <v>NKMA2CBR4R1002269</v>
          </cell>
          <cell r="X471" t="str">
            <v>3</v>
          </cell>
          <cell r="Y471">
            <v>3799000</v>
          </cell>
          <cell r="Z471">
            <v>49125</v>
          </cell>
          <cell r="AA471">
            <v>56985</v>
          </cell>
        </row>
        <row r="472">
          <cell r="B472" t="str">
            <v>KHI/HO/D/MO/PC COMP/C/101342/32/11/2024</v>
          </cell>
          <cell r="D472" t="str">
            <v>FRE</v>
          </cell>
          <cell r="E472" t="str">
            <v>29/11/24</v>
          </cell>
          <cell r="F472" t="str">
            <v>29/11/2024</v>
          </cell>
          <cell r="G472" t="str">
            <v>28/11/2025</v>
          </cell>
          <cell r="H472" t="str">
            <v>08004499</v>
          </cell>
          <cell r="I472" t="str">
            <v>AL BARAKA BANK (PAKISTAN) LIMITED</v>
          </cell>
          <cell r="J472" t="str">
            <v>BANK</v>
          </cell>
          <cell r="K472" t="str">
            <v>Mr.
HPA M/s. Al Baraka Bank Pakitan Limited
Mr. Ali Sajdain
HPA M/s. Al Baraka Bank Pakitan Limited</v>
          </cell>
          <cell r="L472" t="str">
            <v>D</v>
          </cell>
          <cell r="M472" t="str">
            <v>09000221</v>
          </cell>
          <cell r="N472">
            <v>100</v>
          </cell>
          <cell r="P472" t="str">
            <v>PO Khas Chak 161 /EB Tehsil Arifwala Dist Pak Pattan</v>
          </cell>
          <cell r="Q472" t="str">
            <v>11000003</v>
          </cell>
          <cell r="R472" t="str">
            <v>TOYOTA FORTUNER</v>
          </cell>
          <cell r="S472" t="str">
            <v>2017</v>
          </cell>
          <cell r="T472" t="str">
            <v>LEB-17-85</v>
          </cell>
          <cell r="U472" t="str">
            <v>2TRA191376</v>
          </cell>
          <cell r="V472" t="str">
            <v>R0440023</v>
          </cell>
          <cell r="Y472">
            <v>10000000</v>
          </cell>
          <cell r="Z472">
            <v>129310</v>
          </cell>
          <cell r="AA472">
            <v>150000</v>
          </cell>
        </row>
        <row r="473">
          <cell r="B473" t="str">
            <v>KHI/HO/D/MO/PC COMP/C/101342/33/11/2024</v>
          </cell>
          <cell r="D473" t="str">
            <v>FRE</v>
          </cell>
          <cell r="E473" t="str">
            <v>29/11/24</v>
          </cell>
          <cell r="F473" t="str">
            <v>29/11/2024</v>
          </cell>
          <cell r="G473" t="str">
            <v>28/11/2025</v>
          </cell>
          <cell r="H473" t="str">
            <v>08004499</v>
          </cell>
          <cell r="I473" t="str">
            <v>AL BARAKA BANK (PAKISTAN) LIMITED</v>
          </cell>
          <cell r="J473" t="str">
            <v>BANK</v>
          </cell>
          <cell r="K473" t="str">
            <v>Mr.
HPA M/s. Al Baraka Bank Pakitan Limited
Mr. Muhammad Nafees Ul Hasan
HPA M/s. Al Baraka Bank Pakitan Limited</v>
          </cell>
          <cell r="L473" t="str">
            <v>D</v>
          </cell>
          <cell r="M473" t="str">
            <v>09000221</v>
          </cell>
          <cell r="N473">
            <v>100</v>
          </cell>
          <cell r="O473" t="str">
            <v>RAWALPINDI</v>
          </cell>
          <cell r="P473" t="str">
            <v>H NO 40 Zafar Ali Khan Road Taxila Cantt</v>
          </cell>
          <cell r="Q473" t="str">
            <v>11000003</v>
          </cell>
          <cell r="R473" t="str">
            <v>HONDA CITY A/T</v>
          </cell>
          <cell r="S473" t="str">
            <v>2019</v>
          </cell>
          <cell r="T473" t="str">
            <v>AMY-625</v>
          </cell>
          <cell r="U473" t="str">
            <v>17528374</v>
          </cell>
          <cell r="V473" t="str">
            <v>246273</v>
          </cell>
          <cell r="Y473">
            <v>3700000</v>
          </cell>
          <cell r="Z473">
            <v>47845</v>
          </cell>
          <cell r="AA473">
            <v>55500</v>
          </cell>
        </row>
        <row r="474">
          <cell r="B474" t="str">
            <v>KHI/HO/D/MO/PC COMP/C/101342/34/11/2024</v>
          </cell>
          <cell r="D474" t="str">
            <v>FRE</v>
          </cell>
          <cell r="E474" t="str">
            <v>29/11/24</v>
          </cell>
          <cell r="F474" t="str">
            <v>29/11/2024</v>
          </cell>
          <cell r="G474" t="str">
            <v>28/11/2025</v>
          </cell>
          <cell r="H474" t="str">
            <v>08004499</v>
          </cell>
          <cell r="I474" t="str">
            <v>AL BARAKA BANK (PAKISTAN) LIMITED</v>
          </cell>
          <cell r="J474" t="str">
            <v>BANK</v>
          </cell>
          <cell r="K474" t="str">
            <v>Mr.
HPA M/s. Al Baraka Bank Pakitan Limited
Mr. Muhammad Kashif Riaz
HPA M/s. Al Baraka Bank Pakitan Limited</v>
          </cell>
          <cell r="L474" t="str">
            <v>D</v>
          </cell>
          <cell r="M474" t="str">
            <v>09000221</v>
          </cell>
          <cell r="N474">
            <v>100</v>
          </cell>
          <cell r="O474" t="str">
            <v>LAHORE</v>
          </cell>
          <cell r="P474" t="str">
            <v>H No 7/1 Bait IL Raza Al Mumtaz Road Multan Road Lahore</v>
          </cell>
          <cell r="Q474" t="str">
            <v>11000003</v>
          </cell>
          <cell r="R474" t="str">
            <v>TOYOTA COROLLA ALTIS GRAN</v>
          </cell>
          <cell r="S474" t="str">
            <v>2021</v>
          </cell>
          <cell r="T474" t="str">
            <v>AFL-382</v>
          </cell>
          <cell r="U474" t="str">
            <v>352872</v>
          </cell>
          <cell r="V474" t="str">
            <v>7052027</v>
          </cell>
          <cell r="Y474">
            <v>6500000</v>
          </cell>
          <cell r="Z474">
            <v>84051</v>
          </cell>
          <cell r="AA474">
            <v>97500</v>
          </cell>
        </row>
        <row r="475">
          <cell r="B475" t="str">
            <v>KHI/HO/D/MO/PC COMP/C/101342/35/11/2024</v>
          </cell>
          <cell r="D475" t="str">
            <v>FRE</v>
          </cell>
          <cell r="E475" t="str">
            <v>29/11/24</v>
          </cell>
          <cell r="F475" t="str">
            <v>29/11/2024</v>
          </cell>
          <cell r="G475" t="str">
            <v>28/11/2025</v>
          </cell>
          <cell r="H475" t="str">
            <v>08004499</v>
          </cell>
          <cell r="I475" t="str">
            <v>AL BARAKA BANK (PAKISTAN) LIMITED</v>
          </cell>
          <cell r="J475" t="str">
            <v>BANK</v>
          </cell>
          <cell r="K475" t="str">
            <v>Mr.
HPA M/s. Al Baraka Bank Pakitan Limited
Mr. Muhammad Shahid Kamran
HPA M/s. Al Baraka Bank Pakitan Limited</v>
          </cell>
          <cell r="L475" t="str">
            <v>D</v>
          </cell>
          <cell r="M475" t="str">
            <v>09000221</v>
          </cell>
          <cell r="N475">
            <v>100</v>
          </cell>
          <cell r="O475" t="str">
            <v>MULTAN</v>
          </cell>
          <cell r="P475" t="str">
            <v>H No 146 Near Jamia Masjid Lodhi Colony Multan</v>
          </cell>
          <cell r="Q475" t="str">
            <v>11000003</v>
          </cell>
          <cell r="R475" t="str">
            <v>SUZUKI ALTO VXR</v>
          </cell>
          <cell r="S475" t="str">
            <v>2021</v>
          </cell>
          <cell r="T475" t="str">
            <v>ADT-706</v>
          </cell>
          <cell r="U475" t="str">
            <v>173118</v>
          </cell>
          <cell r="V475" t="str">
            <v>1073104</v>
          </cell>
          <cell r="Y475">
            <v>2300000</v>
          </cell>
          <cell r="Z475">
            <v>39655</v>
          </cell>
          <cell r="AA475">
            <v>46000</v>
          </cell>
        </row>
        <row r="476">
          <cell r="B476" t="str">
            <v>KHI/HO/D/MO/PC COMP/C/101342/36/11/2024</v>
          </cell>
          <cell r="D476" t="str">
            <v>FRE</v>
          </cell>
          <cell r="E476" t="str">
            <v>29/11/24</v>
          </cell>
          <cell r="F476" t="str">
            <v>29/11/2024</v>
          </cell>
          <cell r="G476" t="str">
            <v>28/11/2025</v>
          </cell>
          <cell r="H476" t="str">
            <v>08004499</v>
          </cell>
          <cell r="I476" t="str">
            <v>AL BARAKA BANK (PAKISTAN) LIMITED</v>
          </cell>
          <cell r="J476" t="str">
            <v>BANK</v>
          </cell>
          <cell r="K476" t="str">
            <v>Mr.
HPA M/s. Al Baraka Bank Pakitan Limited
Mr. Jawad Ali
HPA M/s. Al Baraka Bank Pakitan Limited</v>
          </cell>
          <cell r="L476" t="str">
            <v>D</v>
          </cell>
          <cell r="M476" t="str">
            <v>09000221</v>
          </cell>
          <cell r="N476">
            <v>100</v>
          </cell>
          <cell r="O476" t="str">
            <v>RAHIM YAR KHAN</v>
          </cell>
          <cell r="P476" t="str">
            <v>H-A-200 1st Floor St No 7 B Sector Z Airport Housing Society Rawalpindi</v>
          </cell>
          <cell r="Q476" t="str">
            <v>11000003</v>
          </cell>
          <cell r="R476" t="str">
            <v>SUZUKI WAGON R VXL</v>
          </cell>
          <cell r="S476" t="str">
            <v>2018</v>
          </cell>
          <cell r="T476" t="str">
            <v>AHS-798</v>
          </cell>
          <cell r="U476" t="str">
            <v>154325</v>
          </cell>
          <cell r="V476" t="str">
            <v>10054284</v>
          </cell>
          <cell r="X476" t="str">
            <v>05</v>
          </cell>
          <cell r="Y476">
            <v>2000000</v>
          </cell>
          <cell r="Z476">
            <v>34483</v>
          </cell>
          <cell r="AA476">
            <v>40000</v>
          </cell>
        </row>
        <row r="477">
          <cell r="B477" t="str">
            <v>KHI/HO/D/MO/PC COMP/C/101342/37/11/2024</v>
          </cell>
          <cell r="D477" t="str">
            <v>FRE</v>
          </cell>
          <cell r="E477" t="str">
            <v>29/11/24</v>
          </cell>
          <cell r="F477" t="str">
            <v>29/11/2024</v>
          </cell>
          <cell r="G477" t="str">
            <v>28/11/2025</v>
          </cell>
          <cell r="H477" t="str">
            <v>08004499</v>
          </cell>
          <cell r="I477" t="str">
            <v>AL BARAKA BANK (PAKISTAN) LIMITED</v>
          </cell>
          <cell r="J477" t="str">
            <v>BANK</v>
          </cell>
          <cell r="K477" t="str">
            <v>Mr.
HPA M/s. Al Baraka Bank Pakitan Limited
Mr. Malik Mudasir Ishaq Awan
HPA M/s. Al Baraka Bank Pakitan Limited</v>
          </cell>
          <cell r="L477" t="str">
            <v>D</v>
          </cell>
          <cell r="M477" t="str">
            <v>09000221</v>
          </cell>
          <cell r="N477">
            <v>100</v>
          </cell>
          <cell r="O477" t="str">
            <v>ISLAMABAD</v>
          </cell>
          <cell r="P477" t="str">
            <v>H No 323 St No 54 Sec C-1 B-17 Islamabad</v>
          </cell>
          <cell r="Q477" t="str">
            <v>11000003</v>
          </cell>
          <cell r="R477" t="str">
            <v>SUZUKI WAGON-R</v>
          </cell>
          <cell r="S477" t="str">
            <v>2018</v>
          </cell>
          <cell r="T477" t="str">
            <v>AJC-368</v>
          </cell>
          <cell r="U477" t="str">
            <v>157394</v>
          </cell>
          <cell r="V477" t="str">
            <v>10057383</v>
          </cell>
          <cell r="Y477">
            <v>2350000</v>
          </cell>
          <cell r="Z477">
            <v>40517</v>
          </cell>
          <cell r="AA477">
            <v>47000</v>
          </cell>
        </row>
        <row r="478">
          <cell r="B478" t="str">
            <v>KHI/HO/D/MO/PC COMP/C/101342/38/11/2024</v>
          </cell>
          <cell r="D478" t="str">
            <v>FRE</v>
          </cell>
          <cell r="E478" t="str">
            <v>29/11/24</v>
          </cell>
          <cell r="F478" t="str">
            <v>29/11/2024</v>
          </cell>
          <cell r="G478" t="str">
            <v>28/11/2025</v>
          </cell>
          <cell r="H478" t="str">
            <v>08004499</v>
          </cell>
          <cell r="I478" t="str">
            <v>AL BARAKA BANK (PAKISTAN) LIMITED</v>
          </cell>
          <cell r="J478" t="str">
            <v>BANK</v>
          </cell>
          <cell r="K478" t="str">
            <v>Mr.
HPA M/s. Al Baraka Bank Pakitan Limited
Mr. ALI RAZA
HPA M/s. Al Baraka Bank Pakitan Limited</v>
          </cell>
          <cell r="L478" t="str">
            <v>D</v>
          </cell>
          <cell r="M478" t="str">
            <v>09000221</v>
          </cell>
          <cell r="N478">
            <v>100</v>
          </cell>
          <cell r="O478" t="str">
            <v>FAISALABAD</v>
          </cell>
          <cell r="P478" t="str">
            <v>Ghosia Chowk H 434 Mohalla Peoples Colony 2 Block C Faisalabad</v>
          </cell>
          <cell r="Q478" t="str">
            <v>11000003</v>
          </cell>
          <cell r="R478" t="str">
            <v>SUZUKI ALTO</v>
          </cell>
          <cell r="S478" t="str">
            <v>2024</v>
          </cell>
          <cell r="U478" t="str">
            <v>6R327743</v>
          </cell>
          <cell r="V478" t="str">
            <v>NF1AET306H1227717</v>
          </cell>
          <cell r="X478" t="str">
            <v>5</v>
          </cell>
          <cell r="Y478">
            <v>3045000</v>
          </cell>
          <cell r="Z478">
            <v>52500</v>
          </cell>
          <cell r="AA478">
            <v>60900</v>
          </cell>
        </row>
        <row r="479">
          <cell r="B479" t="str">
            <v>KHI/HO/D/MO/PC COMP/C/101342/39/11/2024</v>
          </cell>
          <cell r="D479" t="str">
            <v>FRE</v>
          </cell>
          <cell r="E479" t="str">
            <v>29/11/24</v>
          </cell>
          <cell r="F479" t="str">
            <v>29/11/2024</v>
          </cell>
          <cell r="G479" t="str">
            <v>28/11/2025</v>
          </cell>
          <cell r="H479" t="str">
            <v>08004499</v>
          </cell>
          <cell r="I479" t="str">
            <v>AL BARAKA BANK (PAKISTAN) LIMITED</v>
          </cell>
          <cell r="J479" t="str">
            <v>BANK</v>
          </cell>
          <cell r="K479" t="str">
            <v>Mr.
HPA M/s. Al Baraka Bank Pakitan Limited
Mr. MASHHOOD HUSSAIN
HPA M/s. Al Baraka Bank Pakitan Limite</v>
          </cell>
          <cell r="L479" t="str">
            <v>D</v>
          </cell>
          <cell r="M479" t="str">
            <v>09000221</v>
          </cell>
          <cell r="N479">
            <v>100</v>
          </cell>
          <cell r="O479" t="str">
            <v>FAISALABAD</v>
          </cell>
          <cell r="P479" t="str">
            <v>P-222 St No Ahmedabad Near Gulistan Colony Faisalabad</v>
          </cell>
          <cell r="Q479" t="str">
            <v>11000003</v>
          </cell>
          <cell r="R479" t="str">
            <v>TOYOTA COROLLA GLI M/T 1.</v>
          </cell>
          <cell r="S479" t="str">
            <v>2017</v>
          </cell>
          <cell r="T479" t="str">
            <v>LEB-17-9993</v>
          </cell>
          <cell r="U479" t="str">
            <v>Z 488598</v>
          </cell>
          <cell r="V479" t="str">
            <v>NZE170R-4115365</v>
          </cell>
          <cell r="X479" t="str">
            <v>3</v>
          </cell>
          <cell r="Y479">
            <v>3800000</v>
          </cell>
          <cell r="Z479">
            <v>49138</v>
          </cell>
          <cell r="AA479">
            <v>57000</v>
          </cell>
        </row>
        <row r="480">
          <cell r="B480" t="str">
            <v>KHI/HO/D/MO/PC COMP/C/101342/40/11/2024</v>
          </cell>
          <cell r="D480" t="str">
            <v>FRE</v>
          </cell>
          <cell r="E480" t="str">
            <v>29/11/24</v>
          </cell>
          <cell r="F480" t="str">
            <v>29/11/2024</v>
          </cell>
          <cell r="G480" t="str">
            <v>28/11/2025</v>
          </cell>
          <cell r="H480" t="str">
            <v>08004499</v>
          </cell>
          <cell r="I480" t="str">
            <v>AL BARAKA BANK (PAKISTAN) LIMITED</v>
          </cell>
          <cell r="J480" t="str">
            <v>BANK</v>
          </cell>
          <cell r="K480" t="str">
            <v>Mr.
HPA M/s. Al Baraka Bank Pakitan Limited
Mr. Muhammad Shahbaz Hussain
HPA M/s. Al Baraka Bank Pakitan Limited</v>
          </cell>
          <cell r="L480" t="str">
            <v>D</v>
          </cell>
          <cell r="M480" t="str">
            <v>09000221</v>
          </cell>
          <cell r="N480">
            <v>100</v>
          </cell>
          <cell r="P480" t="str">
            <v>H NO 3 Block E Mohallah Shah Rukn E Alam Colony Multan</v>
          </cell>
          <cell r="Q480" t="str">
            <v>11000003</v>
          </cell>
          <cell r="R480" t="str">
            <v>TOYOTA COROLLA ALTIS 1.6</v>
          </cell>
          <cell r="S480" t="str">
            <v>2019</v>
          </cell>
          <cell r="T480" t="str">
            <v>BPP-903</v>
          </cell>
          <cell r="U480" t="str">
            <v>055473</v>
          </cell>
          <cell r="V480" t="str">
            <v>6032976</v>
          </cell>
          <cell r="Y480">
            <v>4700000</v>
          </cell>
          <cell r="Z480">
            <v>60776</v>
          </cell>
          <cell r="AA480">
            <v>70500</v>
          </cell>
        </row>
        <row r="481">
          <cell r="B481" t="str">
            <v>KHI/HO/D/MO/PC COMP/C/101342/41/11/2024</v>
          </cell>
          <cell r="D481" t="str">
            <v>FRE</v>
          </cell>
          <cell r="E481" t="str">
            <v>29/11/24</v>
          </cell>
          <cell r="F481" t="str">
            <v>29/11/2024</v>
          </cell>
          <cell r="G481" t="str">
            <v>28/11/2025</v>
          </cell>
          <cell r="H481" t="str">
            <v>08004499</v>
          </cell>
          <cell r="I481" t="str">
            <v>AL BARAKA BANK (PAKISTAN) LIMITED</v>
          </cell>
          <cell r="J481" t="str">
            <v>BANK</v>
          </cell>
          <cell r="K481" t="str">
            <v>Mr.
HPA M/s. Al Baraka Bank Pakitan Limited
Applicant Name: Yasir Malik
Co Applicant Name: Noman Malik
HPA M/s. Al Baraka Bank Pakitan Limited
CNIC No. 42301-8517065-9</v>
          </cell>
          <cell r="L481" t="str">
            <v>D</v>
          </cell>
          <cell r="M481" t="str">
            <v>09000221</v>
          </cell>
          <cell r="N481">
            <v>100</v>
          </cell>
          <cell r="P481" t="str">
            <v>H No E/3/2 PNT Colony Kahayaban E Jami Road Clifton Karachi</v>
          </cell>
          <cell r="Q481" t="str">
            <v>11000003</v>
          </cell>
          <cell r="R481" t="str">
            <v>TOYOTA COROLLA GLI</v>
          </cell>
          <cell r="S481" t="str">
            <v>2017</v>
          </cell>
          <cell r="T481" t="str">
            <v>BHQ-926</v>
          </cell>
          <cell r="U481" t="str">
            <v>Z478235</v>
          </cell>
          <cell r="V481" t="str">
            <v>4103790</v>
          </cell>
          <cell r="Y481">
            <v>3640000</v>
          </cell>
          <cell r="Z481">
            <v>47069</v>
          </cell>
          <cell r="AA481">
            <v>54600</v>
          </cell>
        </row>
        <row r="482">
          <cell r="B482" t="str">
            <v>KHI/HO/D/MO/PC COMP/C/101342/42/11/2024</v>
          </cell>
          <cell r="D482" t="str">
            <v>FRE</v>
          </cell>
          <cell r="E482" t="str">
            <v>29/11/24</v>
          </cell>
          <cell r="F482" t="str">
            <v>29/11/2024</v>
          </cell>
          <cell r="G482" t="str">
            <v>28/11/2025</v>
          </cell>
          <cell r="H482" t="str">
            <v>08004499</v>
          </cell>
          <cell r="I482" t="str">
            <v>AL BARAKA BANK (PAKISTAN) LIMITED</v>
          </cell>
          <cell r="J482" t="str">
            <v>BANK</v>
          </cell>
          <cell r="K482" t="str">
            <v>Mr.
HPA M/s. Al Baraka Bank Pakitan Limited
Mr. Muhammad Shafiq
HPA M/s. Al Baraka Bank Pakitan Limited</v>
          </cell>
          <cell r="L482" t="str">
            <v>D</v>
          </cell>
          <cell r="M482" t="str">
            <v>09000221</v>
          </cell>
          <cell r="N482">
            <v>100</v>
          </cell>
          <cell r="O482" t="str">
            <v>LAHORE</v>
          </cell>
          <cell r="P482" t="str">
            <v>H No 195 Blcok Abbad Block Mustafa Town Lahore</v>
          </cell>
          <cell r="Q482" t="str">
            <v>11000003</v>
          </cell>
          <cell r="R482" t="str">
            <v>SUZUKI WAGON R VXL</v>
          </cell>
          <cell r="S482" t="str">
            <v>2022</v>
          </cell>
          <cell r="T482" t="str">
            <v>ALE-716</v>
          </cell>
          <cell r="U482" t="str">
            <v>B238601</v>
          </cell>
          <cell r="V482" t="str">
            <v>PK10138615</v>
          </cell>
          <cell r="Y482">
            <v>2500000</v>
          </cell>
          <cell r="Z482">
            <v>43103</v>
          </cell>
          <cell r="AA482">
            <v>50000</v>
          </cell>
        </row>
        <row r="483">
          <cell r="B483" t="str">
            <v>KHI/HO/D/MO/PC COMP/C/101342/43/11/2024</v>
          </cell>
          <cell r="D483" t="str">
            <v>FRE</v>
          </cell>
          <cell r="E483" t="str">
            <v>29/11/24</v>
          </cell>
          <cell r="F483" t="str">
            <v>29/11/2024</v>
          </cell>
          <cell r="G483" t="str">
            <v>28/11/2025</v>
          </cell>
          <cell r="H483" t="str">
            <v>08004499</v>
          </cell>
          <cell r="I483" t="str">
            <v>AL BARAKA BANK (PAKISTAN) LIMITED</v>
          </cell>
          <cell r="J483" t="str">
            <v>BANK</v>
          </cell>
          <cell r="K483" t="str">
            <v>Mr.
HPA M/s. Al Baraka Bank Pakitan Limited
Mr. Muhammad Naeem
HPA M/s. Al Baraka Bank Pakitan Limited</v>
          </cell>
          <cell r="L483" t="str">
            <v>D</v>
          </cell>
          <cell r="M483" t="str">
            <v>09000221</v>
          </cell>
          <cell r="N483">
            <v>100</v>
          </cell>
          <cell r="O483" t="str">
            <v>ISLAMABAD</v>
          </cell>
          <cell r="P483" t="str">
            <v>H No 213 Block B Media Town Islamabad</v>
          </cell>
          <cell r="Q483" t="str">
            <v>11000003</v>
          </cell>
          <cell r="R483" t="str">
            <v>HONDA CIVIC</v>
          </cell>
          <cell r="S483" t="str">
            <v>2018</v>
          </cell>
          <cell r="T483" t="str">
            <v>AJB-629</v>
          </cell>
          <cell r="U483" t="str">
            <v>2934155</v>
          </cell>
          <cell r="V483" t="str">
            <v>037588</v>
          </cell>
          <cell r="X483" t="str">
            <v>04</v>
          </cell>
          <cell r="Y483">
            <v>5000000</v>
          </cell>
          <cell r="Z483">
            <v>64655</v>
          </cell>
          <cell r="AA483">
            <v>75000</v>
          </cell>
        </row>
        <row r="484">
          <cell r="B484" t="str">
            <v>KHI/HO/D/MO/PC COMP/C/101342/44/11/2024</v>
          </cell>
          <cell r="D484" t="str">
            <v>FRE</v>
          </cell>
          <cell r="E484" t="str">
            <v>29/11/24</v>
          </cell>
          <cell r="F484" t="str">
            <v>29/11/2024</v>
          </cell>
          <cell r="G484" t="str">
            <v>28/11/2025</v>
          </cell>
          <cell r="H484" t="str">
            <v>08004499</v>
          </cell>
          <cell r="I484" t="str">
            <v>AL BARAKA BANK (PAKISTAN) LIMITED</v>
          </cell>
          <cell r="J484" t="str">
            <v>BANK</v>
          </cell>
          <cell r="K484" t="str">
            <v>Mr.
HPA M/s. Al Baraka Bank Pakitan Limited
Mr. Muhammad Mustafa Zaidi
HPA M/s. Al Baraka Bank Pakitan Limited</v>
          </cell>
          <cell r="L484" t="str">
            <v>D</v>
          </cell>
          <cell r="M484" t="str">
            <v>09000221</v>
          </cell>
          <cell r="N484">
            <v>100</v>
          </cell>
          <cell r="O484" t="str">
            <v>MULTAN</v>
          </cell>
          <cell r="P484" t="str">
            <v>H No 529 Block D Mohallah New Shah Shams Colony Near New Central Jail Multan</v>
          </cell>
          <cell r="Q484" t="str">
            <v>11000003</v>
          </cell>
          <cell r="R484" t="str">
            <v>TOYOTA YARIS ATIV X CVT</v>
          </cell>
          <cell r="S484" t="str">
            <v>2021</v>
          </cell>
          <cell r="T484" t="str">
            <v>AWU-417</v>
          </cell>
          <cell r="U484" t="str">
            <v>42433</v>
          </cell>
          <cell r="V484" t="str">
            <v>7026645</v>
          </cell>
          <cell r="Y484">
            <v>3700000</v>
          </cell>
          <cell r="Z484">
            <v>47845</v>
          </cell>
          <cell r="AA484">
            <v>55500</v>
          </cell>
        </row>
        <row r="485">
          <cell r="B485" t="str">
            <v>KHI/HO/D/MO/PC COMP/C/101342/45/11/2024</v>
          </cell>
          <cell r="D485" t="str">
            <v>FRE</v>
          </cell>
          <cell r="E485" t="str">
            <v>29/11/24</v>
          </cell>
          <cell r="F485" t="str">
            <v>29/11/2024</v>
          </cell>
          <cell r="G485" t="str">
            <v>28/11/2025</v>
          </cell>
          <cell r="H485" t="str">
            <v>08004499</v>
          </cell>
          <cell r="I485" t="str">
            <v>AL BARAKA BANK (PAKISTAN) LIMITED</v>
          </cell>
          <cell r="J485" t="str">
            <v>BANK</v>
          </cell>
          <cell r="K485" t="str">
            <v>Mr.
HPA M/s. Al Baraka Bank Pakitan Limited
Mr. Syed Abrar Hussain
HPA M/s. Al Baraka Bank Pakitan Limited</v>
          </cell>
          <cell r="L485" t="str">
            <v>D</v>
          </cell>
          <cell r="M485" t="str">
            <v>09000221</v>
          </cell>
          <cell r="N485">
            <v>100</v>
          </cell>
          <cell r="O485" t="str">
            <v>ISLAMABAD</v>
          </cell>
          <cell r="P485" t="str">
            <v>Media Town H No 302 St 18 Block D Islamabad</v>
          </cell>
          <cell r="Q485" t="str">
            <v>11000003</v>
          </cell>
          <cell r="R485" t="str">
            <v>SUZUKI WAGONR</v>
          </cell>
          <cell r="S485" t="str">
            <v>2022</v>
          </cell>
          <cell r="T485" t="str">
            <v>AXH-751</v>
          </cell>
          <cell r="U485" t="str">
            <v>228208</v>
          </cell>
          <cell r="V485" t="str">
            <v>10128214</v>
          </cell>
          <cell r="Y485">
            <v>2700000</v>
          </cell>
          <cell r="Z485">
            <v>46551</v>
          </cell>
          <cell r="AA485">
            <v>54000</v>
          </cell>
        </row>
        <row r="486">
          <cell r="B486" t="str">
            <v>KHI/HO/D/MO/PC COMP/C/103201/1/12/2024</v>
          </cell>
          <cell r="D486" t="str">
            <v>FRE</v>
          </cell>
          <cell r="E486" t="str">
            <v>02/12/24</v>
          </cell>
          <cell r="F486" t="str">
            <v>02/12/2024</v>
          </cell>
          <cell r="G486" t="str">
            <v>01/12/2025</v>
          </cell>
          <cell r="H486" t="str">
            <v>08004499</v>
          </cell>
          <cell r="I486" t="str">
            <v>AL BARAKA BANK (PAKISTAN) LIMITED</v>
          </cell>
          <cell r="J486" t="str">
            <v>BANK</v>
          </cell>
          <cell r="K486" t="str">
            <v>Mr. 
HPA M/s. Al Baraka Bank (Pakistan) Limited
Mr. Muhammad Aslam
HPA Mr. Al Baraka Bank Pakistan Limited</v>
          </cell>
          <cell r="L486" t="str">
            <v>D</v>
          </cell>
          <cell r="M486" t="str">
            <v>09000221</v>
          </cell>
          <cell r="N486">
            <v>100</v>
          </cell>
          <cell r="O486" t="str">
            <v>LAHORE</v>
          </cell>
          <cell r="P486" t="str">
            <v>H No 146 C Zaman Park Thoker Niaz Baig Near Jutt Chowk Mohallah LDA Society Phase 1 Lahore</v>
          </cell>
          <cell r="Q486" t="str">
            <v>11000003</v>
          </cell>
          <cell r="R486" t="str">
            <v>SUZUKI ALTO VX</v>
          </cell>
          <cell r="S486" t="str">
            <v>2024</v>
          </cell>
          <cell r="T486" t="str">
            <v>ATP-677</v>
          </cell>
          <cell r="U486" t="str">
            <v>6R328756</v>
          </cell>
          <cell r="V486" t="str">
            <v>H1228748</v>
          </cell>
          <cell r="Y486">
            <v>2707000</v>
          </cell>
          <cell r="Z486">
            <v>46242</v>
          </cell>
          <cell r="AA486">
            <v>54140</v>
          </cell>
        </row>
        <row r="487">
          <cell r="B487" t="str">
            <v>KHI/HO/D/MO/PC COMP/C/103201/2/12/2024</v>
          </cell>
          <cell r="D487" t="str">
            <v>FRE</v>
          </cell>
          <cell r="E487" t="str">
            <v>02/12/24</v>
          </cell>
          <cell r="F487" t="str">
            <v>02/12/2024</v>
          </cell>
          <cell r="G487" t="str">
            <v>01/12/2025</v>
          </cell>
          <cell r="H487" t="str">
            <v>08004499</v>
          </cell>
          <cell r="I487" t="str">
            <v>AL BARAKA BANK (PAKISTAN) LIMITED</v>
          </cell>
          <cell r="J487" t="str">
            <v>BANK</v>
          </cell>
          <cell r="K487" t="str">
            <v>Mr. 
HPA M/s. Al Baraka Bank (Pakistan) Limited
Mr. ZARTASH BAIG
M/s. Al Baraka Bank (Pakistan) Limited</v>
          </cell>
          <cell r="L487" t="str">
            <v>D</v>
          </cell>
          <cell r="M487" t="str">
            <v>09000221</v>
          </cell>
          <cell r="N487">
            <v>100</v>
          </cell>
          <cell r="P487" t="str">
            <v>Millat Road H No 409 Millat Town Faisalabad</v>
          </cell>
          <cell r="Q487" t="str">
            <v>11000003</v>
          </cell>
          <cell r="R487" t="str">
            <v>HONDA CITY 1.2  LS CVT</v>
          </cell>
          <cell r="S487" t="str">
            <v>2024</v>
          </cell>
          <cell r="U487" t="str">
            <v>L12B51028124</v>
          </cell>
          <cell r="V487" t="str">
            <v>NFBGN8626RR044837</v>
          </cell>
          <cell r="X487" t="str">
            <v>3</v>
          </cell>
          <cell r="Y487">
            <v>4719000</v>
          </cell>
          <cell r="Z487">
            <v>61022</v>
          </cell>
          <cell r="AA487">
            <v>70785</v>
          </cell>
        </row>
        <row r="488">
          <cell r="B488" t="str">
            <v>KHI/HO/D/MO/PC COMP/C/103201/3/12/2024</v>
          </cell>
          <cell r="D488" t="str">
            <v>FRE</v>
          </cell>
          <cell r="E488" t="str">
            <v>02/12/24</v>
          </cell>
          <cell r="F488" t="str">
            <v>02/12/2024</v>
          </cell>
          <cell r="G488" t="str">
            <v>01/12/2025</v>
          </cell>
          <cell r="H488" t="str">
            <v>08004499</v>
          </cell>
          <cell r="I488" t="str">
            <v>AL BARAKA BANK (PAKISTAN) LIMITED</v>
          </cell>
          <cell r="J488" t="str">
            <v>BANK</v>
          </cell>
          <cell r="K488" t="str">
            <v>Mr. 
HPA M/s. Al Baraka Bank (Pakistan) Limited
Mr. Ajaz Fareed
M/s. Al Baraka Bank (Pakistan) Limited</v>
          </cell>
          <cell r="L488" t="str">
            <v>D</v>
          </cell>
          <cell r="M488" t="str">
            <v>09000221</v>
          </cell>
          <cell r="N488">
            <v>100</v>
          </cell>
          <cell r="O488" t="str">
            <v>DERA GHAZI KHAN</v>
          </cell>
          <cell r="P488" t="str">
            <v>Fareedabad Colony H 1992 DG Khan</v>
          </cell>
          <cell r="Q488" t="str">
            <v>11000003</v>
          </cell>
          <cell r="R488" t="str">
            <v>SUZUKI ALTO VXL</v>
          </cell>
          <cell r="S488" t="str">
            <v>2024</v>
          </cell>
          <cell r="U488" t="str">
            <v>328165</v>
          </cell>
          <cell r="V488" t="str">
            <v>1228010</v>
          </cell>
          <cell r="Y488">
            <v>3045000</v>
          </cell>
          <cell r="Z488">
            <v>52500</v>
          </cell>
          <cell r="AA488">
            <v>60900</v>
          </cell>
        </row>
        <row r="489">
          <cell r="B489" t="str">
            <v>KHI/HO/D/MO/PC COMP/C/103201/4/12/2024</v>
          </cell>
          <cell r="D489" t="str">
            <v>FRE</v>
          </cell>
          <cell r="E489" t="str">
            <v>02/12/24</v>
          </cell>
          <cell r="F489" t="str">
            <v>02/12/2024</v>
          </cell>
          <cell r="G489" t="str">
            <v>01/12/2025</v>
          </cell>
          <cell r="H489" t="str">
            <v>08004499</v>
          </cell>
          <cell r="I489" t="str">
            <v>AL BARAKA BANK (PAKISTAN) LIMITED</v>
          </cell>
          <cell r="J489" t="str">
            <v>BANK</v>
          </cell>
          <cell r="K489" t="str">
            <v>Mr. 
HPA M/s. Al Baraka Bank (Pakistan) Limited
Mr. Naveed Hassan
HPA Mr. Al Baraka Bank Pakistan Limited</v>
          </cell>
          <cell r="L489" t="str">
            <v>D</v>
          </cell>
          <cell r="M489" t="str">
            <v>09000221</v>
          </cell>
          <cell r="N489">
            <v>100</v>
          </cell>
          <cell r="O489" t="str">
            <v>LAHORE</v>
          </cell>
          <cell r="P489" t="str">
            <v>H No 4 St No 8 Salamat Mohallah Mohni Road Lahore</v>
          </cell>
          <cell r="Q489" t="str">
            <v>11000003</v>
          </cell>
          <cell r="R489" t="str">
            <v>TOYOTA YARIS ATIV X CVT</v>
          </cell>
          <cell r="S489" t="str">
            <v>2021</v>
          </cell>
          <cell r="T489" t="str">
            <v>APC-885</v>
          </cell>
          <cell r="U489" t="str">
            <v>2A42070</v>
          </cell>
          <cell r="V489" t="str">
            <v>9515574</v>
          </cell>
          <cell r="Y489">
            <v>4400000</v>
          </cell>
          <cell r="Z489">
            <v>56897</v>
          </cell>
          <cell r="AA489">
            <v>66000</v>
          </cell>
        </row>
        <row r="490">
          <cell r="B490" t="str">
            <v>KHI/HO/D/MO/PC COMP/C/103201/5/12/2024</v>
          </cell>
          <cell r="D490" t="str">
            <v>FRE</v>
          </cell>
          <cell r="E490" t="str">
            <v>02/12/24</v>
          </cell>
          <cell r="F490" t="str">
            <v>03/12/2024</v>
          </cell>
          <cell r="G490" t="str">
            <v>02/12/2025</v>
          </cell>
          <cell r="H490" t="str">
            <v>08004499</v>
          </cell>
          <cell r="I490" t="str">
            <v>AL BARAKA BANK (PAKISTAN) LIMITED</v>
          </cell>
          <cell r="J490" t="str">
            <v>BANK</v>
          </cell>
          <cell r="K490" t="str">
            <v>Mr. 
HPA M/s. Al Baraka Bank (Pakistan) Limited
Mr. Azmat Ullah Bajwa
M/s. Al Baraka Bank (Pakistan) Limited</v>
          </cell>
          <cell r="L490" t="str">
            <v>D</v>
          </cell>
          <cell r="M490" t="str">
            <v>09000221</v>
          </cell>
          <cell r="N490">
            <v>100</v>
          </cell>
          <cell r="P490" t="str">
            <v>H No 43 Mohallah Sikandar Block Allama Iqbal Town Lahore</v>
          </cell>
          <cell r="Q490" t="str">
            <v>11000003</v>
          </cell>
          <cell r="R490" t="str">
            <v>KIA KIA SPORTAGE FWD</v>
          </cell>
          <cell r="S490" t="str">
            <v>2022</v>
          </cell>
          <cell r="T490" t="str">
            <v>AJD-510</v>
          </cell>
          <cell r="U490" t="str">
            <v>329798</v>
          </cell>
          <cell r="V490" t="str">
            <v>309745</v>
          </cell>
          <cell r="Y490">
            <v>6600000</v>
          </cell>
          <cell r="Z490">
            <v>85345</v>
          </cell>
          <cell r="AA490">
            <v>99000</v>
          </cell>
        </row>
        <row r="491">
          <cell r="B491" t="str">
            <v>KHI/HO/D/MO/PC COMP/C/103201/6/12/2024</v>
          </cell>
          <cell r="D491" t="str">
            <v>FRE</v>
          </cell>
          <cell r="E491" t="str">
            <v>02/12/24</v>
          </cell>
          <cell r="F491" t="str">
            <v>05/12/2024</v>
          </cell>
          <cell r="G491" t="str">
            <v>04/12/2025</v>
          </cell>
          <cell r="H491" t="str">
            <v>08004499</v>
          </cell>
          <cell r="I491" t="str">
            <v>AL BARAKA BANK (PAKISTAN) LIMITED</v>
          </cell>
          <cell r="J491" t="str">
            <v>BANK</v>
          </cell>
          <cell r="K491" t="str">
            <v>Mr. 
HPA M/s. Al Baraka Bank (Pakistan) Limited
Mr. Muhammad Akber
M/s. Al Baraka Bank (Pakistan) Limited</v>
          </cell>
          <cell r="L491" t="str">
            <v>D</v>
          </cell>
          <cell r="M491" t="str">
            <v>09000221</v>
          </cell>
          <cell r="N491">
            <v>100</v>
          </cell>
          <cell r="P491" t="str">
            <v>H No 124 Sector 4/D Orangi Town Karachi</v>
          </cell>
          <cell r="Q491" t="str">
            <v>11000003</v>
          </cell>
          <cell r="R491" t="str">
            <v>SUZUKI ALTO</v>
          </cell>
          <cell r="S491" t="str">
            <v>2021</v>
          </cell>
          <cell r="T491" t="str">
            <v>BVA-268</v>
          </cell>
          <cell r="U491" t="str">
            <v>R185593</v>
          </cell>
          <cell r="V491" t="str">
            <v>H1085501</v>
          </cell>
          <cell r="Y491">
            <v>2200000</v>
          </cell>
          <cell r="Z491">
            <v>37931</v>
          </cell>
          <cell r="AA491">
            <v>44000</v>
          </cell>
        </row>
        <row r="492">
          <cell r="B492" t="str">
            <v>KHI/HO/D/MO/PC COMP/C/103201/7/12/2024</v>
          </cell>
          <cell r="D492" t="str">
            <v>FRE</v>
          </cell>
          <cell r="E492" t="str">
            <v>02/12/24</v>
          </cell>
          <cell r="F492" t="str">
            <v>06/12/2024</v>
          </cell>
          <cell r="G492" t="str">
            <v>05/12/2025</v>
          </cell>
          <cell r="H492" t="str">
            <v>08004499</v>
          </cell>
          <cell r="I492" t="str">
            <v>AL BARAKA BANK (PAKISTAN) LIMITED</v>
          </cell>
          <cell r="J492" t="str">
            <v>BANK</v>
          </cell>
          <cell r="K492" t="str">
            <v>Mr. 
HPA M/s. Al Baraka Bank (Pakistan) Limited
Mr. Syed Omar Ahmad 
M/s. Al Baraka Bank (Pakistan) Limited</v>
          </cell>
          <cell r="L492" t="str">
            <v>D</v>
          </cell>
          <cell r="M492" t="str">
            <v>09000221</v>
          </cell>
          <cell r="N492">
            <v>100</v>
          </cell>
          <cell r="O492" t="str">
            <v>KARACHI</v>
          </cell>
          <cell r="P492" t="str">
            <v>Flat No. 1/200 Block B North Nazimabad Karchi</v>
          </cell>
          <cell r="Q492" t="str">
            <v>11000003</v>
          </cell>
          <cell r="R492" t="str">
            <v>HONDA CIVIC VTI-PT ORIEL</v>
          </cell>
          <cell r="S492" t="str">
            <v>2018</v>
          </cell>
          <cell r="T492" t="str">
            <v>BMX-837</v>
          </cell>
          <cell r="U492" t="str">
            <v>12937022</v>
          </cell>
          <cell r="V492" t="str">
            <v>R040448</v>
          </cell>
          <cell r="X492" t="str">
            <v>3</v>
          </cell>
          <cell r="Y492">
            <v>4750000</v>
          </cell>
          <cell r="Z492">
            <v>61423</v>
          </cell>
          <cell r="AA492">
            <v>71250</v>
          </cell>
        </row>
        <row r="493">
          <cell r="B493" t="str">
            <v>KHI/HO/D/MO/PC COMP/C/103201/8/12/2024</v>
          </cell>
          <cell r="D493" t="str">
            <v>FRE</v>
          </cell>
          <cell r="E493" t="str">
            <v>02/12/24</v>
          </cell>
          <cell r="F493" t="str">
            <v>10/12/2024</v>
          </cell>
          <cell r="G493" t="str">
            <v>09/12/2025</v>
          </cell>
          <cell r="H493" t="str">
            <v>08004499</v>
          </cell>
          <cell r="I493" t="str">
            <v>AL BARAKA BANK (PAKISTAN) LIMITED</v>
          </cell>
          <cell r="J493" t="str">
            <v>BANK</v>
          </cell>
          <cell r="K493" t="str">
            <v>Mr. 
HPA M/s. Al Baraka Bank (Pakistan) Limited
Ms. Kaneez Fatima
M/s. Al Baraka Bank (Pakistan) Limited</v>
          </cell>
          <cell r="L493" t="str">
            <v>D</v>
          </cell>
          <cell r="M493" t="str">
            <v>09000221</v>
          </cell>
          <cell r="N493">
            <v>100</v>
          </cell>
          <cell r="O493" t="str">
            <v>KARACHI</v>
          </cell>
          <cell r="P493" t="str">
            <v>Plot No R-1358 KDA Scheme 16 Block 2 Fb Area Karachi</v>
          </cell>
          <cell r="Q493" t="str">
            <v>11000003</v>
          </cell>
          <cell r="R493" t="str">
            <v>KIA PICANTO 1.0L A/T</v>
          </cell>
          <cell r="S493" t="str">
            <v>2020</v>
          </cell>
          <cell r="T493" t="str">
            <v>BRG-587</v>
          </cell>
          <cell r="U493" t="str">
            <v>168846</v>
          </cell>
          <cell r="V493" t="str">
            <v>700615</v>
          </cell>
          <cell r="Y493">
            <v>2600000</v>
          </cell>
          <cell r="Z493">
            <v>44828</v>
          </cell>
          <cell r="AA493">
            <v>52000</v>
          </cell>
        </row>
        <row r="494">
          <cell r="B494" t="str">
            <v>KHI/HO/D/MO/PC COMP/C/103201/9/12/2024</v>
          </cell>
          <cell r="D494" t="str">
            <v>FRE</v>
          </cell>
          <cell r="E494" t="str">
            <v>02/12/24</v>
          </cell>
          <cell r="F494" t="str">
            <v>11/12/2024</v>
          </cell>
          <cell r="G494" t="str">
            <v>10/12/2025</v>
          </cell>
          <cell r="H494" t="str">
            <v>08004499</v>
          </cell>
          <cell r="I494" t="str">
            <v>AL BARAKA BANK (PAKISTAN) LIMITED</v>
          </cell>
          <cell r="J494" t="str">
            <v>BANK</v>
          </cell>
          <cell r="K494" t="str">
            <v>Mr. 
HPA M/s. Al Baraka Bank (Pakistan) Limited
Mr. Muhammad Kashif
M/s. Al Baraka Bank (Pakistan) Limited</v>
          </cell>
          <cell r="L494" t="str">
            <v>D</v>
          </cell>
          <cell r="M494" t="str">
            <v>09000221</v>
          </cell>
          <cell r="N494">
            <v>100</v>
          </cell>
          <cell r="O494" t="str">
            <v>LAHORE</v>
          </cell>
          <cell r="P494" t="str">
            <v>Pajian Near Zong Tower Dak Khana Khas Raiwind Dist Lahore</v>
          </cell>
          <cell r="Q494" t="str">
            <v>11000003</v>
          </cell>
          <cell r="R494" t="str">
            <v>TOYOTA COROLLA GLI</v>
          </cell>
          <cell r="S494" t="str">
            <v>2018</v>
          </cell>
          <cell r="T494" t="str">
            <v>BMC-060</v>
          </cell>
          <cell r="U494" t="str">
            <v>515834</v>
          </cell>
          <cell r="V494" t="str">
            <v>4141994</v>
          </cell>
          <cell r="Y494">
            <v>3550000</v>
          </cell>
          <cell r="Z494">
            <v>45905</v>
          </cell>
          <cell r="AA494">
            <v>53250</v>
          </cell>
        </row>
        <row r="495">
          <cell r="B495" t="str">
            <v>KHI/HO/D/MO/PC COMP/C/103201/10/12/2024</v>
          </cell>
          <cell r="D495" t="str">
            <v>FRE</v>
          </cell>
          <cell r="E495" t="str">
            <v>02/12/24</v>
          </cell>
          <cell r="F495" t="str">
            <v>11/12/2024</v>
          </cell>
          <cell r="G495" t="str">
            <v>10/12/2025</v>
          </cell>
          <cell r="H495" t="str">
            <v>08004499</v>
          </cell>
          <cell r="I495" t="str">
            <v>AL BARAKA BANK (PAKISTAN) LIMITED</v>
          </cell>
          <cell r="J495" t="str">
            <v>BANK</v>
          </cell>
          <cell r="K495" t="str">
            <v>Mr. 
HPA M/s. Al Baraka Bank (Pakistan) Limited
Mr. Muhammad Asif Manzoor
M/s. Al Baraka Bank (Pakistan) Limited</v>
          </cell>
          <cell r="L495" t="str">
            <v>D</v>
          </cell>
          <cell r="M495" t="str">
            <v>09000221</v>
          </cell>
          <cell r="N495">
            <v>100</v>
          </cell>
          <cell r="O495" t="str">
            <v>KARACHI</v>
          </cell>
          <cell r="P495" t="str">
            <v>H No 0105 Block E Muhafiz Town Canal Bank Road Lahore</v>
          </cell>
          <cell r="Q495" t="str">
            <v>11000003</v>
          </cell>
          <cell r="R495" t="str">
            <v>KIA STONIC EX+</v>
          </cell>
          <cell r="S495" t="str">
            <v>2024</v>
          </cell>
          <cell r="U495" t="str">
            <v>S375319</v>
          </cell>
          <cell r="V495" t="str">
            <v>P703783</v>
          </cell>
          <cell r="Y495">
            <v>5564000</v>
          </cell>
          <cell r="Z495">
            <v>71949</v>
          </cell>
          <cell r="AA495">
            <v>83460</v>
          </cell>
        </row>
        <row r="496">
          <cell r="B496" t="str">
            <v>KHI/HO/D/MO/CV/C/103846/1/12/2024</v>
          </cell>
          <cell r="D496" t="str">
            <v>FRE</v>
          </cell>
          <cell r="E496" t="str">
            <v>12/12/24</v>
          </cell>
          <cell r="F496" t="str">
            <v>12/12/2024</v>
          </cell>
          <cell r="G496" t="str">
            <v>11/12/2025</v>
          </cell>
          <cell r="H496" t="str">
            <v>08004499</v>
          </cell>
          <cell r="I496" t="str">
            <v>AL BARAKA BANK (PAKISTAN) LIMITED</v>
          </cell>
          <cell r="J496" t="str">
            <v>BANK</v>
          </cell>
          <cell r="K496" t="str">
            <v>Mr. 
HPA M/s. Al Baraka Bank Pakistan Limited 
Mr. Ali
HPA M/s. Al Baraka Bank Pakistan Limited</v>
          </cell>
          <cell r="L496" t="str">
            <v>D</v>
          </cell>
          <cell r="M496" t="str">
            <v>09000221</v>
          </cell>
          <cell r="N496">
            <v>100</v>
          </cell>
          <cell r="O496" t="str">
            <v>LAHORE</v>
          </cell>
          <cell r="P496" t="str">
            <v>H No 2012 990 Javed Street Karma Wali Masjid Islam Guni Lahore</v>
          </cell>
          <cell r="Q496" t="str">
            <v>11000003</v>
          </cell>
          <cell r="R496" t="str">
            <v>SUZUKI RAVI PICK UP</v>
          </cell>
          <cell r="S496" t="str">
            <v>2024</v>
          </cell>
          <cell r="U496" t="str">
            <v>394454</v>
          </cell>
          <cell r="V496" t="str">
            <v>499094</v>
          </cell>
          <cell r="Y496">
            <v>1856000</v>
          </cell>
          <cell r="Z496">
            <v>31569</v>
          </cell>
          <cell r="AA496">
            <v>37120</v>
          </cell>
        </row>
        <row r="497">
          <cell r="B497" t="str">
            <v>KHI/HO/D/MO/PC COMP/C/103201/11/12/2024</v>
          </cell>
          <cell r="D497" t="str">
            <v>FRE</v>
          </cell>
          <cell r="E497" t="str">
            <v>02/12/24</v>
          </cell>
          <cell r="F497" t="str">
            <v>12/12/2024</v>
          </cell>
          <cell r="G497" t="str">
            <v>11/12/2025</v>
          </cell>
          <cell r="H497" t="str">
            <v>08004499</v>
          </cell>
          <cell r="I497" t="str">
            <v>AL BARAKA BANK (PAKISTAN) LIMITED</v>
          </cell>
          <cell r="J497" t="str">
            <v>BANK</v>
          </cell>
          <cell r="K497" t="str">
            <v>Mr. 
HPA M/s. Al Baraka Bank (Pakistan) Limited
Mr. Abu Bakar Anees 
HPA M/s. Al Baraka Bank (Pakistan) Limited</v>
          </cell>
          <cell r="L497" t="str">
            <v>D</v>
          </cell>
          <cell r="M497" t="str">
            <v>09000221</v>
          </cell>
          <cell r="N497">
            <v>100</v>
          </cell>
          <cell r="O497" t="str">
            <v>FAISALABAD</v>
          </cell>
          <cell r="P497" t="str">
            <v>H # P-124 Street D Mohallah Canal Park Canal Road Faisalabad</v>
          </cell>
          <cell r="Q497" t="str">
            <v>11000003</v>
          </cell>
          <cell r="R497" t="str">
            <v>SUZUKI ALTO VXR E-2</v>
          </cell>
          <cell r="S497" t="str">
            <v>2024</v>
          </cell>
          <cell r="T497" t="str">
            <v>ABW-124</v>
          </cell>
          <cell r="U497" t="str">
            <v>6R329759</v>
          </cell>
          <cell r="V497" t="str">
            <v>NF1AET306H1229781</v>
          </cell>
          <cell r="X497" t="str">
            <v>3</v>
          </cell>
          <cell r="Y497">
            <v>2707000</v>
          </cell>
          <cell r="Z497">
            <v>46672</v>
          </cell>
          <cell r="AA497">
            <v>54140</v>
          </cell>
        </row>
        <row r="498">
          <cell r="B498" t="str">
            <v>KHI/HO/D/MO/PC COMP/C/103201/12/12/2024</v>
          </cell>
          <cell r="D498" t="str">
            <v>FRE</v>
          </cell>
          <cell r="E498" t="str">
            <v>02/12/24</v>
          </cell>
          <cell r="F498" t="str">
            <v>13/12/2024</v>
          </cell>
          <cell r="G498" t="str">
            <v>12/12/2025</v>
          </cell>
          <cell r="H498" t="str">
            <v>08004499</v>
          </cell>
          <cell r="I498" t="str">
            <v>AL BARAKA BANK (PAKISTAN) LIMITED</v>
          </cell>
          <cell r="J498" t="str">
            <v>BANK</v>
          </cell>
          <cell r="K498" t="str">
            <v>Mr. 
HPA M/s. Al Baraka Bank (Pakistan) Limited
Mr. Adil Hussain
HPA M/s. Al Baraka Bank (Pakistan) Limited</v>
          </cell>
          <cell r="L498" t="str">
            <v>D</v>
          </cell>
          <cell r="M498" t="str">
            <v>09000221</v>
          </cell>
          <cell r="N498">
            <v>100</v>
          </cell>
          <cell r="O498" t="str">
            <v>MULTAN</v>
          </cell>
          <cell r="P498" t="str">
            <v>St No 13 Jan Muhammad Colony Masoom Shah Road Multan</v>
          </cell>
          <cell r="Q498" t="str">
            <v>11000003</v>
          </cell>
          <cell r="R498" t="str">
            <v>SUZUKI ALTO VXR</v>
          </cell>
          <cell r="S498" t="str">
            <v>2024</v>
          </cell>
          <cell r="U498" t="str">
            <v>328555</v>
          </cell>
          <cell r="V498" t="str">
            <v>1228589</v>
          </cell>
          <cell r="Y498">
            <v>2707000</v>
          </cell>
          <cell r="Z498">
            <v>46672</v>
          </cell>
          <cell r="AA498">
            <v>54140</v>
          </cell>
        </row>
        <row r="499">
          <cell r="B499" t="str">
            <v>KHI/HO/D/MO/PC COMP/C/103201/13/12/2024</v>
          </cell>
          <cell r="D499" t="str">
            <v>FRE</v>
          </cell>
          <cell r="E499" t="str">
            <v>02/12/24</v>
          </cell>
          <cell r="F499" t="str">
            <v>13/12/2024</v>
          </cell>
          <cell r="G499" t="str">
            <v>12/12/2025</v>
          </cell>
          <cell r="H499" t="str">
            <v>08004499</v>
          </cell>
          <cell r="I499" t="str">
            <v>AL BARAKA BANK (PAKISTAN) LIMITED</v>
          </cell>
          <cell r="J499" t="str">
            <v>BANK</v>
          </cell>
          <cell r="K499" t="str">
            <v>Mr. 
HPA M/s. Al Baraka Bank (Pakistan) Limited
Mr. Malik Shafqat Ali 
HPA M/s. Al Baraka Bank (Pakistan) Limited</v>
          </cell>
          <cell r="L499" t="str">
            <v>D</v>
          </cell>
          <cell r="M499" t="str">
            <v>09000221</v>
          </cell>
          <cell r="N499">
            <v>100</v>
          </cell>
          <cell r="O499" t="str">
            <v>GUJRANWALA</v>
          </cell>
          <cell r="P499" t="str">
            <v>H # 325/9 Block EE City Housing Gujranwala</v>
          </cell>
          <cell r="Q499" t="str">
            <v>11000003</v>
          </cell>
          <cell r="R499" t="str">
            <v>SUZUKI WAGON-R VXL E2</v>
          </cell>
          <cell r="S499" t="str">
            <v>2022</v>
          </cell>
          <cell r="T499" t="str">
            <v>AMG-097</v>
          </cell>
          <cell r="U499" t="str">
            <v>241136</v>
          </cell>
          <cell r="V499" t="str">
            <v>10141139</v>
          </cell>
          <cell r="X499" t="str">
            <v>3</v>
          </cell>
          <cell r="Y499">
            <v>2600000</v>
          </cell>
          <cell r="Z499">
            <v>44828</v>
          </cell>
          <cell r="AA499">
            <v>52000</v>
          </cell>
        </row>
        <row r="500">
          <cell r="B500" t="str">
            <v>KHI/HO/D/MO/PC COMP/C/103201/14/12/2024</v>
          </cell>
          <cell r="D500" t="str">
            <v>FRE</v>
          </cell>
          <cell r="E500" t="str">
            <v>02/12/24</v>
          </cell>
          <cell r="F500" t="str">
            <v>13/12/2024</v>
          </cell>
          <cell r="G500" t="str">
            <v>12/12/2025</v>
          </cell>
          <cell r="H500" t="str">
            <v>08004499</v>
          </cell>
          <cell r="I500" t="str">
            <v>AL BARAKA BANK (PAKISTAN) LIMITED</v>
          </cell>
          <cell r="J500" t="str">
            <v>BANK</v>
          </cell>
          <cell r="K500" t="str">
            <v>Mr. 
HPA M/s. Al Baraka Bank (Pakistan) Limited
Mr. Muhammad Waseem
HPA M/s. Al Baraka Bank (Pakistan) Limited</v>
          </cell>
          <cell r="L500" t="str">
            <v>D</v>
          </cell>
          <cell r="M500" t="str">
            <v>09000221</v>
          </cell>
          <cell r="N500">
            <v>100</v>
          </cell>
          <cell r="O500" t="str">
            <v>RAHIM YAR KHAN</v>
          </cell>
          <cell r="P500" t="str">
            <v>H No B8-A Block Eithad Garden Rahim Yar Khan</v>
          </cell>
          <cell r="Q500" t="str">
            <v>11000003</v>
          </cell>
          <cell r="R500" t="str">
            <v>SUZUKI ALTO VXR</v>
          </cell>
          <cell r="S500" t="str">
            <v>2024</v>
          </cell>
          <cell r="U500" t="str">
            <v>330668</v>
          </cell>
          <cell r="V500" t="str">
            <v>1230495</v>
          </cell>
          <cell r="Y500">
            <v>2707000</v>
          </cell>
          <cell r="Z500">
            <v>46672</v>
          </cell>
          <cell r="AA500">
            <v>54140</v>
          </cell>
        </row>
        <row r="501">
          <cell r="B501" t="str">
            <v>KHI/HO/D/MO/PC COMP/C/103201/15/12/2024</v>
          </cell>
          <cell r="D501" t="str">
            <v>FRE</v>
          </cell>
          <cell r="E501" t="str">
            <v>02/12/24</v>
          </cell>
          <cell r="F501" t="str">
            <v>16/12/2024</v>
          </cell>
          <cell r="G501" t="str">
            <v>15/12/2025</v>
          </cell>
          <cell r="H501" t="str">
            <v>08004499</v>
          </cell>
          <cell r="I501" t="str">
            <v>AL BARAKA BANK (PAKISTAN) LIMITED</v>
          </cell>
          <cell r="J501" t="str">
            <v>BANK</v>
          </cell>
          <cell r="K501" t="str">
            <v>Mr. 
HPA M/s. Al Baraka Bank (Pakistan) Limited
Mr. Shahrukh Tahir 
HPA M/s. Al Baraka Bank (Pakistan) Limited</v>
          </cell>
          <cell r="L501" t="str">
            <v>D</v>
          </cell>
          <cell r="M501" t="str">
            <v>09000221</v>
          </cell>
          <cell r="N501">
            <v>100</v>
          </cell>
          <cell r="O501" t="str">
            <v>RAWALPINDI</v>
          </cell>
          <cell r="P501" t="str">
            <v>H # H-665 Mohallah Jawara New Abadi Qureshi Rd Tariq Lane Dhamiyal Rawalpindi</v>
          </cell>
          <cell r="Q501" t="str">
            <v>11000003</v>
          </cell>
          <cell r="R501" t="str">
            <v>SUZUKI Every VXR</v>
          </cell>
          <cell r="S501" t="str">
            <v>2024</v>
          </cell>
          <cell r="U501" t="str">
            <v>1001533</v>
          </cell>
          <cell r="V501" t="str">
            <v>00101534</v>
          </cell>
          <cell r="X501" t="str">
            <v>3</v>
          </cell>
          <cell r="Y501">
            <v>2799000</v>
          </cell>
          <cell r="Z501">
            <v>48258</v>
          </cell>
          <cell r="AA501">
            <v>55980</v>
          </cell>
        </row>
        <row r="502">
          <cell r="B502" t="str">
            <v>KHI/HO/D/MO/PC COMP/C/103201/16/12/2024</v>
          </cell>
          <cell r="D502" t="str">
            <v>FRE</v>
          </cell>
          <cell r="E502" t="str">
            <v>02/12/24</v>
          </cell>
          <cell r="F502" t="str">
            <v>16/12/2024</v>
          </cell>
          <cell r="G502" t="str">
            <v>15/12/2025</v>
          </cell>
          <cell r="H502" t="str">
            <v>08004499</v>
          </cell>
          <cell r="I502" t="str">
            <v>AL BARAKA BANK (PAKISTAN) LIMITED</v>
          </cell>
          <cell r="J502" t="str">
            <v>BANK</v>
          </cell>
          <cell r="K502" t="str">
            <v>Mr. 
HPA M/s. Al Baraka Bank (Pakistan) Limited
Mr. Muhammad Umar 
HPA M/s. Al Baraka Bank (Pakistan) Limited</v>
          </cell>
          <cell r="L502" t="str">
            <v>D</v>
          </cell>
          <cell r="M502" t="str">
            <v>09000221</v>
          </cell>
          <cell r="N502">
            <v>100</v>
          </cell>
          <cell r="O502" t="str">
            <v>LAHORE</v>
          </cell>
          <cell r="P502" t="str">
            <v>Mohallah Main Bazar 2 Ghaziabad Mughalpura Lahore</v>
          </cell>
          <cell r="Q502" t="str">
            <v>11000003</v>
          </cell>
          <cell r="R502" t="str">
            <v>TOYOTA COROLLA ALTIS  1.6</v>
          </cell>
          <cell r="S502" t="str">
            <v>2017</v>
          </cell>
          <cell r="T502" t="str">
            <v>LEA-18A-8414</v>
          </cell>
          <cell r="U502" t="str">
            <v>Q042220</v>
          </cell>
          <cell r="V502" t="str">
            <v>6019693</v>
          </cell>
          <cell r="X502" t="str">
            <v>3</v>
          </cell>
          <cell r="Y502">
            <v>4000000</v>
          </cell>
          <cell r="Z502">
            <v>51724</v>
          </cell>
          <cell r="AA502">
            <v>60000</v>
          </cell>
        </row>
        <row r="503">
          <cell r="B503" t="str">
            <v>KHI/HO/D/MO/PC COMP/C/103201/17/12/2024</v>
          </cell>
          <cell r="D503" t="str">
            <v>FRE</v>
          </cell>
          <cell r="E503" t="str">
            <v>02/12/24</v>
          </cell>
          <cell r="F503" t="str">
            <v>16/12/2024</v>
          </cell>
          <cell r="G503" t="str">
            <v>15/12/2025</v>
          </cell>
          <cell r="H503" t="str">
            <v>08004499</v>
          </cell>
          <cell r="I503" t="str">
            <v>AL BARAKA BANK (PAKISTAN) LIMITED</v>
          </cell>
          <cell r="J503" t="str">
            <v>BANK</v>
          </cell>
          <cell r="K503" t="str">
            <v>Mr. 
HPA M/s. Al Baraka Bank (Pakistan) Limited
Mr. Muhammad Riaz  
HPA M/s. Al Baraka Bank (Pakistan) Limited</v>
          </cell>
          <cell r="L503" t="str">
            <v>D</v>
          </cell>
          <cell r="M503" t="str">
            <v>09000221</v>
          </cell>
          <cell r="N503">
            <v>100</v>
          </cell>
          <cell r="O503" t="str">
            <v>LAHORE</v>
          </cell>
          <cell r="P503" t="str">
            <v>Suzu Water Park IBL Housing scheme Lahore</v>
          </cell>
          <cell r="Q503" t="str">
            <v>11000003</v>
          </cell>
          <cell r="R503" t="str">
            <v>HONDA CITY I-VTEC CVT</v>
          </cell>
          <cell r="S503" t="str">
            <v>2024</v>
          </cell>
          <cell r="U503" t="str">
            <v>1029308</v>
          </cell>
          <cell r="V503" t="str">
            <v>RR046238</v>
          </cell>
          <cell r="X503" t="str">
            <v>3</v>
          </cell>
          <cell r="Y503">
            <v>4714000</v>
          </cell>
          <cell r="Z503">
            <v>60956</v>
          </cell>
          <cell r="AA503">
            <v>70710</v>
          </cell>
        </row>
        <row r="504">
          <cell r="B504" t="str">
            <v>KHI/HO/D/MO/PC COMP/C/103201/18/12/2024</v>
          </cell>
          <cell r="D504" t="str">
            <v>FRE</v>
          </cell>
          <cell r="E504" t="str">
            <v>02/12/24</v>
          </cell>
          <cell r="F504" t="str">
            <v>16/12/2024</v>
          </cell>
          <cell r="G504" t="str">
            <v>15/12/2025</v>
          </cell>
          <cell r="H504" t="str">
            <v>08004499</v>
          </cell>
          <cell r="I504" t="str">
            <v>AL BARAKA BANK (PAKISTAN) LIMITED</v>
          </cell>
          <cell r="J504" t="str">
            <v>BANK</v>
          </cell>
          <cell r="K504" t="str">
            <v>Mr. 
HPA M/s. Al Baraka Bank (Pakistan) Limited
Mr. Irfan Ali 
 HPA M/s. Al Baraka Bank (Pakistan) Limited</v>
          </cell>
          <cell r="L504" t="str">
            <v>D</v>
          </cell>
          <cell r="M504" t="str">
            <v>09000221</v>
          </cell>
          <cell r="N504">
            <v>100</v>
          </cell>
          <cell r="O504" t="str">
            <v>RAHIM YAR KHAN</v>
          </cell>
          <cell r="P504" t="str">
            <v>Madina Colony Mao Mubarak Road Rahim Yar Khan</v>
          </cell>
          <cell r="Q504" t="str">
            <v>11000003</v>
          </cell>
          <cell r="R504" t="str">
            <v>SUZUKI ALTO VXR E-2</v>
          </cell>
          <cell r="S504" t="str">
            <v>2019</v>
          </cell>
          <cell r="T504" t="str">
            <v>BQQ-549</v>
          </cell>
          <cell r="U504" t="str">
            <v>6R101579</v>
          </cell>
          <cell r="V504" t="str">
            <v>6H1001581</v>
          </cell>
          <cell r="X504" t="str">
            <v>3</v>
          </cell>
          <cell r="Y504">
            <v>2100000</v>
          </cell>
          <cell r="Z504">
            <v>36207</v>
          </cell>
          <cell r="AA504">
            <v>42000</v>
          </cell>
        </row>
        <row r="505">
          <cell r="B505" t="str">
            <v>KHI/HO/D/MO/PC COMP/C/103201/19/12/2024</v>
          </cell>
          <cell r="D505" t="str">
            <v>FRE</v>
          </cell>
          <cell r="E505" t="str">
            <v>02/12/24</v>
          </cell>
          <cell r="F505" t="str">
            <v>17/12/2024</v>
          </cell>
          <cell r="G505" t="str">
            <v>16/12/2025</v>
          </cell>
          <cell r="H505" t="str">
            <v>08004499</v>
          </cell>
          <cell r="I505" t="str">
            <v>AL BARAKA BANK (PAKISTAN) LIMITED</v>
          </cell>
          <cell r="J505" t="str">
            <v>BANK</v>
          </cell>
          <cell r="K505" t="str">
            <v>Mr. 
HPA M/s. Al Baraka Bank (Pakistan) Limited
Mr. Muhammad Zeeshan 
HPA M/s. Al Baraka Bank (Pakistan) Limited</v>
          </cell>
          <cell r="L505" t="str">
            <v>D</v>
          </cell>
          <cell r="M505" t="str">
            <v>09000221</v>
          </cell>
          <cell r="N505">
            <v>100</v>
          </cell>
          <cell r="O505" t="str">
            <v>MULTAN</v>
          </cell>
          <cell r="P505" t="str">
            <v>H # 72 Professor Street 5 Sabzazar Colony Bosan Road Multan</v>
          </cell>
          <cell r="Q505" t="str">
            <v>11000003</v>
          </cell>
          <cell r="R505" t="str">
            <v>SUZUKI ALTO VXL AGS E-2</v>
          </cell>
          <cell r="S505" t="str">
            <v>2024</v>
          </cell>
          <cell r="U505" t="str">
            <v>330929</v>
          </cell>
          <cell r="V505" t="str">
            <v>1230948</v>
          </cell>
          <cell r="X505" t="str">
            <v>3</v>
          </cell>
          <cell r="Y505">
            <v>3045000</v>
          </cell>
          <cell r="Z505">
            <v>52500</v>
          </cell>
          <cell r="AA505">
            <v>60900</v>
          </cell>
        </row>
        <row r="506">
          <cell r="B506" t="str">
            <v>KHI/HO/D/MO/PC COMP/C/103201/20/12/2024</v>
          </cell>
          <cell r="D506" t="str">
            <v>FRE</v>
          </cell>
          <cell r="E506" t="str">
            <v>02/12/24</v>
          </cell>
          <cell r="F506" t="str">
            <v>17/12/2024</v>
          </cell>
          <cell r="G506" t="str">
            <v>16/12/2025</v>
          </cell>
          <cell r="H506" t="str">
            <v>08004499</v>
          </cell>
          <cell r="I506" t="str">
            <v>AL BARAKA BANK (PAKISTAN) LIMITED</v>
          </cell>
          <cell r="J506" t="str">
            <v>BANK</v>
          </cell>
          <cell r="K506" t="str">
            <v>Mr. 
HPA M/s. Al Baraka Bank (Pakistan) Limited
Mr. Tahir Munir
HPA M/s. Al Baraka Bank (Pakistan) Limited</v>
          </cell>
          <cell r="L506" t="str">
            <v>D</v>
          </cell>
          <cell r="M506" t="str">
            <v>09000221</v>
          </cell>
          <cell r="N506">
            <v>100</v>
          </cell>
          <cell r="O506" t="str">
            <v>LAHORE</v>
          </cell>
          <cell r="P506" t="str">
            <v>H # 20 Sector B Ghouri Block Bahria Town Lahore</v>
          </cell>
          <cell r="Q506" t="str">
            <v>11000003</v>
          </cell>
          <cell r="R506" t="str">
            <v>SUZUKI SWIFT DLX EURO II</v>
          </cell>
          <cell r="S506" t="str">
            <v>2023</v>
          </cell>
          <cell r="T506" t="str">
            <v>AQD-385</v>
          </cell>
          <cell r="U506" t="str">
            <v>1014611</v>
          </cell>
          <cell r="V506" t="str">
            <v>114605</v>
          </cell>
          <cell r="X506" t="str">
            <v>3</v>
          </cell>
          <cell r="Y506">
            <v>4500000</v>
          </cell>
          <cell r="Z506">
            <v>58190</v>
          </cell>
          <cell r="AA506">
            <v>67500</v>
          </cell>
        </row>
        <row r="507">
          <cell r="B507" t="str">
            <v>KHI/HO/D/MO/PC COMP/C/103201/21/12/2024</v>
          </cell>
          <cell r="D507" t="str">
            <v>FRE</v>
          </cell>
          <cell r="E507" t="str">
            <v>02/12/24</v>
          </cell>
          <cell r="F507" t="str">
            <v>17/12/2024</v>
          </cell>
          <cell r="G507" t="str">
            <v>16/12/2025</v>
          </cell>
          <cell r="H507" t="str">
            <v>08004499</v>
          </cell>
          <cell r="I507" t="str">
            <v>AL BARAKA BANK (PAKISTAN) LIMITED</v>
          </cell>
          <cell r="J507" t="str">
            <v>BANK</v>
          </cell>
          <cell r="K507" t="str">
            <v>Mr. 
HPA M/s. Al Baraka Bank (Pakistan) Limited
Mr. Muhammad Anas 
HPA M/s. Al Baraka Bank (Pakistan) Limited</v>
          </cell>
          <cell r="L507" t="str">
            <v>D</v>
          </cell>
          <cell r="M507" t="str">
            <v>09000221</v>
          </cell>
          <cell r="N507">
            <v>100</v>
          </cell>
          <cell r="O507" t="str">
            <v>GUJRANWALA</v>
          </cell>
          <cell r="P507" t="str">
            <v>H # 41 Block C Ext. Master City Gujranwala</v>
          </cell>
          <cell r="Q507" t="str">
            <v>11000003</v>
          </cell>
          <cell r="R507" t="str">
            <v>SUZUKI ALTO VXR E-2</v>
          </cell>
          <cell r="S507" t="str">
            <v>2024</v>
          </cell>
          <cell r="U507" t="str">
            <v>331808</v>
          </cell>
          <cell r="V507" t="str">
            <v>1231810</v>
          </cell>
          <cell r="X507" t="str">
            <v>3</v>
          </cell>
          <cell r="Y507">
            <v>2707000</v>
          </cell>
          <cell r="Z507">
            <v>46672</v>
          </cell>
          <cell r="AA507">
            <v>54140</v>
          </cell>
        </row>
        <row r="508">
          <cell r="B508" t="str">
            <v>KHI/HO/D/MO/PC COMP/C/103201/22/12/2024</v>
          </cell>
          <cell r="D508" t="str">
            <v>FRE</v>
          </cell>
          <cell r="E508" t="str">
            <v>02/12/24</v>
          </cell>
          <cell r="F508" t="str">
            <v>17/12/2024</v>
          </cell>
          <cell r="G508" t="str">
            <v>16/12/2025</v>
          </cell>
          <cell r="H508" t="str">
            <v>08004499</v>
          </cell>
          <cell r="I508" t="str">
            <v>AL BARAKA BANK (PAKISTAN) LIMITED</v>
          </cell>
          <cell r="J508" t="str">
            <v>BANK</v>
          </cell>
          <cell r="K508" t="str">
            <v>Mr. 
HPA M/s. Al Baraka Bank (Pakistan) Limited
Mr. Muhammad Sajeel Zahoor 
HPA M/s. Al Baraka Bank (Pakistan) Limited</v>
          </cell>
          <cell r="L508" t="str">
            <v>D</v>
          </cell>
          <cell r="M508" t="str">
            <v>09000221</v>
          </cell>
          <cell r="N508">
            <v>100</v>
          </cell>
          <cell r="O508" t="str">
            <v>LAHORE</v>
          </cell>
          <cell r="P508" t="str">
            <v>H # P-237 D-3 Wapda Town Lahore</v>
          </cell>
          <cell r="Q508" t="str">
            <v>11000003</v>
          </cell>
          <cell r="R508" t="str">
            <v>SUZUKI ALTO VXL AGS E-2</v>
          </cell>
          <cell r="S508" t="str">
            <v>2024</v>
          </cell>
          <cell r="U508" t="str">
            <v>328826</v>
          </cell>
          <cell r="V508" t="str">
            <v>1228774</v>
          </cell>
          <cell r="X508" t="str">
            <v>3</v>
          </cell>
          <cell r="Y508">
            <v>3045000</v>
          </cell>
          <cell r="Z508">
            <v>52500</v>
          </cell>
          <cell r="AA508">
            <v>60900</v>
          </cell>
        </row>
        <row r="509">
          <cell r="B509" t="str">
            <v>KHI/HO/D/MO/PC COMP/C/103201/23/12/2024</v>
          </cell>
          <cell r="D509" t="str">
            <v>FRE</v>
          </cell>
          <cell r="E509" t="str">
            <v>02/12/24</v>
          </cell>
          <cell r="F509" t="str">
            <v>17/12/2024</v>
          </cell>
          <cell r="G509" t="str">
            <v>16/12/2025</v>
          </cell>
          <cell r="H509" t="str">
            <v>08004499</v>
          </cell>
          <cell r="I509" t="str">
            <v>AL BARAKA BANK (PAKISTAN) LIMITED</v>
          </cell>
          <cell r="J509" t="str">
            <v>BANK</v>
          </cell>
          <cell r="K509" t="str">
            <v>Mr. 
HPA M/s. Al Baraka Bank (Pakistan) Limited
Mr. Muhammad Raheel 
HPA M/s. Al Baraka Bank (Pakistan) Limited</v>
          </cell>
          <cell r="L509" t="str">
            <v>D</v>
          </cell>
          <cell r="M509" t="str">
            <v>09000221</v>
          </cell>
          <cell r="N509">
            <v>100</v>
          </cell>
          <cell r="O509" t="str">
            <v>KARACHI</v>
          </cell>
          <cell r="P509" t="str">
            <v>H # 332 Sector 4-A Saeedabad Baldia Town Karachi</v>
          </cell>
          <cell r="Q509" t="str">
            <v>11000003</v>
          </cell>
          <cell r="R509" t="str">
            <v>CHANGAN KARVAAN PLUS</v>
          </cell>
          <cell r="S509" t="str">
            <v>2021</v>
          </cell>
          <cell r="T509" t="str">
            <v>CZ-7606</v>
          </cell>
          <cell r="U509" t="str">
            <v>90503312</v>
          </cell>
          <cell r="V509" t="str">
            <v>1011260</v>
          </cell>
          <cell r="X509" t="str">
            <v>3</v>
          </cell>
          <cell r="Y509">
            <v>2280000</v>
          </cell>
          <cell r="Z509">
            <v>39310</v>
          </cell>
          <cell r="AA509">
            <v>45600</v>
          </cell>
        </row>
        <row r="510">
          <cell r="B510" t="str">
            <v>KHI/HO/D/MO/PC COMP/C/103201/24/12/2024</v>
          </cell>
          <cell r="D510" t="str">
            <v>FRE</v>
          </cell>
          <cell r="E510" t="str">
            <v>02/12/24</v>
          </cell>
          <cell r="F510" t="str">
            <v>18/12/2024</v>
          </cell>
          <cell r="G510" t="str">
            <v>17/12/2025</v>
          </cell>
          <cell r="H510" t="str">
            <v>08004499</v>
          </cell>
          <cell r="I510" t="str">
            <v>AL BARAKA BANK (PAKISTAN) LIMITED</v>
          </cell>
          <cell r="J510" t="str">
            <v>BANK</v>
          </cell>
          <cell r="K510" t="str">
            <v>Mr. 
HPA M/s. Al Baraka Bank (Pakistan) Limited
Mr. Muhammad Umer Naeem 
HPA M/s. Al Baraka Bank (Pakistan) Limited</v>
          </cell>
          <cell r="L510" t="str">
            <v>D</v>
          </cell>
          <cell r="M510" t="str">
            <v>09000221</v>
          </cell>
          <cell r="N510">
            <v>100</v>
          </cell>
          <cell r="O510" t="str">
            <v>FAISALABAD</v>
          </cell>
          <cell r="P510" t="str">
            <v>22-B Model City 1 208 Chak Road Faisalabad</v>
          </cell>
          <cell r="Q510" t="str">
            <v>11000003</v>
          </cell>
          <cell r="R510" t="str">
            <v>HONDA BRV I-VTEC STD M/T</v>
          </cell>
          <cell r="S510" t="str">
            <v>2018</v>
          </cell>
          <cell r="T510" t="str">
            <v>AJA-286</v>
          </cell>
          <cell r="U510" t="str">
            <v>L15Z13509681</v>
          </cell>
          <cell r="V510" t="str">
            <v>NFBDG1838JR009638</v>
          </cell>
          <cell r="X510" t="str">
            <v>3</v>
          </cell>
          <cell r="Y510">
            <v>4000000</v>
          </cell>
          <cell r="Z510">
            <v>51724</v>
          </cell>
          <cell r="AA510">
            <v>60000</v>
          </cell>
        </row>
        <row r="511">
          <cell r="B511" t="str">
            <v>KHI/HO/D/MO/PC COMP/C/103201/25/12/2024</v>
          </cell>
          <cell r="D511" t="str">
            <v>FRE</v>
          </cell>
          <cell r="E511" t="str">
            <v>18/12/24</v>
          </cell>
          <cell r="F511" t="str">
            <v>18/12/2024</v>
          </cell>
          <cell r="G511" t="str">
            <v>17/12/2025</v>
          </cell>
          <cell r="H511" t="str">
            <v>08004499</v>
          </cell>
          <cell r="I511" t="str">
            <v>AL BARAKA BANK (PAKISTAN) LIMITED</v>
          </cell>
          <cell r="J511" t="str">
            <v>BANK</v>
          </cell>
          <cell r="K511" t="str">
            <v>Mr. 
HPA M/s. Al Baraka Bank (Pakistan) Limited
Mr. Muhammad Shoaib
HPA M/s. Al Baraka Bank (Pakistan) Limited</v>
          </cell>
          <cell r="L511" t="str">
            <v>D</v>
          </cell>
          <cell r="M511" t="str">
            <v>09000221</v>
          </cell>
          <cell r="N511">
            <v>100</v>
          </cell>
          <cell r="O511" t="str">
            <v>LAHORE</v>
          </cell>
          <cell r="P511" t="str">
            <v>H #151 Street 64-S Mohallah Akram Park Bund Road Sanda Kalan Lahore</v>
          </cell>
          <cell r="Q511" t="str">
            <v>11000003</v>
          </cell>
          <cell r="R511" t="str">
            <v>SUZUKI ALTO VXR E-2</v>
          </cell>
          <cell r="S511" t="str">
            <v>2024</v>
          </cell>
          <cell r="U511" t="str">
            <v>331314</v>
          </cell>
          <cell r="V511" t="str">
            <v>1231222</v>
          </cell>
          <cell r="X511" t="str">
            <v>3</v>
          </cell>
          <cell r="Y511">
            <v>2707000</v>
          </cell>
          <cell r="Z511">
            <v>46672</v>
          </cell>
          <cell r="AA511">
            <v>54140</v>
          </cell>
        </row>
        <row r="512">
          <cell r="B512" t="str">
            <v>KHI/HO/D/MO/PC COMP/C/103764/1/12/2024</v>
          </cell>
          <cell r="D512" t="str">
            <v>REN</v>
          </cell>
          <cell r="E512" t="str">
            <v>18/12/24</v>
          </cell>
          <cell r="F512" t="str">
            <v>06/12/2024</v>
          </cell>
          <cell r="G512" t="str">
            <v>05/12/2025</v>
          </cell>
          <cell r="H512" t="str">
            <v>08004499</v>
          </cell>
          <cell r="I512" t="str">
            <v>AL BARAKA BANK (PAKISTAN) LIMITED</v>
          </cell>
          <cell r="J512" t="str">
            <v>BANK</v>
          </cell>
          <cell r="K512" t="str">
            <v>M/s. Al Baraka Bank (Pakistan) Limited 
M/S. Al Baraka Bank (Pakistan) Limited 
User: Muhammad  Boota</v>
          </cell>
          <cell r="L512" t="str">
            <v>D</v>
          </cell>
          <cell r="M512" t="str">
            <v>09000221</v>
          </cell>
          <cell r="N512">
            <v>100</v>
          </cell>
          <cell r="P512" t="str">
            <v>H No 10 Q Ma Johar Town Lahore</v>
          </cell>
          <cell r="Q512" t="str">
            <v>11000003</v>
          </cell>
          <cell r="R512" t="str">
            <v>SUZUKI ALTO VXL AGS</v>
          </cell>
          <cell r="S512" t="str">
            <v>2023</v>
          </cell>
          <cell r="T512" t="str">
            <v>AQG-113</v>
          </cell>
          <cell r="U512" t="str">
            <v>288371</v>
          </cell>
          <cell r="V512" t="str">
            <v>1188306</v>
          </cell>
          <cell r="W512" t="str">
            <v>15-jan-2029</v>
          </cell>
          <cell r="Y512">
            <v>2641500</v>
          </cell>
          <cell r="Z512">
            <v>45544</v>
          </cell>
          <cell r="AA512">
            <v>52830</v>
          </cell>
        </row>
        <row r="513">
          <cell r="B513" t="str">
            <v>KHI/HO/D/MO/PC COMP/C/103764/2/12/2024</v>
          </cell>
          <cell r="D513" t="str">
            <v>REN</v>
          </cell>
          <cell r="E513" t="str">
            <v>18/12/24</v>
          </cell>
          <cell r="F513" t="str">
            <v>12/12/2024</v>
          </cell>
          <cell r="G513" t="str">
            <v>11/12/2025</v>
          </cell>
          <cell r="H513" t="str">
            <v>08004499</v>
          </cell>
          <cell r="I513" t="str">
            <v>AL BARAKA BANK (PAKISTAN) LIMITED</v>
          </cell>
          <cell r="J513" t="str">
            <v>BANK</v>
          </cell>
          <cell r="K513" t="str">
            <v>M/s. Al Baraka Bank (Pakistan) Limited 
M/S. Al Baraka Bank (Pakistan) Limited 
User: Ali Nawaz Sakhi</v>
          </cell>
          <cell r="L513" t="str">
            <v>D</v>
          </cell>
          <cell r="M513" t="str">
            <v>09000221</v>
          </cell>
          <cell r="N513">
            <v>100</v>
          </cell>
          <cell r="P513" t="str">
            <v>H No 03 St No 36 Moh Hussain Pura Ghaziabad Nughal Pura Lahore</v>
          </cell>
          <cell r="Q513" t="str">
            <v>11000003</v>
          </cell>
          <cell r="R513" t="str">
            <v>HONDA CITY ASPIRE CVT PT</v>
          </cell>
          <cell r="S513" t="str">
            <v>2017</v>
          </cell>
          <cell r="T513" t="str">
            <v>LEF-17-6996</v>
          </cell>
          <cell r="U513" t="str">
            <v>79756765</v>
          </cell>
          <cell r="V513" t="str">
            <v>HR205768</v>
          </cell>
          <cell r="W513" t="str">
            <v>16-jan-2029</v>
          </cell>
          <cell r="Y513">
            <v>2880000</v>
          </cell>
          <cell r="Z513">
            <v>49655</v>
          </cell>
          <cell r="AA513">
            <v>57600</v>
          </cell>
        </row>
        <row r="514">
          <cell r="B514" t="str">
            <v>KHI/HO/D/MO/PC COMP/C/103764/3/12/2024</v>
          </cell>
          <cell r="D514" t="str">
            <v>REN</v>
          </cell>
          <cell r="E514" t="str">
            <v>18/12/24</v>
          </cell>
          <cell r="F514" t="str">
            <v>13/12/2024</v>
          </cell>
          <cell r="G514" t="str">
            <v>12/12/2025</v>
          </cell>
          <cell r="H514" t="str">
            <v>08004499</v>
          </cell>
          <cell r="I514" t="str">
            <v>AL BARAKA BANK (PAKISTAN) LIMITED</v>
          </cell>
          <cell r="J514" t="str">
            <v>BANK</v>
          </cell>
          <cell r="K514" t="str">
            <v>M/s. Al Baraka Bank (Pakistan) Limited 
M/S. Al Baraka Bank (Pakistan) Limited 
User: Muhammad  Akbar</v>
          </cell>
          <cell r="L514" t="str">
            <v>D</v>
          </cell>
          <cell r="M514" t="str">
            <v>09000221</v>
          </cell>
          <cell r="N514">
            <v>100</v>
          </cell>
          <cell r="P514" t="str">
            <v>Dhera Shamshad Jhod Road Shamshad Market Islamabad</v>
          </cell>
          <cell r="Q514" t="str">
            <v>11000003</v>
          </cell>
          <cell r="R514" t="str">
            <v>SUZUKI WAGON R VXL AGS</v>
          </cell>
          <cell r="S514" t="str">
            <v>2023</v>
          </cell>
          <cell r="T514" t="str">
            <v>BDE-540</v>
          </cell>
          <cell r="U514" t="str">
            <v>246500</v>
          </cell>
          <cell r="V514" t="str">
            <v>10146503</v>
          </cell>
          <cell r="W514" t="str">
            <v>17-jan-2029</v>
          </cell>
          <cell r="Y514">
            <v>3366900</v>
          </cell>
          <cell r="Z514">
            <v>43538</v>
          </cell>
          <cell r="AA514">
            <v>50504</v>
          </cell>
        </row>
        <row r="515">
          <cell r="B515" t="str">
            <v>KHI/HO/D/MO/PC COMP/C/103764/4/12/2024</v>
          </cell>
          <cell r="D515" t="str">
            <v>REN</v>
          </cell>
          <cell r="E515" t="str">
            <v>18/12/24</v>
          </cell>
          <cell r="F515" t="str">
            <v>14/12/2024</v>
          </cell>
          <cell r="G515" t="str">
            <v>13/12/2025</v>
          </cell>
          <cell r="H515" t="str">
            <v>08004499</v>
          </cell>
          <cell r="I515" t="str">
            <v>AL BARAKA BANK (PAKISTAN) LIMITED</v>
          </cell>
          <cell r="J515" t="str">
            <v>BANK</v>
          </cell>
          <cell r="K515" t="str">
            <v>M/s. Al Baraka Bank (Pakistan) Limited 
M/S. Al Baraka Bank (Pakistan) Limited 
User: Syed Abdul Zahid Shah</v>
          </cell>
          <cell r="L515" t="str">
            <v>D</v>
          </cell>
          <cell r="M515" t="str">
            <v>09000221</v>
          </cell>
          <cell r="N515">
            <v>100</v>
          </cell>
          <cell r="P515" t="str">
            <v>Jh No 486 C1 Gujjar Pura China Scheme Lahore</v>
          </cell>
          <cell r="Q515" t="str">
            <v>11000003</v>
          </cell>
          <cell r="R515" t="str">
            <v>HONDA CITY 1.3 PT</v>
          </cell>
          <cell r="S515" t="str">
            <v>2019</v>
          </cell>
          <cell r="T515" t="str">
            <v>LEA-19-8312</v>
          </cell>
          <cell r="U515" t="str">
            <v>Z17525610</v>
          </cell>
          <cell r="V515" t="str">
            <v>KR243029</v>
          </cell>
          <cell r="W515" t="str">
            <v>18-jan-2029</v>
          </cell>
          <cell r="Y515">
            <v>3555000</v>
          </cell>
          <cell r="Z515">
            <v>45970</v>
          </cell>
          <cell r="AA515">
            <v>53325</v>
          </cell>
        </row>
        <row r="516">
          <cell r="B516" t="str">
            <v>KHI/HO/D/MO/PC COMP/C/103764/5/12/2024</v>
          </cell>
          <cell r="D516" t="str">
            <v>REN</v>
          </cell>
          <cell r="E516" t="str">
            <v>18/12/24</v>
          </cell>
          <cell r="F516" t="str">
            <v>15/12/2024</v>
          </cell>
          <cell r="G516" t="str">
            <v>14/12/2025</v>
          </cell>
          <cell r="H516" t="str">
            <v>08004499</v>
          </cell>
          <cell r="I516" t="str">
            <v>AL BARAKA BANK (PAKISTAN) LIMITED</v>
          </cell>
          <cell r="J516" t="str">
            <v>BANK</v>
          </cell>
          <cell r="K516" t="str">
            <v>M/s. Al Baraka Bank (Pakistan) Limited 
M/S. Al Baraka Bank (Pakistan) Limited 
User: Ghazanfar  Abbas</v>
          </cell>
          <cell r="L516" t="str">
            <v>D</v>
          </cell>
          <cell r="M516" t="str">
            <v>09000221</v>
          </cell>
          <cell r="N516">
            <v>100</v>
          </cell>
          <cell r="P516" t="str">
            <v>H # 6 Street 14 Canal Park Gulberg Ii Lahore</v>
          </cell>
          <cell r="Q516" t="str">
            <v>11000003</v>
          </cell>
          <cell r="R516" t="str">
            <v>TOYOTA COROLLA ALTIS CVT</v>
          </cell>
          <cell r="S516" t="str">
            <v>2021</v>
          </cell>
          <cell r="T516" t="str">
            <v>ADN-972</v>
          </cell>
          <cell r="U516" t="str">
            <v>Q349098</v>
          </cell>
          <cell r="V516" t="str">
            <v>R7048265</v>
          </cell>
          <cell r="W516" t="str">
            <v>19-jan-2029</v>
          </cell>
          <cell r="Y516">
            <v>5850000</v>
          </cell>
          <cell r="Z516">
            <v>75647</v>
          </cell>
          <cell r="AA516">
            <v>87750</v>
          </cell>
        </row>
        <row r="517">
          <cell r="B517" t="str">
            <v>KHI/HO/D/MO/PC COMP/C/103764/6/12/2024</v>
          </cell>
          <cell r="D517" t="str">
            <v>REN</v>
          </cell>
          <cell r="E517" t="str">
            <v>18/12/24</v>
          </cell>
          <cell r="F517" t="str">
            <v>15/12/2024</v>
          </cell>
          <cell r="G517" t="str">
            <v>14/12/2025</v>
          </cell>
          <cell r="H517" t="str">
            <v>08004499</v>
          </cell>
          <cell r="I517" t="str">
            <v>AL BARAKA BANK (PAKISTAN) LIMITED</v>
          </cell>
          <cell r="J517" t="str">
            <v>BANK</v>
          </cell>
          <cell r="K517" t="str">
            <v>M/s. Al Baraka Bank (Pakistan) Limited 
M/S. Al Baraka Bank (Pakistan) Limited 
User: Shahena  Jabeen</v>
          </cell>
          <cell r="L517" t="str">
            <v>D</v>
          </cell>
          <cell r="M517" t="str">
            <v>09000221</v>
          </cell>
          <cell r="N517">
            <v>100</v>
          </cell>
          <cell r="P517" t="str">
            <v>Eme Sector House No. 250-A Sector 12 Dha Multan Raod Lahore</v>
          </cell>
          <cell r="Q517" t="str">
            <v>11000003</v>
          </cell>
          <cell r="R517" t="str">
            <v>SUZUKI SWIFT DLX EURO II</v>
          </cell>
          <cell r="S517" t="str">
            <v>2019</v>
          </cell>
          <cell r="T517" t="str">
            <v>LEH-19-4196</v>
          </cell>
          <cell r="U517" t="str">
            <v>13047397</v>
          </cell>
          <cell r="V517" t="str">
            <v>10047386</v>
          </cell>
          <cell r="W517" t="str">
            <v>20-jan-2029</v>
          </cell>
          <cell r="Y517">
            <v>2520000</v>
          </cell>
          <cell r="Z517">
            <v>43449</v>
          </cell>
          <cell r="AA517">
            <v>50400</v>
          </cell>
        </row>
        <row r="518">
          <cell r="B518" t="str">
            <v>KHI/HO/D/MO/PC COMP/C/103764/7/12/2024</v>
          </cell>
          <cell r="D518" t="str">
            <v>REN</v>
          </cell>
          <cell r="E518" t="str">
            <v>18/12/24</v>
          </cell>
          <cell r="F518" t="str">
            <v>19/12/2024</v>
          </cell>
          <cell r="G518" t="str">
            <v>18/12/2025</v>
          </cell>
          <cell r="H518" t="str">
            <v>08004499</v>
          </cell>
          <cell r="I518" t="str">
            <v>AL BARAKA BANK (PAKISTAN) LIMITED</v>
          </cell>
          <cell r="J518" t="str">
            <v>BANK</v>
          </cell>
          <cell r="K518" t="str">
            <v>M/s. Al Baraka Bank (Pakistan) Limited 
M/S. Al Baraka Bank (Pakistan) Limited 
User: Sadia  Sadaqat</v>
          </cell>
          <cell r="L518" t="str">
            <v>D</v>
          </cell>
          <cell r="M518" t="str">
            <v>09000221</v>
          </cell>
          <cell r="N518">
            <v>100</v>
          </cell>
          <cell r="P518" t="str">
            <v>H No 309 Block D -2 Johar Town Lahore</v>
          </cell>
          <cell r="Q518" t="str">
            <v>11000003</v>
          </cell>
          <cell r="R518" t="str">
            <v>TOYOTA YARIS ATIV X CVT 1</v>
          </cell>
          <cell r="S518" t="str">
            <v>2023</v>
          </cell>
          <cell r="T518" t="str">
            <v>AQM-620</v>
          </cell>
          <cell r="U518" t="str">
            <v>2A63677</v>
          </cell>
          <cell r="V518" t="str">
            <v>7041311</v>
          </cell>
          <cell r="W518" t="str">
            <v>21-jan-2029</v>
          </cell>
          <cell r="Y518">
            <v>4478400</v>
          </cell>
          <cell r="Z518">
            <v>57910</v>
          </cell>
          <cell r="AA518">
            <v>67176</v>
          </cell>
        </row>
        <row r="519">
          <cell r="B519" t="str">
            <v>KHI/HO/D/MO/PC COMP/C/103764/8/12/2024</v>
          </cell>
          <cell r="D519" t="str">
            <v>REN</v>
          </cell>
          <cell r="E519" t="str">
            <v>18/12/24</v>
          </cell>
          <cell r="F519" t="str">
            <v>19/12/2024</v>
          </cell>
          <cell r="G519" t="str">
            <v>18/12/2025</v>
          </cell>
          <cell r="H519" t="str">
            <v>08004499</v>
          </cell>
          <cell r="I519" t="str">
            <v>AL BARAKA BANK (PAKISTAN) LIMITED</v>
          </cell>
          <cell r="J519" t="str">
            <v>BANK</v>
          </cell>
          <cell r="K519" t="str">
            <v>M/s. Al Baraka Bank (Pakistan) Limited 
M/S. Al Baraka Bank (Pakistan) Limited 
User: Muhammad  Kashif</v>
          </cell>
          <cell r="L519" t="str">
            <v>D</v>
          </cell>
          <cell r="M519" t="str">
            <v>09000221</v>
          </cell>
          <cell r="N519">
            <v>100</v>
          </cell>
          <cell r="P519" t="str">
            <v>H No 21 /1/2/ St No 174 College Park Mohalla Madina Colony Baghbanpura Lahore</v>
          </cell>
          <cell r="Q519" t="str">
            <v>11000003</v>
          </cell>
          <cell r="R519" t="str">
            <v>SUZUKI MEHRAN VX</v>
          </cell>
          <cell r="S519" t="str">
            <v>2015</v>
          </cell>
          <cell r="T519" t="str">
            <v>LED-15-3088</v>
          </cell>
          <cell r="U519" t="str">
            <v>608606</v>
          </cell>
          <cell r="V519" t="str">
            <v>1147137</v>
          </cell>
          <cell r="W519" t="str">
            <v>22-jan-2029</v>
          </cell>
          <cell r="Y519">
            <v>810000</v>
          </cell>
          <cell r="Z519">
            <v>13965</v>
          </cell>
          <cell r="AA519">
            <v>16200</v>
          </cell>
        </row>
        <row r="520">
          <cell r="B520" t="str">
            <v>KHI/HO/D/MO/PC COMP/C/103764/9/12/2024</v>
          </cell>
          <cell r="D520" t="str">
            <v>REN</v>
          </cell>
          <cell r="E520" t="str">
            <v>18/12/24</v>
          </cell>
          <cell r="F520" t="str">
            <v>20/12/2024</v>
          </cell>
          <cell r="G520" t="str">
            <v>19/12/2025</v>
          </cell>
          <cell r="H520" t="str">
            <v>08004499</v>
          </cell>
          <cell r="I520" t="str">
            <v>AL BARAKA BANK (PAKISTAN) LIMITED</v>
          </cell>
          <cell r="J520" t="str">
            <v>BANK</v>
          </cell>
          <cell r="K520" t="str">
            <v>M/s. Al Baraka Bank (Pakistan) Limited 
M/S. Al Baraka Bank (Pakistan) Limited 
User: Habib Ur Rehman</v>
          </cell>
          <cell r="L520" t="str">
            <v>D</v>
          </cell>
          <cell r="M520" t="str">
            <v>09000221</v>
          </cell>
          <cell r="N520">
            <v>100</v>
          </cell>
          <cell r="P520" t="str">
            <v>H No 256 Street 04 Mubarak Lane Adyala Road Rawalpindi</v>
          </cell>
          <cell r="Q520" t="str">
            <v>11000003</v>
          </cell>
          <cell r="R520" t="str">
            <v>SUZUKI ALTO VXR</v>
          </cell>
          <cell r="S520" t="str">
            <v>2023</v>
          </cell>
          <cell r="T520" t="str">
            <v>BDB-172</v>
          </cell>
          <cell r="U520" t="str">
            <v>R289570</v>
          </cell>
          <cell r="V520" t="str">
            <v>H1189586</v>
          </cell>
          <cell r="W520" t="str">
            <v>23-jan-2029</v>
          </cell>
          <cell r="Y520">
            <v>2350800</v>
          </cell>
          <cell r="Z520">
            <v>40531</v>
          </cell>
          <cell r="AA520">
            <v>47016</v>
          </cell>
        </row>
        <row r="521">
          <cell r="B521" t="str">
            <v>KHI/HO/D/MO/PC COMP/C/103764/10/12/2024</v>
          </cell>
          <cell r="D521" t="str">
            <v>REN</v>
          </cell>
          <cell r="E521" t="str">
            <v>18/12/24</v>
          </cell>
          <cell r="F521" t="str">
            <v>21/12/2024</v>
          </cell>
          <cell r="G521" t="str">
            <v>20/12/2025</v>
          </cell>
          <cell r="H521" t="str">
            <v>08004499</v>
          </cell>
          <cell r="I521" t="str">
            <v>AL BARAKA BANK (PAKISTAN) LIMITED</v>
          </cell>
          <cell r="J521" t="str">
            <v>BANK</v>
          </cell>
          <cell r="K521" t="str">
            <v>M/s. Al Baraka Bank (Pakistan) Limited 
M/S. Al Baraka Bank (Pakistan) Limited 
User: Muhammad  Shoaib</v>
          </cell>
          <cell r="L521" t="str">
            <v>D</v>
          </cell>
          <cell r="M521" t="str">
            <v>09000221</v>
          </cell>
          <cell r="N521">
            <v>100</v>
          </cell>
          <cell r="P521" t="str">
            <v>H No 1171 D St 29 Phase 6 Dha Lahore</v>
          </cell>
          <cell r="Q521" t="str">
            <v>11000003</v>
          </cell>
          <cell r="R521" t="str">
            <v>KIA PICANTO 1.0L A/T</v>
          </cell>
          <cell r="S521" t="str">
            <v>2021</v>
          </cell>
          <cell r="T521" t="str">
            <v>ABR-656</v>
          </cell>
          <cell r="U521" t="str">
            <v>P072517</v>
          </cell>
          <cell r="V521" t="str">
            <v>KP703837</v>
          </cell>
          <cell r="W521" t="str">
            <v>24-jan-2029</v>
          </cell>
          <cell r="Y521">
            <v>2340000</v>
          </cell>
          <cell r="Z521">
            <v>40345</v>
          </cell>
          <cell r="AA521">
            <v>46800</v>
          </cell>
        </row>
        <row r="522">
          <cell r="B522" t="str">
            <v>KHI/HO/D/MO/PC COMP/C/103764/11/12/2024</v>
          </cell>
          <cell r="D522" t="str">
            <v>REN</v>
          </cell>
          <cell r="E522" t="str">
            <v>18/12/24</v>
          </cell>
          <cell r="F522" t="str">
            <v>22/12/2024</v>
          </cell>
          <cell r="G522" t="str">
            <v>21/12/2025</v>
          </cell>
          <cell r="H522" t="str">
            <v>08004499</v>
          </cell>
          <cell r="I522" t="str">
            <v>AL BARAKA BANK (PAKISTAN) LIMITED</v>
          </cell>
          <cell r="J522" t="str">
            <v>BANK</v>
          </cell>
          <cell r="K522" t="str">
            <v>M/s. Al Baraka Bank (Pakistan) Limited 
M/S. Al Baraka Bank (Pakistan) Limited 
User: Naveed  Ahmad</v>
          </cell>
          <cell r="L522" t="str">
            <v>D</v>
          </cell>
          <cell r="M522" t="str">
            <v>09000221</v>
          </cell>
          <cell r="N522">
            <v>100</v>
          </cell>
          <cell r="P522" t="str">
            <v>H No 4 St No 1 Sami Town Mughal Pura Lahore</v>
          </cell>
          <cell r="Q522" t="str">
            <v>11000003</v>
          </cell>
          <cell r="R522" t="str">
            <v>SUZUKI CULTUS VXL</v>
          </cell>
          <cell r="S522" t="str">
            <v>2018</v>
          </cell>
          <cell r="T522" t="str">
            <v>LE-18A-5672</v>
          </cell>
          <cell r="U522" t="str">
            <v>126834</v>
          </cell>
          <cell r="V522" t="str">
            <v>10026787</v>
          </cell>
          <cell r="W522" t="str">
            <v>25-jan-2029</v>
          </cell>
          <cell r="Y522">
            <v>2403000</v>
          </cell>
          <cell r="Z522">
            <v>41431</v>
          </cell>
          <cell r="AA522">
            <v>48060</v>
          </cell>
        </row>
        <row r="523">
          <cell r="B523" t="str">
            <v>KHI/HO/D/MO/PC COMP/C/103764/12/12/2024</v>
          </cell>
          <cell r="D523" t="str">
            <v>REN</v>
          </cell>
          <cell r="E523" t="str">
            <v>18/12/24</v>
          </cell>
          <cell r="F523" t="str">
            <v>23/12/2024</v>
          </cell>
          <cell r="G523" t="str">
            <v>22/12/2025</v>
          </cell>
          <cell r="H523" t="str">
            <v>08004499</v>
          </cell>
          <cell r="I523" t="str">
            <v>AL BARAKA BANK (PAKISTAN) LIMITED</v>
          </cell>
          <cell r="J523" t="str">
            <v>BANK</v>
          </cell>
          <cell r="K523" t="str">
            <v>M/s. Al Baraka Bank (Pakistan) Limited 
M/S. Al Baraka Bank (Pakistan) Limited 
User: Faisal  .</v>
          </cell>
          <cell r="L523" t="str">
            <v>D</v>
          </cell>
          <cell r="M523" t="str">
            <v>09000221</v>
          </cell>
          <cell r="N523">
            <v>100</v>
          </cell>
          <cell r="P523" t="str">
            <v>H No 261 Street No 20 Azam Basti Mehmoodabad Karachi</v>
          </cell>
          <cell r="Q523" t="str">
            <v>11000003</v>
          </cell>
          <cell r="R523" t="str">
            <v>SUZUKI ALTO</v>
          </cell>
          <cell r="S523" t="str">
            <v>2024</v>
          </cell>
          <cell r="T523" t="str">
            <v>BZH-314</v>
          </cell>
          <cell r="U523" t="str">
            <v>291969</v>
          </cell>
          <cell r="V523" t="str">
            <v>1192048</v>
          </cell>
          <cell r="W523" t="str">
            <v>26-jan-2029</v>
          </cell>
          <cell r="Y523">
            <v>2350800</v>
          </cell>
          <cell r="Z523">
            <v>40531</v>
          </cell>
          <cell r="AA523">
            <v>47016</v>
          </cell>
        </row>
        <row r="524">
          <cell r="B524" t="str">
            <v>KHI/HO/D/MO/PC COMP/C/103764/13/12/2024</v>
          </cell>
          <cell r="D524" t="str">
            <v>REN</v>
          </cell>
          <cell r="E524" t="str">
            <v>18/12/24</v>
          </cell>
          <cell r="F524" t="str">
            <v>26/12/2024</v>
          </cell>
          <cell r="G524" t="str">
            <v>25/12/2025</v>
          </cell>
          <cell r="H524" t="str">
            <v>08004499</v>
          </cell>
          <cell r="I524" t="str">
            <v>AL BARAKA BANK (PAKISTAN) LIMITED</v>
          </cell>
          <cell r="J524" t="str">
            <v>BANK</v>
          </cell>
          <cell r="K524" t="str">
            <v>M/s. Al Baraka Bank (Pakistan) Limited 
M/S. Al Baraka Bank (Pakistan) Limited 
User: Hafiz Muhammad Bilal</v>
          </cell>
          <cell r="L524" t="str">
            <v>D</v>
          </cell>
          <cell r="M524" t="str">
            <v>09000221</v>
          </cell>
          <cell r="N524">
            <v>100</v>
          </cell>
          <cell r="Q524" t="str">
            <v>11000003</v>
          </cell>
          <cell r="R524" t="str">
            <v>TOYOTA COROLLA GLI</v>
          </cell>
          <cell r="S524" t="str">
            <v>2018</v>
          </cell>
          <cell r="T524" t="str">
            <v>LEH-18-9980</v>
          </cell>
          <cell r="U524" t="str">
            <v>Z527960</v>
          </cell>
          <cell r="V524" t="str">
            <v>4153883</v>
          </cell>
          <cell r="W524" t="str">
            <v>27-jan-2029</v>
          </cell>
          <cell r="Y524">
            <v>4140000</v>
          </cell>
          <cell r="Z524">
            <v>53535</v>
          </cell>
          <cell r="AA524">
            <v>62100</v>
          </cell>
        </row>
        <row r="525">
          <cell r="B525" t="str">
            <v>KHI/HO/D/MO/PC COMP/C/103764/14/12/2024</v>
          </cell>
          <cell r="D525" t="str">
            <v>REN</v>
          </cell>
          <cell r="E525" t="str">
            <v>18/12/24</v>
          </cell>
          <cell r="F525" t="str">
            <v>27/12/2024</v>
          </cell>
          <cell r="G525" t="str">
            <v>26/12/2025</v>
          </cell>
          <cell r="H525" t="str">
            <v>08004499</v>
          </cell>
          <cell r="I525" t="str">
            <v>AL BARAKA BANK (PAKISTAN) LIMITED</v>
          </cell>
          <cell r="J525" t="str">
            <v>BANK</v>
          </cell>
          <cell r="K525" t="str">
            <v>M/s. Al Baraka Bank (Pakistan) Limited 
M/S. Al Baraka Bank (Pakistan) Limited 
User: Tahir   Mehmood</v>
          </cell>
          <cell r="L525" t="str">
            <v>D</v>
          </cell>
          <cell r="M525" t="str">
            <v>09000221</v>
          </cell>
          <cell r="N525">
            <v>100</v>
          </cell>
          <cell r="P525" t="str">
            <v>Haji Kot Kala Road Shahdara Lahore</v>
          </cell>
          <cell r="Q525" t="str">
            <v>11000003</v>
          </cell>
          <cell r="R525" t="str">
            <v>PRINCE PEARL</v>
          </cell>
          <cell r="S525" t="str">
            <v>2020</v>
          </cell>
          <cell r="T525" t="str">
            <v>AKV-866</v>
          </cell>
          <cell r="U525" t="str">
            <v>7607226W</v>
          </cell>
          <cell r="V525" t="str">
            <v>2010213</v>
          </cell>
          <cell r="W525" t="str">
            <v>28-jan-2029</v>
          </cell>
          <cell r="Y525">
            <v>900000</v>
          </cell>
          <cell r="Z525">
            <v>15517</v>
          </cell>
          <cell r="AA525">
            <v>18000</v>
          </cell>
        </row>
        <row r="526">
          <cell r="B526" t="str">
            <v>KHI/HO/D/MO/PC COMP/C/103764/15/12/2024</v>
          </cell>
          <cell r="D526" t="str">
            <v>REN</v>
          </cell>
          <cell r="E526" t="str">
            <v>18/12/24</v>
          </cell>
          <cell r="F526" t="str">
            <v>27/12/2024</v>
          </cell>
          <cell r="G526" t="str">
            <v>26/12/2025</v>
          </cell>
          <cell r="H526" t="str">
            <v>08004499</v>
          </cell>
          <cell r="I526" t="str">
            <v>AL BARAKA BANK (PAKISTAN) LIMITED</v>
          </cell>
          <cell r="J526" t="str">
            <v>BANK</v>
          </cell>
          <cell r="K526" t="str">
            <v>M/s. Al Baraka Bank (Pakistan) Limited 
M/S. Al Baraka Bank (Pakistan) Limited 
User: Ayaz  Ahmed</v>
          </cell>
          <cell r="L526" t="str">
            <v>D</v>
          </cell>
          <cell r="M526" t="str">
            <v>09000221</v>
          </cell>
          <cell r="N526">
            <v>100</v>
          </cell>
          <cell r="P526" t="str">
            <v>H # L-16 Sector L-1 Block R-8 Street 1 Surjani North Karachi Karachi</v>
          </cell>
          <cell r="Q526" t="str">
            <v>11000003</v>
          </cell>
          <cell r="R526" t="str">
            <v>HONDA CIVIC VTI  ORIEL PT</v>
          </cell>
          <cell r="S526" t="str">
            <v>2017</v>
          </cell>
          <cell r="T526" t="str">
            <v>BJD-597</v>
          </cell>
          <cell r="U526" t="str">
            <v>12911889</v>
          </cell>
          <cell r="V526" t="str">
            <v>015036</v>
          </cell>
          <cell r="W526" t="str">
            <v>29-jan-2029</v>
          </cell>
          <cell r="Y526">
            <v>3780000</v>
          </cell>
          <cell r="Z526">
            <v>48879</v>
          </cell>
          <cell r="AA526">
            <v>56700</v>
          </cell>
        </row>
        <row r="527">
          <cell r="B527" t="str">
            <v>KHI/HO/D/MO/PC COMP/C/103764/16/12/2024</v>
          </cell>
          <cell r="D527" t="str">
            <v>REN</v>
          </cell>
          <cell r="E527" t="str">
            <v>18/12/24</v>
          </cell>
          <cell r="F527" t="str">
            <v>27/12/2024</v>
          </cell>
          <cell r="G527" t="str">
            <v>26/12/2025</v>
          </cell>
          <cell r="H527" t="str">
            <v>08004499</v>
          </cell>
          <cell r="I527" t="str">
            <v>AL BARAKA BANK (PAKISTAN) LIMITED</v>
          </cell>
          <cell r="J527" t="str">
            <v>BANK</v>
          </cell>
          <cell r="K527" t="str">
            <v>M/s. Al Baraka Bank (Pakistan) Limited 
M/S. Al Baraka Bank (Pakistan) Limited 
User: Shakeel  Shoukat</v>
          </cell>
          <cell r="L527" t="str">
            <v>D</v>
          </cell>
          <cell r="M527" t="str">
            <v>09000221</v>
          </cell>
          <cell r="N527">
            <v>100</v>
          </cell>
          <cell r="P527" t="str">
            <v>H # 161 Mohallah New Nazimabad Faisalabad</v>
          </cell>
          <cell r="Q527" t="str">
            <v>11000003</v>
          </cell>
          <cell r="R527" t="str">
            <v>SUZUKI ALTO VXR E-2</v>
          </cell>
          <cell r="S527" t="str">
            <v>2023</v>
          </cell>
          <cell r="T527" t="str">
            <v>ARM-161</v>
          </cell>
          <cell r="U527" t="str">
            <v>6R291379</v>
          </cell>
          <cell r="V527" t="str">
            <v>NF1AET306H1191470</v>
          </cell>
          <cell r="W527" t="str">
            <v>30-jan-2029</v>
          </cell>
          <cell r="Y527">
            <v>2350800</v>
          </cell>
          <cell r="Z527">
            <v>40531</v>
          </cell>
          <cell r="AA527">
            <v>47016</v>
          </cell>
        </row>
        <row r="528">
          <cell r="B528" t="str">
            <v>KHI/HO/D/MO/PC COMP/C/103764/17/12/2024</v>
          </cell>
          <cell r="D528" t="str">
            <v>REN</v>
          </cell>
          <cell r="E528" t="str">
            <v>18/12/24</v>
          </cell>
          <cell r="F528" t="str">
            <v>28/12/2024</v>
          </cell>
          <cell r="G528" t="str">
            <v>27/12/2025</v>
          </cell>
          <cell r="H528" t="str">
            <v>08004499</v>
          </cell>
          <cell r="I528" t="str">
            <v>AL BARAKA BANK (PAKISTAN) LIMITED</v>
          </cell>
          <cell r="J528" t="str">
            <v>BANK</v>
          </cell>
          <cell r="K528" t="str">
            <v>M/s. Al Baraka Bank (Pakistan) Limited 
M/S. Al Baraka Bank (Pakistan) Limited 
User: Ahsan  Mohyuddin</v>
          </cell>
          <cell r="L528" t="str">
            <v>D</v>
          </cell>
          <cell r="M528" t="str">
            <v>09000221</v>
          </cell>
          <cell r="N528">
            <v>100</v>
          </cell>
          <cell r="P528" t="str">
            <v>H No 4 St 15 Mian Mir Upper Mall Scheme Lahore</v>
          </cell>
          <cell r="Q528" t="str">
            <v>11000003</v>
          </cell>
          <cell r="R528" t="str">
            <v>TOYOTA COROLLA GLI 1.3 A/</v>
          </cell>
          <cell r="S528" t="str">
            <v>2017</v>
          </cell>
          <cell r="T528" t="str">
            <v>LEE-17-4841</v>
          </cell>
          <cell r="U528" t="str">
            <v>Z494207</v>
          </cell>
          <cell r="V528" t="str">
            <v>R4119156</v>
          </cell>
          <cell r="W528" t="str">
            <v>31-jan-2029</v>
          </cell>
          <cell r="Y528">
            <v>3330000</v>
          </cell>
          <cell r="Z528">
            <v>43060</v>
          </cell>
          <cell r="AA528">
            <v>49950</v>
          </cell>
        </row>
        <row r="529">
          <cell r="B529" t="str">
            <v>KHI/HO/D/MO/PC COMP/C/103764/18/12/2024</v>
          </cell>
          <cell r="D529" t="str">
            <v>REN</v>
          </cell>
          <cell r="E529" t="str">
            <v>18/12/24</v>
          </cell>
          <cell r="F529" t="str">
            <v>28/12/2024</v>
          </cell>
          <cell r="G529" t="str">
            <v>27/12/2025</v>
          </cell>
          <cell r="H529" t="str">
            <v>08004499</v>
          </cell>
          <cell r="I529" t="str">
            <v>AL BARAKA BANK (PAKISTAN) LIMITED</v>
          </cell>
          <cell r="J529" t="str">
            <v>BANK</v>
          </cell>
          <cell r="K529" t="str">
            <v>M/s. Al Baraka Bank (Pakistan) Limited 
M/S. Al Baraka Bank (Pakistan) Limited 
User: Zainal  Abdin</v>
          </cell>
          <cell r="L529" t="str">
            <v>D</v>
          </cell>
          <cell r="M529" t="str">
            <v>09000221</v>
          </cell>
          <cell r="N529">
            <v>100</v>
          </cell>
          <cell r="P529" t="str">
            <v>H # B-76 Shamim Manzil New Rizvia Society Scheme 33 Karachi</v>
          </cell>
          <cell r="Q529" t="str">
            <v>11000003</v>
          </cell>
          <cell r="R529" t="str">
            <v>TOYOTA COROLLA ALTIS VVT-</v>
          </cell>
          <cell r="S529" t="str">
            <v>2021</v>
          </cell>
          <cell r="T529" t="str">
            <v>BVN-303</v>
          </cell>
          <cell r="U529" t="str">
            <v>Q086351</v>
          </cell>
          <cell r="V529" t="str">
            <v>6063832</v>
          </cell>
          <cell r="W529" t="str">
            <v>01-feb-2029</v>
          </cell>
          <cell r="Y529">
            <v>5220000</v>
          </cell>
          <cell r="Z529">
            <v>67500</v>
          </cell>
          <cell r="AA529">
            <v>78300</v>
          </cell>
        </row>
        <row r="530">
          <cell r="B530" t="str">
            <v>KHI/HO/D/MO/PC COMP/C/103764/19/12/2024</v>
          </cell>
          <cell r="D530" t="str">
            <v>REN</v>
          </cell>
          <cell r="E530" t="str">
            <v>18/12/24</v>
          </cell>
          <cell r="F530" t="str">
            <v>07/12/2024</v>
          </cell>
          <cell r="G530" t="str">
            <v>06/12/2025</v>
          </cell>
          <cell r="H530" t="str">
            <v>08004499</v>
          </cell>
          <cell r="I530" t="str">
            <v>AL BARAKA BANK (PAKISTAN) LIMITED</v>
          </cell>
          <cell r="J530" t="str">
            <v>BANK</v>
          </cell>
          <cell r="K530" t="str">
            <v>M/s. Al Baraka Bank (Pakistan) Limited 
M/S. Al Baraka Bank (Pakistan) Limited 
User: Rashid  Khan</v>
          </cell>
          <cell r="L530" t="str">
            <v>D</v>
          </cell>
          <cell r="M530" t="str">
            <v>09000221</v>
          </cell>
          <cell r="N530">
            <v>100</v>
          </cell>
          <cell r="P530" t="str">
            <v>H No 5 Block K Mohalla Canal Gardens Nr Bahria Town Lahore</v>
          </cell>
          <cell r="Q530" t="str">
            <v>11000003</v>
          </cell>
          <cell r="R530" t="str">
            <v>HONDA CIVIC</v>
          </cell>
          <cell r="S530" t="str">
            <v>2019</v>
          </cell>
          <cell r="T530" t="str">
            <v>LEB-19-6108</v>
          </cell>
          <cell r="U530" t="str">
            <v>12947355</v>
          </cell>
          <cell r="V530" t="str">
            <v>050786</v>
          </cell>
          <cell r="W530" t="str">
            <v>02-feb-2029</v>
          </cell>
          <cell r="Y530">
            <v>4950000</v>
          </cell>
          <cell r="Z530">
            <v>64009</v>
          </cell>
          <cell r="AA530">
            <v>74250</v>
          </cell>
        </row>
        <row r="531">
          <cell r="B531" t="str">
            <v>KHI/HO/D/MO/PC COMP/C/103764/20/12/2024</v>
          </cell>
          <cell r="D531" t="str">
            <v>REN</v>
          </cell>
          <cell r="E531" t="str">
            <v>18/12/24</v>
          </cell>
          <cell r="F531" t="str">
            <v>28/12/2024</v>
          </cell>
          <cell r="G531" t="str">
            <v>27/12/2025</v>
          </cell>
          <cell r="H531" t="str">
            <v>08004499</v>
          </cell>
          <cell r="I531" t="str">
            <v>AL BARAKA BANK (PAKISTAN) LIMITED</v>
          </cell>
          <cell r="J531" t="str">
            <v>BANK</v>
          </cell>
          <cell r="K531" t="str">
            <v>M/s. Al Baraka Bank (Pakistan) Limited 
M/S. Al Baraka Bank (Pakistan) Limited 
User: Muhammad Hamza Tanveer</v>
          </cell>
          <cell r="L531" t="str">
            <v>D</v>
          </cell>
          <cell r="M531" t="str">
            <v>09000221</v>
          </cell>
          <cell r="N531">
            <v>100</v>
          </cell>
          <cell r="P531" t="str">
            <v>H No 245 A Hope Road Lahore</v>
          </cell>
          <cell r="Q531" t="str">
            <v>11000003</v>
          </cell>
          <cell r="R531" t="str">
            <v>TOYOTA COROLLA GRANDE</v>
          </cell>
          <cell r="S531" t="str">
            <v>2017</v>
          </cell>
          <cell r="T531" t="str">
            <v>LED-17-7781</v>
          </cell>
          <cell r="U531" t="str">
            <v>Q322888</v>
          </cell>
          <cell r="V531" t="str">
            <v>R7021967</v>
          </cell>
          <cell r="W531" t="str">
            <v>03-feb-2029</v>
          </cell>
          <cell r="Y531">
            <v>3690000</v>
          </cell>
          <cell r="Z531">
            <v>47716</v>
          </cell>
          <cell r="AA531">
            <v>55350</v>
          </cell>
        </row>
        <row r="532">
          <cell r="B532" t="str">
            <v>KHI/HO/D/MO/PC COMP/C/103764/21/12/2024</v>
          </cell>
          <cell r="D532" t="str">
            <v>REN</v>
          </cell>
          <cell r="E532" t="str">
            <v>18/12/24</v>
          </cell>
          <cell r="F532" t="str">
            <v>29/12/2024</v>
          </cell>
          <cell r="G532" t="str">
            <v>28/12/2025</v>
          </cell>
          <cell r="H532" t="str">
            <v>08004499</v>
          </cell>
          <cell r="I532" t="str">
            <v>AL BARAKA BANK (PAKISTAN) LIMITED</v>
          </cell>
          <cell r="J532" t="str">
            <v>BANK</v>
          </cell>
          <cell r="K532" t="str">
            <v>M/s. Al Baraka Bank (Pakistan) Limited 
M/S. Al Baraka Bank (Pakistan) Limited 
User: Shahzad  Akhtar</v>
          </cell>
          <cell r="L532" t="str">
            <v>D</v>
          </cell>
          <cell r="M532" t="str">
            <v>09000221</v>
          </cell>
          <cell r="N532">
            <v>100</v>
          </cell>
          <cell r="P532" t="str">
            <v>H # P-581 Street 9 Mohallah Rasool Nagar Faisalabad</v>
          </cell>
          <cell r="Q532" t="str">
            <v>11000003</v>
          </cell>
          <cell r="R532" t="str">
            <v>SUZUKI ALTO VXR E-2</v>
          </cell>
          <cell r="S532" t="str">
            <v>2021</v>
          </cell>
          <cell r="T532" t="str">
            <v>ADX-243</v>
          </cell>
          <cell r="U532" t="str">
            <v>6R172833</v>
          </cell>
          <cell r="V532" t="str">
            <v>NF1AET306H1072824</v>
          </cell>
          <cell r="W532" t="str">
            <v>04-feb-2029</v>
          </cell>
          <cell r="Y532">
            <v>2047500</v>
          </cell>
          <cell r="Z532">
            <v>35302</v>
          </cell>
          <cell r="AA532">
            <v>40950</v>
          </cell>
        </row>
        <row r="533">
          <cell r="B533" t="str">
            <v>KHI/HO/D/MO/PC COMP/C/103764/22/12/2024</v>
          </cell>
          <cell r="D533" t="str">
            <v>REN</v>
          </cell>
          <cell r="E533" t="str">
            <v>18/12/24</v>
          </cell>
          <cell r="F533" t="str">
            <v>29/12/2024</v>
          </cell>
          <cell r="G533" t="str">
            <v>28/12/2025</v>
          </cell>
          <cell r="H533" t="str">
            <v>08004499</v>
          </cell>
          <cell r="I533" t="str">
            <v>AL BARAKA BANK (PAKISTAN) LIMITED</v>
          </cell>
          <cell r="J533" t="str">
            <v>BANK</v>
          </cell>
          <cell r="K533" t="str">
            <v>M/s. Al Baraka Bank (Pakistan) Limited 
M/S. Al Baraka Bank (Pakistan) Limited 
User: Muhammad  Kamran</v>
          </cell>
          <cell r="L533" t="str">
            <v>D</v>
          </cell>
          <cell r="M533" t="str">
            <v>09000221</v>
          </cell>
          <cell r="N533">
            <v>100</v>
          </cell>
          <cell r="P533" t="str">
            <v>P-78 St E Z Block Madina Town Faisalabad</v>
          </cell>
          <cell r="Q533" t="str">
            <v>11000003</v>
          </cell>
          <cell r="R533" t="str">
            <v>SUZUKI WAGON-R</v>
          </cell>
          <cell r="S533" t="str">
            <v>2018</v>
          </cell>
          <cell r="T533" t="str">
            <v>AJK-213</v>
          </cell>
          <cell r="U533" t="str">
            <v>PK10B160775</v>
          </cell>
          <cell r="V533" t="str">
            <v>A1J310PK10060777</v>
          </cell>
          <cell r="W533" t="str">
            <v>05-feb-2029</v>
          </cell>
          <cell r="Y533">
            <v>1971000</v>
          </cell>
          <cell r="Z533">
            <v>33983</v>
          </cell>
          <cell r="AA533">
            <v>39420</v>
          </cell>
        </row>
        <row r="534">
          <cell r="B534" t="str">
            <v>KHI/HO/D/MO/PC COMP/C/103764/23/12/2024</v>
          </cell>
          <cell r="D534" t="str">
            <v>REN</v>
          </cell>
          <cell r="E534" t="str">
            <v>18/12/24</v>
          </cell>
          <cell r="F534" t="str">
            <v>29/12/2024</v>
          </cell>
          <cell r="G534" t="str">
            <v>28/12/2025</v>
          </cell>
          <cell r="H534" t="str">
            <v>08004499</v>
          </cell>
          <cell r="I534" t="str">
            <v>AL BARAKA BANK (PAKISTAN) LIMITED</v>
          </cell>
          <cell r="J534" t="str">
            <v>BANK</v>
          </cell>
          <cell r="K534" t="str">
            <v>M/s. Al Baraka Bank (Pakistan) Limited 
M/S. Al Baraka Bank (Pakistan) Limited 
User: Muhammad Abid Shahzad</v>
          </cell>
          <cell r="L534" t="str">
            <v>D</v>
          </cell>
          <cell r="M534" t="str">
            <v>09000221</v>
          </cell>
          <cell r="N534">
            <v>100</v>
          </cell>
          <cell r="P534" t="str">
            <v>H No 43 St 1 Tipu Sultan Block Sector F Bahria Town Lahore</v>
          </cell>
          <cell r="Q534" t="str">
            <v>11000003</v>
          </cell>
          <cell r="R534" t="str">
            <v>HONDA CIVIC VTI ORIEL U.G</v>
          </cell>
          <cell r="S534" t="str">
            <v>2019</v>
          </cell>
          <cell r="T534" t="str">
            <v>LEC-19-8200</v>
          </cell>
          <cell r="U534" t="str">
            <v>Z12949005</v>
          </cell>
          <cell r="V534" t="str">
            <v>R052498</v>
          </cell>
          <cell r="W534" t="str">
            <v>06-feb-2029</v>
          </cell>
          <cell r="Y534">
            <v>5175000</v>
          </cell>
          <cell r="Z534">
            <v>66918</v>
          </cell>
          <cell r="AA534">
            <v>77625</v>
          </cell>
        </row>
        <row r="535">
          <cell r="B535" t="str">
            <v>KHI/HO/D/MO/PC COMP/C/103764/24/12/2024</v>
          </cell>
          <cell r="D535" t="str">
            <v>REN</v>
          </cell>
          <cell r="E535" t="str">
            <v>18/12/24</v>
          </cell>
          <cell r="F535" t="str">
            <v>29/12/2024</v>
          </cell>
          <cell r="G535" t="str">
            <v>28/12/2025</v>
          </cell>
          <cell r="H535" t="str">
            <v>08004499</v>
          </cell>
          <cell r="I535" t="str">
            <v>AL BARAKA BANK (PAKISTAN) LIMITED</v>
          </cell>
          <cell r="J535" t="str">
            <v>BANK</v>
          </cell>
          <cell r="K535" t="str">
            <v>M/s. Al Baraka Bank (Pakistan) Limited 
M/S. Al Baraka Bank (Pakistan) Limited 
User: Feroz   Khan</v>
          </cell>
          <cell r="L535" t="str">
            <v>D</v>
          </cell>
          <cell r="M535" t="str">
            <v>09000221</v>
          </cell>
          <cell r="N535">
            <v>100</v>
          </cell>
          <cell r="P535" t="str">
            <v>H # 1089 1090 Sector F-1 Labour Colony Scheme 51 Kda Landhi Karachi</v>
          </cell>
          <cell r="Q535" t="str">
            <v>11000003</v>
          </cell>
          <cell r="R535" t="str">
            <v>SUZUKI ALTO VXR E-2</v>
          </cell>
          <cell r="S535" t="str">
            <v>2019</v>
          </cell>
          <cell r="T535" t="str">
            <v>BQU-580</v>
          </cell>
          <cell r="U535" t="str">
            <v>6R111247</v>
          </cell>
          <cell r="V535" t="str">
            <v>H1011005</v>
          </cell>
          <cell r="W535" t="str">
            <v>07-feb-2029</v>
          </cell>
          <cell r="Y535">
            <v>1710000</v>
          </cell>
          <cell r="Z535">
            <v>29483</v>
          </cell>
          <cell r="AA535">
            <v>34200</v>
          </cell>
        </row>
        <row r="536">
          <cell r="B536" t="str">
            <v>KHI/HO/D/MO/PC COMP/C/103764/25/12/2024</v>
          </cell>
          <cell r="D536" t="str">
            <v>REN</v>
          </cell>
          <cell r="E536" t="str">
            <v>18/12/24</v>
          </cell>
          <cell r="F536" t="str">
            <v>29/12/2024</v>
          </cell>
          <cell r="G536" t="str">
            <v>28/12/2025</v>
          </cell>
          <cell r="H536" t="str">
            <v>08004499</v>
          </cell>
          <cell r="I536" t="str">
            <v>AL BARAKA BANK (PAKISTAN) LIMITED</v>
          </cell>
          <cell r="J536" t="str">
            <v>BANK</v>
          </cell>
          <cell r="K536" t="str">
            <v>M/s. Al Baraka Bank (Pakistan) Limited 
M/S. Al Baraka Bank (Pakistan) Limited 
User: Effat  Pasha</v>
          </cell>
          <cell r="L536" t="str">
            <v>D</v>
          </cell>
          <cell r="M536" t="str">
            <v>09000221</v>
          </cell>
          <cell r="N536">
            <v>100</v>
          </cell>
          <cell r="P536" t="str">
            <v>H # 17 Moh Qasim Pur Colony Near Technology College Bhawalpur Road Multan</v>
          </cell>
          <cell r="Q536" t="str">
            <v>11000003</v>
          </cell>
          <cell r="R536" t="str">
            <v>SUZUKI ALTO VXR E-2</v>
          </cell>
          <cell r="S536" t="str">
            <v>2019</v>
          </cell>
          <cell r="T536" t="str">
            <v>LEH-19-3742</v>
          </cell>
          <cell r="U536" t="str">
            <v>6R106428</v>
          </cell>
          <cell r="V536" t="str">
            <v>1006434</v>
          </cell>
          <cell r="W536" t="str">
            <v>08-feb-2029</v>
          </cell>
          <cell r="Y536">
            <v>1800000</v>
          </cell>
          <cell r="Z536">
            <v>31035</v>
          </cell>
          <cell r="AA536">
            <v>36000</v>
          </cell>
        </row>
        <row r="537">
          <cell r="B537" t="str">
            <v>KHI/HO/D/MO/PC COMP/C/103764/26/12/2024</v>
          </cell>
          <cell r="D537" t="str">
            <v>REN</v>
          </cell>
          <cell r="E537" t="str">
            <v>18/12/24</v>
          </cell>
          <cell r="F537" t="str">
            <v>29/12/2024</v>
          </cell>
          <cell r="G537" t="str">
            <v>28/12/2025</v>
          </cell>
          <cell r="H537" t="str">
            <v>08004499</v>
          </cell>
          <cell r="I537" t="str">
            <v>AL BARAKA BANK (PAKISTAN) LIMITED</v>
          </cell>
          <cell r="J537" t="str">
            <v>BANK</v>
          </cell>
          <cell r="K537" t="str">
            <v>M/s. Al Baraka Bank (Pakistan) Limited 
M/S. Al Baraka Bank (Pakistan) Limited 
User: Sajid  Ali</v>
          </cell>
          <cell r="L537" t="str">
            <v>D</v>
          </cell>
          <cell r="M537" t="str">
            <v>09000221</v>
          </cell>
          <cell r="N537">
            <v>100</v>
          </cell>
          <cell r="P537" t="str">
            <v>H # 2243 - 44 Sector F-2 Labour Colony Landhi Karachi</v>
          </cell>
          <cell r="Q537" t="str">
            <v>11000003</v>
          </cell>
          <cell r="R537" t="str">
            <v>HONDA Civic CVT Oriel NAV</v>
          </cell>
          <cell r="S537" t="str">
            <v>2018</v>
          </cell>
          <cell r="T537" t="str">
            <v>BLW-611</v>
          </cell>
          <cell r="U537" t="str">
            <v>2928086</v>
          </cell>
          <cell r="V537" t="str">
            <v>031460</v>
          </cell>
          <cell r="W537" t="str">
            <v>09-feb-2029</v>
          </cell>
          <cell r="Y537">
            <v>3870000</v>
          </cell>
          <cell r="Z537">
            <v>50044</v>
          </cell>
          <cell r="AA537">
            <v>58050</v>
          </cell>
        </row>
        <row r="538">
          <cell r="B538" t="str">
            <v>KHI/HO/D/MO/PC COMP/C/103764/27/12/2024</v>
          </cell>
          <cell r="D538" t="str">
            <v>REN</v>
          </cell>
          <cell r="E538" t="str">
            <v>18/12/24</v>
          </cell>
          <cell r="F538" t="str">
            <v>29/12/2024</v>
          </cell>
          <cell r="G538" t="str">
            <v>28/12/2025</v>
          </cell>
          <cell r="H538" t="str">
            <v>08004499</v>
          </cell>
          <cell r="I538" t="str">
            <v>AL BARAKA BANK (PAKISTAN) LIMITED</v>
          </cell>
          <cell r="J538" t="str">
            <v>BANK</v>
          </cell>
          <cell r="K538" t="str">
            <v>M/s. Al Baraka Bank (Pakistan) Limited 
M/S. Al Baraka Bank (Pakistan) Limited 
User: Waqas  Ahmad</v>
          </cell>
          <cell r="L538" t="str">
            <v>D</v>
          </cell>
          <cell r="M538" t="str">
            <v>09000221</v>
          </cell>
          <cell r="N538">
            <v>100</v>
          </cell>
          <cell r="P538" t="str">
            <v>H # P-388 Motorway City Ghazi Ilam Din Shaheed Block Faisalabad</v>
          </cell>
          <cell r="Q538" t="str">
            <v>11000003</v>
          </cell>
          <cell r="R538" t="str">
            <v>SUZUKI CULTUS VXL EURO II</v>
          </cell>
          <cell r="S538" t="str">
            <v>2023</v>
          </cell>
          <cell r="T538" t="str">
            <v>AQP-627</v>
          </cell>
          <cell r="U538" t="str">
            <v>208458</v>
          </cell>
          <cell r="V538" t="str">
            <v>10108441</v>
          </cell>
          <cell r="W538" t="str">
            <v>10-feb-2029</v>
          </cell>
          <cell r="Y538">
            <v>3675600</v>
          </cell>
          <cell r="Z538">
            <v>47530</v>
          </cell>
          <cell r="AA538">
            <v>55134</v>
          </cell>
        </row>
        <row r="539">
          <cell r="B539" t="str">
            <v>KHI/HO/D/MO/PC COMP/C/103764/28/12/2024</v>
          </cell>
          <cell r="D539" t="str">
            <v>REN</v>
          </cell>
          <cell r="E539" t="str">
            <v>18/12/24</v>
          </cell>
          <cell r="F539" t="str">
            <v>08/12/2024</v>
          </cell>
          <cell r="G539" t="str">
            <v>07/12/2025</v>
          </cell>
          <cell r="H539" t="str">
            <v>08004499</v>
          </cell>
          <cell r="I539" t="str">
            <v>AL BARAKA BANK (PAKISTAN) LIMITED</v>
          </cell>
          <cell r="J539" t="str">
            <v>BANK</v>
          </cell>
          <cell r="K539" t="str">
            <v>M/s. Al Baraka Bank (Pakistan) Limited 
M/S. Al Baraka Bank (Pakistan) Limited 
User: Hamza  Khalid</v>
          </cell>
          <cell r="L539" t="str">
            <v>D</v>
          </cell>
          <cell r="M539" t="str">
            <v>09000221</v>
          </cell>
          <cell r="N539">
            <v>100</v>
          </cell>
          <cell r="P539" t="str">
            <v>Flat No 04 Top Floor Umer Plaza Near Fresco Sweet Blue Area Islamabad</v>
          </cell>
          <cell r="Q539" t="str">
            <v>11000003</v>
          </cell>
          <cell r="R539" t="str">
            <v>SUZUKI MEHRAN</v>
          </cell>
          <cell r="S539" t="str">
            <v>2017</v>
          </cell>
          <cell r="T539" t="str">
            <v>BHS-346</v>
          </cell>
          <cell r="U539" t="str">
            <v>672340</v>
          </cell>
          <cell r="V539" t="str">
            <v>01210842</v>
          </cell>
          <cell r="W539" t="str">
            <v>11-feb-2029</v>
          </cell>
          <cell r="Y539">
            <v>1080000</v>
          </cell>
          <cell r="Z539">
            <v>18621</v>
          </cell>
          <cell r="AA539">
            <v>21600</v>
          </cell>
        </row>
        <row r="540">
          <cell r="B540" t="str">
            <v>KHI/HO/D/MO/PC COMP/C/103764/29/12/2024</v>
          </cell>
          <cell r="D540" t="str">
            <v>REN</v>
          </cell>
          <cell r="E540" t="str">
            <v>18/12/24</v>
          </cell>
          <cell r="F540" t="str">
            <v>11/12/2024</v>
          </cell>
          <cell r="G540" t="str">
            <v>10/12/2025</v>
          </cell>
          <cell r="H540" t="str">
            <v>08004499</v>
          </cell>
          <cell r="I540" t="str">
            <v>AL BARAKA BANK (PAKISTAN) LIMITED</v>
          </cell>
          <cell r="J540" t="str">
            <v>BANK</v>
          </cell>
          <cell r="K540" t="str">
            <v>M/s. Al Baraka Bank (Pakistan) Limited 
M/S. Al Baraka Bank (Pakistan) Limited 
User: Muhammad Tayyab Lakhvi</v>
          </cell>
          <cell r="L540" t="str">
            <v>D</v>
          </cell>
          <cell r="M540" t="str">
            <v>09000221</v>
          </cell>
          <cell r="N540">
            <v>100</v>
          </cell>
          <cell r="P540" t="str">
            <v>Main Road Mohallah Green City Phasse 2 Deepalpur</v>
          </cell>
          <cell r="Q540" t="str">
            <v>11000003</v>
          </cell>
          <cell r="R540" t="str">
            <v>SUZUKI WAGON-R VXL E2</v>
          </cell>
          <cell r="S540" t="str">
            <v>2019</v>
          </cell>
          <cell r="T540" t="str">
            <v>LEF-19-8890</v>
          </cell>
          <cell r="U540" t="str">
            <v>PK10B197443</v>
          </cell>
          <cell r="V540" t="str">
            <v>PK10097547</v>
          </cell>
          <cell r="W540" t="str">
            <v>12-feb-2029</v>
          </cell>
          <cell r="Y540">
            <v>2137500</v>
          </cell>
          <cell r="Z540">
            <v>36853</v>
          </cell>
          <cell r="AA540">
            <v>42750</v>
          </cell>
        </row>
        <row r="541">
          <cell r="B541" t="str">
            <v>KHI/HO/D/MO/PC COMP/C/103764/30/12/2024</v>
          </cell>
          <cell r="D541" t="str">
            <v>REN</v>
          </cell>
          <cell r="E541" t="str">
            <v>18/12/24</v>
          </cell>
          <cell r="F541" t="str">
            <v>11/12/2024</v>
          </cell>
          <cell r="G541" t="str">
            <v>10/12/2025</v>
          </cell>
          <cell r="H541" t="str">
            <v>08004499</v>
          </cell>
          <cell r="I541" t="str">
            <v>AL BARAKA BANK (PAKISTAN) LIMITED</v>
          </cell>
          <cell r="J541" t="str">
            <v>BANK</v>
          </cell>
          <cell r="K541" t="str">
            <v>M/s. Al Baraka Bank (Pakistan) Limited 
M/S. Al Baraka Bank (Pakistan) Limited 
User: Naveed   Nisar</v>
          </cell>
          <cell r="L541" t="str">
            <v>D</v>
          </cell>
          <cell r="M541" t="str">
            <v>09000221</v>
          </cell>
          <cell r="N541">
            <v>100</v>
          </cell>
          <cell r="P541" t="str">
            <v>Dera Chahal Dakhana Karbath Dera Chamal Near Iftikhar Karyana Store Lahore Cantt</v>
          </cell>
          <cell r="Q541" t="str">
            <v>11000003</v>
          </cell>
          <cell r="R541" t="str">
            <v>SUZUKI ALTO VXR</v>
          </cell>
          <cell r="S541" t="str">
            <v>2019</v>
          </cell>
          <cell r="T541" t="str">
            <v>APW-427</v>
          </cell>
          <cell r="U541" t="str">
            <v>R118700</v>
          </cell>
          <cell r="V541" t="str">
            <v>H1018668</v>
          </cell>
          <cell r="W541" t="str">
            <v>13-feb-2029</v>
          </cell>
          <cell r="Y541">
            <v>1890000</v>
          </cell>
          <cell r="Z541">
            <v>32586</v>
          </cell>
          <cell r="AA541">
            <v>37800</v>
          </cell>
        </row>
        <row r="542">
          <cell r="B542" t="str">
            <v>KHI/HO/D/MO/PC COMP/C/103764/31/12/2024</v>
          </cell>
          <cell r="D542" t="str">
            <v>REN</v>
          </cell>
          <cell r="E542" t="str">
            <v>18/12/24</v>
          </cell>
          <cell r="F542" t="str">
            <v>11/12/2024</v>
          </cell>
          <cell r="G542" t="str">
            <v>10/12/2025</v>
          </cell>
          <cell r="H542" t="str">
            <v>08004499</v>
          </cell>
          <cell r="I542" t="str">
            <v>AL BARAKA BANK (PAKISTAN) LIMITED</v>
          </cell>
          <cell r="J542" t="str">
            <v>BANK</v>
          </cell>
          <cell r="K542" t="str">
            <v>M/s. Al Baraka Bank (Pakistan) Limited 
M/S. Al Baraka Bank (Pakistan) Limited 
User: Usman  Sohail</v>
          </cell>
          <cell r="L542" t="str">
            <v>D</v>
          </cell>
          <cell r="M542" t="str">
            <v>09000221</v>
          </cell>
          <cell r="N542">
            <v>100</v>
          </cell>
          <cell r="P542" t="str">
            <v>H No Cb 1085 Ibrar Shaheed Street Afshan Colony Dhok Chaudrian Rawalpindi</v>
          </cell>
          <cell r="Q542" t="str">
            <v>11000003</v>
          </cell>
          <cell r="R542" t="str">
            <v>SUZUKI ALTO VXL</v>
          </cell>
          <cell r="S542" t="str">
            <v>2021</v>
          </cell>
          <cell r="T542" t="str">
            <v>AST-346</v>
          </cell>
          <cell r="U542" t="str">
            <v>149424</v>
          </cell>
          <cell r="V542" t="str">
            <v>1049426</v>
          </cell>
          <cell r="W542" t="str">
            <v>14-feb-2029</v>
          </cell>
          <cell r="Y542">
            <v>2430000</v>
          </cell>
          <cell r="Z542">
            <v>41897</v>
          </cell>
          <cell r="AA542">
            <v>48600</v>
          </cell>
        </row>
        <row r="543">
          <cell r="B543" t="str">
            <v>KHI/HO/D/MO/PC COMP/C/103764/32/12/2024</v>
          </cell>
          <cell r="D543" t="str">
            <v>REN</v>
          </cell>
          <cell r="E543" t="str">
            <v>18/12/24</v>
          </cell>
          <cell r="F543" t="str">
            <v>11/12/2024</v>
          </cell>
          <cell r="G543" t="str">
            <v>10/12/2025</v>
          </cell>
          <cell r="H543" t="str">
            <v>08004499</v>
          </cell>
          <cell r="I543" t="str">
            <v>AL BARAKA BANK (PAKISTAN) LIMITED</v>
          </cell>
          <cell r="J543" t="str">
            <v>BANK</v>
          </cell>
          <cell r="K543" t="str">
            <v>M/s. Al Baraka Bank (Pakistan) Limited 
M/S. Al Baraka Bank (Pakistan) Limited 
User: Muhammad Ashraf Bhutta</v>
          </cell>
          <cell r="L543" t="str">
            <v>D</v>
          </cell>
          <cell r="M543" t="str">
            <v>09000221</v>
          </cell>
          <cell r="N543">
            <v>100</v>
          </cell>
          <cell r="P543" t="str">
            <v>H No 13 A Abpara Housing Society Raiwind Road Lahore</v>
          </cell>
          <cell r="Q543" t="str">
            <v>11000003</v>
          </cell>
          <cell r="R543" t="str">
            <v>CHANGAN KARVAAN PLUS</v>
          </cell>
          <cell r="S543" t="str">
            <v>2022</v>
          </cell>
          <cell r="T543" t="str">
            <v>ANF-953</v>
          </cell>
          <cell r="U543" t="str">
            <v>503257</v>
          </cell>
          <cell r="V543" t="str">
            <v>1015662</v>
          </cell>
          <cell r="W543" t="str">
            <v>15-feb-2029</v>
          </cell>
          <cell r="Y543">
            <v>2250000</v>
          </cell>
          <cell r="Z543">
            <v>38793</v>
          </cell>
          <cell r="AA543">
            <v>45000</v>
          </cell>
        </row>
        <row r="544">
          <cell r="B544" t="str">
            <v>KHI/HO/D/MO/PC COMP/C/103764/33/12/2024</v>
          </cell>
          <cell r="D544" t="str">
            <v>REN</v>
          </cell>
          <cell r="E544" t="str">
            <v>18/12/24</v>
          </cell>
          <cell r="F544" t="str">
            <v>11/12/2024</v>
          </cell>
          <cell r="G544" t="str">
            <v>10/12/2025</v>
          </cell>
          <cell r="H544" t="str">
            <v>08004499</v>
          </cell>
          <cell r="I544" t="str">
            <v>AL BARAKA BANK (PAKISTAN) LIMITED</v>
          </cell>
          <cell r="J544" t="str">
            <v>BANK</v>
          </cell>
          <cell r="K544" t="str">
            <v>M/s. Al Baraka Bank (Pakistan) Limited 
M/S. Al Baraka Bank (Pakistan) Limited 
User: Muhammad  Bilal</v>
          </cell>
          <cell r="L544" t="str">
            <v>D</v>
          </cell>
          <cell r="M544" t="str">
            <v>09000221</v>
          </cell>
          <cell r="N544">
            <v>100</v>
          </cell>
          <cell r="P544" t="str">
            <v>H No 730 Block F Gulshan E Ravi Lahore</v>
          </cell>
          <cell r="Q544" t="str">
            <v>11000003</v>
          </cell>
          <cell r="R544" t="str">
            <v>SUZUKI ALTO</v>
          </cell>
          <cell r="S544" t="str">
            <v>2020</v>
          </cell>
          <cell r="T544" t="str">
            <v>ADB-390</v>
          </cell>
          <cell r="U544" t="str">
            <v>6R148460</v>
          </cell>
          <cell r="V544" t="str">
            <v>H1048471</v>
          </cell>
          <cell r="W544" t="str">
            <v>16-feb-2029</v>
          </cell>
          <cell r="Y544">
            <v>1800000</v>
          </cell>
          <cell r="Z544">
            <v>31035</v>
          </cell>
          <cell r="AA544">
            <v>36000</v>
          </cell>
        </row>
        <row r="545">
          <cell r="B545" t="str">
            <v>KHI/HO/D/MO/PC COMP/C/103764/34/12/2024</v>
          </cell>
          <cell r="D545" t="str">
            <v>REN</v>
          </cell>
          <cell r="E545" t="str">
            <v>18/12/24</v>
          </cell>
          <cell r="F545" t="str">
            <v>02/12/2024</v>
          </cell>
          <cell r="G545" t="str">
            <v>01/12/2025</v>
          </cell>
          <cell r="H545" t="str">
            <v>08004499</v>
          </cell>
          <cell r="I545" t="str">
            <v>AL BARAKA BANK (PAKISTAN) LIMITED</v>
          </cell>
          <cell r="J545" t="str">
            <v>BANK</v>
          </cell>
          <cell r="K545" t="str">
            <v>M/s. Al Baraka Bank (Pakistan) Limited 
M/S. Al Baraka Bank (Pakistan) Limited 
User: Gulzar  Ali</v>
          </cell>
          <cell r="L545" t="str">
            <v>D</v>
          </cell>
          <cell r="M545" t="str">
            <v>09000221</v>
          </cell>
          <cell r="N545">
            <v>100</v>
          </cell>
          <cell r="P545" t="str">
            <v>H No C-315 Gulshan Faisal Township Bin Qasim Karachi</v>
          </cell>
          <cell r="Q545" t="str">
            <v>11000003</v>
          </cell>
          <cell r="R545" t="str">
            <v>SUZUKI ALTO</v>
          </cell>
          <cell r="S545" t="str">
            <v>2022</v>
          </cell>
          <cell r="T545" t="str">
            <v>BXZ-355</v>
          </cell>
          <cell r="U545" t="str">
            <v>R 261796</v>
          </cell>
          <cell r="V545" t="str">
            <v>1161803</v>
          </cell>
          <cell r="W545" t="str">
            <v>17-feb-2029</v>
          </cell>
          <cell r="Y545">
            <v>1658350</v>
          </cell>
          <cell r="Z545">
            <v>35741</v>
          </cell>
          <cell r="AA545">
            <v>41459</v>
          </cell>
        </row>
        <row r="546">
          <cell r="B546" t="str">
            <v>KHI/HO/D/MO/PC COMP/C/103764/35/12/2024</v>
          </cell>
          <cell r="D546" t="str">
            <v>REN</v>
          </cell>
          <cell r="E546" t="str">
            <v>18/12/24</v>
          </cell>
          <cell r="F546" t="str">
            <v>06/12/2024</v>
          </cell>
          <cell r="G546" t="str">
            <v>05/12/2025</v>
          </cell>
          <cell r="H546" t="str">
            <v>08004499</v>
          </cell>
          <cell r="I546" t="str">
            <v>AL BARAKA BANK (PAKISTAN) LIMITED</v>
          </cell>
          <cell r="J546" t="str">
            <v>BANK</v>
          </cell>
          <cell r="K546" t="str">
            <v>M/s. Al Baraka Bank (Pakistan) Limited 
M/S. Al Baraka Bank (Pakistan) Limited 
User: Shazar   Ahmad</v>
          </cell>
          <cell r="L546" t="str">
            <v>D</v>
          </cell>
          <cell r="M546" t="str">
            <v>09000221</v>
          </cell>
          <cell r="N546">
            <v>100</v>
          </cell>
          <cell r="P546" t="str">
            <v>H No 127 B Block D Near Fatima Mosque P C S I R Society Lahore</v>
          </cell>
          <cell r="Q546" t="str">
            <v>11000003</v>
          </cell>
          <cell r="R546" t="str">
            <v>TOYOTA COROLLA ALTIS  1.6</v>
          </cell>
          <cell r="S546" t="str">
            <v>2021</v>
          </cell>
          <cell r="T546" t="str">
            <v>AXX 165</v>
          </cell>
          <cell r="U546" t="str">
            <v>Q082489</v>
          </cell>
          <cell r="V546" t="str">
            <v>6059953</v>
          </cell>
          <cell r="W546" t="str">
            <v>18-feb-2029</v>
          </cell>
          <cell r="Y546">
            <v>3341350</v>
          </cell>
          <cell r="Z546">
            <v>43207</v>
          </cell>
          <cell r="AA546">
            <v>50120</v>
          </cell>
        </row>
        <row r="547">
          <cell r="B547" t="str">
            <v>KHI/HO/D/MO/PC COMP/C/103764/36/12/2024</v>
          </cell>
          <cell r="D547" t="str">
            <v>REN</v>
          </cell>
          <cell r="E547" t="str">
            <v>18/12/24</v>
          </cell>
          <cell r="F547" t="str">
            <v>09/12/2024</v>
          </cell>
          <cell r="G547" t="str">
            <v>08/12/2025</v>
          </cell>
          <cell r="H547" t="str">
            <v>08004499</v>
          </cell>
          <cell r="I547" t="str">
            <v>AL BARAKA BANK (PAKISTAN) LIMITED</v>
          </cell>
          <cell r="J547" t="str">
            <v>BANK</v>
          </cell>
          <cell r="K547" t="str">
            <v>M/s. Al Baraka Bank (Pakistan) Limited 
M/S. Al Baraka Bank (Pakistan) Limited 
User: Ayesha  Atif</v>
          </cell>
          <cell r="L547" t="str">
            <v>D</v>
          </cell>
          <cell r="M547" t="str">
            <v>09000221</v>
          </cell>
          <cell r="N547">
            <v>100</v>
          </cell>
          <cell r="P547" t="str">
            <v>Near Dsp Office H No 01 Office R Colony Khanpur</v>
          </cell>
          <cell r="Q547" t="str">
            <v>11000003</v>
          </cell>
          <cell r="R547" t="str">
            <v>TOYOTA COROLLA ALTIS GRAN</v>
          </cell>
          <cell r="S547" t="str">
            <v>2022</v>
          </cell>
          <cell r="T547" t="str">
            <v>AYM-268</v>
          </cell>
          <cell r="U547" t="str">
            <v>Q364124</v>
          </cell>
          <cell r="V547" t="str">
            <v>7063301</v>
          </cell>
          <cell r="W547" t="str">
            <v>19-feb-2029</v>
          </cell>
          <cell r="Y547">
            <v>4068431.5</v>
          </cell>
          <cell r="Z547">
            <v>52609</v>
          </cell>
          <cell r="AA547">
            <v>61026</v>
          </cell>
        </row>
        <row r="548">
          <cell r="B548" t="str">
            <v>KHI/HO/D/MO/PC COMP/C/103764/37/12/2024</v>
          </cell>
          <cell r="D548" t="str">
            <v>REN</v>
          </cell>
          <cell r="E548" t="str">
            <v>18/12/24</v>
          </cell>
          <cell r="F548" t="str">
            <v>09/12/2024</v>
          </cell>
          <cell r="G548" t="str">
            <v>08/12/2025</v>
          </cell>
          <cell r="H548" t="str">
            <v>08004499</v>
          </cell>
          <cell r="I548" t="str">
            <v>AL BARAKA BANK (PAKISTAN) LIMITED</v>
          </cell>
          <cell r="J548" t="str">
            <v>BANK</v>
          </cell>
          <cell r="K548" t="str">
            <v>M/s. Al Baraka Bank (Pakistan) Limited 
M/S. Al Baraka Bank (Pakistan) Limited 
User: Ilyas  Qureshi</v>
          </cell>
          <cell r="L548" t="str">
            <v>D</v>
          </cell>
          <cell r="M548" t="str">
            <v>09000221</v>
          </cell>
          <cell r="N548">
            <v>100</v>
          </cell>
          <cell r="P548" t="str">
            <v>H No D-5 St No 04 Abu Zar Ghaffar Colony Orangi Town Karachi</v>
          </cell>
          <cell r="Q548" t="str">
            <v>11000003</v>
          </cell>
          <cell r="R548" t="str">
            <v>SUZUKI SWIFT A/T</v>
          </cell>
          <cell r="S548" t="str">
            <v>2018</v>
          </cell>
          <cell r="T548" t="str">
            <v>BNM-251</v>
          </cell>
          <cell r="U548" t="str">
            <v>13043111</v>
          </cell>
          <cell r="V548" t="str">
            <v>10043135</v>
          </cell>
          <cell r="W548" t="str">
            <v>20-feb-2029</v>
          </cell>
          <cell r="Y548">
            <v>1797750</v>
          </cell>
          <cell r="Z548">
            <v>30996</v>
          </cell>
          <cell r="AA548">
            <v>35955</v>
          </cell>
        </row>
        <row r="549">
          <cell r="B549" t="str">
            <v>KHI/HO/D/MO/PC COMP/C/103764/38/12/2024</v>
          </cell>
          <cell r="D549" t="str">
            <v>REN</v>
          </cell>
          <cell r="E549" t="str">
            <v>18/12/24</v>
          </cell>
          <cell r="F549" t="str">
            <v>09/12/2024</v>
          </cell>
          <cell r="G549" t="str">
            <v>08/12/2025</v>
          </cell>
          <cell r="H549" t="str">
            <v>08004499</v>
          </cell>
          <cell r="I549" t="str">
            <v>AL BARAKA BANK (PAKISTAN) LIMITED</v>
          </cell>
          <cell r="J549" t="str">
            <v>BANK</v>
          </cell>
          <cell r="K549" t="str">
            <v>M/s. Al Baraka Bank (Pakistan) Limited 
M/S. Al Baraka Bank (Pakistan) Limited 
User: Muhammad  Ali</v>
          </cell>
          <cell r="L549" t="str">
            <v>D</v>
          </cell>
          <cell r="M549" t="str">
            <v>09000221</v>
          </cell>
          <cell r="N549">
            <v>100</v>
          </cell>
          <cell r="P549" t="str">
            <v>H No 2 Block P Model Town Extension Lahore</v>
          </cell>
          <cell r="Q549" t="str">
            <v>11000003</v>
          </cell>
          <cell r="R549" t="str">
            <v>TOYOTA COROLLA ALTIS GRAN</v>
          </cell>
          <cell r="S549" t="str">
            <v>2022</v>
          </cell>
          <cell r="T549" t="str">
            <v>AMQ-810</v>
          </cell>
          <cell r="U549" t="str">
            <v>Q363721</v>
          </cell>
          <cell r="V549" t="str">
            <v>ZRE172R-7062912</v>
          </cell>
          <cell r="W549" t="str">
            <v>21-feb-2029</v>
          </cell>
          <cell r="Y549">
            <v>3866599</v>
          </cell>
          <cell r="Z549">
            <v>49999</v>
          </cell>
          <cell r="AA549">
            <v>57999</v>
          </cell>
        </row>
        <row r="550">
          <cell r="B550" t="str">
            <v>KHI/HO/D/MO/PC COMP/C/103764/39/12/2024</v>
          </cell>
          <cell r="D550" t="str">
            <v>REN</v>
          </cell>
          <cell r="E550" t="str">
            <v>18/12/24</v>
          </cell>
          <cell r="F550" t="str">
            <v>14/12/2024</v>
          </cell>
          <cell r="G550" t="str">
            <v>13/12/2025</v>
          </cell>
          <cell r="H550" t="str">
            <v>08004499</v>
          </cell>
          <cell r="I550" t="str">
            <v>AL BARAKA BANK (PAKISTAN) LIMITED</v>
          </cell>
          <cell r="J550" t="str">
            <v>BANK</v>
          </cell>
          <cell r="K550" t="str">
            <v>M/s. Al Baraka Bank (Pakistan) Limited 
M/S. Al Baraka Bank (Pakistan) Limited 
User: Ghulam   Abbas</v>
          </cell>
          <cell r="L550" t="str">
            <v>D</v>
          </cell>
          <cell r="M550" t="str">
            <v>09000221</v>
          </cell>
          <cell r="N550">
            <v>100</v>
          </cell>
          <cell r="P550" t="str">
            <v>Main Bazar Chung Mian Multan Road Lahore</v>
          </cell>
          <cell r="Q550" t="str">
            <v>11000003</v>
          </cell>
          <cell r="R550" t="str">
            <v>SUZUKI ALTO VXR E-2</v>
          </cell>
          <cell r="S550" t="str">
            <v>2022</v>
          </cell>
          <cell r="T550" t="str">
            <v>AMR-474</v>
          </cell>
          <cell r="U550" t="str">
            <v>263165</v>
          </cell>
          <cell r="V550" t="str">
            <v>1163142</v>
          </cell>
          <cell r="W550" t="str">
            <v>22-feb-2029</v>
          </cell>
          <cell r="Y550">
            <v>1473050</v>
          </cell>
          <cell r="Z550">
            <v>25397</v>
          </cell>
          <cell r="AA550">
            <v>29461</v>
          </cell>
        </row>
        <row r="551">
          <cell r="B551" t="str">
            <v>KHI/HO/D/MO/PC COMP/C/103764/40/12/2024</v>
          </cell>
          <cell r="D551" t="str">
            <v>REN</v>
          </cell>
          <cell r="E551" t="str">
            <v>18/12/24</v>
          </cell>
          <cell r="F551" t="str">
            <v>14/12/2024</v>
          </cell>
          <cell r="G551" t="str">
            <v>13/12/2025</v>
          </cell>
          <cell r="H551" t="str">
            <v>08004499</v>
          </cell>
          <cell r="I551" t="str">
            <v>AL BARAKA BANK (PAKISTAN) LIMITED</v>
          </cell>
          <cell r="J551" t="str">
            <v>BANK</v>
          </cell>
          <cell r="K551" t="str">
            <v>M/s. Al Baraka Bank (Pakistan) Limited 
M/S. Al Baraka Bank (Pakistan) Limited 
User: Muhammad Nouman Basharat</v>
          </cell>
          <cell r="L551" t="str">
            <v>D</v>
          </cell>
          <cell r="M551" t="str">
            <v>09000221</v>
          </cell>
          <cell r="N551">
            <v>100</v>
          </cell>
          <cell r="P551" t="str">
            <v>Post Office Khas Kot Hassan Khan Hafizabad</v>
          </cell>
          <cell r="Q551" t="str">
            <v>11000003</v>
          </cell>
          <cell r="R551" t="str">
            <v>TOYOTA COROLLA ALTIS GRAN</v>
          </cell>
          <cell r="S551" t="str">
            <v>2022</v>
          </cell>
          <cell r="T551" t="str">
            <v>AMR-084</v>
          </cell>
          <cell r="U551" t="str">
            <v>Q364392</v>
          </cell>
          <cell r="V551" t="str">
            <v>7063567</v>
          </cell>
          <cell r="W551" t="str">
            <v>23-feb-2029</v>
          </cell>
          <cell r="Y551">
            <v>3848919</v>
          </cell>
          <cell r="Z551">
            <v>49770</v>
          </cell>
          <cell r="AA551">
            <v>57734</v>
          </cell>
        </row>
        <row r="552">
          <cell r="B552" t="str">
            <v>KHI/HO/D/MO/PC COMP/C/103764/41/12/2024</v>
          </cell>
          <cell r="D552" t="str">
            <v>REN</v>
          </cell>
          <cell r="E552" t="str">
            <v>18/12/24</v>
          </cell>
          <cell r="F552" t="str">
            <v>14/12/2024</v>
          </cell>
          <cell r="G552" t="str">
            <v>13/12/2025</v>
          </cell>
          <cell r="H552" t="str">
            <v>08004499</v>
          </cell>
          <cell r="I552" t="str">
            <v>AL BARAKA BANK (PAKISTAN) LIMITED</v>
          </cell>
          <cell r="J552" t="str">
            <v>BANK</v>
          </cell>
          <cell r="K552" t="str">
            <v>M/s. Al Baraka Bank (Pakistan) Limited 
M/S. Al Baraka Bank (Pakistan) Limited 
User: Mirza  Muheet Baig</v>
          </cell>
          <cell r="L552" t="str">
            <v>D</v>
          </cell>
          <cell r="M552" t="str">
            <v>09000221</v>
          </cell>
          <cell r="N552">
            <v>100</v>
          </cell>
          <cell r="P552" t="str">
            <v>H # 21 Street 3 Aligarh H. Society Manghopur Road Site Karachi</v>
          </cell>
          <cell r="Q552" t="str">
            <v>11000003</v>
          </cell>
          <cell r="R552" t="str">
            <v>SUZUKI ALTO VXR E-2</v>
          </cell>
          <cell r="S552" t="str">
            <v>2022</v>
          </cell>
          <cell r="T552" t="str">
            <v>BXG-594</v>
          </cell>
          <cell r="U552" t="str">
            <v>254295</v>
          </cell>
          <cell r="V552" t="str">
            <v>1154290</v>
          </cell>
          <cell r="W552" t="str">
            <v>24-feb-2029</v>
          </cell>
          <cell r="Y552">
            <v>1314100</v>
          </cell>
          <cell r="Z552">
            <v>28322</v>
          </cell>
          <cell r="AA552">
            <v>32853</v>
          </cell>
        </row>
        <row r="553">
          <cell r="B553" t="str">
            <v>KHI/HO/D/MO/PC COMP/C/103764/42/12/2024</v>
          </cell>
          <cell r="D553" t="str">
            <v>REN</v>
          </cell>
          <cell r="E553" t="str">
            <v>18/12/24</v>
          </cell>
          <cell r="F553" t="str">
            <v>14/12/2024</v>
          </cell>
          <cell r="G553" t="str">
            <v>13/12/2025</v>
          </cell>
          <cell r="H553" t="str">
            <v>08004499</v>
          </cell>
          <cell r="I553" t="str">
            <v>AL BARAKA BANK (PAKISTAN) LIMITED</v>
          </cell>
          <cell r="J553" t="str">
            <v>BANK</v>
          </cell>
          <cell r="K553" t="str">
            <v>M/s. Al Baraka Bank (Pakistan) Limited 
M/S. Al Baraka Bank (Pakistan) Limited 
User: Rao Fawad Hussain</v>
          </cell>
          <cell r="L553" t="str">
            <v>D</v>
          </cell>
          <cell r="M553" t="str">
            <v>09000221</v>
          </cell>
          <cell r="N553">
            <v>100</v>
          </cell>
          <cell r="P553" t="str">
            <v>H No A-33 Bostan Rafi Malir City Karachi</v>
          </cell>
          <cell r="Q553" t="str">
            <v>11000003</v>
          </cell>
          <cell r="R553" t="str">
            <v>SUZUKI ALTO VXL AGS E-2</v>
          </cell>
          <cell r="S553" t="str">
            <v>2022</v>
          </cell>
          <cell r="T553" t="str">
            <v>BYA-918</v>
          </cell>
          <cell r="U553" t="str">
            <v>6R264146</v>
          </cell>
          <cell r="V553" t="str">
            <v>H1164158</v>
          </cell>
          <cell r="W553" t="str">
            <v>25-feb-2029</v>
          </cell>
          <cell r="Y553">
            <v>1658350</v>
          </cell>
          <cell r="Z553">
            <v>25018</v>
          </cell>
          <cell r="AA553">
            <v>29021</v>
          </cell>
        </row>
        <row r="554">
          <cell r="B554" t="str">
            <v>KHI/HO/D/MO/PC COMP/C/103764/43/12/2024</v>
          </cell>
          <cell r="D554" t="str">
            <v>REN</v>
          </cell>
          <cell r="E554" t="str">
            <v>18/12/24</v>
          </cell>
          <cell r="F554" t="str">
            <v>05/12/2024</v>
          </cell>
          <cell r="G554" t="str">
            <v>04/12/2025</v>
          </cell>
          <cell r="H554" t="str">
            <v>08004499</v>
          </cell>
          <cell r="I554" t="str">
            <v>AL BARAKA BANK (PAKISTAN) LIMITED</v>
          </cell>
          <cell r="J554" t="str">
            <v>BANK</v>
          </cell>
          <cell r="K554" t="str">
            <v>M/s. Al Baraka Bank (Pakistan) Limited 
M/S. Al Baraka Bank (Pakistan) Limited 
User: Abu  Bakar</v>
          </cell>
          <cell r="L554" t="str">
            <v>D</v>
          </cell>
          <cell r="M554" t="str">
            <v>09000221</v>
          </cell>
          <cell r="N554">
            <v>100</v>
          </cell>
          <cell r="P554" t="str">
            <v>H No 07 St 02 Mohallah Taj Pura Amir Road Shadbagh Lahore</v>
          </cell>
          <cell r="Q554" t="str">
            <v>11000003</v>
          </cell>
          <cell r="R554" t="str">
            <v>SUZUKI ALTO</v>
          </cell>
          <cell r="S554" t="str">
            <v>2022</v>
          </cell>
          <cell r="T554" t="str">
            <v>AMM-371</v>
          </cell>
          <cell r="U554" t="str">
            <v>6R261550</v>
          </cell>
          <cell r="V554" t="str">
            <v>1161471</v>
          </cell>
          <cell r="W554" t="str">
            <v>26-feb-2029</v>
          </cell>
          <cell r="Y554">
            <v>1473050</v>
          </cell>
          <cell r="Z554">
            <v>25397</v>
          </cell>
          <cell r="AA554">
            <v>29461</v>
          </cell>
        </row>
        <row r="555">
          <cell r="B555" t="str">
            <v>KHI/HO/D/MO/PC COMP/C/103764/44/12/2024</v>
          </cell>
          <cell r="D555" t="str">
            <v>REN</v>
          </cell>
          <cell r="E555" t="str">
            <v>18/12/24</v>
          </cell>
          <cell r="F555" t="str">
            <v>16/12/2024</v>
          </cell>
          <cell r="G555" t="str">
            <v>15/12/2025</v>
          </cell>
          <cell r="H555" t="str">
            <v>08004499</v>
          </cell>
          <cell r="I555" t="str">
            <v>AL BARAKA BANK (PAKISTAN) LIMITED</v>
          </cell>
          <cell r="J555" t="str">
            <v>BANK</v>
          </cell>
          <cell r="K555" t="str">
            <v>M/s. Al Baraka Bank (Pakistan) Limited 
M/S. Al Baraka Bank (Pakistan) Limited 
User: Nasir  Mehmood</v>
          </cell>
          <cell r="L555" t="str">
            <v>D</v>
          </cell>
          <cell r="M555" t="str">
            <v>09000221</v>
          </cell>
          <cell r="N555">
            <v>100</v>
          </cell>
          <cell r="P555" t="str">
            <v>H # 427 Street B Sector Cc Phase 4 Dha Lahore</v>
          </cell>
          <cell r="Q555" t="str">
            <v>11000003</v>
          </cell>
          <cell r="R555" t="str">
            <v>SUZUKI ALTO VXR E-2</v>
          </cell>
          <cell r="S555" t="str">
            <v>2022</v>
          </cell>
          <cell r="T555" t="str">
            <v>AMR-485</v>
          </cell>
          <cell r="U555" t="str">
            <v>263228</v>
          </cell>
          <cell r="V555" t="str">
            <v>1163233</v>
          </cell>
          <cell r="W555" t="str">
            <v>27-feb-2029</v>
          </cell>
          <cell r="Y555">
            <v>1658350</v>
          </cell>
          <cell r="Z555">
            <v>35741</v>
          </cell>
          <cell r="AA555">
            <v>41459</v>
          </cell>
        </row>
        <row r="556">
          <cell r="B556" t="str">
            <v>KHI/HO/D/MO/PC COMP/C/103764/45/12/2024</v>
          </cell>
          <cell r="D556" t="str">
            <v>REN</v>
          </cell>
          <cell r="E556" t="str">
            <v>18/12/24</v>
          </cell>
          <cell r="F556" t="str">
            <v>16/12/2024</v>
          </cell>
          <cell r="G556" t="str">
            <v>15/12/2025</v>
          </cell>
          <cell r="H556" t="str">
            <v>08004499</v>
          </cell>
          <cell r="I556" t="str">
            <v>AL BARAKA BANK (PAKISTAN) LIMITED</v>
          </cell>
          <cell r="J556" t="str">
            <v>BANK</v>
          </cell>
          <cell r="K556" t="str">
            <v>M/s. Al Baraka Bank (Pakistan) Limited 
M/S. Al Baraka Bank (Pakistan) Limited 
User: Yousaf  Ahmad</v>
          </cell>
          <cell r="L556" t="str">
            <v>D</v>
          </cell>
          <cell r="M556" t="str">
            <v>09000221</v>
          </cell>
          <cell r="N556">
            <v>100</v>
          </cell>
          <cell r="P556" t="str">
            <v>H # 58 Major Road Block A New City Phase 2 Wah Cantt</v>
          </cell>
          <cell r="Q556" t="str">
            <v>11000003</v>
          </cell>
          <cell r="R556" t="str">
            <v>TOYOTA COROLLA ALTIS CVT</v>
          </cell>
          <cell r="S556" t="str">
            <v>2022</v>
          </cell>
          <cell r="T556" t="str">
            <v>BAW-79</v>
          </cell>
          <cell r="U556" t="str">
            <v>362606</v>
          </cell>
          <cell r="V556" t="str">
            <v>7061779</v>
          </cell>
          <cell r="W556" t="str">
            <v>28-feb-2029</v>
          </cell>
          <cell r="Y556">
            <v>5074500</v>
          </cell>
          <cell r="Z556">
            <v>65619</v>
          </cell>
          <cell r="AA556">
            <v>76118</v>
          </cell>
        </row>
        <row r="557">
          <cell r="B557" t="str">
            <v>KHI/HO/D/MO/PC COMP/C/103764/46/12/2024</v>
          </cell>
          <cell r="D557" t="str">
            <v>REN</v>
          </cell>
          <cell r="E557" t="str">
            <v>18/12/24</v>
          </cell>
          <cell r="F557" t="str">
            <v>16/12/2024</v>
          </cell>
          <cell r="G557" t="str">
            <v>15/12/2025</v>
          </cell>
          <cell r="H557" t="str">
            <v>08004499</v>
          </cell>
          <cell r="I557" t="str">
            <v>AL BARAKA BANK (PAKISTAN) LIMITED</v>
          </cell>
          <cell r="J557" t="str">
            <v>BANK</v>
          </cell>
          <cell r="K557" t="str">
            <v>M/s. Al Baraka Bank (Pakistan) Limited 
M/S. Al Baraka Bank (Pakistan) Limited 
User: Rizwan  Aleem</v>
          </cell>
          <cell r="L557" t="str">
            <v>D</v>
          </cell>
          <cell r="M557" t="str">
            <v>09000221</v>
          </cell>
          <cell r="N557">
            <v>100</v>
          </cell>
          <cell r="P557" t="str">
            <v>Sameejabad No. 1 Mohallah Deen Pura Multan</v>
          </cell>
          <cell r="Q557" t="str">
            <v>11000003</v>
          </cell>
          <cell r="R557" t="str">
            <v>SUZUKI WAGON-R VXL E2</v>
          </cell>
          <cell r="S557" t="str">
            <v>2022</v>
          </cell>
          <cell r="T557" t="str">
            <v>ANF-376</v>
          </cell>
          <cell r="U557" t="str">
            <v>239783</v>
          </cell>
          <cell r="V557" t="str">
            <v>10139763</v>
          </cell>
          <cell r="W557" t="str">
            <v>01-mar-2029</v>
          </cell>
          <cell r="Y557">
            <v>2179400</v>
          </cell>
          <cell r="Z557">
            <v>37576</v>
          </cell>
          <cell r="AA557">
            <v>43588</v>
          </cell>
        </row>
        <row r="558">
          <cell r="B558" t="str">
            <v>KHI/HO/D/MO/PC COMP/C/103764/47/12/2024</v>
          </cell>
          <cell r="D558" t="str">
            <v>REN</v>
          </cell>
          <cell r="E558" t="str">
            <v>18/12/24</v>
          </cell>
          <cell r="F558" t="str">
            <v>19/12/2024</v>
          </cell>
          <cell r="G558" t="str">
            <v>18/12/2025</v>
          </cell>
          <cell r="H558" t="str">
            <v>08004499</v>
          </cell>
          <cell r="I558" t="str">
            <v>AL BARAKA BANK (PAKISTAN) LIMITED</v>
          </cell>
          <cell r="J558" t="str">
            <v>BANK</v>
          </cell>
          <cell r="K558" t="str">
            <v>M/s. Al Baraka Bank (Pakistan) Limited 
M/S. Al Baraka Bank (Pakistan) Limited 
User: Muhammad   Tanveer</v>
          </cell>
          <cell r="L558" t="str">
            <v>D</v>
          </cell>
          <cell r="M558" t="str">
            <v>09000221</v>
          </cell>
          <cell r="N558">
            <v>100</v>
          </cell>
          <cell r="P558" t="str">
            <v>Plot No. C-11 Flat 2 1St Floor Amna Arcade Khayaban-E-Sehar Phase 6 Dha Karachi</v>
          </cell>
          <cell r="Q558" t="str">
            <v>11000003</v>
          </cell>
          <cell r="R558" t="str">
            <v>SUZUKI ALTO VXL AGS E-2</v>
          </cell>
          <cell r="S558" t="str">
            <v>2022</v>
          </cell>
          <cell r="T558" t="str">
            <v>BYG-307</v>
          </cell>
          <cell r="U558" t="str">
            <v>264910</v>
          </cell>
          <cell r="V558" t="str">
            <v>1163725</v>
          </cell>
          <cell r="W558" t="str">
            <v>02-mar-2029</v>
          </cell>
          <cell r="Y558">
            <v>1658350</v>
          </cell>
          <cell r="Z558">
            <v>35741</v>
          </cell>
          <cell r="AA558">
            <v>41459</v>
          </cell>
        </row>
        <row r="559">
          <cell r="B559" t="str">
            <v>KHI/HO/D/MO/PC COMP/C/103764/48/12/2024</v>
          </cell>
          <cell r="D559" t="str">
            <v>REN</v>
          </cell>
          <cell r="E559" t="str">
            <v>18/12/24</v>
          </cell>
          <cell r="F559" t="str">
            <v>20/12/2024</v>
          </cell>
          <cell r="G559" t="str">
            <v>19/12/2025</v>
          </cell>
          <cell r="H559" t="str">
            <v>08004499</v>
          </cell>
          <cell r="I559" t="str">
            <v>AL BARAKA BANK (PAKISTAN) LIMITED</v>
          </cell>
          <cell r="J559" t="str">
            <v>BANK</v>
          </cell>
          <cell r="K559" t="str">
            <v>M/s. Al Baraka Bank (Pakistan) Limited 
M/S. Al Baraka Bank (Pakistan) Limited 
User: Ali   Zulfiqar</v>
          </cell>
          <cell r="L559" t="str">
            <v>D</v>
          </cell>
          <cell r="M559" t="str">
            <v>09000221</v>
          </cell>
          <cell r="N559">
            <v>100</v>
          </cell>
          <cell r="P559" t="str">
            <v>E-5/7 -C St No 06 Alam Wala Ghar Cavalary Ground Lahore</v>
          </cell>
          <cell r="Q559" t="str">
            <v>11000003</v>
          </cell>
          <cell r="R559" t="str">
            <v>SUZUKI ALTO VXL AGS</v>
          </cell>
          <cell r="S559" t="str">
            <v>2022</v>
          </cell>
          <cell r="T559" t="str">
            <v>ANQ-576</v>
          </cell>
          <cell r="U559" t="str">
            <v>263317</v>
          </cell>
          <cell r="V559" t="str">
            <v>1163311</v>
          </cell>
          <cell r="W559" t="str">
            <v>03-mar-2029</v>
          </cell>
          <cell r="Y559">
            <v>1658350</v>
          </cell>
          <cell r="Z559">
            <v>28592</v>
          </cell>
          <cell r="AA559">
            <v>33167</v>
          </cell>
        </row>
        <row r="560">
          <cell r="B560" t="str">
            <v>KHI/HO/D/MO/PC COMP/C/103764/49/12/2024</v>
          </cell>
          <cell r="D560" t="str">
            <v>REN</v>
          </cell>
          <cell r="E560" t="str">
            <v>18/12/24</v>
          </cell>
          <cell r="F560" t="str">
            <v>20/12/2024</v>
          </cell>
          <cell r="G560" t="str">
            <v>19/12/2025</v>
          </cell>
          <cell r="H560" t="str">
            <v>08004499</v>
          </cell>
          <cell r="I560" t="str">
            <v>AL BARAKA BANK (PAKISTAN) LIMITED</v>
          </cell>
          <cell r="J560" t="str">
            <v>BANK</v>
          </cell>
          <cell r="K560" t="str">
            <v>M/s. Al Baraka Bank (Pakistan) Limited 
M/S. Al Baraka Bank (Pakistan) Limited 
User: Abdul  Sattar</v>
          </cell>
          <cell r="L560" t="str">
            <v>D</v>
          </cell>
          <cell r="M560" t="str">
            <v>09000221</v>
          </cell>
          <cell r="N560">
            <v>100</v>
          </cell>
          <cell r="P560" t="str">
            <v>Wahid Colony Po Fatah Kata Sadiqabad</v>
          </cell>
          <cell r="Q560" t="str">
            <v>11000003</v>
          </cell>
          <cell r="R560" t="str">
            <v>SUZUKI CULTUS VXL EURO II</v>
          </cell>
          <cell r="S560" t="str">
            <v>2022</v>
          </cell>
          <cell r="T560" t="str">
            <v>ANA-581</v>
          </cell>
          <cell r="U560" t="str">
            <v>203879</v>
          </cell>
          <cell r="V560" t="str">
            <v>10103872</v>
          </cell>
          <cell r="W560" t="str">
            <v>04-mar-2029</v>
          </cell>
          <cell r="Y560">
            <v>2570400</v>
          </cell>
          <cell r="Z560">
            <v>44317</v>
          </cell>
          <cell r="AA560">
            <v>51408</v>
          </cell>
        </row>
        <row r="561">
          <cell r="B561" t="str">
            <v>KHI/HO/D/MO/PC COMP/C/103764/50/12/2024</v>
          </cell>
          <cell r="D561" t="str">
            <v>REN</v>
          </cell>
          <cell r="E561" t="str">
            <v>18/12/24</v>
          </cell>
          <cell r="F561" t="str">
            <v>21/12/2024</v>
          </cell>
          <cell r="G561" t="str">
            <v>20/12/2025</v>
          </cell>
          <cell r="H561" t="str">
            <v>08004499</v>
          </cell>
          <cell r="I561" t="str">
            <v>AL BARAKA BANK (PAKISTAN) LIMITED</v>
          </cell>
          <cell r="J561" t="str">
            <v>BANK</v>
          </cell>
          <cell r="K561" t="str">
            <v>M/s. Al Baraka Bank (Pakistan) Limited 
M/S. Al Baraka Bank (Pakistan) Limited 
User: Ali   Hamza</v>
          </cell>
          <cell r="L561" t="str">
            <v>D</v>
          </cell>
          <cell r="M561" t="str">
            <v>09000221</v>
          </cell>
          <cell r="N561">
            <v>100</v>
          </cell>
          <cell r="P561" t="str">
            <v>H # 2291 Street 17/2 Block C National Police Foundation Islamabad</v>
          </cell>
          <cell r="Q561" t="str">
            <v>11000003</v>
          </cell>
          <cell r="R561" t="str">
            <v>SUZUKI WAGON R VXL AGS</v>
          </cell>
          <cell r="S561" t="str">
            <v>2022</v>
          </cell>
          <cell r="T561" t="str">
            <v>BBA-983</v>
          </cell>
          <cell r="U561" t="str">
            <v>259682</v>
          </cell>
          <cell r="V561" t="str">
            <v>1159713</v>
          </cell>
          <cell r="W561" t="str">
            <v>05-mar-2029</v>
          </cell>
          <cell r="Y561">
            <v>1802000</v>
          </cell>
          <cell r="Z561">
            <v>31069</v>
          </cell>
          <cell r="AA561">
            <v>36040</v>
          </cell>
        </row>
        <row r="562">
          <cell r="B562" t="str">
            <v>KHI/HO/D/MO/PC COMP/C/103764/51/12/2024</v>
          </cell>
          <cell r="D562" t="str">
            <v>REN</v>
          </cell>
          <cell r="E562" t="str">
            <v>18/12/24</v>
          </cell>
          <cell r="F562" t="str">
            <v>05/12/2024</v>
          </cell>
          <cell r="G562" t="str">
            <v>04/12/2025</v>
          </cell>
          <cell r="H562" t="str">
            <v>08004499</v>
          </cell>
          <cell r="I562" t="str">
            <v>AL BARAKA BANK (PAKISTAN) LIMITED</v>
          </cell>
          <cell r="J562" t="str">
            <v>BANK</v>
          </cell>
          <cell r="K562" t="str">
            <v>M/s. Al Baraka Bank (Pakistan) Limited 
M/S. Al Baraka Bank (Pakistan) Limited 
User: Saleem  Akhtar</v>
          </cell>
          <cell r="L562" t="str">
            <v>D</v>
          </cell>
          <cell r="M562" t="str">
            <v>09000221</v>
          </cell>
          <cell r="N562">
            <v>100</v>
          </cell>
          <cell r="P562" t="str">
            <v>Purana Thana Muzaffarabad Near Iqbal Elementry School Shershah Road Multan</v>
          </cell>
          <cell r="Q562" t="str">
            <v>11000003</v>
          </cell>
          <cell r="R562" t="str">
            <v>SUZUKI CULTUS AGS</v>
          </cell>
          <cell r="S562" t="str">
            <v>2022</v>
          </cell>
          <cell r="T562" t="str">
            <v>AMS-574</v>
          </cell>
          <cell r="U562" t="str">
            <v>203495</v>
          </cell>
          <cell r="V562" t="str">
            <v>10103495</v>
          </cell>
          <cell r="W562" t="str">
            <v>06-mar-2029</v>
          </cell>
          <cell r="Y562">
            <v>2347700</v>
          </cell>
          <cell r="Z562">
            <v>50597</v>
          </cell>
          <cell r="AA562">
            <v>58693</v>
          </cell>
        </row>
        <row r="563">
          <cell r="B563" t="str">
            <v>KHI/HO/D/MO/PC COMP/C/103764/52/12/2024</v>
          </cell>
          <cell r="D563" t="str">
            <v>REN</v>
          </cell>
          <cell r="E563" t="str">
            <v>18/12/24</v>
          </cell>
          <cell r="F563" t="str">
            <v>22/12/2024</v>
          </cell>
          <cell r="G563" t="str">
            <v>21/12/2025</v>
          </cell>
          <cell r="H563" t="str">
            <v>08004499</v>
          </cell>
          <cell r="I563" t="str">
            <v>AL BARAKA BANK (PAKISTAN) LIMITED</v>
          </cell>
          <cell r="J563" t="str">
            <v>BANK</v>
          </cell>
          <cell r="K563" t="str">
            <v>M/s. Al Baraka Bank (Pakistan) Limited 
M/S. Al Baraka Bank (Pakistan) Limited 
User: Arshad Latif Siddique</v>
          </cell>
          <cell r="L563" t="str">
            <v>D</v>
          </cell>
          <cell r="M563" t="str">
            <v>09000221</v>
          </cell>
          <cell r="N563">
            <v>100</v>
          </cell>
          <cell r="P563" t="str">
            <v>House No. 112, Block M, Phase 2, Wapda Town, Lahore.</v>
          </cell>
          <cell r="Q563" t="str">
            <v>11000003</v>
          </cell>
          <cell r="R563" t="str">
            <v>KIA PICANTO 1.0L A/T</v>
          </cell>
          <cell r="S563" t="str">
            <v>2021</v>
          </cell>
          <cell r="T563" t="str">
            <v>ASH-157</v>
          </cell>
          <cell r="U563" t="str">
            <v>81507</v>
          </cell>
          <cell r="V563" t="str">
            <v>704135</v>
          </cell>
          <cell r="W563" t="str">
            <v>07-mar-2029</v>
          </cell>
          <cell r="Y563">
            <v>2082500</v>
          </cell>
          <cell r="Z563">
            <v>35905</v>
          </cell>
          <cell r="AA563">
            <v>41650</v>
          </cell>
        </row>
        <row r="564">
          <cell r="B564" t="str">
            <v>KHI/HO/D/MO/PC COMP/C/103764/53/12/2024</v>
          </cell>
          <cell r="D564" t="str">
            <v>REN</v>
          </cell>
          <cell r="E564" t="str">
            <v>18/12/24</v>
          </cell>
          <cell r="F564" t="str">
            <v>22/12/2024</v>
          </cell>
          <cell r="G564" t="str">
            <v>21/12/2025</v>
          </cell>
          <cell r="H564" t="str">
            <v>08004499</v>
          </cell>
          <cell r="I564" t="str">
            <v>AL BARAKA BANK (PAKISTAN) LIMITED</v>
          </cell>
          <cell r="J564" t="str">
            <v>BANK</v>
          </cell>
          <cell r="K564" t="str">
            <v>M/s. Al Baraka Bank (Pakistan) Limited 
M/S. Al Baraka Bank (Pakistan) Limited 
User: Hafiz Abdul Wahab</v>
          </cell>
          <cell r="L564" t="str">
            <v>D</v>
          </cell>
          <cell r="M564" t="str">
            <v>09000221</v>
          </cell>
          <cell r="N564">
            <v>100</v>
          </cell>
          <cell r="P564" t="str">
            <v>St No 3 Janj Ghar Islamia College Road Hs No Bxxix 5S-5S Gujranwala Moh Abdi Acha</v>
          </cell>
          <cell r="Q564" t="str">
            <v>11000003</v>
          </cell>
          <cell r="R564" t="str">
            <v>CHANGAN KARVAAN PLUS</v>
          </cell>
          <cell r="S564" t="str">
            <v>2022</v>
          </cell>
          <cell r="T564" t="str">
            <v>AMV-282</v>
          </cell>
          <cell r="U564" t="str">
            <v>504392</v>
          </cell>
          <cell r="V564" t="str">
            <v>1017079</v>
          </cell>
          <cell r="W564" t="str">
            <v>08-mar-2029</v>
          </cell>
          <cell r="Y564">
            <v>2137750</v>
          </cell>
          <cell r="Z564">
            <v>36857</v>
          </cell>
          <cell r="AA564">
            <v>42755</v>
          </cell>
        </row>
        <row r="565">
          <cell r="B565" t="str">
            <v>KHI/HO/D/MO/PC COMP/C/103764/54/12/2024</v>
          </cell>
          <cell r="D565" t="str">
            <v>REN</v>
          </cell>
          <cell r="E565" t="str">
            <v>18/12/24</v>
          </cell>
          <cell r="F565" t="str">
            <v>22/12/2024</v>
          </cell>
          <cell r="G565" t="str">
            <v>21/12/2025</v>
          </cell>
          <cell r="H565" t="str">
            <v>08004499</v>
          </cell>
          <cell r="I565" t="str">
            <v>AL BARAKA BANK (PAKISTAN) LIMITED</v>
          </cell>
          <cell r="J565" t="str">
            <v>BANK</v>
          </cell>
          <cell r="K565" t="str">
            <v>M/s. Al Baraka Bank (Pakistan) Limited 
M/S. Al Baraka Bank (Pakistan) Limited 
User: Fayzan   Ashraf</v>
          </cell>
          <cell r="L565" t="str">
            <v>D</v>
          </cell>
          <cell r="M565" t="str">
            <v>09000221</v>
          </cell>
          <cell r="N565">
            <v>100</v>
          </cell>
          <cell r="P565" t="str">
            <v>H No 3 St No 2 Garrison Executive Villas Harbans Pura Lahore</v>
          </cell>
          <cell r="Q565" t="str">
            <v>11000003</v>
          </cell>
          <cell r="R565" t="str">
            <v>TOYOTA PRIUS</v>
          </cell>
          <cell r="S565" t="str">
            <v>2013</v>
          </cell>
          <cell r="T565" t="str">
            <v>LEE-16-9755</v>
          </cell>
          <cell r="U565" t="str">
            <v>JM536765</v>
          </cell>
          <cell r="V565" t="str">
            <v>1660557</v>
          </cell>
          <cell r="W565" t="str">
            <v>09-mar-2029</v>
          </cell>
          <cell r="Y565">
            <v>2890000</v>
          </cell>
          <cell r="Z565">
            <v>49828</v>
          </cell>
          <cell r="AA565">
            <v>57800</v>
          </cell>
        </row>
        <row r="566">
          <cell r="B566" t="str">
            <v>KHI/HO/D/MO/PC COMP/C/103764/55/12/2024</v>
          </cell>
          <cell r="D566" t="str">
            <v>REN</v>
          </cell>
          <cell r="E566" t="str">
            <v>18/12/24</v>
          </cell>
          <cell r="F566" t="str">
            <v>26/12/2024</v>
          </cell>
          <cell r="G566" t="str">
            <v>25/12/2025</v>
          </cell>
          <cell r="H566" t="str">
            <v>08004499</v>
          </cell>
          <cell r="I566" t="str">
            <v>AL BARAKA BANK (PAKISTAN) LIMITED</v>
          </cell>
          <cell r="J566" t="str">
            <v>BANK</v>
          </cell>
          <cell r="K566" t="str">
            <v>M/s. Al Baraka Bank (Pakistan) Limited 
M/S. Al Baraka Bank (Pakistan) Limited 
User: Jahanzaib  Ali</v>
          </cell>
          <cell r="L566" t="str">
            <v>D</v>
          </cell>
          <cell r="M566" t="str">
            <v>09000221</v>
          </cell>
          <cell r="N566">
            <v>100</v>
          </cell>
          <cell r="P566" t="str">
            <v>H # 20 G Block Model Town Lahore</v>
          </cell>
          <cell r="Q566" t="str">
            <v>11000003</v>
          </cell>
          <cell r="R566" t="str">
            <v>HONDA CIVIC VTI  ORIEL PT</v>
          </cell>
          <cell r="S566" t="str">
            <v>2017</v>
          </cell>
          <cell r="T566" t="str">
            <v>AEZ-757</v>
          </cell>
          <cell r="U566" t="str">
            <v>Z1292461</v>
          </cell>
          <cell r="V566" t="str">
            <v>GR003130</v>
          </cell>
          <cell r="W566" t="str">
            <v>10-mar-2029</v>
          </cell>
          <cell r="Y566">
            <v>2975000</v>
          </cell>
          <cell r="Z566">
            <v>38470</v>
          </cell>
          <cell r="AA566">
            <v>44625</v>
          </cell>
        </row>
        <row r="567">
          <cell r="B567" t="str">
            <v>KHI/HO/D/MO/PC COMP/C/103764/56/12/2024</v>
          </cell>
          <cell r="D567" t="str">
            <v>REN</v>
          </cell>
          <cell r="E567" t="str">
            <v>18/12/24</v>
          </cell>
          <cell r="F567" t="str">
            <v>26/12/2024</v>
          </cell>
          <cell r="G567" t="str">
            <v>25/12/2025</v>
          </cell>
          <cell r="H567" t="str">
            <v>08004499</v>
          </cell>
          <cell r="I567" t="str">
            <v>AL BARAKA BANK (PAKISTAN) LIMITED</v>
          </cell>
          <cell r="J567" t="str">
            <v>BANK</v>
          </cell>
          <cell r="K567" t="str">
            <v>M/s. Al Baraka Bank (Pakistan) Limited 
M/S. Al Baraka Bank (Pakistan) Limited 
User: Muhammad  Tayyab  Iqbal</v>
          </cell>
          <cell r="L567" t="str">
            <v>D</v>
          </cell>
          <cell r="M567" t="str">
            <v>09000221</v>
          </cell>
          <cell r="N567">
            <v>100</v>
          </cell>
          <cell r="P567" t="str">
            <v>H # 190 B-1 Pnd Society Canal Road Lahore</v>
          </cell>
          <cell r="Q567" t="str">
            <v>11000003</v>
          </cell>
          <cell r="R567" t="str">
            <v>HYUNDAI ELANTRA A/T SUNRO</v>
          </cell>
          <cell r="S567" t="str">
            <v>2022</v>
          </cell>
          <cell r="T567" t="str">
            <v>AMW-215</v>
          </cell>
          <cell r="U567" t="str">
            <v>246310</v>
          </cell>
          <cell r="V567" t="str">
            <v>305622</v>
          </cell>
          <cell r="W567" t="str">
            <v>11-mar-2029</v>
          </cell>
          <cell r="Y567">
            <v>4349450</v>
          </cell>
          <cell r="Z567">
            <v>56244</v>
          </cell>
          <cell r="AA567">
            <v>65242</v>
          </cell>
        </row>
        <row r="568">
          <cell r="B568" t="str">
            <v>KHI/HO/D/MO/PC COMP/C/103764/57/12/2024</v>
          </cell>
          <cell r="D568" t="str">
            <v>REN</v>
          </cell>
          <cell r="E568" t="str">
            <v>18/12/24</v>
          </cell>
          <cell r="F568" t="str">
            <v>26/12/2024</v>
          </cell>
          <cell r="G568" t="str">
            <v>25/12/2025</v>
          </cell>
          <cell r="H568" t="str">
            <v>08004499</v>
          </cell>
          <cell r="I568" t="str">
            <v>AL BARAKA BANK (PAKISTAN) LIMITED</v>
          </cell>
          <cell r="J568" t="str">
            <v>BANK</v>
          </cell>
          <cell r="K568" t="str">
            <v>M/s. Al Baraka Bank (Pakistan) Limited 
M/S. Al Baraka Bank (Pakistan) Limited 
User: Muhammad Qasim Umar Khan</v>
          </cell>
          <cell r="L568" t="str">
            <v>D</v>
          </cell>
          <cell r="M568" t="str">
            <v>09000221</v>
          </cell>
          <cell r="N568">
            <v>100</v>
          </cell>
          <cell r="P568" t="str">
            <v>Chak No. 230 Rb Po Khas Rampur Faisalabad</v>
          </cell>
          <cell r="Q568" t="str">
            <v>11000003</v>
          </cell>
          <cell r="R568" t="str">
            <v>SUZUKI WAGON-R VXL E2</v>
          </cell>
          <cell r="S568" t="str">
            <v>2022</v>
          </cell>
          <cell r="T568" t="str">
            <v>BBD-931</v>
          </cell>
          <cell r="U568" t="str">
            <v>243107</v>
          </cell>
          <cell r="V568" t="str">
            <v>10143100</v>
          </cell>
          <cell r="W568" t="str">
            <v>12-mar-2029</v>
          </cell>
          <cell r="Y568">
            <v>2179400</v>
          </cell>
          <cell r="Z568">
            <v>37576</v>
          </cell>
          <cell r="AA568">
            <v>43588</v>
          </cell>
        </row>
        <row r="569">
          <cell r="B569" t="str">
            <v>KHI/HO/D/MO/PC COMP/C/103764/58/12/2024</v>
          </cell>
          <cell r="D569" t="str">
            <v>REN</v>
          </cell>
          <cell r="E569" t="str">
            <v>18/12/24</v>
          </cell>
          <cell r="F569" t="str">
            <v>26/12/2024</v>
          </cell>
          <cell r="G569" t="str">
            <v>25/12/2025</v>
          </cell>
          <cell r="H569" t="str">
            <v>08004499</v>
          </cell>
          <cell r="I569" t="str">
            <v>AL BARAKA BANK (PAKISTAN) LIMITED</v>
          </cell>
          <cell r="J569" t="str">
            <v>BANK</v>
          </cell>
          <cell r="K569" t="str">
            <v>M/s. Al Baraka Bank (Pakistan) Limited 
M/S. Al Baraka Bank (Pakistan) Limited 
User: Mohsin  .</v>
          </cell>
          <cell r="L569" t="str">
            <v>D</v>
          </cell>
          <cell r="M569" t="str">
            <v>09000221</v>
          </cell>
          <cell r="N569">
            <v>100</v>
          </cell>
          <cell r="P569" t="str">
            <v>Flat No 4 1St Floor Plot No 522 Rchs Garden East Karachi</v>
          </cell>
          <cell r="Q569" t="str">
            <v>11000003</v>
          </cell>
          <cell r="R569" t="str">
            <v>SUZUKI Swift GLX CVT</v>
          </cell>
          <cell r="S569" t="str">
            <v>2022</v>
          </cell>
          <cell r="T569" t="str">
            <v>BYE-247</v>
          </cell>
          <cell r="U569" t="str">
            <v>1012898</v>
          </cell>
          <cell r="V569" t="str">
            <v>112912</v>
          </cell>
          <cell r="W569" t="str">
            <v>13-mar-2029</v>
          </cell>
          <cell r="Y569">
            <v>3196000</v>
          </cell>
          <cell r="Z569">
            <v>41328</v>
          </cell>
          <cell r="AA569">
            <v>47940</v>
          </cell>
        </row>
        <row r="570">
          <cell r="B570" t="str">
            <v>KHI/HO/D/MO/PC COMP/C/103764/59/12/2024</v>
          </cell>
          <cell r="D570" t="str">
            <v>REN</v>
          </cell>
          <cell r="E570" t="str">
            <v>18/12/24</v>
          </cell>
          <cell r="F570" t="str">
            <v>27/12/2024</v>
          </cell>
          <cell r="G570" t="str">
            <v>26/12/2025</v>
          </cell>
          <cell r="H570" t="str">
            <v>08004499</v>
          </cell>
          <cell r="I570" t="str">
            <v>AL BARAKA BANK (PAKISTAN) LIMITED</v>
          </cell>
          <cell r="J570" t="str">
            <v>BANK</v>
          </cell>
          <cell r="K570" t="str">
            <v>M/s. Al Baraka Bank (Pakistan) Limited 
M/S. Al Baraka Bank (Pakistan) Limited 
User: Asim  Latif</v>
          </cell>
          <cell r="L570" t="str">
            <v>D</v>
          </cell>
          <cell r="M570" t="str">
            <v>09000221</v>
          </cell>
          <cell r="N570">
            <v>100</v>
          </cell>
          <cell r="P570" t="str">
            <v>H No 05 St No 18 Kotly Peer Abdul Rehman Baghbanpura Lahore</v>
          </cell>
          <cell r="Q570" t="str">
            <v>11000003</v>
          </cell>
          <cell r="R570" t="str">
            <v>SUZUKI BOLAN</v>
          </cell>
          <cell r="S570" t="str">
            <v>2019</v>
          </cell>
          <cell r="T570" t="str">
            <v>LEC-19-8158</v>
          </cell>
          <cell r="U570" t="str">
            <v>PKT988475</v>
          </cell>
          <cell r="V570" t="str">
            <v>PK01104951</v>
          </cell>
          <cell r="W570" t="str">
            <v>14-mar-2029</v>
          </cell>
          <cell r="Y570">
            <v>1041250</v>
          </cell>
          <cell r="Z570">
            <v>17952</v>
          </cell>
          <cell r="AA570">
            <v>20825</v>
          </cell>
        </row>
        <row r="571">
          <cell r="B571" t="str">
            <v>KHI/HO/D/MO/PC COMP/C/103764/60/12/2024</v>
          </cell>
          <cell r="D571" t="str">
            <v>REN</v>
          </cell>
          <cell r="E571" t="str">
            <v>18/12/24</v>
          </cell>
          <cell r="F571" t="str">
            <v>27/12/2024</v>
          </cell>
          <cell r="G571" t="str">
            <v>26/12/2025</v>
          </cell>
          <cell r="H571" t="str">
            <v>08004499</v>
          </cell>
          <cell r="I571" t="str">
            <v>AL BARAKA BANK (PAKISTAN) LIMITED</v>
          </cell>
          <cell r="J571" t="str">
            <v>BANK</v>
          </cell>
          <cell r="K571" t="str">
            <v>M/s. Al Baraka Bank (Pakistan) Limited 
M/S. Al Baraka Bank (Pakistan) Limited 
User: Badar   Munir</v>
          </cell>
          <cell r="L571" t="str">
            <v>D</v>
          </cell>
          <cell r="M571" t="str">
            <v>09000221</v>
          </cell>
          <cell r="N571">
            <v>100</v>
          </cell>
          <cell r="P571" t="str">
            <v>H No E-135 204 Rs Eden Vally Faisalabad</v>
          </cell>
          <cell r="Q571" t="str">
            <v>11000003</v>
          </cell>
          <cell r="R571" t="str">
            <v>HONDA HRV-S</v>
          </cell>
          <cell r="S571" t="str">
            <v>2022</v>
          </cell>
          <cell r="T571" t="str">
            <v>BBE-135</v>
          </cell>
          <cell r="U571" t="str">
            <v>L15ZG1000960</v>
          </cell>
          <cell r="V571" t="str">
            <v>NFBRV3851NR001052</v>
          </cell>
          <cell r="W571" t="str">
            <v>15-mar-2029</v>
          </cell>
          <cell r="Y571">
            <v>5290400</v>
          </cell>
          <cell r="Z571">
            <v>68410</v>
          </cell>
          <cell r="AA571">
            <v>79356</v>
          </cell>
        </row>
        <row r="572">
          <cell r="B572" t="str">
            <v>KHI/HO/D/MO/PC COMP/C/103764/61/12/2024</v>
          </cell>
          <cell r="D572" t="str">
            <v>REN</v>
          </cell>
          <cell r="E572" t="str">
            <v>18/12/24</v>
          </cell>
          <cell r="F572" t="str">
            <v>27/12/2024</v>
          </cell>
          <cell r="G572" t="str">
            <v>26/12/2025</v>
          </cell>
          <cell r="H572" t="str">
            <v>08004499</v>
          </cell>
          <cell r="I572" t="str">
            <v>AL BARAKA BANK (PAKISTAN) LIMITED</v>
          </cell>
          <cell r="J572" t="str">
            <v>BANK</v>
          </cell>
          <cell r="K572" t="str">
            <v>M/s. Al Baraka Bank (Pakistan) Limited 
M/S. Al Baraka Bank (Pakistan) Limited 
User: Muhammad   Ali</v>
          </cell>
          <cell r="L572" t="str">
            <v>D</v>
          </cell>
          <cell r="M572" t="str">
            <v>09000221</v>
          </cell>
          <cell r="N572">
            <v>100</v>
          </cell>
          <cell r="P572" t="str">
            <v>H No Bb 968 D Street No 02 Dhok Dalala Rawalpindi</v>
          </cell>
          <cell r="Q572" t="str">
            <v>11000003</v>
          </cell>
          <cell r="R572" t="str">
            <v>SUZUKI ALTO VX</v>
          </cell>
          <cell r="S572" t="str">
            <v>2022</v>
          </cell>
          <cell r="T572" t="str">
            <v>BBC-732</v>
          </cell>
          <cell r="U572" t="str">
            <v>266053</v>
          </cell>
          <cell r="V572" t="str">
            <v>1166047</v>
          </cell>
          <cell r="W572" t="str">
            <v>16-mar-2029</v>
          </cell>
          <cell r="Y572">
            <v>1253750</v>
          </cell>
          <cell r="Z572">
            <v>21617</v>
          </cell>
          <cell r="AA572">
            <v>25075</v>
          </cell>
        </row>
        <row r="573">
          <cell r="B573" t="str">
            <v>KHI/HO/D/MO/PC COMP/C/103764/62/12/2024</v>
          </cell>
          <cell r="D573" t="str">
            <v>REN</v>
          </cell>
          <cell r="E573" t="str">
            <v>18/12/24</v>
          </cell>
          <cell r="F573" t="str">
            <v>28/12/2024</v>
          </cell>
          <cell r="G573" t="str">
            <v>27/12/2025</v>
          </cell>
          <cell r="H573" t="str">
            <v>08004499</v>
          </cell>
          <cell r="I573" t="str">
            <v>AL BARAKA BANK (PAKISTAN) LIMITED</v>
          </cell>
          <cell r="J573" t="str">
            <v>BANK</v>
          </cell>
          <cell r="K573" t="str">
            <v>M/s. Al Baraka Bank (Pakistan) Limited 
M/S. Al Baraka Bank (Pakistan) Limited 
User: Syed Tayyar  Ali</v>
          </cell>
          <cell r="L573" t="str">
            <v>D</v>
          </cell>
          <cell r="M573" t="str">
            <v>09000221</v>
          </cell>
          <cell r="N573">
            <v>100</v>
          </cell>
          <cell r="P573" t="str">
            <v>H No A1157 Kucha Sabaz Peer Darbar Andron Taxali Gate Lahore</v>
          </cell>
          <cell r="Q573" t="str">
            <v>11000003</v>
          </cell>
          <cell r="R573" t="str">
            <v>SUZUKI WAGON R VXL</v>
          </cell>
          <cell r="S573" t="str">
            <v>2018</v>
          </cell>
          <cell r="T573" t="str">
            <v>LE-19-5649</v>
          </cell>
          <cell r="U573" t="str">
            <v>175051</v>
          </cell>
          <cell r="V573" t="str">
            <v>10075059</v>
          </cell>
          <cell r="W573" t="str">
            <v>17-mar-2029</v>
          </cell>
          <cell r="Y573">
            <v>1530000</v>
          </cell>
          <cell r="Z573">
            <v>26379</v>
          </cell>
          <cell r="AA573">
            <v>30600</v>
          </cell>
        </row>
        <row r="574">
          <cell r="B574" t="str">
            <v>KHI/HO/D/MO/PC COMP/C/103764/63/12/2024</v>
          </cell>
          <cell r="D574" t="str">
            <v>REN</v>
          </cell>
          <cell r="E574" t="str">
            <v>18/12/24</v>
          </cell>
          <cell r="F574" t="str">
            <v>28/12/2024</v>
          </cell>
          <cell r="G574" t="str">
            <v>27/12/2025</v>
          </cell>
          <cell r="H574" t="str">
            <v>08004499</v>
          </cell>
          <cell r="I574" t="str">
            <v>AL BARAKA BANK (PAKISTAN) LIMITED</v>
          </cell>
          <cell r="J574" t="str">
            <v>BANK</v>
          </cell>
          <cell r="K574" t="str">
            <v>M/s. Al Baraka Bank (Pakistan) Limited 
M/S. Al Baraka Bank (Pakistan) Limited 
User: Abid   Ali</v>
          </cell>
          <cell r="L574" t="str">
            <v>D</v>
          </cell>
          <cell r="M574" t="str">
            <v>09000221</v>
          </cell>
          <cell r="N574">
            <v>100</v>
          </cell>
          <cell r="P574" t="str">
            <v>H No 63 St No 19 Mustafabad Lahore Cantt</v>
          </cell>
          <cell r="Q574" t="str">
            <v>11000003</v>
          </cell>
          <cell r="R574" t="str">
            <v>HONDA VAMOS HOBIO</v>
          </cell>
          <cell r="S574" t="str">
            <v>2012</v>
          </cell>
          <cell r="T574" t="str">
            <v>LE-17-6024</v>
          </cell>
          <cell r="U574" t="str">
            <v>E07Z9106234</v>
          </cell>
          <cell r="V574" t="str">
            <v>HM41500327</v>
          </cell>
          <cell r="W574" t="str">
            <v>18-mar-2029</v>
          </cell>
          <cell r="Y574">
            <v>1105000</v>
          </cell>
          <cell r="Z574">
            <v>19051</v>
          </cell>
          <cell r="AA574">
            <v>22100</v>
          </cell>
        </row>
        <row r="575">
          <cell r="B575" t="str">
            <v>KHI/HO/D/MO/PC COMP/C/103764/64/12/2024</v>
          </cell>
          <cell r="D575" t="str">
            <v>REN</v>
          </cell>
          <cell r="E575" t="str">
            <v>18/12/24</v>
          </cell>
          <cell r="F575" t="str">
            <v>28/12/2024</v>
          </cell>
          <cell r="G575" t="str">
            <v>27/12/2025</v>
          </cell>
          <cell r="H575" t="str">
            <v>08004499</v>
          </cell>
          <cell r="I575" t="str">
            <v>AL BARAKA BANK (PAKISTAN) LIMITED</v>
          </cell>
          <cell r="J575" t="str">
            <v>BANK</v>
          </cell>
          <cell r="K575" t="str">
            <v>M/s. Al Baraka Bank (Pakistan) Limited 
M/S. Al Baraka Bank (Pakistan) Limited 
User: Muhammad  Zubair</v>
          </cell>
          <cell r="L575" t="str">
            <v>D</v>
          </cell>
          <cell r="M575" t="str">
            <v>09000221</v>
          </cell>
          <cell r="N575">
            <v>100</v>
          </cell>
          <cell r="P575" t="str">
            <v>H No E 479 / 26 St No 1 Peer Colony Walton Road Lahore</v>
          </cell>
          <cell r="Q575" t="str">
            <v>11000003</v>
          </cell>
          <cell r="R575" t="str">
            <v>SUZUKI ALTO</v>
          </cell>
          <cell r="S575" t="str">
            <v>2022</v>
          </cell>
          <cell r="T575" t="str">
            <v>AMZ-445</v>
          </cell>
          <cell r="U575" t="str">
            <v>6R263222</v>
          </cell>
          <cell r="V575" t="str">
            <v>1163224</v>
          </cell>
          <cell r="W575" t="str">
            <v>19-mar-2029</v>
          </cell>
          <cell r="Y575">
            <v>1473050</v>
          </cell>
          <cell r="Z575">
            <v>25397</v>
          </cell>
          <cell r="AA575">
            <v>29461</v>
          </cell>
        </row>
        <row r="576">
          <cell r="B576" t="str">
            <v>KHI/HO/D/MO/PC COMP/C/103764/65/12/2024</v>
          </cell>
          <cell r="D576" t="str">
            <v>REN</v>
          </cell>
          <cell r="E576" t="str">
            <v>18/12/24</v>
          </cell>
          <cell r="F576" t="str">
            <v>28/12/2024</v>
          </cell>
          <cell r="G576" t="str">
            <v>27/12/2025</v>
          </cell>
          <cell r="H576" t="str">
            <v>08004499</v>
          </cell>
          <cell r="I576" t="str">
            <v>AL BARAKA BANK (PAKISTAN) LIMITED</v>
          </cell>
          <cell r="J576" t="str">
            <v>BANK</v>
          </cell>
          <cell r="K576" t="str">
            <v>M/s. Al Baraka Bank (Pakistan) Limited 
M/S. Al Baraka Bank (Pakistan) Limited 
User: Masab Hussain Shah</v>
          </cell>
          <cell r="L576" t="str">
            <v>D</v>
          </cell>
          <cell r="M576" t="str">
            <v>09000221</v>
          </cell>
          <cell r="N576">
            <v>100</v>
          </cell>
          <cell r="P576" t="str">
            <v>Po Budhla Street Khaggy Wala Saddar Multan</v>
          </cell>
          <cell r="Q576" t="str">
            <v>11000003</v>
          </cell>
          <cell r="R576" t="str">
            <v>SUZUKI ALTO VXL</v>
          </cell>
          <cell r="S576" t="str">
            <v>2022</v>
          </cell>
          <cell r="T576" t="str">
            <v>AMT-554</v>
          </cell>
          <cell r="U576" t="str">
            <v>261838</v>
          </cell>
          <cell r="V576" t="str">
            <v>1161816</v>
          </cell>
          <cell r="W576" t="str">
            <v>20-mar-2029</v>
          </cell>
          <cell r="Y576">
            <v>1658350</v>
          </cell>
          <cell r="Z576">
            <v>35741</v>
          </cell>
          <cell r="AA576">
            <v>41459</v>
          </cell>
        </row>
        <row r="577">
          <cell r="B577" t="str">
            <v>KHI/HO/D/MO/PC COMP/C/103764/66/12/2024</v>
          </cell>
          <cell r="D577" t="str">
            <v>REN</v>
          </cell>
          <cell r="E577" t="str">
            <v>18/12/24</v>
          </cell>
          <cell r="F577" t="str">
            <v>28/12/2024</v>
          </cell>
          <cell r="G577" t="str">
            <v>27/12/2025</v>
          </cell>
          <cell r="H577" t="str">
            <v>08004499</v>
          </cell>
          <cell r="I577" t="str">
            <v>AL BARAKA BANK (PAKISTAN) LIMITED</v>
          </cell>
          <cell r="J577" t="str">
            <v>BANK</v>
          </cell>
          <cell r="K577" t="str">
            <v>M/s. Al Baraka Bank (Pakistan) Limited 
M/S. Al Baraka Bank (Pakistan) Limited 
User: Muhammad  Majid  Ashraf</v>
          </cell>
          <cell r="L577" t="str">
            <v>D</v>
          </cell>
          <cell r="M577" t="str">
            <v>09000221</v>
          </cell>
          <cell r="N577">
            <v>100</v>
          </cell>
          <cell r="P577" t="str">
            <v>H No 10 St No 1 Waqas Town Chungi No 1 Multan</v>
          </cell>
          <cell r="Q577" t="str">
            <v>11000003</v>
          </cell>
          <cell r="R577" t="str">
            <v>HONDA CITY</v>
          </cell>
          <cell r="S577" t="str">
            <v>2012</v>
          </cell>
          <cell r="T577" t="str">
            <v>AYH-360</v>
          </cell>
          <cell r="U577" t="str">
            <v>4420188</v>
          </cell>
          <cell r="V577" t="str">
            <v>130245</v>
          </cell>
          <cell r="W577" t="str">
            <v>21-mar-2029</v>
          </cell>
          <cell r="Y577">
            <v>1763750</v>
          </cell>
          <cell r="Z577">
            <v>30410</v>
          </cell>
          <cell r="AA577">
            <v>35275</v>
          </cell>
        </row>
        <row r="578">
          <cell r="B578" t="str">
            <v>KHI/HO/D/MO/PC COMP/C/103764/67/12/2024</v>
          </cell>
          <cell r="D578" t="str">
            <v>REN</v>
          </cell>
          <cell r="E578" t="str">
            <v>18/12/24</v>
          </cell>
          <cell r="F578" t="str">
            <v>29/12/2024</v>
          </cell>
          <cell r="G578" t="str">
            <v>28/12/2025</v>
          </cell>
          <cell r="H578" t="str">
            <v>08004499</v>
          </cell>
          <cell r="I578" t="str">
            <v>AL BARAKA BANK (PAKISTAN) LIMITED</v>
          </cell>
          <cell r="J578" t="str">
            <v>BANK</v>
          </cell>
          <cell r="K578" t="str">
            <v>M/s. Al Baraka Bank (Pakistan) Limited 
M/S. Al Baraka Bank (Pakistan) Limited 
User: Muhammad  Javed Khalid</v>
          </cell>
          <cell r="L578" t="str">
            <v>D</v>
          </cell>
          <cell r="M578" t="str">
            <v>09000221</v>
          </cell>
          <cell r="N578">
            <v>100</v>
          </cell>
          <cell r="P578" t="str">
            <v>H # 36-R Dha Phase 2 Lahore</v>
          </cell>
          <cell r="Q578" t="str">
            <v>11000003</v>
          </cell>
          <cell r="R578" t="str">
            <v>TOYOTA Yaris ATIV X 1.5 (</v>
          </cell>
          <cell r="S578" t="str">
            <v>2022</v>
          </cell>
          <cell r="T578" t="str">
            <v>AMU-547</v>
          </cell>
          <cell r="U578" t="str">
            <v>59432</v>
          </cell>
          <cell r="V578" t="str">
            <v>9521535</v>
          </cell>
          <cell r="W578" t="str">
            <v>22-mar-2029</v>
          </cell>
          <cell r="Y578">
            <v>3679650</v>
          </cell>
          <cell r="Z578">
            <v>47582</v>
          </cell>
          <cell r="AA578">
            <v>55195</v>
          </cell>
        </row>
        <row r="579">
          <cell r="B579" t="str">
            <v>KHI/HO/D/MO/PC COMP/C/103764/68/12/2024</v>
          </cell>
          <cell r="D579" t="str">
            <v>REN</v>
          </cell>
          <cell r="E579" t="str">
            <v>18/12/24</v>
          </cell>
          <cell r="F579" t="str">
            <v>29/12/2024</v>
          </cell>
          <cell r="G579" t="str">
            <v>28/12/2025</v>
          </cell>
          <cell r="H579" t="str">
            <v>08004499</v>
          </cell>
          <cell r="I579" t="str">
            <v>AL BARAKA BANK (PAKISTAN) LIMITED</v>
          </cell>
          <cell r="J579" t="str">
            <v>BANK</v>
          </cell>
          <cell r="K579" t="str">
            <v>M/s. Al Baraka Bank (Pakistan) Limited 
M/S. Al Baraka Bank (Pakistan) Limited 
User: Saad  Aqeel</v>
          </cell>
          <cell r="L579" t="str">
            <v>D</v>
          </cell>
          <cell r="M579" t="str">
            <v>09000221</v>
          </cell>
          <cell r="N579">
            <v>100</v>
          </cell>
          <cell r="P579" t="str">
            <v>Chaman Park St No Nabi Pura Fateh Garh Lahore</v>
          </cell>
          <cell r="Q579" t="str">
            <v>11000003</v>
          </cell>
          <cell r="R579" t="str">
            <v>SUZUKI WAGON R VXL</v>
          </cell>
          <cell r="S579" t="str">
            <v>2019</v>
          </cell>
          <cell r="T579" t="str">
            <v>AAM-503</v>
          </cell>
          <cell r="U579" t="str">
            <v>B182434</v>
          </cell>
          <cell r="V579" t="str">
            <v>PK10082435</v>
          </cell>
          <cell r="W579" t="str">
            <v>23-mar-2029</v>
          </cell>
          <cell r="Y579">
            <v>1806250</v>
          </cell>
          <cell r="Z579">
            <v>31143</v>
          </cell>
          <cell r="AA579">
            <v>36125</v>
          </cell>
        </row>
        <row r="580">
          <cell r="B580" t="str">
            <v>KHI/HO/D/MO/PC COMP/C/103764/69/12/2024</v>
          </cell>
          <cell r="D580" t="str">
            <v>REN</v>
          </cell>
          <cell r="E580" t="str">
            <v>18/12/24</v>
          </cell>
          <cell r="F580" t="str">
            <v>06/12/2024</v>
          </cell>
          <cell r="G580" t="str">
            <v>05/12/2025</v>
          </cell>
          <cell r="H580" t="str">
            <v>08004499</v>
          </cell>
          <cell r="I580" t="str">
            <v>AL BARAKA BANK (PAKISTAN) LIMITED</v>
          </cell>
          <cell r="J580" t="str">
            <v>BANK</v>
          </cell>
          <cell r="K580" t="str">
            <v>M/s. Al Baraka Bank (Pakistan) Limited 
M/S. Al Baraka Bank (Pakistan) Limited 
User: Tariq  Mehmood</v>
          </cell>
          <cell r="L580" t="str">
            <v>D</v>
          </cell>
          <cell r="M580" t="str">
            <v>09000221</v>
          </cell>
          <cell r="N580">
            <v>100</v>
          </cell>
          <cell r="P580" t="str">
            <v>26-A Muslim Town #  1 Sargodha Road Faisalabad</v>
          </cell>
          <cell r="Q580" t="str">
            <v>11000003</v>
          </cell>
          <cell r="R580" t="str">
            <v>SUZUKI Swift GLX CVT</v>
          </cell>
          <cell r="S580" t="str">
            <v>2022</v>
          </cell>
          <cell r="T580" t="str">
            <v>ANP-551</v>
          </cell>
          <cell r="U580" t="str">
            <v>NF1SZC63S00111951</v>
          </cell>
          <cell r="V580" t="str">
            <v>K12MR1011980</v>
          </cell>
          <cell r="W580" t="str">
            <v>24-mar-2029</v>
          </cell>
          <cell r="Y580">
            <v>2803300</v>
          </cell>
          <cell r="Z580">
            <v>48333</v>
          </cell>
          <cell r="AA580">
            <v>56066</v>
          </cell>
        </row>
        <row r="581">
          <cell r="B581" t="str">
            <v>KHI/HO/D/MO/PC COMP/C/103764/70/12/2024</v>
          </cell>
          <cell r="D581" t="str">
            <v>REN</v>
          </cell>
          <cell r="E581" t="str">
            <v>18/12/24</v>
          </cell>
          <cell r="F581" t="str">
            <v>30/12/2024</v>
          </cell>
          <cell r="G581" t="str">
            <v>29/12/2025</v>
          </cell>
          <cell r="H581" t="str">
            <v>08004499</v>
          </cell>
          <cell r="I581" t="str">
            <v>AL BARAKA BANK (PAKISTAN) LIMITED</v>
          </cell>
          <cell r="J581" t="str">
            <v>BANK</v>
          </cell>
          <cell r="K581" t="str">
            <v>M/s. Al Baraka Bank (Pakistan) Limited 
M/S. Al Baraka Bank (Pakistan) Limited 
User: Navaid  Ishtiaq</v>
          </cell>
          <cell r="L581" t="str">
            <v>D</v>
          </cell>
          <cell r="M581" t="str">
            <v>09000221</v>
          </cell>
          <cell r="N581">
            <v>100</v>
          </cell>
          <cell r="P581" t="str">
            <v>Flat B-2 Erum Center Block 16 Gulshan-E-Iqbal Karachi</v>
          </cell>
          <cell r="Q581" t="str">
            <v>11000003</v>
          </cell>
          <cell r="R581" t="str">
            <v>SUZUKI CULTUS VXL AGS</v>
          </cell>
          <cell r="S581" t="str">
            <v>2022</v>
          </cell>
          <cell r="T581" t="str">
            <v>BYK-337</v>
          </cell>
          <cell r="U581" t="str">
            <v>204751</v>
          </cell>
          <cell r="V581" t="str">
            <v>10104763</v>
          </cell>
          <cell r="W581" t="str">
            <v>25-mar-2029</v>
          </cell>
          <cell r="Y581">
            <v>2748900</v>
          </cell>
          <cell r="Z581">
            <v>47395</v>
          </cell>
          <cell r="AA581">
            <v>54978</v>
          </cell>
        </row>
        <row r="582">
          <cell r="B582" t="str">
            <v>KHI/HO/D/MO/PC COMP/C/103764/71/12/2024</v>
          </cell>
          <cell r="D582" t="str">
            <v>REN</v>
          </cell>
          <cell r="E582" t="str">
            <v>18/12/24</v>
          </cell>
          <cell r="F582" t="str">
            <v>30/12/2024</v>
          </cell>
          <cell r="G582" t="str">
            <v>29/12/2025</v>
          </cell>
          <cell r="H582" t="str">
            <v>08004499</v>
          </cell>
          <cell r="I582" t="str">
            <v>AL BARAKA BANK (PAKISTAN) LIMITED</v>
          </cell>
          <cell r="J582" t="str">
            <v>BANK</v>
          </cell>
          <cell r="K582" t="str">
            <v>M/s. Al Baraka Bank (Pakistan) Limited 
M/S. Al Baraka Bank (Pakistan) Limited 
User: Rana  Waseem Hussain</v>
          </cell>
          <cell r="L582" t="str">
            <v>D</v>
          </cell>
          <cell r="M582" t="str">
            <v>09000221</v>
          </cell>
          <cell r="N582">
            <v>100</v>
          </cell>
          <cell r="P582" t="str">
            <v>Sharqpur Road Chak 17 Ucc Shahdowala Sheikhupura</v>
          </cell>
          <cell r="Q582" t="str">
            <v>11000003</v>
          </cell>
          <cell r="R582" t="str">
            <v>TOYOTA COROLLA ALTIS  1.6</v>
          </cell>
          <cell r="S582" t="str">
            <v>2017</v>
          </cell>
          <cell r="T582" t="str">
            <v>LE-17A-4538</v>
          </cell>
          <cell r="U582" t="str">
            <v>Q325225</v>
          </cell>
          <cell r="V582" t="str">
            <v>R7024321</v>
          </cell>
          <cell r="W582" t="str">
            <v>26-mar-2029</v>
          </cell>
          <cell r="Y582">
            <v>3145000</v>
          </cell>
          <cell r="Z582">
            <v>40668</v>
          </cell>
          <cell r="AA582">
            <v>47175</v>
          </cell>
        </row>
        <row r="583">
          <cell r="B583" t="str">
            <v>KHI/HO/D/MO/PC COMP/C/103764/72/12/2024</v>
          </cell>
          <cell r="D583" t="str">
            <v>REN</v>
          </cell>
          <cell r="E583" t="str">
            <v>18/12/24</v>
          </cell>
          <cell r="F583" t="str">
            <v>30/12/2024</v>
          </cell>
          <cell r="G583" t="str">
            <v>29/12/2025</v>
          </cell>
          <cell r="H583" t="str">
            <v>08004499</v>
          </cell>
          <cell r="I583" t="str">
            <v>AL BARAKA BANK (PAKISTAN) LIMITED</v>
          </cell>
          <cell r="J583" t="str">
            <v>BANK</v>
          </cell>
          <cell r="K583" t="str">
            <v>M/s. Al Baraka Bank (Pakistan) Limited 
M/S. Al Baraka Bank (Pakistan) Limited 
User: Muhammad  Ali</v>
          </cell>
          <cell r="L583" t="str">
            <v>D</v>
          </cell>
          <cell r="M583" t="str">
            <v>09000221</v>
          </cell>
          <cell r="N583">
            <v>100</v>
          </cell>
          <cell r="P583" t="str">
            <v>58 Street 7 Mohallah Muhammad Khan Town Faisalabad</v>
          </cell>
          <cell r="Q583" t="str">
            <v>11000003</v>
          </cell>
          <cell r="R583" t="str">
            <v>SUZUKI CULTUS VXL EURO II</v>
          </cell>
          <cell r="S583" t="str">
            <v>2019</v>
          </cell>
          <cell r="T583" t="str">
            <v>LEC-19-6164</v>
          </cell>
          <cell r="U583" t="str">
            <v>PK10K140688</v>
          </cell>
          <cell r="V583" t="str">
            <v>NF1AVK31H10040689</v>
          </cell>
          <cell r="W583" t="str">
            <v>27-mar-2029</v>
          </cell>
          <cell r="Y583">
            <v>1530000</v>
          </cell>
          <cell r="Z583">
            <v>26379</v>
          </cell>
          <cell r="AA583">
            <v>30600</v>
          </cell>
        </row>
        <row r="584">
          <cell r="B584" t="str">
            <v>KHI/HO/D/MO/PC COMP/C/103764/73/12/2024</v>
          </cell>
          <cell r="D584" t="str">
            <v>REN</v>
          </cell>
          <cell r="E584" t="str">
            <v>18/12/24</v>
          </cell>
          <cell r="F584" t="str">
            <v>30/12/2024</v>
          </cell>
          <cell r="G584" t="str">
            <v>29/12/2025</v>
          </cell>
          <cell r="H584" t="str">
            <v>08004499</v>
          </cell>
          <cell r="I584" t="str">
            <v>AL BARAKA BANK (PAKISTAN) LIMITED</v>
          </cell>
          <cell r="J584" t="str">
            <v>BANK</v>
          </cell>
          <cell r="K584" t="str">
            <v>M/s. Al Baraka Bank (Pakistan) Limited 
M/S. Al Baraka Bank (Pakistan) Limited 
User: Muhammad  Bilal</v>
          </cell>
          <cell r="L584" t="str">
            <v>D</v>
          </cell>
          <cell r="M584" t="str">
            <v>09000221</v>
          </cell>
          <cell r="N584">
            <v>100</v>
          </cell>
          <cell r="P584" t="str">
            <v>H # 06  Street 08 Mohallah Ghulam Bhati Colony Chungi Ammar Sidhu Lahore</v>
          </cell>
          <cell r="Q584" t="str">
            <v>11000003</v>
          </cell>
          <cell r="R584" t="str">
            <v>SUZUKI WAGON-R VXL E2</v>
          </cell>
          <cell r="S584" t="str">
            <v>2020</v>
          </cell>
          <cell r="T584" t="str">
            <v>ABB-711</v>
          </cell>
          <cell r="U584" t="str">
            <v>B208239</v>
          </cell>
          <cell r="V584" t="str">
            <v>K10108239</v>
          </cell>
          <cell r="W584" t="str">
            <v>28-mar-2029</v>
          </cell>
          <cell r="Y584">
            <v>1445000</v>
          </cell>
          <cell r="Z584">
            <v>24914</v>
          </cell>
          <cell r="AA584">
            <v>28900</v>
          </cell>
        </row>
        <row r="585">
          <cell r="B585" t="str">
            <v>KHI/HO/D/MO/PC COMP/C/103764/74/12/2024</v>
          </cell>
          <cell r="D585" t="str">
            <v>REN</v>
          </cell>
          <cell r="E585" t="str">
            <v>18/12/24</v>
          </cell>
          <cell r="F585" t="str">
            <v>30/12/2024</v>
          </cell>
          <cell r="G585" t="str">
            <v>29/12/2025</v>
          </cell>
          <cell r="H585" t="str">
            <v>08004499</v>
          </cell>
          <cell r="I585" t="str">
            <v>AL BARAKA BANK (PAKISTAN) LIMITED</v>
          </cell>
          <cell r="J585" t="str">
            <v>BANK</v>
          </cell>
          <cell r="K585" t="str">
            <v>M/s. Al Baraka Bank (Pakistan) Limited 
M/S. Al Baraka Bank (Pakistan) Limited 
User: Laraib   Chaudhry</v>
          </cell>
          <cell r="L585" t="str">
            <v>D</v>
          </cell>
          <cell r="M585" t="str">
            <v>09000221</v>
          </cell>
          <cell r="N585">
            <v>100</v>
          </cell>
          <cell r="P585" t="str">
            <v>H No 949 St 10 C- Block Npf 0-9 Pwd Islamabad</v>
          </cell>
          <cell r="Q585" t="str">
            <v>11000003</v>
          </cell>
          <cell r="R585" t="str">
            <v>SUZUKI ALTO VXL AGS</v>
          </cell>
          <cell r="S585" t="str">
            <v>2022</v>
          </cell>
          <cell r="T585" t="str">
            <v>BBF-106</v>
          </cell>
          <cell r="U585" t="str">
            <v>255968</v>
          </cell>
          <cell r="V585" t="str">
            <v>1155839</v>
          </cell>
          <cell r="W585" t="str">
            <v>29-mar-2029</v>
          </cell>
          <cell r="Y585">
            <v>1889550</v>
          </cell>
          <cell r="Z585">
            <v>32578</v>
          </cell>
          <cell r="AA585">
            <v>37791</v>
          </cell>
        </row>
        <row r="586">
          <cell r="B586" t="str">
            <v>KHI/HO/D/MO/PC COMP/C/103764/75/12/2024</v>
          </cell>
          <cell r="D586" t="str">
            <v>REN</v>
          </cell>
          <cell r="E586" t="str">
            <v>18/12/24</v>
          </cell>
          <cell r="F586" t="str">
            <v>30/12/2024</v>
          </cell>
          <cell r="G586" t="str">
            <v>29/12/2025</v>
          </cell>
          <cell r="H586" t="str">
            <v>08004499</v>
          </cell>
          <cell r="I586" t="str">
            <v>AL BARAKA BANK (PAKISTAN) LIMITED</v>
          </cell>
          <cell r="J586" t="str">
            <v>BANK</v>
          </cell>
          <cell r="K586" t="str">
            <v>M/s. Al Baraka Bank (Pakistan) Limited 
M/S. Al Baraka Bank (Pakistan) Limited 
User: Noor Ul Huda</v>
          </cell>
          <cell r="L586" t="str">
            <v>D</v>
          </cell>
          <cell r="M586" t="str">
            <v>09000221</v>
          </cell>
          <cell r="N586">
            <v>100</v>
          </cell>
          <cell r="P586" t="str">
            <v>H # 42-B Muhammad Colony Bhawalpur</v>
          </cell>
          <cell r="Q586" t="str">
            <v>11000003</v>
          </cell>
          <cell r="R586" t="str">
            <v>SUZUKI ALTO VXR E-2</v>
          </cell>
          <cell r="S586" t="str">
            <v>2022</v>
          </cell>
          <cell r="T586" t="str">
            <v>AND-917</v>
          </cell>
          <cell r="U586" t="str">
            <v>267191</v>
          </cell>
          <cell r="V586" t="str">
            <v>1167202</v>
          </cell>
          <cell r="W586" t="str">
            <v>30-mar-2029</v>
          </cell>
          <cell r="Y586">
            <v>1679600</v>
          </cell>
          <cell r="Z586">
            <v>28958</v>
          </cell>
          <cell r="AA586">
            <v>33592</v>
          </cell>
        </row>
        <row r="587">
          <cell r="B587" t="str">
            <v>KHI/HO/D/MO/PC COMP/C/103764/76/12/2024</v>
          </cell>
          <cell r="D587" t="str">
            <v>REN</v>
          </cell>
          <cell r="E587" t="str">
            <v>18/12/24</v>
          </cell>
          <cell r="F587" t="str">
            <v>30/12/2024</v>
          </cell>
          <cell r="G587" t="str">
            <v>29/12/2025</v>
          </cell>
          <cell r="H587" t="str">
            <v>08004499</v>
          </cell>
          <cell r="I587" t="str">
            <v>AL BARAKA BANK (PAKISTAN) LIMITED</v>
          </cell>
          <cell r="J587" t="str">
            <v>BANK</v>
          </cell>
          <cell r="K587" t="str">
            <v>M/s. Al Baraka Bank (Pakistan) Limited 
M/S. Al Baraka Bank (Pakistan) Limited 
User: Tariq   Mehmood</v>
          </cell>
          <cell r="L587" t="str">
            <v>D</v>
          </cell>
          <cell r="M587" t="str">
            <v>09000221</v>
          </cell>
          <cell r="N587">
            <v>100</v>
          </cell>
          <cell r="P587" t="str">
            <v>H # 11 Street 58 Sector N Bahria Enclave Islamabad</v>
          </cell>
          <cell r="Q587" t="str">
            <v>11000003</v>
          </cell>
          <cell r="R587" t="str">
            <v>SUZUKI ALTO VXL AGS E-2</v>
          </cell>
          <cell r="S587" t="str">
            <v>2022</v>
          </cell>
          <cell r="T587" t="str">
            <v>AFR</v>
          </cell>
          <cell r="U587" t="str">
            <v>268352</v>
          </cell>
          <cell r="V587" t="str">
            <v>1168324</v>
          </cell>
          <cell r="W587" t="str">
            <v>31-mar-2029</v>
          </cell>
          <cell r="Y587">
            <v>1889550</v>
          </cell>
          <cell r="Z587">
            <v>32578</v>
          </cell>
          <cell r="AA587">
            <v>37791</v>
          </cell>
        </row>
        <row r="588">
          <cell r="B588" t="str">
            <v>KHI/HO/D/MO/PC COMP/C/103764/77/12/2024</v>
          </cell>
          <cell r="D588" t="str">
            <v>REN</v>
          </cell>
          <cell r="E588" t="str">
            <v>18/12/24</v>
          </cell>
          <cell r="F588" t="str">
            <v>06/12/2024</v>
          </cell>
          <cell r="G588" t="str">
            <v>05/12/2025</v>
          </cell>
          <cell r="H588" t="str">
            <v>08004499</v>
          </cell>
          <cell r="I588" t="str">
            <v>AL BARAKA BANK (PAKISTAN) LIMITED</v>
          </cell>
          <cell r="J588" t="str">
            <v>BANK</v>
          </cell>
          <cell r="K588" t="str">
            <v>M/s. Al Baraka Bank (Pakistan) Limited 
M/S. Al Baraka Bank (Pakistan) Limited 
User: Dilshad  Ali</v>
          </cell>
          <cell r="L588" t="str">
            <v>D</v>
          </cell>
          <cell r="M588" t="str">
            <v>09000221</v>
          </cell>
          <cell r="N588">
            <v>100</v>
          </cell>
          <cell r="P588" t="str">
            <v>Waris Pura Street 2 Mohallah Iqbal Nagar Faisalabad</v>
          </cell>
          <cell r="Q588" t="str">
            <v>11000003</v>
          </cell>
          <cell r="R588" t="str">
            <v>SUZUKI ALTO VXR E-2</v>
          </cell>
          <cell r="S588" t="str">
            <v>2022</v>
          </cell>
          <cell r="T588" t="str">
            <v>ALU-139</v>
          </cell>
          <cell r="U588" t="str">
            <v>6R221168</v>
          </cell>
          <cell r="V588" t="str">
            <v>NF1AET306H1121181</v>
          </cell>
          <cell r="W588" t="str">
            <v>01-apr-2029</v>
          </cell>
          <cell r="Y588">
            <v>1679600</v>
          </cell>
          <cell r="Z588">
            <v>36198</v>
          </cell>
          <cell r="AA588">
            <v>41990</v>
          </cell>
        </row>
        <row r="589">
          <cell r="B589" t="str">
            <v>KHI/HO/D/MO/PC COMP/C/103764/78/12/2024</v>
          </cell>
          <cell r="D589" t="str">
            <v>REN</v>
          </cell>
          <cell r="E589" t="str">
            <v>18/12/24</v>
          </cell>
          <cell r="F589" t="str">
            <v>30/12/2024</v>
          </cell>
          <cell r="G589" t="str">
            <v>29/12/2025</v>
          </cell>
          <cell r="H589" t="str">
            <v>08004499</v>
          </cell>
          <cell r="I589" t="str">
            <v>AL BARAKA BANK (PAKISTAN) LIMITED</v>
          </cell>
          <cell r="J589" t="str">
            <v>BANK</v>
          </cell>
          <cell r="K589" t="str">
            <v>M/s. Al Baraka Bank (Pakistan) Limited 
M/S. Al Baraka Bank (Pakistan) Limited 
User: Muhammad  Asif</v>
          </cell>
          <cell r="L589" t="str">
            <v>D</v>
          </cell>
          <cell r="M589" t="str">
            <v>09000221</v>
          </cell>
          <cell r="N589">
            <v>100</v>
          </cell>
          <cell r="P589" t="str">
            <v>H # 5 Street 5 Bao Wala Nalka Stop Barki Road Lahore</v>
          </cell>
          <cell r="Q589" t="str">
            <v>11000003</v>
          </cell>
          <cell r="R589" t="str">
            <v>FAW FAW V2 M/T</v>
          </cell>
          <cell r="S589" t="str">
            <v>2017</v>
          </cell>
          <cell r="T589" t="str">
            <v>LEA-17-5464</v>
          </cell>
          <cell r="U589" t="str">
            <v>HG300158</v>
          </cell>
          <cell r="V589" t="str">
            <v>5A10798</v>
          </cell>
          <cell r="W589" t="str">
            <v>02-apr-2029</v>
          </cell>
          <cell r="Y589">
            <v>1020000</v>
          </cell>
          <cell r="Z589">
            <v>17586</v>
          </cell>
          <cell r="AA589">
            <v>20400</v>
          </cell>
        </row>
        <row r="590">
          <cell r="B590" t="str">
            <v>KHI/HO/D/MO/PC COMP/C/103764/79/12/2024</v>
          </cell>
          <cell r="D590" t="str">
            <v>REN</v>
          </cell>
          <cell r="E590" t="str">
            <v>18/12/24</v>
          </cell>
          <cell r="F590" t="str">
            <v>06/12/2024</v>
          </cell>
          <cell r="G590" t="str">
            <v>05/12/2025</v>
          </cell>
          <cell r="H590" t="str">
            <v>08004499</v>
          </cell>
          <cell r="I590" t="str">
            <v>AL BARAKA BANK (PAKISTAN) LIMITED</v>
          </cell>
          <cell r="J590" t="str">
            <v>BANK</v>
          </cell>
          <cell r="K590" t="str">
            <v>M/s. Al Baraka Bank (Pakistan) Limited 
M/S. Al Baraka Bank (Pakistan) Limited 
User: Chaudhary Chan Mehmood</v>
          </cell>
          <cell r="L590" t="str">
            <v>D</v>
          </cell>
          <cell r="M590" t="str">
            <v>09000221</v>
          </cell>
          <cell r="N590">
            <v>100</v>
          </cell>
          <cell r="P590" t="str">
            <v>P.O Ali Pur Farash Village Punjgarn Modern School Islamabad</v>
          </cell>
          <cell r="Q590" t="str">
            <v>11000003</v>
          </cell>
          <cell r="R590" t="str">
            <v>SUZUKI ALTO VXR</v>
          </cell>
          <cell r="S590" t="str">
            <v>2022</v>
          </cell>
          <cell r="T590" t="str">
            <v>BAY-966</v>
          </cell>
          <cell r="U590" t="str">
            <v>261281</v>
          </cell>
          <cell r="V590" t="str">
            <v>1161282</v>
          </cell>
          <cell r="W590" t="str">
            <v>03-apr-2029</v>
          </cell>
          <cell r="Y590">
            <v>1473050</v>
          </cell>
          <cell r="Z590">
            <v>25397</v>
          </cell>
          <cell r="AA590">
            <v>29461</v>
          </cell>
        </row>
        <row r="591">
          <cell r="B591" t="str">
            <v>KHI/HO/D/MO/PC COMP/C/103764/80/12/2024</v>
          </cell>
          <cell r="D591" t="str">
            <v>REN</v>
          </cell>
          <cell r="E591" t="str">
            <v>18/12/24</v>
          </cell>
          <cell r="F591" t="str">
            <v>06/12/2024</v>
          </cell>
          <cell r="G591" t="str">
            <v>05/12/2025</v>
          </cell>
          <cell r="H591" t="str">
            <v>08004499</v>
          </cell>
          <cell r="I591" t="str">
            <v>AL BARAKA BANK (PAKISTAN) LIMITED</v>
          </cell>
          <cell r="J591" t="str">
            <v>BANK</v>
          </cell>
          <cell r="K591" t="str">
            <v>M/s. Al Baraka Bank (Pakistan) Limited 
M/S. Al Baraka Bank (Pakistan) Limited 
User: Ejaz  Ahmad</v>
          </cell>
          <cell r="L591" t="str">
            <v>D</v>
          </cell>
          <cell r="M591" t="str">
            <v>09000221</v>
          </cell>
          <cell r="N591">
            <v>100</v>
          </cell>
          <cell r="P591" t="str">
            <v>H No 3 St No 03 Malik Park Khakor Road Badami Bagh Lahore</v>
          </cell>
          <cell r="Q591" t="str">
            <v>11000003</v>
          </cell>
          <cell r="R591" t="str">
            <v>HONDA CITY 1.2  LS CVT</v>
          </cell>
          <cell r="S591" t="str">
            <v>2022</v>
          </cell>
          <cell r="T591" t="str">
            <v>AHH-444</v>
          </cell>
          <cell r="U591" t="str">
            <v>1016789</v>
          </cell>
          <cell r="V591" t="str">
            <v>NR029395</v>
          </cell>
          <cell r="W591" t="str">
            <v>04-apr-2029</v>
          </cell>
          <cell r="Y591">
            <v>3322650</v>
          </cell>
          <cell r="Z591">
            <v>42965</v>
          </cell>
          <cell r="AA591">
            <v>49840</v>
          </cell>
        </row>
        <row r="592">
          <cell r="B592" t="str">
            <v>KHI/HO/D/MO/PC COMP/C/103764/81/12/2024</v>
          </cell>
          <cell r="D592" t="str">
            <v>REN</v>
          </cell>
          <cell r="E592" t="str">
            <v>18/12/24</v>
          </cell>
          <cell r="F592" t="str">
            <v>27/12/2024</v>
          </cell>
          <cell r="G592" t="str">
            <v>26/12/2025</v>
          </cell>
          <cell r="H592" t="str">
            <v>08004499</v>
          </cell>
          <cell r="I592" t="str">
            <v>AL BARAKA BANK (PAKISTAN) LIMITED</v>
          </cell>
          <cell r="J592" t="str">
            <v>BANK</v>
          </cell>
          <cell r="K592" t="str">
            <v>M/s. Al Baraka Bank (Pakistan) Limited 
M/S. Al Baraka Bank (Pakistan) Limited 
User: Hezkiel Hafeez Daniel</v>
          </cell>
          <cell r="L592" t="str">
            <v>D</v>
          </cell>
          <cell r="M592" t="str">
            <v>09000221</v>
          </cell>
          <cell r="N592">
            <v>100</v>
          </cell>
          <cell r="P592" t="str">
            <v>Block E Yohanaabad Ferozepur Road Lahore</v>
          </cell>
          <cell r="Q592" t="str">
            <v>11000003</v>
          </cell>
          <cell r="R592" t="str">
            <v>SUZUKI CULTUS</v>
          </cell>
          <cell r="S592" t="str">
            <v>2017</v>
          </cell>
          <cell r="T592" t="str">
            <v>LED-17-297</v>
          </cell>
          <cell r="U592" t="str">
            <v>PK10K100897</v>
          </cell>
          <cell r="V592" t="str">
            <v>H0000898</v>
          </cell>
          <cell r="W592" t="str">
            <v>05-apr-2029</v>
          </cell>
          <cell r="Y592">
            <v>1384000</v>
          </cell>
          <cell r="Z592">
            <v>20879</v>
          </cell>
          <cell r="AA592">
            <v>24220</v>
          </cell>
        </row>
        <row r="593">
          <cell r="B593" t="str">
            <v>KHI/HO/D/MO/PC COMP/C/103764/82/12/2024</v>
          </cell>
          <cell r="D593" t="str">
            <v>REN</v>
          </cell>
          <cell r="E593" t="str">
            <v>18/12/24</v>
          </cell>
          <cell r="F593" t="str">
            <v>09/12/2024</v>
          </cell>
          <cell r="G593" t="str">
            <v>08/12/2025</v>
          </cell>
          <cell r="H593" t="str">
            <v>08004499</v>
          </cell>
          <cell r="I593" t="str">
            <v>AL BARAKA BANK (PAKISTAN) LIMITED</v>
          </cell>
          <cell r="J593" t="str">
            <v>BANK</v>
          </cell>
          <cell r="K593" t="str">
            <v>M/s. Al Baraka Bank (Pakistan) Limited 
M/S. Al Baraka Bank (Pakistan) Limited 
User: Francis  Bashir</v>
          </cell>
          <cell r="L593" t="str">
            <v>D</v>
          </cell>
          <cell r="M593" t="str">
            <v>09000221</v>
          </cell>
          <cell r="N593">
            <v>100</v>
          </cell>
          <cell r="P593" t="str">
            <v>House No. 60 Street 1 Mohallah Sardar Colony Bao Wala Barki Road Lahore</v>
          </cell>
          <cell r="Q593" t="str">
            <v>11000003</v>
          </cell>
          <cell r="R593" t="str">
            <v>CHANGAN KARVAAN PLUS</v>
          </cell>
          <cell r="S593" t="str">
            <v>2021</v>
          </cell>
          <cell r="T593" t="str">
            <v>AGE-389</v>
          </cell>
          <cell r="U593" t="str">
            <v>505976</v>
          </cell>
          <cell r="V593" t="str">
            <v>1010093</v>
          </cell>
          <cell r="W593" t="str">
            <v>06-apr-2029</v>
          </cell>
          <cell r="Y593">
            <v>1231200</v>
          </cell>
          <cell r="Z593">
            <v>18574</v>
          </cell>
          <cell r="AA593">
            <v>21546</v>
          </cell>
        </row>
        <row r="594">
          <cell r="B594" t="str">
            <v>KHI/HO/D/MO/PC COMP/C/103764/83/12/2024</v>
          </cell>
          <cell r="D594" t="str">
            <v>REN</v>
          </cell>
          <cell r="E594" t="str">
            <v>18/12/24</v>
          </cell>
          <cell r="F594" t="str">
            <v>09/12/2024</v>
          </cell>
          <cell r="G594" t="str">
            <v>08/12/2025</v>
          </cell>
          <cell r="H594" t="str">
            <v>08004499</v>
          </cell>
          <cell r="I594" t="str">
            <v>AL BARAKA BANK (PAKISTAN) LIMITED</v>
          </cell>
          <cell r="J594" t="str">
            <v>BANK</v>
          </cell>
          <cell r="K594" t="str">
            <v>M/s. Al Baraka Bank (Pakistan) Limited 
M/S. Al Baraka Bank (Pakistan) Limited 
User: Muhammad Asif Raza</v>
          </cell>
          <cell r="L594" t="str">
            <v>D</v>
          </cell>
          <cell r="M594" t="str">
            <v>09000221</v>
          </cell>
          <cell r="N594">
            <v>100</v>
          </cell>
          <cell r="P594" t="str">
            <v>Chishti Chowk Near Ajmeri Masjid Babusabu Bund Road Lahore</v>
          </cell>
          <cell r="Q594" t="str">
            <v>11000003</v>
          </cell>
          <cell r="R594" t="str">
            <v>SUZUKI WAGON-R VXL E2</v>
          </cell>
          <cell r="S594" t="str">
            <v>2021</v>
          </cell>
          <cell r="T594" t="str">
            <v>AGJ-413</v>
          </cell>
          <cell r="U594" t="str">
            <v>225285</v>
          </cell>
          <cell r="V594" t="str">
            <v>10125239</v>
          </cell>
          <cell r="W594" t="str">
            <v>07-apr-2029</v>
          </cell>
          <cell r="Y594">
            <v>1288000</v>
          </cell>
          <cell r="Z594">
            <v>27758</v>
          </cell>
          <cell r="AA594">
            <v>32200</v>
          </cell>
        </row>
        <row r="595">
          <cell r="B595" t="str">
            <v>KHI/HO/D/MO/PC COMP/C/103764/84/12/2024</v>
          </cell>
          <cell r="D595" t="str">
            <v>REN</v>
          </cell>
          <cell r="E595" t="str">
            <v>18/12/24</v>
          </cell>
          <cell r="F595" t="str">
            <v>09/12/2024</v>
          </cell>
          <cell r="G595" t="str">
            <v>08/12/2025</v>
          </cell>
          <cell r="H595" t="str">
            <v>08004499</v>
          </cell>
          <cell r="I595" t="str">
            <v>AL BARAKA BANK (PAKISTAN) LIMITED</v>
          </cell>
          <cell r="J595" t="str">
            <v>BANK</v>
          </cell>
          <cell r="K595" t="str">
            <v>M/s. Al Baraka Bank (Pakistan) Limited 
M/S. Al Baraka Bank (Pakistan) Limited 
User: Muhammad  Zaid Aftab</v>
          </cell>
          <cell r="L595" t="str">
            <v>D</v>
          </cell>
          <cell r="M595" t="str">
            <v>09000221</v>
          </cell>
          <cell r="N595">
            <v>100</v>
          </cell>
          <cell r="P595" t="str">
            <v>House No. P-69 Near Old Grave Yard Samanabad Faisalabad</v>
          </cell>
          <cell r="Q595" t="str">
            <v>11000003</v>
          </cell>
          <cell r="R595" t="str">
            <v>MG HS MG HS TURBO</v>
          </cell>
          <cell r="S595" t="str">
            <v>2021</v>
          </cell>
          <cell r="T595" t="str">
            <v>AWW-410</v>
          </cell>
          <cell r="U595" t="str">
            <v>15E4E5MSM200222</v>
          </cell>
          <cell r="V595" t="str">
            <v>LSJA24U93MN154</v>
          </cell>
          <cell r="W595" t="str">
            <v>08-apr-2029</v>
          </cell>
          <cell r="Y595">
            <v>4392000</v>
          </cell>
          <cell r="Z595">
            <v>56793</v>
          </cell>
          <cell r="AA595">
            <v>65880</v>
          </cell>
        </row>
        <row r="596">
          <cell r="B596" t="str">
            <v>KHI/HO/D/MO/PC COMP/C/103764/85/12/2024</v>
          </cell>
          <cell r="D596" t="str">
            <v>REN</v>
          </cell>
          <cell r="E596" t="str">
            <v>18/12/24</v>
          </cell>
          <cell r="F596" t="str">
            <v>10/12/2024</v>
          </cell>
          <cell r="G596" t="str">
            <v>09/12/2025</v>
          </cell>
          <cell r="H596" t="str">
            <v>08004499</v>
          </cell>
          <cell r="I596" t="str">
            <v>AL BARAKA BANK (PAKISTAN) LIMITED</v>
          </cell>
          <cell r="J596" t="str">
            <v>BANK</v>
          </cell>
          <cell r="K596" t="str">
            <v>M/s. Al Baraka Bank (Pakistan) Limited 
M/S. Al Baraka Bank (Pakistan) Limited 
User: Muhammad  Bashir</v>
          </cell>
          <cell r="L596" t="str">
            <v>D</v>
          </cell>
          <cell r="M596" t="str">
            <v>09000221</v>
          </cell>
          <cell r="N596">
            <v>100</v>
          </cell>
          <cell r="P596" t="str">
            <v>House No. 9-A Street 1 Rajpoot Park Shadbagh Lahore</v>
          </cell>
          <cell r="Q596" t="str">
            <v>11000003</v>
          </cell>
          <cell r="R596" t="str">
            <v>PRINCE GLORY 580 PRO TURB</v>
          </cell>
          <cell r="S596" t="str">
            <v>2021</v>
          </cell>
          <cell r="T596" t="str">
            <v>AHM-801</v>
          </cell>
          <cell r="U596" t="str">
            <v>21749677</v>
          </cell>
          <cell r="V596" t="str">
            <v>21K2474</v>
          </cell>
          <cell r="W596" t="str">
            <v>09-apr-2029</v>
          </cell>
          <cell r="Y596">
            <v>3680000</v>
          </cell>
          <cell r="Z596">
            <v>47586</v>
          </cell>
          <cell r="AA596">
            <v>55200</v>
          </cell>
        </row>
        <row r="597">
          <cell r="B597" t="str">
            <v>KHI/HO/D/MO/PC COMP/C/103764/86/12/2024</v>
          </cell>
          <cell r="D597" t="str">
            <v>REN</v>
          </cell>
          <cell r="E597" t="str">
            <v>18/12/24</v>
          </cell>
          <cell r="F597" t="str">
            <v>10/12/2024</v>
          </cell>
          <cell r="G597" t="str">
            <v>09/12/2025</v>
          </cell>
          <cell r="H597" t="str">
            <v>08004499</v>
          </cell>
          <cell r="I597" t="str">
            <v>AL BARAKA BANK (PAKISTAN) LIMITED</v>
          </cell>
          <cell r="J597" t="str">
            <v>BANK</v>
          </cell>
          <cell r="K597" t="str">
            <v>M/s. Al Baraka Bank (Pakistan) Limited 
M/S. Al Baraka Bank (Pakistan) Limited 
User: Muhammad  Shakeel</v>
          </cell>
          <cell r="L597" t="str">
            <v>D</v>
          </cell>
          <cell r="M597" t="str">
            <v>09000221</v>
          </cell>
          <cell r="N597">
            <v>100</v>
          </cell>
          <cell r="P597" t="str">
            <v>House No. E-562 Street 03 Model Colony Walton Road Cantt Lahore</v>
          </cell>
          <cell r="Q597" t="str">
            <v>11000003</v>
          </cell>
          <cell r="R597" t="str">
            <v>SUZUKI WAGON-R VXL E2</v>
          </cell>
          <cell r="S597" t="str">
            <v>2018</v>
          </cell>
          <cell r="T597" t="str">
            <v>LE-19-6108</v>
          </cell>
          <cell r="U597" t="str">
            <v>177771</v>
          </cell>
          <cell r="V597" t="str">
            <v>10077739</v>
          </cell>
          <cell r="W597" t="str">
            <v>10-apr-2029</v>
          </cell>
          <cell r="Y597">
            <v>1320000</v>
          </cell>
          <cell r="Z597">
            <v>19914</v>
          </cell>
          <cell r="AA597">
            <v>23100</v>
          </cell>
        </row>
        <row r="598">
          <cell r="B598" t="str">
            <v>KHI/HO/D/MO/PC COMP/C/103764/87/12/2024</v>
          </cell>
          <cell r="D598" t="str">
            <v>REN</v>
          </cell>
          <cell r="E598" t="str">
            <v>18/12/24</v>
          </cell>
          <cell r="F598" t="str">
            <v>13/12/2024</v>
          </cell>
          <cell r="G598" t="str">
            <v>12/12/2025</v>
          </cell>
          <cell r="H598" t="str">
            <v>08004499</v>
          </cell>
          <cell r="I598" t="str">
            <v>AL BARAKA BANK (PAKISTAN) LIMITED</v>
          </cell>
          <cell r="J598" t="str">
            <v>BANK</v>
          </cell>
          <cell r="K598" t="str">
            <v>M/s. Al Baraka Bank (Pakistan) Limited 
M/S. Al Baraka Bank (Pakistan) Limited 
User: Muhammad   Akbar</v>
          </cell>
          <cell r="L598" t="str">
            <v>D</v>
          </cell>
          <cell r="M598" t="str">
            <v>09000221</v>
          </cell>
          <cell r="N598">
            <v>100</v>
          </cell>
          <cell r="P598" t="str">
            <v>Gulshan E Haram Colony Samundri Road Faisalabad</v>
          </cell>
          <cell r="Q598" t="str">
            <v>11000003</v>
          </cell>
          <cell r="R598" t="str">
            <v>SUZUKI BOLAN VX</v>
          </cell>
          <cell r="S598" t="str">
            <v>2021</v>
          </cell>
          <cell r="T598" t="str">
            <v>AGH-723</v>
          </cell>
          <cell r="U598" t="str">
            <v>1017427</v>
          </cell>
          <cell r="V598" t="str">
            <v>1133917</v>
          </cell>
          <cell r="W598" t="str">
            <v>11-apr-2029</v>
          </cell>
          <cell r="Y598">
            <v>919200</v>
          </cell>
          <cell r="Z598">
            <v>13867</v>
          </cell>
          <cell r="AA598">
            <v>16086</v>
          </cell>
        </row>
        <row r="599">
          <cell r="B599" t="str">
            <v>KHI/HO/D/MO/PC COMP/C/103764/88/12/2024</v>
          </cell>
          <cell r="D599" t="str">
            <v>REN</v>
          </cell>
          <cell r="E599" t="str">
            <v>18/12/24</v>
          </cell>
          <cell r="F599" t="str">
            <v>13/12/2024</v>
          </cell>
          <cell r="G599" t="str">
            <v>12/12/2025</v>
          </cell>
          <cell r="H599" t="str">
            <v>08004499</v>
          </cell>
          <cell r="I599" t="str">
            <v>AL BARAKA BANK (PAKISTAN) LIMITED</v>
          </cell>
          <cell r="J599" t="str">
            <v>BANK</v>
          </cell>
          <cell r="K599" t="str">
            <v>M/s. Al Baraka Bank (Pakistan) Limited 
M/S. Al Baraka Bank (Pakistan) Limited 
User: Sheikh Muhammad Kashif</v>
          </cell>
          <cell r="L599" t="str">
            <v>D</v>
          </cell>
          <cell r="M599" t="str">
            <v>09000221</v>
          </cell>
          <cell r="N599">
            <v>100</v>
          </cell>
          <cell r="P599" t="str">
            <v>House No. 17 Block D Sali Town Harbanspura Road Lahore</v>
          </cell>
          <cell r="Q599" t="str">
            <v>11000003</v>
          </cell>
          <cell r="R599" t="str">
            <v>HONDA CIVIC VTI  ORIEL PT</v>
          </cell>
          <cell r="S599" t="str">
            <v>2017</v>
          </cell>
          <cell r="T599" t="str">
            <v>LEA-17A-6246</v>
          </cell>
          <cell r="U599" t="str">
            <v>12921806</v>
          </cell>
          <cell r="V599" t="str">
            <v>HR025175</v>
          </cell>
          <cell r="W599" t="str">
            <v>12-apr-2029</v>
          </cell>
          <cell r="Y599">
            <v>2800000</v>
          </cell>
          <cell r="Z599">
            <v>36207</v>
          </cell>
          <cell r="AA599">
            <v>42000</v>
          </cell>
        </row>
        <row r="600">
          <cell r="B600" t="str">
            <v>KHI/HO/D/MO/PC COMP/C/103764/89/12/2024</v>
          </cell>
          <cell r="D600" t="str">
            <v>REN</v>
          </cell>
          <cell r="E600" t="str">
            <v>18/12/24</v>
          </cell>
          <cell r="F600" t="str">
            <v>13/12/2024</v>
          </cell>
          <cell r="G600" t="str">
            <v>12/12/2025</v>
          </cell>
          <cell r="H600" t="str">
            <v>08004499</v>
          </cell>
          <cell r="I600" t="str">
            <v>AL BARAKA BANK (PAKISTAN) LIMITED</v>
          </cell>
          <cell r="J600" t="str">
            <v>BANK</v>
          </cell>
          <cell r="K600" t="str">
            <v>M/s. Al Baraka Bank (Pakistan) Limited 
M/S. Al Baraka Bank (Pakistan) Limited 
User: Sameer   Shamim</v>
          </cell>
          <cell r="L600" t="str">
            <v>D</v>
          </cell>
          <cell r="M600" t="str">
            <v>09000221</v>
          </cell>
          <cell r="N600">
            <v>100</v>
          </cell>
          <cell r="P600" t="str">
            <v>House No. L-11 Block 12 Gulistan-E-Johar Karachi</v>
          </cell>
          <cell r="Q600" t="str">
            <v>11000003</v>
          </cell>
          <cell r="R600" t="str">
            <v>TOYOTA YARIS ATIV MT 1.3</v>
          </cell>
          <cell r="S600" t="str">
            <v>2021</v>
          </cell>
          <cell r="T600" t="str">
            <v>BVE-844</v>
          </cell>
          <cell r="U600" t="str">
            <v>41151</v>
          </cell>
          <cell r="V600" t="str">
            <v>7025801</v>
          </cell>
          <cell r="W600" t="str">
            <v>13-apr-2029</v>
          </cell>
          <cell r="Y600">
            <v>2140000</v>
          </cell>
          <cell r="Z600">
            <v>27672</v>
          </cell>
          <cell r="AA600">
            <v>32100</v>
          </cell>
        </row>
        <row r="601">
          <cell r="B601" t="str">
            <v>KHI/HO/D/MO/PC COMP/C/103764/90/12/2024</v>
          </cell>
          <cell r="D601" t="str">
            <v>REN</v>
          </cell>
          <cell r="E601" t="str">
            <v>18/12/24</v>
          </cell>
          <cell r="F601" t="str">
            <v>13/12/2024</v>
          </cell>
          <cell r="G601" t="str">
            <v>12/12/2025</v>
          </cell>
          <cell r="H601" t="str">
            <v>08004499</v>
          </cell>
          <cell r="I601" t="str">
            <v>AL BARAKA BANK (PAKISTAN) LIMITED</v>
          </cell>
          <cell r="J601" t="str">
            <v>BANK</v>
          </cell>
          <cell r="K601" t="str">
            <v>M/s. Al Baraka Bank (Pakistan) Limited 
M/S. Al Baraka Bank (Pakistan) Limited 
User: Ali  Faizan</v>
          </cell>
          <cell r="L601" t="str">
            <v>D</v>
          </cell>
          <cell r="M601" t="str">
            <v>09000221</v>
          </cell>
          <cell r="N601">
            <v>100</v>
          </cell>
          <cell r="P601" t="str">
            <v>H No 181/3 St No 03 Ali Block Hilal Eoad Haseeb Colony Faisalabad</v>
          </cell>
          <cell r="Q601" t="str">
            <v>11000003</v>
          </cell>
          <cell r="R601" t="str">
            <v>HONDA CIVIC 1.8 ORIEL CVT</v>
          </cell>
          <cell r="S601" t="str">
            <v>2021</v>
          </cell>
          <cell r="T601" t="str">
            <v>LEH-18-4071</v>
          </cell>
          <cell r="U601" t="str">
            <v>R18Z12930814</v>
          </cell>
          <cell r="V601" t="str">
            <v>JR034295</v>
          </cell>
          <cell r="W601" t="str">
            <v>14-apr-2029</v>
          </cell>
          <cell r="Y601">
            <v>2800000</v>
          </cell>
          <cell r="Z601">
            <v>36207</v>
          </cell>
          <cell r="AA601">
            <v>42000</v>
          </cell>
        </row>
        <row r="602">
          <cell r="B602" t="str">
            <v>KHI/HO/D/MO/PC COMP/C/103764/91/12/2024</v>
          </cell>
          <cell r="D602" t="str">
            <v>REN</v>
          </cell>
          <cell r="E602" t="str">
            <v>18/12/24</v>
          </cell>
          <cell r="F602" t="str">
            <v>14/12/2024</v>
          </cell>
          <cell r="G602" t="str">
            <v>13/12/2025</v>
          </cell>
          <cell r="H602" t="str">
            <v>08004499</v>
          </cell>
          <cell r="I602" t="str">
            <v>AL BARAKA BANK (PAKISTAN) LIMITED</v>
          </cell>
          <cell r="J602" t="str">
            <v>BANK</v>
          </cell>
          <cell r="K602" t="str">
            <v>M/s. Al Baraka Bank (Pakistan) Limited 
M/S. Al Baraka Bank (Pakistan) Limited 
User: Safyan   Amjad</v>
          </cell>
          <cell r="L602" t="str">
            <v>D</v>
          </cell>
          <cell r="M602" t="str">
            <v>09000221</v>
          </cell>
          <cell r="N602">
            <v>100</v>
          </cell>
          <cell r="P602" t="str">
            <v>Po Jamkay Cheema Harseeyan Teh. Daska Sialkot</v>
          </cell>
          <cell r="Q602" t="str">
            <v>11000003</v>
          </cell>
          <cell r="R602" t="str">
            <v>SUZUKI WAGON-R VXL E2</v>
          </cell>
          <cell r="S602" t="str">
            <v>2021</v>
          </cell>
          <cell r="T602" t="str">
            <v>AGY-273</v>
          </cell>
          <cell r="U602" t="str">
            <v>225800</v>
          </cell>
          <cell r="V602" t="str">
            <v>10125794</v>
          </cell>
          <cell r="W602" t="str">
            <v>15-apr-2029</v>
          </cell>
          <cell r="Y602">
            <v>1481600</v>
          </cell>
          <cell r="Z602">
            <v>22351</v>
          </cell>
          <cell r="AA602">
            <v>25928</v>
          </cell>
        </row>
        <row r="603">
          <cell r="B603" t="str">
            <v>KHI/HO/D/MO/PC COMP/C/103764/92/12/2024</v>
          </cell>
          <cell r="D603" t="str">
            <v>REN</v>
          </cell>
          <cell r="E603" t="str">
            <v>18/12/24</v>
          </cell>
          <cell r="F603" t="str">
            <v>14/12/2024</v>
          </cell>
          <cell r="G603" t="str">
            <v>13/12/2025</v>
          </cell>
          <cell r="H603" t="str">
            <v>08004499</v>
          </cell>
          <cell r="I603" t="str">
            <v>AL BARAKA BANK (PAKISTAN) LIMITED</v>
          </cell>
          <cell r="J603" t="str">
            <v>BANK</v>
          </cell>
          <cell r="K603" t="str">
            <v>M/s. Al Baraka Bank (Pakistan) Limited 
M/S. Al Baraka Bank (Pakistan) Limited 
User: Mumtaz   Hussain</v>
          </cell>
          <cell r="L603" t="str">
            <v>D</v>
          </cell>
          <cell r="M603" t="str">
            <v>09000221</v>
          </cell>
          <cell r="N603">
            <v>100</v>
          </cell>
          <cell r="P603" t="str">
            <v>House No. 59 Block K Shah Rukn-E-Alam Multan</v>
          </cell>
          <cell r="Q603" t="str">
            <v>11000003</v>
          </cell>
          <cell r="R603" t="str">
            <v>HONDA CIVIC VTI  ORIEL PT</v>
          </cell>
          <cell r="S603" t="str">
            <v>2018</v>
          </cell>
          <cell r="T603" t="str">
            <v>ALF-801</v>
          </cell>
          <cell r="U603" t="str">
            <v>2943953</v>
          </cell>
          <cell r="V603" t="str">
            <v>047384</v>
          </cell>
          <cell r="W603" t="str">
            <v>16-apr-2029</v>
          </cell>
          <cell r="Y603">
            <v>2960000</v>
          </cell>
          <cell r="Z603">
            <v>38276</v>
          </cell>
          <cell r="AA603">
            <v>44400</v>
          </cell>
        </row>
        <row r="604">
          <cell r="B604" t="str">
            <v>KHI/HO/D/MO/PC COMP/C/103764/93/12/2024</v>
          </cell>
          <cell r="D604" t="str">
            <v>REN</v>
          </cell>
          <cell r="E604" t="str">
            <v>18/12/24</v>
          </cell>
          <cell r="F604" t="str">
            <v>14/12/2024</v>
          </cell>
          <cell r="G604" t="str">
            <v>13/12/2025</v>
          </cell>
          <cell r="H604" t="str">
            <v>08004499</v>
          </cell>
          <cell r="I604" t="str">
            <v>AL BARAKA BANK (PAKISTAN) LIMITED</v>
          </cell>
          <cell r="J604" t="str">
            <v>BANK</v>
          </cell>
          <cell r="K604" t="str">
            <v>M/s. Al Baraka Bank (Pakistan) Limited 
M/S. Al Baraka Bank (Pakistan) Limited 
User: Syed Iftikhar  Ali</v>
          </cell>
          <cell r="L604" t="str">
            <v>D</v>
          </cell>
          <cell r="M604" t="str">
            <v>09000221</v>
          </cell>
          <cell r="N604">
            <v>100</v>
          </cell>
          <cell r="P604" t="str">
            <v>House No. 155 Mohallah Nizam Block Allama Iqbl Town Lahore</v>
          </cell>
          <cell r="Q604" t="str">
            <v>11000003</v>
          </cell>
          <cell r="R604" t="str">
            <v>CHANGAN ALSVIN LUMEIRE</v>
          </cell>
          <cell r="S604" t="str">
            <v>2021</v>
          </cell>
          <cell r="T604" t="str">
            <v>AGN-120</v>
          </cell>
          <cell r="U604" t="str">
            <v>522225</v>
          </cell>
          <cell r="V604" t="str">
            <v>1005143</v>
          </cell>
          <cell r="W604" t="str">
            <v>17-apr-2029</v>
          </cell>
          <cell r="Y604">
            <v>2291200</v>
          </cell>
          <cell r="Z604">
            <v>34565</v>
          </cell>
          <cell r="AA604">
            <v>40096</v>
          </cell>
        </row>
        <row r="605">
          <cell r="B605" t="str">
            <v>KHI/HO/D/MO/PC COMP/C/103764/94/12/2024</v>
          </cell>
          <cell r="D605" t="str">
            <v>REN</v>
          </cell>
          <cell r="E605" t="str">
            <v>18/12/24</v>
          </cell>
          <cell r="F605" t="str">
            <v>15/12/2024</v>
          </cell>
          <cell r="G605" t="str">
            <v>14/12/2025</v>
          </cell>
          <cell r="H605" t="str">
            <v>08004499</v>
          </cell>
          <cell r="I605" t="str">
            <v>AL BARAKA BANK (PAKISTAN) LIMITED</v>
          </cell>
          <cell r="J605" t="str">
            <v>BANK</v>
          </cell>
          <cell r="K605" t="str">
            <v>M/s. Al Baraka Bank (Pakistan) Limited 
M/S. Al Baraka Bank (Pakistan) Limited 
User: Usman   Shafqat</v>
          </cell>
          <cell r="L605" t="str">
            <v>D</v>
          </cell>
          <cell r="M605" t="str">
            <v>09000221</v>
          </cell>
          <cell r="N605">
            <v>100</v>
          </cell>
          <cell r="P605" t="str">
            <v>House No. 123 D Block A Gule Daman Society Colleg Road Lahore</v>
          </cell>
          <cell r="Q605" t="str">
            <v>11000003</v>
          </cell>
          <cell r="R605" t="str">
            <v>PRINCE PEARL</v>
          </cell>
          <cell r="S605" t="str">
            <v>2021</v>
          </cell>
          <cell r="T605" t="str">
            <v>AGG-058</v>
          </cell>
          <cell r="U605" t="str">
            <v>M05605717W</v>
          </cell>
          <cell r="V605" t="str">
            <v>M21K03228</v>
          </cell>
          <cell r="W605" t="str">
            <v>18-apr-2029</v>
          </cell>
          <cell r="Y605">
            <v>888800</v>
          </cell>
          <cell r="Z605">
            <v>13409</v>
          </cell>
          <cell r="AA605">
            <v>15554</v>
          </cell>
        </row>
        <row r="606">
          <cell r="B606" t="str">
            <v>KHI/HO/D/MO/PC COMP/C/103764/95/12/2024</v>
          </cell>
          <cell r="D606" t="str">
            <v>REN</v>
          </cell>
          <cell r="E606" t="str">
            <v>18/12/24</v>
          </cell>
          <cell r="F606" t="str">
            <v>15/12/2024</v>
          </cell>
          <cell r="G606" t="str">
            <v>14/12/2025</v>
          </cell>
          <cell r="H606" t="str">
            <v>08004499</v>
          </cell>
          <cell r="I606" t="str">
            <v>AL BARAKA BANK (PAKISTAN) LIMITED</v>
          </cell>
          <cell r="J606" t="str">
            <v>BANK</v>
          </cell>
          <cell r="K606" t="str">
            <v>M/s. Al Baraka Bank (Pakistan) Limited 
M/S. Al Baraka Bank (Pakistan) Limited 
User: Waqas  Hussain</v>
          </cell>
          <cell r="L606" t="str">
            <v>D</v>
          </cell>
          <cell r="M606" t="str">
            <v>09000221</v>
          </cell>
          <cell r="N606">
            <v>100</v>
          </cell>
          <cell r="P606" t="str">
            <v>H No 153 Afzal Town Badami Bagh Lohe Wali Puli Lahore</v>
          </cell>
          <cell r="Q606" t="str">
            <v>11000003</v>
          </cell>
          <cell r="R606" t="str">
            <v>TOYOTA YARIS GLI MT</v>
          </cell>
          <cell r="S606" t="str">
            <v>2021</v>
          </cell>
          <cell r="T606" t="str">
            <v>AGN-338</v>
          </cell>
          <cell r="U606" t="str">
            <v>2A42401</v>
          </cell>
          <cell r="V606" t="str">
            <v>7026621</v>
          </cell>
          <cell r="W606" t="str">
            <v>19-apr-2029</v>
          </cell>
          <cell r="Y606">
            <v>1954400</v>
          </cell>
          <cell r="Z606">
            <v>42121</v>
          </cell>
          <cell r="AA606">
            <v>48860</v>
          </cell>
        </row>
        <row r="607">
          <cell r="B607" t="str">
            <v>KHI/HO/D/MO/PC COMP/C/103764/96/12/2024</v>
          </cell>
          <cell r="D607" t="str">
            <v>REN</v>
          </cell>
          <cell r="E607" t="str">
            <v>18/12/24</v>
          </cell>
          <cell r="F607" t="str">
            <v>15/12/2024</v>
          </cell>
          <cell r="G607" t="str">
            <v>14/12/2025</v>
          </cell>
          <cell r="H607" t="str">
            <v>08004499</v>
          </cell>
          <cell r="I607" t="str">
            <v>AL BARAKA BANK (PAKISTAN) LIMITED</v>
          </cell>
          <cell r="J607" t="str">
            <v>BANK</v>
          </cell>
          <cell r="K607" t="str">
            <v>M/s. Al Baraka Bank (Pakistan) Limited 
M/S. Al Baraka Bank (Pakistan) Limited 
User: Muhammad  Afzal</v>
          </cell>
          <cell r="L607" t="str">
            <v>D</v>
          </cell>
          <cell r="M607" t="str">
            <v>09000221</v>
          </cell>
          <cell r="N607">
            <v>100</v>
          </cell>
          <cell r="P607" t="str">
            <v>H No 337 Street No 41 Sector G-9 / Islamabad</v>
          </cell>
          <cell r="Q607" t="str">
            <v>11000003</v>
          </cell>
          <cell r="R607" t="str">
            <v>SUZUKI CULTUS VXL</v>
          </cell>
          <cell r="S607" t="str">
            <v>2021</v>
          </cell>
          <cell r="T607" t="str">
            <v>AWG-448</v>
          </cell>
          <cell r="U607" t="str">
            <v>189802</v>
          </cell>
          <cell r="V607" t="str">
            <v>10090188</v>
          </cell>
          <cell r="W607" t="str">
            <v>20-apr-2029</v>
          </cell>
          <cell r="Y607">
            <v>1684000</v>
          </cell>
          <cell r="Z607">
            <v>25405</v>
          </cell>
          <cell r="AA607">
            <v>29470</v>
          </cell>
        </row>
        <row r="608">
          <cell r="B608" t="str">
            <v>KHI/HO/D/MO/PC COMP/C/103764/97/12/2024</v>
          </cell>
          <cell r="D608" t="str">
            <v>REN</v>
          </cell>
          <cell r="E608" t="str">
            <v>18/12/24</v>
          </cell>
          <cell r="F608" t="str">
            <v>16/12/2024</v>
          </cell>
          <cell r="G608" t="str">
            <v>15/12/2025</v>
          </cell>
          <cell r="H608" t="str">
            <v>08004499</v>
          </cell>
          <cell r="I608" t="str">
            <v>AL BARAKA BANK (PAKISTAN) LIMITED</v>
          </cell>
          <cell r="J608" t="str">
            <v>BANK</v>
          </cell>
          <cell r="K608" t="str">
            <v>M/s. Al Baraka Bank (Pakistan) Limited 
M/S. Al Baraka Bank (Pakistan) Limited 
User: Ghulam Mohiudin Akram</v>
          </cell>
          <cell r="L608" t="str">
            <v>D</v>
          </cell>
          <cell r="M608" t="str">
            <v>09000221</v>
          </cell>
          <cell r="N608">
            <v>100</v>
          </cell>
          <cell r="P608" t="str">
            <v>Main Bazar Liaquat Abad Kot Lakhpat Lahore</v>
          </cell>
          <cell r="Q608" t="str">
            <v>11000003</v>
          </cell>
          <cell r="R608" t="str">
            <v>SUZUKI WAGON-R VXL E2</v>
          </cell>
          <cell r="S608" t="str">
            <v>2021</v>
          </cell>
          <cell r="T608" t="str">
            <v>AHJ-122</v>
          </cell>
          <cell r="U608" t="str">
            <v>225841</v>
          </cell>
          <cell r="V608" t="str">
            <v>10125818</v>
          </cell>
          <cell r="W608" t="str">
            <v>21-apr-2029</v>
          </cell>
          <cell r="Y608">
            <v>1481600</v>
          </cell>
          <cell r="Z608">
            <v>22351</v>
          </cell>
          <cell r="AA608">
            <v>25928</v>
          </cell>
        </row>
        <row r="609">
          <cell r="B609" t="str">
            <v>KHI/HO/D/MO/PC COMP/C/103764/98/12/2024</v>
          </cell>
          <cell r="D609" t="str">
            <v>REN</v>
          </cell>
          <cell r="E609" t="str">
            <v>18/12/24</v>
          </cell>
          <cell r="F609" t="str">
            <v>16/12/2024</v>
          </cell>
          <cell r="G609" t="str">
            <v>15/12/2025</v>
          </cell>
          <cell r="H609" t="str">
            <v>08004499</v>
          </cell>
          <cell r="I609" t="str">
            <v>AL BARAKA BANK (PAKISTAN) LIMITED</v>
          </cell>
          <cell r="J609" t="str">
            <v>BANK</v>
          </cell>
          <cell r="K609" t="str">
            <v>M/s. Al Baraka Bank (Pakistan) Limited 
M/S. Al Baraka Bank (Pakistan) Limited 
User: Mirza Naeem Baig</v>
          </cell>
          <cell r="L609" t="str">
            <v>D</v>
          </cell>
          <cell r="M609" t="str">
            <v>09000221</v>
          </cell>
          <cell r="N609">
            <v>100</v>
          </cell>
          <cell r="P609" t="str">
            <v>House No. 771 Lda Street 44 Sukh Nehar Ganj Mughalpura Lahore</v>
          </cell>
          <cell r="Q609" t="str">
            <v>11000003</v>
          </cell>
          <cell r="R609" t="str">
            <v>SUZUKI WAGON-R VXL E2</v>
          </cell>
          <cell r="S609" t="str">
            <v>2021</v>
          </cell>
          <cell r="T609" t="str">
            <v>AGR-872</v>
          </cell>
          <cell r="U609" t="str">
            <v>224447</v>
          </cell>
          <cell r="V609" t="str">
            <v>10124450</v>
          </cell>
          <cell r="W609" t="str">
            <v>22-apr-2029</v>
          </cell>
          <cell r="Y609">
            <v>1481600</v>
          </cell>
          <cell r="Z609">
            <v>22351</v>
          </cell>
          <cell r="AA609">
            <v>25928</v>
          </cell>
        </row>
        <row r="610">
          <cell r="B610" t="str">
            <v>KHI/HO/D/MO/PC COMP/C/103764/99/12/2024</v>
          </cell>
          <cell r="D610" t="str">
            <v>REN</v>
          </cell>
          <cell r="E610" t="str">
            <v>18/12/24</v>
          </cell>
          <cell r="F610" t="str">
            <v>16/12/2024</v>
          </cell>
          <cell r="G610" t="str">
            <v>15/12/2025</v>
          </cell>
          <cell r="H610" t="str">
            <v>08004499</v>
          </cell>
          <cell r="I610" t="str">
            <v>AL BARAKA BANK (PAKISTAN) LIMITED</v>
          </cell>
          <cell r="J610" t="str">
            <v>BANK</v>
          </cell>
          <cell r="K610" t="str">
            <v>M/s. Al Baraka Bank (Pakistan) Limited 
M/S. Al Baraka Bank (Pakistan) Limited 
User: Nasir  Hussain</v>
          </cell>
          <cell r="L610" t="str">
            <v>D</v>
          </cell>
          <cell r="M610" t="str">
            <v>09000221</v>
          </cell>
          <cell r="N610">
            <v>100</v>
          </cell>
          <cell r="P610" t="str">
            <v>206 B Block Punjab Servant H. Society Shahkam Lahcre Lahore</v>
          </cell>
          <cell r="Q610" t="str">
            <v>11000003</v>
          </cell>
          <cell r="R610" t="str">
            <v>SUZUKI ALTO VXR E-2</v>
          </cell>
          <cell r="S610" t="str">
            <v>2021</v>
          </cell>
          <cell r="T610" t="str">
            <v>AHB-571</v>
          </cell>
          <cell r="U610" t="str">
            <v>6R191978</v>
          </cell>
          <cell r="V610" t="str">
            <v>NF1AET306H1091990</v>
          </cell>
          <cell r="W610" t="str">
            <v>23-apr-2029</v>
          </cell>
          <cell r="Y610">
            <v>1068000</v>
          </cell>
          <cell r="Z610">
            <v>23017</v>
          </cell>
          <cell r="AA610">
            <v>26700</v>
          </cell>
        </row>
        <row r="611">
          <cell r="B611" t="str">
            <v>KHI/HO/D/MO/PC COMP/C/103764/100/12/2024</v>
          </cell>
          <cell r="D611" t="str">
            <v>REN</v>
          </cell>
          <cell r="E611" t="str">
            <v>18/12/24</v>
          </cell>
          <cell r="F611" t="str">
            <v>17/12/2024</v>
          </cell>
          <cell r="G611" t="str">
            <v>16/12/2025</v>
          </cell>
          <cell r="H611" t="str">
            <v>08004499</v>
          </cell>
          <cell r="I611" t="str">
            <v>AL BARAKA BANK (PAKISTAN) LIMITED</v>
          </cell>
          <cell r="J611" t="str">
            <v>BANK</v>
          </cell>
          <cell r="K611" t="str">
            <v>M/s. Al Baraka Bank (Pakistan) Limited 
M/S. Al Baraka Bank (Pakistan) Limited 
User: Sadaqat  Ali</v>
          </cell>
          <cell r="L611" t="str">
            <v>D</v>
          </cell>
          <cell r="M611" t="str">
            <v>09000221</v>
          </cell>
          <cell r="N611">
            <v>100</v>
          </cell>
          <cell r="P611" t="str">
            <v>H # E-17 Muneer Street Mohallah Arifabad Bhatta Chowk Bedian Road Lahore</v>
          </cell>
          <cell r="Q611" t="str">
            <v>11000003</v>
          </cell>
          <cell r="R611" t="str">
            <v>SUZUKI WAGON-R VXL E2</v>
          </cell>
          <cell r="S611" t="str">
            <v>2021</v>
          </cell>
          <cell r="T611" t="str">
            <v>AGK-979</v>
          </cell>
          <cell r="U611" t="str">
            <v>224559</v>
          </cell>
          <cell r="V611" t="str">
            <v>10124578</v>
          </cell>
          <cell r="W611" t="str">
            <v>24-apr-2029</v>
          </cell>
          <cell r="Y611">
            <v>1481600</v>
          </cell>
          <cell r="Z611">
            <v>22351</v>
          </cell>
          <cell r="AA611">
            <v>25928</v>
          </cell>
        </row>
        <row r="612">
          <cell r="B612" t="str">
            <v>KHI/HO/D/MO/PC COMP/C/103764/101/12/2024</v>
          </cell>
          <cell r="D612" t="str">
            <v>REN</v>
          </cell>
          <cell r="E612" t="str">
            <v>18/12/24</v>
          </cell>
          <cell r="F612" t="str">
            <v>17/12/2024</v>
          </cell>
          <cell r="G612" t="str">
            <v>16/12/2025</v>
          </cell>
          <cell r="H612" t="str">
            <v>08004499</v>
          </cell>
          <cell r="I612" t="str">
            <v>AL BARAKA BANK (PAKISTAN) LIMITED</v>
          </cell>
          <cell r="J612" t="str">
            <v>BANK</v>
          </cell>
          <cell r="K612" t="str">
            <v>M/s. Al Baraka Bank (Pakistan) Limited 
M/S. Al Baraka Bank (Pakistan) Limited 
User: Javed  Yousaf</v>
          </cell>
          <cell r="L612" t="str">
            <v>D</v>
          </cell>
          <cell r="M612" t="str">
            <v>09000221</v>
          </cell>
          <cell r="N612">
            <v>100</v>
          </cell>
          <cell r="P612" t="str">
            <v>H # 17 Street 12-A Mujahid Colony Baker Mandi Band Road Lahore</v>
          </cell>
          <cell r="Q612" t="str">
            <v>11000003</v>
          </cell>
          <cell r="R612" t="str">
            <v>SUZUKI WAGON-R VXL E2</v>
          </cell>
          <cell r="S612" t="str">
            <v>2021</v>
          </cell>
          <cell r="T612" t="str">
            <v>AGT-104</v>
          </cell>
          <cell r="U612" t="str">
            <v>225796</v>
          </cell>
          <cell r="V612" t="str">
            <v>10125784</v>
          </cell>
          <cell r="W612" t="str">
            <v>25-apr-2029</v>
          </cell>
          <cell r="Y612">
            <v>1481600</v>
          </cell>
          <cell r="Z612">
            <v>22351</v>
          </cell>
          <cell r="AA612">
            <v>25928</v>
          </cell>
        </row>
        <row r="613">
          <cell r="B613" t="str">
            <v>KHI/HO/D/MO/PC COMP/C/103764/102/12/2024</v>
          </cell>
          <cell r="D613" t="str">
            <v>REN</v>
          </cell>
          <cell r="E613" t="str">
            <v>18/12/24</v>
          </cell>
          <cell r="F613" t="str">
            <v>20/12/2024</v>
          </cell>
          <cell r="G613" t="str">
            <v>19/12/2025</v>
          </cell>
          <cell r="H613" t="str">
            <v>08004499</v>
          </cell>
          <cell r="I613" t="str">
            <v>AL BARAKA BANK (PAKISTAN) LIMITED</v>
          </cell>
          <cell r="J613" t="str">
            <v>BANK</v>
          </cell>
          <cell r="K613" t="str">
            <v>M/s. Al Baraka Bank (Pakistan) Limited 
M/S. Al Baraka Bank (Pakistan) Limited 
User: Rizwan  Younas</v>
          </cell>
          <cell r="L613" t="str">
            <v>D</v>
          </cell>
          <cell r="M613" t="str">
            <v>09000221</v>
          </cell>
          <cell r="N613">
            <v>100</v>
          </cell>
          <cell r="P613" t="str">
            <v>H # 56 Usman Street Umar Park Khuda Bux Road Bund Road Lahore</v>
          </cell>
          <cell r="Q613" t="str">
            <v>11000003</v>
          </cell>
          <cell r="R613" t="str">
            <v>SUZUKI ALTO VXR E-2</v>
          </cell>
          <cell r="S613" t="str">
            <v>2021</v>
          </cell>
          <cell r="T613" t="str">
            <v>AHF-137</v>
          </cell>
          <cell r="U613" t="str">
            <v>195246</v>
          </cell>
          <cell r="V613" t="str">
            <v>1095236</v>
          </cell>
          <cell r="W613" t="str">
            <v>26-apr-2029</v>
          </cell>
          <cell r="Y613">
            <v>1206400</v>
          </cell>
          <cell r="Z613">
            <v>18200</v>
          </cell>
          <cell r="AA613">
            <v>21112</v>
          </cell>
        </row>
        <row r="614">
          <cell r="B614" t="str">
            <v>KHI/HO/D/MO/PC COMP/C/103764/103/12/2024</v>
          </cell>
          <cell r="D614" t="str">
            <v>REN</v>
          </cell>
          <cell r="E614" t="str">
            <v>18/12/24</v>
          </cell>
          <cell r="F614" t="str">
            <v>20/12/2024</v>
          </cell>
          <cell r="G614" t="str">
            <v>19/12/2025</v>
          </cell>
          <cell r="H614" t="str">
            <v>08004499</v>
          </cell>
          <cell r="I614" t="str">
            <v>AL BARAKA BANK (PAKISTAN) LIMITED</v>
          </cell>
          <cell r="J614" t="str">
            <v>BANK</v>
          </cell>
          <cell r="K614" t="str">
            <v>M/s. Al Baraka Bank (Pakistan) Limited 
M/S. Al Baraka Bank (Pakistan) Limited 
User: Nishan  Ali</v>
          </cell>
          <cell r="L614" t="str">
            <v>D</v>
          </cell>
          <cell r="M614" t="str">
            <v>09000221</v>
          </cell>
          <cell r="N614">
            <v>100</v>
          </cell>
          <cell r="P614" t="str">
            <v>127-A Block Al Wahab Garden Kot Abdul Malik Sharkpur Road Lahore</v>
          </cell>
          <cell r="Q614" t="str">
            <v>11000003</v>
          </cell>
          <cell r="R614" t="str">
            <v>SUZUKI WAGON-R VXL E2</v>
          </cell>
          <cell r="S614" t="str">
            <v>2021</v>
          </cell>
          <cell r="T614" t="str">
            <v>AHC-871</v>
          </cell>
          <cell r="U614" t="str">
            <v>225739</v>
          </cell>
          <cell r="V614" t="str">
            <v>10125734</v>
          </cell>
          <cell r="W614" t="str">
            <v>27-apr-2029</v>
          </cell>
          <cell r="Y614">
            <v>1481600</v>
          </cell>
          <cell r="Z614">
            <v>22351</v>
          </cell>
          <cell r="AA614">
            <v>25928</v>
          </cell>
        </row>
        <row r="615">
          <cell r="B615" t="str">
            <v>KHI/HO/D/MO/PC COMP/C/103764/104/12/2024</v>
          </cell>
          <cell r="D615" t="str">
            <v>REN</v>
          </cell>
          <cell r="E615" t="str">
            <v>18/12/24</v>
          </cell>
          <cell r="F615" t="str">
            <v>21/12/2024</v>
          </cell>
          <cell r="G615" t="str">
            <v>20/12/2025</v>
          </cell>
          <cell r="H615" t="str">
            <v>08004499</v>
          </cell>
          <cell r="I615" t="str">
            <v>AL BARAKA BANK (PAKISTAN) LIMITED</v>
          </cell>
          <cell r="J615" t="str">
            <v>BANK</v>
          </cell>
          <cell r="K615" t="str">
            <v>M/s. Al Baraka Bank (Pakistan) Limited 
M/S. Al Baraka Bank (Pakistan) Limited 
User: Muhammad Abid Sadiq</v>
          </cell>
          <cell r="L615" t="str">
            <v>D</v>
          </cell>
          <cell r="M615" t="str">
            <v>09000221</v>
          </cell>
          <cell r="N615">
            <v>100</v>
          </cell>
          <cell r="P615" t="str">
            <v>H # 1 Street 7 Main Bazar Main Colony Begum Kot Shahdra Lahore</v>
          </cell>
          <cell r="Q615" t="str">
            <v>11000003</v>
          </cell>
          <cell r="R615" t="str">
            <v>SUZUKI WAGON R VXL</v>
          </cell>
          <cell r="S615" t="str">
            <v>2021</v>
          </cell>
          <cell r="T615" t="str">
            <v>AGD-524</v>
          </cell>
          <cell r="U615" t="str">
            <v>PK10B225369</v>
          </cell>
          <cell r="V615" t="str">
            <v>PK10125366</v>
          </cell>
          <cell r="W615" t="str">
            <v>28-apr-2029</v>
          </cell>
          <cell r="Y615">
            <v>1288000</v>
          </cell>
          <cell r="Z615">
            <v>27758</v>
          </cell>
          <cell r="AA615">
            <v>32200</v>
          </cell>
        </row>
        <row r="616">
          <cell r="B616" t="str">
            <v>KHI/HO/D/MO/PC COMP/C/103764/105/12/2024</v>
          </cell>
          <cell r="D616" t="str">
            <v>REN</v>
          </cell>
          <cell r="E616" t="str">
            <v>18/12/24</v>
          </cell>
          <cell r="F616" t="str">
            <v>21/12/2024</v>
          </cell>
          <cell r="G616" t="str">
            <v>20/12/2025</v>
          </cell>
          <cell r="H616" t="str">
            <v>08004499</v>
          </cell>
          <cell r="I616" t="str">
            <v>AL BARAKA BANK (PAKISTAN) LIMITED</v>
          </cell>
          <cell r="J616" t="str">
            <v>BANK</v>
          </cell>
          <cell r="K616" t="str">
            <v>M/s. Al Baraka Bank (Pakistan) Limited 
M/S. Al Baraka Bank (Pakistan) Limited 
User: Zohaib  Bashir</v>
          </cell>
          <cell r="L616" t="str">
            <v>D</v>
          </cell>
          <cell r="M616" t="str">
            <v>09000221</v>
          </cell>
          <cell r="N616">
            <v>100</v>
          </cell>
          <cell r="P616" t="str">
            <v>Chak No 208 Rb Gate Wala Sakhan Faisalabad</v>
          </cell>
          <cell r="Q616" t="str">
            <v>11000003</v>
          </cell>
          <cell r="R616" t="str">
            <v>TOYOTA YARIS 1.3 H CVT</v>
          </cell>
          <cell r="S616" t="str">
            <v>2021</v>
          </cell>
          <cell r="T616" t="str">
            <v>AGK-421</v>
          </cell>
          <cell r="U616" t="str">
            <v>2A29222</v>
          </cell>
          <cell r="V616" t="str">
            <v>NSP150R-7017923</v>
          </cell>
          <cell r="W616" t="str">
            <v>29-apr-2029</v>
          </cell>
          <cell r="Y616">
            <v>2162400</v>
          </cell>
          <cell r="Z616">
            <v>32623</v>
          </cell>
          <cell r="AA616">
            <v>37842</v>
          </cell>
        </row>
        <row r="617">
          <cell r="B617" t="str">
            <v>KHI/HO/D/MO/PC COMP/C/103764/106/12/2024</v>
          </cell>
          <cell r="D617" t="str">
            <v>REN</v>
          </cell>
          <cell r="E617" t="str">
            <v>18/12/24</v>
          </cell>
          <cell r="F617" t="str">
            <v>22/12/2024</v>
          </cell>
          <cell r="G617" t="str">
            <v>21/12/2025</v>
          </cell>
          <cell r="H617" t="str">
            <v>08004499</v>
          </cell>
          <cell r="I617" t="str">
            <v>AL BARAKA BANK (PAKISTAN) LIMITED</v>
          </cell>
          <cell r="J617" t="str">
            <v>BANK</v>
          </cell>
          <cell r="K617" t="str">
            <v>M/s. Al Baraka Bank (Pakistan) Limited 
M/S. Al Baraka Bank (Pakistan) Limited 
User: Naseem Abbas Bhatti</v>
          </cell>
          <cell r="L617" t="str">
            <v>D</v>
          </cell>
          <cell r="M617" t="str">
            <v>09000221</v>
          </cell>
          <cell r="N617">
            <v>100</v>
          </cell>
          <cell r="P617" t="str">
            <v>House No. 41 M Block Arifwala</v>
          </cell>
          <cell r="Q617" t="str">
            <v>11000003</v>
          </cell>
          <cell r="R617" t="str">
            <v>SUZUKI CULTUS VXL EURO II</v>
          </cell>
          <cell r="S617" t="str">
            <v>2021</v>
          </cell>
          <cell r="T617" t="str">
            <v>ABD-733</v>
          </cell>
          <cell r="U617" t="str">
            <v>164970</v>
          </cell>
          <cell r="V617" t="str">
            <v>10064942</v>
          </cell>
          <cell r="W617" t="str">
            <v>30-apr-2029</v>
          </cell>
          <cell r="Y617">
            <v>1600000</v>
          </cell>
          <cell r="Z617">
            <v>24138</v>
          </cell>
          <cell r="AA617">
            <v>28000</v>
          </cell>
        </row>
        <row r="618">
          <cell r="B618" t="str">
            <v>KHI/HO/D/MO/PC COMP/C/103764/107/12/2024</v>
          </cell>
          <cell r="D618" t="str">
            <v>REN</v>
          </cell>
          <cell r="E618" t="str">
            <v>18/12/24</v>
          </cell>
          <cell r="F618" t="str">
            <v>22/12/2024</v>
          </cell>
          <cell r="G618" t="str">
            <v>21/12/2025</v>
          </cell>
          <cell r="H618" t="str">
            <v>08004499</v>
          </cell>
          <cell r="I618" t="str">
            <v>AL BARAKA BANK (PAKISTAN) LIMITED</v>
          </cell>
          <cell r="J618" t="str">
            <v>BANK</v>
          </cell>
          <cell r="K618" t="str">
            <v>M/s. Al Baraka Bank (Pakistan) Limited 
M/S. Al Baraka Bank (Pakistan) Limited 
User: Asghar  Ali</v>
          </cell>
          <cell r="L618" t="str">
            <v>D</v>
          </cell>
          <cell r="M618" t="str">
            <v>09000221</v>
          </cell>
          <cell r="N618">
            <v>100</v>
          </cell>
          <cell r="P618" t="str">
            <v>H # 907-A Central Park H Society Main Ferozepur Road Lahore</v>
          </cell>
          <cell r="Q618" t="str">
            <v>11000003</v>
          </cell>
          <cell r="R618" t="str">
            <v>TOYOTA YARIS ATIV X CVT 1</v>
          </cell>
          <cell r="S618" t="str">
            <v>2021</v>
          </cell>
          <cell r="T618" t="str">
            <v>AGK-985</v>
          </cell>
          <cell r="U618" t="str">
            <v>2A42744</v>
          </cell>
          <cell r="V618" t="str">
            <v>7026745</v>
          </cell>
          <cell r="W618" t="str">
            <v>01-may-2029</v>
          </cell>
          <cell r="Y618">
            <v>2162400</v>
          </cell>
          <cell r="Z618">
            <v>46603</v>
          </cell>
          <cell r="AA618">
            <v>54060</v>
          </cell>
        </row>
        <row r="619">
          <cell r="B619" t="str">
            <v>KHI/HO/D/MO/PC COMP/C/103764/108/12/2024</v>
          </cell>
          <cell r="D619" t="str">
            <v>REN</v>
          </cell>
          <cell r="E619" t="str">
            <v>18/12/24</v>
          </cell>
          <cell r="F619" t="str">
            <v>22/12/2024</v>
          </cell>
          <cell r="G619" t="str">
            <v>21/12/2025</v>
          </cell>
          <cell r="H619" t="str">
            <v>08004499</v>
          </cell>
          <cell r="I619" t="str">
            <v>AL BARAKA BANK (PAKISTAN) LIMITED</v>
          </cell>
          <cell r="J619" t="str">
            <v>BANK</v>
          </cell>
          <cell r="K619" t="str">
            <v>M/s. Al Baraka Bank (Pakistan) Limited 
M/S. Al Baraka Bank (Pakistan) Limited 
User: Mannan Atiq Sheikh</v>
          </cell>
          <cell r="L619" t="str">
            <v>D</v>
          </cell>
          <cell r="M619" t="str">
            <v>09000221</v>
          </cell>
          <cell r="N619">
            <v>100</v>
          </cell>
          <cell r="P619" t="str">
            <v>H # 7 Muhammad Hussain Saddar Bazar Lahore</v>
          </cell>
          <cell r="Q619" t="str">
            <v>11000003</v>
          </cell>
          <cell r="R619" t="str">
            <v>CHANGAN ALSVIN LUMEIRE</v>
          </cell>
          <cell r="S619" t="str">
            <v>2021</v>
          </cell>
          <cell r="T619" t="str">
            <v>AGF-204</v>
          </cell>
          <cell r="U619" t="str">
            <v>518061</v>
          </cell>
          <cell r="V619" t="str">
            <v>1003892</v>
          </cell>
          <cell r="W619" t="str">
            <v>02-may-2029</v>
          </cell>
          <cell r="Y619">
            <v>2071200</v>
          </cell>
          <cell r="Z619">
            <v>31247</v>
          </cell>
          <cell r="AA619">
            <v>36246</v>
          </cell>
        </row>
        <row r="620">
          <cell r="B620" t="str">
            <v>KHI/HO/D/MO/PC COMP/C/103764/109/12/2024</v>
          </cell>
          <cell r="D620" t="str">
            <v>REN</v>
          </cell>
          <cell r="E620" t="str">
            <v>18/12/24</v>
          </cell>
          <cell r="F620" t="str">
            <v>22/12/2024</v>
          </cell>
          <cell r="G620" t="str">
            <v>21/12/2025</v>
          </cell>
          <cell r="H620" t="str">
            <v>08004499</v>
          </cell>
          <cell r="I620" t="str">
            <v>AL BARAKA BANK (PAKISTAN) LIMITED</v>
          </cell>
          <cell r="J620" t="str">
            <v>BANK</v>
          </cell>
          <cell r="K620" t="str">
            <v>M/s. Al Baraka Bank (Pakistan) Limited 
M/S. Al Baraka Bank (Pakistan) Limited 
User: Sarfaraz  Ahmad</v>
          </cell>
          <cell r="L620" t="str">
            <v>D</v>
          </cell>
          <cell r="M620" t="str">
            <v>09000221</v>
          </cell>
          <cell r="N620">
            <v>100</v>
          </cell>
          <cell r="P620" t="str">
            <v>House No. 14 Shazo Colony Swami Nagar 45 Gt Road Lahore</v>
          </cell>
          <cell r="Q620" t="str">
            <v>11000003</v>
          </cell>
          <cell r="R620" t="str">
            <v>SUZUKI ALTO VXR E-2</v>
          </cell>
          <cell r="S620" t="str">
            <v>2021</v>
          </cell>
          <cell r="T620" t="str">
            <v>AGH-687</v>
          </cell>
          <cell r="U620" t="str">
            <v>6R200748</v>
          </cell>
          <cell r="V620" t="str">
            <v>H1100763</v>
          </cell>
          <cell r="W620" t="str">
            <v>03-may-2029</v>
          </cell>
          <cell r="Y620">
            <v>1068000</v>
          </cell>
          <cell r="Z620">
            <v>23017</v>
          </cell>
          <cell r="AA620">
            <v>26700</v>
          </cell>
        </row>
        <row r="621">
          <cell r="B621" t="str">
            <v>KHI/HO/D/MO/PC COMP/C/103764/110/12/2024</v>
          </cell>
          <cell r="D621" t="str">
            <v>REN</v>
          </cell>
          <cell r="E621" t="str">
            <v>18/12/24</v>
          </cell>
          <cell r="F621" t="str">
            <v>23/12/2024</v>
          </cell>
          <cell r="G621" t="str">
            <v>22/12/2025</v>
          </cell>
          <cell r="H621" t="str">
            <v>08004499</v>
          </cell>
          <cell r="I621" t="str">
            <v>AL BARAKA BANK (PAKISTAN) LIMITED</v>
          </cell>
          <cell r="J621" t="str">
            <v>BANK</v>
          </cell>
          <cell r="K621" t="str">
            <v>M/s. Al Baraka Bank (Pakistan) Limited 
M/S. Al Baraka Bank (Pakistan) Limited 
User: Faiz  Rabbani Khan</v>
          </cell>
          <cell r="L621" t="str">
            <v>D</v>
          </cell>
          <cell r="M621" t="str">
            <v>09000221</v>
          </cell>
          <cell r="N621">
            <v>100</v>
          </cell>
          <cell r="P621" t="str">
            <v>House No. 67 Block 3 Sector B-2 Township Lahore</v>
          </cell>
          <cell r="Q621" t="str">
            <v>11000003</v>
          </cell>
          <cell r="R621" t="str">
            <v>TOYOTA FORTUNER A/T 2.7L</v>
          </cell>
          <cell r="S621" t="str">
            <v>2021</v>
          </cell>
          <cell r="T621" t="str">
            <v>AHB-403</v>
          </cell>
          <cell r="U621" t="str">
            <v>A-923759</v>
          </cell>
          <cell r="V621" t="str">
            <v>R-0893881</v>
          </cell>
          <cell r="W621" t="str">
            <v>04-may-2029</v>
          </cell>
          <cell r="Y621">
            <v>6151200</v>
          </cell>
          <cell r="Z621">
            <v>79542</v>
          </cell>
          <cell r="AA621">
            <v>92268</v>
          </cell>
        </row>
        <row r="622">
          <cell r="B622" t="str">
            <v>KHI/HO/D/MO/PC COMP/C/103764/111/12/2024</v>
          </cell>
          <cell r="D622" t="str">
            <v>REN</v>
          </cell>
          <cell r="E622" t="str">
            <v>18/12/24</v>
          </cell>
          <cell r="F622" t="str">
            <v>03/12/2024</v>
          </cell>
          <cell r="G622" t="str">
            <v>02/12/2025</v>
          </cell>
          <cell r="H622" t="str">
            <v>08004499</v>
          </cell>
          <cell r="I622" t="str">
            <v>AL BARAKA BANK (PAKISTAN) LIMITED</v>
          </cell>
          <cell r="J622" t="str">
            <v>BANK</v>
          </cell>
          <cell r="K622" t="str">
            <v>M/s. Al Baraka Bank (Pakistan) Limited 
M/S. Al Baraka Bank (Pakistan) Limited 
User: Amir  Ali</v>
          </cell>
          <cell r="L622" t="str">
            <v>D</v>
          </cell>
          <cell r="M622" t="str">
            <v>09000221</v>
          </cell>
          <cell r="N622">
            <v>100</v>
          </cell>
          <cell r="P622" t="str">
            <v>House No. 47 1St-2Nd  Floor Street 18 Umer Din Road Wasan Pura Shadbagh Lahore</v>
          </cell>
          <cell r="Q622" t="str">
            <v>11000003</v>
          </cell>
          <cell r="R622" t="str">
            <v>TOYOTA YARIS ATIV X CVT 1</v>
          </cell>
          <cell r="S622" t="str">
            <v>2021</v>
          </cell>
          <cell r="T622" t="str">
            <v>AGA-459</v>
          </cell>
          <cell r="U622" t="str">
            <v>2A41682</v>
          </cell>
          <cell r="V622" t="str">
            <v>7026172</v>
          </cell>
          <cell r="W622" t="str">
            <v>05-may-2029</v>
          </cell>
          <cell r="Y622">
            <v>2162400</v>
          </cell>
          <cell r="Z622">
            <v>46603</v>
          </cell>
          <cell r="AA622">
            <v>54060</v>
          </cell>
        </row>
        <row r="623">
          <cell r="B623" t="str">
            <v>KHI/HO/D/MO/PC COMP/C/103764/112/12/2024</v>
          </cell>
          <cell r="D623" t="str">
            <v>REN</v>
          </cell>
          <cell r="E623" t="str">
            <v>18/12/24</v>
          </cell>
          <cell r="F623" t="str">
            <v>23/12/2024</v>
          </cell>
          <cell r="G623" t="str">
            <v>22/12/2025</v>
          </cell>
          <cell r="H623" t="str">
            <v>08004499</v>
          </cell>
          <cell r="I623" t="str">
            <v>AL BARAKA BANK (PAKISTAN) LIMITED</v>
          </cell>
          <cell r="J623" t="str">
            <v>BANK</v>
          </cell>
          <cell r="K623" t="str">
            <v>M/s. Al Baraka Bank (Pakistan) Limited 
M/S. Al Baraka Bank (Pakistan) Limited 
User: Tanveer  Akbar</v>
          </cell>
          <cell r="L623" t="str">
            <v>D</v>
          </cell>
          <cell r="M623" t="str">
            <v>09000221</v>
          </cell>
          <cell r="N623">
            <v>100</v>
          </cell>
          <cell r="P623" t="str">
            <v>Street 02 Satellite Colony Chak 22 Rb Near Pepsi Co Faisalabad</v>
          </cell>
          <cell r="Q623" t="str">
            <v>11000003</v>
          </cell>
          <cell r="R623" t="str">
            <v>KIA PICANTO 1.0L A/T</v>
          </cell>
          <cell r="S623" t="str">
            <v>2020</v>
          </cell>
          <cell r="T623" t="str">
            <v>ARS-170</v>
          </cell>
          <cell r="U623" t="str">
            <v>G3LALP024810</v>
          </cell>
          <cell r="V623" t="str">
            <v>NNATA52A2KP702280</v>
          </cell>
          <cell r="W623" t="str">
            <v>06-may-2029</v>
          </cell>
          <cell r="Y623">
            <v>1744000</v>
          </cell>
          <cell r="Z623">
            <v>26310</v>
          </cell>
          <cell r="AA623">
            <v>30520</v>
          </cell>
        </row>
        <row r="624">
          <cell r="B624" t="str">
            <v>KHI/HO/D/MO/PC COMP/C/103764/113/12/2024</v>
          </cell>
          <cell r="D624" t="str">
            <v>REN</v>
          </cell>
          <cell r="E624" t="str">
            <v>18/12/24</v>
          </cell>
          <cell r="F624" t="str">
            <v>23/12/2024</v>
          </cell>
          <cell r="G624" t="str">
            <v>22/12/2025</v>
          </cell>
          <cell r="H624" t="str">
            <v>08004499</v>
          </cell>
          <cell r="I624" t="str">
            <v>AL BARAKA BANK (PAKISTAN) LIMITED</v>
          </cell>
          <cell r="J624" t="str">
            <v>BANK</v>
          </cell>
          <cell r="K624" t="str">
            <v>M/s. Al Baraka Bank (Pakistan) Limited 
M/S. Al Baraka Bank (Pakistan) Limited 
User: Samina  Malik</v>
          </cell>
          <cell r="L624" t="str">
            <v>D</v>
          </cell>
          <cell r="M624" t="str">
            <v>09000221</v>
          </cell>
          <cell r="N624">
            <v>100</v>
          </cell>
          <cell r="P624" t="str">
            <v>331-B Johar Town Lahore</v>
          </cell>
          <cell r="Q624" t="str">
            <v>11000003</v>
          </cell>
          <cell r="R624" t="str">
            <v>HONDA CIVIC VTI  ORIEL PT</v>
          </cell>
          <cell r="S624" t="str">
            <v>2021</v>
          </cell>
          <cell r="T624" t="str">
            <v>AGE-922</v>
          </cell>
          <cell r="U624" t="str">
            <v>R18Z16922104</v>
          </cell>
          <cell r="V624" t="str">
            <v>MR074457</v>
          </cell>
          <cell r="W624" t="str">
            <v>07-may-2029</v>
          </cell>
          <cell r="Y624">
            <v>3280000</v>
          </cell>
          <cell r="Z624">
            <v>42414</v>
          </cell>
          <cell r="AA624">
            <v>49200</v>
          </cell>
        </row>
        <row r="625">
          <cell r="B625" t="str">
            <v>KHI/HO/D/MO/PC COMP/C/103764/114/12/2024</v>
          </cell>
          <cell r="D625" t="str">
            <v>REN</v>
          </cell>
          <cell r="E625" t="str">
            <v>18/12/24</v>
          </cell>
          <cell r="F625" t="str">
            <v>24/12/2024</v>
          </cell>
          <cell r="G625" t="str">
            <v>23/12/2025</v>
          </cell>
          <cell r="H625" t="str">
            <v>08004499</v>
          </cell>
          <cell r="I625" t="str">
            <v>AL BARAKA BANK (PAKISTAN) LIMITED</v>
          </cell>
          <cell r="J625" t="str">
            <v>BANK</v>
          </cell>
          <cell r="K625" t="str">
            <v>M/s. Al Baraka Bank (Pakistan) Limited 
M/S. Al Baraka Bank (Pakistan) Limited 
User: Fahad Yaqoob Bajwa</v>
          </cell>
          <cell r="L625" t="str">
            <v>D</v>
          </cell>
          <cell r="M625" t="str">
            <v>09000221</v>
          </cell>
          <cell r="N625">
            <v>100</v>
          </cell>
          <cell r="P625" t="str">
            <v>Chak No 219 Rb Naimat Abad Ganda Singh Wala Faisalabad</v>
          </cell>
          <cell r="Q625" t="str">
            <v>11000003</v>
          </cell>
          <cell r="R625" t="str">
            <v>SUZUKI ALTO</v>
          </cell>
          <cell r="S625" t="str">
            <v>2021</v>
          </cell>
          <cell r="T625" t="str">
            <v>AGD-695</v>
          </cell>
          <cell r="U625" t="str">
            <v>6R201944</v>
          </cell>
          <cell r="V625" t="str">
            <v>NF1AET306H1101939</v>
          </cell>
          <cell r="W625" t="str">
            <v>08-may-2029</v>
          </cell>
          <cell r="Y625">
            <v>1206400</v>
          </cell>
          <cell r="Z625">
            <v>18200</v>
          </cell>
          <cell r="AA625">
            <v>21112</v>
          </cell>
        </row>
        <row r="626">
          <cell r="B626" t="str">
            <v>KHI/HO/D/MO/PC COMP/C/103764/115/12/2024</v>
          </cell>
          <cell r="D626" t="str">
            <v>REN</v>
          </cell>
          <cell r="E626" t="str">
            <v>18/12/24</v>
          </cell>
          <cell r="F626" t="str">
            <v>27/12/2024</v>
          </cell>
          <cell r="G626" t="str">
            <v>26/12/2025</v>
          </cell>
          <cell r="H626" t="str">
            <v>08004499</v>
          </cell>
          <cell r="I626" t="str">
            <v>AL BARAKA BANK (PAKISTAN) LIMITED</v>
          </cell>
          <cell r="J626" t="str">
            <v>BANK</v>
          </cell>
          <cell r="K626" t="str">
            <v>M/s. Al Baraka Bank (Pakistan) Limited 
M/S. Al Baraka Bank (Pakistan) Limited 
User: Malik Muhammad Ramzan</v>
          </cell>
          <cell r="L626" t="str">
            <v>D</v>
          </cell>
          <cell r="M626" t="str">
            <v>09000221</v>
          </cell>
          <cell r="N626">
            <v>100</v>
          </cell>
          <cell r="P626" t="str">
            <v>H # 56 Commerce College Road Chaudhary Town Bahawalpur</v>
          </cell>
          <cell r="Q626" t="str">
            <v>11000003</v>
          </cell>
          <cell r="R626" t="str">
            <v>KIA STONIC EX+</v>
          </cell>
          <cell r="S626" t="str">
            <v>2021</v>
          </cell>
          <cell r="T626" t="str">
            <v>AXU-806</v>
          </cell>
          <cell r="U626" t="str">
            <v>813839</v>
          </cell>
          <cell r="V626" t="str">
            <v>700328</v>
          </cell>
          <cell r="W626" t="str">
            <v>09-may-2029</v>
          </cell>
          <cell r="Y626">
            <v>3124800</v>
          </cell>
          <cell r="Z626">
            <v>40407</v>
          </cell>
          <cell r="AA626">
            <v>46872</v>
          </cell>
        </row>
        <row r="627">
          <cell r="B627" t="str">
            <v>KHI/HO/D/MO/PC COMP/C/103764/116/12/2024</v>
          </cell>
          <cell r="D627" t="str">
            <v>REN</v>
          </cell>
          <cell r="E627" t="str">
            <v>18/12/24</v>
          </cell>
          <cell r="F627" t="str">
            <v>28/12/2024</v>
          </cell>
          <cell r="G627" t="str">
            <v>27/12/2025</v>
          </cell>
          <cell r="H627" t="str">
            <v>08004499</v>
          </cell>
          <cell r="I627" t="str">
            <v>AL BARAKA BANK (PAKISTAN) LIMITED</v>
          </cell>
          <cell r="J627" t="str">
            <v>BANK</v>
          </cell>
          <cell r="K627" t="str">
            <v>M/s. Al Baraka Bank (Pakistan) Limited 
M/S. Al Baraka Bank (Pakistan) Limited 
User: Khizar  Hayat</v>
          </cell>
          <cell r="L627" t="str">
            <v>D</v>
          </cell>
          <cell r="M627" t="str">
            <v>09000221</v>
          </cell>
          <cell r="N627">
            <v>100</v>
          </cell>
          <cell r="P627" t="str">
            <v>Wazir Begum Masjid Khana Kacha Station New Defence Road Lahore</v>
          </cell>
          <cell r="Q627" t="str">
            <v>11000003</v>
          </cell>
          <cell r="R627" t="str">
            <v>CHANGAN KARVAAN PLUS</v>
          </cell>
          <cell r="S627" t="str">
            <v>2021</v>
          </cell>
          <cell r="T627" t="str">
            <v>AFD-619</v>
          </cell>
          <cell r="U627" t="str">
            <v>501179</v>
          </cell>
          <cell r="V627" t="str">
            <v>1005912</v>
          </cell>
          <cell r="W627" t="str">
            <v>10-may-2029</v>
          </cell>
          <cell r="Y627">
            <v>1440000</v>
          </cell>
          <cell r="Z627">
            <v>21724</v>
          </cell>
          <cell r="AA627">
            <v>25200</v>
          </cell>
        </row>
        <row r="628">
          <cell r="B628" t="str">
            <v>KHI/HO/D/MO/PC COMP/C/103764/117/12/2024</v>
          </cell>
          <cell r="D628" t="str">
            <v>REN</v>
          </cell>
          <cell r="E628" t="str">
            <v>18/12/24</v>
          </cell>
          <cell r="F628" t="str">
            <v>28/12/2024</v>
          </cell>
          <cell r="G628" t="str">
            <v>27/12/2025</v>
          </cell>
          <cell r="H628" t="str">
            <v>08004499</v>
          </cell>
          <cell r="I628" t="str">
            <v>AL BARAKA BANK (PAKISTAN) LIMITED</v>
          </cell>
          <cell r="J628" t="str">
            <v>BANK</v>
          </cell>
          <cell r="K628" t="str">
            <v>M/s. Al Baraka Bank (Pakistan) Limited 
M/S. Al Baraka Bank (Pakistan) Limited 
User: Aleem  Ali</v>
          </cell>
          <cell r="L628" t="str">
            <v>D</v>
          </cell>
          <cell r="M628" t="str">
            <v>09000221</v>
          </cell>
          <cell r="N628">
            <v>100</v>
          </cell>
          <cell r="P628" t="str">
            <v>Chak 466 Gb Shahpur Samundari Faisalabad</v>
          </cell>
          <cell r="Q628" t="str">
            <v>11000003</v>
          </cell>
          <cell r="R628" t="str">
            <v>CHANGAN KARVAAN PLUS</v>
          </cell>
          <cell r="S628" t="str">
            <v>2021</v>
          </cell>
          <cell r="T628" t="str">
            <v>AGJ-740</v>
          </cell>
          <cell r="U628" t="str">
            <v>503297</v>
          </cell>
          <cell r="V628" t="str">
            <v>1011387</v>
          </cell>
          <cell r="W628" t="str">
            <v>11-may-2029</v>
          </cell>
          <cell r="Y628">
            <v>1231200</v>
          </cell>
          <cell r="Z628">
            <v>26535</v>
          </cell>
          <cell r="AA628">
            <v>30780</v>
          </cell>
        </row>
        <row r="629">
          <cell r="B629" t="str">
            <v>KHI/HO/D/MO/PC COMP/C/103764/118/12/2024</v>
          </cell>
          <cell r="D629" t="str">
            <v>REN</v>
          </cell>
          <cell r="E629" t="str">
            <v>18/12/24</v>
          </cell>
          <cell r="F629" t="str">
            <v>29/12/2024</v>
          </cell>
          <cell r="G629" t="str">
            <v>28/12/2025</v>
          </cell>
          <cell r="H629" t="str">
            <v>08004499</v>
          </cell>
          <cell r="I629" t="str">
            <v>AL BARAKA BANK (PAKISTAN) LIMITED</v>
          </cell>
          <cell r="J629" t="str">
            <v>BANK</v>
          </cell>
          <cell r="K629" t="str">
            <v>M/s. Al Baraka Bank (Pakistan) Limited 
M/S. Al Baraka Bank (Pakistan) Limited 
User: Ghulam  Baqir</v>
          </cell>
          <cell r="L629" t="str">
            <v>D</v>
          </cell>
          <cell r="M629" t="str">
            <v>09000221</v>
          </cell>
          <cell r="N629">
            <v>100</v>
          </cell>
          <cell r="P629" t="str">
            <v>H No 379 Street No  08 Block B Sector B-17 Islamabad</v>
          </cell>
          <cell r="Q629" t="str">
            <v>11000003</v>
          </cell>
          <cell r="R629" t="str">
            <v>SUZUKI ALTO VXR</v>
          </cell>
          <cell r="S629" t="str">
            <v>2021</v>
          </cell>
          <cell r="T629" t="str">
            <v>AXC-535</v>
          </cell>
          <cell r="U629" t="str">
            <v>203259</v>
          </cell>
          <cell r="V629" t="str">
            <v>1103237</v>
          </cell>
          <cell r="W629" t="str">
            <v>12-may-2029</v>
          </cell>
          <cell r="Y629">
            <v>1068000</v>
          </cell>
          <cell r="Z629">
            <v>23017</v>
          </cell>
          <cell r="AA629">
            <v>26700</v>
          </cell>
        </row>
        <row r="630">
          <cell r="B630" t="str">
            <v>KHI/HO/D/MO/PC COMP/C/103764/119/12/2024</v>
          </cell>
          <cell r="D630" t="str">
            <v>REN</v>
          </cell>
          <cell r="E630" t="str">
            <v>18/12/24</v>
          </cell>
          <cell r="F630" t="str">
            <v>06/12/2024</v>
          </cell>
          <cell r="G630" t="str">
            <v>05/12/2025</v>
          </cell>
          <cell r="H630" t="str">
            <v>08004499</v>
          </cell>
          <cell r="I630" t="str">
            <v>AL BARAKA BANK (PAKISTAN) LIMITED</v>
          </cell>
          <cell r="J630" t="str">
            <v>BANK</v>
          </cell>
          <cell r="K630" t="str">
            <v>M/s. Al Baraka Bank (Pakistan) Limited 
M/S. Al Baraka Bank (Pakistan) Limited 
User: Hamid Bin Rais</v>
          </cell>
          <cell r="L630" t="str">
            <v>D</v>
          </cell>
          <cell r="M630" t="str">
            <v>09000221</v>
          </cell>
          <cell r="N630">
            <v>100</v>
          </cell>
          <cell r="P630" t="str">
            <v>P-36 Street 2 Naimat Colony No 1 Faisalabad</v>
          </cell>
          <cell r="Q630" t="str">
            <v>11000003</v>
          </cell>
          <cell r="R630" t="str">
            <v>SUZUKI WAGON-R VXL E2</v>
          </cell>
          <cell r="S630" t="str">
            <v>2021</v>
          </cell>
          <cell r="T630" t="str">
            <v>AGA-233</v>
          </cell>
          <cell r="U630" t="str">
            <v>PK10B224670</v>
          </cell>
          <cell r="V630" t="str">
            <v>A1J310PK10124683</v>
          </cell>
          <cell r="W630" t="str">
            <v>13-may-2029</v>
          </cell>
          <cell r="Y630">
            <v>1288000</v>
          </cell>
          <cell r="Z630">
            <v>27758</v>
          </cell>
          <cell r="AA630">
            <v>32200</v>
          </cell>
        </row>
        <row r="631">
          <cell r="B631" t="str">
            <v>KHI/HO/D/MO/PC COMP/C/103764/120/12/2024</v>
          </cell>
          <cell r="D631" t="str">
            <v>REN</v>
          </cell>
          <cell r="E631" t="str">
            <v>18/12/24</v>
          </cell>
          <cell r="F631" t="str">
            <v>29/12/2024</v>
          </cell>
          <cell r="G631" t="str">
            <v>28/12/2025</v>
          </cell>
          <cell r="H631" t="str">
            <v>08004499</v>
          </cell>
          <cell r="I631" t="str">
            <v>AL BARAKA BANK (PAKISTAN) LIMITED</v>
          </cell>
          <cell r="J631" t="str">
            <v>BANK</v>
          </cell>
          <cell r="K631" t="str">
            <v>M/s. Al Baraka Bank (Pakistan) Limited 
M/S. Al Baraka Bank (Pakistan) Limited 
User: Nabi  Ahmed</v>
          </cell>
          <cell r="L631" t="str">
            <v>D</v>
          </cell>
          <cell r="M631" t="str">
            <v>09000221</v>
          </cell>
          <cell r="N631">
            <v>100</v>
          </cell>
          <cell r="P631" t="str">
            <v>H # 386/A Street 74 Sector G-6/1 Islamabad</v>
          </cell>
          <cell r="Q631" t="str">
            <v>11000003</v>
          </cell>
          <cell r="R631" t="str">
            <v>SUZUKI ALTO VXR E-2</v>
          </cell>
          <cell r="S631" t="str">
            <v>2021</v>
          </cell>
          <cell r="T631" t="str">
            <v>AWH-920</v>
          </cell>
          <cell r="U631" t="str">
            <v>203268</v>
          </cell>
          <cell r="V631" t="str">
            <v>1103168</v>
          </cell>
          <cell r="W631" t="str">
            <v>14-may-2029</v>
          </cell>
          <cell r="Y631">
            <v>1068000</v>
          </cell>
          <cell r="Z631">
            <v>23017</v>
          </cell>
          <cell r="AA631">
            <v>26700</v>
          </cell>
        </row>
        <row r="632">
          <cell r="B632" t="str">
            <v>KHI/HO/D/MO/PC COMP/C/103764/121/12/2024</v>
          </cell>
          <cell r="D632" t="str">
            <v>REN</v>
          </cell>
          <cell r="E632" t="str">
            <v>18/12/24</v>
          </cell>
          <cell r="F632" t="str">
            <v>29/12/2024</v>
          </cell>
          <cell r="G632" t="str">
            <v>28/12/2025</v>
          </cell>
          <cell r="H632" t="str">
            <v>08004499</v>
          </cell>
          <cell r="I632" t="str">
            <v>AL BARAKA BANK (PAKISTAN) LIMITED</v>
          </cell>
          <cell r="J632" t="str">
            <v>BANK</v>
          </cell>
          <cell r="K632" t="str">
            <v>M/s. Al Baraka Bank (Pakistan) Limited 
M/S. Al Baraka Bank (Pakistan) Limited 
User: Muhammad Waqas Raza</v>
          </cell>
          <cell r="L632" t="str">
            <v>D</v>
          </cell>
          <cell r="M632" t="str">
            <v>09000221</v>
          </cell>
          <cell r="N632">
            <v>100</v>
          </cell>
          <cell r="P632" t="str">
            <v>Mohallah Mustafa Colony Opp Bilal Motor Pathan Market Khanewal Road Multan</v>
          </cell>
          <cell r="Q632" t="str">
            <v>11000003</v>
          </cell>
          <cell r="R632" t="str">
            <v>SUZUKI ALTO VXL AGS E-2</v>
          </cell>
          <cell r="S632" t="str">
            <v>2021</v>
          </cell>
          <cell r="T632" t="str">
            <v>AGK-261</v>
          </cell>
          <cell r="U632" t="str">
            <v>202864</v>
          </cell>
          <cell r="V632" t="str">
            <v>1102911</v>
          </cell>
          <cell r="W632" t="str">
            <v>15-may-2029</v>
          </cell>
          <cell r="Y632">
            <v>1216800</v>
          </cell>
          <cell r="Z632">
            <v>26224</v>
          </cell>
          <cell r="AA632">
            <v>30420</v>
          </cell>
        </row>
        <row r="633">
          <cell r="B633" t="str">
            <v>KHI/HO/D/MO/PC COMP/C/103764/122/12/2024</v>
          </cell>
          <cell r="D633" t="str">
            <v>REN</v>
          </cell>
          <cell r="E633" t="str">
            <v>18/12/24</v>
          </cell>
          <cell r="F633" t="str">
            <v>29/12/2024</v>
          </cell>
          <cell r="G633" t="str">
            <v>28/12/2025</v>
          </cell>
          <cell r="H633" t="str">
            <v>08004499</v>
          </cell>
          <cell r="I633" t="str">
            <v>AL BARAKA BANK (PAKISTAN) LIMITED</v>
          </cell>
          <cell r="J633" t="str">
            <v>BANK</v>
          </cell>
          <cell r="K633" t="str">
            <v>M/s. Al Baraka Bank (Pakistan) Limited 
M/S. Al Baraka Bank (Pakistan) Limited 
User: Talat Mahmood Malik</v>
          </cell>
          <cell r="L633" t="str">
            <v>D</v>
          </cell>
          <cell r="M633" t="str">
            <v>09000221</v>
          </cell>
          <cell r="N633">
            <v>100</v>
          </cell>
          <cell r="P633" t="str">
            <v>H No 18-C Street No 02 Garden Villas Dha 4 Adyala Road Rawalpindi</v>
          </cell>
          <cell r="Q633" t="str">
            <v>11000003</v>
          </cell>
          <cell r="R633" t="str">
            <v>SUZUKI MEHRAN VXR</v>
          </cell>
          <cell r="S633" t="str">
            <v>2019</v>
          </cell>
          <cell r="T633" t="str">
            <v>ANX-715</v>
          </cell>
          <cell r="U633" t="str">
            <v>768663</v>
          </cell>
          <cell r="V633" t="str">
            <v>1307196</v>
          </cell>
          <cell r="W633" t="str">
            <v>16-may-2029</v>
          </cell>
          <cell r="Y633">
            <v>880000</v>
          </cell>
          <cell r="Z633">
            <v>13276</v>
          </cell>
          <cell r="AA633">
            <v>15400</v>
          </cell>
        </row>
        <row r="634">
          <cell r="B634" t="str">
            <v>KHI/HO/D/MO/PC COMP/C/103764/123/12/2024</v>
          </cell>
          <cell r="D634" t="str">
            <v>REN</v>
          </cell>
          <cell r="E634" t="str">
            <v>18/12/24</v>
          </cell>
          <cell r="F634" t="str">
            <v>29/12/2024</v>
          </cell>
          <cell r="G634" t="str">
            <v>28/12/2025</v>
          </cell>
          <cell r="H634" t="str">
            <v>08004499</v>
          </cell>
          <cell r="I634" t="str">
            <v>AL BARAKA BANK (PAKISTAN) LIMITED</v>
          </cell>
          <cell r="J634" t="str">
            <v>BANK</v>
          </cell>
          <cell r="K634" t="str">
            <v>M/s. Al Baraka Bank (Pakistan) Limited 
M/S. Al Baraka Bank (Pakistan) Limited 
User: Khalid  Javed</v>
          </cell>
          <cell r="L634" t="str">
            <v>D</v>
          </cell>
          <cell r="M634" t="str">
            <v>09000221</v>
          </cell>
          <cell r="N634">
            <v>100</v>
          </cell>
          <cell r="P634" t="str">
            <v>Gulshan-E-Madina Colony Bahawalpur</v>
          </cell>
          <cell r="Q634" t="str">
            <v>11000003</v>
          </cell>
          <cell r="R634" t="str">
            <v>SUZUKI ALTO VXR E-2</v>
          </cell>
          <cell r="S634" t="str">
            <v>2021</v>
          </cell>
          <cell r="T634" t="str">
            <v>AGY-249</v>
          </cell>
          <cell r="U634" t="str">
            <v>195031</v>
          </cell>
          <cell r="V634" t="str">
            <v>1095013</v>
          </cell>
          <cell r="W634" t="str">
            <v>17-may-2029</v>
          </cell>
          <cell r="Y634">
            <v>1206400</v>
          </cell>
          <cell r="Z634">
            <v>18200</v>
          </cell>
          <cell r="AA634">
            <v>21112</v>
          </cell>
        </row>
        <row r="635">
          <cell r="B635" t="str">
            <v>KHI/HO/D/MO/PC COMP/C/103764/124/12/2024</v>
          </cell>
          <cell r="D635" t="str">
            <v>REN</v>
          </cell>
          <cell r="E635" t="str">
            <v>18/12/24</v>
          </cell>
          <cell r="F635" t="str">
            <v>29/12/2024</v>
          </cell>
          <cell r="G635" t="str">
            <v>28/12/2025</v>
          </cell>
          <cell r="H635" t="str">
            <v>08004499</v>
          </cell>
          <cell r="I635" t="str">
            <v>AL BARAKA BANK (PAKISTAN) LIMITED</v>
          </cell>
          <cell r="J635" t="str">
            <v>BANK</v>
          </cell>
          <cell r="K635" t="str">
            <v>M/s. Al Baraka Bank (Pakistan) Limited 
M/S. Al Baraka Bank (Pakistan) Limited 
User: Waheeda   Yousaf</v>
          </cell>
          <cell r="L635" t="str">
            <v>D</v>
          </cell>
          <cell r="M635" t="str">
            <v>09000221</v>
          </cell>
          <cell r="N635">
            <v>100</v>
          </cell>
          <cell r="P635" t="str">
            <v>House No. 46 Harbanspura Mohallah Azeem Block Ali Alam H. Scheme Lahore</v>
          </cell>
          <cell r="Q635" t="str">
            <v>11000003</v>
          </cell>
          <cell r="R635" t="str">
            <v>HYUNDAI ELANTRA 2.0 MP1 A</v>
          </cell>
          <cell r="S635" t="str">
            <v>2021</v>
          </cell>
          <cell r="T635" t="str">
            <v>AGN-021</v>
          </cell>
          <cell r="U635" t="str">
            <v>U945408</v>
          </cell>
          <cell r="V635" t="str">
            <v>N302183</v>
          </cell>
          <cell r="W635" t="str">
            <v>18-may-2029</v>
          </cell>
          <cell r="Y635">
            <v>3126400</v>
          </cell>
          <cell r="Z635">
            <v>40428</v>
          </cell>
          <cell r="AA635">
            <v>46896</v>
          </cell>
        </row>
        <row r="636">
          <cell r="B636" t="str">
            <v>KHI/HO/D/MO/PC COMP/C/103764/125/12/2024</v>
          </cell>
          <cell r="D636" t="str">
            <v>REN</v>
          </cell>
          <cell r="E636" t="str">
            <v>18/12/24</v>
          </cell>
          <cell r="F636" t="str">
            <v>29/12/2024</v>
          </cell>
          <cell r="G636" t="str">
            <v>28/12/2025</v>
          </cell>
          <cell r="H636" t="str">
            <v>08004499</v>
          </cell>
          <cell r="I636" t="str">
            <v>AL BARAKA BANK (PAKISTAN) LIMITED</v>
          </cell>
          <cell r="J636" t="str">
            <v>BANK</v>
          </cell>
          <cell r="K636" t="str">
            <v>M/s. Al Baraka Bank (Pakistan) Limited 
M/S. Al Baraka Bank (Pakistan) Limited 
User: Muhammad  Atif</v>
          </cell>
          <cell r="L636" t="str">
            <v>D</v>
          </cell>
          <cell r="M636" t="str">
            <v>09000221</v>
          </cell>
          <cell r="N636">
            <v>100</v>
          </cell>
          <cell r="P636" t="str">
            <v>H # 547 Street 26 Mohallah Gulshan Colony Mustafabad Lahore Cantt Lahore</v>
          </cell>
          <cell r="Q636" t="str">
            <v>11000003</v>
          </cell>
          <cell r="R636" t="str">
            <v>HONDA CITY I-VTEC (M/T)</v>
          </cell>
          <cell r="S636" t="str">
            <v>2018</v>
          </cell>
          <cell r="T636" t="str">
            <v>LEC-18A-311</v>
          </cell>
          <cell r="U636" t="str">
            <v>L13Z17518392</v>
          </cell>
          <cell r="V636" t="str">
            <v>JR233657</v>
          </cell>
          <cell r="W636" t="str">
            <v>19-may-2029</v>
          </cell>
          <cell r="Y636">
            <v>2000000</v>
          </cell>
          <cell r="Z636">
            <v>30172</v>
          </cell>
          <cell r="AA636">
            <v>35000</v>
          </cell>
        </row>
        <row r="637">
          <cell r="B637" t="str">
            <v>KHI/HO/D/MO/PC COMP/C/103764/126/12/2024</v>
          </cell>
          <cell r="D637" t="str">
            <v>REN</v>
          </cell>
          <cell r="E637" t="str">
            <v>18/12/24</v>
          </cell>
          <cell r="F637" t="str">
            <v>30/12/2024</v>
          </cell>
          <cell r="G637" t="str">
            <v>29/12/2025</v>
          </cell>
          <cell r="H637" t="str">
            <v>08004499</v>
          </cell>
          <cell r="I637" t="str">
            <v>AL BARAKA BANK (PAKISTAN) LIMITED</v>
          </cell>
          <cell r="J637" t="str">
            <v>BANK</v>
          </cell>
          <cell r="K637" t="str">
            <v>M/s. Al Baraka Bank (Pakistan) Limited 
M/S. Al Baraka Bank (Pakistan) Limited 
User: Malik Shoaib Shahbaz</v>
          </cell>
          <cell r="L637" t="str">
            <v>D</v>
          </cell>
          <cell r="M637" t="str">
            <v>09000221</v>
          </cell>
          <cell r="N637">
            <v>100</v>
          </cell>
          <cell r="P637" t="str">
            <v>Malik House Shahbaz Street Kot Abdul Malik Shahdra Lahore</v>
          </cell>
          <cell r="Q637" t="str">
            <v>11000003</v>
          </cell>
          <cell r="R637" t="str">
            <v>SUZUKI WAGON-R VXL E2</v>
          </cell>
          <cell r="S637" t="str">
            <v>2021</v>
          </cell>
          <cell r="T637" t="str">
            <v>AHE-528</v>
          </cell>
          <cell r="U637" t="str">
            <v>PK10B225913</v>
          </cell>
          <cell r="V637" t="str">
            <v>PK10125900</v>
          </cell>
          <cell r="W637" t="str">
            <v>20-may-2029</v>
          </cell>
          <cell r="Y637">
            <v>1481600</v>
          </cell>
          <cell r="Z637">
            <v>22351</v>
          </cell>
          <cell r="AA637">
            <v>25928</v>
          </cell>
        </row>
        <row r="638">
          <cell r="B638" t="str">
            <v>KHI/HO/D/MO/PC COMP/C/103764/127/12/2024</v>
          </cell>
          <cell r="D638" t="str">
            <v>REN</v>
          </cell>
          <cell r="E638" t="str">
            <v>18/12/24</v>
          </cell>
          <cell r="F638" t="str">
            <v>30/12/2024</v>
          </cell>
          <cell r="G638" t="str">
            <v>29/12/2025</v>
          </cell>
          <cell r="H638" t="str">
            <v>08004499</v>
          </cell>
          <cell r="I638" t="str">
            <v>AL BARAKA BANK (PAKISTAN) LIMITED</v>
          </cell>
          <cell r="J638" t="str">
            <v>BANK</v>
          </cell>
          <cell r="K638" t="str">
            <v>M/s. Al Baraka Bank (Pakistan) Limited 
M/S. Al Baraka Bank (Pakistan) Limited 
User: Naseer  Ahmed</v>
          </cell>
          <cell r="L638" t="str">
            <v>D</v>
          </cell>
          <cell r="M638" t="str">
            <v>09000221</v>
          </cell>
          <cell r="N638">
            <v>100</v>
          </cell>
          <cell r="P638" t="str">
            <v>Basti Nobahar Old Dunyapur Road Multan</v>
          </cell>
          <cell r="Q638" t="str">
            <v>11000003</v>
          </cell>
          <cell r="R638" t="str">
            <v>SUZUKI WAGON R VXL AGS</v>
          </cell>
          <cell r="S638" t="str">
            <v>2021</v>
          </cell>
          <cell r="T638" t="str">
            <v>AGN-247</v>
          </cell>
          <cell r="U638" t="str">
            <v>B226622</v>
          </cell>
          <cell r="V638" t="str">
            <v>10126617</v>
          </cell>
          <cell r="W638" t="str">
            <v>21-may-2029</v>
          </cell>
          <cell r="Y638">
            <v>1619200</v>
          </cell>
          <cell r="Z638">
            <v>24428</v>
          </cell>
          <cell r="AA638">
            <v>28336</v>
          </cell>
        </row>
        <row r="639">
          <cell r="B639" t="str">
            <v>KHI/HO/D/MO/PC COMP/C/103764/128/12/2024</v>
          </cell>
          <cell r="D639" t="str">
            <v>REN</v>
          </cell>
          <cell r="E639" t="str">
            <v>18/12/24</v>
          </cell>
          <cell r="F639" t="str">
            <v>07/12/2024</v>
          </cell>
          <cell r="G639" t="str">
            <v>06/12/2025</v>
          </cell>
          <cell r="H639" t="str">
            <v>08004499</v>
          </cell>
          <cell r="I639" t="str">
            <v>AL BARAKA BANK (PAKISTAN) LIMITED</v>
          </cell>
          <cell r="J639" t="str">
            <v>BANK</v>
          </cell>
          <cell r="K639" t="str">
            <v>M/s. Al Baraka Bank (Pakistan) Limited 
M/S. Al Baraka Bank (Pakistan) Limited 
User: Ehsan  Ghous</v>
          </cell>
          <cell r="L639" t="str">
            <v>D</v>
          </cell>
          <cell r="M639" t="str">
            <v>09000221</v>
          </cell>
          <cell r="N639">
            <v>100</v>
          </cell>
          <cell r="P639" t="str">
            <v>House No. 257-A Block G Johar Town Lahore</v>
          </cell>
          <cell r="Q639" t="str">
            <v>11000003</v>
          </cell>
          <cell r="R639" t="str">
            <v>HONDA CITY M/T</v>
          </cell>
          <cell r="S639" t="str">
            <v>2021</v>
          </cell>
          <cell r="T639" t="str">
            <v>AHA-451</v>
          </cell>
          <cell r="U639" t="str">
            <v>1004785</v>
          </cell>
          <cell r="V639" t="str">
            <v>MR006824</v>
          </cell>
          <cell r="W639" t="str">
            <v>22-may-2029</v>
          </cell>
          <cell r="Y639">
            <v>2188000</v>
          </cell>
          <cell r="Z639">
            <v>33009</v>
          </cell>
          <cell r="AA639">
            <v>38290</v>
          </cell>
        </row>
        <row r="640">
          <cell r="B640" t="str">
            <v>KHI/HO/D/MO/PC COMP/C/103764/129/12/2024</v>
          </cell>
          <cell r="D640" t="str">
            <v>REN</v>
          </cell>
          <cell r="E640" t="str">
            <v>18/12/24</v>
          </cell>
          <cell r="F640" t="str">
            <v>30/12/2024</v>
          </cell>
          <cell r="G640" t="str">
            <v>29/12/2025</v>
          </cell>
          <cell r="H640" t="str">
            <v>08004499</v>
          </cell>
          <cell r="I640" t="str">
            <v>AL BARAKA BANK (PAKISTAN) LIMITED</v>
          </cell>
          <cell r="J640" t="str">
            <v>BANK</v>
          </cell>
          <cell r="K640" t="str">
            <v>M/s. Al Baraka Bank (Pakistan) Limited 
M/S. Al Baraka Bank (Pakistan) Limited 
User: Muhammad   Iftikhar</v>
          </cell>
          <cell r="L640" t="str">
            <v>D</v>
          </cell>
          <cell r="M640" t="str">
            <v>09000221</v>
          </cell>
          <cell r="N640">
            <v>100</v>
          </cell>
          <cell r="P640" t="str">
            <v>H # E-81-2-A Abid Colony Shoukat Town Near Azam Gen Store Main Ghazi Road Lahore</v>
          </cell>
          <cell r="Q640" t="str">
            <v>11000003</v>
          </cell>
          <cell r="R640" t="str">
            <v>SUZUKI WAGON-R VXL E2</v>
          </cell>
          <cell r="S640" t="str">
            <v>2021</v>
          </cell>
          <cell r="T640" t="str">
            <v>AGQ-343</v>
          </cell>
          <cell r="U640" t="str">
            <v>226772</v>
          </cell>
          <cell r="V640" t="str">
            <v>10126782</v>
          </cell>
          <cell r="W640" t="str">
            <v>23-may-2029</v>
          </cell>
          <cell r="Y640">
            <v>1288000</v>
          </cell>
          <cell r="Z640">
            <v>27758</v>
          </cell>
          <cell r="AA640">
            <v>32200</v>
          </cell>
        </row>
        <row r="641">
          <cell r="B641" t="str">
            <v>KHI/HO/D/MO/PC COMP/C/103764/130/12/2024</v>
          </cell>
          <cell r="D641" t="str">
            <v>REN</v>
          </cell>
          <cell r="E641" t="str">
            <v>18/12/24</v>
          </cell>
          <cell r="F641" t="str">
            <v>31/12/2024</v>
          </cell>
          <cell r="G641" t="str">
            <v>30/12/2025</v>
          </cell>
          <cell r="H641" t="str">
            <v>08004499</v>
          </cell>
          <cell r="I641" t="str">
            <v>AL BARAKA BANK (PAKISTAN) LIMITED</v>
          </cell>
          <cell r="J641" t="str">
            <v>BANK</v>
          </cell>
          <cell r="K641" t="str">
            <v>M/s. Al Baraka Bank (Pakistan) Limited 
M/S. Al Baraka Bank (Pakistan) Limited 
User: Waqar  Hafeez</v>
          </cell>
          <cell r="L641" t="str">
            <v>D</v>
          </cell>
          <cell r="M641" t="str">
            <v>09000221</v>
          </cell>
          <cell r="N641">
            <v>100</v>
          </cell>
          <cell r="P641" t="str">
            <v>H # 35 Street 1 Khawaja Garden Faisalabad</v>
          </cell>
          <cell r="Q641" t="str">
            <v>11000003</v>
          </cell>
          <cell r="R641" t="str">
            <v>SUZUKI ALTO VXR E-2</v>
          </cell>
          <cell r="S641" t="str">
            <v>2021</v>
          </cell>
          <cell r="T641" t="str">
            <v>ADV-588</v>
          </cell>
          <cell r="U641" t="str">
            <v>6R 159814</v>
          </cell>
          <cell r="V641" t="str">
            <v>NF1A ET306H1059850</v>
          </cell>
          <cell r="W641" t="str">
            <v>24-may-2029</v>
          </cell>
          <cell r="Y641">
            <v>1198400</v>
          </cell>
          <cell r="Z641">
            <v>18079</v>
          </cell>
          <cell r="AA641">
            <v>20972</v>
          </cell>
        </row>
        <row r="642">
          <cell r="B642" t="str">
            <v>KHI/HO/D/MO/PC COMP/C/103764/131/12/2024</v>
          </cell>
          <cell r="D642" t="str">
            <v>REN</v>
          </cell>
          <cell r="E642" t="str">
            <v>18/12/24</v>
          </cell>
          <cell r="F642" t="str">
            <v>31/12/2024</v>
          </cell>
          <cell r="G642" t="str">
            <v>30/12/2025</v>
          </cell>
          <cell r="H642" t="str">
            <v>08004499</v>
          </cell>
          <cell r="I642" t="str">
            <v>AL BARAKA BANK (PAKISTAN) LIMITED</v>
          </cell>
          <cell r="J642" t="str">
            <v>BANK</v>
          </cell>
          <cell r="K642" t="str">
            <v>M/s. Al Baraka Bank (Pakistan) Limited 
M/S. Al Baraka Bank (Pakistan) Limited 
User: Shan  Elahi</v>
          </cell>
          <cell r="L642" t="str">
            <v>D</v>
          </cell>
          <cell r="M642" t="str">
            <v>09000221</v>
          </cell>
          <cell r="N642">
            <v>100</v>
          </cell>
          <cell r="P642" t="str">
            <v>H # E-159/2 Street 8 Yasrab Colony Walton Road Lahore</v>
          </cell>
          <cell r="Q642" t="str">
            <v>11000003</v>
          </cell>
          <cell r="R642" t="str">
            <v>SUZUKI CULTUS VXL EURO II</v>
          </cell>
          <cell r="S642" t="str">
            <v>2021</v>
          </cell>
          <cell r="T642" t="str">
            <v>AHF-940</v>
          </cell>
          <cell r="U642" t="str">
            <v>190764</v>
          </cell>
          <cell r="V642" t="str">
            <v>10090682</v>
          </cell>
          <cell r="W642" t="str">
            <v>25-may-2029</v>
          </cell>
          <cell r="Y642">
            <v>1817600</v>
          </cell>
          <cell r="Z642">
            <v>27421</v>
          </cell>
          <cell r="AA642">
            <v>31808</v>
          </cell>
        </row>
        <row r="643">
          <cell r="B643" t="str">
            <v>KHI/HO/D/MO/PC COMP/C/103764/132/12/2024</v>
          </cell>
          <cell r="D643" t="str">
            <v>REN</v>
          </cell>
          <cell r="E643" t="str">
            <v>18/12/24</v>
          </cell>
          <cell r="F643" t="str">
            <v>31/12/2024</v>
          </cell>
          <cell r="G643" t="str">
            <v>30/12/2025</v>
          </cell>
          <cell r="H643" t="str">
            <v>08004499</v>
          </cell>
          <cell r="I643" t="str">
            <v>AL BARAKA BANK (PAKISTAN) LIMITED</v>
          </cell>
          <cell r="J643" t="str">
            <v>BANK</v>
          </cell>
          <cell r="K643" t="str">
            <v>M/s. Al Baraka Bank (Pakistan) Limited 
M/S. Al Baraka Bank (Pakistan) Limited 
User: Qamar   Abbas</v>
          </cell>
          <cell r="L643" t="str">
            <v>D</v>
          </cell>
          <cell r="M643" t="str">
            <v>09000221</v>
          </cell>
          <cell r="N643">
            <v>100</v>
          </cell>
          <cell r="P643" t="str">
            <v>Haidar Garden Phase 1 House No. 243 Street 5 Jaranwala</v>
          </cell>
          <cell r="Q643" t="str">
            <v>11000003</v>
          </cell>
          <cell r="R643" t="str">
            <v>SUZUKI BOLAN STD VX EURO</v>
          </cell>
          <cell r="S643" t="str">
            <v>2021</v>
          </cell>
          <cell r="T643" t="str">
            <v>AWY-904</v>
          </cell>
          <cell r="U643" t="str">
            <v>1017988</v>
          </cell>
          <cell r="V643" t="str">
            <v>PK01134520</v>
          </cell>
          <cell r="W643" t="str">
            <v>26-may-2029</v>
          </cell>
          <cell r="Y643">
            <v>919200</v>
          </cell>
          <cell r="Z643">
            <v>13867</v>
          </cell>
          <cell r="AA643">
            <v>16086</v>
          </cell>
        </row>
        <row r="644">
          <cell r="B644" t="str">
            <v>KHI/HO/D/MO/PC COMP/C/103764/133/12/2024</v>
          </cell>
          <cell r="D644" t="str">
            <v>REN</v>
          </cell>
          <cell r="E644" t="str">
            <v>18/12/24</v>
          </cell>
          <cell r="F644" t="str">
            <v>31/12/2024</v>
          </cell>
          <cell r="G644" t="str">
            <v>30/12/2025</v>
          </cell>
          <cell r="H644" t="str">
            <v>08004499</v>
          </cell>
          <cell r="I644" t="str">
            <v>AL BARAKA BANK (PAKISTAN) LIMITED</v>
          </cell>
          <cell r="J644" t="str">
            <v>BANK</v>
          </cell>
          <cell r="K644" t="str">
            <v>M/s. Al Baraka Bank (Pakistan) Limited 
M/S. Al Baraka Bank (Pakistan) Limited 
User: Ahsan Aman Ullah</v>
          </cell>
          <cell r="L644" t="str">
            <v>D</v>
          </cell>
          <cell r="M644" t="str">
            <v>09000221</v>
          </cell>
          <cell r="N644">
            <v>100</v>
          </cell>
          <cell r="P644" t="str">
            <v>H # 12 Block B 3 Johar Tow Lahore</v>
          </cell>
          <cell r="Q644" t="str">
            <v>11000003</v>
          </cell>
          <cell r="R644" t="str">
            <v>SUZUKI CULTUS VXL EURO II</v>
          </cell>
          <cell r="S644" t="str">
            <v>2021</v>
          </cell>
          <cell r="T644" t="str">
            <v>AHE-825</v>
          </cell>
          <cell r="U644" t="str">
            <v>190869</v>
          </cell>
          <cell r="V644" t="str">
            <v>1009083</v>
          </cell>
          <cell r="W644" t="str">
            <v>27-may-2029</v>
          </cell>
          <cell r="Y644">
            <v>1684000</v>
          </cell>
          <cell r="Z644">
            <v>25405</v>
          </cell>
          <cell r="AA644">
            <v>29470</v>
          </cell>
        </row>
        <row r="645">
          <cell r="B645" t="str">
            <v>KHI/HO/D/MO/PC COMP/C/103764/134/12/2024</v>
          </cell>
          <cell r="D645" t="str">
            <v>REN</v>
          </cell>
          <cell r="E645" t="str">
            <v>18/12/24</v>
          </cell>
          <cell r="F645" t="str">
            <v>08/12/2024</v>
          </cell>
          <cell r="G645" t="str">
            <v>07/12/2025</v>
          </cell>
          <cell r="H645" t="str">
            <v>08004499</v>
          </cell>
          <cell r="I645" t="str">
            <v>AL BARAKA BANK (PAKISTAN) LIMITED</v>
          </cell>
          <cell r="J645" t="str">
            <v>BANK</v>
          </cell>
          <cell r="K645" t="str">
            <v>M/s. Al Baraka Bank (Pakistan) Limited 
M/S. Al Baraka Bank (Pakistan) Limited 
User: Ammar  Ansar</v>
          </cell>
          <cell r="L645" t="str">
            <v>D</v>
          </cell>
          <cell r="M645" t="str">
            <v>09000221</v>
          </cell>
          <cell r="N645">
            <v>100</v>
          </cell>
          <cell r="P645" t="str">
            <v>418-A Phase 12 Dha Eme Society Canal Road Lahore</v>
          </cell>
          <cell r="Q645" t="str">
            <v>11000003</v>
          </cell>
          <cell r="R645" t="str">
            <v>KIA SPORTAGE AWD-CW</v>
          </cell>
          <cell r="S645" t="str">
            <v>2021</v>
          </cell>
          <cell r="T645" t="str">
            <v>AGR-004</v>
          </cell>
          <cell r="U645" t="str">
            <v>313227</v>
          </cell>
          <cell r="V645" t="str">
            <v>KP308115</v>
          </cell>
          <cell r="W645" t="str">
            <v>28-may-2029</v>
          </cell>
          <cell r="Y645">
            <v>4149600</v>
          </cell>
          <cell r="Z645">
            <v>53658</v>
          </cell>
          <cell r="AA645">
            <v>62244</v>
          </cell>
        </row>
        <row r="646">
          <cell r="B646" t="str">
            <v>KHI/HO/D/MO/PC COMP/C/103764/135/12/2024</v>
          </cell>
          <cell r="D646" t="str">
            <v>REN</v>
          </cell>
          <cell r="E646" t="str">
            <v>18/12/24</v>
          </cell>
          <cell r="F646" t="str">
            <v>10/12/2024</v>
          </cell>
          <cell r="G646" t="str">
            <v>09/12/2025</v>
          </cell>
          <cell r="H646" t="str">
            <v>08004499</v>
          </cell>
          <cell r="I646" t="str">
            <v>AL BARAKA BANK (PAKISTAN) LIMITED</v>
          </cell>
          <cell r="J646" t="str">
            <v>BANK</v>
          </cell>
          <cell r="K646" t="str">
            <v>M/s. Al Baraka Bank (Pakistan) Limited 
M/S. Al Baraka Bank (Pakistan) Limited 
User: Muhammad  Adnan</v>
          </cell>
          <cell r="L646" t="str">
            <v>D</v>
          </cell>
          <cell r="M646" t="str">
            <v>09000221</v>
          </cell>
          <cell r="N646">
            <v>100</v>
          </cell>
          <cell r="P646" t="str">
            <v>House No. 19 Street 22 Madina Town Tarlai Kalan Islamabad</v>
          </cell>
          <cell r="Q646" t="str">
            <v>11000003</v>
          </cell>
          <cell r="R646" t="str">
            <v>SUZUKI ALTO VXR</v>
          </cell>
          <cell r="S646" t="str">
            <v>2020</v>
          </cell>
          <cell r="T646" t="str">
            <v>ASE-951</v>
          </cell>
          <cell r="U646" t="str">
            <v>146437</v>
          </cell>
          <cell r="V646" t="str">
            <v>1046411</v>
          </cell>
          <cell r="W646" t="str">
            <v>29-may-2029</v>
          </cell>
          <cell r="Y646">
            <v>1074750</v>
          </cell>
          <cell r="Z646">
            <v>23163</v>
          </cell>
          <cell r="AA646">
            <v>26869</v>
          </cell>
        </row>
        <row r="647">
          <cell r="B647" t="str">
            <v>KHI/HO/D/MO/PC COMP/C/103764/136/12/2024</v>
          </cell>
          <cell r="D647" t="str">
            <v>REN</v>
          </cell>
          <cell r="E647" t="str">
            <v>18/12/24</v>
          </cell>
          <cell r="F647" t="str">
            <v>28/12/2024</v>
          </cell>
          <cell r="G647" t="str">
            <v>27/12/2025</v>
          </cell>
          <cell r="H647" t="str">
            <v>08004499</v>
          </cell>
          <cell r="I647" t="str">
            <v>AL BARAKA BANK (PAKISTAN) LIMITED</v>
          </cell>
          <cell r="J647" t="str">
            <v>BANK</v>
          </cell>
          <cell r="K647" t="str">
            <v>M/s. Al Baraka Bank (Pakistan) Limited 
M/S. Al Baraka Bank (Pakistan) Limited 
User: Huma   Noreen</v>
          </cell>
          <cell r="L647" t="str">
            <v>D</v>
          </cell>
          <cell r="M647" t="str">
            <v>09000221</v>
          </cell>
          <cell r="N647">
            <v>100</v>
          </cell>
          <cell r="P647" t="str">
            <v>House No. 173 Street 3 Majeed Park Shahdra Town Lahore</v>
          </cell>
          <cell r="Q647" t="str">
            <v>11000003</v>
          </cell>
          <cell r="R647" t="str">
            <v>HONDA CITY I-VTEC (M/T)</v>
          </cell>
          <cell r="S647" t="str">
            <v>2020</v>
          </cell>
          <cell r="T647" t="str">
            <v>ABF-446</v>
          </cell>
          <cell r="U647" t="str">
            <v>L13Z17542837</v>
          </cell>
          <cell r="V647" t="str">
            <v>LR266459</v>
          </cell>
          <cell r="W647" t="str">
            <v>30-may-2029</v>
          </cell>
          <cell r="Y647">
            <v>1983750</v>
          </cell>
          <cell r="Z647">
            <v>34203</v>
          </cell>
          <cell r="AA647">
            <v>39675</v>
          </cell>
        </row>
        <row r="648">
          <cell r="B648" t="str">
            <v>KHI/HO/D/MO/PC COMP/C/103764/137/12/2024</v>
          </cell>
          <cell r="D648" t="str">
            <v>REN</v>
          </cell>
          <cell r="E648" t="str">
            <v>18/12/24</v>
          </cell>
          <cell r="F648" t="str">
            <v>29/12/2024</v>
          </cell>
          <cell r="G648" t="str">
            <v>28/12/2025</v>
          </cell>
          <cell r="H648" t="str">
            <v>08004499</v>
          </cell>
          <cell r="I648" t="str">
            <v>AL BARAKA BANK (PAKISTAN) LIMITED</v>
          </cell>
          <cell r="J648" t="str">
            <v>BANK</v>
          </cell>
          <cell r="K648" t="str">
            <v>M/s. Al Baraka Bank (Pakistan) Limited 
M/S. Al Baraka Bank (Pakistan) Limited 
User: Zahid  Ali</v>
          </cell>
          <cell r="L648" t="str">
            <v>D</v>
          </cell>
          <cell r="M648" t="str">
            <v>09000221</v>
          </cell>
          <cell r="N648">
            <v>100</v>
          </cell>
          <cell r="P648" t="str">
            <v>House No. D-1734 1St Floor Kocha Moh Androon Lahori Gate Awami Bazar Lahore</v>
          </cell>
          <cell r="Q648" t="str">
            <v>11000003</v>
          </cell>
          <cell r="R648" t="str">
            <v>HONDA CITY I-VTEC (M/T)</v>
          </cell>
          <cell r="S648" t="str">
            <v>2015</v>
          </cell>
          <cell r="T648" t="str">
            <v>LEA-16-7327</v>
          </cell>
          <cell r="U648" t="str">
            <v>L13Z17435512</v>
          </cell>
          <cell r="V648" t="str">
            <v>NFBGM1544FR174818</v>
          </cell>
          <cell r="W648" t="str">
            <v>31-may-2029</v>
          </cell>
          <cell r="Y648">
            <v>1500000</v>
          </cell>
          <cell r="Z648">
            <v>32328</v>
          </cell>
          <cell r="AA648">
            <v>37500</v>
          </cell>
        </row>
        <row r="649">
          <cell r="B649" t="str">
            <v>KHI/HO/D/MO/PC COMP/C/103764/138/12/2024</v>
          </cell>
          <cell r="D649" t="str">
            <v>REN</v>
          </cell>
          <cell r="E649" t="str">
            <v>18/12/24</v>
          </cell>
          <cell r="F649" t="str">
            <v>29/12/2024</v>
          </cell>
          <cell r="G649" t="str">
            <v>28/12/2025</v>
          </cell>
          <cell r="H649" t="str">
            <v>08004499</v>
          </cell>
          <cell r="I649" t="str">
            <v>AL BARAKA BANK (PAKISTAN) LIMITED</v>
          </cell>
          <cell r="J649" t="str">
            <v>BANK</v>
          </cell>
          <cell r="K649" t="str">
            <v>M/s. Al Baraka Bank (Pakistan) Limited 
M/S. Al Baraka Bank (Pakistan) Limited 
User: Shahbaz Mohy Ud Din</v>
          </cell>
          <cell r="L649" t="str">
            <v>D</v>
          </cell>
          <cell r="M649" t="str">
            <v>09000221</v>
          </cell>
          <cell r="N649">
            <v>100</v>
          </cell>
          <cell r="P649" t="str">
            <v>Ch. House No. E-997 Wi Wazir Park Shahid Town Ghazi Road Lahore</v>
          </cell>
          <cell r="Q649" t="str">
            <v>11000003</v>
          </cell>
          <cell r="R649" t="str">
            <v>HONDA VEZEL HYBRID A/T.</v>
          </cell>
          <cell r="S649" t="str">
            <v>2016</v>
          </cell>
          <cell r="T649" t="str">
            <v>LEC-17-8684</v>
          </cell>
          <cell r="U649" t="str">
            <v>5074503</v>
          </cell>
          <cell r="V649" t="str">
            <v>31124484</v>
          </cell>
          <cell r="W649" t="str">
            <v>01-jun-2029</v>
          </cell>
          <cell r="Y649">
            <v>2850000</v>
          </cell>
          <cell r="Z649">
            <v>36853</v>
          </cell>
          <cell r="AA649">
            <v>42750</v>
          </cell>
        </row>
        <row r="650">
          <cell r="B650" t="str">
            <v>KHI/HO/D/MO/PC COMP/C/103764/139/12/2024</v>
          </cell>
          <cell r="D650" t="str">
            <v>REN</v>
          </cell>
          <cell r="E650" t="str">
            <v>18/12/24</v>
          </cell>
          <cell r="F650" t="str">
            <v>30/12/2024</v>
          </cell>
          <cell r="G650" t="str">
            <v>29/12/2025</v>
          </cell>
          <cell r="H650" t="str">
            <v>08004499</v>
          </cell>
          <cell r="I650" t="str">
            <v>AL BARAKA BANK (PAKISTAN) LIMITED</v>
          </cell>
          <cell r="J650" t="str">
            <v>BANK</v>
          </cell>
          <cell r="K650" t="str">
            <v>M/s. Al Baraka Bank (Pakistan) Limited 
M/S. Al Baraka Bank (Pakistan) Limited 
User: Muhammad  Arshad Khan</v>
          </cell>
          <cell r="L650" t="str">
            <v>D</v>
          </cell>
          <cell r="M650" t="str">
            <v>09000221</v>
          </cell>
          <cell r="N650">
            <v>100</v>
          </cell>
          <cell r="P650" t="str">
            <v>House No. 1788/C-1 B Near  Khana Farhang Iran Chungi 9 Multan</v>
          </cell>
          <cell r="Q650" t="str">
            <v>11000003</v>
          </cell>
          <cell r="R650" t="str">
            <v>TOYOTA COROLLA ALTIS VVT-</v>
          </cell>
          <cell r="S650" t="str">
            <v>2020</v>
          </cell>
          <cell r="T650" t="str">
            <v>BH-243</v>
          </cell>
          <cell r="U650" t="str">
            <v>Q069846</v>
          </cell>
          <cell r="V650" t="str">
            <v>6047348</v>
          </cell>
          <cell r="W650" t="str">
            <v>02-jun-2029</v>
          </cell>
          <cell r="Y650">
            <v>2503500</v>
          </cell>
          <cell r="Z650">
            <v>80932</v>
          </cell>
          <cell r="AA650">
            <v>93881</v>
          </cell>
        </row>
        <row r="651">
          <cell r="B651" t="str">
            <v>KHI/HO/D/MO/PC COMP/C/103764/140/12/2024</v>
          </cell>
          <cell r="D651" t="str">
            <v>REN</v>
          </cell>
          <cell r="E651" t="str">
            <v>18/12/24</v>
          </cell>
          <cell r="F651" t="str">
            <v>30/12/2024</v>
          </cell>
          <cell r="G651" t="str">
            <v>29/12/2025</v>
          </cell>
          <cell r="H651" t="str">
            <v>08004499</v>
          </cell>
          <cell r="I651" t="str">
            <v>AL BARAKA BANK (PAKISTAN) LIMITED</v>
          </cell>
          <cell r="J651" t="str">
            <v>BANK</v>
          </cell>
          <cell r="K651" t="str">
            <v>M/s. Al Baraka Bank (Pakistan) Limited 
M/S. Al Baraka Bank (Pakistan) Limited 
User: Arslan  Asif</v>
          </cell>
          <cell r="L651" t="str">
            <v>D</v>
          </cell>
          <cell r="M651" t="str">
            <v>09000221</v>
          </cell>
          <cell r="N651">
            <v>100</v>
          </cell>
          <cell r="P651" t="str">
            <v>House No.116 Block C Street  36 Tech Society  Johar Town Lahore</v>
          </cell>
          <cell r="Q651" t="str">
            <v>11000003</v>
          </cell>
          <cell r="R651" t="str">
            <v>HONDA CIVIC VTI  ORIEL PT</v>
          </cell>
          <cell r="S651" t="str">
            <v>2020</v>
          </cell>
          <cell r="T651" t="str">
            <v>ABH-180</v>
          </cell>
          <cell r="U651" t="str">
            <v>6916214</v>
          </cell>
          <cell r="V651" t="str">
            <v>068264</v>
          </cell>
          <cell r="W651" t="str">
            <v>03-jun-2029</v>
          </cell>
          <cell r="Y651">
            <v>3095250</v>
          </cell>
          <cell r="Z651">
            <v>40025</v>
          </cell>
          <cell r="AA651">
            <v>46429</v>
          </cell>
        </row>
        <row r="652">
          <cell r="B652" t="str">
            <v>KHI/HO/D/MO/PC COMP/C/103764/141/12/2024</v>
          </cell>
          <cell r="D652" t="str">
            <v>REN</v>
          </cell>
          <cell r="E652" t="str">
            <v>18/12/24</v>
          </cell>
          <cell r="F652" t="str">
            <v>30/12/2024</v>
          </cell>
          <cell r="G652" t="str">
            <v>29/12/2025</v>
          </cell>
          <cell r="H652" t="str">
            <v>08004499</v>
          </cell>
          <cell r="I652" t="str">
            <v>AL BARAKA BANK (PAKISTAN) LIMITED</v>
          </cell>
          <cell r="J652" t="str">
            <v>BANK</v>
          </cell>
          <cell r="K652" t="str">
            <v>M/s. Al Baraka Bank (Pakistan) Limited 
M/S. Al Baraka Bank (Pakistan) Limited 
User: Muhammad  Nadeem</v>
          </cell>
          <cell r="L652" t="str">
            <v>D</v>
          </cell>
          <cell r="M652" t="str">
            <v>09000221</v>
          </cell>
          <cell r="N652">
            <v>100</v>
          </cell>
          <cell r="P652" t="str">
            <v>House No. 95 Mohallah G Street Upper Mall  Scheme Lahore</v>
          </cell>
          <cell r="Q652" t="str">
            <v>11000003</v>
          </cell>
          <cell r="R652" t="str">
            <v>HONDA CITY I-VTEC (M/T)</v>
          </cell>
          <cell r="S652" t="str">
            <v>2020</v>
          </cell>
          <cell r="T652" t="str">
            <v>ACQ-126</v>
          </cell>
          <cell r="U652" t="str">
            <v>17543065</v>
          </cell>
          <cell r="V652" t="str">
            <v>R266674</v>
          </cell>
          <cell r="W652" t="str">
            <v>04-jun-2029</v>
          </cell>
          <cell r="Y652">
            <v>1841250</v>
          </cell>
          <cell r="Z652">
            <v>39682</v>
          </cell>
          <cell r="AA652">
            <v>46031</v>
          </cell>
        </row>
        <row r="653">
          <cell r="B653" t="str">
            <v>KHI/HO/D/MO/PC COMP/C/103764/142/12/2024</v>
          </cell>
          <cell r="D653" t="str">
            <v>REN</v>
          </cell>
          <cell r="E653" t="str">
            <v>18/12/24</v>
          </cell>
          <cell r="F653" t="str">
            <v>31/12/2024</v>
          </cell>
          <cell r="G653" t="str">
            <v>30/12/2025</v>
          </cell>
          <cell r="H653" t="str">
            <v>08004499</v>
          </cell>
          <cell r="I653" t="str">
            <v>AL BARAKA BANK (PAKISTAN) LIMITED</v>
          </cell>
          <cell r="J653" t="str">
            <v>BANK</v>
          </cell>
          <cell r="K653" t="str">
            <v>M/s. Al Baraka Bank (Pakistan) Limited 
M/S. Al Baraka Bank (Pakistan) Limited 
User: Asad  Ali</v>
          </cell>
          <cell r="L653" t="str">
            <v>D</v>
          </cell>
          <cell r="M653" t="str">
            <v>09000221</v>
          </cell>
          <cell r="N653">
            <v>100</v>
          </cell>
          <cell r="P653" t="str">
            <v>Street No. 05, House No,178, Sector 01, Khayaban-E-Sir Syed Rawalpindi</v>
          </cell>
          <cell r="Q653" t="str">
            <v>11000003</v>
          </cell>
          <cell r="R653" t="str">
            <v>SUZUKI ALTO VXR</v>
          </cell>
          <cell r="S653" t="str">
            <v>2020</v>
          </cell>
          <cell r="T653" t="str">
            <v>AMZ-064</v>
          </cell>
          <cell r="U653" t="str">
            <v>149313</v>
          </cell>
          <cell r="V653" t="str">
            <v>1049171</v>
          </cell>
          <cell r="W653" t="str">
            <v>05-jun-2029</v>
          </cell>
          <cell r="Y653">
            <v>1074750</v>
          </cell>
          <cell r="Z653">
            <v>23163</v>
          </cell>
          <cell r="AA653">
            <v>26869</v>
          </cell>
        </row>
        <row r="654">
          <cell r="B654" t="str">
            <v>KHI/HO/D/MO/PC COMP/C/103764/143/12/2024</v>
          </cell>
          <cell r="D654" t="str">
            <v>REN</v>
          </cell>
          <cell r="E654" t="str">
            <v>18/12/24</v>
          </cell>
          <cell r="F654" t="str">
            <v>31/12/2024</v>
          </cell>
          <cell r="G654" t="str">
            <v>30/12/2025</v>
          </cell>
          <cell r="H654" t="str">
            <v>08004499</v>
          </cell>
          <cell r="I654" t="str">
            <v>AL BARAKA BANK (PAKISTAN) LIMITED</v>
          </cell>
          <cell r="J654" t="str">
            <v>BANK</v>
          </cell>
          <cell r="K654" t="str">
            <v>M/s. Al Baraka Bank (Pakistan) Limited 
M/S. Al Baraka Bank (Pakistan) Limited 
User: Syed M Mubeen Shahzad Bukhari</v>
          </cell>
          <cell r="L654" t="str">
            <v>D</v>
          </cell>
          <cell r="M654" t="str">
            <v>09000221</v>
          </cell>
          <cell r="N654">
            <v>100</v>
          </cell>
          <cell r="P654" t="str">
            <v>H # 175 -B Housing Society Lahore</v>
          </cell>
          <cell r="Q654" t="str">
            <v>11000003</v>
          </cell>
          <cell r="R654" t="str">
            <v>HONDA CIVIC VTI  ORIEL PT</v>
          </cell>
          <cell r="S654" t="str">
            <v>2015</v>
          </cell>
          <cell r="T654" t="str">
            <v>LEE-15-4650</v>
          </cell>
          <cell r="U654" t="str">
            <v>14042954</v>
          </cell>
          <cell r="V654" t="str">
            <v>126720</v>
          </cell>
          <cell r="W654" t="str">
            <v>06-jun-2029</v>
          </cell>
          <cell r="Y654">
            <v>1875000</v>
          </cell>
          <cell r="Z654">
            <v>40410</v>
          </cell>
          <cell r="AA654">
            <v>46875</v>
          </cell>
        </row>
        <row r="655">
          <cell r="B655" t="str">
            <v>KHI/HO/D/MO/PC COMP/C/103764/144/12/2024</v>
          </cell>
          <cell r="D655" t="str">
            <v>REN</v>
          </cell>
          <cell r="E655" t="str">
            <v>18/12/24</v>
          </cell>
          <cell r="F655" t="str">
            <v>31/12/2024</v>
          </cell>
          <cell r="G655" t="str">
            <v>30/12/2025</v>
          </cell>
          <cell r="H655" t="str">
            <v>08004499</v>
          </cell>
          <cell r="I655" t="str">
            <v>AL BARAKA BANK (PAKISTAN) LIMITED</v>
          </cell>
          <cell r="J655" t="str">
            <v>BANK</v>
          </cell>
          <cell r="K655" t="str">
            <v>M/s. Al Baraka Bank (Pakistan) Limited 
M/S. Al Baraka Bank (Pakistan) Limited 
User: Shehryar  Shahadat</v>
          </cell>
          <cell r="L655" t="str">
            <v>D</v>
          </cell>
          <cell r="M655" t="str">
            <v>09000221</v>
          </cell>
          <cell r="N655">
            <v>100</v>
          </cell>
          <cell r="P655" t="str">
            <v>House No. 247 B Block Phase 2 Al Rehman Garden Lahore</v>
          </cell>
          <cell r="Q655" t="str">
            <v>11000003</v>
          </cell>
          <cell r="R655" t="str">
            <v>HONDA CIVIC VTI  ORIEL PT</v>
          </cell>
          <cell r="S655" t="str">
            <v>2016</v>
          </cell>
          <cell r="T655" t="str">
            <v>LEC-17-7881</v>
          </cell>
          <cell r="U655" t="str">
            <v>R18Z12900896</v>
          </cell>
          <cell r="V655" t="str">
            <v>GR001136</v>
          </cell>
          <cell r="W655" t="str">
            <v>07-jun-2029</v>
          </cell>
          <cell r="Y655">
            <v>2231250</v>
          </cell>
          <cell r="Z655">
            <v>48087</v>
          </cell>
          <cell r="AA655">
            <v>55781</v>
          </cell>
        </row>
        <row r="656">
          <cell r="B656" t="str">
            <v>KHI/HO/D/MO/PC COMP/C/103764/145/12/2024</v>
          </cell>
          <cell r="D656" t="str">
            <v>REN</v>
          </cell>
          <cell r="E656" t="str">
            <v>18/12/24</v>
          </cell>
          <cell r="F656" t="str">
            <v>31/12/2024</v>
          </cell>
          <cell r="G656" t="str">
            <v>30/12/2025</v>
          </cell>
          <cell r="H656" t="str">
            <v>08004499</v>
          </cell>
          <cell r="I656" t="str">
            <v>AL BARAKA BANK (PAKISTAN) LIMITED</v>
          </cell>
          <cell r="J656" t="str">
            <v>BANK</v>
          </cell>
          <cell r="K656" t="str">
            <v>M/s. Al Baraka Bank (Pakistan) Limited 
M/S. Al Baraka Bank (Pakistan) Limited 
User: Asad  Ali</v>
          </cell>
          <cell r="L656" t="str">
            <v>D</v>
          </cell>
          <cell r="M656" t="str">
            <v>09000221</v>
          </cell>
          <cell r="N656">
            <v>100</v>
          </cell>
          <cell r="P656" t="str">
            <v>House No. 8Treet 12 Zafar Park Badami Baghh Lahore</v>
          </cell>
          <cell r="Q656" t="str">
            <v>11000003</v>
          </cell>
          <cell r="R656" t="str">
            <v>HONDA CIVIC VTI  ORIEL PT</v>
          </cell>
          <cell r="S656" t="str">
            <v>2018</v>
          </cell>
          <cell r="T656" t="str">
            <v>LED-18-6002</v>
          </cell>
          <cell r="U656" t="str">
            <v>Z12931787</v>
          </cell>
          <cell r="V656" t="str">
            <v>JR035144</v>
          </cell>
          <cell r="W656" t="str">
            <v>08-jun-2029</v>
          </cell>
          <cell r="Y656">
            <v>2775000</v>
          </cell>
          <cell r="Z656">
            <v>35883</v>
          </cell>
          <cell r="AA656">
            <v>41625</v>
          </cell>
        </row>
        <row r="657">
          <cell r="B657" t="str">
            <v>KHI/HO/D/MO/PC COMP/C/103764/146/12/2024</v>
          </cell>
          <cell r="D657" t="str">
            <v>REN</v>
          </cell>
          <cell r="E657" t="str">
            <v>18/12/24</v>
          </cell>
          <cell r="F657" t="str">
            <v>18/12/2024</v>
          </cell>
          <cell r="G657" t="str">
            <v>17/12/2025</v>
          </cell>
          <cell r="H657" t="str">
            <v>08004499</v>
          </cell>
          <cell r="I657" t="str">
            <v>AL BARAKA BANK (PAKISTAN) LIMITED</v>
          </cell>
          <cell r="J657" t="str">
            <v>BANK</v>
          </cell>
          <cell r="K657" t="str">
            <v>M/s. Al Baraka Bank (Pakistan) Limited 
M/S. Al Baraka Bank (Pakistan) Limited 
User: Ali  Nawaz</v>
          </cell>
          <cell r="L657" t="str">
            <v>D</v>
          </cell>
          <cell r="M657" t="str">
            <v>09000221</v>
          </cell>
          <cell r="N657">
            <v>100</v>
          </cell>
          <cell r="P657" t="str">
            <v>House No. 2 Street 10 Wali Chowk Saeedabaad Peshawar</v>
          </cell>
          <cell r="Q657" t="str">
            <v>11000003</v>
          </cell>
          <cell r="R657" t="str">
            <v>SUZUKI ALTO VXR</v>
          </cell>
          <cell r="S657" t="str">
            <v>2020</v>
          </cell>
          <cell r="T657" t="str">
            <v>ASH-432</v>
          </cell>
          <cell r="U657" t="str">
            <v>148245</v>
          </cell>
          <cell r="V657" t="str">
            <v>1048234</v>
          </cell>
          <cell r="W657" t="str">
            <v>09-jun-2029</v>
          </cell>
          <cell r="Y657">
            <v>1074750</v>
          </cell>
          <cell r="Z657">
            <v>23163</v>
          </cell>
          <cell r="AA657">
            <v>26869</v>
          </cell>
        </row>
        <row r="658">
          <cell r="B658" t="str">
            <v>KHI/HO/D/MO/PC COMP/C/103764/147/12/2024</v>
          </cell>
          <cell r="D658" t="str">
            <v>REN</v>
          </cell>
          <cell r="E658" t="str">
            <v>18/12/24</v>
          </cell>
          <cell r="F658" t="str">
            <v>31/12/2024</v>
          </cell>
          <cell r="G658" t="str">
            <v>30/12/2025</v>
          </cell>
          <cell r="H658" t="str">
            <v>08004499</v>
          </cell>
          <cell r="I658" t="str">
            <v>AL BARAKA BANK (PAKISTAN) LIMITED</v>
          </cell>
          <cell r="J658" t="str">
            <v>BANK</v>
          </cell>
          <cell r="K658" t="str">
            <v>M/s. Al Baraka Bank (Pakistan) Limited 
M/S. Al Baraka Bank (Pakistan) Limited 
User: Muhammad Rashim Shafiq</v>
          </cell>
          <cell r="L658" t="str">
            <v>D</v>
          </cell>
          <cell r="M658" t="str">
            <v>09000221</v>
          </cell>
          <cell r="N658">
            <v>100</v>
          </cell>
          <cell r="P658" t="str">
            <v>Street 7-A Haseeb Town Near Iqbal Chowk Bahawalpur</v>
          </cell>
          <cell r="Q658" t="str">
            <v>11000003</v>
          </cell>
          <cell r="R658" t="str">
            <v>HONDA CITY CVT ASPIRE A/T</v>
          </cell>
          <cell r="S658" t="str">
            <v>2020</v>
          </cell>
          <cell r="T658" t="str">
            <v>ASE-454</v>
          </cell>
          <cell r="U658" t="str">
            <v>7543055</v>
          </cell>
          <cell r="V658" t="str">
            <v>R266660</v>
          </cell>
          <cell r="W658" t="str">
            <v>10-jun-2029</v>
          </cell>
          <cell r="Y658">
            <v>1846875</v>
          </cell>
          <cell r="Z658">
            <v>39803</v>
          </cell>
          <cell r="AA658">
            <v>46172</v>
          </cell>
        </row>
        <row r="659">
          <cell r="B659" t="str">
            <v>KHI/HO/D/MO/PC COMP/C/103764/148/12/2024</v>
          </cell>
          <cell r="D659" t="str">
            <v>REN</v>
          </cell>
          <cell r="E659" t="str">
            <v>18/12/24</v>
          </cell>
          <cell r="F659" t="str">
            <v>31/12/2024</v>
          </cell>
          <cell r="G659" t="str">
            <v>30/12/2025</v>
          </cell>
          <cell r="H659" t="str">
            <v>08004499</v>
          </cell>
          <cell r="I659" t="str">
            <v>AL BARAKA BANK (PAKISTAN) LIMITED</v>
          </cell>
          <cell r="J659" t="str">
            <v>BANK</v>
          </cell>
          <cell r="K659" t="str">
            <v>M/s. Al Baraka Bank (Pakistan) Limited 
M/S. Al Baraka Bank (Pakistan) Limited 
User: Hafiz Muhammad Waqar Akram</v>
          </cell>
          <cell r="L659" t="str">
            <v>D</v>
          </cell>
          <cell r="M659" t="str">
            <v>09000221</v>
          </cell>
          <cell r="N659">
            <v>100</v>
          </cell>
          <cell r="P659" t="str">
            <v>House No. 389-A Block H Gulshan-E-Ravi Lahore</v>
          </cell>
          <cell r="Q659" t="str">
            <v>11000003</v>
          </cell>
          <cell r="R659" t="str">
            <v>SUZUKI WAGON-R VXL E2</v>
          </cell>
          <cell r="S659" t="str">
            <v>2020</v>
          </cell>
          <cell r="T659" t="str">
            <v>ABQ-327</v>
          </cell>
          <cell r="U659" t="str">
            <v>208899</v>
          </cell>
          <cell r="V659" t="str">
            <v>10108858</v>
          </cell>
          <cell r="W659" t="str">
            <v>11-jun-2029</v>
          </cell>
          <cell r="Y659">
            <v>1417500</v>
          </cell>
          <cell r="Z659">
            <v>30549</v>
          </cell>
          <cell r="AA659">
            <v>35438</v>
          </cell>
        </row>
        <row r="660">
          <cell r="B660" t="str">
            <v>KHI/HO/D/MO/PC COMP/C/103764/149/12/2024</v>
          </cell>
          <cell r="D660" t="str">
            <v>REN</v>
          </cell>
          <cell r="E660" t="str">
            <v>18/12/24</v>
          </cell>
          <cell r="F660" t="str">
            <v>31/12/2024</v>
          </cell>
          <cell r="G660" t="str">
            <v>30/12/2025</v>
          </cell>
          <cell r="H660" t="str">
            <v>08004499</v>
          </cell>
          <cell r="I660" t="str">
            <v>AL BARAKA BANK (PAKISTAN) LIMITED</v>
          </cell>
          <cell r="J660" t="str">
            <v>BANK</v>
          </cell>
          <cell r="K660" t="str">
            <v>M/s. Al Baraka Bank (Pakistan) Limited 
M/S. Al Baraka Bank (Pakistan) Limited 
User: Muhammad  Wasif</v>
          </cell>
          <cell r="L660" t="str">
            <v>D</v>
          </cell>
          <cell r="M660" t="str">
            <v>09000221</v>
          </cell>
          <cell r="N660">
            <v>100</v>
          </cell>
          <cell r="P660" t="str">
            <v>House No. 3 Block D  New Baghbanpura H.  Scheme Lahore Cantt</v>
          </cell>
          <cell r="Q660" t="str">
            <v>11000003</v>
          </cell>
          <cell r="R660" t="str">
            <v>SUZUKI WAGON-R VXL E2</v>
          </cell>
          <cell r="S660" t="str">
            <v>2020</v>
          </cell>
          <cell r="T660" t="str">
            <v>ABL-141</v>
          </cell>
          <cell r="U660" t="str">
            <v>206046</v>
          </cell>
          <cell r="V660" t="str">
            <v>10106049</v>
          </cell>
          <cell r="W660" t="str">
            <v>12-jun-2029</v>
          </cell>
          <cell r="Y660">
            <v>1230000</v>
          </cell>
          <cell r="Z660">
            <v>26509</v>
          </cell>
          <cell r="AA660">
            <v>30750</v>
          </cell>
        </row>
        <row r="661">
          <cell r="B661" t="str">
            <v>KHI/HO/D/MO/PC COMP/C/103764/150/12/2024</v>
          </cell>
          <cell r="D661" t="str">
            <v>REN</v>
          </cell>
          <cell r="E661" t="str">
            <v>18/12/24</v>
          </cell>
          <cell r="F661" t="str">
            <v>21/12/2024</v>
          </cell>
          <cell r="G661" t="str">
            <v>20/12/2025</v>
          </cell>
          <cell r="H661" t="str">
            <v>08004499</v>
          </cell>
          <cell r="I661" t="str">
            <v>AL BARAKA BANK (PAKISTAN) LIMITED</v>
          </cell>
          <cell r="J661" t="str">
            <v>BANK</v>
          </cell>
          <cell r="K661" t="str">
            <v>M/s. Al Baraka Bank (Pakistan) Limited 
M/S. Al Baraka Bank (Pakistan) Limited 
User: Muhammad  Zeeshan</v>
          </cell>
          <cell r="L661" t="str">
            <v>D</v>
          </cell>
          <cell r="M661" t="str">
            <v>09000221</v>
          </cell>
          <cell r="N661">
            <v>100</v>
          </cell>
          <cell r="P661" t="str">
            <v>Model Town T Chowk  Main Satellite Town Multan</v>
          </cell>
          <cell r="Q661" t="str">
            <v>11000003</v>
          </cell>
          <cell r="R661" t="str">
            <v>TOYOTA YARIS ATIV X CVT</v>
          </cell>
          <cell r="S661" t="str">
            <v>2020</v>
          </cell>
          <cell r="T661" t="str">
            <v>ASE-613</v>
          </cell>
          <cell r="U661" t="str">
            <v>2A14400</v>
          </cell>
          <cell r="V661" t="str">
            <v>7008516</v>
          </cell>
          <cell r="W661" t="str">
            <v>13-jun-2029</v>
          </cell>
          <cell r="Y661">
            <v>2068500</v>
          </cell>
          <cell r="Z661">
            <v>44580</v>
          </cell>
          <cell r="AA661">
            <v>51713</v>
          </cell>
        </row>
        <row r="662">
          <cell r="B662" t="str">
            <v>KHI/HO/D/MO/PC COMP/C/103764/151/12/2024</v>
          </cell>
          <cell r="D662" t="str">
            <v>REN</v>
          </cell>
          <cell r="E662" t="str">
            <v>18/12/24</v>
          </cell>
          <cell r="F662" t="str">
            <v>23/12/2024</v>
          </cell>
          <cell r="G662" t="str">
            <v>22/12/2025</v>
          </cell>
          <cell r="H662" t="str">
            <v>08004499</v>
          </cell>
          <cell r="I662" t="str">
            <v>AL BARAKA BANK (PAKISTAN) LIMITED</v>
          </cell>
          <cell r="J662" t="str">
            <v>BANK</v>
          </cell>
          <cell r="K662" t="str">
            <v>M/s. Al Baraka Bank (Pakistan) Limited 
M/S. Al Baraka Bank (Pakistan) Limited 
User: Shahzad  -</v>
          </cell>
          <cell r="L662" t="str">
            <v>D</v>
          </cell>
          <cell r="M662" t="str">
            <v>09000221</v>
          </cell>
          <cell r="N662">
            <v>100</v>
          </cell>
          <cell r="P662" t="str">
            <v>House No. 04 Karachi Wali Pully  Shahbaz Park Kharak Nala Madina Colony Multan</v>
          </cell>
          <cell r="Q662" t="str">
            <v>11000003</v>
          </cell>
          <cell r="R662" t="str">
            <v>SUZUKI CULTUS VXL EURO II</v>
          </cell>
          <cell r="S662" t="str">
            <v>2020</v>
          </cell>
          <cell r="T662" t="str">
            <v>ABK-758</v>
          </cell>
          <cell r="U662" t="str">
            <v>165030</v>
          </cell>
          <cell r="V662" t="str">
            <v>10065406</v>
          </cell>
          <cell r="W662" t="str">
            <v>14-jun-2029</v>
          </cell>
          <cell r="Y662">
            <v>1477500</v>
          </cell>
          <cell r="Z662">
            <v>31844</v>
          </cell>
          <cell r="AA662">
            <v>36938</v>
          </cell>
        </row>
        <row r="663">
          <cell r="B663" t="str">
            <v>KHI/HO/D/MO/PC COMP/C/103764/152/12/2024</v>
          </cell>
          <cell r="D663" t="str">
            <v>REN</v>
          </cell>
          <cell r="E663" t="str">
            <v>18/12/24</v>
          </cell>
          <cell r="F663" t="str">
            <v>23/12/2024</v>
          </cell>
          <cell r="G663" t="str">
            <v>22/12/2025</v>
          </cell>
          <cell r="H663" t="str">
            <v>08004499</v>
          </cell>
          <cell r="I663" t="str">
            <v>AL BARAKA BANK (PAKISTAN) LIMITED</v>
          </cell>
          <cell r="J663" t="str">
            <v>BANK</v>
          </cell>
          <cell r="K663" t="str">
            <v>M/s. Al Baraka Bank (Pakistan) Limited 
M/S. Al Baraka Bank (Pakistan) Limited 
User: Mukarram  Zaib</v>
          </cell>
          <cell r="L663" t="str">
            <v>D</v>
          </cell>
          <cell r="M663" t="str">
            <v>09000221</v>
          </cell>
          <cell r="N663">
            <v>100</v>
          </cell>
          <cell r="P663" t="str">
            <v>1-C Canal Garden Bahria Town Near Shahkam Chowk Lahore</v>
          </cell>
          <cell r="Q663" t="str">
            <v>11000003</v>
          </cell>
          <cell r="R663" t="str">
            <v>SUZUKI ALTO VXL AGS E-2</v>
          </cell>
          <cell r="S663" t="str">
            <v>2020</v>
          </cell>
          <cell r="T663" t="str">
            <v>ABM-836</v>
          </cell>
          <cell r="U663" t="str">
            <v>147918</v>
          </cell>
          <cell r="V663" t="str">
            <v>1047908</v>
          </cell>
          <cell r="W663" t="str">
            <v>15-jun-2029</v>
          </cell>
          <cell r="Y663">
            <v>1224750</v>
          </cell>
          <cell r="Z663">
            <v>26396</v>
          </cell>
          <cell r="AA663">
            <v>30619</v>
          </cell>
        </row>
        <row r="664">
          <cell r="B664" t="str">
            <v>KHI/HO/D/MO/PC COMP/C/103764/153/12/2024</v>
          </cell>
          <cell r="D664" t="str">
            <v>REN</v>
          </cell>
          <cell r="E664" t="str">
            <v>18/12/24</v>
          </cell>
          <cell r="F664" t="str">
            <v>24/12/2024</v>
          </cell>
          <cell r="G664" t="str">
            <v>23/12/2025</v>
          </cell>
          <cell r="H664" t="str">
            <v>08004499</v>
          </cell>
          <cell r="I664" t="str">
            <v>AL BARAKA BANK (PAKISTAN) LIMITED</v>
          </cell>
          <cell r="J664" t="str">
            <v>BANK</v>
          </cell>
          <cell r="K664" t="str">
            <v>M/s. Al Baraka Bank (Pakistan) Limited 
M/S. Al Baraka Bank (Pakistan) Limited 
User: Arshad  Hussain</v>
          </cell>
          <cell r="L664" t="str">
            <v>D</v>
          </cell>
          <cell r="M664" t="str">
            <v>09000221</v>
          </cell>
          <cell r="N664">
            <v>100</v>
          </cell>
          <cell r="P664" t="str">
            <v>Mohallah Langha Sharqi Gadai Gharbi</v>
          </cell>
          <cell r="Q664" t="str">
            <v>11000003</v>
          </cell>
          <cell r="R664" t="str">
            <v>SUZUKI WAGON-R VXL E2</v>
          </cell>
          <cell r="S664" t="str">
            <v>2020</v>
          </cell>
          <cell r="T664" t="str">
            <v>ABQ-466</v>
          </cell>
          <cell r="U664" t="str">
            <v>208526</v>
          </cell>
          <cell r="V664" t="str">
            <v>10108525</v>
          </cell>
          <cell r="W664" t="str">
            <v>16-jun-2029</v>
          </cell>
          <cell r="Y664">
            <v>1297500</v>
          </cell>
          <cell r="Z664">
            <v>27963</v>
          </cell>
          <cell r="AA664">
            <v>32438</v>
          </cell>
        </row>
        <row r="665">
          <cell r="B665" t="str">
            <v>KHI/HO/D/MO/PC COMP/C/103764/154/12/2024</v>
          </cell>
          <cell r="D665" t="str">
            <v>REN</v>
          </cell>
          <cell r="E665" t="str">
            <v>18/12/24</v>
          </cell>
          <cell r="F665" t="str">
            <v>24/12/2024</v>
          </cell>
          <cell r="G665" t="str">
            <v>23/12/2025</v>
          </cell>
          <cell r="H665" t="str">
            <v>08004499</v>
          </cell>
          <cell r="I665" t="str">
            <v>AL BARAKA BANK (PAKISTAN) LIMITED</v>
          </cell>
          <cell r="J665" t="str">
            <v>BANK</v>
          </cell>
          <cell r="K665" t="str">
            <v>M/s. Al Baraka Bank (Pakistan) Limited 
M/S. Al Baraka Bank (Pakistan) Limited 
User: Aurangzeb  Abid</v>
          </cell>
          <cell r="L665" t="str">
            <v>D</v>
          </cell>
          <cell r="M665" t="str">
            <v>09000221</v>
          </cell>
          <cell r="N665">
            <v>100</v>
          </cell>
          <cell r="P665" t="str">
            <v>House No. 03 Nonarian Chowk Gulshan-E-Ravi Lahore</v>
          </cell>
          <cell r="Q665" t="str">
            <v>11000003</v>
          </cell>
          <cell r="R665" t="str">
            <v>SUZUKI ALTO VXL AGS E-2</v>
          </cell>
          <cell r="S665" t="str">
            <v>2020</v>
          </cell>
          <cell r="T665" t="str">
            <v>ABH-996</v>
          </cell>
          <cell r="U665" t="str">
            <v>147334</v>
          </cell>
          <cell r="V665" t="str">
            <v>1047245</v>
          </cell>
          <cell r="W665" t="str">
            <v>17-jun-2029</v>
          </cell>
          <cell r="Y665">
            <v>1224750</v>
          </cell>
          <cell r="Z665">
            <v>26396</v>
          </cell>
          <cell r="AA665">
            <v>30619</v>
          </cell>
        </row>
        <row r="666">
          <cell r="B666" t="str">
            <v>KHI/HO/D/MO/PC COMP/C/103764/155/12/2024</v>
          </cell>
          <cell r="D666" t="str">
            <v>REN</v>
          </cell>
          <cell r="E666" t="str">
            <v>18/12/24</v>
          </cell>
          <cell r="F666" t="str">
            <v>24/12/2024</v>
          </cell>
          <cell r="G666" t="str">
            <v>23/12/2025</v>
          </cell>
          <cell r="H666" t="str">
            <v>08004499</v>
          </cell>
          <cell r="I666" t="str">
            <v>AL BARAKA BANK (PAKISTAN) LIMITED</v>
          </cell>
          <cell r="J666" t="str">
            <v>BANK</v>
          </cell>
          <cell r="K666" t="str">
            <v>M/s. Al Baraka Bank (Pakistan) Limited 
M/S. Al Baraka Bank (Pakistan) Limited 
User: Asghar - Ali</v>
          </cell>
          <cell r="L666" t="str">
            <v>D</v>
          </cell>
          <cell r="M666" t="str">
            <v>09000221</v>
          </cell>
          <cell r="N666">
            <v>100</v>
          </cell>
          <cell r="P666" t="str">
            <v>Old Civil Lines House No. 046/C Street  No. 1 Mohallah Jafaria Colony Sargodha</v>
          </cell>
          <cell r="Q666" t="str">
            <v>11000003</v>
          </cell>
          <cell r="R666" t="str">
            <v>TOYOTA COROLLA GLI M/T 1.</v>
          </cell>
          <cell r="S666" t="str">
            <v>2017</v>
          </cell>
          <cell r="T666" t="str">
            <v>LE-18-42</v>
          </cell>
          <cell r="U666" t="str">
            <v>Z502997</v>
          </cell>
          <cell r="V666" t="str">
            <v>4129108</v>
          </cell>
          <cell r="W666" t="str">
            <v>18-jun-2029</v>
          </cell>
          <cell r="Y666">
            <v>1972500</v>
          </cell>
          <cell r="Z666">
            <v>42511</v>
          </cell>
          <cell r="AA666">
            <v>49313</v>
          </cell>
        </row>
        <row r="667">
          <cell r="B667" t="str">
            <v>KHI/HO/D/MO/PC COMP/C/103764/156/12/2024</v>
          </cell>
          <cell r="D667" t="str">
            <v>REN</v>
          </cell>
          <cell r="E667" t="str">
            <v>18/12/24</v>
          </cell>
          <cell r="F667" t="str">
            <v>30/12/2024</v>
          </cell>
          <cell r="G667" t="str">
            <v>29/12/2025</v>
          </cell>
          <cell r="H667" t="str">
            <v>08004499</v>
          </cell>
          <cell r="I667" t="str">
            <v>AL BARAKA BANK (PAKISTAN) LIMITED</v>
          </cell>
          <cell r="J667" t="str">
            <v>BANK</v>
          </cell>
          <cell r="K667" t="str">
            <v>M/s. Al Baraka Bank (Pakistan) Limited 
M/S. Al Baraka Bank (Pakistan) Limited 
User: Bushra Shaafi</v>
          </cell>
          <cell r="L667" t="str">
            <v>D</v>
          </cell>
          <cell r="M667" t="str">
            <v>09000221</v>
          </cell>
          <cell r="N667">
            <v>100</v>
          </cell>
          <cell r="P667" t="str">
            <v>287 G Johar Town Lahore</v>
          </cell>
          <cell r="Q667" t="str">
            <v>11000003</v>
          </cell>
          <cell r="R667" t="str">
            <v>SUZUKI ALTO VXR</v>
          </cell>
          <cell r="S667" t="str">
            <v>2019</v>
          </cell>
          <cell r="T667" t="str">
            <v>LE-20-2932</v>
          </cell>
          <cell r="U667" t="str">
            <v>124423</v>
          </cell>
          <cell r="V667" t="str">
            <v>1024400</v>
          </cell>
          <cell r="W667" t="str">
            <v>19-jun-2029</v>
          </cell>
          <cell r="Y667">
            <v>915600</v>
          </cell>
          <cell r="Z667">
            <v>29599</v>
          </cell>
          <cell r="AA667">
            <v>34335</v>
          </cell>
        </row>
        <row r="668">
          <cell r="B668" t="str">
            <v>KHI/HO/D/MO/PC COMP/C/103764/157/12/2024</v>
          </cell>
          <cell r="D668" t="str">
            <v>REN</v>
          </cell>
          <cell r="E668" t="str">
            <v>18/12/24</v>
          </cell>
          <cell r="F668" t="str">
            <v>18/12/2024</v>
          </cell>
          <cell r="G668" t="str">
            <v>17/12/2025</v>
          </cell>
          <cell r="H668" t="str">
            <v>08004499</v>
          </cell>
          <cell r="I668" t="str">
            <v>AL BARAKA BANK (PAKISTAN) LIMITED</v>
          </cell>
          <cell r="J668" t="str">
            <v>BANK</v>
          </cell>
          <cell r="K668" t="str">
            <v>M/s. Al Baraka Bank (Pakistan) Limited 
M/S. Al Baraka Bank (Pakistan) Limited 
User: Muhammad Azam Bhatti</v>
          </cell>
          <cell r="L668" t="str">
            <v>D</v>
          </cell>
          <cell r="M668" t="str">
            <v>09000221</v>
          </cell>
          <cell r="N668">
            <v>100</v>
          </cell>
          <cell r="P668" t="str">
            <v>Gali No.6 Moh Mominabad Nowshehra Road Gujranwala</v>
          </cell>
          <cell r="Q668" t="str">
            <v>11000003</v>
          </cell>
          <cell r="R668" t="str">
            <v>SUZUKI ALTO VXR</v>
          </cell>
          <cell r="S668" t="str">
            <v>2019</v>
          </cell>
          <cell r="T668" t="str">
            <v>LEA-19-2489-</v>
          </cell>
          <cell r="U668" t="str">
            <v>125931</v>
          </cell>
          <cell r="V668" t="str">
            <v>1025947</v>
          </cell>
          <cell r="W668" t="str">
            <v>20-jun-2029</v>
          </cell>
          <cell r="Y668">
            <v>915600</v>
          </cell>
          <cell r="Z668">
            <v>29599</v>
          </cell>
          <cell r="AA668">
            <v>34335</v>
          </cell>
        </row>
        <row r="669">
          <cell r="B669" t="str">
            <v>KHI/HO/D/MO/PC COMP/C/103764/158/12/2024</v>
          </cell>
          <cell r="D669" t="str">
            <v>REN</v>
          </cell>
          <cell r="E669" t="str">
            <v>18/12/24</v>
          </cell>
          <cell r="F669" t="str">
            <v>18/12/2024</v>
          </cell>
          <cell r="G669" t="str">
            <v>17/12/2025</v>
          </cell>
          <cell r="H669" t="str">
            <v>08004499</v>
          </cell>
          <cell r="I669" t="str">
            <v>AL BARAKA BANK (PAKISTAN) LIMITED</v>
          </cell>
          <cell r="J669" t="str">
            <v>BANK</v>
          </cell>
          <cell r="K669" t="str">
            <v>M/s. Al Baraka Bank (Pakistan) Limited 
M/S. Al Baraka Bank (Pakistan) Limited 
User: Naeem  Abbas</v>
          </cell>
          <cell r="L669" t="str">
            <v>D</v>
          </cell>
          <cell r="M669" t="str">
            <v>09000221</v>
          </cell>
          <cell r="N669">
            <v>100</v>
          </cell>
          <cell r="P669" t="str">
            <v>House No. 9-E Divine Garden Airport Lahore</v>
          </cell>
          <cell r="Q669" t="str">
            <v>11000003</v>
          </cell>
          <cell r="R669" t="str">
            <v>TOYOTA COROLLA GLI M/T 1.</v>
          </cell>
          <cell r="S669" t="str">
            <v>2019</v>
          </cell>
          <cell r="T669" t="str">
            <v>LE-19-8712</v>
          </cell>
          <cell r="U669" t="str">
            <v>Z572053</v>
          </cell>
          <cell r="V669" t="str">
            <v>4197359</v>
          </cell>
          <cell r="W669" t="str">
            <v>21-jun-2029</v>
          </cell>
          <cell r="Y669">
            <v>2018100</v>
          </cell>
          <cell r="Z669">
            <v>52192</v>
          </cell>
          <cell r="AA669">
            <v>60543</v>
          </cell>
        </row>
        <row r="670">
          <cell r="B670" t="str">
            <v>KHI/HO/D/MO/PC COMP/C/103764/159/12/2024</v>
          </cell>
          <cell r="D670" t="str">
            <v>REN</v>
          </cell>
          <cell r="E670" t="str">
            <v>18/12/24</v>
          </cell>
          <cell r="F670" t="str">
            <v>19/12/2024</v>
          </cell>
          <cell r="G670" t="str">
            <v>18/12/2025</v>
          </cell>
          <cell r="H670" t="str">
            <v>08004499</v>
          </cell>
          <cell r="I670" t="str">
            <v>AL BARAKA BANK (PAKISTAN) LIMITED</v>
          </cell>
          <cell r="J670" t="str">
            <v>BANK</v>
          </cell>
          <cell r="K670" t="str">
            <v>M/s. Al Baraka Bank (Pakistan) Limited 
M/S. Al Baraka Bank (Pakistan) Limited 
User: Atif  Ali</v>
          </cell>
          <cell r="L670" t="str">
            <v>D</v>
          </cell>
          <cell r="M670" t="str">
            <v>09000221</v>
          </cell>
          <cell r="N670">
            <v>100</v>
          </cell>
          <cell r="P670" t="str">
            <v>Village Aliabad Po Jassar Nwl Narowal</v>
          </cell>
          <cell r="Q670" t="str">
            <v>11000003</v>
          </cell>
          <cell r="R670" t="str">
            <v>SUZUKI WAGON R VXL AGS</v>
          </cell>
          <cell r="S670" t="str">
            <v>2019</v>
          </cell>
          <cell r="T670" t="str">
            <v>LE-20-5996</v>
          </cell>
          <cell r="U670" t="str">
            <v>203307</v>
          </cell>
          <cell r="V670" t="str">
            <v>10103277</v>
          </cell>
          <cell r="W670" t="str">
            <v>22-jun-2029</v>
          </cell>
          <cell r="Y670">
            <v>1137500</v>
          </cell>
          <cell r="Z670">
            <v>29418</v>
          </cell>
          <cell r="AA670">
            <v>34125</v>
          </cell>
        </row>
        <row r="671">
          <cell r="B671" t="str">
            <v>KHI/HO/D/MO/PC COMP/C/103764/160/12/2024</v>
          </cell>
          <cell r="D671" t="str">
            <v>REN</v>
          </cell>
          <cell r="E671" t="str">
            <v>18/12/24</v>
          </cell>
          <cell r="F671" t="str">
            <v>20/12/2024</v>
          </cell>
          <cell r="G671" t="str">
            <v>19/12/2025</v>
          </cell>
          <cell r="H671" t="str">
            <v>08004499</v>
          </cell>
          <cell r="I671" t="str">
            <v>AL BARAKA BANK (PAKISTAN) LIMITED</v>
          </cell>
          <cell r="J671" t="str">
            <v>BANK</v>
          </cell>
          <cell r="K671" t="str">
            <v>M/s. Al Baraka Bank (Pakistan) Limited 
M/S. Al Baraka Bank (Pakistan) Limited 
User: Muhammad  Salman</v>
          </cell>
          <cell r="L671" t="str">
            <v>D</v>
          </cell>
          <cell r="M671" t="str">
            <v>09000221</v>
          </cell>
          <cell r="N671">
            <v>100</v>
          </cell>
          <cell r="P671" t="str">
            <v>House No. 1191 Sector 32-E Nasir Colony Korangi Karachi</v>
          </cell>
          <cell r="Q671" t="str">
            <v>11000003</v>
          </cell>
          <cell r="R671" t="str">
            <v>TOYOTA COROLLA GLI M/T 1.</v>
          </cell>
          <cell r="S671" t="str">
            <v>2016</v>
          </cell>
          <cell r="T671" t="str">
            <v>BFF-760</v>
          </cell>
          <cell r="U671" t="str">
            <v>386073</v>
          </cell>
          <cell r="V671" t="str">
            <v>4060337</v>
          </cell>
          <cell r="W671" t="str">
            <v>23-jun-2029</v>
          </cell>
          <cell r="Y671">
            <v>1139125</v>
          </cell>
          <cell r="Z671">
            <v>36825</v>
          </cell>
          <cell r="AA671">
            <v>42717</v>
          </cell>
        </row>
        <row r="672">
          <cell r="B672" t="str">
            <v>KHI/HO/D/MO/PC COMP/C/103764/161/12/2024</v>
          </cell>
          <cell r="D672" t="str">
            <v>REN</v>
          </cell>
          <cell r="E672" t="str">
            <v>18/12/24</v>
          </cell>
          <cell r="F672" t="str">
            <v>31/12/2024</v>
          </cell>
          <cell r="G672" t="str">
            <v>30/12/2025</v>
          </cell>
          <cell r="H672" t="str">
            <v>08004499</v>
          </cell>
          <cell r="I672" t="str">
            <v>AL BARAKA BANK (PAKISTAN) LIMITED</v>
          </cell>
          <cell r="J672" t="str">
            <v>BANK</v>
          </cell>
          <cell r="K672" t="str">
            <v>M/s. Al Baraka Bank (Pakistan) Limited 
M/S. Al Baraka Bank (Pakistan) Limited 
User: Muhammad  Yousuf</v>
          </cell>
          <cell r="L672" t="str">
            <v>D</v>
          </cell>
          <cell r="M672" t="str">
            <v>09000221</v>
          </cell>
          <cell r="N672">
            <v>100</v>
          </cell>
          <cell r="P672" t="str">
            <v>H No. Goth Saeed Khan Lund Deen Pur Tapal Gharsinabad Bulri Shah Tando M Khan.</v>
          </cell>
          <cell r="Q672" t="str">
            <v>11000003</v>
          </cell>
          <cell r="R672" t="str">
            <v>SUZUKI MEHRAN VXR</v>
          </cell>
          <cell r="S672" t="str">
            <v>2018</v>
          </cell>
          <cell r="T672" t="str">
            <v>BPM-320</v>
          </cell>
          <cell r="U672" t="str">
            <v>761900</v>
          </cell>
          <cell r="V672" t="str">
            <v>1300430</v>
          </cell>
          <cell r="W672" t="str">
            <v>24-jun-2029</v>
          </cell>
          <cell r="Y672">
            <v>546000</v>
          </cell>
          <cell r="Z672">
            <v>17650</v>
          </cell>
          <cell r="AA672">
            <v>20475</v>
          </cell>
        </row>
        <row r="673">
          <cell r="B673" t="str">
            <v>KHI/HO/D/MO/PC COMP/C/103764/162/12/2024</v>
          </cell>
          <cell r="D673" t="str">
            <v>REN</v>
          </cell>
          <cell r="E673" t="str">
            <v>18/12/24</v>
          </cell>
          <cell r="F673" t="str">
            <v>31/12/2024</v>
          </cell>
          <cell r="G673" t="str">
            <v>30/12/2025</v>
          </cell>
          <cell r="H673" t="str">
            <v>08004499</v>
          </cell>
          <cell r="I673" t="str">
            <v>AL BARAKA BANK (PAKISTAN) LIMITED</v>
          </cell>
          <cell r="J673" t="str">
            <v>BANK</v>
          </cell>
          <cell r="K673" t="str">
            <v>M/s. Al Baraka Bank (Pakistan) Limited 
M/S. Al Baraka Bank (Pakistan) Limited 
User: Chaudhry Shuja Abbas</v>
          </cell>
          <cell r="L673" t="str">
            <v>D</v>
          </cell>
          <cell r="M673" t="str">
            <v>09000221</v>
          </cell>
          <cell r="N673">
            <v>100</v>
          </cell>
          <cell r="P673" t="str">
            <v>House No. 57-N Street Khemea Gah Amamia Colony Lahore</v>
          </cell>
          <cell r="Q673" t="str">
            <v>11000003</v>
          </cell>
          <cell r="R673" t="str">
            <v>SUZUKI CULTUS VXL</v>
          </cell>
          <cell r="S673" t="str">
            <v>2018</v>
          </cell>
          <cell r="T673" t="str">
            <v>LEA-19-5564</v>
          </cell>
          <cell r="U673" t="str">
            <v>132250</v>
          </cell>
          <cell r="V673" t="str">
            <v>10032251</v>
          </cell>
          <cell r="W673" t="str">
            <v>25-jun-2029</v>
          </cell>
          <cell r="Y673">
            <v>995150</v>
          </cell>
          <cell r="Z673">
            <v>32170</v>
          </cell>
          <cell r="AA673">
            <v>37318</v>
          </cell>
        </row>
        <row r="674">
          <cell r="B674" t="str">
            <v>KHI/HO/D/MO/CV/C/103846/2/12/2024</v>
          </cell>
          <cell r="D674" t="str">
            <v>FRE</v>
          </cell>
          <cell r="E674" t="str">
            <v>18/12/24</v>
          </cell>
          <cell r="F674" t="str">
            <v>18/12/2024</v>
          </cell>
          <cell r="G674" t="str">
            <v>17/12/2025</v>
          </cell>
          <cell r="H674" t="str">
            <v>08004499</v>
          </cell>
          <cell r="I674" t="str">
            <v>AL BARAKA BANK (PAKISTAN) LIMITED</v>
          </cell>
          <cell r="J674" t="str">
            <v>BANK</v>
          </cell>
          <cell r="K674" t="str">
            <v>Mr. 
HPA M/s. Al Baraka Bank Pakistan Limited 
Mr. Gul Nawaz Khan
HPA M/s. Al Baraka Bank Pakistan Limited</v>
          </cell>
          <cell r="L674" t="str">
            <v>D</v>
          </cell>
          <cell r="M674" t="str">
            <v>09000221</v>
          </cell>
          <cell r="N674">
            <v>100</v>
          </cell>
          <cell r="O674" t="str">
            <v>RAWALPINDI</v>
          </cell>
          <cell r="P674" t="str">
            <v>Sh 3 Badar Colony Pirwadai Rawalpindi</v>
          </cell>
          <cell r="Q674" t="str">
            <v>11000003</v>
          </cell>
          <cell r="R674" t="str">
            <v>SUZUKI RAVI VX EURO II</v>
          </cell>
          <cell r="S674" t="str">
            <v>2024</v>
          </cell>
          <cell r="U674" t="str">
            <v>394540</v>
          </cell>
          <cell r="V674" t="str">
            <v>499218</v>
          </cell>
          <cell r="X674" t="str">
            <v>3</v>
          </cell>
          <cell r="Y674">
            <v>1856000</v>
          </cell>
          <cell r="Z674">
            <v>32000</v>
          </cell>
          <cell r="AA674">
            <v>37120</v>
          </cell>
        </row>
        <row r="675">
          <cell r="B675" t="str">
            <v>KHI/HO/D/MO/CV/C/103846/3/12/2024</v>
          </cell>
          <cell r="D675" t="str">
            <v>FRE</v>
          </cell>
          <cell r="E675" t="str">
            <v>18/12/24</v>
          </cell>
          <cell r="F675" t="str">
            <v>18/12/2024</v>
          </cell>
          <cell r="G675" t="str">
            <v>17/12/2025</v>
          </cell>
          <cell r="H675" t="str">
            <v>08004499</v>
          </cell>
          <cell r="I675" t="str">
            <v>AL BARAKA BANK (PAKISTAN) LIMITED</v>
          </cell>
          <cell r="J675" t="str">
            <v>BANK</v>
          </cell>
          <cell r="K675" t="str">
            <v>Mr. 
HPA M/s. Al Baraka Bank Pakistan Limited 
Mr. Noor Ul Wahab  
HPA M/s. Al Baraka Bank Pakistan Limited</v>
          </cell>
          <cell r="L675" t="str">
            <v>D</v>
          </cell>
          <cell r="M675" t="str">
            <v>09000221</v>
          </cell>
          <cell r="N675">
            <v>100</v>
          </cell>
          <cell r="O675" t="str">
            <v>ISLAMABAD</v>
          </cell>
          <cell r="P675" t="str">
            <v>H # 625 Street 5 Sector 4-C-2 Ghouri Town Islamabad</v>
          </cell>
          <cell r="Q675" t="str">
            <v>11000003</v>
          </cell>
          <cell r="R675" t="str">
            <v>SUZUKI RAVI VX EURO II</v>
          </cell>
          <cell r="S675" t="str">
            <v>2024</v>
          </cell>
          <cell r="U675" t="str">
            <v>394494</v>
          </cell>
          <cell r="V675" t="str">
            <v>499154</v>
          </cell>
          <cell r="X675" t="str">
            <v>3</v>
          </cell>
          <cell r="Y675">
            <v>1856000</v>
          </cell>
          <cell r="Z675">
            <v>32000</v>
          </cell>
          <cell r="AA675">
            <v>37120</v>
          </cell>
        </row>
        <row r="676">
          <cell r="B676" t="str">
            <v>KHI/HO/D/MO/PC COMP/C/103201/26/12/2024</v>
          </cell>
          <cell r="D676" t="str">
            <v>FRE</v>
          </cell>
          <cell r="E676" t="str">
            <v>18/12/24</v>
          </cell>
          <cell r="F676" t="str">
            <v>18/12/2024</v>
          </cell>
          <cell r="G676" t="str">
            <v>17/12/2025</v>
          </cell>
          <cell r="H676" t="str">
            <v>08004499</v>
          </cell>
          <cell r="I676" t="str">
            <v>AL BARAKA BANK (PAKISTAN) LIMITED</v>
          </cell>
          <cell r="J676" t="str">
            <v>BANK</v>
          </cell>
          <cell r="K676" t="str">
            <v>Mr. 
HPA M/s. Al Baraka Bank (Pakistan) Limited
Mr. Kamran Naheed 
HPA M/s. Al Baraka Bank (Pakistan) Limited</v>
          </cell>
          <cell r="L676" t="str">
            <v>D</v>
          </cell>
          <cell r="M676" t="str">
            <v>09000221</v>
          </cell>
          <cell r="N676">
            <v>100</v>
          </cell>
          <cell r="O676" t="str">
            <v>ISLAMABAD</v>
          </cell>
          <cell r="P676" t="str">
            <v>H # 254 Street 44-A Margalla Town Phase 2 Islamabad</v>
          </cell>
          <cell r="Q676" t="str">
            <v>11000003</v>
          </cell>
          <cell r="R676" t="str">
            <v>SUZUKI ALTO VXR E-2</v>
          </cell>
          <cell r="S676" t="str">
            <v>2021</v>
          </cell>
          <cell r="T676" t="str">
            <v>ASK-798</v>
          </cell>
          <cell r="U676" t="str">
            <v>148996</v>
          </cell>
          <cell r="V676" t="str">
            <v>1049029</v>
          </cell>
          <cell r="X676" t="str">
            <v>3</v>
          </cell>
          <cell r="Y676">
            <v>2400000</v>
          </cell>
          <cell r="Z676">
            <v>41379</v>
          </cell>
          <cell r="AA676">
            <v>48000</v>
          </cell>
        </row>
        <row r="677">
          <cell r="B677" t="str">
            <v>KHI/HO/D/MO/PC COMP/C/103201/27/12/2024</v>
          </cell>
          <cell r="D677" t="str">
            <v>FRE</v>
          </cell>
          <cell r="E677" t="str">
            <v>18/12/24</v>
          </cell>
          <cell r="F677" t="str">
            <v>18/12/2024</v>
          </cell>
          <cell r="G677" t="str">
            <v>17/12/2025</v>
          </cell>
          <cell r="H677" t="str">
            <v>08004499</v>
          </cell>
          <cell r="I677" t="str">
            <v>AL BARAKA BANK (PAKISTAN) LIMITED</v>
          </cell>
          <cell r="J677" t="str">
            <v>BANK</v>
          </cell>
          <cell r="K677" t="str">
            <v>Mr. 
HPA M/s. Al Baraka Bank (Pakistan) Limited
Mr. Fahad Zulfiqar
HPA M/s. Al Baraka Bank (Pakistan) Limited</v>
          </cell>
          <cell r="L677" t="str">
            <v>D</v>
          </cell>
          <cell r="M677" t="str">
            <v>09000221</v>
          </cell>
          <cell r="N677">
            <v>100</v>
          </cell>
          <cell r="O677" t="str">
            <v>LAHORE</v>
          </cell>
          <cell r="P677" t="str">
            <v>H # 2 Street 2 Peer Ghazi Road Ichra Lahore</v>
          </cell>
          <cell r="Q677" t="str">
            <v>11000003</v>
          </cell>
          <cell r="R677" t="str">
            <v>SUZUKI ALTO VXR E-2</v>
          </cell>
          <cell r="S677" t="str">
            <v>2024</v>
          </cell>
          <cell r="U677" t="str">
            <v>330848</v>
          </cell>
          <cell r="V677" t="str">
            <v>1230674</v>
          </cell>
          <cell r="X677" t="str">
            <v>3</v>
          </cell>
          <cell r="Y677">
            <v>2707000</v>
          </cell>
          <cell r="Z677">
            <v>46672</v>
          </cell>
          <cell r="AA677">
            <v>54140</v>
          </cell>
        </row>
        <row r="678">
          <cell r="B678" t="str">
            <v>KHI/HO/D/MO/PC COMP/C/103201/28/12/2024</v>
          </cell>
          <cell r="D678" t="str">
            <v>FRE</v>
          </cell>
          <cell r="E678" t="str">
            <v>18/12/24</v>
          </cell>
          <cell r="F678" t="str">
            <v>18/12/2024</v>
          </cell>
          <cell r="G678" t="str">
            <v>17/12/2025</v>
          </cell>
          <cell r="H678" t="str">
            <v>08004499</v>
          </cell>
          <cell r="I678" t="str">
            <v>AL BARAKA BANK (PAKISTAN) LIMITED</v>
          </cell>
          <cell r="J678" t="str">
            <v>BANK</v>
          </cell>
          <cell r="K678" t="str">
            <v>Mr. 
HPA M/s. Al Baraka Bank (Pakistan) Limited
Ms. Afshan Imran  
HPA M/s. Al Baraka Bank (Pakistan) Limited</v>
          </cell>
          <cell r="L678" t="str">
            <v>D</v>
          </cell>
          <cell r="M678" t="str">
            <v>09000221</v>
          </cell>
          <cell r="N678">
            <v>100</v>
          </cell>
          <cell r="O678" t="str">
            <v>KARACHI</v>
          </cell>
          <cell r="P678" t="str">
            <v>R-32 Block 10 Gulshan-e-Iqbal Karachi</v>
          </cell>
          <cell r="Q678" t="str">
            <v>11000003</v>
          </cell>
          <cell r="R678" t="str">
            <v>HONDA Civic CVT Oriel NAV</v>
          </cell>
          <cell r="S678" t="str">
            <v>2019</v>
          </cell>
          <cell r="T678" t="str">
            <v>BPN-261</v>
          </cell>
          <cell r="U678" t="str">
            <v>12947345</v>
          </cell>
          <cell r="V678" t="str">
            <v>R050773</v>
          </cell>
          <cell r="X678" t="str">
            <v>3</v>
          </cell>
          <cell r="Y678">
            <v>5025000</v>
          </cell>
          <cell r="Z678">
            <v>64978</v>
          </cell>
          <cell r="AA678">
            <v>75375</v>
          </cell>
        </row>
        <row r="679">
          <cell r="B679" t="str">
            <v>KHI/HO/D/MO/PC COMP/C/103201/29/12/2024</v>
          </cell>
          <cell r="D679" t="str">
            <v>FRE</v>
          </cell>
          <cell r="E679" t="str">
            <v>19/12/24</v>
          </cell>
          <cell r="F679" t="str">
            <v>19/12/2024</v>
          </cell>
          <cell r="G679" t="str">
            <v>18/12/2025</v>
          </cell>
          <cell r="H679" t="str">
            <v>08004499</v>
          </cell>
          <cell r="I679" t="str">
            <v>AL BARAKA BANK (PAKISTAN) LIMITED</v>
          </cell>
          <cell r="J679" t="str">
            <v>BANK</v>
          </cell>
          <cell r="K679" t="str">
            <v>Mr. 
HPA M/s. Al Baraka Bank (Pakistan) Limited
Mr. Qasim Mehmood 
HPA M/s. Al Baraka Bank (Pakistan) Limited</v>
          </cell>
          <cell r="L679" t="str">
            <v>D</v>
          </cell>
          <cell r="M679" t="str">
            <v>09000221</v>
          </cell>
          <cell r="N679">
            <v>100</v>
          </cell>
          <cell r="O679" t="str">
            <v>SIALKOT</v>
          </cell>
          <cell r="P679" t="str">
            <v>Mughal Street St  2 Moon Star Marriage Hall wali Gali Shahbpura Sialkot</v>
          </cell>
          <cell r="Q679" t="str">
            <v>11000003</v>
          </cell>
          <cell r="R679" t="str">
            <v>SUZUKI ALTO VXR E-2</v>
          </cell>
          <cell r="S679" t="str">
            <v>2019</v>
          </cell>
          <cell r="T679" t="str">
            <v>LEA-19A-7184</v>
          </cell>
          <cell r="U679" t="str">
            <v>6R108402</v>
          </cell>
          <cell r="V679" t="str">
            <v>NF1AET306H1008409</v>
          </cell>
          <cell r="X679" t="str">
            <v>3</v>
          </cell>
          <cell r="Y679">
            <v>2400000</v>
          </cell>
          <cell r="Z679">
            <v>41379</v>
          </cell>
          <cell r="AA679">
            <v>48000</v>
          </cell>
        </row>
        <row r="680">
          <cell r="B680" t="str">
            <v>KHI/HO/D/MO/CV/C/104418/1/12/2024</v>
          </cell>
          <cell r="D680" t="str">
            <v>REN</v>
          </cell>
          <cell r="E680" t="str">
            <v>20/12/24</v>
          </cell>
          <cell r="F680" t="str">
            <v>15/12/2024</v>
          </cell>
          <cell r="G680" t="str">
            <v>14/12/2025</v>
          </cell>
          <cell r="H680" t="str">
            <v>08004499</v>
          </cell>
          <cell r="I680" t="str">
            <v>AL BARAKA BANK (PAKISTAN) LIMITED</v>
          </cell>
          <cell r="J680" t="str">
            <v>BANK</v>
          </cell>
          <cell r="K680" t="str">
            <v>Mr. 
HPA M/s. Al Baraka Bank (Pakistan) Limited
Mr. Zeeshan Idrees 
HPA M/s. Al Baraka Bank (Pakistan) Limited</v>
          </cell>
          <cell r="L680" t="str">
            <v>D</v>
          </cell>
          <cell r="M680" t="str">
            <v>09000221</v>
          </cell>
          <cell r="N680">
            <v>100</v>
          </cell>
          <cell r="P680" t="str">
            <v>H # 67 Street 1 Mohallah Jalal Park Yaseen Road Mali Pura Lahore</v>
          </cell>
          <cell r="Q680" t="str">
            <v>11000003</v>
          </cell>
          <cell r="R680" t="str">
            <v>SUZUKI RAVI VX EURO II</v>
          </cell>
          <cell r="S680" t="str">
            <v>2022</v>
          </cell>
          <cell r="T680" t="str">
            <v>CAM-3443</v>
          </cell>
          <cell r="U680" t="str">
            <v>387664</v>
          </cell>
          <cell r="V680" t="str">
            <v>492323</v>
          </cell>
          <cell r="X680" t="str">
            <v>3</v>
          </cell>
          <cell r="Y680">
            <v>1210400</v>
          </cell>
          <cell r="Z680">
            <v>20438</v>
          </cell>
          <cell r="AA680">
            <v>24208</v>
          </cell>
        </row>
        <row r="681">
          <cell r="B681" t="str">
            <v>KHI/HO/D/MO/CV/C/104418/2/12/2024</v>
          </cell>
          <cell r="D681" t="str">
            <v>REN</v>
          </cell>
          <cell r="E681" t="str">
            <v>20/12/24</v>
          </cell>
          <cell r="F681" t="str">
            <v>30/12/2024</v>
          </cell>
          <cell r="G681" t="str">
            <v>29/12/2025</v>
          </cell>
          <cell r="H681" t="str">
            <v>08004499</v>
          </cell>
          <cell r="I681" t="str">
            <v>AL BARAKA BANK (PAKISTAN) LIMITED</v>
          </cell>
          <cell r="J681" t="str">
            <v>BANK</v>
          </cell>
          <cell r="K681" t="str">
            <v>Mr. 
HPA M/s. Al Baraka Bank (Pakistan) Limited
Mr. Ahsan Rehman  
HPA M/s. Al Baraka Bank (Pakistan) Limited</v>
          </cell>
          <cell r="L681" t="str">
            <v>D</v>
          </cell>
          <cell r="M681" t="str">
            <v>09000221</v>
          </cell>
          <cell r="N681">
            <v>100</v>
          </cell>
          <cell r="P681" t="str">
            <v>H # 965 Mohallah Usmania Street 02 PO Kangra Colony Teh &amp; Distr Haripur</v>
          </cell>
          <cell r="Q681" t="str">
            <v>11000003</v>
          </cell>
          <cell r="R681" t="str">
            <v>SUZUKI RAVI VX EURO II</v>
          </cell>
          <cell r="S681" t="str">
            <v>2022</v>
          </cell>
          <cell r="T681" t="str">
            <v>TAB-766</v>
          </cell>
          <cell r="U681" t="str">
            <v>388133</v>
          </cell>
          <cell r="V681" t="str">
            <v>492793</v>
          </cell>
          <cell r="X681" t="str">
            <v>3</v>
          </cell>
          <cell r="Y681">
            <v>1210400</v>
          </cell>
          <cell r="Z681">
            <v>20869</v>
          </cell>
          <cell r="AA681">
            <v>24208</v>
          </cell>
        </row>
        <row r="682">
          <cell r="B682" t="str">
            <v>KHI/HO/D/MO/CV/C/104416/1/12/2024</v>
          </cell>
          <cell r="D682" t="str">
            <v>REN</v>
          </cell>
          <cell r="E682" t="str">
            <v>20/12/24</v>
          </cell>
          <cell r="F682" t="str">
            <v>03/12/2024</v>
          </cell>
          <cell r="G682" t="str">
            <v>02/12/2025</v>
          </cell>
          <cell r="H682" t="str">
            <v>08004499</v>
          </cell>
          <cell r="I682" t="str">
            <v>AL BARAKA BANK (PAKISTAN) LIMITED</v>
          </cell>
          <cell r="J682" t="str">
            <v>BANK</v>
          </cell>
          <cell r="K682" t="str">
            <v>HPA M/s. Al Baraka Bank (Pakistan) Limited
Mr. Amjad Pervaiz   
HPA M/s. Al Baraka Bank (Pakistan) Limited</v>
          </cell>
          <cell r="L682" t="str">
            <v>D</v>
          </cell>
          <cell r="M682" t="str">
            <v>09000221</v>
          </cell>
          <cell r="N682">
            <v>100</v>
          </cell>
          <cell r="O682" t="str">
            <v>KARACHI</v>
          </cell>
          <cell r="P682" t="str">
            <v>House No. MC-730 A Street  1 Green Town
Shah Faisal Colony Karachi</v>
          </cell>
          <cell r="Q682" t="str">
            <v>11000003</v>
          </cell>
          <cell r="R682" t="str">
            <v>SUZUKI RAVI VX EURO II</v>
          </cell>
          <cell r="S682" t="str">
            <v>2020</v>
          </cell>
          <cell r="T682" t="str">
            <v>KZ-4320</v>
          </cell>
          <cell r="U682" t="str">
            <v>364707</v>
          </cell>
          <cell r="V682" t="str">
            <v>469365</v>
          </cell>
          <cell r="X682" t="str">
            <v>3</v>
          </cell>
          <cell r="Y682">
            <v>775500</v>
          </cell>
          <cell r="Z682">
            <v>16283</v>
          </cell>
          <cell r="AA682">
            <v>19388</v>
          </cell>
        </row>
        <row r="683">
          <cell r="B683" t="str">
            <v>KHI/HO/D/MO/CV/C/104416/2/12/2024</v>
          </cell>
          <cell r="D683" t="str">
            <v>REN</v>
          </cell>
          <cell r="E683" t="str">
            <v>20/12/24</v>
          </cell>
          <cell r="F683" t="str">
            <v>11/12/2024</v>
          </cell>
          <cell r="G683" t="str">
            <v>10/12/2025</v>
          </cell>
          <cell r="H683" t="str">
            <v>08004499</v>
          </cell>
          <cell r="I683" t="str">
            <v>AL BARAKA BANK (PAKISTAN) LIMITED</v>
          </cell>
          <cell r="J683" t="str">
            <v>BANK</v>
          </cell>
          <cell r="K683" t="str">
            <v>HPA M/s. Al Baraka Bank (Pakistan) Limited
Mr. Danish Atta   
HPA M/s. Al Baraka Bank (Pakistan) Limited</v>
          </cell>
          <cell r="L683" t="str">
            <v>D</v>
          </cell>
          <cell r="M683" t="str">
            <v>09000221</v>
          </cell>
          <cell r="N683">
            <v>100</v>
          </cell>
          <cell r="O683" t="str">
            <v>RAWALPINDI</v>
          </cell>
          <cell r="P683" t="str">
            <v>House No. SA-661 Mohallah Khajoor Wali Gali Service Road Rawalpindi</v>
          </cell>
          <cell r="Q683" t="str">
            <v>11000003</v>
          </cell>
          <cell r="R683" t="str">
            <v>SUZUKI RAVI VX EURO II</v>
          </cell>
          <cell r="S683" t="str">
            <v>2020</v>
          </cell>
          <cell r="T683" t="str">
            <v>TAA-981</v>
          </cell>
          <cell r="U683" t="str">
            <v>364993</v>
          </cell>
          <cell r="V683" t="str">
            <v>469697</v>
          </cell>
          <cell r="X683" t="str">
            <v>3</v>
          </cell>
          <cell r="Y683">
            <v>775500</v>
          </cell>
          <cell r="Z683">
            <v>16714</v>
          </cell>
          <cell r="AA683">
            <v>19388</v>
          </cell>
        </row>
        <row r="684">
          <cell r="B684" t="str">
            <v>KHI/HO/D/MO/CV/C/104415/1/12/2024</v>
          </cell>
          <cell r="D684" t="str">
            <v>REN</v>
          </cell>
          <cell r="E684" t="str">
            <v>20/12/24</v>
          </cell>
          <cell r="F684" t="str">
            <v>08/12/2024</v>
          </cell>
          <cell r="G684" t="str">
            <v>07/12/2025</v>
          </cell>
          <cell r="H684" t="str">
            <v>08004499</v>
          </cell>
          <cell r="I684" t="str">
            <v>AL BARAKA BANK (PAKISTAN) LIMITED</v>
          </cell>
          <cell r="J684" t="str">
            <v>BANK</v>
          </cell>
          <cell r="K684" t="str">
            <v>Mr. 
HPA M/s. Al Baraka Bank (Pakistan) Limited
Mr. Sadam Hussain  
HPA M/s. Al Baraka Bank (Pakistan) Limited</v>
          </cell>
          <cell r="L684" t="str">
            <v>D</v>
          </cell>
          <cell r="M684" t="str">
            <v>09000221</v>
          </cell>
          <cell r="N684">
            <v>100</v>
          </cell>
          <cell r="O684" t="str">
            <v>LAHORE</v>
          </cell>
          <cell r="P684" t="str">
            <v>Village Khanoharni Suwa Asal Stop Khana Nau Ferozepur Road Lahore</v>
          </cell>
          <cell r="Q684" t="str">
            <v>11000003</v>
          </cell>
          <cell r="R684" t="str">
            <v>SUZUKI RAVI VX EURO II</v>
          </cell>
          <cell r="S684" t="str">
            <v>2021</v>
          </cell>
          <cell r="T684" t="str">
            <v>CAH-2994</v>
          </cell>
          <cell r="U684" t="str">
            <v>377888</v>
          </cell>
          <cell r="V684" t="str">
            <v>482551</v>
          </cell>
          <cell r="X684" t="str">
            <v>3</v>
          </cell>
          <cell r="Y684">
            <v>893600</v>
          </cell>
          <cell r="Z684">
            <v>13049</v>
          </cell>
          <cell r="AA684">
            <v>15638</v>
          </cell>
        </row>
        <row r="685">
          <cell r="B685" t="str">
            <v>KHI/HO/D/MO/CV/C/104415/2/12/2024</v>
          </cell>
          <cell r="D685" t="str">
            <v>REN</v>
          </cell>
          <cell r="E685" t="str">
            <v>20/12/24</v>
          </cell>
          <cell r="F685" t="str">
            <v>15/12/2024</v>
          </cell>
          <cell r="G685" t="str">
            <v>14/12/2025</v>
          </cell>
          <cell r="H685" t="str">
            <v>08004499</v>
          </cell>
          <cell r="I685" t="str">
            <v>AL BARAKA BANK (PAKISTAN) LIMITED</v>
          </cell>
          <cell r="J685" t="str">
            <v>BANK</v>
          </cell>
          <cell r="K685" t="str">
            <v>Mr. 
HPA M/s. Al Baraka Bank (Pakistan) Limited
Mr. Muhammad Shahzad 
HPA M/s. Al Baraka Bank (Pakistan) Limited</v>
          </cell>
          <cell r="L685" t="str">
            <v>D</v>
          </cell>
          <cell r="M685" t="str">
            <v>09000221</v>
          </cell>
          <cell r="N685">
            <v>100</v>
          </cell>
          <cell r="O685" t="str">
            <v>LAHORE</v>
          </cell>
          <cell r="P685" t="str">
            <v>House No. 7 Block 797 Wireless Sultan Pura Colony Lahore</v>
          </cell>
          <cell r="Q685" t="str">
            <v>11000003</v>
          </cell>
          <cell r="R685" t="str">
            <v>SUZUKI RAVI VX EURO II</v>
          </cell>
          <cell r="S685" t="str">
            <v>2021</v>
          </cell>
          <cell r="T685" t="str">
            <v>CAH-2835</v>
          </cell>
          <cell r="U685" t="str">
            <v>378041</v>
          </cell>
          <cell r="V685" t="str">
            <v>482692</v>
          </cell>
          <cell r="X685" t="str">
            <v>3</v>
          </cell>
          <cell r="Y685">
            <v>893600</v>
          </cell>
          <cell r="Z685">
            <v>13481</v>
          </cell>
          <cell r="AA685">
            <v>15638</v>
          </cell>
        </row>
        <row r="686">
          <cell r="B686" t="str">
            <v>KHI/HO/D/MO/CV/C/104415/3/12/2024</v>
          </cell>
          <cell r="D686" t="str">
            <v>REN</v>
          </cell>
          <cell r="E686" t="str">
            <v>20/12/24</v>
          </cell>
          <cell r="F686" t="str">
            <v>17/12/2024</v>
          </cell>
          <cell r="G686" t="str">
            <v>16/12/2025</v>
          </cell>
          <cell r="H686" t="str">
            <v>08004499</v>
          </cell>
          <cell r="I686" t="str">
            <v>AL BARAKA BANK (PAKISTAN) LIMITED</v>
          </cell>
          <cell r="J686" t="str">
            <v>BANK</v>
          </cell>
          <cell r="K686" t="str">
            <v>Mr. 
HPA M/s. Al Baraka Bank (Pakistan) Limited
Mr. Muhammad Mubashir Nazar Awan 
HPA M/s. Al Baraka Bank (Pakistan) Limited</v>
          </cell>
          <cell r="L686" t="str">
            <v>D</v>
          </cell>
          <cell r="M686" t="str">
            <v>09000221</v>
          </cell>
          <cell r="N686">
            <v>100</v>
          </cell>
          <cell r="O686" t="str">
            <v>RAWALPINDI</v>
          </cell>
          <cell r="P686" t="str">
            <v>H # 47 Street 15 Mohallah Westbridge 1 Rawalpindi</v>
          </cell>
          <cell r="Q686" t="str">
            <v>11000003</v>
          </cell>
          <cell r="R686" t="str">
            <v>SUZUKI RAVI VX EURO II</v>
          </cell>
          <cell r="S686" t="str">
            <v>2021</v>
          </cell>
          <cell r="T686" t="str">
            <v>TC-13</v>
          </cell>
          <cell r="U686" t="str">
            <v>378815</v>
          </cell>
          <cell r="V686" t="str">
            <v>483469</v>
          </cell>
          <cell r="X686" t="str">
            <v>3</v>
          </cell>
          <cell r="Y686">
            <v>893600</v>
          </cell>
          <cell r="Z686">
            <v>13481</v>
          </cell>
          <cell r="AA686">
            <v>15638</v>
          </cell>
        </row>
        <row r="687">
          <cell r="B687" t="str">
            <v>KHI/HO/D/MO/CV/C/104415/4/12/2024</v>
          </cell>
          <cell r="D687" t="str">
            <v>REN</v>
          </cell>
          <cell r="E687" t="str">
            <v>20/12/24</v>
          </cell>
          <cell r="F687" t="str">
            <v>20/12/2024</v>
          </cell>
          <cell r="G687" t="str">
            <v>19/12/2025</v>
          </cell>
          <cell r="H687" t="str">
            <v>08004499</v>
          </cell>
          <cell r="I687" t="str">
            <v>AL BARAKA BANK (PAKISTAN) LIMITED</v>
          </cell>
          <cell r="J687" t="str">
            <v>BANK</v>
          </cell>
          <cell r="K687" t="str">
            <v>Mr. 
HPA M/s. Al Baraka Bank (Pakistan) Limited
Mr. Naveed Latif     
HPA M/s. Al Baraka Bank (Pakistan) Limited</v>
          </cell>
          <cell r="L687" t="str">
            <v>D</v>
          </cell>
          <cell r="M687" t="str">
            <v>09000221</v>
          </cell>
          <cell r="N687">
            <v>100</v>
          </cell>
          <cell r="O687" t="str">
            <v>LAHORE</v>
          </cell>
          <cell r="P687" t="str">
            <v>H # 3 Street 1 Peer Naseer Gao Ibrahim Colony Harbanspura Lahore</v>
          </cell>
          <cell r="Q687" t="str">
            <v>11000003</v>
          </cell>
          <cell r="R687" t="str">
            <v>SUZUKI RAVI VX EURO II</v>
          </cell>
          <cell r="S687" t="str">
            <v>2021</v>
          </cell>
          <cell r="T687" t="str">
            <v>CAH-2727</v>
          </cell>
          <cell r="U687" t="str">
            <v>378664</v>
          </cell>
          <cell r="V687" t="str">
            <v>483328</v>
          </cell>
          <cell r="X687" t="str">
            <v>3</v>
          </cell>
          <cell r="Y687">
            <v>893600</v>
          </cell>
          <cell r="Z687">
            <v>13481</v>
          </cell>
          <cell r="AA687">
            <v>15638</v>
          </cell>
        </row>
        <row r="688">
          <cell r="B688" t="str">
            <v>KHI/HO/D/MO/CV/C/104415/5/12/2024</v>
          </cell>
          <cell r="D688" t="str">
            <v>REN</v>
          </cell>
          <cell r="E688" t="str">
            <v>20/12/24</v>
          </cell>
          <cell r="F688" t="str">
            <v>23/12/2024</v>
          </cell>
          <cell r="G688" t="str">
            <v>22/12/2025</v>
          </cell>
          <cell r="H688" t="str">
            <v>08004499</v>
          </cell>
          <cell r="I688" t="str">
            <v>AL BARAKA BANK (PAKISTAN) LIMITED</v>
          </cell>
          <cell r="J688" t="str">
            <v>BANK</v>
          </cell>
          <cell r="K688" t="str">
            <v>Mr. 
HPA M/s. Al Baraka Bank (Pakistan) Limited
Mr. Khawar Abbas 
HPA  M/s. Al Baraka Bank (Pakistan) Limited</v>
          </cell>
          <cell r="L688" t="str">
            <v>D</v>
          </cell>
          <cell r="M688" t="str">
            <v>09000221</v>
          </cell>
          <cell r="N688">
            <v>100</v>
          </cell>
          <cell r="O688" t="str">
            <v>LAHORE</v>
          </cell>
          <cell r="P688" t="str">
            <v>Toheed Park Near Noor General Store Near Khan Parking Stand Imamia Colony Lahore</v>
          </cell>
          <cell r="Q688" t="str">
            <v>11000003</v>
          </cell>
          <cell r="R688" t="str">
            <v>SUZUKI RAVI VX EURO II</v>
          </cell>
          <cell r="S688" t="str">
            <v>2021</v>
          </cell>
          <cell r="T688" t="str">
            <v>CAH-6141</v>
          </cell>
          <cell r="U688" t="str">
            <v>378553</v>
          </cell>
          <cell r="V688" t="str">
            <v>483215</v>
          </cell>
          <cell r="X688" t="str">
            <v>3</v>
          </cell>
          <cell r="Y688">
            <v>893600</v>
          </cell>
          <cell r="Z688">
            <v>13481</v>
          </cell>
          <cell r="AA688">
            <v>15638</v>
          </cell>
        </row>
        <row r="689">
          <cell r="B689" t="str">
            <v>KHI/HO/D/MO/CV/C/104414/1/12/2024</v>
          </cell>
          <cell r="D689" t="str">
            <v>REN</v>
          </cell>
          <cell r="E689" t="str">
            <v>20/12/24</v>
          </cell>
          <cell r="F689" t="str">
            <v>15/12/2024</v>
          </cell>
          <cell r="G689" t="str">
            <v>14/12/2025</v>
          </cell>
          <cell r="H689" t="str">
            <v>08004499</v>
          </cell>
          <cell r="I689" t="str">
            <v>AL BARAKA BANK (PAKISTAN) LIMITED</v>
          </cell>
          <cell r="J689" t="str">
            <v>BANK</v>
          </cell>
          <cell r="K689" t="str">
            <v>Mr. 
HPA M/s. Al Baraka Bank Pakistan Limited 
Mr. Azhar Hussain
HPA M/s. Al Baraka Bank Pakistan Limited</v>
          </cell>
          <cell r="L689" t="str">
            <v>D</v>
          </cell>
          <cell r="M689" t="str">
            <v>09000221</v>
          </cell>
          <cell r="N689">
            <v>100</v>
          </cell>
          <cell r="P689" t="str">
            <v>1st Foor Madina Masjid Street Shakriyal Rawalpindi</v>
          </cell>
          <cell r="Q689" t="str">
            <v>11000003</v>
          </cell>
          <cell r="R689" t="str">
            <v>SUZUKI RAVI VX EURO II</v>
          </cell>
          <cell r="S689" t="str">
            <v>2023</v>
          </cell>
          <cell r="T689" t="str">
            <v>TAD-406</v>
          </cell>
          <cell r="U689" t="str">
            <v>390637</v>
          </cell>
          <cell r="V689" t="str">
            <v>495299</v>
          </cell>
          <cell r="X689" t="str">
            <v>3</v>
          </cell>
          <cell r="Y689">
            <v>1670000</v>
          </cell>
          <cell r="Z689">
            <v>28362</v>
          </cell>
          <cell r="AA689">
            <v>33400</v>
          </cell>
        </row>
        <row r="690">
          <cell r="B690" t="str">
            <v>KHI/HO/D/MO/PC COMP/C/103201/30/12/2024</v>
          </cell>
          <cell r="D690" t="str">
            <v>FRE</v>
          </cell>
          <cell r="E690" t="str">
            <v>23/12/24</v>
          </cell>
          <cell r="F690" t="str">
            <v>23/12/2024</v>
          </cell>
          <cell r="G690" t="str">
            <v>22/12/2025</v>
          </cell>
          <cell r="H690" t="str">
            <v>08004499</v>
          </cell>
          <cell r="I690" t="str">
            <v>AL BARAKA BANK (PAKISTAN) LIMITED</v>
          </cell>
          <cell r="J690" t="str">
            <v>BANK</v>
          </cell>
          <cell r="K690" t="str">
            <v>Mr. 
HPA M/s. Al Baraka Bank (Pakistan) Limited
Mr. Syed Saad Ul Haq 
HPA M/s. Al Baraka Bank (Pakistan) Limited</v>
          </cell>
          <cell r="L690" t="str">
            <v>D</v>
          </cell>
          <cell r="M690" t="str">
            <v>09000221</v>
          </cell>
          <cell r="N690">
            <v>100</v>
          </cell>
          <cell r="O690" t="str">
            <v>LAHORE</v>
          </cell>
          <cell r="P690" t="str">
            <v>R-372 Sheet 39 Block B Saima Arabian Villas Karachi</v>
          </cell>
          <cell r="Q690" t="str">
            <v>11000003</v>
          </cell>
          <cell r="R690" t="str">
            <v>SUZUKI CULTUS VXR EURO-II</v>
          </cell>
          <cell r="S690" t="str">
            <v>2017</v>
          </cell>
          <cell r="T690" t="str">
            <v>BJL-995</v>
          </cell>
          <cell r="U690" t="str">
            <v>PK10K100978</v>
          </cell>
          <cell r="V690" t="str">
            <v>H10000982</v>
          </cell>
          <cell r="X690" t="str">
            <v>3</v>
          </cell>
          <cell r="Y690">
            <v>2150000</v>
          </cell>
          <cell r="Z690">
            <v>37069</v>
          </cell>
          <cell r="AA690">
            <v>43000</v>
          </cell>
        </row>
        <row r="691">
          <cell r="B691" t="str">
            <v>KHI/HO/D/MO/PC COMP/C/103201/31/12/2024</v>
          </cell>
          <cell r="D691" t="str">
            <v>FRE</v>
          </cell>
          <cell r="E691" t="str">
            <v>23/12/24</v>
          </cell>
          <cell r="F691" t="str">
            <v>23/12/2024</v>
          </cell>
          <cell r="G691" t="str">
            <v>22/12/2025</v>
          </cell>
          <cell r="H691" t="str">
            <v>08004499</v>
          </cell>
          <cell r="I691" t="str">
            <v>AL BARAKA BANK (PAKISTAN) LIMITED</v>
          </cell>
          <cell r="J691" t="str">
            <v>BANK</v>
          </cell>
          <cell r="K691" t="str">
            <v>Mr. 
HPA M/s. Al Baraka Bank (Pakistan) Limited
Mr. Syed Naveed Hussain Shah  
HPA M/s. Al Baraka Bank (Pakistan) Limited</v>
          </cell>
          <cell r="L691" t="str">
            <v>D</v>
          </cell>
          <cell r="M691" t="str">
            <v>09000221</v>
          </cell>
          <cell r="N691">
            <v>100</v>
          </cell>
          <cell r="O691" t="str">
            <v>ISLAMABAD</v>
          </cell>
          <cell r="P691" t="str">
            <v>H # 5 Street 6 River Garden Islamabad</v>
          </cell>
          <cell r="Q691" t="str">
            <v>11000003</v>
          </cell>
          <cell r="R691" t="str">
            <v>SUZUKI ALTO VXL AGS E-2</v>
          </cell>
          <cell r="S691" t="str">
            <v>2024</v>
          </cell>
          <cell r="U691" t="str">
            <v>332304</v>
          </cell>
          <cell r="V691" t="str">
            <v>1232332</v>
          </cell>
          <cell r="X691" t="str">
            <v>3</v>
          </cell>
          <cell r="Y691">
            <v>3045000</v>
          </cell>
          <cell r="Z691">
            <v>52500</v>
          </cell>
          <cell r="AA691">
            <v>60900</v>
          </cell>
        </row>
        <row r="692">
          <cell r="B692" t="str">
            <v>KHI/HO/D/MO/PC COMP/C/103201/32/12/2024</v>
          </cell>
          <cell r="D692" t="str">
            <v>FRE</v>
          </cell>
          <cell r="E692" t="str">
            <v>24/12/24</v>
          </cell>
          <cell r="F692" t="str">
            <v>24/12/2024</v>
          </cell>
          <cell r="G692" t="str">
            <v>23/12/2025</v>
          </cell>
          <cell r="H692" t="str">
            <v>08004499</v>
          </cell>
          <cell r="I692" t="str">
            <v>AL BARAKA BANK (PAKISTAN) LIMITED</v>
          </cell>
          <cell r="J692" t="str">
            <v>BANK</v>
          </cell>
          <cell r="K692" t="str">
            <v>Mr. 
HPA M/s. Al Baraka Bank (Pakistan) Limited
Mr. Faisal Mughees Almas
HPA M/s. Al Baraka Bank (Pakistan) Limited</v>
          </cell>
          <cell r="L692" t="str">
            <v>D</v>
          </cell>
          <cell r="M692" t="str">
            <v>09000221</v>
          </cell>
          <cell r="N692">
            <v>100</v>
          </cell>
          <cell r="O692" t="str">
            <v>MULTAN</v>
          </cell>
          <cell r="P692" t="str">
            <v>H # 2 Street 16 Shalimar Colony Bosan Road Multan</v>
          </cell>
          <cell r="Q692" t="str">
            <v>11000003</v>
          </cell>
          <cell r="R692" t="str">
            <v>TOYOTA Corolla Cross 1.8</v>
          </cell>
          <cell r="S692" t="str">
            <v>2024</v>
          </cell>
          <cell r="T692" t="str">
            <v>ATN-636</v>
          </cell>
          <cell r="U692" t="str">
            <v>7049</v>
          </cell>
          <cell r="V692" t="str">
            <v>905936</v>
          </cell>
          <cell r="X692" t="str">
            <v>3</v>
          </cell>
          <cell r="Y692">
            <v>9000000</v>
          </cell>
          <cell r="Z692">
            <v>116379</v>
          </cell>
          <cell r="AA692">
            <v>135000</v>
          </cell>
        </row>
        <row r="693">
          <cell r="B693" t="str">
            <v>KHI/HO/D/MO/PC COMP/C/103201/33/12/2024</v>
          </cell>
          <cell r="D693" t="str">
            <v>FRE</v>
          </cell>
          <cell r="E693" t="str">
            <v>24/12/24</v>
          </cell>
          <cell r="F693" t="str">
            <v>24/12/2024</v>
          </cell>
          <cell r="G693" t="str">
            <v>23/12/2025</v>
          </cell>
          <cell r="H693" t="str">
            <v>08004499</v>
          </cell>
          <cell r="I693" t="str">
            <v>AL BARAKA BANK (PAKISTAN) LIMITED</v>
          </cell>
          <cell r="J693" t="str">
            <v>BANK</v>
          </cell>
          <cell r="K693" t="str">
            <v>Mr. 
HPA M/s. Al Baraka Bank (Pakistan) Limited
Mr. Muhammad Nosherwan Adil Rana
HPA M/s. Al Baraka Bank (Pakistan) Limited</v>
          </cell>
          <cell r="L693" t="str">
            <v>D</v>
          </cell>
          <cell r="M693" t="str">
            <v>09000221</v>
          </cell>
          <cell r="N693">
            <v>100</v>
          </cell>
          <cell r="O693" t="str">
            <v>LAHORE</v>
          </cell>
          <cell r="P693" t="str">
            <v>H No 133 Block E Gulshan E Ravi Lahore</v>
          </cell>
          <cell r="Q693" t="str">
            <v>11000003</v>
          </cell>
          <cell r="R693" t="str">
            <v>TOYOTA COROLLA GLI A/T 1.</v>
          </cell>
          <cell r="S693" t="str">
            <v>2018</v>
          </cell>
          <cell r="T693" t="str">
            <v>LEH-18-2954</v>
          </cell>
          <cell r="U693" t="str">
            <v>523836</v>
          </cell>
          <cell r="V693" t="str">
            <v>149745</v>
          </cell>
          <cell r="Y693">
            <v>4000000</v>
          </cell>
          <cell r="Z693">
            <v>51724</v>
          </cell>
          <cell r="AA693">
            <v>60000</v>
          </cell>
        </row>
        <row r="694">
          <cell r="B694" t="str">
            <v>KHI/HO/D/MO/PC COMP/C/103201/34/12/2024</v>
          </cell>
          <cell r="D694" t="str">
            <v>FRE</v>
          </cell>
          <cell r="E694" t="str">
            <v>24/12/24</v>
          </cell>
          <cell r="F694" t="str">
            <v>24/12/2024</v>
          </cell>
          <cell r="G694" t="str">
            <v>23/12/2025</v>
          </cell>
          <cell r="H694" t="str">
            <v>08004499</v>
          </cell>
          <cell r="I694" t="str">
            <v>AL BARAKA BANK (PAKISTAN) LIMITED</v>
          </cell>
          <cell r="J694" t="str">
            <v>BANK</v>
          </cell>
          <cell r="K694" t="str">
            <v>Mr. 
HPA M/s. Al Baraka Bank (Pakistan) Limited
Mr. Muhammad Umer 
HPA M/s. Al Baraka Bank (Pakistan) Limited</v>
          </cell>
          <cell r="L694" t="str">
            <v>D</v>
          </cell>
          <cell r="M694" t="str">
            <v>09000221</v>
          </cell>
          <cell r="N694">
            <v>100</v>
          </cell>
          <cell r="O694" t="str">
            <v>LAHORE</v>
          </cell>
          <cell r="P694" t="str">
            <v>H # 73-A  New Chauburji Park Gulshan Ravi Lahore</v>
          </cell>
          <cell r="Q694" t="str">
            <v>11000003</v>
          </cell>
          <cell r="R694" t="str">
            <v>TOYOTA COROLLA ALTIS  1.6</v>
          </cell>
          <cell r="S694" t="str">
            <v>2017</v>
          </cell>
          <cell r="T694" t="str">
            <v>LEA-17A-2088</v>
          </cell>
          <cell r="U694" t="str">
            <v>Q040210</v>
          </cell>
          <cell r="V694" t="str">
            <v>6017692</v>
          </cell>
          <cell r="X694" t="str">
            <v>3</v>
          </cell>
          <cell r="Y694">
            <v>3200000</v>
          </cell>
          <cell r="Z694">
            <v>55172</v>
          </cell>
          <cell r="AA694">
            <v>64000</v>
          </cell>
        </row>
        <row r="695">
          <cell r="B695" t="str">
            <v>KHI/HO/D/MO/PC COMP/C/103201/35/12/2024</v>
          </cell>
          <cell r="D695" t="str">
            <v>FRE</v>
          </cell>
          <cell r="E695" t="str">
            <v>24/12/24</v>
          </cell>
          <cell r="F695" t="str">
            <v>24/12/2024</v>
          </cell>
          <cell r="G695" t="str">
            <v>23/12/2025</v>
          </cell>
          <cell r="H695" t="str">
            <v>08004499</v>
          </cell>
          <cell r="I695" t="str">
            <v>AL BARAKA BANK (PAKISTAN) LIMITED</v>
          </cell>
          <cell r="J695" t="str">
            <v>BANK</v>
          </cell>
          <cell r="K695" t="str">
            <v>Mr. 
HPA M/s. Al Baraka Bank (Pakistan) Limited
Mr. Atif Shafique Shami 
HPA M/s. Al Baraka Bank (Pakistan) Limited</v>
          </cell>
          <cell r="L695" t="str">
            <v>D</v>
          </cell>
          <cell r="M695" t="str">
            <v>09000221</v>
          </cell>
          <cell r="N695">
            <v>100</v>
          </cell>
          <cell r="O695" t="str">
            <v>LAHORE</v>
          </cell>
          <cell r="P695" t="str">
            <v>H # 681 GG Street 23 DHA Phase 4 Lahore</v>
          </cell>
          <cell r="Q695" t="str">
            <v>11000003</v>
          </cell>
          <cell r="R695" t="str">
            <v>SUZUKI ALTO VXL AGS E-2</v>
          </cell>
          <cell r="S695" t="str">
            <v>2024</v>
          </cell>
          <cell r="U695" t="str">
            <v>6R331389</v>
          </cell>
          <cell r="V695" t="str">
            <v>1231414</v>
          </cell>
          <cell r="X695" t="str">
            <v>3</v>
          </cell>
          <cell r="Y695">
            <v>3045000</v>
          </cell>
          <cell r="Z695">
            <v>52500</v>
          </cell>
          <cell r="AA695">
            <v>60900</v>
          </cell>
        </row>
        <row r="696">
          <cell r="B696" t="str">
            <v>KHI/HO/D/MO/PC COMP/C/103201/36/12/2024</v>
          </cell>
          <cell r="D696" t="str">
            <v>FRE</v>
          </cell>
          <cell r="E696" t="str">
            <v>26/12/24</v>
          </cell>
          <cell r="F696" t="str">
            <v>26/12/2024</v>
          </cell>
          <cell r="G696" t="str">
            <v>25/12/2025</v>
          </cell>
          <cell r="H696" t="str">
            <v>08004499</v>
          </cell>
          <cell r="I696" t="str">
            <v>AL BARAKA BANK (PAKISTAN) LIMITED</v>
          </cell>
          <cell r="J696" t="str">
            <v>BANK</v>
          </cell>
          <cell r="K696" t="str">
            <v>Mr. 
HPA M/s. Al Baraka Bank (Pakistan) Limited
Mr. Hamza Naveed 
HPA M/s. Al Baraka Bank (Pakistan) Limited</v>
          </cell>
          <cell r="L696" t="str">
            <v>D</v>
          </cell>
          <cell r="M696" t="str">
            <v>09000221</v>
          </cell>
          <cell r="N696">
            <v>100</v>
          </cell>
          <cell r="O696" t="str">
            <v>ISLAMABAD</v>
          </cell>
          <cell r="P696" t="str">
            <v>H # 126 Street 11 Sector F-15/1 Islamabad</v>
          </cell>
          <cell r="Q696" t="str">
            <v>11000003</v>
          </cell>
          <cell r="R696" t="str">
            <v>SUZUKI ALTO VXR E-2</v>
          </cell>
          <cell r="S696" t="str">
            <v>2020</v>
          </cell>
          <cell r="T696" t="str">
            <v>LEA-20-3680</v>
          </cell>
          <cell r="U696" t="str">
            <v>131361</v>
          </cell>
          <cell r="V696" t="str">
            <v>1031359</v>
          </cell>
          <cell r="X696" t="str">
            <v>3</v>
          </cell>
          <cell r="Y696">
            <v>1950000</v>
          </cell>
          <cell r="Z696">
            <v>33621</v>
          </cell>
          <cell r="AA696">
            <v>39000</v>
          </cell>
        </row>
        <row r="697">
          <cell r="B697" t="str">
            <v>KHI/HO/D/MO/PC COMP/C/103201/37/12/2024</v>
          </cell>
          <cell r="D697" t="str">
            <v>FRE</v>
          </cell>
          <cell r="E697" t="str">
            <v>26/12/24</v>
          </cell>
          <cell r="F697" t="str">
            <v>26/12/2024</v>
          </cell>
          <cell r="G697" t="str">
            <v>25/12/2025</v>
          </cell>
          <cell r="H697" t="str">
            <v>08004499</v>
          </cell>
          <cell r="I697" t="str">
            <v>AL BARAKA BANK (PAKISTAN) LIMITED</v>
          </cell>
          <cell r="J697" t="str">
            <v>BANK</v>
          </cell>
          <cell r="K697" t="str">
            <v>Mr. 
HPA M/s. Al Baraka Bank (Pakistan) Limited
Mr. Muhammad Ahsan Nazir 
HPA M/s. Al Baraka Bank (Pakistan) Limited</v>
          </cell>
          <cell r="L697" t="str">
            <v>D</v>
          </cell>
          <cell r="M697" t="str">
            <v>09000221</v>
          </cell>
          <cell r="N697">
            <v>100</v>
          </cell>
          <cell r="O697" t="str">
            <v>LAHORE</v>
          </cell>
          <cell r="P697" t="str">
            <v>H # 51 Fateh Sher Road Saadi Park Mozang Lahore</v>
          </cell>
          <cell r="Q697" t="str">
            <v>11000003</v>
          </cell>
          <cell r="R697" t="str">
            <v>HONDA CITY 1.5 ASPIRE CVT</v>
          </cell>
          <cell r="S697" t="str">
            <v>2024</v>
          </cell>
          <cell r="U697" t="str">
            <v>51029803</v>
          </cell>
          <cell r="V697" t="str">
            <v>R046840</v>
          </cell>
          <cell r="X697" t="str">
            <v>3</v>
          </cell>
          <cell r="Y697">
            <v>4719000</v>
          </cell>
          <cell r="Z697">
            <v>61022</v>
          </cell>
          <cell r="AA697">
            <v>70785</v>
          </cell>
        </row>
        <row r="698">
          <cell r="B698" t="str">
            <v>KHI/HO/D/MO/PC COMP/C/103201/38/12/2024</v>
          </cell>
          <cell r="D698" t="str">
            <v>FRE</v>
          </cell>
          <cell r="E698" t="str">
            <v>27/12/24</v>
          </cell>
          <cell r="F698" t="str">
            <v>27/12/2024</v>
          </cell>
          <cell r="G698" t="str">
            <v>26/12/2025</v>
          </cell>
          <cell r="H698" t="str">
            <v>08004499</v>
          </cell>
          <cell r="I698" t="str">
            <v>AL BARAKA BANK (PAKISTAN) LIMITED</v>
          </cell>
          <cell r="J698" t="str">
            <v>BANK</v>
          </cell>
          <cell r="K698" t="str">
            <v>Mr. 
HPA M/s. Al Baraka Bank (Pakistan) Limited
Mr. Jam Atif Siddiq
HPA M/s. Al Baraka Bank (Pakistan) Limited</v>
          </cell>
          <cell r="L698" t="str">
            <v>D</v>
          </cell>
          <cell r="M698" t="str">
            <v>09000221</v>
          </cell>
          <cell r="N698">
            <v>100</v>
          </cell>
          <cell r="O698" t="str">
            <v>MULTAN</v>
          </cell>
          <cell r="P698" t="str">
            <v>H No 671/6 St No 2 Mohallah Shadab Suraj Main Road Multan</v>
          </cell>
          <cell r="Q698" t="str">
            <v>11000003</v>
          </cell>
          <cell r="R698" t="str">
            <v>SUZUKI ALTO VXR</v>
          </cell>
          <cell r="S698" t="str">
            <v>2021</v>
          </cell>
          <cell r="T698" t="str">
            <v>AES-107</v>
          </cell>
          <cell r="U698" t="str">
            <v>181399</v>
          </cell>
          <cell r="V698" t="str">
            <v>1081315</v>
          </cell>
          <cell r="Y698">
            <v>2200000</v>
          </cell>
          <cell r="Z698">
            <v>37931</v>
          </cell>
          <cell r="AA698">
            <v>44000</v>
          </cell>
        </row>
        <row r="699">
          <cell r="B699" t="str">
            <v>KHI/HO/D/MO/PC COMP/C/103201/39/12/2024</v>
          </cell>
          <cell r="D699" t="str">
            <v>FRE</v>
          </cell>
          <cell r="E699" t="str">
            <v>27/12/24</v>
          </cell>
          <cell r="F699" t="str">
            <v>27/12/2024</v>
          </cell>
          <cell r="G699" t="str">
            <v>26/12/2025</v>
          </cell>
          <cell r="H699" t="str">
            <v>08004499</v>
          </cell>
          <cell r="I699" t="str">
            <v>AL BARAKA BANK (PAKISTAN) LIMITED</v>
          </cell>
          <cell r="J699" t="str">
            <v>BANK</v>
          </cell>
          <cell r="K699" t="str">
            <v>Mr. 
HPA M/s. Al Baraka Bank (Pakistan) Limited
Mr. Fahim Iqbal
HPA M/s. Al Baraka Bank (Pakistan) Limited</v>
          </cell>
          <cell r="L699" t="str">
            <v>D</v>
          </cell>
          <cell r="M699" t="str">
            <v>09000221</v>
          </cell>
          <cell r="N699">
            <v>100</v>
          </cell>
          <cell r="O699" t="str">
            <v>LAHORE</v>
          </cell>
          <cell r="P699" t="str">
            <v>H # 302 Block A Grand Avenue H. Society Feerozepur Rd Lahore</v>
          </cell>
          <cell r="Q699" t="str">
            <v>11000003</v>
          </cell>
          <cell r="R699" t="str">
            <v>AUDI A6 4D TFSI</v>
          </cell>
          <cell r="S699" t="str">
            <v>2017</v>
          </cell>
          <cell r="T699" t="str">
            <v>LE-18-7788</v>
          </cell>
          <cell r="U699" t="str">
            <v>CYV472803</v>
          </cell>
          <cell r="V699" t="str">
            <v>WAUZZZ8V3J1002089</v>
          </cell>
          <cell r="X699" t="str">
            <v>3</v>
          </cell>
          <cell r="Y699">
            <v>6000000</v>
          </cell>
          <cell r="Z699">
            <v>77586</v>
          </cell>
          <cell r="AA699">
            <v>90000</v>
          </cell>
        </row>
        <row r="700">
          <cell r="B700" t="str">
            <v>KHI/HO/D/MO/PC COMP/C/103201/40/12/2024</v>
          </cell>
          <cell r="D700" t="str">
            <v>FRE</v>
          </cell>
          <cell r="E700" t="str">
            <v>27/12/24</v>
          </cell>
          <cell r="F700" t="str">
            <v>27/12/2024</v>
          </cell>
          <cell r="G700" t="str">
            <v>26/12/2025</v>
          </cell>
          <cell r="H700" t="str">
            <v>08004499</v>
          </cell>
          <cell r="I700" t="str">
            <v>AL BARAKA BANK (PAKISTAN) LIMITED</v>
          </cell>
          <cell r="J700" t="str">
            <v>BANK</v>
          </cell>
          <cell r="K700" t="str">
            <v>Mr. 
HPA M/s. Al Baraka Bank (Pakistan) Limited
Mr. Muhammad Usman
HPA M/s. Al Baraka Bank (Pakistan) Limited</v>
          </cell>
          <cell r="L700" t="str">
            <v>D</v>
          </cell>
          <cell r="M700" t="str">
            <v>09000221</v>
          </cell>
          <cell r="N700">
            <v>100</v>
          </cell>
          <cell r="O700" t="str">
            <v>FAISALABAD</v>
          </cell>
          <cell r="P700" t="str">
            <v>Street 4 Awais Nagar Shalimar Park Faisalabad</v>
          </cell>
          <cell r="Q700" t="str">
            <v>11000003</v>
          </cell>
          <cell r="R700" t="str">
            <v>SUZUKI ALTO VXL AGS E-2</v>
          </cell>
          <cell r="S700" t="str">
            <v>2019</v>
          </cell>
          <cell r="T700" t="str">
            <v>LE-19A-2271</v>
          </cell>
          <cell r="U700" t="str">
            <v>6R111835</v>
          </cell>
          <cell r="V700" t="str">
            <v>NF1AET306H1011793</v>
          </cell>
          <cell r="X700" t="str">
            <v>3</v>
          </cell>
          <cell r="Y700">
            <v>2350000</v>
          </cell>
          <cell r="Z700">
            <v>40517</v>
          </cell>
          <cell r="AA700">
            <v>47000</v>
          </cell>
        </row>
        <row r="701">
          <cell r="B701" t="str">
            <v>KHI/HO/D/MO/PC COMP/C/103201/41/12/2024</v>
          </cell>
          <cell r="D701" t="str">
            <v>FRE</v>
          </cell>
          <cell r="E701" t="str">
            <v>30/12/24</v>
          </cell>
          <cell r="F701" t="str">
            <v>30/12/2024</v>
          </cell>
          <cell r="G701" t="str">
            <v>29/12/2025</v>
          </cell>
          <cell r="H701" t="str">
            <v>08004499</v>
          </cell>
          <cell r="I701" t="str">
            <v>AL BARAKA BANK (PAKISTAN) LIMITED</v>
          </cell>
          <cell r="J701" t="str">
            <v>BANK</v>
          </cell>
          <cell r="K701" t="str">
            <v>Mr. 
HPA M/s. Al Baraka Bank (Pakistan) Limited
Mr. Muhammad Shahid 
HPA M/s. Al Baraka Bank (Pakistan) Limited</v>
          </cell>
          <cell r="L701" t="str">
            <v>D</v>
          </cell>
          <cell r="M701" t="str">
            <v>09000221</v>
          </cell>
          <cell r="N701">
            <v>100</v>
          </cell>
          <cell r="O701" t="str">
            <v>LAHORE</v>
          </cell>
          <cell r="P701" t="str">
            <v>H # 74-C Street 5 Mohallah Bilal Colony Dil Muhammad Road Lahore</v>
          </cell>
          <cell r="Q701" t="str">
            <v>11000003</v>
          </cell>
          <cell r="R701" t="str">
            <v>SUZUKI ALTO VXR E-2</v>
          </cell>
          <cell r="S701" t="str">
            <v>2024</v>
          </cell>
          <cell r="U701" t="str">
            <v>6R330962</v>
          </cell>
          <cell r="V701" t="str">
            <v>H1230969</v>
          </cell>
          <cell r="X701" t="str">
            <v>3</v>
          </cell>
          <cell r="Y701">
            <v>2707000</v>
          </cell>
          <cell r="Z701">
            <v>46672</v>
          </cell>
          <cell r="AA701">
            <v>54140</v>
          </cell>
        </row>
        <row r="702">
          <cell r="B702" t="str">
            <v>KHI/HO/D/MO/PC COMP/C/103201/42/12/2024</v>
          </cell>
          <cell r="D702" t="str">
            <v>FRE</v>
          </cell>
          <cell r="E702" t="str">
            <v>30/12/24</v>
          </cell>
          <cell r="F702" t="str">
            <v>30/12/2024</v>
          </cell>
          <cell r="G702" t="str">
            <v>29/12/2025</v>
          </cell>
          <cell r="H702" t="str">
            <v>08004499</v>
          </cell>
          <cell r="I702" t="str">
            <v>AL BARAKA BANK (PAKISTAN) LIMITED</v>
          </cell>
          <cell r="J702" t="str">
            <v>BANK</v>
          </cell>
          <cell r="K702" t="str">
            <v>Mr. 
HPA M/s. Al Baraka Bank (Pakistan) Limited
Mr. Muhammad Hasnain Umer 
HPA M/s. Al Baraka Bank (Pakistan) Limited</v>
          </cell>
          <cell r="L702" t="str">
            <v>D</v>
          </cell>
          <cell r="M702" t="str">
            <v>09000221</v>
          </cell>
          <cell r="N702">
            <v>100</v>
          </cell>
          <cell r="O702" t="str">
            <v>LAHORE</v>
          </cell>
          <cell r="P702" t="str">
            <v>H No 8 Niamat Street Main Sanda Road Near Tariq Building Sanda Lahore</v>
          </cell>
          <cell r="Q702" t="str">
            <v>11000003</v>
          </cell>
          <cell r="R702" t="str">
            <v>SUZUKI CULTUS VXL</v>
          </cell>
          <cell r="S702" t="str">
            <v>2019</v>
          </cell>
          <cell r="T702" t="str">
            <v>LEF-19-1605</v>
          </cell>
          <cell r="U702" t="str">
            <v>146578</v>
          </cell>
          <cell r="V702" t="str">
            <v>10046584</v>
          </cell>
          <cell r="Y702">
            <v>2600000</v>
          </cell>
          <cell r="Z702">
            <v>44828</v>
          </cell>
          <cell r="AA702">
            <v>52000</v>
          </cell>
        </row>
        <row r="703">
          <cell r="B703" t="str">
            <v>KHI/HO/D/MO/PC COMP/C/103201/43/12/2024</v>
          </cell>
          <cell r="D703" t="str">
            <v>FRE</v>
          </cell>
          <cell r="E703" t="str">
            <v>31/12/24</v>
          </cell>
          <cell r="F703" t="str">
            <v>31/12/2024</v>
          </cell>
          <cell r="G703" t="str">
            <v>30/12/2025</v>
          </cell>
          <cell r="H703" t="str">
            <v>08004499</v>
          </cell>
          <cell r="I703" t="str">
            <v>AL BARAKA BANK (PAKISTAN) LIMITED</v>
          </cell>
          <cell r="J703" t="str">
            <v>BANK</v>
          </cell>
          <cell r="K703" t="str">
            <v>Mr. 
HPA M/s. Al Baraka Bank (Pakistan) Limited
Mr. Muhammad Shoaib
HPA M/s. Al Baraka Bank (Pakistan) Limited</v>
          </cell>
          <cell r="L703" t="str">
            <v>D</v>
          </cell>
          <cell r="M703" t="str">
            <v>09000221</v>
          </cell>
          <cell r="N703">
            <v>100</v>
          </cell>
          <cell r="O703" t="str">
            <v>KARACHI</v>
          </cell>
          <cell r="P703" t="str">
            <v>Precint 11-A street 02 Villa 251 Bahria Town Karachi</v>
          </cell>
          <cell r="Q703" t="str">
            <v>11000003</v>
          </cell>
          <cell r="R703" t="str">
            <v>SUZUKI Swift GLX CVT</v>
          </cell>
          <cell r="S703" t="str">
            <v>2022</v>
          </cell>
          <cell r="T703" t="str">
            <v>BYG-502</v>
          </cell>
          <cell r="U703" t="str">
            <v>1007873</v>
          </cell>
          <cell r="V703" t="str">
            <v>00107862</v>
          </cell>
          <cell r="X703" t="str">
            <v>3</v>
          </cell>
          <cell r="Y703">
            <v>4050000</v>
          </cell>
          <cell r="Z703">
            <v>52370</v>
          </cell>
          <cell r="AA703">
            <v>60750</v>
          </cell>
        </row>
        <row r="704">
          <cell r="B704" t="str">
            <v>KHI/HO/D/MO/PC COMP/C/103201/44/12/2024</v>
          </cell>
          <cell r="D704" t="str">
            <v>FRE</v>
          </cell>
          <cell r="E704" t="str">
            <v>31/12/24</v>
          </cell>
          <cell r="F704" t="str">
            <v>31/12/2024</v>
          </cell>
          <cell r="G704" t="str">
            <v>30/12/2025</v>
          </cell>
          <cell r="H704" t="str">
            <v>08004499</v>
          </cell>
          <cell r="I704" t="str">
            <v>AL BARAKA BANK (PAKISTAN) LIMITED</v>
          </cell>
          <cell r="J704" t="str">
            <v>BANK</v>
          </cell>
          <cell r="K704" t="str">
            <v>Mr. 
HPA M/s. Al Baraka Bank (Pakistan) Limited
Mr. Jibran Abdul Latif  
HPA M/s. Al Baraka Bank (Pakistan) Limited</v>
          </cell>
          <cell r="L704" t="str">
            <v>D</v>
          </cell>
          <cell r="M704" t="str">
            <v>09000221</v>
          </cell>
          <cell r="N704">
            <v>100</v>
          </cell>
          <cell r="P704" t="str">
            <v>1st Floor Glamour Heights Appt 6/13-C Flat 100-C Waris Road Lahore</v>
          </cell>
          <cell r="Q704" t="str">
            <v>11000003</v>
          </cell>
          <cell r="R704" t="str">
            <v>TOYOTA YARIS ATIV X CVT 1</v>
          </cell>
          <cell r="S704" t="str">
            <v>2021</v>
          </cell>
          <cell r="U704" t="str">
            <v>2A24068</v>
          </cell>
          <cell r="V704" t="str">
            <v>7014429</v>
          </cell>
          <cell r="X704" t="str">
            <v>3</v>
          </cell>
          <cell r="Y704">
            <v>3800000</v>
          </cell>
          <cell r="Z704">
            <v>49138</v>
          </cell>
          <cell r="AA704">
            <v>57000</v>
          </cell>
        </row>
        <row r="705">
          <cell r="B705" t="str">
            <v>KHI/HO/D/MO/PC COMP/C/103201/45/12/2024</v>
          </cell>
          <cell r="D705" t="str">
            <v>FRE</v>
          </cell>
          <cell r="E705" t="str">
            <v>31/12/24</v>
          </cell>
          <cell r="F705" t="str">
            <v>31/12/2024</v>
          </cell>
          <cell r="G705" t="str">
            <v>30/12/2025</v>
          </cell>
          <cell r="H705" t="str">
            <v>08004499</v>
          </cell>
          <cell r="I705" t="str">
            <v>AL BARAKA BANK (PAKISTAN) LIMITED</v>
          </cell>
          <cell r="J705" t="str">
            <v>BANK</v>
          </cell>
          <cell r="K705" t="str">
            <v>Mr. 
HPA M/s. Al Baraka Bank (Pakistan) Limited
Mr. Muhammad Waseem
HPA M/s. Al Baraka Bank (Pakistan) Limited</v>
          </cell>
          <cell r="L705" t="str">
            <v>D</v>
          </cell>
          <cell r="M705" t="str">
            <v>09000221</v>
          </cell>
          <cell r="N705">
            <v>100</v>
          </cell>
          <cell r="O705" t="str">
            <v>LAHORE</v>
          </cell>
          <cell r="P705" t="str">
            <v>PO Khana Nau Raja Bola Distt Lahore</v>
          </cell>
          <cell r="Q705" t="str">
            <v>11000003</v>
          </cell>
          <cell r="R705" t="str">
            <v>SUZUKI ALTO VXR</v>
          </cell>
          <cell r="S705" t="str">
            <v>2021</v>
          </cell>
          <cell r="T705" t="str">
            <v>ACK-403</v>
          </cell>
          <cell r="U705" t="str">
            <v>6R160085</v>
          </cell>
          <cell r="V705" t="str">
            <v>H1060068</v>
          </cell>
          <cell r="Y705">
            <v>2200000</v>
          </cell>
          <cell r="Z705">
            <v>37931</v>
          </cell>
          <cell r="AA705">
            <v>44000</v>
          </cell>
        </row>
        <row r="706">
          <cell r="B706" t="str">
            <v>KHI/HO/D/MO/PC COMP/C/103201/46/12/2024</v>
          </cell>
          <cell r="D706" t="str">
            <v>FRE</v>
          </cell>
          <cell r="E706" t="str">
            <v>31/12/24</v>
          </cell>
          <cell r="F706" t="str">
            <v>31/12/2024</v>
          </cell>
          <cell r="G706" t="str">
            <v>30/12/2025</v>
          </cell>
          <cell r="H706" t="str">
            <v>08004499</v>
          </cell>
          <cell r="I706" t="str">
            <v>AL BARAKA BANK (PAKISTAN) LIMITED</v>
          </cell>
          <cell r="J706" t="str">
            <v>BANK</v>
          </cell>
          <cell r="K706" t="str">
            <v>Mr. 
HPA M/s. Al Baraka Bank (Pakistan) Limited
Ms. Aliza Haider  
HPA M/s. Al Baraka Bank (Pakistan) Limited</v>
          </cell>
          <cell r="L706" t="str">
            <v>D</v>
          </cell>
          <cell r="M706" t="str">
            <v>09000221</v>
          </cell>
          <cell r="N706">
            <v>100</v>
          </cell>
          <cell r="O706" t="str">
            <v>LAHORE</v>
          </cell>
          <cell r="P706" t="str">
            <v>H # 432 Block A Street 13 Askari 10 Lahore</v>
          </cell>
          <cell r="Q706" t="str">
            <v>11000003</v>
          </cell>
          <cell r="R706" t="str">
            <v>KIA SPORTAGE AWD</v>
          </cell>
          <cell r="S706" t="str">
            <v>2020</v>
          </cell>
          <cell r="T706" t="str">
            <v>ASD-867</v>
          </cell>
          <cell r="U706" t="str">
            <v>326460</v>
          </cell>
          <cell r="V706" t="str">
            <v>P100279</v>
          </cell>
          <cell r="X706" t="str">
            <v>3</v>
          </cell>
          <cell r="Y706">
            <v>5500000</v>
          </cell>
          <cell r="Z706">
            <v>71121</v>
          </cell>
          <cell r="AA706">
            <v>82500</v>
          </cell>
        </row>
        <row r="707">
          <cell r="B707" t="str">
            <v>KHI/HO/D/MO/PC COMP/C/103201/47/12/2024</v>
          </cell>
          <cell r="D707" t="str">
            <v>FRE</v>
          </cell>
          <cell r="E707" t="str">
            <v>31/12/24</v>
          </cell>
          <cell r="F707" t="str">
            <v>31/12/2024</v>
          </cell>
          <cell r="G707" t="str">
            <v>30/12/2025</v>
          </cell>
          <cell r="H707" t="str">
            <v>08004499</v>
          </cell>
          <cell r="I707" t="str">
            <v>AL BARAKA BANK (PAKISTAN) LIMITED</v>
          </cell>
          <cell r="J707" t="str">
            <v>BANK</v>
          </cell>
          <cell r="K707" t="str">
            <v>Mr. 
HPA M/s. Al Baraka Bank (Pakistan) Limited
Mr. Rizwan Butt   
HPA M/s. Al Baraka Bank (Pakistan) Limited</v>
          </cell>
          <cell r="L707" t="str">
            <v>D</v>
          </cell>
          <cell r="M707" t="str">
            <v>09000221</v>
          </cell>
          <cell r="N707">
            <v>100</v>
          </cell>
          <cell r="O707" t="str">
            <v>LAHORE</v>
          </cell>
          <cell r="P707" t="str">
            <v>H # 2 Street 2 Faisal Town Zarar Sharif Road Lahore</v>
          </cell>
          <cell r="Q707" t="str">
            <v>11000003</v>
          </cell>
          <cell r="R707" t="str">
            <v>TOYOTA COROLLA ALTIS  1.6</v>
          </cell>
          <cell r="S707" t="str">
            <v>2020</v>
          </cell>
          <cell r="T707" t="str">
            <v>AQS-800</v>
          </cell>
          <cell r="U707" t="str">
            <v>Q065799</v>
          </cell>
          <cell r="V707" t="str">
            <v>6043320</v>
          </cell>
          <cell r="X707" t="str">
            <v>3</v>
          </cell>
          <cell r="Y707">
            <v>4600000</v>
          </cell>
          <cell r="Z707">
            <v>59483</v>
          </cell>
          <cell r="AA707">
            <v>69000</v>
          </cell>
        </row>
        <row r="708">
          <cell r="B708" t="str">
            <v>KHI/HO/D/MO/PC COMP/C/103201/48/12/2024</v>
          </cell>
          <cell r="D708" t="str">
            <v>FRE</v>
          </cell>
          <cell r="E708" t="str">
            <v>31/12/24</v>
          </cell>
          <cell r="F708" t="str">
            <v>31/12/2024</v>
          </cell>
          <cell r="G708" t="str">
            <v>30/12/2025</v>
          </cell>
          <cell r="H708" t="str">
            <v>08004499</v>
          </cell>
          <cell r="I708" t="str">
            <v>AL BARAKA BANK (PAKISTAN) LIMITED</v>
          </cell>
          <cell r="J708" t="str">
            <v>BANK</v>
          </cell>
          <cell r="K708" t="str">
            <v>Mr. 
HPA M/s. Al Baraka Bank (Pakistan) Limited
Mr. ZIA UR REHMAN
HPA M/s. Al Baraka Bank (Pakistan) Limited</v>
          </cell>
          <cell r="L708" t="str">
            <v>D</v>
          </cell>
          <cell r="M708" t="str">
            <v>09000221</v>
          </cell>
          <cell r="N708">
            <v>100</v>
          </cell>
          <cell r="O708" t="str">
            <v>ISLAMABAD</v>
          </cell>
          <cell r="P708" t="str">
            <v>CAR SPECIALIST NETWORK
ISLAMABAD</v>
          </cell>
          <cell r="Q708" t="str">
            <v>11000003</v>
          </cell>
          <cell r="R708" t="str">
            <v>SUZUKI ALTO VXR</v>
          </cell>
          <cell r="S708" t="str">
            <v>2019</v>
          </cell>
          <cell r="T708" t="str">
            <v>AQX-144</v>
          </cell>
          <cell r="U708" t="str">
            <v>124147</v>
          </cell>
          <cell r="V708" t="str">
            <v>1024112</v>
          </cell>
          <cell r="X708" t="str">
            <v>4</v>
          </cell>
          <cell r="Y708">
            <v>1800000</v>
          </cell>
          <cell r="Z708">
            <v>31035</v>
          </cell>
          <cell r="AA708">
            <v>36000</v>
          </cell>
        </row>
        <row r="709">
          <cell r="B709" t="str">
            <v>KHI/HO/D/MO/PC COMP/C/103201/49/12/2024</v>
          </cell>
          <cell r="D709" t="str">
            <v>FRE</v>
          </cell>
          <cell r="E709" t="str">
            <v>31/12/24</v>
          </cell>
          <cell r="F709" t="str">
            <v>31/12/2024</v>
          </cell>
          <cell r="G709" t="str">
            <v>30/12/2025</v>
          </cell>
          <cell r="H709" t="str">
            <v>08004499</v>
          </cell>
          <cell r="I709" t="str">
            <v>AL BARAKA BANK (PAKISTAN) LIMITED</v>
          </cell>
          <cell r="J709" t="str">
            <v>BANK</v>
          </cell>
          <cell r="K709" t="str">
            <v>Mr. 
HPA M/s. Al Baraka Bank (Pakistan) Limited
Ms. Ayesha Rauf 
HPA M/s. Al Baraka Bank (Pakistan) Limited</v>
          </cell>
          <cell r="L709" t="str">
            <v>D</v>
          </cell>
          <cell r="M709" t="str">
            <v>09000221</v>
          </cell>
          <cell r="N709">
            <v>100</v>
          </cell>
          <cell r="O709" t="str">
            <v>LAHORE</v>
          </cell>
          <cell r="P709" t="str">
            <v>H # 3232 Street 10 Tulip Block Park Avenue Society Lahore</v>
          </cell>
          <cell r="Q709" t="str">
            <v>11000003</v>
          </cell>
          <cell r="R709" t="str">
            <v>HONDA CIVIC VTI  ORIEL PT</v>
          </cell>
          <cell r="S709" t="str">
            <v>2017</v>
          </cell>
          <cell r="T709" t="str">
            <v>LEH-17-1914</v>
          </cell>
          <cell r="U709" t="str">
            <v>12917688</v>
          </cell>
          <cell r="V709" t="str">
            <v>R021079</v>
          </cell>
          <cell r="X709" t="str">
            <v>3</v>
          </cell>
          <cell r="Y709">
            <v>4500000</v>
          </cell>
          <cell r="Z709">
            <v>58190</v>
          </cell>
          <cell r="AA709">
            <v>67500</v>
          </cell>
        </row>
        <row r="710">
          <cell r="B710" t="str">
            <v>KHI/HO/D/MO/PC COMP/C/103201/50/12/2024</v>
          </cell>
          <cell r="D710" t="str">
            <v>FRE</v>
          </cell>
          <cell r="E710" t="str">
            <v>31/12/24</v>
          </cell>
          <cell r="F710" t="str">
            <v>31/12/2024</v>
          </cell>
          <cell r="G710" t="str">
            <v>30/12/2025</v>
          </cell>
          <cell r="H710" t="str">
            <v>08004499</v>
          </cell>
          <cell r="I710" t="str">
            <v>AL BARAKA BANK (PAKISTAN) LIMITED</v>
          </cell>
          <cell r="J710" t="str">
            <v>BANK</v>
          </cell>
          <cell r="K710" t="str">
            <v>Mr. 
HPA M/s. Al Baraka Bank (Pakistan) Limited
Mr. FAISAL KALIM
HPA M/s. Al Baraka Bank (Pakistan) Limited</v>
          </cell>
          <cell r="L710" t="str">
            <v>D</v>
          </cell>
          <cell r="M710" t="str">
            <v>09000221</v>
          </cell>
          <cell r="N710">
            <v>100</v>
          </cell>
          <cell r="P710" t="str">
            <v>H # P-347 ISMAIL ST AL HAQ CHOWK KASHMIR ROAD KHYABAN COLONY  # 2 FAISAILABAD</v>
          </cell>
          <cell r="Q710" t="str">
            <v>11000003</v>
          </cell>
          <cell r="R710" t="str">
            <v>HONDA CIVIC VTI  ORIEL PT</v>
          </cell>
          <cell r="S710" t="str">
            <v>2018</v>
          </cell>
          <cell r="T710" t="str">
            <v>ACE-83</v>
          </cell>
          <cell r="U710" t="str">
            <v>R18Z12942479</v>
          </cell>
          <cell r="V710" t="str">
            <v>NFBFC666XJR045969</v>
          </cell>
          <cell r="Y710">
            <v>5300000</v>
          </cell>
          <cell r="Z710">
            <v>68535</v>
          </cell>
          <cell r="AA710">
            <v>79500</v>
          </cell>
        </row>
        <row r="711">
          <cell r="B711" t="str">
            <v>KHI/HO/D/MO/PC COMP/C/103201/51/12/2024</v>
          </cell>
          <cell r="D711" t="str">
            <v>FRE</v>
          </cell>
          <cell r="E711" t="str">
            <v>31/12/24</v>
          </cell>
          <cell r="F711" t="str">
            <v>31/12/2024</v>
          </cell>
          <cell r="G711" t="str">
            <v>30/12/2025</v>
          </cell>
          <cell r="H711" t="str">
            <v>08004499</v>
          </cell>
          <cell r="I711" t="str">
            <v>AL BARAKA BANK (PAKISTAN) LIMITED</v>
          </cell>
          <cell r="J711" t="str">
            <v>BANK</v>
          </cell>
          <cell r="K711" t="str">
            <v>Mr. 
HPA M/s. Al Baraka Bank (Pakistan) Limited
Mr. Farhan Ali 
HPA M/s. Al Baraka Bank (Pakistan) Limited</v>
          </cell>
          <cell r="L711" t="str">
            <v>D</v>
          </cell>
          <cell r="M711" t="str">
            <v>09000221</v>
          </cell>
          <cell r="N711">
            <v>100</v>
          </cell>
          <cell r="O711" t="str">
            <v>FAISALABAD</v>
          </cell>
          <cell r="P711" t="str">
            <v>P-141 Chatri Wala Ground Mohallah Jinnah Colony Faisalabad</v>
          </cell>
          <cell r="Q711" t="str">
            <v>11000003</v>
          </cell>
          <cell r="R711" t="str">
            <v>SUZUKI WAGON-R VXL E2</v>
          </cell>
          <cell r="S711" t="str">
            <v>2017</v>
          </cell>
          <cell r="T711" t="str">
            <v>LE-18-3531</v>
          </cell>
          <cell r="U711" t="str">
            <v>PK10B147541</v>
          </cell>
          <cell r="V711" t="str">
            <v>A1J310PK10047496</v>
          </cell>
          <cell r="X711" t="str">
            <v>3</v>
          </cell>
          <cell r="Y711">
            <v>2100000</v>
          </cell>
          <cell r="Z711">
            <v>36207</v>
          </cell>
          <cell r="AA711">
            <v>42000</v>
          </cell>
        </row>
        <row r="712">
          <cell r="B712" t="str">
            <v>KHI/HO/D/MO/PC COMP/C/103201/52/12/2024</v>
          </cell>
          <cell r="D712" t="str">
            <v>FRE</v>
          </cell>
          <cell r="E712" t="str">
            <v>31/12/24</v>
          </cell>
          <cell r="F712" t="str">
            <v>31/12/2024</v>
          </cell>
          <cell r="G712" t="str">
            <v>30/12/2025</v>
          </cell>
          <cell r="H712" t="str">
            <v>08004499</v>
          </cell>
          <cell r="I712" t="str">
            <v>AL BARAKA BANK (PAKISTAN) LIMITED</v>
          </cell>
          <cell r="J712" t="str">
            <v>BANK</v>
          </cell>
          <cell r="K712" t="str">
            <v>Mr. 
HPA M/s. Al Baraka Bank (Pakistan) Limited
Mr. Muhammad Rizwan Bashir
HPA M/s. Al Baraka Bank (Pakistan) Limited</v>
          </cell>
          <cell r="L712" t="str">
            <v>D</v>
          </cell>
          <cell r="M712" t="str">
            <v>09000221</v>
          </cell>
          <cell r="N712">
            <v>100</v>
          </cell>
          <cell r="O712" t="str">
            <v>ISLAMABAD</v>
          </cell>
          <cell r="P712" t="str">
            <v>H G 22/A St 1 Shaheen Town Lehtror Road Hangi Syedaan Islamabad</v>
          </cell>
          <cell r="Q712" t="str">
            <v>11000003</v>
          </cell>
          <cell r="R712" t="str">
            <v>SUZUKI Swift GLX CVT</v>
          </cell>
          <cell r="S712" t="str">
            <v>2024</v>
          </cell>
          <cell r="T712" t="str">
            <v>BCA-909</v>
          </cell>
          <cell r="U712" t="str">
            <v>1018306</v>
          </cell>
          <cell r="V712" t="str">
            <v>201057</v>
          </cell>
          <cell r="X712" t="str">
            <v>03</v>
          </cell>
          <cell r="Y712">
            <v>4500000</v>
          </cell>
          <cell r="Z712">
            <v>58190</v>
          </cell>
          <cell r="AA712">
            <v>67500</v>
          </cell>
        </row>
        <row r="713">
          <cell r="B713" t="str">
            <v>KHI/HO/D/MO/PC COMP/C/103201/53/12/2024</v>
          </cell>
          <cell r="D713" t="str">
            <v>FRE</v>
          </cell>
          <cell r="E713" t="str">
            <v>31/12/24</v>
          </cell>
          <cell r="F713" t="str">
            <v>31/12/2024</v>
          </cell>
          <cell r="G713" t="str">
            <v>30/12/2025</v>
          </cell>
          <cell r="H713" t="str">
            <v>08004499</v>
          </cell>
          <cell r="I713" t="str">
            <v>AL BARAKA BANK (PAKISTAN) LIMITED</v>
          </cell>
          <cell r="J713" t="str">
            <v>BANK</v>
          </cell>
          <cell r="K713" t="str">
            <v>Mr. 
HPA M/s. Al Baraka Bank (Pakistan) Limited
Mr. Saad Qamar Saeed
HPA M/s. Al Baraka Bank (Pakistan) Limited</v>
          </cell>
          <cell r="L713" t="str">
            <v>D</v>
          </cell>
          <cell r="M713" t="str">
            <v>09000221</v>
          </cell>
          <cell r="N713">
            <v>100</v>
          </cell>
          <cell r="O713" t="str">
            <v>RAWALPINDI</v>
          </cell>
          <cell r="P713" t="str">
            <v>H No 01 St No 12-13 Hill View Lane Near Al Janat Super Store Adyala Road Rawalpindi</v>
          </cell>
          <cell r="Q713" t="str">
            <v>11000003</v>
          </cell>
          <cell r="R713" t="str">
            <v>SUZUKI ALTO VXR</v>
          </cell>
          <cell r="S713" t="str">
            <v>2024</v>
          </cell>
          <cell r="U713" t="str">
            <v>333865</v>
          </cell>
          <cell r="V713" t="str">
            <v>1233840</v>
          </cell>
          <cell r="X713" t="str">
            <v>5</v>
          </cell>
          <cell r="Y713">
            <v>2707000</v>
          </cell>
          <cell r="Z713">
            <v>46672</v>
          </cell>
          <cell r="AA713">
            <v>54140</v>
          </cell>
        </row>
        <row r="714">
          <cell r="B714" t="str">
            <v>KHI/HO/D/MO/PC COMP/C/103201/54/12/2024</v>
          </cell>
          <cell r="D714" t="str">
            <v>FRE</v>
          </cell>
          <cell r="E714" t="str">
            <v>31/12/24</v>
          </cell>
          <cell r="F714" t="str">
            <v>31/12/2024</v>
          </cell>
          <cell r="G714" t="str">
            <v>30/12/2025</v>
          </cell>
          <cell r="H714" t="str">
            <v>08004499</v>
          </cell>
          <cell r="I714" t="str">
            <v>AL BARAKA BANK (PAKISTAN) LIMITED</v>
          </cell>
          <cell r="J714" t="str">
            <v>BANK</v>
          </cell>
          <cell r="K714" t="str">
            <v>Mr. 
HPA M/s. Al Baraka Bank (Pakistan) Limited
Mr. MUHAMMAD UMER
HPA M/s. Al Baraka Bank (Pakistan) Limited</v>
          </cell>
          <cell r="L714" t="str">
            <v>D</v>
          </cell>
          <cell r="M714" t="str">
            <v>09000221</v>
          </cell>
          <cell r="N714">
            <v>100</v>
          </cell>
          <cell r="O714" t="str">
            <v>FAISALABAD</v>
          </cell>
          <cell r="P714" t="str">
            <v>H No 6 St 1 Mohallah Gulshan Arfat 225 RB Faisalabad</v>
          </cell>
          <cell r="Q714" t="str">
            <v>11000003</v>
          </cell>
          <cell r="R714" t="str">
            <v>SUZUKI WAGON-R</v>
          </cell>
          <cell r="S714" t="str">
            <v>2024</v>
          </cell>
          <cell r="T714" t="str">
            <v>BCW-200</v>
          </cell>
          <cell r="U714" t="str">
            <v>PK10B246188</v>
          </cell>
          <cell r="V714" t="str">
            <v>A1J310PK10146189</v>
          </cell>
          <cell r="X714" t="str">
            <v>5</v>
          </cell>
          <cell r="Y714">
            <v>3300000</v>
          </cell>
          <cell r="Z714">
            <v>56897</v>
          </cell>
          <cell r="AA714">
            <v>66000</v>
          </cell>
        </row>
        <row r="715">
          <cell r="B715" t="str">
            <v>KHI/HO/D/MO/PC COMP/C/103201/55/12/2024</v>
          </cell>
          <cell r="D715" t="str">
            <v>FRE</v>
          </cell>
          <cell r="E715" t="str">
            <v>31/12/24</v>
          </cell>
          <cell r="F715" t="str">
            <v>31/12/2024</v>
          </cell>
          <cell r="G715" t="str">
            <v>30/12/2025</v>
          </cell>
          <cell r="H715" t="str">
            <v>08004499</v>
          </cell>
          <cell r="I715" t="str">
            <v>AL BARAKA BANK (PAKISTAN) LIMITED</v>
          </cell>
          <cell r="J715" t="str">
            <v>BANK</v>
          </cell>
          <cell r="K715" t="str">
            <v>Mr. 
HPA M/s. Al Baraka Bank (Pakistan) Limited
Mr. Abdul Rehman
HPA M/s. Al Baraka Bank (Pakistan) Limited</v>
          </cell>
          <cell r="L715" t="str">
            <v>D</v>
          </cell>
          <cell r="M715" t="str">
            <v>09000221</v>
          </cell>
          <cell r="N715">
            <v>100</v>
          </cell>
          <cell r="O715" t="str">
            <v>LAHORE</v>
          </cell>
          <cell r="P715" t="str">
            <v>H NO 23 St No 11 Dabbak Baba Yaseen Shah Main Bazar Fateh Garh Mughal Pura Lahore</v>
          </cell>
          <cell r="Q715" t="str">
            <v>11000003</v>
          </cell>
          <cell r="R715" t="str">
            <v>SUZUKI ALTO VXR</v>
          </cell>
          <cell r="S715" t="str">
            <v>2024</v>
          </cell>
          <cell r="T715" t="str">
            <v>AEH-507</v>
          </cell>
          <cell r="U715" t="str">
            <v>6R134161</v>
          </cell>
          <cell r="V715" t="str">
            <v>H1034191</v>
          </cell>
          <cell r="Y715">
            <v>2215000</v>
          </cell>
          <cell r="Z715">
            <v>38190</v>
          </cell>
          <cell r="AA715">
            <v>44300</v>
          </cell>
        </row>
        <row r="716">
          <cell r="B716" t="str">
            <v>KHI/HO/D/MO/PC COMP/C/103201/56/12/2024</v>
          </cell>
          <cell r="D716" t="str">
            <v>FRE</v>
          </cell>
          <cell r="E716" t="str">
            <v>31/12/24</v>
          </cell>
          <cell r="F716" t="str">
            <v>31/12/2024</v>
          </cell>
          <cell r="G716" t="str">
            <v>30/12/2025</v>
          </cell>
          <cell r="H716" t="str">
            <v>08004499</v>
          </cell>
          <cell r="I716" t="str">
            <v>AL BARAKA BANK (PAKISTAN) LIMITED</v>
          </cell>
          <cell r="J716" t="str">
            <v>BANK</v>
          </cell>
          <cell r="K716" t="str">
            <v>Mr. 
HPA M/s. Al Baraka Bank (Pakistan) Limited
Mr. Faizan Amir 
HPA M/s. Al Baraka Bank (Pakistan) Limited</v>
          </cell>
          <cell r="L716" t="str">
            <v>D</v>
          </cell>
          <cell r="M716" t="str">
            <v>09000221</v>
          </cell>
          <cell r="N716">
            <v>100</v>
          </cell>
          <cell r="O716" t="str">
            <v>LAHORE</v>
          </cell>
          <cell r="P716" t="str">
            <v>H # 115 V Block Phase 7 DHA Lahore</v>
          </cell>
          <cell r="Q716" t="str">
            <v>11000003</v>
          </cell>
          <cell r="R716" t="str">
            <v>SUZUKI Swift GLX CVT</v>
          </cell>
          <cell r="S716" t="str">
            <v>2023</v>
          </cell>
          <cell r="T716" t="str">
            <v>AQC-372</v>
          </cell>
          <cell r="U716" t="str">
            <v>R1016987</v>
          </cell>
          <cell r="V716" t="str">
            <v>116986</v>
          </cell>
          <cell r="X716" t="str">
            <v>3</v>
          </cell>
          <cell r="Y716">
            <v>4450000</v>
          </cell>
          <cell r="Z716">
            <v>57544</v>
          </cell>
          <cell r="AA716">
            <v>66750</v>
          </cell>
        </row>
        <row r="717">
          <cell r="B717" t="str">
            <v>KHI/HO/D/MO/PC COMP/C/105285/1/01/2025</v>
          </cell>
          <cell r="D717" t="str">
            <v>FRE</v>
          </cell>
          <cell r="E717" t="str">
            <v>03/01/25</v>
          </cell>
          <cell r="F717" t="str">
            <v>03/01/2025</v>
          </cell>
          <cell r="G717" t="str">
            <v>02/01/2026</v>
          </cell>
          <cell r="H717" t="str">
            <v>08004499</v>
          </cell>
          <cell r="I717" t="str">
            <v>AL BARAKA BANK (PAKISTAN) LIMITED</v>
          </cell>
          <cell r="J717" t="str">
            <v>BANK</v>
          </cell>
          <cell r="K717" t="str">
            <v>Mr. 
HPA M/s. Al Baraka Bank (Pakistan) Limited 
Mr. Muhammad Umar Ali
HPA M/s. Al Baraka Bank (Pakistan) Limited</v>
          </cell>
          <cell r="L717" t="str">
            <v>D</v>
          </cell>
          <cell r="M717" t="str">
            <v>09000221</v>
          </cell>
          <cell r="N717">
            <v>100</v>
          </cell>
          <cell r="O717" t="str">
            <v>ISLAMABAD</v>
          </cell>
          <cell r="P717" t="str">
            <v>H # 20 Street 123 Jinnah Garden Phase 1 Islamabad</v>
          </cell>
          <cell r="Q717" t="str">
            <v>11000003</v>
          </cell>
          <cell r="R717" t="str">
            <v>SUZUKI WAGON-R VXL E2</v>
          </cell>
          <cell r="S717" t="str">
            <v>2019</v>
          </cell>
          <cell r="T717" t="str">
            <v>LEF-19-2912</v>
          </cell>
          <cell r="U717" t="str">
            <v>194777</v>
          </cell>
          <cell r="V717" t="str">
            <v>10094786</v>
          </cell>
          <cell r="X717" t="str">
            <v>3</v>
          </cell>
          <cell r="Y717">
            <v>2200000</v>
          </cell>
          <cell r="Z717">
            <v>37500</v>
          </cell>
          <cell r="AA717">
            <v>44000</v>
          </cell>
        </row>
        <row r="718">
          <cell r="B718" t="str">
            <v>KHI/HO/D/MO/PC COMP/C/105499/1/01/2025</v>
          </cell>
          <cell r="D718" t="str">
            <v>REN</v>
          </cell>
          <cell r="E718" t="str">
            <v>07/01/25</v>
          </cell>
          <cell r="F718" t="str">
            <v>02/01/2025</v>
          </cell>
          <cell r="G718" t="str">
            <v>01/01/2026</v>
          </cell>
          <cell r="H718" t="str">
            <v>08004499</v>
          </cell>
          <cell r="I718" t="str">
            <v>AL BARAKA BANK (PAKISTAN) LIMITED</v>
          </cell>
          <cell r="J718" t="str">
            <v>BANK</v>
          </cell>
          <cell r="K718" t="str">
            <v>Mr. 
Al Baraka Bank Pakistan Limited 
Mr. Aqal Deen
HPA M/s. Al Baraka Bank (Pakistan) Limited</v>
          </cell>
          <cell r="L718" t="str">
            <v>D</v>
          </cell>
          <cell r="M718" t="str">
            <v>09000221</v>
          </cell>
          <cell r="N718">
            <v>100</v>
          </cell>
          <cell r="P718" t="str">
            <v>H No A1-136 Sec18 A Scheme 33 Quetta Town Karachi</v>
          </cell>
          <cell r="Q718" t="str">
            <v>11000003</v>
          </cell>
          <cell r="R718" t="str">
            <v>KIA PICANTO 1.0L A/T</v>
          </cell>
          <cell r="S718" t="str">
            <v>2023</v>
          </cell>
          <cell r="T718" t="str">
            <v>BYF-140</v>
          </cell>
          <cell r="U718" t="str">
            <v>085539</v>
          </cell>
          <cell r="V718" t="str">
            <v>P711788</v>
          </cell>
          <cell r="Y718">
            <v>2725100</v>
          </cell>
          <cell r="Z718">
            <v>46553</v>
          </cell>
          <cell r="AA718">
            <v>54502</v>
          </cell>
        </row>
        <row r="719">
          <cell r="B719" t="str">
            <v>KHI/HO/D/MO/PC COMP/C/105285/2/01/2025</v>
          </cell>
          <cell r="D719" t="str">
            <v>FRE</v>
          </cell>
          <cell r="E719" t="str">
            <v>07/01/25</v>
          </cell>
          <cell r="F719" t="str">
            <v>07/01/2025</v>
          </cell>
          <cell r="G719" t="str">
            <v>06/01/2026</v>
          </cell>
          <cell r="H719" t="str">
            <v>08004499</v>
          </cell>
          <cell r="I719" t="str">
            <v>AL BARAKA BANK (PAKISTAN) LIMITED</v>
          </cell>
          <cell r="J719" t="str">
            <v>BANK</v>
          </cell>
          <cell r="K719" t="str">
            <v>Mr. 
HPA M/s. Al Baraka Bank (Pakistan) Limited 
Mr. RIFFAT SALEEM
HPA M/s. Al Baraka Bank (Pakistan) Limited</v>
          </cell>
          <cell r="L719" t="str">
            <v>D</v>
          </cell>
          <cell r="M719" t="str">
            <v>09000221</v>
          </cell>
          <cell r="N719">
            <v>100</v>
          </cell>
          <cell r="P719" t="str">
            <v>Chack No 73 GB Tahsil Jaranwala</v>
          </cell>
          <cell r="Q719" t="str">
            <v>11000003</v>
          </cell>
          <cell r="R719" t="str">
            <v>HYUNDAI TUCSON</v>
          </cell>
          <cell r="S719" t="str">
            <v>2022</v>
          </cell>
          <cell r="T719" t="str">
            <v>BBZ-884</v>
          </cell>
          <cell r="U719" t="str">
            <v>G4NANU207232</v>
          </cell>
          <cell r="V719" t="str">
            <v>PMHJ2813SNN207452</v>
          </cell>
          <cell r="X719" t="str">
            <v>3</v>
          </cell>
          <cell r="Y719">
            <v>7500000</v>
          </cell>
          <cell r="Z719">
            <v>96983</v>
          </cell>
          <cell r="AA719">
            <v>112500</v>
          </cell>
        </row>
        <row r="720">
          <cell r="B720" t="str">
            <v>KHI/HO/D/MO/PC COMP/C/105285/3/01/2025</v>
          </cell>
          <cell r="D720" t="str">
            <v>FRE</v>
          </cell>
          <cell r="E720" t="str">
            <v>09/01/25</v>
          </cell>
          <cell r="F720" t="str">
            <v>09/01/2025</v>
          </cell>
          <cell r="G720" t="str">
            <v>08/01/2026</v>
          </cell>
          <cell r="H720" t="str">
            <v>08004499</v>
          </cell>
          <cell r="I720" t="str">
            <v>AL BARAKA BANK (PAKISTAN) LIMITED</v>
          </cell>
          <cell r="J720" t="str">
            <v>BANK</v>
          </cell>
          <cell r="K720" t="str">
            <v>Mr. 
HPA M/s. Al Baraka Bank (Pakistan) Limited 
Mr. Shahzad Farooq 
HPA M/s. Al Baraka Bank (Pakistan) Limited</v>
          </cell>
          <cell r="L720" t="str">
            <v>D</v>
          </cell>
          <cell r="M720" t="str">
            <v>09000221</v>
          </cell>
          <cell r="N720">
            <v>100</v>
          </cell>
          <cell r="O720" t="str">
            <v>LAHORE</v>
          </cell>
          <cell r="P720" t="str">
            <v>H # 158 Block E-2 Wapda Town Lahore</v>
          </cell>
          <cell r="Q720" t="str">
            <v>11000003</v>
          </cell>
          <cell r="R720" t="str">
            <v>HONDA CITY ASPIRE P/T I-V</v>
          </cell>
          <cell r="S720" t="str">
            <v>2025</v>
          </cell>
          <cell r="U720" t="str">
            <v>51029957</v>
          </cell>
          <cell r="V720" t="str">
            <v>RR047049</v>
          </cell>
          <cell r="X720" t="str">
            <v>3</v>
          </cell>
          <cell r="Y720">
            <v>4719000</v>
          </cell>
          <cell r="Z720">
            <v>61022</v>
          </cell>
          <cell r="AA720">
            <v>70785</v>
          </cell>
        </row>
        <row r="721">
          <cell r="B721" t="str">
            <v>KHI/HO/D/MO/PC COMP/C/105285/4/01/2025</v>
          </cell>
          <cell r="D721" t="str">
            <v>FRE</v>
          </cell>
          <cell r="E721" t="str">
            <v>09/01/25</v>
          </cell>
          <cell r="F721" t="str">
            <v>09/01/2025</v>
          </cell>
          <cell r="G721" t="str">
            <v>08/01/2026</v>
          </cell>
          <cell r="H721" t="str">
            <v>08004499</v>
          </cell>
          <cell r="I721" t="str">
            <v>AL BARAKA BANK (PAKISTAN) LIMITED</v>
          </cell>
          <cell r="J721" t="str">
            <v>BANK</v>
          </cell>
          <cell r="K721" t="str">
            <v>Mr. 
HPA M/s. Al Baraka Bank (Pakistan) Limited 
Mr. Tahir Mahmood  
HPA M/s. Al Baraka Bank (Pakistan) Limited</v>
          </cell>
          <cell r="L721" t="str">
            <v>D</v>
          </cell>
          <cell r="M721" t="str">
            <v>09000221</v>
          </cell>
          <cell r="N721">
            <v>100</v>
          </cell>
          <cell r="O721" t="str">
            <v>LAHORE</v>
          </cell>
          <cell r="P721" t="str">
            <v>H # 196 Street 1 Village Manawala Badian Road Lahore</v>
          </cell>
          <cell r="Q721" t="str">
            <v>11000003</v>
          </cell>
          <cell r="R721" t="str">
            <v>HONDA CITY 1.5 ASPIRE CVT</v>
          </cell>
          <cell r="S721" t="str">
            <v>2020</v>
          </cell>
          <cell r="T721" t="str">
            <v>AAS-317</v>
          </cell>
          <cell r="U721" t="str">
            <v>17541214</v>
          </cell>
          <cell r="V721" t="str">
            <v>264152</v>
          </cell>
          <cell r="X721" t="str">
            <v>3</v>
          </cell>
          <cell r="Y721">
            <v>4000000</v>
          </cell>
          <cell r="Z721">
            <v>51724</v>
          </cell>
          <cell r="AA721">
            <v>60000</v>
          </cell>
        </row>
        <row r="722">
          <cell r="B722" t="str">
            <v>KHI/HO/D/MO/PC COMP/C/105285/5/01/2025</v>
          </cell>
          <cell r="D722" t="str">
            <v>FRE</v>
          </cell>
          <cell r="E722" t="str">
            <v>09/01/25</v>
          </cell>
          <cell r="F722" t="str">
            <v>09/01/2025</v>
          </cell>
          <cell r="G722" t="str">
            <v>08/01/2026</v>
          </cell>
          <cell r="H722" t="str">
            <v>08004499</v>
          </cell>
          <cell r="I722" t="str">
            <v>AL BARAKA BANK (PAKISTAN) LIMITED</v>
          </cell>
          <cell r="J722" t="str">
            <v>BANK</v>
          </cell>
          <cell r="K722" t="str">
            <v>Mr. 
HPA M/s. Al Baraka Bank (Pakistan) Limited 
Mr. Tahir Mahmood
HPA M/s. Al Baraka Bank (Pakistan) Limited</v>
          </cell>
          <cell r="L722" t="str">
            <v>D</v>
          </cell>
          <cell r="M722" t="str">
            <v>09000221</v>
          </cell>
          <cell r="N722">
            <v>100</v>
          </cell>
          <cell r="O722" t="str">
            <v>LAHORE</v>
          </cell>
          <cell r="P722" t="str">
            <v>H # 196 ST 1 Village Manawala Badian Road Lahore</v>
          </cell>
          <cell r="Q722" t="str">
            <v>11000003</v>
          </cell>
          <cell r="R722" t="str">
            <v>HONDA CITY 1.3 PT</v>
          </cell>
          <cell r="S722" t="str">
            <v>2020</v>
          </cell>
          <cell r="T722" t="str">
            <v>AAS-317</v>
          </cell>
          <cell r="U722" t="str">
            <v>17541214</v>
          </cell>
          <cell r="V722" t="str">
            <v>264152</v>
          </cell>
          <cell r="Y722">
            <v>4000000</v>
          </cell>
          <cell r="Z722">
            <v>51724</v>
          </cell>
          <cell r="AA722">
            <v>60000</v>
          </cell>
        </row>
        <row r="723">
          <cell r="B723" t="str">
            <v>KHI/HO/D/MO/PC COMP/C/105285/6/01/2025</v>
          </cell>
          <cell r="D723" t="str">
            <v>FRE</v>
          </cell>
          <cell r="E723" t="str">
            <v>09/01/25</v>
          </cell>
          <cell r="F723" t="str">
            <v>09/01/2025</v>
          </cell>
          <cell r="G723" t="str">
            <v>08/01/2026</v>
          </cell>
          <cell r="H723" t="str">
            <v>08004499</v>
          </cell>
          <cell r="I723" t="str">
            <v>AL BARAKA BANK (PAKISTAN) LIMITED</v>
          </cell>
          <cell r="J723" t="str">
            <v>BANK</v>
          </cell>
          <cell r="K723" t="str">
            <v>Mr. 
HPA M/s. Al Baraka Bank (Pakistan) Limited 
Ms. Kinza Shahzad  
HPA M/s. Al Baraka Bank (Pakistan) Limited</v>
          </cell>
          <cell r="L723" t="str">
            <v>D</v>
          </cell>
          <cell r="M723" t="str">
            <v>09000221</v>
          </cell>
          <cell r="N723">
            <v>100</v>
          </cell>
          <cell r="O723" t="str">
            <v>RAWALPINDI</v>
          </cell>
          <cell r="P723" t="str">
            <v>H # 265 Block D Satellite Town Rawalpindi</v>
          </cell>
          <cell r="Q723" t="str">
            <v>11000003</v>
          </cell>
          <cell r="R723" t="str">
            <v>CHANGAN KARVAAN PLUS VAN</v>
          </cell>
          <cell r="S723" t="str">
            <v>2024</v>
          </cell>
          <cell r="U723" t="str">
            <v>504207</v>
          </cell>
          <cell r="V723" t="str">
            <v>1002163</v>
          </cell>
          <cell r="X723" t="str">
            <v>3</v>
          </cell>
          <cell r="Y723">
            <v>3049000</v>
          </cell>
          <cell r="Z723">
            <v>52569</v>
          </cell>
          <cell r="AA723">
            <v>60980</v>
          </cell>
        </row>
        <row r="724">
          <cell r="B724" t="str">
            <v>KHI/HO/D/MO/PC COMP/C/105721/1/01/2025</v>
          </cell>
          <cell r="D724" t="str">
            <v>REN</v>
          </cell>
          <cell r="E724" t="str">
            <v>10/01/25</v>
          </cell>
          <cell r="F724" t="str">
            <v>06/12/2024</v>
          </cell>
          <cell r="G724" t="str">
            <v>05/12/2025</v>
          </cell>
          <cell r="H724" t="str">
            <v>08004499</v>
          </cell>
          <cell r="I724" t="str">
            <v>AL BARAKA BANK (PAKISTAN) LIMITED</v>
          </cell>
          <cell r="J724" t="str">
            <v>BANK</v>
          </cell>
          <cell r="K724" t="str">
            <v>AL BARAKA BANK (PAKISTAN) LIMITED
Mr. Muhammad Sufyan
HPA M/s. Al Baraka Bank (Pakistan) Limited</v>
          </cell>
          <cell r="L724" t="str">
            <v>D</v>
          </cell>
          <cell r="M724" t="str">
            <v>09000221</v>
          </cell>
          <cell r="N724">
            <v>100</v>
          </cell>
          <cell r="P724" t="str">
            <v>P-24 Street 15 Madian Town Faisalabad</v>
          </cell>
          <cell r="Q724" t="str">
            <v>11000003</v>
          </cell>
          <cell r="R724" t="str">
            <v>SUZUKI ALTO VX EURO II</v>
          </cell>
          <cell r="S724" t="str">
            <v>2022</v>
          </cell>
          <cell r="T724" t="str">
            <v>AML-502</v>
          </cell>
          <cell r="U724" t="str">
            <v>6R258580</v>
          </cell>
          <cell r="V724" t="str">
            <v>NF1AET306H1158600</v>
          </cell>
          <cell r="Y724">
            <v>1211250</v>
          </cell>
          <cell r="Z724">
            <v>25673</v>
          </cell>
          <cell r="AA724">
            <v>30281</v>
          </cell>
        </row>
        <row r="725">
          <cell r="B725" t="str">
            <v>KHI/HO/D/MO/PC COMP/C/105285/7/01/2025</v>
          </cell>
          <cell r="D725" t="str">
            <v>FRE</v>
          </cell>
          <cell r="E725" t="str">
            <v>10/01/25</v>
          </cell>
          <cell r="F725" t="str">
            <v>10/01/2025</v>
          </cell>
          <cell r="G725" t="str">
            <v>09/01/2026</v>
          </cell>
          <cell r="H725" t="str">
            <v>08004499</v>
          </cell>
          <cell r="I725" t="str">
            <v>AL BARAKA BANK (PAKISTAN) LIMITED</v>
          </cell>
          <cell r="J725" t="str">
            <v>BANK</v>
          </cell>
          <cell r="K725" t="str">
            <v>Mr. 
HPA M/s. Al Baraka Bank (Pakistan) Limited 
Mr. Muhammad Hassan
HPA M/s. Al Baraka Bank (Pakistan) Limited</v>
          </cell>
          <cell r="L725" t="str">
            <v>D</v>
          </cell>
          <cell r="M725" t="str">
            <v>09000221</v>
          </cell>
          <cell r="N725">
            <v>100</v>
          </cell>
          <cell r="O725" t="str">
            <v>LAHORE</v>
          </cell>
          <cell r="P725" t="str">
            <v>H # 86/1-A Phase 5 DHA Lahore</v>
          </cell>
          <cell r="Q725" t="str">
            <v>11000003</v>
          </cell>
          <cell r="R725" t="str">
            <v>SUZUKI Swift GLX CVT</v>
          </cell>
          <cell r="S725" t="str">
            <v>2023</v>
          </cell>
          <cell r="T725" t="str">
            <v>ASU-688</v>
          </cell>
          <cell r="U725" t="str">
            <v>1015227</v>
          </cell>
          <cell r="V725" t="str">
            <v>S00115217</v>
          </cell>
          <cell r="X725" t="str">
            <v>3</v>
          </cell>
          <cell r="Y725">
            <v>4300000</v>
          </cell>
          <cell r="Z725">
            <v>55603</v>
          </cell>
          <cell r="AA725">
            <v>64500</v>
          </cell>
        </row>
        <row r="726">
          <cell r="B726" t="str">
            <v>KHI/HO/D/MO/PC COMP/C/105285/8/01/2025</v>
          </cell>
          <cell r="D726" t="str">
            <v>FRE</v>
          </cell>
          <cell r="E726" t="str">
            <v>10/01/25</v>
          </cell>
          <cell r="F726" t="str">
            <v>10/01/2025</v>
          </cell>
          <cell r="G726" t="str">
            <v>09/01/2026</v>
          </cell>
          <cell r="H726" t="str">
            <v>08004499</v>
          </cell>
          <cell r="I726" t="str">
            <v>AL BARAKA BANK (PAKISTAN) LIMITED</v>
          </cell>
          <cell r="J726" t="str">
            <v>BANK</v>
          </cell>
          <cell r="K726" t="str">
            <v>Mr. 
HPA M/s. Al Baraka Bank (Pakistan) Limited 
Mr. Zaki Ullah Danish 
HPA M/s. Al Baraka Bank (Pakistan) Limited</v>
          </cell>
          <cell r="L726" t="str">
            <v>D</v>
          </cell>
          <cell r="M726" t="str">
            <v>09000221</v>
          </cell>
          <cell r="N726">
            <v>100</v>
          </cell>
          <cell r="O726" t="str">
            <v>RAWALPINDI</v>
          </cell>
          <cell r="P726" t="str">
            <v>Street 15-D Babar Colony New Dhoke Gangal Rawalpindi</v>
          </cell>
          <cell r="Q726" t="str">
            <v>11000003</v>
          </cell>
          <cell r="R726" t="str">
            <v>SUZUKI ALTO VXR E-2</v>
          </cell>
          <cell r="S726" t="str">
            <v>2025</v>
          </cell>
          <cell r="U726" t="str">
            <v>334460</v>
          </cell>
          <cell r="V726" t="str">
            <v>1234509</v>
          </cell>
          <cell r="X726" t="str">
            <v>3</v>
          </cell>
          <cell r="Y726">
            <v>2707000</v>
          </cell>
          <cell r="Z726">
            <v>46672</v>
          </cell>
          <cell r="AA726">
            <v>54140</v>
          </cell>
        </row>
        <row r="727">
          <cell r="B727" t="str">
            <v>KHI/HO/D/MO/PC COMP/C/105285/9/01/2025</v>
          </cell>
          <cell r="D727" t="str">
            <v>FRE</v>
          </cell>
          <cell r="E727" t="str">
            <v>10/01/25</v>
          </cell>
          <cell r="F727" t="str">
            <v>10/01/2025</v>
          </cell>
          <cell r="G727" t="str">
            <v>09/01/2026</v>
          </cell>
          <cell r="H727" t="str">
            <v>08004499</v>
          </cell>
          <cell r="I727" t="str">
            <v>AL BARAKA BANK (PAKISTAN) LIMITED</v>
          </cell>
          <cell r="J727" t="str">
            <v>BANK</v>
          </cell>
          <cell r="K727" t="str">
            <v>Mr. 
HPA M/s. Al Baraka Bank (Pakistan) Limited 
Ms. Huma Fasial 
HPA M/s. Al Baraka Bank (Pakistan) Limited</v>
          </cell>
          <cell r="L727" t="str">
            <v>D</v>
          </cell>
          <cell r="M727" t="str">
            <v>09000221</v>
          </cell>
          <cell r="N727">
            <v>100</v>
          </cell>
          <cell r="P727" t="str">
            <v>H No 405-A Block M 7 Lake City Raiwind Road Lahore</v>
          </cell>
          <cell r="Q727" t="str">
            <v>11000003</v>
          </cell>
          <cell r="R727" t="str">
            <v>HYUNDAI TUCSON 6A/T AWD</v>
          </cell>
          <cell r="S727" t="str">
            <v>2025</v>
          </cell>
          <cell r="U727" t="str">
            <v>700017</v>
          </cell>
          <cell r="V727" t="str">
            <v>218301</v>
          </cell>
          <cell r="Y727">
            <v>8809000</v>
          </cell>
          <cell r="Z727">
            <v>113910</v>
          </cell>
          <cell r="AA727">
            <v>132135</v>
          </cell>
        </row>
        <row r="728">
          <cell r="B728" t="str">
            <v>KHI/HO/D/MO/PC COMP/C/105285/10/01/2025</v>
          </cell>
          <cell r="D728" t="str">
            <v>FRE</v>
          </cell>
          <cell r="E728" t="str">
            <v>13/01/25</v>
          </cell>
          <cell r="F728" t="str">
            <v>13/01/2025</v>
          </cell>
          <cell r="G728" t="str">
            <v>12/01/2026</v>
          </cell>
          <cell r="H728" t="str">
            <v>08004499</v>
          </cell>
          <cell r="I728" t="str">
            <v>AL BARAKA BANK (PAKISTAN) LIMITED</v>
          </cell>
          <cell r="J728" t="str">
            <v>BANK</v>
          </cell>
          <cell r="K728" t="str">
            <v>Mr. 
HPA M/s. Al Baraka Bank (Pakistan) Limited 
Mr. Muhammad Arif 
HPA M/s. Al Baraka Bank (Pakistan) Limited</v>
          </cell>
          <cell r="L728" t="str">
            <v>D</v>
          </cell>
          <cell r="M728" t="str">
            <v>09000221</v>
          </cell>
          <cell r="N728">
            <v>100</v>
          </cell>
          <cell r="O728" t="str">
            <v>ISLAMABAD</v>
          </cell>
          <cell r="P728" t="str">
            <v>Flat 4 2nd Floor Iqbal Plaza Near Post Office G-8 Markaz Islamabad</v>
          </cell>
          <cell r="Q728" t="str">
            <v>11000003</v>
          </cell>
          <cell r="R728" t="str">
            <v>TOYOTA YARIS ATIV AT</v>
          </cell>
          <cell r="S728" t="str">
            <v>2025</v>
          </cell>
          <cell r="U728" t="str">
            <v>71678</v>
          </cell>
          <cell r="V728" t="str">
            <v>7048855</v>
          </cell>
          <cell r="Y728">
            <v>4760000</v>
          </cell>
          <cell r="Z728">
            <v>61551</v>
          </cell>
          <cell r="AA728">
            <v>71400</v>
          </cell>
        </row>
        <row r="729">
          <cell r="B729" t="str">
            <v>KHI/HO/D/MO/PC COMP/C/105285/11/01/2025</v>
          </cell>
          <cell r="D729" t="str">
            <v>FRE</v>
          </cell>
          <cell r="E729" t="str">
            <v>13/01/25</v>
          </cell>
          <cell r="F729" t="str">
            <v>13/01/2025</v>
          </cell>
          <cell r="G729" t="str">
            <v>12/01/2026</v>
          </cell>
          <cell r="H729" t="str">
            <v>08004499</v>
          </cell>
          <cell r="I729" t="str">
            <v>AL BARAKA BANK (PAKISTAN) LIMITED</v>
          </cell>
          <cell r="J729" t="str">
            <v>BANK</v>
          </cell>
          <cell r="K729" t="str">
            <v>Mr. 
HPA M/s. Al Baraka Bank (Pakistan) Limited 
Mr. Muhammad Bilal
HPA M/s. Al Baraka Bank (Pakistan) Limited</v>
          </cell>
          <cell r="L729" t="str">
            <v>D</v>
          </cell>
          <cell r="M729" t="str">
            <v>09000221</v>
          </cell>
          <cell r="N729">
            <v>100</v>
          </cell>
          <cell r="O729" t="str">
            <v>LAHORE</v>
          </cell>
          <cell r="P729" t="str">
            <v>Main Bazar Bao Wala Barki Road Lahore</v>
          </cell>
          <cell r="Q729" t="str">
            <v>11000003</v>
          </cell>
          <cell r="R729" t="str">
            <v>SUZUKI Swift GLX CVT</v>
          </cell>
          <cell r="S729" t="str">
            <v>2025</v>
          </cell>
          <cell r="U729" t="str">
            <v>R1024729</v>
          </cell>
          <cell r="V729" t="str">
            <v>S00207455</v>
          </cell>
          <cell r="Y729">
            <v>4719000</v>
          </cell>
          <cell r="Z729">
            <v>61022</v>
          </cell>
          <cell r="AA729">
            <v>70785</v>
          </cell>
        </row>
        <row r="730">
          <cell r="B730" t="str">
            <v>KHI/HO/D/MO/PC COMP/C/105285/12/01/2025</v>
          </cell>
          <cell r="D730" t="str">
            <v>FRE</v>
          </cell>
          <cell r="E730" t="str">
            <v>14/01/25</v>
          </cell>
          <cell r="F730" t="str">
            <v>14/01/2025</v>
          </cell>
          <cell r="G730" t="str">
            <v>13/01/2026</v>
          </cell>
          <cell r="H730" t="str">
            <v>08004499</v>
          </cell>
          <cell r="I730" t="str">
            <v>AL BARAKA BANK (PAKISTAN) LIMITED</v>
          </cell>
          <cell r="J730" t="str">
            <v>BANK</v>
          </cell>
          <cell r="K730" t="str">
            <v>Mr. 
HPA M/s. Al Baraka Bank (Pakistan) Limited 
Mr.  Farooq Ali Bhatti 
HPA M/s. Al Baraka Bank (Pakistan) Limited</v>
          </cell>
          <cell r="L730" t="str">
            <v>D</v>
          </cell>
          <cell r="M730" t="str">
            <v>09000221</v>
          </cell>
          <cell r="N730">
            <v>100</v>
          </cell>
          <cell r="O730" t="str">
            <v>LAHORE</v>
          </cell>
          <cell r="P730" t="str">
            <v>H # 237 Block N Sabzazar Multan Road Lahore</v>
          </cell>
          <cell r="Q730" t="str">
            <v>11000003</v>
          </cell>
          <cell r="R730" t="str">
            <v>SUZUKI Every VXR</v>
          </cell>
          <cell r="S730" t="str">
            <v>2025</v>
          </cell>
          <cell r="U730" t="str">
            <v>1000366</v>
          </cell>
          <cell r="V730" t="str">
            <v>100372</v>
          </cell>
          <cell r="X730" t="str">
            <v>3</v>
          </cell>
          <cell r="Y730">
            <v>2799000</v>
          </cell>
          <cell r="Z730">
            <v>48258</v>
          </cell>
          <cell r="AA730">
            <v>55980</v>
          </cell>
        </row>
        <row r="731">
          <cell r="B731" t="str">
            <v>KHI/HO/D/MO/PC COMP/C/105285/13/01/2025</v>
          </cell>
          <cell r="D731" t="str">
            <v>FRE</v>
          </cell>
          <cell r="E731" t="str">
            <v>15/01/25</v>
          </cell>
          <cell r="F731" t="str">
            <v>15/01/2025</v>
          </cell>
          <cell r="G731" t="str">
            <v>14/01/2026</v>
          </cell>
          <cell r="H731" t="str">
            <v>08004499</v>
          </cell>
          <cell r="I731" t="str">
            <v>AL BARAKA BANK (PAKISTAN) LIMITED</v>
          </cell>
          <cell r="J731" t="str">
            <v>BANK</v>
          </cell>
          <cell r="K731" t="str">
            <v>Mr. 
HPA M/s. Al Baraka Bank (Pakistan) Limited 
Mr. Sikandar Nawaz 
HPA M/s. Al Baraka Bank (Pakistan) Limited</v>
          </cell>
          <cell r="L731" t="str">
            <v>D</v>
          </cell>
          <cell r="M731" t="str">
            <v>09000221</v>
          </cell>
          <cell r="N731">
            <v>100</v>
          </cell>
          <cell r="O731" t="str">
            <v>LAHORE</v>
          </cell>
          <cell r="P731" t="str">
            <v>H # 47 Street 1 Siraj Din Park Shadbagh Lahore</v>
          </cell>
          <cell r="Q731" t="str">
            <v>11000003</v>
          </cell>
          <cell r="R731" t="str">
            <v>HONDA CITY 1.2  LS CVT</v>
          </cell>
          <cell r="S731" t="str">
            <v>2025</v>
          </cell>
          <cell r="U731" t="str">
            <v>51030322</v>
          </cell>
          <cell r="V731" t="str">
            <v>SR047426</v>
          </cell>
          <cell r="X731" t="str">
            <v>3</v>
          </cell>
          <cell r="Y731">
            <v>4719000</v>
          </cell>
          <cell r="Z731">
            <v>61022</v>
          </cell>
          <cell r="AA731">
            <v>70785</v>
          </cell>
        </row>
        <row r="732">
          <cell r="B732" t="str">
            <v>KHI/HO/D/MO/CV/C/106061/1/01/2025</v>
          </cell>
          <cell r="D732" t="str">
            <v>FRE</v>
          </cell>
          <cell r="E732" t="str">
            <v>15/01/25</v>
          </cell>
          <cell r="F732" t="str">
            <v>15/01/2025</v>
          </cell>
          <cell r="G732" t="str">
            <v>14/01/2026</v>
          </cell>
          <cell r="H732" t="str">
            <v>08004499</v>
          </cell>
          <cell r="I732" t="str">
            <v>AL BARAKA BANK (PAKISTAN) LIMITED</v>
          </cell>
          <cell r="J732" t="str">
            <v>BANK</v>
          </cell>
          <cell r="K732" t="str">
            <v>Mr. 
HPA M/s. Al Baraka Bank (Pakistan) Limited
Mr. Tauqeer Tayyab 
HPA M/s. Al Baraka Bank (Pakistan) Limited</v>
          </cell>
          <cell r="L732" t="str">
            <v>D</v>
          </cell>
          <cell r="M732" t="str">
            <v>09000221</v>
          </cell>
          <cell r="N732">
            <v>100</v>
          </cell>
          <cell r="O732" t="str">
            <v>KARACHI</v>
          </cell>
          <cell r="P732" t="str">
            <v>H # A-243 Mohallah Shadman Town Malir Karachi</v>
          </cell>
          <cell r="Q732" t="str">
            <v>11000003</v>
          </cell>
          <cell r="R732" t="str">
            <v>SUZUKI RAVI VX EURO II</v>
          </cell>
          <cell r="S732" t="str">
            <v>2024</v>
          </cell>
          <cell r="U732" t="str">
            <v>PKT393671</v>
          </cell>
          <cell r="V732" t="str">
            <v>PK498330</v>
          </cell>
          <cell r="X732" t="str">
            <v>3</v>
          </cell>
          <cell r="Y732">
            <v>1856000</v>
          </cell>
          <cell r="Z732">
            <v>31569</v>
          </cell>
          <cell r="AA732">
            <v>37120</v>
          </cell>
        </row>
        <row r="733">
          <cell r="B733" t="str">
            <v>KHI/HO/D/MO/PC COMP/C/105285/14/01/2025</v>
          </cell>
          <cell r="D733" t="str">
            <v>FRE</v>
          </cell>
          <cell r="E733" t="str">
            <v>16/01/25</v>
          </cell>
          <cell r="F733" t="str">
            <v>16/01/2025</v>
          </cell>
          <cell r="G733" t="str">
            <v>15/01/2026</v>
          </cell>
          <cell r="H733" t="str">
            <v>08004499</v>
          </cell>
          <cell r="I733" t="str">
            <v>AL BARAKA BANK (PAKISTAN) LIMITED</v>
          </cell>
          <cell r="J733" t="str">
            <v>BANK</v>
          </cell>
          <cell r="K733" t="str">
            <v>Mr. 
HPA M/s. Al Baraka Bank (Pakistan) Limited 
Mr. Nadeem Haider 
HPA M/s. Al Baraka Bank (Pakistan) Limited</v>
          </cell>
          <cell r="L733" t="str">
            <v>D</v>
          </cell>
          <cell r="M733" t="str">
            <v>09000221</v>
          </cell>
          <cell r="N733">
            <v>100</v>
          </cell>
          <cell r="O733" t="str">
            <v>LAHORE</v>
          </cell>
          <cell r="P733" t="str">
            <v>H # 7-B Street 2 Lahore Medical H. Scheme  Phase 1 Canal Road Lahore</v>
          </cell>
          <cell r="Q733" t="str">
            <v>11000003</v>
          </cell>
          <cell r="R733" t="str">
            <v>SUZUKI ALTO VXL AGS E-2</v>
          </cell>
          <cell r="S733" t="str">
            <v>2025</v>
          </cell>
          <cell r="U733" t="str">
            <v>335933</v>
          </cell>
          <cell r="V733" t="str">
            <v>1235979</v>
          </cell>
          <cell r="X733" t="str">
            <v>3</v>
          </cell>
          <cell r="Y733">
            <v>3045000</v>
          </cell>
          <cell r="Z733">
            <v>52500</v>
          </cell>
          <cell r="AA733">
            <v>60900</v>
          </cell>
        </row>
        <row r="734">
          <cell r="B734" t="str">
            <v>KHI/HO/D/MO/CV/C/106061/2/01/2025</v>
          </cell>
          <cell r="D734" t="str">
            <v>FRE</v>
          </cell>
          <cell r="E734" t="str">
            <v>16/01/25</v>
          </cell>
          <cell r="F734" t="str">
            <v>16/01/2025</v>
          </cell>
          <cell r="G734" t="str">
            <v>15/01/2026</v>
          </cell>
          <cell r="H734" t="str">
            <v>08004499</v>
          </cell>
          <cell r="I734" t="str">
            <v>AL BARAKA BANK (PAKISTAN) LIMITED</v>
          </cell>
          <cell r="J734" t="str">
            <v>BANK</v>
          </cell>
          <cell r="K734" t="str">
            <v>Mr. 
HPA M/s. Al Baraka Bank (Pakistan) Limited
Mr. Tauqeer Tayyab 
HPA M/s. Al Baraka Bank (Pakistan) Limited</v>
          </cell>
          <cell r="L734" t="str">
            <v>D</v>
          </cell>
          <cell r="M734" t="str">
            <v>09000221</v>
          </cell>
          <cell r="N734">
            <v>100</v>
          </cell>
          <cell r="O734" t="str">
            <v>KARACHI</v>
          </cell>
          <cell r="P734" t="str">
            <v>H # A-243 Mohallah Shadman Town Malir Karachi</v>
          </cell>
          <cell r="Q734" t="str">
            <v>11000003</v>
          </cell>
          <cell r="R734" t="str">
            <v>SUZUKI RAVI VX EURO II</v>
          </cell>
          <cell r="S734" t="str">
            <v>2024</v>
          </cell>
          <cell r="U734" t="str">
            <v>PKT392467</v>
          </cell>
          <cell r="V734" t="str">
            <v>PK497134</v>
          </cell>
          <cell r="X734" t="str">
            <v>3</v>
          </cell>
          <cell r="Y734">
            <v>1856000</v>
          </cell>
          <cell r="Z734">
            <v>32000</v>
          </cell>
          <cell r="AA734">
            <v>37120</v>
          </cell>
        </row>
        <row r="735">
          <cell r="B735" t="str">
            <v>KHI/HO/D/MO/PC COMP/C/105285/15/01/2025</v>
          </cell>
          <cell r="D735" t="str">
            <v>FRE</v>
          </cell>
          <cell r="E735" t="str">
            <v>16/01/25</v>
          </cell>
          <cell r="F735" t="str">
            <v>16/01/2025</v>
          </cell>
          <cell r="G735" t="str">
            <v>15/01/2026</v>
          </cell>
          <cell r="H735" t="str">
            <v>08004499</v>
          </cell>
          <cell r="I735" t="str">
            <v>AL BARAKA BANK (PAKISTAN) LIMITED</v>
          </cell>
          <cell r="J735" t="str">
            <v>BANK</v>
          </cell>
          <cell r="K735" t="str">
            <v>Mr. 
HPA M/s. Al Baraka Bank (Pakistan) Limited 
Mr. Habib Abbas Malik
HPA M/s. Al Baraka Bank (Pakistan) Limited</v>
          </cell>
          <cell r="L735" t="str">
            <v>D</v>
          </cell>
          <cell r="M735" t="str">
            <v>09000221</v>
          </cell>
          <cell r="N735">
            <v>100</v>
          </cell>
          <cell r="O735" t="str">
            <v>LAHORE</v>
          </cell>
          <cell r="P735" t="str">
            <v>H # 160 SD Street 8 PAF Colony Falcon Complex Gulberg III Lahore</v>
          </cell>
          <cell r="Q735" t="str">
            <v>11000003</v>
          </cell>
          <cell r="R735" t="str">
            <v>HONDA HRV-S</v>
          </cell>
          <cell r="S735" t="str">
            <v>2025</v>
          </cell>
          <cell r="U735" t="str">
            <v>1004316</v>
          </cell>
          <cell r="V735" t="str">
            <v>R004314</v>
          </cell>
          <cell r="X735" t="str">
            <v>3</v>
          </cell>
          <cell r="Y735">
            <v>7929000</v>
          </cell>
          <cell r="Z735">
            <v>102530</v>
          </cell>
          <cell r="AA735">
            <v>118935</v>
          </cell>
        </row>
        <row r="736">
          <cell r="B736" t="str">
            <v>KHI/HO/D/MO/PC COMP/C/105285/16/01/2025</v>
          </cell>
          <cell r="D736" t="str">
            <v>FRE</v>
          </cell>
          <cell r="E736" t="str">
            <v>17/01/25</v>
          </cell>
          <cell r="F736" t="str">
            <v>17/01/2025</v>
          </cell>
          <cell r="G736" t="str">
            <v>16/01/2026</v>
          </cell>
          <cell r="H736" t="str">
            <v>08004499</v>
          </cell>
          <cell r="I736" t="str">
            <v>AL BARAKA BANK (PAKISTAN) LIMITED</v>
          </cell>
          <cell r="J736" t="str">
            <v>BANK</v>
          </cell>
          <cell r="K736" t="str">
            <v>Mr. 
HPA M/s. Al Baraka Bank (Pakistan) Limited 
Mr. Rana Ishtiaq Ahmed Prince
HPA M/s. Al Baraka Bank (Pakistan) Limited</v>
          </cell>
          <cell r="L736" t="str">
            <v>D</v>
          </cell>
          <cell r="M736" t="str">
            <v>09000221</v>
          </cell>
          <cell r="N736">
            <v>100</v>
          </cell>
          <cell r="O736" t="str">
            <v>LAHORE</v>
          </cell>
          <cell r="P736" t="str">
            <v>H # 8 Street 19 Latif Steet Joy Shah Road Naseerabad Sanda Kalan Lahore</v>
          </cell>
          <cell r="Q736" t="str">
            <v>11000003</v>
          </cell>
          <cell r="R736" t="str">
            <v>SUZUKI ALTO VXR E-2</v>
          </cell>
          <cell r="S736" t="str">
            <v>2025</v>
          </cell>
          <cell r="U736" t="str">
            <v>334056</v>
          </cell>
          <cell r="V736" t="str">
            <v>1233870</v>
          </cell>
          <cell r="X736" t="str">
            <v>3</v>
          </cell>
          <cell r="Y736">
            <v>2707000</v>
          </cell>
          <cell r="Z736">
            <v>46672</v>
          </cell>
          <cell r="AA736">
            <v>54140</v>
          </cell>
        </row>
        <row r="737">
          <cell r="B737" t="str">
            <v>KHI/HO/D/MO/PC COMP/C/105285/17/01/2025</v>
          </cell>
          <cell r="D737" t="str">
            <v>FRE</v>
          </cell>
          <cell r="E737" t="str">
            <v>17/01/25</v>
          </cell>
          <cell r="F737" t="str">
            <v>17/01/2025</v>
          </cell>
          <cell r="G737" t="str">
            <v>16/01/2026</v>
          </cell>
          <cell r="H737" t="str">
            <v>08004499</v>
          </cell>
          <cell r="I737" t="str">
            <v>AL BARAKA BANK (PAKISTAN) LIMITED</v>
          </cell>
          <cell r="J737" t="str">
            <v>BANK</v>
          </cell>
          <cell r="K737" t="str">
            <v>Mr. 
HPA M/s. Al Baraka Bank (Pakistan) Limited 
Ms. Shumaila 
HPA M/s. Al Baraka Bank (Pakistan) Limited</v>
          </cell>
          <cell r="L737" t="str">
            <v>D</v>
          </cell>
          <cell r="M737" t="str">
            <v>09000221</v>
          </cell>
          <cell r="N737">
            <v>100</v>
          </cell>
          <cell r="O737" t="str">
            <v>KARACHI</v>
          </cell>
          <cell r="P737" t="str">
            <v>Survey No. NKE 4104 H # F-48 Street 15 Para Sindhi Gulshan-e-Iqbal Karachi</v>
          </cell>
          <cell r="Q737" t="str">
            <v>11000003</v>
          </cell>
          <cell r="R737" t="str">
            <v>SUZUKI ALTO VXR E-2</v>
          </cell>
          <cell r="S737" t="str">
            <v>2021</v>
          </cell>
          <cell r="T737" t="str">
            <v>BVG-492</v>
          </cell>
          <cell r="U737" t="str">
            <v>6R176132</v>
          </cell>
          <cell r="V737" t="str">
            <v>H1076109</v>
          </cell>
          <cell r="X737" t="str">
            <v>3</v>
          </cell>
          <cell r="Y737">
            <v>2200000</v>
          </cell>
          <cell r="Z737">
            <v>37931</v>
          </cell>
          <cell r="AA737">
            <v>44000</v>
          </cell>
        </row>
        <row r="738">
          <cell r="B738" t="str">
            <v>KHI/HO/D/MO/PC COMP/C/105285/18/01/2025</v>
          </cell>
          <cell r="D738" t="str">
            <v>FRE</v>
          </cell>
          <cell r="E738" t="str">
            <v>17/01/25</v>
          </cell>
          <cell r="F738" t="str">
            <v>17/01/2025</v>
          </cell>
          <cell r="G738" t="str">
            <v>16/01/2026</v>
          </cell>
          <cell r="H738" t="str">
            <v>08004499</v>
          </cell>
          <cell r="I738" t="str">
            <v>AL BARAKA BANK (PAKISTAN) LIMITED</v>
          </cell>
          <cell r="J738" t="str">
            <v>BANK</v>
          </cell>
          <cell r="K738" t="str">
            <v>Mr. 
HPA M/s. Al Baraka Bank (Pakistan) Limited 
Mr. Irfan Jameel  
HPA M/s. Al Baraka Bank (Pakistan) Limited</v>
          </cell>
          <cell r="L738" t="str">
            <v>D</v>
          </cell>
          <cell r="M738" t="str">
            <v>09000221</v>
          </cell>
          <cell r="N738">
            <v>100</v>
          </cell>
          <cell r="O738" t="str">
            <v>FAISALABAD</v>
          </cell>
          <cell r="P738" t="str">
            <v>Flat P-25 Mohallah Yousuf Town Main Bazar Satiyana Road Faisalabad</v>
          </cell>
          <cell r="Q738" t="str">
            <v>11000003</v>
          </cell>
          <cell r="R738" t="str">
            <v>SUZUKI ALTO VXR E-2</v>
          </cell>
          <cell r="S738" t="str">
            <v>2025</v>
          </cell>
          <cell r="U738" t="str">
            <v>6R336691</v>
          </cell>
          <cell r="V738" t="str">
            <v>NF1AET306H1236709</v>
          </cell>
          <cell r="X738" t="str">
            <v>3</v>
          </cell>
          <cell r="Y738">
            <v>2707000</v>
          </cell>
          <cell r="Z738">
            <v>46672</v>
          </cell>
          <cell r="AA738">
            <v>54140</v>
          </cell>
        </row>
        <row r="739">
          <cell r="B739" t="str">
            <v>KHI/HO/D/MO/PC COMP/C/105285/19/01/2025</v>
          </cell>
          <cell r="D739" t="str">
            <v>FRE</v>
          </cell>
          <cell r="E739" t="str">
            <v>20/01/25</v>
          </cell>
          <cell r="F739" t="str">
            <v>20/01/2025</v>
          </cell>
          <cell r="G739" t="str">
            <v>19/01/2026</v>
          </cell>
          <cell r="H739" t="str">
            <v>08004499</v>
          </cell>
          <cell r="I739" t="str">
            <v>AL BARAKA BANK (PAKISTAN) LIMITED</v>
          </cell>
          <cell r="J739" t="str">
            <v>BANK</v>
          </cell>
          <cell r="K739" t="str">
            <v>Mr. 
HPA M/s. Al Baraka Bank (Pakistan) Limited 
Mr. Waqar Ahmed 
HPA M/s. Al Baraka Bank (Pakistan) Limited</v>
          </cell>
          <cell r="L739" t="str">
            <v>D</v>
          </cell>
          <cell r="M739" t="str">
            <v>09000221</v>
          </cell>
          <cell r="N739">
            <v>100</v>
          </cell>
          <cell r="P739" t="str">
            <v>H # 3034 Frontier Colony Near Aqsa Masjid Shahiabad Orangi Town Karachi</v>
          </cell>
          <cell r="Q739" t="str">
            <v>11000003</v>
          </cell>
          <cell r="R739" t="str">
            <v>SUZUKI ALTO VXR E-2</v>
          </cell>
          <cell r="S739" t="str">
            <v>2022</v>
          </cell>
          <cell r="T739" t="str">
            <v>BXH-484</v>
          </cell>
          <cell r="U739" t="str">
            <v>R-245807</v>
          </cell>
          <cell r="V739" t="str">
            <v>1145808</v>
          </cell>
          <cell r="X739" t="str">
            <v>3</v>
          </cell>
          <cell r="Y739">
            <v>2450000</v>
          </cell>
          <cell r="Z739">
            <v>42242</v>
          </cell>
          <cell r="AA739">
            <v>49000</v>
          </cell>
        </row>
        <row r="740">
          <cell r="B740" t="str">
            <v>KHI/HO/D/MO/PC COMP/C/105285/20/01/2025</v>
          </cell>
          <cell r="D740" t="str">
            <v>FRE</v>
          </cell>
          <cell r="E740" t="str">
            <v>21/01/25</v>
          </cell>
          <cell r="F740" t="str">
            <v>21/01/2025</v>
          </cell>
          <cell r="G740" t="str">
            <v>20/01/2026</v>
          </cell>
          <cell r="H740" t="str">
            <v>08004499</v>
          </cell>
          <cell r="I740" t="str">
            <v>AL BARAKA BANK (PAKISTAN) LIMITED</v>
          </cell>
          <cell r="J740" t="str">
            <v>BANK</v>
          </cell>
          <cell r="K740" t="str">
            <v>Mr. 
HPA M/s. Al Baraka Bank (Pakistan) Limited 
Mr. Muhammad Talha Shah  
HPA M/s. Al Baraka Bank (Pakistan) Limited</v>
          </cell>
          <cell r="L740" t="str">
            <v>D</v>
          </cell>
          <cell r="M740" t="str">
            <v>09000221</v>
          </cell>
          <cell r="N740">
            <v>100</v>
          </cell>
          <cell r="O740" t="str">
            <v>BHAWALPUR</v>
          </cell>
          <cell r="P740" t="str">
            <v>Jillani Colony Backside One Unit Staff Colony Near Tayaba Chakki Bhawalpur</v>
          </cell>
          <cell r="Q740" t="str">
            <v>11000003</v>
          </cell>
          <cell r="R740" t="str">
            <v>SUZUKI ALTO VXR E-2</v>
          </cell>
          <cell r="S740" t="str">
            <v>2019</v>
          </cell>
          <cell r="T740" t="str">
            <v>BQS-174</v>
          </cell>
          <cell r="U740" t="str">
            <v>6R104122</v>
          </cell>
          <cell r="V740" t="str">
            <v>6H1004091</v>
          </cell>
          <cell r="X740" t="str">
            <v>3</v>
          </cell>
          <cell r="Y740">
            <v>2150000</v>
          </cell>
          <cell r="Z740">
            <v>37069</v>
          </cell>
          <cell r="AA740">
            <v>43000</v>
          </cell>
        </row>
        <row r="741">
          <cell r="B741" t="str">
            <v>KHI/HO/D/MO/PC COMP/C/105285/21/01/2025</v>
          </cell>
          <cell r="D741" t="str">
            <v>FRE</v>
          </cell>
          <cell r="E741" t="str">
            <v>21/01/25</v>
          </cell>
          <cell r="F741" t="str">
            <v>21/01/2025</v>
          </cell>
          <cell r="G741" t="str">
            <v>20/01/2026</v>
          </cell>
          <cell r="H741" t="str">
            <v>08004499</v>
          </cell>
          <cell r="I741" t="str">
            <v>AL BARAKA BANK (PAKISTAN) LIMITED</v>
          </cell>
          <cell r="J741" t="str">
            <v>BANK</v>
          </cell>
          <cell r="K741" t="str">
            <v>Mr. 
HPA M/s. Al Baraka Bank (Pakistan) Limited 
Mr. Naeem Khan 
HPA M/s. Al Baraka Bank (Pakistan) Limited</v>
          </cell>
          <cell r="L741" t="str">
            <v>D</v>
          </cell>
          <cell r="M741" t="str">
            <v>09000221</v>
          </cell>
          <cell r="N741">
            <v>100</v>
          </cell>
          <cell r="O741" t="str">
            <v>KARACHI</v>
          </cell>
          <cell r="P741" t="str">
            <v>H # 105 Street 5 Gulshan Aqakhel Scheme 33 Karachi</v>
          </cell>
          <cell r="Q741" t="str">
            <v>11000003</v>
          </cell>
          <cell r="R741" t="str">
            <v>SUZUKI ALTO VXR E-2</v>
          </cell>
          <cell r="S741" t="str">
            <v>2020</v>
          </cell>
          <cell r="T741" t="str">
            <v>BRY-548</v>
          </cell>
          <cell r="U741" t="str">
            <v>133318</v>
          </cell>
          <cell r="V741" t="str">
            <v>1033294</v>
          </cell>
          <cell r="X741" t="str">
            <v>3</v>
          </cell>
          <cell r="Y741">
            <v>2150000</v>
          </cell>
          <cell r="Z741">
            <v>37069</v>
          </cell>
          <cell r="AA741">
            <v>43000</v>
          </cell>
        </row>
        <row r="742">
          <cell r="B742" t="str">
            <v>KHI/HO/D/MO/PC COMP/C/105285/22/01/2025</v>
          </cell>
          <cell r="D742" t="str">
            <v>FRE</v>
          </cell>
          <cell r="E742" t="str">
            <v>21/01/25</v>
          </cell>
          <cell r="F742" t="str">
            <v>21/01/2025</v>
          </cell>
          <cell r="G742" t="str">
            <v>20/01/2026</v>
          </cell>
          <cell r="H742" t="str">
            <v>08004499</v>
          </cell>
          <cell r="I742" t="str">
            <v>AL BARAKA BANK (PAKISTAN) LIMITED</v>
          </cell>
          <cell r="J742" t="str">
            <v>BANK</v>
          </cell>
          <cell r="K742" t="str">
            <v>Mr. 
HPA M/s. Al Baraka Bank (Pakistan) Limited 
Mr. Muhammad Asif  
HPA M/s. Al Baraka Bank (Pakistan) Limited</v>
          </cell>
          <cell r="L742" t="str">
            <v>D</v>
          </cell>
          <cell r="M742" t="str">
            <v>09000221</v>
          </cell>
          <cell r="N742">
            <v>100</v>
          </cell>
          <cell r="O742" t="str">
            <v>FAISALABAD</v>
          </cell>
          <cell r="P742" t="str">
            <v>H # A-129 Mannan Town Millat Road Near Khajoor Wala Bagh Faisalabad</v>
          </cell>
          <cell r="Q742" t="str">
            <v>11000003</v>
          </cell>
          <cell r="R742" t="str">
            <v>SUZUKI WAGON-R VXL E2</v>
          </cell>
          <cell r="S742" t="str">
            <v>2022</v>
          </cell>
          <cell r="T742" t="str">
            <v>ACD-877</v>
          </cell>
          <cell r="U742" t="str">
            <v>PK10B210852</v>
          </cell>
          <cell r="V742" t="str">
            <v>A1J310PK10110822</v>
          </cell>
          <cell r="X742" t="str">
            <v>3</v>
          </cell>
          <cell r="Y742">
            <v>2700000</v>
          </cell>
          <cell r="Z742">
            <v>46551</v>
          </cell>
          <cell r="AA742">
            <v>54000</v>
          </cell>
        </row>
        <row r="743">
          <cell r="B743" t="str">
            <v>KHI/HO/D/MO/CV/C/106429/1/01/2025</v>
          </cell>
          <cell r="D743" t="str">
            <v>REN</v>
          </cell>
          <cell r="E743" t="str">
            <v>21/01/25</v>
          </cell>
          <cell r="F743" t="str">
            <v>11/01/2025</v>
          </cell>
          <cell r="G743" t="str">
            <v>10/01/2026</v>
          </cell>
          <cell r="H743" t="str">
            <v>08004499</v>
          </cell>
          <cell r="I743" t="str">
            <v>AL BARAKA BANK (PAKISTAN) LIMITED</v>
          </cell>
          <cell r="J743" t="str">
            <v>BANK</v>
          </cell>
          <cell r="K743" t="str">
            <v>Mr.
HPA M/s Al Baraka Bank (Pakistan) Limited
Ms. Shehla Ashary 
HPA M/s Al Baraka Bank (Pakistan) Limited</v>
          </cell>
          <cell r="L743" t="str">
            <v>D</v>
          </cell>
          <cell r="M743" t="str">
            <v>09000221</v>
          </cell>
          <cell r="N743">
            <v>100</v>
          </cell>
          <cell r="O743" t="str">
            <v>KARACHI</v>
          </cell>
          <cell r="P743" t="str">
            <v>H # 107 Khayaban-e-Shaheen Phase 6 DHA Karachi</v>
          </cell>
          <cell r="Q743" t="str">
            <v>11000003</v>
          </cell>
          <cell r="R743" t="str">
            <v>SUZUKI RAVI VX EURO II</v>
          </cell>
          <cell r="S743" t="str">
            <v>2021</v>
          </cell>
          <cell r="T743" t="str">
            <v>LB-0912</v>
          </cell>
          <cell r="U743" t="str">
            <v>379847</v>
          </cell>
          <cell r="V743" t="str">
            <v>484510</v>
          </cell>
          <cell r="X743" t="str">
            <v>3</v>
          </cell>
          <cell r="Y743">
            <v>893600</v>
          </cell>
          <cell r="Z743">
            <v>13049</v>
          </cell>
          <cell r="AA743">
            <v>15638</v>
          </cell>
        </row>
        <row r="744">
          <cell r="B744" t="str">
            <v>KHI/HO/D/MO/CV/C/106429/2/01/2025</v>
          </cell>
          <cell r="D744" t="str">
            <v>REN</v>
          </cell>
          <cell r="E744" t="str">
            <v>21/01/25</v>
          </cell>
          <cell r="F744" t="str">
            <v>11/01/2025</v>
          </cell>
          <cell r="G744" t="str">
            <v>10/01/2026</v>
          </cell>
          <cell r="H744" t="str">
            <v>08004499</v>
          </cell>
          <cell r="I744" t="str">
            <v>AL BARAKA BANK (PAKISTAN) LIMITED</v>
          </cell>
          <cell r="J744" t="str">
            <v>BANK</v>
          </cell>
          <cell r="K744" t="str">
            <v>Mr.
HPA M/s Al Baraka Bank (Pakistan) Limited
Mr. Muhammad Raza Rashid 
HPA M/s Al Baraka Bank (Pakistan) Limited</v>
          </cell>
          <cell r="L744" t="str">
            <v>D</v>
          </cell>
          <cell r="M744" t="str">
            <v>09000221</v>
          </cell>
          <cell r="N744">
            <v>100</v>
          </cell>
          <cell r="O744" t="str">
            <v>KARACHI</v>
          </cell>
          <cell r="P744" t="str">
            <v>H # 50-M Block 6 PECHS HBL Nursery Karachi</v>
          </cell>
          <cell r="Q744" t="str">
            <v>11000003</v>
          </cell>
          <cell r="R744" t="str">
            <v>SUZUKI RAVI VX EURO II</v>
          </cell>
          <cell r="S744" t="str">
            <v>2022</v>
          </cell>
          <cell r="T744" t="str">
            <v>LB-1085</v>
          </cell>
          <cell r="U744" t="str">
            <v>379864</v>
          </cell>
          <cell r="V744" t="str">
            <v>484524</v>
          </cell>
          <cell r="X744" t="str">
            <v>3</v>
          </cell>
          <cell r="Y744">
            <v>893600</v>
          </cell>
          <cell r="Z744">
            <v>13481</v>
          </cell>
          <cell r="AA744">
            <v>15638</v>
          </cell>
        </row>
        <row r="745">
          <cell r="B745" t="str">
            <v>KHI/HO/D/MO/CV/C/106429/3/01/2025</v>
          </cell>
          <cell r="D745" t="str">
            <v>REN</v>
          </cell>
          <cell r="E745" t="str">
            <v>21/01/25</v>
          </cell>
          <cell r="F745" t="str">
            <v>19/01/2025</v>
          </cell>
          <cell r="G745" t="str">
            <v>18/01/2026</v>
          </cell>
          <cell r="H745" t="str">
            <v>08004499</v>
          </cell>
          <cell r="I745" t="str">
            <v>AL BARAKA BANK (PAKISTAN) LIMITED</v>
          </cell>
          <cell r="J745" t="str">
            <v>BANK</v>
          </cell>
          <cell r="K745" t="str">
            <v>Mr.
HPA M/s Al Baraka Bank (Pakistan) Limited
Mr. Muhammad Saeed  
HPA M/s Al Baraka Bank (Pakistan) Limited</v>
          </cell>
          <cell r="L745" t="str">
            <v>D</v>
          </cell>
          <cell r="M745" t="str">
            <v>09000221</v>
          </cell>
          <cell r="N745">
            <v>100</v>
          </cell>
          <cell r="O745" t="str">
            <v>LAHORE</v>
          </cell>
          <cell r="P745" t="str">
            <v>H # E-671 Street 5 Madina Colony Walton Road Lahore</v>
          </cell>
          <cell r="Q745" t="str">
            <v>11000003</v>
          </cell>
          <cell r="R745" t="str">
            <v>SUZUKI RAVI VX EURO II</v>
          </cell>
          <cell r="S745" t="str">
            <v>2022</v>
          </cell>
          <cell r="T745" t="str">
            <v>CAH-5801</v>
          </cell>
          <cell r="U745" t="str">
            <v>378768</v>
          </cell>
          <cell r="V745" t="str">
            <v>483428</v>
          </cell>
          <cell r="X745" t="str">
            <v>3</v>
          </cell>
          <cell r="Y745">
            <v>893600</v>
          </cell>
          <cell r="Z745">
            <v>13481</v>
          </cell>
          <cell r="AA745">
            <v>15638</v>
          </cell>
        </row>
        <row r="746">
          <cell r="B746" t="str">
            <v>KHI/HO/D/MO/CV/C/106429/4/01/2025</v>
          </cell>
          <cell r="D746" t="str">
            <v>REN</v>
          </cell>
          <cell r="E746" t="str">
            <v>21/01/25</v>
          </cell>
          <cell r="F746" t="str">
            <v>31/01/2025</v>
          </cell>
          <cell r="G746" t="str">
            <v>30/01/2026</v>
          </cell>
          <cell r="H746" t="str">
            <v>08004499</v>
          </cell>
          <cell r="I746" t="str">
            <v>AL BARAKA BANK (PAKISTAN) LIMITED</v>
          </cell>
          <cell r="J746" t="str">
            <v>BANK</v>
          </cell>
          <cell r="K746" t="str">
            <v>Mr.
HPA M/s Al Baraka Bank (Pakistan) Limited
Mr.Muhammad Asif
HPA M/s Al Baraka Bank (Pakistan) Limited</v>
          </cell>
          <cell r="L746" t="str">
            <v>D</v>
          </cell>
          <cell r="M746" t="str">
            <v>09000221</v>
          </cell>
          <cell r="N746">
            <v>100</v>
          </cell>
          <cell r="O746" t="str">
            <v>JHANG</v>
          </cell>
          <cell r="P746" t="str">
            <v>H No 2 St No 3 Gusia Masjid Malled Nagar Chusa Wali Dheri Fateh Jhang</v>
          </cell>
          <cell r="Q746" t="str">
            <v>11000003</v>
          </cell>
          <cell r="R746" t="str">
            <v>SUZUKI RAVI PICK UP</v>
          </cell>
          <cell r="S746" t="str">
            <v>2022</v>
          </cell>
          <cell r="T746" t="str">
            <v>TA-16</v>
          </cell>
          <cell r="U746" t="str">
            <v>380044</v>
          </cell>
          <cell r="V746" t="str">
            <v>484691</v>
          </cell>
          <cell r="X746" t="str">
            <v>05</v>
          </cell>
          <cell r="Y746">
            <v>893600</v>
          </cell>
          <cell r="Z746">
            <v>13481</v>
          </cell>
          <cell r="AA746">
            <v>15638</v>
          </cell>
        </row>
        <row r="747">
          <cell r="B747" t="str">
            <v>KHI/HO/D/MO/CV/C/106429/5/01/2025</v>
          </cell>
          <cell r="D747" t="str">
            <v>REN</v>
          </cell>
          <cell r="E747" t="str">
            <v>21/01/25</v>
          </cell>
          <cell r="F747" t="str">
            <v>21/01/2025</v>
          </cell>
          <cell r="G747" t="str">
            <v>20/01/2026</v>
          </cell>
          <cell r="H747" t="str">
            <v>08004499</v>
          </cell>
          <cell r="I747" t="str">
            <v>AL BARAKA BANK (PAKISTAN) LIMITED</v>
          </cell>
          <cell r="J747" t="str">
            <v>BANK</v>
          </cell>
          <cell r="K747" t="str">
            <v>Mr.
HPA M/s Al Baraka Bank (Pakistan) Limited
Mr. Tariq Mahmood
HPA M/s Al Baraka Bank (Pakistan) Limited</v>
          </cell>
          <cell r="L747" t="str">
            <v>D</v>
          </cell>
          <cell r="M747" t="str">
            <v>09000221</v>
          </cell>
          <cell r="N747">
            <v>100</v>
          </cell>
          <cell r="O747" t="str">
            <v>LAHORE</v>
          </cell>
          <cell r="P747" t="str">
            <v>H # E/142 New Shoukat Town Ghazi Road Cantt Lahore</v>
          </cell>
          <cell r="Q747" t="str">
            <v>11000003</v>
          </cell>
          <cell r="R747" t="str">
            <v>SUZUKI RAVI VX EURO II</v>
          </cell>
          <cell r="S747" t="str">
            <v>2022</v>
          </cell>
          <cell r="T747" t="str">
            <v>CAK-6569</v>
          </cell>
          <cell r="U747" t="str">
            <v>380343</v>
          </cell>
          <cell r="V747" t="str">
            <v>485020</v>
          </cell>
          <cell r="X747" t="str">
            <v>3</v>
          </cell>
          <cell r="Y747">
            <v>893600</v>
          </cell>
          <cell r="Z747">
            <v>13481</v>
          </cell>
          <cell r="AA747">
            <v>15638</v>
          </cell>
        </row>
        <row r="748">
          <cell r="B748" t="str">
            <v>KHI/HO/D/MO/CV/C/106429/6/01/2025</v>
          </cell>
          <cell r="D748" t="str">
            <v>REN</v>
          </cell>
          <cell r="E748" t="str">
            <v>21/01/25</v>
          </cell>
          <cell r="F748" t="str">
            <v>31/01/2025</v>
          </cell>
          <cell r="G748" t="str">
            <v>30/01/2026</v>
          </cell>
          <cell r="H748" t="str">
            <v>08004499</v>
          </cell>
          <cell r="I748" t="str">
            <v>AL BARAKA BANK (PAKISTAN) LIMITED</v>
          </cell>
          <cell r="J748" t="str">
            <v>BANK</v>
          </cell>
          <cell r="K748" t="str">
            <v>Mr.
HPA M/s Al Baraka Bank (Pakistan) Limited
Mr. Muhammad MAQSOOD ALAM 
HPA M/s Al Baraka Bank (Pakistan) Limited</v>
          </cell>
          <cell r="L748" t="str">
            <v>D</v>
          </cell>
          <cell r="M748" t="str">
            <v>09000221</v>
          </cell>
          <cell r="N748">
            <v>100</v>
          </cell>
          <cell r="P748" t="str">
            <v>H # 22/B Noshahi Road Taj Park Amir Road  Shadbagh Lahore</v>
          </cell>
          <cell r="Q748" t="str">
            <v>11000003</v>
          </cell>
          <cell r="R748" t="str">
            <v>SUZUKI RAVI VX EURO II</v>
          </cell>
          <cell r="S748" t="str">
            <v>2022</v>
          </cell>
          <cell r="T748" t="str">
            <v>CAH-7295</v>
          </cell>
          <cell r="U748" t="str">
            <v>379988</v>
          </cell>
          <cell r="V748" t="str">
            <v>484647</v>
          </cell>
          <cell r="Y748">
            <v>893600</v>
          </cell>
          <cell r="Z748">
            <v>13481</v>
          </cell>
          <cell r="AA748">
            <v>15638</v>
          </cell>
        </row>
        <row r="749">
          <cell r="B749" t="str">
            <v>KHI/HO/D/MO/CV/C/106429/7/01/2025</v>
          </cell>
          <cell r="D749" t="str">
            <v>REN</v>
          </cell>
          <cell r="E749" t="str">
            <v>21/01/25</v>
          </cell>
          <cell r="F749" t="str">
            <v>10/01/2025</v>
          </cell>
          <cell r="G749" t="str">
            <v>09/01/2026</v>
          </cell>
          <cell r="H749" t="str">
            <v>08004499</v>
          </cell>
          <cell r="I749" t="str">
            <v>AL BARAKA BANK (PAKISTAN) LIMITED</v>
          </cell>
          <cell r="J749" t="str">
            <v>BANK</v>
          </cell>
          <cell r="K749" t="str">
            <v>Mr.
HPA M/s Al Baraka Bank (Pakistan) Limited
Mr. Muhammad Bilal Ali
HPA M/s. Al Baraka Bank (Pakistan) Limited</v>
          </cell>
          <cell r="L749" t="str">
            <v>D</v>
          </cell>
          <cell r="M749" t="str">
            <v>09000221</v>
          </cell>
          <cell r="N749">
            <v>100</v>
          </cell>
          <cell r="P749" t="str">
            <v>H No 39 Q Model Town Lahore</v>
          </cell>
          <cell r="Q749" t="str">
            <v>11000003</v>
          </cell>
          <cell r="R749" t="str">
            <v>SUZUKI RAVI VX EURO II</v>
          </cell>
          <cell r="S749" t="str">
            <v>2021</v>
          </cell>
          <cell r="T749" t="str">
            <v>CAH-5710</v>
          </cell>
          <cell r="U749" t="str">
            <v>376581</v>
          </cell>
          <cell r="V749" t="str">
            <v>481228</v>
          </cell>
          <cell r="X749" t="str">
            <v>3</v>
          </cell>
          <cell r="Y749">
            <v>998750</v>
          </cell>
          <cell r="Z749">
            <v>17220</v>
          </cell>
          <cell r="AA749">
            <v>19975</v>
          </cell>
        </row>
        <row r="750">
          <cell r="B750" t="str">
            <v>KHI/HO/D/MO/CV/C/106429/8/01/2025</v>
          </cell>
          <cell r="D750" t="str">
            <v>REN</v>
          </cell>
          <cell r="E750" t="str">
            <v>21/01/25</v>
          </cell>
          <cell r="F750" t="str">
            <v>29/01/2025</v>
          </cell>
          <cell r="G750" t="str">
            <v>28/01/2026</v>
          </cell>
          <cell r="H750" t="str">
            <v>08004499</v>
          </cell>
          <cell r="I750" t="str">
            <v>AL BARAKA BANK (PAKISTAN) LIMITED</v>
          </cell>
          <cell r="J750" t="str">
            <v>BANK</v>
          </cell>
          <cell r="K750" t="str">
            <v>Mr.
HPA M/s Al Baraka Bank (Pakistan) Limited
Mr. Muhammad Mushtaq
HPA M/s. Al Baraka Bank (Pakistan) Limited</v>
          </cell>
          <cell r="L750" t="str">
            <v>D</v>
          </cell>
          <cell r="M750" t="str">
            <v>09000221</v>
          </cell>
          <cell r="N750">
            <v>100</v>
          </cell>
          <cell r="P750" t="str">
            <v>Rao Khan Wala Naya Mohallah Near Railway Phattak Kasur</v>
          </cell>
          <cell r="Q750" t="str">
            <v>11000003</v>
          </cell>
          <cell r="R750" t="str">
            <v>SUZUKI RAVI VX EURO II</v>
          </cell>
          <cell r="S750" t="str">
            <v>2021</v>
          </cell>
          <cell r="T750" t="str">
            <v>CAC-6093</v>
          </cell>
          <cell r="U750" t="str">
            <v>366472</v>
          </cell>
          <cell r="V750" t="str">
            <v>471136</v>
          </cell>
          <cell r="X750" t="str">
            <v>3</v>
          </cell>
          <cell r="Y750">
            <v>775500</v>
          </cell>
          <cell r="Z750">
            <v>16714</v>
          </cell>
          <cell r="AA750">
            <v>19388</v>
          </cell>
        </row>
        <row r="751">
          <cell r="B751" t="str">
            <v>KHI/HO/D/MO/PC COMP/C/105285/23/01/2025</v>
          </cell>
          <cell r="D751" t="str">
            <v>FRE</v>
          </cell>
          <cell r="E751" t="str">
            <v>21/01/25</v>
          </cell>
          <cell r="F751" t="str">
            <v>21/01/2025</v>
          </cell>
          <cell r="G751" t="str">
            <v>20/01/2026</v>
          </cell>
          <cell r="H751" t="str">
            <v>08004499</v>
          </cell>
          <cell r="I751" t="str">
            <v>AL BARAKA BANK (PAKISTAN) LIMITED</v>
          </cell>
          <cell r="J751" t="str">
            <v>BANK</v>
          </cell>
          <cell r="K751" t="str">
            <v>Mr. 
HPA M/s. Al Baraka Bank (Pakistan) Limited 
Mr. Tahir Munir
HPA M/s. Al Baraka Bank (Pakistan) Limited</v>
          </cell>
          <cell r="L751" t="str">
            <v>D</v>
          </cell>
          <cell r="M751" t="str">
            <v>09000221</v>
          </cell>
          <cell r="N751">
            <v>100</v>
          </cell>
          <cell r="O751" t="str">
            <v>LAHORE</v>
          </cell>
          <cell r="P751" t="str">
            <v>H No 20 Sector B Ghouri Block Bahria Town Lahore</v>
          </cell>
          <cell r="Q751" t="str">
            <v>11000003</v>
          </cell>
          <cell r="R751" t="str">
            <v>HONDA CITY 1.2  LS CVT</v>
          </cell>
          <cell r="S751" t="str">
            <v>2025</v>
          </cell>
          <cell r="T751" t="str">
            <v>ATX-149</v>
          </cell>
          <cell r="U751" t="str">
            <v>R045985</v>
          </cell>
          <cell r="V751" t="str">
            <v>51029060</v>
          </cell>
          <cell r="Y751">
            <v>4700000</v>
          </cell>
          <cell r="Z751">
            <v>60776</v>
          </cell>
          <cell r="AA751">
            <v>70500</v>
          </cell>
        </row>
        <row r="752">
          <cell r="B752" t="str">
            <v>KHI/HO/D/MO/PC COMP/C/105285/24/01/2025</v>
          </cell>
          <cell r="D752" t="str">
            <v>FRE</v>
          </cell>
          <cell r="E752" t="str">
            <v>21/01/25</v>
          </cell>
          <cell r="F752" t="str">
            <v>21/01/2025</v>
          </cell>
          <cell r="G752" t="str">
            <v>20/01/2026</v>
          </cell>
          <cell r="H752" t="str">
            <v>08004499</v>
          </cell>
          <cell r="I752" t="str">
            <v>AL BARAKA BANK (PAKISTAN) LIMITED</v>
          </cell>
          <cell r="J752" t="str">
            <v>BANK</v>
          </cell>
          <cell r="K752" t="str">
            <v>Mr. 
HPA M/s. Al Baraka Bank (Pakistan) Limited 
Mr. Farrukh Abbas  
HPA M/s. Al Baraka Bank (Pakistan) Limited</v>
          </cell>
          <cell r="L752" t="str">
            <v>D</v>
          </cell>
          <cell r="M752" t="str">
            <v>09000221</v>
          </cell>
          <cell r="N752">
            <v>100</v>
          </cell>
          <cell r="O752" t="str">
            <v>ISLAMABAD</v>
          </cell>
          <cell r="P752" t="str">
            <v>H # 123 Street 3 Sector G-15/3 Islamabad</v>
          </cell>
          <cell r="Q752" t="str">
            <v>11000003</v>
          </cell>
          <cell r="R752" t="str">
            <v>SUZUKI ALTO VXL AGS E-2</v>
          </cell>
          <cell r="S752" t="str">
            <v>2021</v>
          </cell>
          <cell r="T752" t="str">
            <v>ASJ-390</v>
          </cell>
          <cell r="U752" t="str">
            <v>204631</v>
          </cell>
          <cell r="V752" t="str">
            <v>104583</v>
          </cell>
          <cell r="X752" t="str">
            <v>3</v>
          </cell>
          <cell r="Y752">
            <v>2700000</v>
          </cell>
          <cell r="Z752">
            <v>46551</v>
          </cell>
          <cell r="AA752">
            <v>54000</v>
          </cell>
        </row>
        <row r="753">
          <cell r="B753" t="str">
            <v>KHI/HO/D/MO/PC COMP/C/105285/25/01/2025</v>
          </cell>
          <cell r="D753" t="str">
            <v>FRE</v>
          </cell>
          <cell r="E753" t="str">
            <v>21/01/25</v>
          </cell>
          <cell r="F753" t="str">
            <v>21/01/2025</v>
          </cell>
          <cell r="G753" t="str">
            <v>20/01/2026</v>
          </cell>
          <cell r="H753" t="str">
            <v>08004499</v>
          </cell>
          <cell r="I753" t="str">
            <v>AL BARAKA BANK (PAKISTAN) LIMITED</v>
          </cell>
          <cell r="J753" t="str">
            <v>BANK</v>
          </cell>
          <cell r="K753" t="str">
            <v>Mr. 
HPA M/s. Al Baraka Bank (Pakistan) Limited 
Mr. Sarmad Kamal Khan 
HPA M/s. Al Baraka Bank (Pakistan) Limited</v>
          </cell>
          <cell r="L753" t="str">
            <v>D</v>
          </cell>
          <cell r="M753" t="str">
            <v>09000221</v>
          </cell>
          <cell r="N753">
            <v>100</v>
          </cell>
          <cell r="O753" t="str">
            <v>LAHORE</v>
          </cell>
          <cell r="P753" t="str">
            <v>H # 8 Street 3 Muhammadi Street Near Ghous Darbar Lahore</v>
          </cell>
          <cell r="Q753" t="str">
            <v>11000003</v>
          </cell>
          <cell r="R753" t="str">
            <v>HONDA CITY I-VTEC 1.2</v>
          </cell>
          <cell r="S753" t="str">
            <v>2025</v>
          </cell>
          <cell r="U753" t="str">
            <v>1030592</v>
          </cell>
          <cell r="V753" t="str">
            <v>SR047669</v>
          </cell>
          <cell r="X753" t="str">
            <v>3</v>
          </cell>
          <cell r="Y753">
            <v>5118000</v>
          </cell>
          <cell r="Z753">
            <v>66181</v>
          </cell>
          <cell r="AA753">
            <v>76770</v>
          </cell>
        </row>
        <row r="754">
          <cell r="B754" t="str">
            <v>KHI/HO/D/MO/PC COMP/C/105499/2/01/2025</v>
          </cell>
          <cell r="D754" t="str">
            <v>REN</v>
          </cell>
          <cell r="E754" t="str">
            <v>21/01/25</v>
          </cell>
          <cell r="F754" t="str">
            <v>03/01/2025</v>
          </cell>
          <cell r="G754" t="str">
            <v>02/01/2026</v>
          </cell>
          <cell r="H754" t="str">
            <v>08004499</v>
          </cell>
          <cell r="I754" t="str">
            <v>AL BARAKA BANK (PAKISTAN) LIMITED</v>
          </cell>
          <cell r="J754" t="str">
            <v>BANK</v>
          </cell>
          <cell r="K754" t="str">
            <v>Mr. 
Al Baraka Bank Pakistan Limited 
Mr. 
Al Baraka Bank Pakistan Limited 
User: Tayyab   Mahmood</v>
          </cell>
          <cell r="L754" t="str">
            <v>D</v>
          </cell>
          <cell r="M754" t="str">
            <v>09000221</v>
          </cell>
          <cell r="N754">
            <v>100</v>
          </cell>
          <cell r="P754" t="str">
            <v>P-161 Valancia Garden Samundari Road Faisalabad</v>
          </cell>
          <cell r="Q754" t="str">
            <v>11000003</v>
          </cell>
          <cell r="R754" t="str">
            <v>SUZUKI ALTO VXL AGS E-2</v>
          </cell>
          <cell r="S754" t="str">
            <v>2024</v>
          </cell>
          <cell r="T754" t="str">
            <v>AQL-315</v>
          </cell>
          <cell r="U754" t="str">
            <v>6R292250</v>
          </cell>
          <cell r="V754" t="str">
            <v>NF1AET306H1192277</v>
          </cell>
          <cell r="W754" t="str">
            <v>05-jan-2029</v>
          </cell>
          <cell r="Y754">
            <v>2641500</v>
          </cell>
          <cell r="Z754">
            <v>45544</v>
          </cell>
          <cell r="AA754">
            <v>52830</v>
          </cell>
        </row>
        <row r="755">
          <cell r="B755" t="str">
            <v>KHI/HO/D/MO/PC COMP/C/105499/3/01/2025</v>
          </cell>
          <cell r="D755" t="str">
            <v>REN</v>
          </cell>
          <cell r="E755" t="str">
            <v>21/01/25</v>
          </cell>
          <cell r="F755" t="str">
            <v>12/01/2025</v>
          </cell>
          <cell r="G755" t="str">
            <v>11/01/2026</v>
          </cell>
          <cell r="H755" t="str">
            <v>08004499</v>
          </cell>
          <cell r="I755" t="str">
            <v>AL BARAKA BANK (PAKISTAN) LIMITED</v>
          </cell>
          <cell r="J755" t="str">
            <v>BANK</v>
          </cell>
          <cell r="K755" t="str">
            <v>Mr. 
Al Baraka Bank Pakistan Limited 
Mr. 
Al Baraka Bank Pakistan Limited 
User: Amman Bashir Rathore</v>
          </cell>
          <cell r="L755" t="str">
            <v>D</v>
          </cell>
          <cell r="M755" t="str">
            <v>09000221</v>
          </cell>
          <cell r="N755">
            <v>100</v>
          </cell>
          <cell r="P755" t="str">
            <v>H-Cb-484 Lane 3 Gulistan Colony Rawalpindi</v>
          </cell>
          <cell r="Q755" t="str">
            <v>11000003</v>
          </cell>
          <cell r="R755" t="str">
            <v>SUZUKI ALTO VXL AGS E-2</v>
          </cell>
          <cell r="S755" t="str">
            <v>2024</v>
          </cell>
          <cell r="T755" t="str">
            <v>BDC-475</v>
          </cell>
          <cell r="U755" t="str">
            <v>293508</v>
          </cell>
          <cell r="V755" t="str">
            <v>1193565</v>
          </cell>
          <cell r="W755" t="str">
            <v>05-feb-2027</v>
          </cell>
          <cell r="Y755">
            <v>2641500</v>
          </cell>
          <cell r="Z755">
            <v>45544</v>
          </cell>
          <cell r="AA755">
            <v>52830</v>
          </cell>
        </row>
        <row r="756">
          <cell r="B756" t="str">
            <v>KHI/HO/D/MO/PC COMP/C/105499/4/01/2025</v>
          </cell>
          <cell r="D756" t="str">
            <v>REN</v>
          </cell>
          <cell r="E756" t="str">
            <v>21/01/25</v>
          </cell>
          <cell r="F756" t="str">
            <v>15/01/2025</v>
          </cell>
          <cell r="G756" t="str">
            <v>14/01/2026</v>
          </cell>
          <cell r="H756" t="str">
            <v>08004499</v>
          </cell>
          <cell r="I756" t="str">
            <v>AL BARAKA BANK (PAKISTAN) LIMITED</v>
          </cell>
          <cell r="J756" t="str">
            <v>BANK</v>
          </cell>
          <cell r="K756" t="str">
            <v>Mr. 
Al Baraka Bank Pakistan Limited 
Mr. 
Al Baraka Bank Pakistan Limited 
User: Aiman  Atif</v>
          </cell>
          <cell r="L756" t="str">
            <v>D</v>
          </cell>
          <cell r="M756" t="str">
            <v>09000221</v>
          </cell>
          <cell r="N756">
            <v>100</v>
          </cell>
          <cell r="P756" t="str">
            <v>H No 124 Eden Colleges New Iqbal Park Phase 2 Lahore Cantt</v>
          </cell>
          <cell r="Q756" t="str">
            <v>11000003</v>
          </cell>
          <cell r="R756" t="str">
            <v>TOYOTA COROLLA ALTIS</v>
          </cell>
          <cell r="S756" t="str">
            <v>2016</v>
          </cell>
          <cell r="T756" t="str">
            <v>LEA-16A-9300</v>
          </cell>
          <cell r="U756" t="str">
            <v>Q033998</v>
          </cell>
          <cell r="V756" t="str">
            <v>6011483</v>
          </cell>
          <cell r="W756" t="str">
            <v>05-feb-2027</v>
          </cell>
          <cell r="Y756">
            <v>3150000</v>
          </cell>
          <cell r="Z756">
            <v>40733</v>
          </cell>
          <cell r="AA756">
            <v>47250</v>
          </cell>
        </row>
        <row r="757">
          <cell r="B757" t="str">
            <v>KHI/HO/D/MO/PC COMP/C/105499/5/01/2025</v>
          </cell>
          <cell r="D757" t="str">
            <v>REN</v>
          </cell>
          <cell r="E757" t="str">
            <v>21/01/25</v>
          </cell>
          <cell r="F757" t="str">
            <v>15/01/2025</v>
          </cell>
          <cell r="G757" t="str">
            <v>14/01/2026</v>
          </cell>
          <cell r="H757" t="str">
            <v>08004499</v>
          </cell>
          <cell r="I757" t="str">
            <v>AL BARAKA BANK (PAKISTAN) LIMITED</v>
          </cell>
          <cell r="J757" t="str">
            <v>BANK</v>
          </cell>
          <cell r="K757" t="str">
            <v>Mr. 
Al Baraka Bank Pakistan Limited 
Mr. 
Al Baraka Bank Pakistan Limited 
User: Minahil  Shaukat</v>
          </cell>
          <cell r="L757" t="str">
            <v>D</v>
          </cell>
          <cell r="M757" t="str">
            <v>09000221</v>
          </cell>
          <cell r="N757">
            <v>100</v>
          </cell>
          <cell r="P757" t="str">
            <v>H No 07 Qamar Park Tokey Wala Chowk Shahbagh Lahore</v>
          </cell>
          <cell r="Q757" t="str">
            <v>11000003</v>
          </cell>
          <cell r="R757" t="str">
            <v>HONDA CITY</v>
          </cell>
          <cell r="S757" t="str">
            <v>2024</v>
          </cell>
          <cell r="T757" t="str">
            <v>AQT-751</v>
          </cell>
          <cell r="U757" t="str">
            <v>1021143</v>
          </cell>
          <cell r="V757" t="str">
            <v>PR036205</v>
          </cell>
          <cell r="W757" t="str">
            <v>05-feb-2027</v>
          </cell>
          <cell r="Y757">
            <v>4355100</v>
          </cell>
          <cell r="Z757">
            <v>56317</v>
          </cell>
          <cell r="AA757">
            <v>65327</v>
          </cell>
        </row>
        <row r="758">
          <cell r="B758" t="str">
            <v>KHI/HO/D/MO/PC COMP/C/105499/6/01/2025</v>
          </cell>
          <cell r="D758" t="str">
            <v>REN</v>
          </cell>
          <cell r="E758" t="str">
            <v>21/01/25</v>
          </cell>
          <cell r="F758" t="str">
            <v>15/01/2025</v>
          </cell>
          <cell r="G758" t="str">
            <v>14/01/2026</v>
          </cell>
          <cell r="H758" t="str">
            <v>08004499</v>
          </cell>
          <cell r="I758" t="str">
            <v>AL BARAKA BANK (PAKISTAN) LIMITED</v>
          </cell>
          <cell r="J758" t="str">
            <v>BANK</v>
          </cell>
          <cell r="K758" t="str">
            <v>Mr. 
Al Baraka Bank Pakistan Limited 
Mr. 
Al Baraka Bank Pakistan Limited 
User: Hafiz Shakil Ahmed Qureshi</v>
          </cell>
          <cell r="L758" t="str">
            <v>D</v>
          </cell>
          <cell r="M758" t="str">
            <v>09000221</v>
          </cell>
          <cell r="N758">
            <v>100</v>
          </cell>
          <cell r="P758" t="str">
            <v>H No 21 St 28 F-6/1 Islamabad</v>
          </cell>
          <cell r="Q758" t="str">
            <v>11000003</v>
          </cell>
          <cell r="R758" t="str">
            <v>SUZUKI CULTUS AGS</v>
          </cell>
          <cell r="S758" t="str">
            <v>2021</v>
          </cell>
          <cell r="T758" t="str">
            <v>AVJ-278</v>
          </cell>
          <cell r="U758" t="str">
            <v>171324</v>
          </cell>
          <cell r="V758" t="str">
            <v>10071324</v>
          </cell>
          <cell r="W758" t="str">
            <v>05-feb-2029</v>
          </cell>
          <cell r="Y758">
            <v>2880000</v>
          </cell>
          <cell r="Z758">
            <v>49655</v>
          </cell>
          <cell r="AA758">
            <v>57600</v>
          </cell>
        </row>
        <row r="759">
          <cell r="B759" t="str">
            <v>KHI/HO/D/MO/PC COMP/C/105499/7/01/2025</v>
          </cell>
          <cell r="D759" t="str">
            <v>REN</v>
          </cell>
          <cell r="E759" t="str">
            <v>21/01/25</v>
          </cell>
          <cell r="F759" t="str">
            <v>18/01/2025</v>
          </cell>
          <cell r="G759" t="str">
            <v>17/01/2026</v>
          </cell>
          <cell r="H759" t="str">
            <v>08004499</v>
          </cell>
          <cell r="I759" t="str">
            <v>AL BARAKA BANK (PAKISTAN) LIMITED</v>
          </cell>
          <cell r="J759" t="str">
            <v>BANK</v>
          </cell>
          <cell r="K759" t="str">
            <v>Mr. 
Al Baraka Bank Pakistan Limited 
Mr. 
Al Baraka Bank Pakistan Limited 
User: Faisal  Arshad</v>
          </cell>
          <cell r="L759" t="str">
            <v>D</v>
          </cell>
          <cell r="M759" t="str">
            <v>09000221</v>
          </cell>
          <cell r="N759">
            <v>100</v>
          </cell>
          <cell r="P759" t="str">
            <v>49-D People Colony 1 Faisalabad</v>
          </cell>
          <cell r="Q759" t="str">
            <v>11000003</v>
          </cell>
          <cell r="R759" t="str">
            <v>HYUNDAI TUCSON</v>
          </cell>
          <cell r="S759" t="str">
            <v>2024</v>
          </cell>
          <cell r="T759" t="str">
            <v>BDD-276</v>
          </cell>
          <cell r="U759" t="str">
            <v>G4NAPU372529</v>
          </cell>
          <cell r="V759" t="str">
            <v>PMHJ2813MPN215558</v>
          </cell>
          <cell r="W759" t="str">
            <v>05-feb-2027</v>
          </cell>
          <cell r="Y759">
            <v>7227000</v>
          </cell>
          <cell r="Z759">
            <v>93452</v>
          </cell>
          <cell r="AA759">
            <v>108405</v>
          </cell>
        </row>
        <row r="760">
          <cell r="B760" t="str">
            <v>KHI/HO/D/MO/PC COMP/C/105499/8/01/2025</v>
          </cell>
          <cell r="D760" t="str">
            <v>REN</v>
          </cell>
          <cell r="E760" t="str">
            <v>21/01/25</v>
          </cell>
          <cell r="F760" t="str">
            <v>18/01/2025</v>
          </cell>
          <cell r="G760" t="str">
            <v>17/01/2026</v>
          </cell>
          <cell r="H760" t="str">
            <v>08004499</v>
          </cell>
          <cell r="I760" t="str">
            <v>AL BARAKA BANK (PAKISTAN) LIMITED</v>
          </cell>
          <cell r="J760" t="str">
            <v>BANK</v>
          </cell>
          <cell r="K760" t="str">
            <v>Mr. 
Al Baraka Bank Pakistan Limited 
Mr. 
Al Baraka Bank Pakistan Limited 
User: Sana  Ullah</v>
          </cell>
          <cell r="L760" t="str">
            <v>D</v>
          </cell>
          <cell r="M760" t="str">
            <v>09000221</v>
          </cell>
          <cell r="N760">
            <v>100</v>
          </cell>
          <cell r="P760" t="str">
            <v>H # E-87 Phase 2 Defence View Society Karachi</v>
          </cell>
          <cell r="Q760" t="str">
            <v>11000003</v>
          </cell>
          <cell r="R760" t="str">
            <v>SUZUKI ALTO VXR E-2</v>
          </cell>
          <cell r="S760" t="str">
            <v>2024</v>
          </cell>
          <cell r="T760" t="str">
            <v>BCS-630</v>
          </cell>
          <cell r="U760" t="str">
            <v>290380</v>
          </cell>
          <cell r="V760" t="str">
            <v>1190468</v>
          </cell>
          <cell r="W760" t="str">
            <v>05-feb-2027</v>
          </cell>
          <cell r="Y760">
            <v>2350800</v>
          </cell>
          <cell r="Z760">
            <v>40531</v>
          </cell>
          <cell r="AA760">
            <v>47016</v>
          </cell>
        </row>
        <row r="761">
          <cell r="B761" t="str">
            <v>KHI/HO/D/MO/PC COMP/C/105499/9/01/2025</v>
          </cell>
          <cell r="D761" t="str">
            <v>REN</v>
          </cell>
          <cell r="E761" t="str">
            <v>21/01/25</v>
          </cell>
          <cell r="F761" t="str">
            <v>22/01/2025</v>
          </cell>
          <cell r="G761" t="str">
            <v>21/01/2026</v>
          </cell>
          <cell r="H761" t="str">
            <v>08004499</v>
          </cell>
          <cell r="I761" t="str">
            <v>AL BARAKA BANK (PAKISTAN) LIMITED</v>
          </cell>
          <cell r="J761" t="str">
            <v>BANK</v>
          </cell>
          <cell r="K761" t="str">
            <v>Mr. 
Al Baraka Bank Pakistan Limited 
Mr. 
Al Baraka Bank Pakistan Limited 
User: Maida Tazeen Yousaf</v>
          </cell>
          <cell r="L761" t="str">
            <v>D</v>
          </cell>
          <cell r="M761" t="str">
            <v>09000221</v>
          </cell>
          <cell r="N761">
            <v>100</v>
          </cell>
          <cell r="P761" t="str">
            <v>H # 422 Block H Gulshan-E-Ravi Lahore</v>
          </cell>
          <cell r="Q761" t="str">
            <v>11000003</v>
          </cell>
          <cell r="R761" t="str">
            <v>SUZUKI ALTO VXL AGS E-2</v>
          </cell>
          <cell r="S761" t="str">
            <v>2020</v>
          </cell>
          <cell r="T761" t="str">
            <v>LEA-20-8650</v>
          </cell>
          <cell r="U761" t="str">
            <v>6R129164</v>
          </cell>
          <cell r="V761" t="str">
            <v>1029188</v>
          </cell>
          <cell r="W761" t="str">
            <v>05-feb-2029</v>
          </cell>
          <cell r="Y761">
            <v>2259000</v>
          </cell>
          <cell r="Z761">
            <v>38949</v>
          </cell>
          <cell r="AA761">
            <v>45180</v>
          </cell>
        </row>
        <row r="762">
          <cell r="B762" t="str">
            <v>KHI/HO/D/MO/PC COMP/C/105499/10/01/2025</v>
          </cell>
          <cell r="D762" t="str">
            <v>REN</v>
          </cell>
          <cell r="E762" t="str">
            <v>21/01/25</v>
          </cell>
          <cell r="F762" t="str">
            <v>22/01/2025</v>
          </cell>
          <cell r="G762" t="str">
            <v>21/01/2026</v>
          </cell>
          <cell r="H762" t="str">
            <v>08004499</v>
          </cell>
          <cell r="I762" t="str">
            <v>AL BARAKA BANK (PAKISTAN) LIMITED</v>
          </cell>
          <cell r="J762" t="str">
            <v>BANK</v>
          </cell>
          <cell r="K762" t="str">
            <v>Mr. 
Al Baraka Bank Pakistan Limited 
Mr. 
Al Baraka Bank Pakistan Limited 
User: Hassan   Raza</v>
          </cell>
          <cell r="L762" t="str">
            <v>D</v>
          </cell>
          <cell r="M762" t="str">
            <v>09000221</v>
          </cell>
          <cell r="N762">
            <v>100</v>
          </cell>
          <cell r="P762" t="str">
            <v>H 23 Nayab City Bodla Road Multan</v>
          </cell>
          <cell r="Q762" t="str">
            <v>11000003</v>
          </cell>
          <cell r="R762" t="str">
            <v>SUZUKI ALTO VXL AGS E-2</v>
          </cell>
          <cell r="S762" t="str">
            <v>2022</v>
          </cell>
          <cell r="T762" t="str">
            <v>ANJ-984</v>
          </cell>
          <cell r="U762" t="str">
            <v>6R255866</v>
          </cell>
          <cell r="V762" t="str">
            <v>1155828</v>
          </cell>
          <cell r="W762" t="str">
            <v>05-feb-2028</v>
          </cell>
          <cell r="Y762">
            <v>2430000</v>
          </cell>
          <cell r="Z762">
            <v>41897</v>
          </cell>
          <cell r="AA762">
            <v>48600</v>
          </cell>
        </row>
        <row r="763">
          <cell r="B763" t="str">
            <v>KHI/HO/D/MO/PC COMP/C/105499/11/01/2025</v>
          </cell>
          <cell r="D763" t="str">
            <v>REN</v>
          </cell>
          <cell r="E763" t="str">
            <v>21/01/25</v>
          </cell>
          <cell r="F763" t="str">
            <v>05/01/2025</v>
          </cell>
          <cell r="G763" t="str">
            <v>04/01/2026</v>
          </cell>
          <cell r="H763" t="str">
            <v>08004499</v>
          </cell>
          <cell r="I763" t="str">
            <v>AL BARAKA BANK (PAKISTAN) LIMITED</v>
          </cell>
          <cell r="J763" t="str">
            <v>BANK</v>
          </cell>
          <cell r="K763" t="str">
            <v>Mr. 
Al Baraka Bank Pakistan Limited 
Mr. 
Al Baraka Bank Pakistan Limited 
User: Muhammad Shoaib  Shaukat</v>
          </cell>
          <cell r="L763" t="str">
            <v>D</v>
          </cell>
          <cell r="M763" t="str">
            <v>09000221</v>
          </cell>
          <cell r="N763">
            <v>100</v>
          </cell>
          <cell r="P763" t="str">
            <v>Flat A-204 2Nd Floor Green City Blueline Appartment Karachi</v>
          </cell>
          <cell r="Q763" t="str">
            <v>11000003</v>
          </cell>
          <cell r="R763" t="str">
            <v>SUZUKI ALTO VXR E-2</v>
          </cell>
          <cell r="S763" t="str">
            <v>2021</v>
          </cell>
          <cell r="T763" t="str">
            <v>BTB-930</v>
          </cell>
          <cell r="U763" t="str">
            <v>R-155672</v>
          </cell>
          <cell r="V763" t="str">
            <v>1055646</v>
          </cell>
          <cell r="W763" t="str">
            <v>05-jan-2029</v>
          </cell>
          <cell r="Y763">
            <v>1917000</v>
          </cell>
          <cell r="Z763">
            <v>33051</v>
          </cell>
          <cell r="AA763">
            <v>38340</v>
          </cell>
        </row>
        <row r="764">
          <cell r="B764" t="str">
            <v>KHI/HO/D/MO/PC COMP/C/105499/12/01/2025</v>
          </cell>
          <cell r="D764" t="str">
            <v>REN</v>
          </cell>
          <cell r="E764" t="str">
            <v>21/01/25</v>
          </cell>
          <cell r="F764" t="str">
            <v>23/01/2025</v>
          </cell>
          <cell r="G764" t="str">
            <v>22/01/2026</v>
          </cell>
          <cell r="H764" t="str">
            <v>08004499</v>
          </cell>
          <cell r="I764" t="str">
            <v>AL BARAKA BANK (PAKISTAN) LIMITED</v>
          </cell>
          <cell r="J764" t="str">
            <v>BANK</v>
          </cell>
          <cell r="K764" t="str">
            <v>Mr. 
Al Baraka Bank Pakistan Limited 
Mr. 
Al Baraka Bank Pakistan Limited 
User: Shikoh   Lashari</v>
          </cell>
          <cell r="L764" t="str">
            <v>D</v>
          </cell>
          <cell r="M764" t="str">
            <v>09000221</v>
          </cell>
          <cell r="N764">
            <v>100</v>
          </cell>
          <cell r="P764" t="str">
            <v>278 Block D St No 6 Dha Lahore</v>
          </cell>
          <cell r="Q764" t="str">
            <v>11000003</v>
          </cell>
          <cell r="R764" t="str">
            <v>MG HS 1.5 T</v>
          </cell>
          <cell r="S764" t="str">
            <v>2021</v>
          </cell>
          <cell r="T764" t="str">
            <v>ATX-856</v>
          </cell>
          <cell r="U764" t="str">
            <v>M3190922</v>
          </cell>
          <cell r="V764" t="str">
            <v>N069259</v>
          </cell>
          <cell r="W764" t="str">
            <v>05-feb-2028</v>
          </cell>
          <cell r="Y764">
            <v>6300000</v>
          </cell>
          <cell r="Z764">
            <v>81465</v>
          </cell>
          <cell r="AA764">
            <v>94500</v>
          </cell>
        </row>
        <row r="765">
          <cell r="B765" t="str">
            <v>KHI/HO/D/MO/PC COMP/C/105499/13/01/2025</v>
          </cell>
          <cell r="D765" t="str">
            <v>REN</v>
          </cell>
          <cell r="E765" t="str">
            <v>21/01/25</v>
          </cell>
          <cell r="F765" t="str">
            <v>23/01/2025</v>
          </cell>
          <cell r="G765" t="str">
            <v>22/01/2026</v>
          </cell>
          <cell r="H765" t="str">
            <v>08004499</v>
          </cell>
          <cell r="I765" t="str">
            <v>AL BARAKA BANK (PAKISTAN) LIMITED</v>
          </cell>
          <cell r="J765" t="str">
            <v>BANK</v>
          </cell>
          <cell r="K765" t="str">
            <v>Mr. 
Al Baraka Bank Pakistan Limited 
Mr. 
Al Baraka Bank Pakistan Limited 
User: Imran  Liaqat</v>
          </cell>
          <cell r="L765" t="str">
            <v>D</v>
          </cell>
          <cell r="M765" t="str">
            <v>09000221</v>
          </cell>
          <cell r="N765">
            <v>100</v>
          </cell>
          <cell r="P765" t="str">
            <v>Kot Khadim Hussain Near Chanan Din Park Paradise School  Sui Gas Rd Shahdra Lahore</v>
          </cell>
          <cell r="Q765" t="str">
            <v>11000003</v>
          </cell>
          <cell r="R765" t="str">
            <v>TOYOTA COROLLA XLI 1.3</v>
          </cell>
          <cell r="S765" t="str">
            <v>2015</v>
          </cell>
          <cell r="T765" t="str">
            <v>LEH-15-3147</v>
          </cell>
          <cell r="U765" t="str">
            <v>Z325962</v>
          </cell>
          <cell r="V765" t="str">
            <v>4047298</v>
          </cell>
          <cell r="W765" t="str">
            <v>05-feb-2027</v>
          </cell>
          <cell r="Y765">
            <v>2250000</v>
          </cell>
          <cell r="Z765">
            <v>38793</v>
          </cell>
          <cell r="AA765">
            <v>45000</v>
          </cell>
        </row>
        <row r="766">
          <cell r="B766" t="str">
            <v>KHI/HO/D/MO/PC COMP/C/105499/14/01/2025</v>
          </cell>
          <cell r="D766" t="str">
            <v>REN</v>
          </cell>
          <cell r="E766" t="str">
            <v>21/01/25</v>
          </cell>
          <cell r="F766" t="str">
            <v>24/01/2025</v>
          </cell>
          <cell r="G766" t="str">
            <v>23/01/2026</v>
          </cell>
          <cell r="H766" t="str">
            <v>08004499</v>
          </cell>
          <cell r="I766" t="str">
            <v>AL BARAKA BANK (PAKISTAN) LIMITED</v>
          </cell>
          <cell r="J766" t="str">
            <v>BANK</v>
          </cell>
          <cell r="K766" t="str">
            <v>Mr. 
Al Baraka Bank Pakistan Limited 
Mr. 
Al Baraka Bank Pakistan Limited 
User: Israr  Karamat</v>
          </cell>
          <cell r="L766" t="str">
            <v>D</v>
          </cell>
          <cell r="M766" t="str">
            <v>09000221</v>
          </cell>
          <cell r="N766">
            <v>100</v>
          </cell>
          <cell r="P766" t="str">
            <v>H No 6 St 1 Haq Bao Road Shadra Road Lahore</v>
          </cell>
          <cell r="Q766" t="str">
            <v>11000003</v>
          </cell>
          <cell r="R766" t="str">
            <v>SUZUKI CULTUS</v>
          </cell>
          <cell r="S766" t="str">
            <v>2022</v>
          </cell>
          <cell r="T766" t="str">
            <v>ANA-977</v>
          </cell>
          <cell r="U766" t="str">
            <v>203547</v>
          </cell>
          <cell r="V766" t="str">
            <v>10103539</v>
          </cell>
          <cell r="W766" t="str">
            <v>05-feb-2029</v>
          </cell>
          <cell r="Y766">
            <v>3150000</v>
          </cell>
          <cell r="Z766">
            <v>40733</v>
          </cell>
          <cell r="AA766">
            <v>47250</v>
          </cell>
        </row>
        <row r="767">
          <cell r="B767" t="str">
            <v>KHI/HO/D/MO/PC COMP/C/105499/15/01/2025</v>
          </cell>
          <cell r="D767" t="str">
            <v>REN</v>
          </cell>
          <cell r="E767" t="str">
            <v>21/01/25</v>
          </cell>
          <cell r="F767" t="str">
            <v>25/01/2025</v>
          </cell>
          <cell r="G767" t="str">
            <v>24/01/2026</v>
          </cell>
          <cell r="H767" t="str">
            <v>08004499</v>
          </cell>
          <cell r="I767" t="str">
            <v>AL BARAKA BANK (PAKISTAN) LIMITED</v>
          </cell>
          <cell r="J767" t="str">
            <v>BANK</v>
          </cell>
          <cell r="K767" t="str">
            <v>Mr. 
Al Baraka Bank Pakistan Limited 
Mr. 
Al Baraka Bank Pakistan Limited 
User: Raheel  Waqar  Malik</v>
          </cell>
          <cell r="L767" t="str">
            <v>D</v>
          </cell>
          <cell r="M767" t="str">
            <v>09000221</v>
          </cell>
          <cell r="N767">
            <v>100</v>
          </cell>
          <cell r="P767" t="str">
            <v>H No 18 A Main Road Sector D-12/4 Islamabad</v>
          </cell>
          <cell r="Q767" t="str">
            <v>11000003</v>
          </cell>
          <cell r="R767" t="str">
            <v>HONDA CITY</v>
          </cell>
          <cell r="S767" t="str">
            <v>2024</v>
          </cell>
          <cell r="T767" t="str">
            <v>BDC-192</v>
          </cell>
          <cell r="U767" t="str">
            <v>81014497</v>
          </cell>
          <cell r="V767" t="str">
            <v>033428</v>
          </cell>
          <cell r="W767" t="str">
            <v>05-feb-2027</v>
          </cell>
          <cell r="Y767">
            <v>4922550</v>
          </cell>
          <cell r="Z767">
            <v>63653</v>
          </cell>
          <cell r="AA767">
            <v>73838</v>
          </cell>
        </row>
        <row r="768">
          <cell r="B768" t="str">
            <v>KHI/HO/D/MO/PC COMP/C/105499/16/01/2025</v>
          </cell>
          <cell r="D768" t="str">
            <v>REN</v>
          </cell>
          <cell r="E768" t="str">
            <v>21/01/25</v>
          </cell>
          <cell r="F768" t="str">
            <v>25/01/2025</v>
          </cell>
          <cell r="G768" t="str">
            <v>24/01/2026</v>
          </cell>
          <cell r="H768" t="str">
            <v>08004499</v>
          </cell>
          <cell r="I768" t="str">
            <v>AL BARAKA BANK (PAKISTAN) LIMITED</v>
          </cell>
          <cell r="J768" t="str">
            <v>BANK</v>
          </cell>
          <cell r="K768" t="str">
            <v>Mr. 
Al Baraka Bank Pakistan Limited 
Mr. 
Al Baraka Bank Pakistan Limited 
User: Zain  Humayoun</v>
          </cell>
          <cell r="L768" t="str">
            <v>D</v>
          </cell>
          <cell r="M768" t="str">
            <v>09000221</v>
          </cell>
          <cell r="N768">
            <v>100</v>
          </cell>
          <cell r="P768" t="str">
            <v>H No 547 Woods Block Paragon City Lahore Cantt</v>
          </cell>
          <cell r="Q768" t="str">
            <v>11000003</v>
          </cell>
          <cell r="R768" t="str">
            <v>HYUNDAI TUCSON</v>
          </cell>
          <cell r="S768" t="str">
            <v>2024</v>
          </cell>
          <cell r="T768" t="str">
            <v>AQZ-004</v>
          </cell>
          <cell r="U768" t="str">
            <v>U374540</v>
          </cell>
          <cell r="V768" t="str">
            <v>N215523</v>
          </cell>
          <cell r="W768" t="str">
            <v>05-feb-2027</v>
          </cell>
          <cell r="Y768">
            <v>7249500</v>
          </cell>
          <cell r="Z768">
            <v>93744</v>
          </cell>
          <cell r="AA768">
            <v>108743</v>
          </cell>
        </row>
        <row r="769">
          <cell r="B769" t="str">
            <v>KHI/HO/D/MO/PC COMP/C/105499/17/01/2025</v>
          </cell>
          <cell r="D769" t="str">
            <v>REN</v>
          </cell>
          <cell r="E769" t="str">
            <v>21/01/25</v>
          </cell>
          <cell r="F769" t="str">
            <v>25/01/2025</v>
          </cell>
          <cell r="G769" t="str">
            <v>24/01/2026</v>
          </cell>
          <cell r="H769" t="str">
            <v>08004499</v>
          </cell>
          <cell r="I769" t="str">
            <v>AL BARAKA BANK (PAKISTAN) LIMITED</v>
          </cell>
          <cell r="J769" t="str">
            <v>BANK</v>
          </cell>
          <cell r="K769" t="str">
            <v>Mr. 
Al Baraka Bank Pakistan Limited 
Mr. 
Al Baraka Bank Pakistan Limited 
User: Abdul  Rehman</v>
          </cell>
          <cell r="L769" t="str">
            <v>D</v>
          </cell>
          <cell r="M769" t="str">
            <v>09000221</v>
          </cell>
          <cell r="N769">
            <v>100</v>
          </cell>
          <cell r="P769" t="str">
            <v>H No 978 A Mohallah Raja Ghulam Rasool Nagar Faisalabad</v>
          </cell>
          <cell r="Q769" t="str">
            <v>11000003</v>
          </cell>
          <cell r="R769" t="str">
            <v>TOYOTA YARIS ATIV X CVT</v>
          </cell>
          <cell r="S769" t="str">
            <v>2020</v>
          </cell>
          <cell r="T769" t="str">
            <v>AAD-489</v>
          </cell>
          <cell r="U769" t="str">
            <v>2A05310</v>
          </cell>
          <cell r="V769" t="str">
            <v>NSP151R9502473</v>
          </cell>
          <cell r="W769" t="str">
            <v>05-feb-2027</v>
          </cell>
          <cell r="Y769">
            <v>3600000</v>
          </cell>
          <cell r="Z769">
            <v>46551</v>
          </cell>
          <cell r="AA769">
            <v>54000</v>
          </cell>
        </row>
        <row r="770">
          <cell r="B770" t="str">
            <v>KHI/HO/D/MO/PC COMP/C/105499/18/01/2025</v>
          </cell>
          <cell r="D770" t="str">
            <v>REN</v>
          </cell>
          <cell r="E770" t="str">
            <v>21/01/25</v>
          </cell>
          <cell r="F770" t="str">
            <v>26/01/2025</v>
          </cell>
          <cell r="G770" t="str">
            <v>25/01/2026</v>
          </cell>
          <cell r="H770" t="str">
            <v>08004499</v>
          </cell>
          <cell r="I770" t="str">
            <v>AL BARAKA BANK (PAKISTAN) LIMITED</v>
          </cell>
          <cell r="J770" t="str">
            <v>BANK</v>
          </cell>
          <cell r="K770" t="str">
            <v>Mr. 
Al Baraka Bank Pakistan Limited 
Mr. 
Al Baraka Bank Pakistan Limited 
User: Aqeel  Ahmad</v>
          </cell>
          <cell r="L770" t="str">
            <v>D</v>
          </cell>
          <cell r="M770" t="str">
            <v>09000221</v>
          </cell>
          <cell r="N770">
            <v>100</v>
          </cell>
          <cell r="P770" t="str">
            <v>H # P-65 Street 11 A-7 Ghanabad No. 2 Faisalabad</v>
          </cell>
          <cell r="Q770" t="str">
            <v>11000003</v>
          </cell>
          <cell r="R770" t="str">
            <v>SUZUKI MEHRAN VXR EURO-II</v>
          </cell>
          <cell r="S770" t="str">
            <v>2018</v>
          </cell>
          <cell r="T770" t="str">
            <v>LEE-18-3412</v>
          </cell>
          <cell r="U770" t="str">
            <v>PKB730571</v>
          </cell>
          <cell r="V770" t="str">
            <v>SB308PK01269103</v>
          </cell>
          <cell r="W770" t="str">
            <v>05-feb-2029</v>
          </cell>
          <cell r="Y770">
            <v>1026000</v>
          </cell>
          <cell r="Z770">
            <v>17690</v>
          </cell>
          <cell r="AA770">
            <v>20520</v>
          </cell>
        </row>
        <row r="771">
          <cell r="B771" t="str">
            <v>KHI/HO/D/MO/PC COMP/C/105499/19/01/2025</v>
          </cell>
          <cell r="D771" t="str">
            <v>REN</v>
          </cell>
          <cell r="E771" t="str">
            <v>21/01/25</v>
          </cell>
          <cell r="F771" t="str">
            <v>29/01/2025</v>
          </cell>
          <cell r="G771" t="str">
            <v>28/01/2026</v>
          </cell>
          <cell r="H771" t="str">
            <v>08004499</v>
          </cell>
          <cell r="I771" t="str">
            <v>AL BARAKA BANK (PAKISTAN) LIMITED</v>
          </cell>
          <cell r="J771" t="str">
            <v>BANK</v>
          </cell>
          <cell r="K771" t="str">
            <v>Mr. 
Al Baraka Bank Pakistan Limited 
Mr. 
Al Baraka Bank Pakistan Limited 
User: Muhammad  Fiaz Khan</v>
          </cell>
          <cell r="L771" t="str">
            <v>D</v>
          </cell>
          <cell r="M771" t="str">
            <v>09000221</v>
          </cell>
          <cell r="N771">
            <v>100</v>
          </cell>
          <cell r="P771" t="str">
            <v>H No 38-B Nfc Flat Faisal Town Lahore</v>
          </cell>
          <cell r="Q771" t="str">
            <v>11000003</v>
          </cell>
          <cell r="R771" t="str">
            <v>SUZUKI ALTO AGS A/T</v>
          </cell>
          <cell r="S771" t="str">
            <v>2024</v>
          </cell>
          <cell r="T771" t="str">
            <v>ARA-325</v>
          </cell>
          <cell r="U771" t="str">
            <v>295204</v>
          </cell>
          <cell r="V771" t="str">
            <v>1195253</v>
          </cell>
          <cell r="W771" t="str">
            <v>05-feb-2029</v>
          </cell>
          <cell r="Y771">
            <v>2641500</v>
          </cell>
          <cell r="Z771">
            <v>45544</v>
          </cell>
          <cell r="AA771">
            <v>52830</v>
          </cell>
        </row>
        <row r="772">
          <cell r="B772" t="str">
            <v>KHI/HO/D/MO/PC COMP/C/105499/20/01/2025</v>
          </cell>
          <cell r="D772" t="str">
            <v>REN</v>
          </cell>
          <cell r="E772" t="str">
            <v>21/01/25</v>
          </cell>
          <cell r="F772" t="str">
            <v>29/01/2025</v>
          </cell>
          <cell r="G772" t="str">
            <v>28/01/2026</v>
          </cell>
          <cell r="H772" t="str">
            <v>08004499</v>
          </cell>
          <cell r="I772" t="str">
            <v>AL BARAKA BANK (PAKISTAN) LIMITED</v>
          </cell>
          <cell r="J772" t="str">
            <v>BANK</v>
          </cell>
          <cell r="K772" t="str">
            <v>Mr. 
Al Baraka Bank Pakistan Limited 
Mr. 
Al Baraka Bank Pakistan Limited 
User: Syed Ahmad Hussain</v>
          </cell>
          <cell r="L772" t="str">
            <v>D</v>
          </cell>
          <cell r="M772" t="str">
            <v>09000221</v>
          </cell>
          <cell r="N772">
            <v>100</v>
          </cell>
          <cell r="P772" t="str">
            <v>H #  79 Street 42 Mustafabad Dharam Pura Lahore</v>
          </cell>
          <cell r="Q772" t="str">
            <v>11000003</v>
          </cell>
          <cell r="R772" t="str">
            <v>KIA SPORTAGE AWD-CW</v>
          </cell>
          <cell r="S772" t="str">
            <v>2020</v>
          </cell>
          <cell r="T772" t="str">
            <v>ABG-294</v>
          </cell>
          <cell r="U772" t="str">
            <v>332254</v>
          </cell>
          <cell r="V772" t="str">
            <v>506555</v>
          </cell>
          <cell r="W772" t="str">
            <v>05-feb-2027</v>
          </cell>
          <cell r="Y772">
            <v>5850000</v>
          </cell>
          <cell r="Z772">
            <v>75647</v>
          </cell>
          <cell r="AA772">
            <v>87750</v>
          </cell>
        </row>
        <row r="773">
          <cell r="B773" t="str">
            <v>KHI/HO/D/MO/PC COMP/C/105499/21/01/2025</v>
          </cell>
          <cell r="D773" t="str">
            <v>REN</v>
          </cell>
          <cell r="E773" t="str">
            <v>21/01/25</v>
          </cell>
          <cell r="F773" t="str">
            <v>30/01/2025</v>
          </cell>
          <cell r="G773" t="str">
            <v>29/01/2026</v>
          </cell>
          <cell r="H773" t="str">
            <v>08004499</v>
          </cell>
          <cell r="I773" t="str">
            <v>AL BARAKA BANK (PAKISTAN) LIMITED</v>
          </cell>
          <cell r="J773" t="str">
            <v>BANK</v>
          </cell>
          <cell r="K773" t="str">
            <v>Mr. 
Al Baraka Bank Pakistan Limited 
Mr. 
Al Baraka Bank Pakistan Limited 
User: Imran  Mushtaq</v>
          </cell>
          <cell r="L773" t="str">
            <v>D</v>
          </cell>
          <cell r="M773" t="str">
            <v>09000221</v>
          </cell>
          <cell r="N773">
            <v>100</v>
          </cell>
          <cell r="P773" t="str">
            <v>Chak No. 68 Rb Kalan Jaranwala Faisalabad</v>
          </cell>
          <cell r="Q773" t="str">
            <v>11000003</v>
          </cell>
          <cell r="R773" t="str">
            <v>HONDA CITY ASPIRE I VTEC</v>
          </cell>
          <cell r="S773" t="str">
            <v>2016</v>
          </cell>
          <cell r="T773" t="str">
            <v>LEA-16-5395</v>
          </cell>
          <cell r="U773" t="str">
            <v>L13Z17439779</v>
          </cell>
          <cell r="V773" t="str">
            <v>NFBGM1559GR179782</v>
          </cell>
          <cell r="W773" t="str">
            <v>05-feb-2027</v>
          </cell>
          <cell r="Y773">
            <v>2745000</v>
          </cell>
          <cell r="Z773">
            <v>47328</v>
          </cell>
          <cell r="AA773">
            <v>54900</v>
          </cell>
        </row>
        <row r="774">
          <cell r="B774" t="str">
            <v>KHI/HO/D/MO/PC COMP/C/105499/22/01/2025</v>
          </cell>
          <cell r="D774" t="str">
            <v>REN</v>
          </cell>
          <cell r="E774" t="str">
            <v>21/01/25</v>
          </cell>
          <cell r="F774" t="str">
            <v>05/01/2025</v>
          </cell>
          <cell r="G774" t="str">
            <v>04/01/2026</v>
          </cell>
          <cell r="H774" t="str">
            <v>08004499</v>
          </cell>
          <cell r="I774" t="str">
            <v>AL BARAKA BANK (PAKISTAN) LIMITED</v>
          </cell>
          <cell r="J774" t="str">
            <v>BANK</v>
          </cell>
          <cell r="K774" t="str">
            <v>Mr. 
Al Baraka Bank Pakistan Limited 
Mr. 
Al Baraka Bank Pakistan Limited 
User: Tanveer Naveed Bajwa</v>
          </cell>
          <cell r="L774" t="str">
            <v>D</v>
          </cell>
          <cell r="M774" t="str">
            <v>09000221</v>
          </cell>
          <cell r="N774">
            <v>100</v>
          </cell>
          <cell r="P774" t="str">
            <v>H # 200 Lower Portion Block A-1 Johar Town Lahore</v>
          </cell>
          <cell r="Q774" t="str">
            <v>11000003</v>
          </cell>
          <cell r="R774" t="str">
            <v>TOYOTA AQUA HYBRID</v>
          </cell>
          <cell r="S774" t="str">
            <v>2018</v>
          </cell>
          <cell r="T774" t="str">
            <v>APG-214</v>
          </cell>
          <cell r="U774" t="str">
            <v>625709</v>
          </cell>
          <cell r="V774" t="str">
            <v>106716354</v>
          </cell>
          <cell r="W774" t="str">
            <v>05-jan-2028</v>
          </cell>
          <cell r="Y774">
            <v>3825000</v>
          </cell>
          <cell r="Z774">
            <v>49461</v>
          </cell>
          <cell r="AA774">
            <v>57375</v>
          </cell>
        </row>
        <row r="775">
          <cell r="B775" t="str">
            <v>KHI/HO/D/MO/PC COMP/C/105499/23/01/2025</v>
          </cell>
          <cell r="D775" t="str">
            <v>REN</v>
          </cell>
          <cell r="E775" t="str">
            <v>21/01/25</v>
          </cell>
          <cell r="F775" t="str">
            <v>30/01/2025</v>
          </cell>
          <cell r="G775" t="str">
            <v>29/01/2026</v>
          </cell>
          <cell r="H775" t="str">
            <v>08004499</v>
          </cell>
          <cell r="I775" t="str">
            <v>AL BARAKA BANK (PAKISTAN) LIMITED</v>
          </cell>
          <cell r="J775" t="str">
            <v>BANK</v>
          </cell>
          <cell r="K775" t="str">
            <v>Mr. 
Al Baraka Bank Pakistan Limited 
Mr. 
Al Baraka Bank Pakistan Limited 
User: Ahmad  Bilal</v>
          </cell>
          <cell r="L775" t="str">
            <v>D</v>
          </cell>
          <cell r="M775" t="str">
            <v>09000221</v>
          </cell>
          <cell r="N775">
            <v>100</v>
          </cell>
          <cell r="P775" t="str">
            <v>H # 21/1 Block J Model Town Lahore</v>
          </cell>
          <cell r="Q775" t="str">
            <v>11000003</v>
          </cell>
          <cell r="R775" t="str">
            <v>HAVAL GWM</v>
          </cell>
          <cell r="S775" t="str">
            <v>2018</v>
          </cell>
          <cell r="T775" t="str">
            <v>LEB-17A-612</v>
          </cell>
          <cell r="U775" t="str">
            <v>Z12923041</v>
          </cell>
          <cell r="V775" t="str">
            <v>HR026296</v>
          </cell>
          <cell r="W775" t="str">
            <v>05-feb-2028</v>
          </cell>
          <cell r="Y775">
            <v>4410000</v>
          </cell>
          <cell r="Z775">
            <v>57026</v>
          </cell>
          <cell r="AA775">
            <v>66150</v>
          </cell>
        </row>
        <row r="776">
          <cell r="B776" t="str">
            <v>KHI/HO/D/MO/PC COMP/C/105499/24/01/2025</v>
          </cell>
          <cell r="D776" t="str">
            <v>REN</v>
          </cell>
          <cell r="E776" t="str">
            <v>21/01/25</v>
          </cell>
          <cell r="F776" t="str">
            <v>31/01/2025</v>
          </cell>
          <cell r="G776" t="str">
            <v>30/01/2026</v>
          </cell>
          <cell r="H776" t="str">
            <v>08004499</v>
          </cell>
          <cell r="I776" t="str">
            <v>AL BARAKA BANK (PAKISTAN) LIMITED</v>
          </cell>
          <cell r="J776" t="str">
            <v>BANK</v>
          </cell>
          <cell r="K776" t="str">
            <v>Mr. 
Al Baraka Bank Pakistan Limited 
Mr. 
Al Baraka Bank Pakistan Limited 
User: Hamad  Qayyum</v>
          </cell>
          <cell r="L776" t="str">
            <v>D</v>
          </cell>
          <cell r="M776" t="str">
            <v>09000221</v>
          </cell>
          <cell r="N776">
            <v>100</v>
          </cell>
          <cell r="P776" t="str">
            <v>H No E-63 /11 Near Kamran Masjid Shaheen Colony Walton Lahore</v>
          </cell>
          <cell r="Q776" t="str">
            <v>11000003</v>
          </cell>
          <cell r="R776" t="str">
            <v>SUZUKI ALTO VXL AGS</v>
          </cell>
          <cell r="S776" t="str">
            <v>2024</v>
          </cell>
          <cell r="T776" t="str">
            <v>ARA-469</v>
          </cell>
          <cell r="U776" t="str">
            <v>297202</v>
          </cell>
          <cell r="V776" t="str">
            <v>1197241</v>
          </cell>
          <cell r="W776" t="str">
            <v>05-feb-2029</v>
          </cell>
          <cell r="Y776">
            <v>2641500</v>
          </cell>
          <cell r="Z776">
            <v>45544</v>
          </cell>
          <cell r="AA776">
            <v>52830</v>
          </cell>
        </row>
        <row r="777">
          <cell r="B777" t="str">
            <v>KHI/HO/D/MO/PC COMP/C/105499/25/01/2025</v>
          </cell>
          <cell r="D777" t="str">
            <v>REN</v>
          </cell>
          <cell r="E777" t="str">
            <v>21/01/25</v>
          </cell>
          <cell r="F777" t="str">
            <v>30/01/2025</v>
          </cell>
          <cell r="G777" t="str">
            <v>29/01/2026</v>
          </cell>
          <cell r="H777" t="str">
            <v>08004499</v>
          </cell>
          <cell r="I777" t="str">
            <v>AL BARAKA BANK (PAKISTAN) LIMITED</v>
          </cell>
          <cell r="J777" t="str">
            <v>BANK</v>
          </cell>
          <cell r="K777" t="str">
            <v>Mr. 
Al Baraka Bank Pakistan Limited 
Mr. 
Al Baraka Bank Pakistan Limited 
User: Zahidullah  .</v>
          </cell>
          <cell r="L777" t="str">
            <v>D</v>
          </cell>
          <cell r="M777" t="str">
            <v>09000221</v>
          </cell>
          <cell r="N777">
            <v>100</v>
          </cell>
          <cell r="P777" t="str">
            <v>H No 118/3 St No3 Mohalla Al Noor Town Walton Road Lahore</v>
          </cell>
          <cell r="Q777" t="str">
            <v>11000003</v>
          </cell>
          <cell r="R777" t="str">
            <v>TOYOTA COROLLA GLI A/T 1.</v>
          </cell>
          <cell r="S777" t="str">
            <v>2020</v>
          </cell>
          <cell r="T777" t="str">
            <v>LEB-20-9871</v>
          </cell>
          <cell r="U777" t="str">
            <v>Z580252</v>
          </cell>
          <cell r="V777" t="str">
            <v>R4205360</v>
          </cell>
          <cell r="W777" t="str">
            <v>05-feb-2027</v>
          </cell>
          <cell r="Y777">
            <v>3847500</v>
          </cell>
          <cell r="Z777">
            <v>49752</v>
          </cell>
          <cell r="AA777">
            <v>57713</v>
          </cell>
        </row>
        <row r="778">
          <cell r="B778" t="str">
            <v>KHI/HO/D/MO/PC COMP/C/105499/26/01/2025</v>
          </cell>
          <cell r="D778" t="str">
            <v>REN</v>
          </cell>
          <cell r="E778" t="str">
            <v>21/01/25</v>
          </cell>
          <cell r="F778" t="str">
            <v>30/01/2025</v>
          </cell>
          <cell r="G778" t="str">
            <v>29/01/2026</v>
          </cell>
          <cell r="H778" t="str">
            <v>08004499</v>
          </cell>
          <cell r="I778" t="str">
            <v>AL BARAKA BANK (PAKISTAN) LIMITED</v>
          </cell>
          <cell r="J778" t="str">
            <v>BANK</v>
          </cell>
          <cell r="K778" t="str">
            <v>Mr. 
Al Baraka Bank Pakistan Limited 
Mr. 
Al Baraka Bank Pakistan Limited 
User: Muhammad  Talha  Amir</v>
          </cell>
          <cell r="L778" t="str">
            <v>D</v>
          </cell>
          <cell r="M778" t="str">
            <v>09000221</v>
          </cell>
          <cell r="N778">
            <v>100</v>
          </cell>
          <cell r="P778" t="str">
            <v>H No 733 D Johar Town Lahore</v>
          </cell>
          <cell r="Q778" t="str">
            <v>11000003</v>
          </cell>
          <cell r="R778" t="str">
            <v>SUZUKI Suzuki Swift</v>
          </cell>
          <cell r="S778" t="str">
            <v>2022</v>
          </cell>
          <cell r="T778" t="str">
            <v>ALE-484</v>
          </cell>
          <cell r="U778" t="str">
            <v>1005256</v>
          </cell>
          <cell r="V778" t="str">
            <v>105231</v>
          </cell>
          <cell r="W778" t="str">
            <v>05-feb-2027</v>
          </cell>
          <cell r="Y778">
            <v>3420000</v>
          </cell>
          <cell r="Z778">
            <v>44224</v>
          </cell>
          <cell r="AA778">
            <v>51300</v>
          </cell>
        </row>
        <row r="779">
          <cell r="B779" t="str">
            <v>KHI/HO/D/MO/PC COMP/C/105499/27/01/2025</v>
          </cell>
          <cell r="D779" t="str">
            <v>REN</v>
          </cell>
          <cell r="E779" t="str">
            <v>21/01/25</v>
          </cell>
          <cell r="F779" t="str">
            <v>31/01/2025</v>
          </cell>
          <cell r="G779" t="str">
            <v>30/01/2026</v>
          </cell>
          <cell r="H779" t="str">
            <v>08004499</v>
          </cell>
          <cell r="I779" t="str">
            <v>AL BARAKA BANK (PAKISTAN) LIMITED</v>
          </cell>
          <cell r="J779" t="str">
            <v>BANK</v>
          </cell>
          <cell r="K779" t="str">
            <v>Mr. 
Al Baraka Bank Pakistan Limited 
Mr. 
Al Baraka Bank Pakistan Limited 
User: Ali  Murtaza  Shah</v>
          </cell>
          <cell r="L779" t="str">
            <v>D</v>
          </cell>
          <cell r="M779" t="str">
            <v>09000221</v>
          </cell>
          <cell r="N779">
            <v>100</v>
          </cell>
          <cell r="P779" t="str">
            <v>H # 12 Block A Shadab Colony Ferozepur Road Lahore</v>
          </cell>
          <cell r="Q779" t="str">
            <v>11000003</v>
          </cell>
          <cell r="R779" t="str">
            <v>SUZUKI WAGON-R VXL E2</v>
          </cell>
          <cell r="S779" t="str">
            <v>2019</v>
          </cell>
          <cell r="T779" t="str">
            <v>AAL-235</v>
          </cell>
          <cell r="U779" t="str">
            <v>201223</v>
          </cell>
          <cell r="V779" t="str">
            <v>10101196</v>
          </cell>
          <cell r="W779" t="str">
            <v>05-feb-2029</v>
          </cell>
          <cell r="Y779">
            <v>1935000</v>
          </cell>
          <cell r="Z779">
            <v>33362</v>
          </cell>
          <cell r="AA779">
            <v>38700</v>
          </cell>
        </row>
        <row r="780">
          <cell r="B780" t="str">
            <v>KHI/HO/D/MO/PC COMP/C/105499/28/01/2025</v>
          </cell>
          <cell r="D780" t="str">
            <v>REN</v>
          </cell>
          <cell r="E780" t="str">
            <v>21/01/25</v>
          </cell>
          <cell r="F780" t="str">
            <v>31/01/2025</v>
          </cell>
          <cell r="G780" t="str">
            <v>30/01/2026</v>
          </cell>
          <cell r="H780" t="str">
            <v>08004499</v>
          </cell>
          <cell r="I780" t="str">
            <v>AL BARAKA BANK (PAKISTAN) LIMITED</v>
          </cell>
          <cell r="J780" t="str">
            <v>BANK</v>
          </cell>
          <cell r="K780" t="str">
            <v>Mr. 
Al Baraka Bank Pakistan Limited 
Mr. 
Al Baraka Bank Pakistan Limited 
User: Muhammad Shahid Siraj</v>
          </cell>
          <cell r="L780" t="str">
            <v>D</v>
          </cell>
          <cell r="M780" t="str">
            <v>09000221</v>
          </cell>
          <cell r="N780">
            <v>100</v>
          </cell>
          <cell r="P780" t="str">
            <v>H # 188-B Shah Rukne Alam  Colony Multan</v>
          </cell>
          <cell r="Q780" t="str">
            <v>11000003</v>
          </cell>
          <cell r="R780" t="str">
            <v>HONDA CITY ASPIRE 1.5  I-</v>
          </cell>
          <cell r="S780" t="str">
            <v>2024</v>
          </cell>
          <cell r="T780" t="str">
            <v>AFW-642</v>
          </cell>
          <cell r="U780" t="str">
            <v>1015145</v>
          </cell>
          <cell r="V780" t="str">
            <v>36386</v>
          </cell>
          <cell r="W780" t="str">
            <v>05-feb-2027</v>
          </cell>
          <cell r="Y780">
            <v>5286150</v>
          </cell>
          <cell r="Z780">
            <v>68355</v>
          </cell>
          <cell r="AA780">
            <v>79292</v>
          </cell>
        </row>
        <row r="781">
          <cell r="B781" t="str">
            <v>KHI/HO/D/MO/PC COMP/C/105499/29/01/2025</v>
          </cell>
          <cell r="D781" t="str">
            <v>REN</v>
          </cell>
          <cell r="E781" t="str">
            <v>21/01/25</v>
          </cell>
          <cell r="F781" t="str">
            <v>31/01/2025</v>
          </cell>
          <cell r="G781" t="str">
            <v>30/01/2026</v>
          </cell>
          <cell r="H781" t="str">
            <v>08004499</v>
          </cell>
          <cell r="I781" t="str">
            <v>AL BARAKA BANK (PAKISTAN) LIMITED</v>
          </cell>
          <cell r="J781" t="str">
            <v>BANK</v>
          </cell>
          <cell r="K781" t="str">
            <v>Mr. 
Al Baraka Bank Pakistan Limited 
Mr. 
Al Baraka Bank Pakistan Limited 
User: Zeeshan   Akram</v>
          </cell>
          <cell r="L781" t="str">
            <v>D</v>
          </cell>
          <cell r="M781" t="str">
            <v>09000221</v>
          </cell>
          <cell r="N781">
            <v>100</v>
          </cell>
          <cell r="P781" t="str">
            <v>H No 171 Shahbaz Town Abc Road Faisalabad</v>
          </cell>
          <cell r="Q781" t="str">
            <v>11000003</v>
          </cell>
          <cell r="R781" t="str">
            <v>SUZUKI WAGON R VXL</v>
          </cell>
          <cell r="S781" t="str">
            <v>2018</v>
          </cell>
          <cell r="T781" t="str">
            <v>LEE-18-3416</v>
          </cell>
          <cell r="U781" t="str">
            <v>PK10B158864</v>
          </cell>
          <cell r="V781" t="str">
            <v>A1J310PK10058917</v>
          </cell>
          <cell r="W781" t="str">
            <v>05-feb-2029</v>
          </cell>
          <cell r="Y781">
            <v>2025000</v>
          </cell>
          <cell r="Z781">
            <v>34914</v>
          </cell>
          <cell r="AA781">
            <v>40500</v>
          </cell>
        </row>
        <row r="782">
          <cell r="B782" t="str">
            <v>KHI/HO/D/MO/PC COMP/C/105499/30/01/2025</v>
          </cell>
          <cell r="D782" t="str">
            <v>REN</v>
          </cell>
          <cell r="E782" t="str">
            <v>21/01/25</v>
          </cell>
          <cell r="F782" t="str">
            <v>31/01/2025</v>
          </cell>
          <cell r="G782" t="str">
            <v>30/01/2026</v>
          </cell>
          <cell r="H782" t="str">
            <v>08004499</v>
          </cell>
          <cell r="I782" t="str">
            <v>AL BARAKA BANK (PAKISTAN) LIMITED</v>
          </cell>
          <cell r="J782" t="str">
            <v>BANK</v>
          </cell>
          <cell r="K782" t="str">
            <v>Mr. 
Al Baraka Bank Pakistan Limited 
Mr. 
Al Baraka Bank Pakistan Limited 
User: Javed  Iqbal</v>
          </cell>
          <cell r="L782" t="str">
            <v>D</v>
          </cell>
          <cell r="M782" t="str">
            <v>09000221</v>
          </cell>
          <cell r="N782">
            <v>100</v>
          </cell>
          <cell r="P782" t="str">
            <v>H No 453 Block 4 Sector C2 Green Town Lahore</v>
          </cell>
          <cell r="Q782" t="str">
            <v>11000003</v>
          </cell>
          <cell r="R782" t="str">
            <v>SUZUKI ALTO VXR</v>
          </cell>
          <cell r="S782" t="str">
            <v>2016</v>
          </cell>
          <cell r="T782" t="str">
            <v>LEE-16-3602</v>
          </cell>
          <cell r="U782" t="str">
            <v>624030</v>
          </cell>
          <cell r="V782" t="str">
            <v>530910</v>
          </cell>
          <cell r="W782" t="str">
            <v>05-feb-2028</v>
          </cell>
          <cell r="Y782">
            <v>1350000</v>
          </cell>
          <cell r="Z782">
            <v>23276</v>
          </cell>
          <cell r="AA782">
            <v>27000</v>
          </cell>
        </row>
        <row r="783">
          <cell r="B783" t="str">
            <v>KHI/HO/D/MO/PC COMP/C/105499/31/01/2025</v>
          </cell>
          <cell r="D783" t="str">
            <v>REN</v>
          </cell>
          <cell r="E783" t="str">
            <v>21/01/25</v>
          </cell>
          <cell r="F783" t="str">
            <v>31/01/2025</v>
          </cell>
          <cell r="G783" t="str">
            <v>30/01/2026</v>
          </cell>
          <cell r="H783" t="str">
            <v>08004499</v>
          </cell>
          <cell r="I783" t="str">
            <v>AL BARAKA BANK (PAKISTAN) LIMITED</v>
          </cell>
          <cell r="J783" t="str">
            <v>BANK</v>
          </cell>
          <cell r="K783" t="str">
            <v>Mr. 
Al Baraka Bank Pakistan Limited 
Mr. 
Al Baraka Bank Pakistan Limited 
User: Muhammad Shoaib Adil</v>
          </cell>
          <cell r="L783" t="str">
            <v>D</v>
          </cell>
          <cell r="M783" t="str">
            <v>09000221</v>
          </cell>
          <cell r="N783">
            <v>100</v>
          </cell>
          <cell r="P783" t="str">
            <v>Flat No 101 White Place Tower Khalid Bin Waleed Road Karachi</v>
          </cell>
          <cell r="Q783" t="str">
            <v>11000003</v>
          </cell>
          <cell r="R783" t="str">
            <v>HONDA BRV - S</v>
          </cell>
          <cell r="S783" t="str">
            <v>2017</v>
          </cell>
          <cell r="T783" t="str">
            <v>BG-5139</v>
          </cell>
          <cell r="U783" t="str">
            <v>3503961</v>
          </cell>
          <cell r="V783" t="str">
            <v>R003904</v>
          </cell>
          <cell r="W783" t="str">
            <v>05-feb-2027</v>
          </cell>
          <cell r="Y783">
            <v>3330000</v>
          </cell>
          <cell r="Z783">
            <v>43060</v>
          </cell>
          <cell r="AA783">
            <v>49950</v>
          </cell>
        </row>
        <row r="784">
          <cell r="B784" t="str">
            <v>KHI/HO/D/MO/PC COMP/C/105499/32/01/2025</v>
          </cell>
          <cell r="D784" t="str">
            <v>REN</v>
          </cell>
          <cell r="E784" t="str">
            <v>21/01/25</v>
          </cell>
          <cell r="F784" t="str">
            <v>05/01/2025</v>
          </cell>
          <cell r="G784" t="str">
            <v>04/01/2026</v>
          </cell>
          <cell r="H784" t="str">
            <v>08004499</v>
          </cell>
          <cell r="I784" t="str">
            <v>AL BARAKA BANK (PAKISTAN) LIMITED</v>
          </cell>
          <cell r="J784" t="str">
            <v>BANK</v>
          </cell>
          <cell r="K784" t="str">
            <v>Mr. 
Al Baraka Bank Pakistan Limited 
Mr. 
Al Baraka Bank Pakistan Limited 
User: Muhammad  Imtiaz</v>
          </cell>
          <cell r="L784" t="str">
            <v>D</v>
          </cell>
          <cell r="M784" t="str">
            <v>09000221</v>
          </cell>
          <cell r="N784">
            <v>100</v>
          </cell>
          <cell r="P784" t="str">
            <v>H # 33/16 Street 77 Jattan Wala Shahdra Town Lahore</v>
          </cell>
          <cell r="Q784" t="str">
            <v>11000003</v>
          </cell>
          <cell r="R784" t="str">
            <v>HONDA CITY CVT ASPIRE A/T</v>
          </cell>
          <cell r="S784" t="str">
            <v>2022</v>
          </cell>
          <cell r="T784" t="str">
            <v>AJP-374</v>
          </cell>
          <cell r="U784" t="str">
            <v>51009595</v>
          </cell>
          <cell r="V784" t="str">
            <v>15874</v>
          </cell>
          <cell r="W784" t="str">
            <v>05-jan-2027</v>
          </cell>
          <cell r="Y784">
            <v>3852000</v>
          </cell>
          <cell r="Z784">
            <v>49810</v>
          </cell>
          <cell r="AA784">
            <v>57780</v>
          </cell>
        </row>
        <row r="785">
          <cell r="B785" t="str">
            <v>KHI/HO/D/MO/PC COMP/C/105499/33/01/2025</v>
          </cell>
          <cell r="D785" t="str">
            <v>REN</v>
          </cell>
          <cell r="E785" t="str">
            <v>21/01/25</v>
          </cell>
          <cell r="F785" t="str">
            <v>31/01/2025</v>
          </cell>
          <cell r="G785" t="str">
            <v>30/01/2026</v>
          </cell>
          <cell r="H785" t="str">
            <v>08004499</v>
          </cell>
          <cell r="I785" t="str">
            <v>AL BARAKA BANK (PAKISTAN) LIMITED</v>
          </cell>
          <cell r="J785" t="str">
            <v>BANK</v>
          </cell>
          <cell r="K785" t="str">
            <v>Mr. 
Al Baraka Bank Pakistan Limited 
Mr. 
Al Baraka Bank Pakistan Limited 
User: Syed Nasir Nadeem Akbar</v>
          </cell>
          <cell r="L785" t="str">
            <v>D</v>
          </cell>
          <cell r="M785" t="str">
            <v>09000221</v>
          </cell>
          <cell r="N785">
            <v>100</v>
          </cell>
          <cell r="P785" t="str">
            <v>Dhok Shian P/O Sihala Gagri Tehsil And Distt Islamabad</v>
          </cell>
          <cell r="Q785" t="str">
            <v>11000003</v>
          </cell>
          <cell r="R785" t="str">
            <v>TOYOTA COROLLA GLI M/T 1.</v>
          </cell>
          <cell r="S785" t="str">
            <v>2012</v>
          </cell>
          <cell r="T785" t="str">
            <v>LEF-1550</v>
          </cell>
          <cell r="U785" t="str">
            <v>636672</v>
          </cell>
          <cell r="V785" t="str">
            <v>2151791</v>
          </cell>
          <cell r="W785" t="str">
            <v>05-feb-2028</v>
          </cell>
          <cell r="Y785">
            <v>2340000</v>
          </cell>
          <cell r="Z785">
            <v>40345</v>
          </cell>
          <cell r="AA785">
            <v>46800</v>
          </cell>
        </row>
        <row r="786">
          <cell r="B786" t="str">
            <v>KHI/HO/D/MO/PC COMP/C/105499/34/01/2025</v>
          </cell>
          <cell r="D786" t="str">
            <v>REN</v>
          </cell>
          <cell r="E786" t="str">
            <v>21/01/25</v>
          </cell>
          <cell r="F786" t="str">
            <v>31/01/2025</v>
          </cell>
          <cell r="G786" t="str">
            <v>30/01/2026</v>
          </cell>
          <cell r="H786" t="str">
            <v>08004499</v>
          </cell>
          <cell r="I786" t="str">
            <v>AL BARAKA BANK (PAKISTAN) LIMITED</v>
          </cell>
          <cell r="J786" t="str">
            <v>BANK</v>
          </cell>
          <cell r="K786" t="str">
            <v>Mr. 
Al Baraka Bank Pakistan Limited 
Mr. 
Al Baraka Bank Pakistan Limited 
User: Mudassir  Iqbal</v>
          </cell>
          <cell r="L786" t="str">
            <v>D</v>
          </cell>
          <cell r="M786" t="str">
            <v>09000221</v>
          </cell>
          <cell r="N786">
            <v>100</v>
          </cell>
          <cell r="P786" t="str">
            <v>H No 59 Saher Villas Mps Road Multan</v>
          </cell>
          <cell r="Q786" t="str">
            <v>11000003</v>
          </cell>
          <cell r="R786" t="str">
            <v>SUZUKI ALTO AGS A/T</v>
          </cell>
          <cell r="S786" t="str">
            <v>2023</v>
          </cell>
          <cell r="T786" t="str">
            <v>ARA-087</v>
          </cell>
          <cell r="U786" t="str">
            <v>6R285524</v>
          </cell>
          <cell r="V786" t="str">
            <v>1185539</v>
          </cell>
          <cell r="W786" t="str">
            <v>05-feb-2028</v>
          </cell>
          <cell r="Y786">
            <v>2641500</v>
          </cell>
          <cell r="Z786">
            <v>45544</v>
          </cell>
          <cell r="AA786">
            <v>52830</v>
          </cell>
        </row>
        <row r="787">
          <cell r="B787" t="str">
            <v>KHI/HO/D/MO/PC COMP/C/105499/35/01/2025</v>
          </cell>
          <cell r="D787" t="str">
            <v>REN</v>
          </cell>
          <cell r="E787" t="str">
            <v>21/01/25</v>
          </cell>
          <cell r="F787" t="str">
            <v>31/01/2025</v>
          </cell>
          <cell r="G787" t="str">
            <v>30/01/2026</v>
          </cell>
          <cell r="H787" t="str">
            <v>08004499</v>
          </cell>
          <cell r="I787" t="str">
            <v>AL BARAKA BANK (PAKISTAN) LIMITED</v>
          </cell>
          <cell r="J787" t="str">
            <v>BANK</v>
          </cell>
          <cell r="K787" t="str">
            <v>Mr. 
Al Baraka Bank Pakistan Limited 
Mr. 
Al Baraka Bank Pakistan Limited 
User: Muhammad Umer Iqbal</v>
          </cell>
          <cell r="L787" t="str">
            <v>D</v>
          </cell>
          <cell r="M787" t="str">
            <v>09000221</v>
          </cell>
          <cell r="N787">
            <v>100</v>
          </cell>
          <cell r="P787" t="str">
            <v>Basti Wasaya Raay Budhla Road Po Mumtazabad Multan</v>
          </cell>
          <cell r="Q787" t="str">
            <v>11000003</v>
          </cell>
          <cell r="R787" t="str">
            <v>SUZUKI Swift GLX CVT</v>
          </cell>
          <cell r="S787" t="str">
            <v>2022</v>
          </cell>
          <cell r="T787" t="str">
            <v>AYH-322</v>
          </cell>
          <cell r="U787" t="str">
            <v>1001979</v>
          </cell>
          <cell r="V787" t="str">
            <v>101996</v>
          </cell>
          <cell r="W787" t="str">
            <v>05-feb-2026</v>
          </cell>
          <cell r="Y787">
            <v>3780000</v>
          </cell>
          <cell r="Z787">
            <v>48879</v>
          </cell>
          <cell r="AA787">
            <v>56700</v>
          </cell>
        </row>
        <row r="788">
          <cell r="B788" t="str">
            <v>KHI/HO/D/MO/PC COMP/C/105499/36/01/2025</v>
          </cell>
          <cell r="D788" t="str">
            <v>REN</v>
          </cell>
          <cell r="E788" t="str">
            <v>21/01/25</v>
          </cell>
          <cell r="F788" t="str">
            <v>31/01/2025</v>
          </cell>
          <cell r="G788" t="str">
            <v>30/01/2026</v>
          </cell>
          <cell r="H788" t="str">
            <v>08004499</v>
          </cell>
          <cell r="I788" t="str">
            <v>AL BARAKA BANK (PAKISTAN) LIMITED</v>
          </cell>
          <cell r="J788" t="str">
            <v>BANK</v>
          </cell>
          <cell r="K788" t="str">
            <v>Mr. 
Al Baraka Bank Pakistan Limited 
Mr. 
Al Baraka Bank Pakistan Limited 
User: Muhammad Shoaib Raza Khan</v>
          </cell>
          <cell r="L788" t="str">
            <v>D</v>
          </cell>
          <cell r="M788" t="str">
            <v>09000221</v>
          </cell>
          <cell r="N788">
            <v>100</v>
          </cell>
          <cell r="P788" t="str">
            <v>Boota Kot Jagir Post Office Khas Boman Shah Tehsil Depalpur Distt Okara</v>
          </cell>
          <cell r="Q788" t="str">
            <v>11000003</v>
          </cell>
          <cell r="R788" t="str">
            <v>SUZUKI Swift GLX CVT</v>
          </cell>
          <cell r="S788" t="str">
            <v>2024</v>
          </cell>
          <cell r="T788" t="str">
            <v>AQX-894</v>
          </cell>
          <cell r="U788" t="str">
            <v>1018585</v>
          </cell>
          <cell r="V788" t="str">
            <v>S00201274</v>
          </cell>
          <cell r="W788" t="str">
            <v>05-feb-2027</v>
          </cell>
          <cell r="Y788">
            <v>4536000</v>
          </cell>
          <cell r="Z788">
            <v>58655</v>
          </cell>
          <cell r="AA788">
            <v>68040</v>
          </cell>
        </row>
        <row r="789">
          <cell r="B789" t="str">
            <v>KHI/HO/D/MO/PC COMP/C/105499/37/01/2025</v>
          </cell>
          <cell r="D789" t="str">
            <v>REN</v>
          </cell>
          <cell r="E789" t="str">
            <v>21/01/25</v>
          </cell>
          <cell r="F789" t="str">
            <v>31/01/2025</v>
          </cell>
          <cell r="G789" t="str">
            <v>30/01/2026</v>
          </cell>
          <cell r="H789" t="str">
            <v>08004499</v>
          </cell>
          <cell r="I789" t="str">
            <v>AL BARAKA BANK (PAKISTAN) LIMITED</v>
          </cell>
          <cell r="J789" t="str">
            <v>BANK</v>
          </cell>
          <cell r="K789" t="str">
            <v>Mr. 
Al Baraka Bank Pakistan Limited 
Mr. 
Al Baraka Bank Pakistan Limited 
User: Muhammad Tahir Ashraf</v>
          </cell>
          <cell r="L789" t="str">
            <v>D</v>
          </cell>
          <cell r="M789" t="str">
            <v>09000221</v>
          </cell>
          <cell r="N789">
            <v>100</v>
          </cell>
          <cell r="P789" t="str">
            <v>H No 95 Cca Block Dd Phase 4 Dha Lahore</v>
          </cell>
          <cell r="Q789" t="str">
            <v>11000003</v>
          </cell>
          <cell r="R789" t="str">
            <v>SUZUKI ALTO VXR</v>
          </cell>
          <cell r="S789" t="str">
            <v>2021</v>
          </cell>
          <cell r="T789" t="str">
            <v>ALP-502</v>
          </cell>
          <cell r="U789" t="str">
            <v>R156205</v>
          </cell>
          <cell r="V789" t="str">
            <v>H1056212</v>
          </cell>
          <cell r="W789" t="str">
            <v>05-feb-2027</v>
          </cell>
          <cell r="Y789">
            <v>1890000</v>
          </cell>
          <cell r="Z789">
            <v>32586</v>
          </cell>
          <cell r="AA789">
            <v>37800</v>
          </cell>
        </row>
        <row r="790">
          <cell r="B790" t="str">
            <v>KHI/HO/D/MO/PC COMP/C/105499/38/01/2025</v>
          </cell>
          <cell r="D790" t="str">
            <v>REN</v>
          </cell>
          <cell r="E790" t="str">
            <v>21/01/25</v>
          </cell>
          <cell r="F790" t="str">
            <v>31/01/2025</v>
          </cell>
          <cell r="G790" t="str">
            <v>30/01/2026</v>
          </cell>
          <cell r="H790" t="str">
            <v>08004499</v>
          </cell>
          <cell r="I790" t="str">
            <v>AL BARAKA BANK (PAKISTAN) LIMITED</v>
          </cell>
          <cell r="J790" t="str">
            <v>BANK</v>
          </cell>
          <cell r="K790" t="str">
            <v>Mr. 
Al Baraka Bank Pakistan Limited 
Mr. 
Al Baraka Bank Pakistan Limited 
User: Muhammad   Safdar</v>
          </cell>
          <cell r="L790" t="str">
            <v>D</v>
          </cell>
          <cell r="M790" t="str">
            <v>09000221</v>
          </cell>
          <cell r="N790">
            <v>100</v>
          </cell>
          <cell r="P790" t="str">
            <v>Baradari Road Near Social Security Hospital Lahore</v>
          </cell>
          <cell r="Q790" t="str">
            <v>11000003</v>
          </cell>
          <cell r="R790" t="str">
            <v>SUZUKI CULTUS VXR EURO-II</v>
          </cell>
          <cell r="S790" t="str">
            <v>2017</v>
          </cell>
          <cell r="T790" t="str">
            <v>LEB-17-6517</v>
          </cell>
          <cell r="U790" t="str">
            <v>632626</v>
          </cell>
          <cell r="V790" t="str">
            <v>539490</v>
          </cell>
          <cell r="W790" t="str">
            <v>05-feb-2029</v>
          </cell>
          <cell r="Y790">
            <v>1440000</v>
          </cell>
          <cell r="Z790">
            <v>24828</v>
          </cell>
          <cell r="AA790">
            <v>28800</v>
          </cell>
        </row>
        <row r="791">
          <cell r="B791" t="str">
            <v>KHI/HO/D/MO/PC COMP/C/105499/39/01/2025</v>
          </cell>
          <cell r="D791" t="str">
            <v>REN</v>
          </cell>
          <cell r="E791" t="str">
            <v>21/01/25</v>
          </cell>
          <cell r="F791" t="str">
            <v>31/01/2025</v>
          </cell>
          <cell r="G791" t="str">
            <v>30/01/2026</v>
          </cell>
          <cell r="H791" t="str">
            <v>08004499</v>
          </cell>
          <cell r="I791" t="str">
            <v>AL BARAKA BANK (PAKISTAN) LIMITED</v>
          </cell>
          <cell r="J791" t="str">
            <v>BANK</v>
          </cell>
          <cell r="K791" t="str">
            <v>Mr. 
Al Baraka Bank Pakistan Limited 
Mr. 
Al Baraka Bank Pakistan Limited 
User: Muhammad  Imran</v>
          </cell>
          <cell r="L791" t="str">
            <v>D</v>
          </cell>
          <cell r="M791" t="str">
            <v>09000221</v>
          </cell>
          <cell r="N791">
            <v>100</v>
          </cell>
          <cell r="P791" t="str">
            <v>Plot No 13 St 08 Amir Town Harbanpura Lahore</v>
          </cell>
          <cell r="Q791" t="str">
            <v>11000003</v>
          </cell>
          <cell r="R791" t="str">
            <v>SUZUKI ALTO</v>
          </cell>
          <cell r="S791" t="str">
            <v>2019</v>
          </cell>
          <cell r="T791" t="str">
            <v>AGR-369</v>
          </cell>
          <cell r="U791" t="str">
            <v>202769</v>
          </cell>
          <cell r="V791" t="str">
            <v>1102741</v>
          </cell>
          <cell r="W791" t="str">
            <v>05-feb-2029</v>
          </cell>
          <cell r="Y791">
            <v>1980000</v>
          </cell>
          <cell r="Z791">
            <v>34138</v>
          </cell>
          <cell r="AA791">
            <v>39600</v>
          </cell>
        </row>
        <row r="792">
          <cell r="B792" t="str">
            <v>KHI/HO/D/MO/PC COMP/C/105499/40/01/2025</v>
          </cell>
          <cell r="D792" t="str">
            <v>REN</v>
          </cell>
          <cell r="E792" t="str">
            <v>21/01/25</v>
          </cell>
          <cell r="F792" t="str">
            <v>31/01/2025</v>
          </cell>
          <cell r="G792" t="str">
            <v>30/01/2026</v>
          </cell>
          <cell r="H792" t="str">
            <v>08004499</v>
          </cell>
          <cell r="I792" t="str">
            <v>AL BARAKA BANK (PAKISTAN) LIMITED</v>
          </cell>
          <cell r="J792" t="str">
            <v>BANK</v>
          </cell>
          <cell r="K792" t="str">
            <v>Mr. 
Al Baraka Bank Pakistan Limited 
Mr. 
Al Baraka Bank Pakistan Limited 
User: Hafiz Muhammad  Ameer  Haider</v>
          </cell>
          <cell r="L792" t="str">
            <v>D</v>
          </cell>
          <cell r="M792" t="str">
            <v>09000221</v>
          </cell>
          <cell r="N792">
            <v>100</v>
          </cell>
          <cell r="P792" t="str">
            <v>H No 34 St No 4 Block C Eden Value Homes Multan Road Lahore</v>
          </cell>
          <cell r="Q792" t="str">
            <v>11000003</v>
          </cell>
          <cell r="R792" t="str">
            <v>SUZUKI ALTO VXR</v>
          </cell>
          <cell r="S792" t="str">
            <v>2019</v>
          </cell>
          <cell r="T792" t="str">
            <v>AEH-448</v>
          </cell>
          <cell r="U792" t="str">
            <v>6R109175</v>
          </cell>
          <cell r="V792" t="str">
            <v>H1009158</v>
          </cell>
          <cell r="W792" t="str">
            <v>05-feb-2029</v>
          </cell>
          <cell r="Y792">
            <v>1890000</v>
          </cell>
          <cell r="Z792">
            <v>32586</v>
          </cell>
          <cell r="AA792">
            <v>37800</v>
          </cell>
        </row>
        <row r="793">
          <cell r="B793" t="str">
            <v>KHI/HO/D/MO/PC COMP/C/105499/41/01/2025</v>
          </cell>
          <cell r="D793" t="str">
            <v>REN</v>
          </cell>
          <cell r="E793" t="str">
            <v>21/01/25</v>
          </cell>
          <cell r="F793" t="str">
            <v>31/01/2025</v>
          </cell>
          <cell r="G793" t="str">
            <v>30/01/2026</v>
          </cell>
          <cell r="H793" t="str">
            <v>08004499</v>
          </cell>
          <cell r="I793" t="str">
            <v>AL BARAKA BANK (PAKISTAN) LIMITED</v>
          </cell>
          <cell r="J793" t="str">
            <v>BANK</v>
          </cell>
          <cell r="K793" t="str">
            <v>Mr. 
Al Baraka Bank Pakistan Limited 
Mr. 
Al Baraka Bank Pakistan Limited 
User: Mohammad  Shahbaz</v>
          </cell>
          <cell r="L793" t="str">
            <v>D</v>
          </cell>
          <cell r="M793" t="str">
            <v>09000221</v>
          </cell>
          <cell r="N793">
            <v>100</v>
          </cell>
          <cell r="P793" t="str">
            <v>H # 446-A Lahore Garden Sharqpur Road Lahore</v>
          </cell>
          <cell r="Q793" t="str">
            <v>11000003</v>
          </cell>
          <cell r="R793" t="str">
            <v>SUZUKI WAGON-R VXL E2</v>
          </cell>
          <cell r="S793" t="str">
            <v>2018</v>
          </cell>
          <cell r="T793" t="str">
            <v>LEE-18-1347</v>
          </cell>
          <cell r="U793" t="str">
            <v>158264</v>
          </cell>
          <cell r="V793" t="str">
            <v>10058259</v>
          </cell>
          <cell r="W793" t="str">
            <v>05-feb-2028</v>
          </cell>
          <cell r="Y793">
            <v>1980000</v>
          </cell>
          <cell r="Z793">
            <v>34138</v>
          </cell>
          <cell r="AA793">
            <v>39600</v>
          </cell>
        </row>
        <row r="794">
          <cell r="B794" t="str">
            <v>KHI/HO/D/MO/PC COMP/C/105499/42/01/2025</v>
          </cell>
          <cell r="D794" t="str">
            <v>REN</v>
          </cell>
          <cell r="E794" t="str">
            <v>21/01/25</v>
          </cell>
          <cell r="F794" t="str">
            <v>31/01/2025</v>
          </cell>
          <cell r="G794" t="str">
            <v>30/01/2026</v>
          </cell>
          <cell r="H794" t="str">
            <v>08004499</v>
          </cell>
          <cell r="I794" t="str">
            <v>AL BARAKA BANK (PAKISTAN) LIMITED</v>
          </cell>
          <cell r="J794" t="str">
            <v>BANK</v>
          </cell>
          <cell r="K794" t="str">
            <v>Mr. 
Al Baraka Bank Pakistan Limited 
Mr. 
Al Baraka Bank Pakistan Limited 
User: Nasir  Ali</v>
          </cell>
          <cell r="L794" t="str">
            <v>D</v>
          </cell>
          <cell r="M794" t="str">
            <v>09000221</v>
          </cell>
          <cell r="N794">
            <v>100</v>
          </cell>
          <cell r="P794" t="str">
            <v>H # Zb-5929 1St Floor Badar Colony Peer Wadhai Rawalpindi</v>
          </cell>
          <cell r="Q794" t="str">
            <v>11000003</v>
          </cell>
          <cell r="R794" t="str">
            <v>SUZUKI ALTO VXL AGS E-2</v>
          </cell>
          <cell r="S794" t="str">
            <v>2024</v>
          </cell>
          <cell r="T794" t="str">
            <v>BDD-820</v>
          </cell>
          <cell r="U794" t="str">
            <v>R294567</v>
          </cell>
          <cell r="V794" t="str">
            <v>194592</v>
          </cell>
          <cell r="W794" t="str">
            <v>05-feb-2029</v>
          </cell>
          <cell r="Y794">
            <v>2641500</v>
          </cell>
          <cell r="Z794">
            <v>45544</v>
          </cell>
          <cell r="AA794">
            <v>52830</v>
          </cell>
        </row>
        <row r="795">
          <cell r="B795" t="str">
            <v>KHI/HO/D/MO/PC COMP/C/105499/43/01/2025</v>
          </cell>
          <cell r="D795" t="str">
            <v>REN</v>
          </cell>
          <cell r="E795" t="str">
            <v>21/01/25</v>
          </cell>
          <cell r="F795" t="str">
            <v>05/01/2025</v>
          </cell>
          <cell r="G795" t="str">
            <v>04/01/2026</v>
          </cell>
          <cell r="H795" t="str">
            <v>08004499</v>
          </cell>
          <cell r="I795" t="str">
            <v>AL BARAKA BANK (PAKISTAN) LIMITED</v>
          </cell>
          <cell r="J795" t="str">
            <v>BANK</v>
          </cell>
          <cell r="K795" t="str">
            <v>Mr. 
Al Baraka Bank Pakistan Limited 
Mr. 
Al Baraka Bank Pakistan Limited 
User: Munawar   Hussain</v>
          </cell>
          <cell r="L795" t="str">
            <v>D</v>
          </cell>
          <cell r="M795" t="str">
            <v>09000221</v>
          </cell>
          <cell r="N795">
            <v>100</v>
          </cell>
          <cell r="P795" t="str">
            <v>H # 7 Block C Gowala Colony  Rakh Chand Rai Road Lahore</v>
          </cell>
          <cell r="Q795" t="str">
            <v>11000003</v>
          </cell>
          <cell r="R795" t="str">
            <v>HONDA CITY ASPIRE A/T</v>
          </cell>
          <cell r="S795" t="str">
            <v>2023</v>
          </cell>
          <cell r="T795" t="str">
            <v>APL</v>
          </cell>
          <cell r="U795" t="str">
            <v>51020147</v>
          </cell>
          <cell r="V795" t="str">
            <v>R035031</v>
          </cell>
          <cell r="W795" t="str">
            <v>05-jan-2027</v>
          </cell>
          <cell r="Y795">
            <v>4355100</v>
          </cell>
          <cell r="Z795">
            <v>56317</v>
          </cell>
          <cell r="AA795">
            <v>65327</v>
          </cell>
        </row>
        <row r="796">
          <cell r="B796" t="str">
            <v>KHI/HO/D/MO/PC COMP/C/105499/44/01/2025</v>
          </cell>
          <cell r="D796" t="str">
            <v>REN</v>
          </cell>
          <cell r="E796" t="str">
            <v>21/01/25</v>
          </cell>
          <cell r="F796" t="str">
            <v>31/01/2025</v>
          </cell>
          <cell r="G796" t="str">
            <v>30/01/2026</v>
          </cell>
          <cell r="H796" t="str">
            <v>08004499</v>
          </cell>
          <cell r="I796" t="str">
            <v>AL BARAKA BANK (PAKISTAN) LIMITED</v>
          </cell>
          <cell r="J796" t="str">
            <v>BANK</v>
          </cell>
          <cell r="K796" t="str">
            <v>Mr. 
Al Baraka Bank Pakistan Limited 
Mr. 
Al Baraka Bank Pakistan Limited 
User: Mazhar  Mehmood</v>
          </cell>
          <cell r="L796" t="str">
            <v>D</v>
          </cell>
          <cell r="M796" t="str">
            <v>09000221</v>
          </cell>
          <cell r="N796">
            <v>100</v>
          </cell>
          <cell r="P796" t="str">
            <v>H # 15 Block B Mehran Road Soan Garden Islamabad</v>
          </cell>
          <cell r="Q796" t="str">
            <v>11000003</v>
          </cell>
          <cell r="R796" t="str">
            <v>HONDA CIVIC VTI  ORIEL PT</v>
          </cell>
          <cell r="S796" t="str">
            <v>2017</v>
          </cell>
          <cell r="T796" t="str">
            <v>ADS-194</v>
          </cell>
          <cell r="U796" t="str">
            <v>12911107</v>
          </cell>
          <cell r="V796" t="str">
            <v>014294</v>
          </cell>
          <cell r="W796" t="str">
            <v>05-feb-2027</v>
          </cell>
          <cell r="Y796">
            <v>3757500</v>
          </cell>
          <cell r="Z796">
            <v>48589</v>
          </cell>
          <cell r="AA796">
            <v>56363</v>
          </cell>
        </row>
        <row r="797">
          <cell r="B797" t="str">
            <v>KHI/HO/D/MO/PC COMP/C/105499/45/01/2025</v>
          </cell>
          <cell r="D797" t="str">
            <v>REN</v>
          </cell>
          <cell r="E797" t="str">
            <v>21/01/25</v>
          </cell>
          <cell r="F797" t="str">
            <v>31/01/2025</v>
          </cell>
          <cell r="G797" t="str">
            <v>30/01/2026</v>
          </cell>
          <cell r="H797" t="str">
            <v>08004499</v>
          </cell>
          <cell r="I797" t="str">
            <v>AL BARAKA BANK (PAKISTAN) LIMITED</v>
          </cell>
          <cell r="J797" t="str">
            <v>BANK</v>
          </cell>
          <cell r="K797" t="str">
            <v>Mr. 
Al Baraka Bank Pakistan Limited 
Mr. 
Al Baraka Bank Pakistan Limited 
User: Noman  Ahmed  Khan</v>
          </cell>
          <cell r="L797" t="str">
            <v>D</v>
          </cell>
          <cell r="M797" t="str">
            <v>09000221</v>
          </cell>
          <cell r="N797">
            <v>100</v>
          </cell>
          <cell r="P797" t="str">
            <v>H # R-76 Gohar Green City Malir Karachi</v>
          </cell>
          <cell r="Q797" t="str">
            <v>11000003</v>
          </cell>
          <cell r="R797" t="str">
            <v>HONDA CIVIC VTI  ORIEL PT</v>
          </cell>
          <cell r="S797" t="str">
            <v>2020</v>
          </cell>
          <cell r="T797" t="str">
            <v>BRY-447</v>
          </cell>
          <cell r="U797" t="str">
            <v>6911526</v>
          </cell>
          <cell r="V797" t="str">
            <v>063347</v>
          </cell>
          <cell r="W797" t="str">
            <v>05-feb-2027</v>
          </cell>
          <cell r="Y797">
            <v>4977000</v>
          </cell>
          <cell r="Z797">
            <v>64357</v>
          </cell>
          <cell r="AA797">
            <v>74655</v>
          </cell>
        </row>
        <row r="798">
          <cell r="B798" t="str">
            <v>KHI/HO/D/MO/PC COMP/C/105499/46/01/2025</v>
          </cell>
          <cell r="D798" t="str">
            <v>REN</v>
          </cell>
          <cell r="E798" t="str">
            <v>21/01/25</v>
          </cell>
          <cell r="F798" t="str">
            <v>31/01/2025</v>
          </cell>
          <cell r="G798" t="str">
            <v>30/01/2026</v>
          </cell>
          <cell r="H798" t="str">
            <v>08004499</v>
          </cell>
          <cell r="I798" t="str">
            <v>AL BARAKA BANK (PAKISTAN) LIMITED</v>
          </cell>
          <cell r="J798" t="str">
            <v>BANK</v>
          </cell>
          <cell r="K798" t="str">
            <v>Mr. 
Al Baraka Bank Pakistan Limited 
Mr. 
Al Baraka Bank Pakistan Limited 
User: Shazil  Safdar</v>
          </cell>
          <cell r="L798" t="str">
            <v>D</v>
          </cell>
          <cell r="M798" t="str">
            <v>09000221</v>
          </cell>
          <cell r="N798">
            <v>100</v>
          </cell>
          <cell r="P798" t="str">
            <v>H No 200 St 1 3Rd Floor Hamza Town Ferozpur Road Lahore</v>
          </cell>
          <cell r="Q798" t="str">
            <v>11000003</v>
          </cell>
          <cell r="R798" t="str">
            <v>SUZUKI ALTO</v>
          </cell>
          <cell r="S798" t="str">
            <v>2022</v>
          </cell>
          <cell r="T798" t="str">
            <v>AJQ-647</v>
          </cell>
          <cell r="U798" t="str">
            <v>6R219632</v>
          </cell>
          <cell r="V798" t="str">
            <v>1119626</v>
          </cell>
          <cell r="W798" t="str">
            <v>05-feb-2028</v>
          </cell>
          <cell r="Y798">
            <v>2205000</v>
          </cell>
          <cell r="Z798">
            <v>38017</v>
          </cell>
          <cell r="AA798">
            <v>44100</v>
          </cell>
        </row>
        <row r="799">
          <cell r="B799" t="str">
            <v>KHI/HO/D/MO/PC COMP/C/105499/47/01/2025</v>
          </cell>
          <cell r="D799" t="str">
            <v>REN</v>
          </cell>
          <cell r="E799" t="str">
            <v>21/01/25</v>
          </cell>
          <cell r="F799" t="str">
            <v>31/01/2025</v>
          </cell>
          <cell r="G799" t="str">
            <v>30/01/2026</v>
          </cell>
          <cell r="H799" t="str">
            <v>08004499</v>
          </cell>
          <cell r="I799" t="str">
            <v>AL BARAKA BANK (PAKISTAN) LIMITED</v>
          </cell>
          <cell r="J799" t="str">
            <v>BANK</v>
          </cell>
          <cell r="K799" t="str">
            <v>Mr. 
Al Baraka Bank Pakistan Limited 
Mr. 
Al Baraka Bank Pakistan Limited 
User: Muhammad  Azhar  Javed</v>
          </cell>
          <cell r="L799" t="str">
            <v>D</v>
          </cell>
          <cell r="M799" t="str">
            <v>09000221</v>
          </cell>
          <cell r="N799">
            <v>100</v>
          </cell>
          <cell r="P799" t="str">
            <v>Faisal Street No 3 House No 5 Mehar Suba Park Kot Khawaja Saeed Lahore</v>
          </cell>
          <cell r="Q799" t="str">
            <v>11000003</v>
          </cell>
          <cell r="R799" t="str">
            <v>SUZUKI ALTO VXR</v>
          </cell>
          <cell r="S799" t="str">
            <v>2024</v>
          </cell>
          <cell r="T799" t="str">
            <v>AQV-899</v>
          </cell>
          <cell r="U799" t="str">
            <v>293032</v>
          </cell>
          <cell r="V799" t="str">
            <v>1193022</v>
          </cell>
          <cell r="W799" t="str">
            <v>05-feb-2027</v>
          </cell>
          <cell r="Y799">
            <v>2350800</v>
          </cell>
          <cell r="Z799">
            <v>40531</v>
          </cell>
          <cell r="AA799">
            <v>47016</v>
          </cell>
        </row>
        <row r="800">
          <cell r="B800" t="str">
            <v>KHI/HO/D/MO/PC COMP/C/105499/48/01/2025</v>
          </cell>
          <cell r="D800" t="str">
            <v>REN</v>
          </cell>
          <cell r="E800" t="str">
            <v>21/01/25</v>
          </cell>
          <cell r="F800" t="str">
            <v>31/01/2025</v>
          </cell>
          <cell r="G800" t="str">
            <v>30/01/2026</v>
          </cell>
          <cell r="H800" t="str">
            <v>08004499</v>
          </cell>
          <cell r="I800" t="str">
            <v>AL BARAKA BANK (PAKISTAN) LIMITED</v>
          </cell>
          <cell r="J800" t="str">
            <v>BANK</v>
          </cell>
          <cell r="K800" t="str">
            <v>Mr. 
Al Baraka Bank Pakistan Limited 
Mr. 
Al Baraka Bank Pakistan Limited 
User: Adnan  Khaliq</v>
          </cell>
          <cell r="L800" t="str">
            <v>D</v>
          </cell>
          <cell r="M800" t="str">
            <v>09000221</v>
          </cell>
          <cell r="N800">
            <v>100</v>
          </cell>
          <cell r="P800" t="str">
            <v>1st Floor Chowki Mohallah Ratta Amral Rawalpindi</v>
          </cell>
          <cell r="Q800" t="str">
            <v>11000003</v>
          </cell>
          <cell r="R800" t="str">
            <v>HONDA CIVIC VTI  ORIEL PT</v>
          </cell>
          <cell r="S800" t="str">
            <v>2017</v>
          </cell>
          <cell r="T800" t="str">
            <v>ADV-888</v>
          </cell>
          <cell r="U800" t="str">
            <v>12913145</v>
          </cell>
          <cell r="V800" t="str">
            <v>016384</v>
          </cell>
          <cell r="W800" t="str">
            <v>05-feb-2027</v>
          </cell>
          <cell r="Y800">
            <v>4500000</v>
          </cell>
          <cell r="Z800">
            <v>58190</v>
          </cell>
          <cell r="AA800">
            <v>67500</v>
          </cell>
        </row>
        <row r="801">
          <cell r="B801" t="str">
            <v>KHI/HO/D/MO/PC COMP/C/105499/49/01/2025</v>
          </cell>
          <cell r="D801" t="str">
            <v>REN</v>
          </cell>
          <cell r="E801" t="str">
            <v>21/01/25</v>
          </cell>
          <cell r="F801" t="str">
            <v>08/01/2025</v>
          </cell>
          <cell r="G801" t="str">
            <v>07/01/2026</v>
          </cell>
          <cell r="H801" t="str">
            <v>08004499</v>
          </cell>
          <cell r="I801" t="str">
            <v>AL BARAKA BANK (PAKISTAN) LIMITED</v>
          </cell>
          <cell r="J801" t="str">
            <v>BANK</v>
          </cell>
          <cell r="K801" t="str">
            <v>Mr. 
Al Baraka Bank Pakistan Limited 
Mr. 
Al Baraka Bank Pakistan Limited 
User: Baqer  Ishtiaq</v>
          </cell>
          <cell r="L801" t="str">
            <v>D</v>
          </cell>
          <cell r="M801" t="str">
            <v>09000221</v>
          </cell>
          <cell r="N801">
            <v>100</v>
          </cell>
          <cell r="P801" t="str">
            <v>H # 175 Block K-3 Wapda Town Lahore</v>
          </cell>
          <cell r="Q801" t="str">
            <v>11000003</v>
          </cell>
          <cell r="R801" t="str">
            <v>SUZUKI ALTO VXL AGS E-2</v>
          </cell>
          <cell r="S801" t="str">
            <v>2019</v>
          </cell>
          <cell r="T801" t="str">
            <v>ALU-389</v>
          </cell>
          <cell r="U801" t="str">
            <v>6R120293</v>
          </cell>
          <cell r="V801" t="str">
            <v>NF1AET306H1020378</v>
          </cell>
          <cell r="W801" t="str">
            <v>05-jan-2029</v>
          </cell>
          <cell r="Y801">
            <v>1935000</v>
          </cell>
          <cell r="Z801">
            <v>33362</v>
          </cell>
          <cell r="AA801">
            <v>38700</v>
          </cell>
        </row>
        <row r="802">
          <cell r="B802" t="str">
            <v>KHI/HO/D/MO/PC COMP/C/105499/50/01/2025</v>
          </cell>
          <cell r="D802" t="str">
            <v>REN</v>
          </cell>
          <cell r="E802" t="str">
            <v>21/01/25</v>
          </cell>
          <cell r="F802" t="str">
            <v>08/01/2025</v>
          </cell>
          <cell r="G802" t="str">
            <v>07/01/2026</v>
          </cell>
          <cell r="H802" t="str">
            <v>08004499</v>
          </cell>
          <cell r="I802" t="str">
            <v>AL BARAKA BANK (PAKISTAN) LIMITED</v>
          </cell>
          <cell r="J802" t="str">
            <v>BANK</v>
          </cell>
          <cell r="K802" t="str">
            <v>Mr. 
Al Baraka Bank Pakistan Limited 
Mr. 
Al Baraka Bank Pakistan Limited 
User: Muhammad  Saleem</v>
          </cell>
          <cell r="L802" t="str">
            <v>D</v>
          </cell>
          <cell r="M802" t="str">
            <v>09000221</v>
          </cell>
          <cell r="N802">
            <v>100</v>
          </cell>
          <cell r="P802" t="str">
            <v>H # 131 Street 5 Paf Colony Zarrar Shaheed Road  Lahore Cantt</v>
          </cell>
          <cell r="Q802" t="str">
            <v>11000003</v>
          </cell>
          <cell r="R802" t="str">
            <v>SUZUKI ALTO VXL AGS E-2</v>
          </cell>
          <cell r="S802" t="str">
            <v>2024</v>
          </cell>
          <cell r="T802" t="str">
            <v>AQT-442</v>
          </cell>
          <cell r="U802" t="str">
            <v>290951</v>
          </cell>
          <cell r="V802" t="str">
            <v>1190901</v>
          </cell>
          <cell r="W802" t="str">
            <v>05-jan-2027</v>
          </cell>
          <cell r="Y802">
            <v>2641500</v>
          </cell>
          <cell r="Z802">
            <v>45544</v>
          </cell>
          <cell r="AA802">
            <v>52830</v>
          </cell>
        </row>
        <row r="803">
          <cell r="B803" t="str">
            <v>KHI/HO/D/MO/PC COMP/C/105499/51/01/2025</v>
          </cell>
          <cell r="D803" t="str">
            <v>REN</v>
          </cell>
          <cell r="E803" t="str">
            <v>21/01/25</v>
          </cell>
          <cell r="F803" t="str">
            <v>08/01/2025</v>
          </cell>
          <cell r="G803" t="str">
            <v>07/01/2026</v>
          </cell>
          <cell r="H803" t="str">
            <v>08004499</v>
          </cell>
          <cell r="I803" t="str">
            <v>AL BARAKA BANK (PAKISTAN) LIMITED</v>
          </cell>
          <cell r="J803" t="str">
            <v>BANK</v>
          </cell>
          <cell r="K803" t="str">
            <v>Mr. 
Al Baraka Bank Pakistan Limited 
Mr. 
Al Baraka Bank Pakistan Limited 
User: Nasir  Ali</v>
          </cell>
          <cell r="L803" t="str">
            <v>D</v>
          </cell>
          <cell r="M803" t="str">
            <v>09000221</v>
          </cell>
          <cell r="N803">
            <v>100</v>
          </cell>
          <cell r="P803" t="str">
            <v>H # 476 Sector K-4 Phase 3 Hayatabad Peshawar</v>
          </cell>
          <cell r="Q803" t="str">
            <v>11000003</v>
          </cell>
          <cell r="R803" t="str">
            <v>SUZUKI ALTO VXR EURO II A</v>
          </cell>
          <cell r="S803" t="str">
            <v>2024</v>
          </cell>
          <cell r="T803" t="str">
            <v>BDD-820</v>
          </cell>
          <cell r="U803" t="str">
            <v>285874</v>
          </cell>
          <cell r="V803" t="str">
            <v>1185839</v>
          </cell>
          <cell r="W803" t="str">
            <v>05-feb-2029</v>
          </cell>
          <cell r="Y803">
            <v>2519100</v>
          </cell>
          <cell r="Z803">
            <v>43433</v>
          </cell>
          <cell r="AA803">
            <v>50382</v>
          </cell>
        </row>
        <row r="804">
          <cell r="B804" t="str">
            <v>KHI/HO/D/MO/PC COMP/C/105499/52/01/2025</v>
          </cell>
          <cell r="D804" t="str">
            <v>REN</v>
          </cell>
          <cell r="E804" t="str">
            <v>21/01/25</v>
          </cell>
          <cell r="F804" t="str">
            <v>10/01/2025</v>
          </cell>
          <cell r="G804" t="str">
            <v>09/01/2026</v>
          </cell>
          <cell r="H804" t="str">
            <v>08004499</v>
          </cell>
          <cell r="I804" t="str">
            <v>AL BARAKA BANK (PAKISTAN) LIMITED</v>
          </cell>
          <cell r="J804" t="str">
            <v>BANK</v>
          </cell>
          <cell r="K804" t="str">
            <v>Mr. 
Al Baraka Bank Pakistan Limited 
Mr. 
Al Baraka Bank Pakistan Limited 
User: Hasnain  Haider</v>
          </cell>
          <cell r="L804" t="str">
            <v>D</v>
          </cell>
          <cell r="M804" t="str">
            <v>09000221</v>
          </cell>
          <cell r="N804">
            <v>100</v>
          </cell>
          <cell r="P804" t="str">
            <v>P/O Kot Pandi Das Wandala Nasir Ferozwala Shiekhu Pura</v>
          </cell>
          <cell r="Q804" t="str">
            <v>11000003</v>
          </cell>
          <cell r="R804" t="str">
            <v>SUZUKI CULTUS VXR</v>
          </cell>
          <cell r="S804" t="str">
            <v>2019</v>
          </cell>
          <cell r="T804" t="str">
            <v>LE-19A-4570</v>
          </cell>
          <cell r="U804" t="str">
            <v>147576</v>
          </cell>
          <cell r="V804" t="str">
            <v>10047670</v>
          </cell>
          <cell r="W804" t="str">
            <v>05-jan-2026</v>
          </cell>
          <cell r="Y804">
            <v>2070000</v>
          </cell>
          <cell r="Z804">
            <v>35690</v>
          </cell>
          <cell r="AA804">
            <v>41400</v>
          </cell>
        </row>
        <row r="805">
          <cell r="B805" t="str">
            <v>KHI/HO/D/MO/PC COMP/C/105499/53/01/2025</v>
          </cell>
          <cell r="D805" t="str">
            <v>REN</v>
          </cell>
          <cell r="E805" t="str">
            <v>21/01/25</v>
          </cell>
          <cell r="F805" t="str">
            <v>03/01/2025</v>
          </cell>
          <cell r="G805" t="str">
            <v>02/01/2026</v>
          </cell>
          <cell r="H805" t="str">
            <v>08004499</v>
          </cell>
          <cell r="I805" t="str">
            <v>AL BARAKA BANK (PAKISTAN) LIMITED</v>
          </cell>
          <cell r="J805" t="str">
            <v>BANK</v>
          </cell>
          <cell r="K805" t="str">
            <v>Mr. 
Al Baraka Bank Pakistan Limited 
Mr. 
Al Baraka Bank Pakistan Limited 
User: Iqra  Tahir</v>
          </cell>
          <cell r="L805" t="str">
            <v>D</v>
          </cell>
          <cell r="M805" t="str">
            <v>09000221</v>
          </cell>
          <cell r="N805">
            <v>100</v>
          </cell>
          <cell r="P805" t="str">
            <v>688-F Johar Town Lahore</v>
          </cell>
          <cell r="Q805" t="str">
            <v>11000003</v>
          </cell>
          <cell r="R805" t="str">
            <v>SUZUKI CULTUS VXL EURO II</v>
          </cell>
          <cell r="S805" t="str">
            <v>2022</v>
          </cell>
          <cell r="T805" t="str">
            <v>AMV-371</v>
          </cell>
          <cell r="U805" t="str">
            <v>204333</v>
          </cell>
          <cell r="V805" t="str">
            <v>10104328</v>
          </cell>
          <cell r="W805" t="str">
            <v>05-jan-2028</v>
          </cell>
          <cell r="Y805">
            <v>2570400</v>
          </cell>
          <cell r="Z805">
            <v>44317</v>
          </cell>
          <cell r="AA805">
            <v>51408</v>
          </cell>
        </row>
        <row r="806">
          <cell r="B806" t="str">
            <v>KHI/HO/D/MO/PC COMP/C/105499/54/01/2025</v>
          </cell>
          <cell r="D806" t="str">
            <v>REN</v>
          </cell>
          <cell r="E806" t="str">
            <v>21/01/25</v>
          </cell>
          <cell r="F806" t="str">
            <v>12/01/2025</v>
          </cell>
          <cell r="G806" t="str">
            <v>11/01/2026</v>
          </cell>
          <cell r="H806" t="str">
            <v>08004499</v>
          </cell>
          <cell r="I806" t="str">
            <v>AL BARAKA BANK (PAKISTAN) LIMITED</v>
          </cell>
          <cell r="J806" t="str">
            <v>BANK</v>
          </cell>
          <cell r="K806" t="str">
            <v>Mr. 
Al Baraka Bank Pakistan Limited 
Mr. 
Al Baraka Bank Pakistan Limited 
User: Muhammad Hashim Rabbani Khan</v>
          </cell>
          <cell r="L806" t="str">
            <v>D</v>
          </cell>
          <cell r="M806" t="str">
            <v>09000221</v>
          </cell>
          <cell r="N806">
            <v>100</v>
          </cell>
          <cell r="P806" t="str">
            <v>H # 64 K Formanties H. Society Phase 5 Dha Lahore</v>
          </cell>
          <cell r="Q806" t="str">
            <v>11000003</v>
          </cell>
          <cell r="R806" t="str">
            <v>PEUGEOT ALLURE 2008</v>
          </cell>
          <cell r="S806" t="str">
            <v>2022</v>
          </cell>
          <cell r="T806" t="str">
            <v>ANT-747</v>
          </cell>
          <cell r="U806" t="str">
            <v>1899043</v>
          </cell>
          <cell r="V806" t="str">
            <v>H501398</v>
          </cell>
          <cell r="W806" t="str">
            <v>05-jan-2026</v>
          </cell>
          <cell r="Y806">
            <v>5221550</v>
          </cell>
          <cell r="Z806">
            <v>67520</v>
          </cell>
          <cell r="AA806">
            <v>78323</v>
          </cell>
        </row>
        <row r="807">
          <cell r="B807" t="str">
            <v>KHI/HO/D/MO/PC COMP/C/105499/55/01/2025</v>
          </cell>
          <cell r="D807" t="str">
            <v>REN</v>
          </cell>
          <cell r="E807" t="str">
            <v>21/01/25</v>
          </cell>
          <cell r="F807" t="str">
            <v>12/01/2025</v>
          </cell>
          <cell r="G807" t="str">
            <v>11/01/2026</v>
          </cell>
          <cell r="H807" t="str">
            <v>08004499</v>
          </cell>
          <cell r="I807" t="str">
            <v>AL BARAKA BANK (PAKISTAN) LIMITED</v>
          </cell>
          <cell r="J807" t="str">
            <v>BANK</v>
          </cell>
          <cell r="K807" t="str">
            <v>Mr. 
Al Baraka Bank Pakistan Limited 
Mr. 
Al Baraka Bank Pakistan Limited 
User: Arham  Iqbal</v>
          </cell>
          <cell r="L807" t="str">
            <v>D</v>
          </cell>
          <cell r="M807" t="str">
            <v>09000221</v>
          </cell>
          <cell r="N807">
            <v>100</v>
          </cell>
          <cell r="P807" t="str">
            <v>1St Floor House No 3 Kala Khatai Morr Phatak Number 9 Shahdara Lahore</v>
          </cell>
          <cell r="Q807" t="str">
            <v>11000003</v>
          </cell>
          <cell r="R807" t="str">
            <v>SUZUKI ALTO</v>
          </cell>
          <cell r="S807" t="str">
            <v>2023</v>
          </cell>
          <cell r="T807" t="str">
            <v>AMZ-554</v>
          </cell>
          <cell r="U807" t="str">
            <v>6R268832</v>
          </cell>
          <cell r="V807" t="str">
            <v>H1168830</v>
          </cell>
          <cell r="W807" t="str">
            <v>05-feb-2028</v>
          </cell>
          <cell r="Y807">
            <v>1679600</v>
          </cell>
          <cell r="Z807">
            <v>28958</v>
          </cell>
          <cell r="AA807">
            <v>33592</v>
          </cell>
        </row>
        <row r="808">
          <cell r="B808" t="str">
            <v>KHI/HO/D/MO/PC COMP/C/105499/56/01/2025</v>
          </cell>
          <cell r="D808" t="str">
            <v>REN</v>
          </cell>
          <cell r="E808" t="str">
            <v>21/01/25</v>
          </cell>
          <cell r="F808" t="str">
            <v>10/01/2025</v>
          </cell>
          <cell r="G808" t="str">
            <v>09/01/2026</v>
          </cell>
          <cell r="H808" t="str">
            <v>08004499</v>
          </cell>
          <cell r="I808" t="str">
            <v>AL BARAKA BANK (PAKISTAN) LIMITED</v>
          </cell>
          <cell r="J808" t="str">
            <v>BANK</v>
          </cell>
          <cell r="K808" t="str">
            <v>Mr. 
Al Baraka Bank Pakistan Limited 
Mr. 
Al Baraka Bank Pakistan Limited 
User: Muhammad Alam Khan</v>
          </cell>
          <cell r="L808" t="str">
            <v>D</v>
          </cell>
          <cell r="M808" t="str">
            <v>09000221</v>
          </cell>
          <cell r="N808">
            <v>100</v>
          </cell>
          <cell r="P808" t="str">
            <v>H # D-376 Street 12 Bhitai Colony Korangi Karachi</v>
          </cell>
          <cell r="Q808" t="str">
            <v>11000003</v>
          </cell>
          <cell r="R808" t="str">
            <v>TOYOTA COROLLA ALTIS  1.6</v>
          </cell>
          <cell r="S808" t="str">
            <v>2023</v>
          </cell>
          <cell r="T808" t="str">
            <v>BYD-426</v>
          </cell>
          <cell r="U808" t="str">
            <v>Q102205</v>
          </cell>
          <cell r="V808" t="str">
            <v>6079611</v>
          </cell>
          <cell r="W808" t="str">
            <v>05-jan-2026</v>
          </cell>
          <cell r="Y808">
            <v>3268675</v>
          </cell>
          <cell r="Z808">
            <v>42267</v>
          </cell>
          <cell r="AA808">
            <v>49030</v>
          </cell>
        </row>
        <row r="809">
          <cell r="B809" t="str">
            <v>KHI/HO/D/MO/PC COMP/C/105499/57/01/2025</v>
          </cell>
          <cell r="D809" t="str">
            <v>REN</v>
          </cell>
          <cell r="E809" t="str">
            <v>21/01/25</v>
          </cell>
          <cell r="F809" t="str">
            <v>16/01/2025</v>
          </cell>
          <cell r="G809" t="str">
            <v>15/01/2026</v>
          </cell>
          <cell r="H809" t="str">
            <v>08004499</v>
          </cell>
          <cell r="I809" t="str">
            <v>AL BARAKA BANK (PAKISTAN) LIMITED</v>
          </cell>
          <cell r="J809" t="str">
            <v>BANK</v>
          </cell>
          <cell r="K809" t="str">
            <v>Mr. 
Al Baraka Bank Pakistan Limited 
Mr. 
Al Baraka Bank Pakistan Limited 
User: Muhammad Saud Yousaf</v>
          </cell>
          <cell r="L809" t="str">
            <v>D</v>
          </cell>
          <cell r="M809" t="str">
            <v>09000221</v>
          </cell>
          <cell r="N809">
            <v>100</v>
          </cell>
          <cell r="P809" t="str">
            <v>271 -Y Phase 3 Dha Lahore</v>
          </cell>
          <cell r="Q809" t="str">
            <v>11000003</v>
          </cell>
          <cell r="R809" t="str">
            <v>HONDA CIVIC VTI</v>
          </cell>
          <cell r="S809" t="str">
            <v>2018</v>
          </cell>
          <cell r="T809" t="str">
            <v>LEC-18A-8741</v>
          </cell>
          <cell r="U809" t="str">
            <v>12944884</v>
          </cell>
          <cell r="V809" t="str">
            <v>048309</v>
          </cell>
          <cell r="W809" t="str">
            <v>05-feb-2026</v>
          </cell>
          <cell r="Y809">
            <v>3570000</v>
          </cell>
          <cell r="Z809">
            <v>46163</v>
          </cell>
          <cell r="AA809">
            <v>53550</v>
          </cell>
        </row>
        <row r="810">
          <cell r="B810" t="str">
            <v>KHI/HO/D/MO/PC COMP/C/105499/58/01/2025</v>
          </cell>
          <cell r="D810" t="str">
            <v>REN</v>
          </cell>
          <cell r="E810" t="str">
            <v>21/01/25</v>
          </cell>
          <cell r="F810" t="str">
            <v>17/01/2025</v>
          </cell>
          <cell r="G810" t="str">
            <v>16/01/2026</v>
          </cell>
          <cell r="H810" t="str">
            <v>08004499</v>
          </cell>
          <cell r="I810" t="str">
            <v>AL BARAKA BANK (PAKISTAN) LIMITED</v>
          </cell>
          <cell r="J810" t="str">
            <v>BANK</v>
          </cell>
          <cell r="K810" t="str">
            <v>Mr. 
Al Baraka Bank Pakistan Limited 
Mr. 
Al Baraka Bank Pakistan Limited 
User: Muhammad  Talha</v>
          </cell>
          <cell r="L810" t="str">
            <v>D</v>
          </cell>
          <cell r="M810" t="str">
            <v>09000221</v>
          </cell>
          <cell r="N810">
            <v>100</v>
          </cell>
          <cell r="P810" t="str">
            <v>St No 02 Mohallah Ajmal Town Saidabad Rahim Yar Khan</v>
          </cell>
          <cell r="Q810" t="str">
            <v>11000003</v>
          </cell>
          <cell r="R810" t="str">
            <v>SUZUKI ALTO</v>
          </cell>
          <cell r="S810" t="str">
            <v>2022</v>
          </cell>
          <cell r="T810" t="str">
            <v>ANB-751</v>
          </cell>
          <cell r="U810" t="str">
            <v>266619</v>
          </cell>
          <cell r="V810" t="str">
            <v>1166685</v>
          </cell>
          <cell r="W810" t="str">
            <v>05-feb-2028</v>
          </cell>
          <cell r="Y810">
            <v>1253750</v>
          </cell>
          <cell r="Z810">
            <v>21617</v>
          </cell>
          <cell r="AA810">
            <v>25075</v>
          </cell>
        </row>
        <row r="811">
          <cell r="B811" t="str">
            <v>KHI/HO/D/MO/PC COMP/C/105499/59/01/2025</v>
          </cell>
          <cell r="D811" t="str">
            <v>REN</v>
          </cell>
          <cell r="E811" t="str">
            <v>21/01/25</v>
          </cell>
          <cell r="F811" t="str">
            <v>18/01/2025</v>
          </cell>
          <cell r="G811" t="str">
            <v>17/01/2026</v>
          </cell>
          <cell r="H811" t="str">
            <v>08004499</v>
          </cell>
          <cell r="I811" t="str">
            <v>AL BARAKA BANK (PAKISTAN) LIMITED</v>
          </cell>
          <cell r="J811" t="str">
            <v>BANK</v>
          </cell>
          <cell r="K811" t="str">
            <v>Mr. 
Al Baraka Bank Pakistan Limited 
Mr. 
Al Baraka Bank Pakistan Limited 
User: Akmal  Ashraf</v>
          </cell>
          <cell r="L811" t="str">
            <v>D</v>
          </cell>
          <cell r="M811" t="str">
            <v>09000221</v>
          </cell>
          <cell r="N811">
            <v>100</v>
          </cell>
          <cell r="P811" t="str">
            <v>Al Jannat Housing Scheme Hassanabad Chowk Opp Jameel Medical Store Daroghawala</v>
          </cell>
          <cell r="Q811" t="str">
            <v>11000003</v>
          </cell>
          <cell r="R811" t="str">
            <v>SUZUKI MEHRAN STD</v>
          </cell>
          <cell r="S811" t="str">
            <v>2016</v>
          </cell>
          <cell r="T811" t="str">
            <v>LEA-16A-7413</v>
          </cell>
          <cell r="U811" t="str">
            <v>665238</v>
          </cell>
          <cell r="V811" t="str">
            <v>1203757</v>
          </cell>
          <cell r="W811" t="str">
            <v>05-feb-2028</v>
          </cell>
          <cell r="Y811">
            <v>765000</v>
          </cell>
          <cell r="Z811">
            <v>13190</v>
          </cell>
          <cell r="AA811">
            <v>15300</v>
          </cell>
        </row>
        <row r="812">
          <cell r="B812" t="str">
            <v>KHI/HO/D/MO/PC COMP/C/105499/60/01/2025</v>
          </cell>
          <cell r="D812" t="str">
            <v>REN</v>
          </cell>
          <cell r="E812" t="str">
            <v>21/01/25</v>
          </cell>
          <cell r="F812" t="str">
            <v>19/01/2025</v>
          </cell>
          <cell r="G812" t="str">
            <v>18/01/2026</v>
          </cell>
          <cell r="H812" t="str">
            <v>08004499</v>
          </cell>
          <cell r="I812" t="str">
            <v>AL BARAKA BANK (PAKISTAN) LIMITED</v>
          </cell>
          <cell r="J812" t="str">
            <v>BANK</v>
          </cell>
          <cell r="K812" t="str">
            <v>Mr. 
Al Baraka Bank Pakistan Limited 
Mr. 
Al Baraka Bank Pakistan Limited 
User: Aqeel  Ashraf</v>
          </cell>
          <cell r="L812" t="str">
            <v>D</v>
          </cell>
          <cell r="M812" t="str">
            <v>09000221</v>
          </cell>
          <cell r="N812">
            <v>100</v>
          </cell>
          <cell r="P812" t="str">
            <v>227 Block C Sabzazar Lahore</v>
          </cell>
          <cell r="Q812" t="str">
            <v>11000003</v>
          </cell>
          <cell r="R812" t="str">
            <v>CHANGAN ALSVIN</v>
          </cell>
          <cell r="S812" t="str">
            <v>2023</v>
          </cell>
          <cell r="T812" t="str">
            <v>ANG-939</v>
          </cell>
          <cell r="U812" t="str">
            <v>503009</v>
          </cell>
          <cell r="V812" t="str">
            <v>1001670</v>
          </cell>
          <cell r="W812" t="str">
            <v>05-feb-2026</v>
          </cell>
          <cell r="Y812">
            <v>2714900</v>
          </cell>
          <cell r="Z812">
            <v>46809</v>
          </cell>
          <cell r="AA812">
            <v>54298</v>
          </cell>
        </row>
        <row r="813">
          <cell r="B813" t="str">
            <v>KHI/HO/D/MO/PC COMP/C/105499/61/01/2025</v>
          </cell>
          <cell r="D813" t="str">
            <v>REN</v>
          </cell>
          <cell r="E813" t="str">
            <v>21/01/25</v>
          </cell>
          <cell r="F813" t="str">
            <v>03/01/2025</v>
          </cell>
          <cell r="G813" t="str">
            <v>02/01/2026</v>
          </cell>
          <cell r="H813" t="str">
            <v>08004499</v>
          </cell>
          <cell r="I813" t="str">
            <v>AL BARAKA BANK (PAKISTAN) LIMITED</v>
          </cell>
          <cell r="J813" t="str">
            <v>BANK</v>
          </cell>
          <cell r="K813" t="str">
            <v>Mr. 
Al Baraka Bank Pakistan Limited 
Mr. 
Al Baraka Bank Pakistan Limited 
User: Muhammad  Noman</v>
          </cell>
          <cell r="L813" t="str">
            <v>D</v>
          </cell>
          <cell r="M813" t="str">
            <v>09000221</v>
          </cell>
          <cell r="N813">
            <v>100</v>
          </cell>
          <cell r="P813" t="str">
            <v>H No 164 Street No 03 Pakistan Town Phase No 01 Islamabad</v>
          </cell>
          <cell r="Q813" t="str">
            <v>11000003</v>
          </cell>
          <cell r="R813" t="str">
            <v>SUZUKI ALTO VXR</v>
          </cell>
          <cell r="S813" t="str">
            <v>2022</v>
          </cell>
          <cell r="T813" t="str">
            <v>BAD-282</v>
          </cell>
          <cell r="U813" t="str">
            <v>267725</v>
          </cell>
          <cell r="V813" t="str">
            <v>1167805</v>
          </cell>
          <cell r="W813" t="str">
            <v>05-jan-2028</v>
          </cell>
          <cell r="Y813">
            <v>1658350</v>
          </cell>
          <cell r="Z813">
            <v>35741</v>
          </cell>
          <cell r="AA813">
            <v>41459</v>
          </cell>
        </row>
        <row r="814">
          <cell r="B814" t="str">
            <v>KHI/HO/D/MO/PC COMP/C/105499/62/01/2025</v>
          </cell>
          <cell r="D814" t="str">
            <v>REN</v>
          </cell>
          <cell r="E814" t="str">
            <v>21/01/25</v>
          </cell>
          <cell r="F814" t="str">
            <v>19/01/2025</v>
          </cell>
          <cell r="G814" t="str">
            <v>18/01/2026</v>
          </cell>
          <cell r="H814" t="str">
            <v>08004499</v>
          </cell>
          <cell r="I814" t="str">
            <v>AL BARAKA BANK (PAKISTAN) LIMITED</v>
          </cell>
          <cell r="J814" t="str">
            <v>BANK</v>
          </cell>
          <cell r="K814" t="str">
            <v>Mr. 
Al Baraka Bank Pakistan Limited 
Mr. 
Al Baraka Bank Pakistan Limited 
User: Muhammad Ahmad Raza</v>
          </cell>
          <cell r="L814" t="str">
            <v>D</v>
          </cell>
          <cell r="M814" t="str">
            <v>09000221</v>
          </cell>
          <cell r="N814">
            <v>100</v>
          </cell>
          <cell r="P814" t="str">
            <v>Madina Colony Near Masjid Noor House No 165 Haroonabad</v>
          </cell>
          <cell r="Q814" t="str">
            <v>11000003</v>
          </cell>
          <cell r="R814" t="str">
            <v>SUZUKI CULTUS</v>
          </cell>
          <cell r="S814" t="str">
            <v>2018</v>
          </cell>
          <cell r="T814" t="str">
            <v>LEA-18A-4618</v>
          </cell>
          <cell r="U814" t="str">
            <v>127296</v>
          </cell>
          <cell r="V814" t="str">
            <v>10027259</v>
          </cell>
          <cell r="W814" t="str">
            <v>05-feb-2026</v>
          </cell>
          <cell r="Y814">
            <v>1742500</v>
          </cell>
          <cell r="Z814">
            <v>30044</v>
          </cell>
          <cell r="AA814">
            <v>34850</v>
          </cell>
        </row>
        <row r="815">
          <cell r="B815" t="str">
            <v>KHI/HO/D/MO/PC COMP/C/105499/63/01/2025</v>
          </cell>
          <cell r="D815" t="str">
            <v>REN</v>
          </cell>
          <cell r="E815" t="str">
            <v>21/01/25</v>
          </cell>
          <cell r="F815" t="str">
            <v>20/01/2025</v>
          </cell>
          <cell r="G815" t="str">
            <v>19/01/2026</v>
          </cell>
          <cell r="H815" t="str">
            <v>08004499</v>
          </cell>
          <cell r="I815" t="str">
            <v>AL BARAKA BANK (PAKISTAN) LIMITED</v>
          </cell>
          <cell r="J815" t="str">
            <v>BANK</v>
          </cell>
          <cell r="K815" t="str">
            <v>Mr. 
Al Baraka Bank Pakistan Limited 
Mr. 
Al Baraka Bank Pakistan Limited 
User: Adeela   Adeel</v>
          </cell>
          <cell r="L815" t="str">
            <v>D</v>
          </cell>
          <cell r="M815" t="str">
            <v>09000221</v>
          </cell>
          <cell r="N815">
            <v>100</v>
          </cell>
          <cell r="P815" t="str">
            <v>H # 248 H Yohanabad Ferozepur Road Lahore</v>
          </cell>
          <cell r="Q815" t="str">
            <v>11000003</v>
          </cell>
          <cell r="R815" t="str">
            <v>SUZUKI WAGON-R VXL E2</v>
          </cell>
          <cell r="S815" t="str">
            <v>2021</v>
          </cell>
          <cell r="T815" t="str">
            <v>ACK 866</v>
          </cell>
          <cell r="U815" t="str">
            <v>211434</v>
          </cell>
          <cell r="V815" t="str">
            <v>111420</v>
          </cell>
          <cell r="W815" t="str">
            <v>05-feb-2027</v>
          </cell>
          <cell r="Y815">
            <v>1938000</v>
          </cell>
          <cell r="Z815">
            <v>33414</v>
          </cell>
          <cell r="AA815">
            <v>38760</v>
          </cell>
        </row>
        <row r="816">
          <cell r="B816" t="str">
            <v>KHI/HO/D/MO/PC COMP/C/105499/64/01/2025</v>
          </cell>
          <cell r="D816" t="str">
            <v>REN</v>
          </cell>
          <cell r="E816" t="str">
            <v>21/01/25</v>
          </cell>
          <cell r="F816" t="str">
            <v>23/01/2025</v>
          </cell>
          <cell r="G816" t="str">
            <v>22/01/2026</v>
          </cell>
          <cell r="H816" t="str">
            <v>08004499</v>
          </cell>
          <cell r="I816" t="str">
            <v>AL BARAKA BANK (PAKISTAN) LIMITED</v>
          </cell>
          <cell r="J816" t="str">
            <v>BANK</v>
          </cell>
          <cell r="K816" t="str">
            <v>Mr. 
Al Baraka Bank Pakistan Limited 
Mr. 
Al Baraka Bank Pakistan Limited 
User: Muhammad   Yasin</v>
          </cell>
          <cell r="L816" t="str">
            <v>D</v>
          </cell>
          <cell r="M816" t="str">
            <v>09000221</v>
          </cell>
          <cell r="N816">
            <v>100</v>
          </cell>
          <cell r="P816" t="str">
            <v>P-1859 /32 B St No 2 Abadi Bagh Wali Millat Colony 2 Faisalabad</v>
          </cell>
          <cell r="Q816" t="str">
            <v>11000003</v>
          </cell>
          <cell r="R816" t="str">
            <v>CHANGAN KARVAAN PLUS</v>
          </cell>
          <cell r="S816" t="str">
            <v>2023</v>
          </cell>
          <cell r="T816" t="str">
            <v>ANF-629</v>
          </cell>
          <cell r="U816" t="str">
            <v>JL466Q9N69U503505</v>
          </cell>
          <cell r="V816" t="str">
            <v>NKMAAB3D1N1016315</v>
          </cell>
          <cell r="W816" t="str">
            <v>05-feb-2027</v>
          </cell>
          <cell r="Y816">
            <v>1843650</v>
          </cell>
          <cell r="Z816">
            <v>31787</v>
          </cell>
          <cell r="AA816">
            <v>36873</v>
          </cell>
        </row>
        <row r="817">
          <cell r="B817" t="str">
            <v>KHI/HO/D/MO/PC COMP/C/105499/65/01/2025</v>
          </cell>
          <cell r="D817" t="str">
            <v>REN</v>
          </cell>
          <cell r="E817" t="str">
            <v>21/01/25</v>
          </cell>
          <cell r="F817" t="str">
            <v>23/01/2025</v>
          </cell>
          <cell r="G817" t="str">
            <v>22/01/2026</v>
          </cell>
          <cell r="H817" t="str">
            <v>08004499</v>
          </cell>
          <cell r="I817" t="str">
            <v>AL BARAKA BANK (PAKISTAN) LIMITED</v>
          </cell>
          <cell r="J817" t="str">
            <v>BANK</v>
          </cell>
          <cell r="K817" t="str">
            <v>Mr. 
Al Baraka Bank Pakistan Limited 
Mr. 
Al Baraka Bank Pakistan Limited 
User: Muhammad  Shabir  Malik</v>
          </cell>
          <cell r="L817" t="str">
            <v>D</v>
          </cell>
          <cell r="M817" t="str">
            <v>09000221</v>
          </cell>
          <cell r="N817">
            <v>100</v>
          </cell>
          <cell r="P817" t="str">
            <v>H No 8A St No 26 Shahfareed Abad Sabzazar Multan Road Lahore</v>
          </cell>
          <cell r="Q817" t="str">
            <v>11000003</v>
          </cell>
          <cell r="R817" t="str">
            <v>PRINCE GLORY 580 PRO TURB</v>
          </cell>
          <cell r="S817" t="str">
            <v>2021</v>
          </cell>
          <cell r="T817" t="str">
            <v>AVA -741</v>
          </cell>
          <cell r="U817" t="str">
            <v>21026302</v>
          </cell>
          <cell r="V817" t="str">
            <v>21H1699</v>
          </cell>
          <cell r="W817" t="str">
            <v>05-feb-2026</v>
          </cell>
          <cell r="Y817">
            <v>3825000</v>
          </cell>
          <cell r="Z817">
            <v>49461</v>
          </cell>
          <cell r="AA817">
            <v>57375</v>
          </cell>
        </row>
        <row r="818">
          <cell r="B818" t="str">
            <v>KHI/HO/D/MO/PC COMP/C/105499/66/01/2025</v>
          </cell>
          <cell r="D818" t="str">
            <v>REN</v>
          </cell>
          <cell r="E818" t="str">
            <v>21/01/25</v>
          </cell>
          <cell r="F818" t="str">
            <v>25/01/2025</v>
          </cell>
          <cell r="G818" t="str">
            <v>24/01/2026</v>
          </cell>
          <cell r="H818" t="str">
            <v>08004499</v>
          </cell>
          <cell r="I818" t="str">
            <v>AL BARAKA BANK (PAKISTAN) LIMITED</v>
          </cell>
          <cell r="J818" t="str">
            <v>BANK</v>
          </cell>
          <cell r="K818" t="str">
            <v>Mr. 
Al Baraka Bank Pakistan Limited 
Mr. 
Al Baraka Bank Pakistan Limited 
User: Muhammad  Abbas</v>
          </cell>
          <cell r="L818" t="str">
            <v>D</v>
          </cell>
          <cell r="M818" t="str">
            <v>09000221</v>
          </cell>
          <cell r="N818">
            <v>100</v>
          </cell>
          <cell r="P818" t="str">
            <v>H No 18 St No 90 Muslim Colony Rahat Street Shalimar Link Road Lahore</v>
          </cell>
          <cell r="Q818" t="str">
            <v>11000003</v>
          </cell>
          <cell r="R818" t="str">
            <v>SUZUKI CULTUS VXL AGS</v>
          </cell>
          <cell r="S818" t="str">
            <v>2020</v>
          </cell>
          <cell r="T818" t="str">
            <v>LEB-20-8190</v>
          </cell>
          <cell r="U818" t="str">
            <v>K155905</v>
          </cell>
          <cell r="V818" t="str">
            <v>H10055998</v>
          </cell>
          <cell r="W818" t="str">
            <v>05-feb-2028</v>
          </cell>
          <cell r="Y818">
            <v>2154750</v>
          </cell>
          <cell r="Z818">
            <v>37150</v>
          </cell>
          <cell r="AA818">
            <v>43095</v>
          </cell>
        </row>
        <row r="819">
          <cell r="B819" t="str">
            <v>KHI/HO/D/MO/PC COMP/C/105499/67/01/2025</v>
          </cell>
          <cell r="D819" t="str">
            <v>REN</v>
          </cell>
          <cell r="E819" t="str">
            <v>21/01/25</v>
          </cell>
          <cell r="F819" t="str">
            <v>26/01/2025</v>
          </cell>
          <cell r="G819" t="str">
            <v>25/01/2026</v>
          </cell>
          <cell r="H819" t="str">
            <v>08004499</v>
          </cell>
          <cell r="I819" t="str">
            <v>AL BARAKA BANK (PAKISTAN) LIMITED</v>
          </cell>
          <cell r="J819" t="str">
            <v>BANK</v>
          </cell>
          <cell r="K819" t="str">
            <v>Mr. 
Al Baraka Bank Pakistan Limited 
Mr. 
Al Baraka Bank Pakistan Limited 
User: Abid Hameed  Awan</v>
          </cell>
          <cell r="L819" t="str">
            <v>D</v>
          </cell>
          <cell r="M819" t="str">
            <v>09000221</v>
          </cell>
          <cell r="N819">
            <v>100</v>
          </cell>
          <cell r="P819" t="str">
            <v>H No 894 Street No 28 Sector G-9 Islamabad</v>
          </cell>
          <cell r="Q819" t="str">
            <v>11000003</v>
          </cell>
          <cell r="R819" t="str">
            <v>HONDA CITY ASPIRE</v>
          </cell>
          <cell r="S819" t="str">
            <v>2022</v>
          </cell>
          <cell r="T819" t="str">
            <v>AWW-346</v>
          </cell>
          <cell r="U819" t="str">
            <v>81003503</v>
          </cell>
          <cell r="V819" t="str">
            <v>009867</v>
          </cell>
          <cell r="W819" t="str">
            <v>05-feb-2026</v>
          </cell>
          <cell r="Y819">
            <v>3527500</v>
          </cell>
          <cell r="Z819">
            <v>45615</v>
          </cell>
          <cell r="AA819">
            <v>52913</v>
          </cell>
        </row>
        <row r="820">
          <cell r="B820" t="str">
            <v>KHI/HO/D/MO/PC COMP/C/105499/68/01/2025</v>
          </cell>
          <cell r="D820" t="str">
            <v>REN</v>
          </cell>
          <cell r="E820" t="str">
            <v>21/01/25</v>
          </cell>
          <cell r="F820" t="str">
            <v>26/01/2025</v>
          </cell>
          <cell r="G820" t="str">
            <v>25/01/2026</v>
          </cell>
          <cell r="H820" t="str">
            <v>08004499</v>
          </cell>
          <cell r="I820" t="str">
            <v>AL BARAKA BANK (PAKISTAN) LIMITED</v>
          </cell>
          <cell r="J820" t="str">
            <v>BANK</v>
          </cell>
          <cell r="K820" t="str">
            <v>Mr. 
Al Baraka Bank Pakistan Limited 
Mr. 
Al Baraka Bank Pakistan Limited 
User: Waqas  Ahmed Sheikh</v>
          </cell>
          <cell r="L820" t="str">
            <v>D</v>
          </cell>
          <cell r="M820" t="str">
            <v>09000221</v>
          </cell>
          <cell r="N820">
            <v>100</v>
          </cell>
          <cell r="P820" t="str">
            <v>H No 165 Ff Phase 4 Dha Lahore</v>
          </cell>
          <cell r="Q820" t="str">
            <v>11000003</v>
          </cell>
          <cell r="R820" t="str">
            <v>HONDA CITY 1.2  LS CVT</v>
          </cell>
          <cell r="S820" t="str">
            <v>2023</v>
          </cell>
          <cell r="T820" t="str">
            <v>AND-619</v>
          </cell>
          <cell r="U820" t="str">
            <v>1017227</v>
          </cell>
          <cell r="V820" t="str">
            <v>30604</v>
          </cell>
          <cell r="W820" t="str">
            <v>05-feb-2026</v>
          </cell>
          <cell r="Y820">
            <v>3322650</v>
          </cell>
          <cell r="Z820">
            <v>42965</v>
          </cell>
          <cell r="AA820">
            <v>49840</v>
          </cell>
        </row>
        <row r="821">
          <cell r="B821" t="str">
            <v>KHI/HO/D/MO/PC COMP/C/105499/69/01/2025</v>
          </cell>
          <cell r="D821" t="str">
            <v>REN</v>
          </cell>
          <cell r="E821" t="str">
            <v>21/01/25</v>
          </cell>
          <cell r="F821" t="str">
            <v>27/01/2025</v>
          </cell>
          <cell r="G821" t="str">
            <v>26/01/2026</v>
          </cell>
          <cell r="H821" t="str">
            <v>08004499</v>
          </cell>
          <cell r="I821" t="str">
            <v>AL BARAKA BANK (PAKISTAN) LIMITED</v>
          </cell>
          <cell r="J821" t="str">
            <v>BANK</v>
          </cell>
          <cell r="K821" t="str">
            <v>Mr. 
Al Baraka Bank Pakistan Limited 
Mr. 
Al Baraka Bank Pakistan Limited 
User: Nisma   Zahid</v>
          </cell>
          <cell r="L821" t="str">
            <v>D</v>
          </cell>
          <cell r="M821" t="str">
            <v>09000221</v>
          </cell>
          <cell r="N821">
            <v>100</v>
          </cell>
          <cell r="P821" t="str">
            <v>H No 312 Block L St 9 Phase 6 Dha Lahore</v>
          </cell>
          <cell r="Q821" t="str">
            <v>11000003</v>
          </cell>
          <cell r="R821" t="str">
            <v>SUZUKI ALTO</v>
          </cell>
          <cell r="S821" t="str">
            <v>2019</v>
          </cell>
          <cell r="T821" t="str">
            <v>LEH-19-9548</v>
          </cell>
          <cell r="U821" t="str">
            <v>6R101389</v>
          </cell>
          <cell r="V821" t="str">
            <v>H1001367</v>
          </cell>
          <cell r="W821" t="str">
            <v>05-feb-2028</v>
          </cell>
          <cell r="Y821">
            <v>1487500</v>
          </cell>
          <cell r="Z821">
            <v>25647</v>
          </cell>
          <cell r="AA821">
            <v>29750</v>
          </cell>
        </row>
        <row r="822">
          <cell r="B822" t="str">
            <v>KHI/HO/D/MO/PC COMP/C/105499/70/01/2025</v>
          </cell>
          <cell r="D822" t="str">
            <v>REN</v>
          </cell>
          <cell r="E822" t="str">
            <v>21/01/25</v>
          </cell>
          <cell r="F822" t="str">
            <v>27/01/2025</v>
          </cell>
          <cell r="G822" t="str">
            <v>26/01/2026</v>
          </cell>
          <cell r="H822" t="str">
            <v>08004499</v>
          </cell>
          <cell r="I822" t="str">
            <v>AL BARAKA BANK (PAKISTAN) LIMITED</v>
          </cell>
          <cell r="J822" t="str">
            <v>BANK</v>
          </cell>
          <cell r="K822" t="str">
            <v>Mr. 
Al Baraka Bank Pakistan Limited 
Mr. 
Al Baraka Bank Pakistan Limited 
User: Arshad  Farhan</v>
          </cell>
          <cell r="L822" t="str">
            <v>D</v>
          </cell>
          <cell r="M822" t="str">
            <v>09000221</v>
          </cell>
          <cell r="N822">
            <v>100</v>
          </cell>
          <cell r="P822" t="str">
            <v>H # P-129 Street 2 Satellite Town Faisalabad</v>
          </cell>
          <cell r="Q822" t="str">
            <v>11000003</v>
          </cell>
          <cell r="R822" t="str">
            <v>HONDA CIVIC VTI  ORIEL PT</v>
          </cell>
          <cell r="S822" t="str">
            <v>2020</v>
          </cell>
          <cell r="T822" t="str">
            <v>AAJ-261</v>
          </cell>
          <cell r="U822" t="str">
            <v>R18Z12956816</v>
          </cell>
          <cell r="V822" t="str">
            <v>NFBFC6668LR060764</v>
          </cell>
          <cell r="W822" t="str">
            <v>05-feb-2026</v>
          </cell>
          <cell r="Y822">
            <v>4250000</v>
          </cell>
          <cell r="Z822">
            <v>54956</v>
          </cell>
          <cell r="AA822">
            <v>63750</v>
          </cell>
        </row>
        <row r="823">
          <cell r="B823" t="str">
            <v>KHI/HO/D/MO/PC COMP/C/105499/71/01/2025</v>
          </cell>
          <cell r="D823" t="str">
            <v>REN</v>
          </cell>
          <cell r="E823" t="str">
            <v>21/01/25</v>
          </cell>
          <cell r="F823" t="str">
            <v>05/01/2025</v>
          </cell>
          <cell r="G823" t="str">
            <v>04/01/2026</v>
          </cell>
          <cell r="H823" t="str">
            <v>08004499</v>
          </cell>
          <cell r="I823" t="str">
            <v>AL BARAKA BANK (PAKISTAN) LIMITED</v>
          </cell>
          <cell r="J823" t="str">
            <v>BANK</v>
          </cell>
          <cell r="K823" t="str">
            <v>Mr. 
Al Baraka Bank Pakistan Limited 
Mr. 
Al Baraka Bank Pakistan Limited 
User: Mehroz   Elahi</v>
          </cell>
          <cell r="L823" t="str">
            <v>D</v>
          </cell>
          <cell r="M823" t="str">
            <v>09000221</v>
          </cell>
          <cell r="N823">
            <v>100</v>
          </cell>
          <cell r="P823" t="str">
            <v>8-A Windser Park Ichhra Lahore</v>
          </cell>
          <cell r="Q823" t="str">
            <v>11000003</v>
          </cell>
          <cell r="R823" t="str">
            <v>SUZUKI ALTO VXL AGS</v>
          </cell>
          <cell r="S823" t="str">
            <v>2019</v>
          </cell>
          <cell r="T823" t="str">
            <v>LEA-19-8424</v>
          </cell>
          <cell r="U823" t="str">
            <v>K135890</v>
          </cell>
          <cell r="V823" t="str">
            <v>H100358909</v>
          </cell>
          <cell r="W823" t="str">
            <v>05-jan-2028</v>
          </cell>
          <cell r="Y823">
            <v>1997500</v>
          </cell>
          <cell r="Z823">
            <v>34440</v>
          </cell>
          <cell r="AA823">
            <v>39950</v>
          </cell>
        </row>
        <row r="824">
          <cell r="B824" t="str">
            <v>KHI/HO/D/MO/PC COMP/C/105499/72/01/2025</v>
          </cell>
          <cell r="D824" t="str">
            <v>REN</v>
          </cell>
          <cell r="E824" t="str">
            <v>21/01/25</v>
          </cell>
          <cell r="F824" t="str">
            <v>30/01/2025</v>
          </cell>
          <cell r="G824" t="str">
            <v>29/01/2026</v>
          </cell>
          <cell r="H824" t="str">
            <v>08004499</v>
          </cell>
          <cell r="I824" t="str">
            <v>AL BARAKA BANK (PAKISTAN) LIMITED</v>
          </cell>
          <cell r="J824" t="str">
            <v>BANK</v>
          </cell>
          <cell r="K824" t="str">
            <v>Mr. 
Al Baraka Bank Pakistan Limited 
Mr. 
Al Baraka Bank Pakistan Limited 
User: Imran   Ahmed</v>
          </cell>
          <cell r="L824" t="str">
            <v>D</v>
          </cell>
          <cell r="M824" t="str">
            <v>09000221</v>
          </cell>
          <cell r="N824">
            <v>100</v>
          </cell>
          <cell r="P824" t="str">
            <v>H # 46 Sector 9-D Banaras Town Orangi Town Karachi</v>
          </cell>
          <cell r="Q824" t="str">
            <v>11000003</v>
          </cell>
          <cell r="R824" t="str">
            <v>SUZUKI Swift GLX CVT</v>
          </cell>
          <cell r="S824" t="str">
            <v>2022</v>
          </cell>
          <cell r="T824" t="str">
            <v>BXR-244</v>
          </cell>
          <cell r="U824" t="str">
            <v>1008262</v>
          </cell>
          <cell r="V824" t="str">
            <v>108263</v>
          </cell>
          <cell r="W824" t="str">
            <v>05-feb-2026</v>
          </cell>
          <cell r="Y824">
            <v>3400000</v>
          </cell>
          <cell r="Z824">
            <v>43965</v>
          </cell>
          <cell r="AA824">
            <v>51000</v>
          </cell>
        </row>
        <row r="825">
          <cell r="B825" t="str">
            <v>KHI/HO/D/MO/PC COMP/C/105499/73/01/2025</v>
          </cell>
          <cell r="D825" t="str">
            <v>REN</v>
          </cell>
          <cell r="E825" t="str">
            <v>21/01/25</v>
          </cell>
          <cell r="F825" t="str">
            <v>30/01/2025</v>
          </cell>
          <cell r="G825" t="str">
            <v>29/01/2026</v>
          </cell>
          <cell r="H825" t="str">
            <v>08004499</v>
          </cell>
          <cell r="I825" t="str">
            <v>AL BARAKA BANK (PAKISTAN) LIMITED</v>
          </cell>
          <cell r="J825" t="str">
            <v>BANK</v>
          </cell>
          <cell r="K825" t="str">
            <v>Mr. 
Al Baraka Bank Pakistan Limited 
Mr. 
Al Baraka Bank Pakistan Limited 
User: Shahzad   Ahmed</v>
          </cell>
          <cell r="L825" t="str">
            <v>D</v>
          </cell>
          <cell r="M825" t="str">
            <v>09000221</v>
          </cell>
          <cell r="N825">
            <v>100</v>
          </cell>
          <cell r="P825" t="str">
            <v>H # R-244 Buffer Zone Sector 15-A/5 Karachi</v>
          </cell>
          <cell r="Q825" t="str">
            <v>11000003</v>
          </cell>
          <cell r="R825" t="str">
            <v>SUZUKI WAGON-R VXR</v>
          </cell>
          <cell r="S825" t="str">
            <v>2019</v>
          </cell>
          <cell r="T825" t="str">
            <v>BPZ-010</v>
          </cell>
          <cell r="U825" t="str">
            <v>B186082</v>
          </cell>
          <cell r="V825" t="str">
            <v>PK10086082</v>
          </cell>
          <cell r="W825" t="str">
            <v>05-feb-2028</v>
          </cell>
          <cell r="Y825">
            <v>1530000</v>
          </cell>
          <cell r="Z825">
            <v>26379</v>
          </cell>
          <cell r="AA825">
            <v>30600</v>
          </cell>
        </row>
        <row r="826">
          <cell r="B826" t="str">
            <v>KHI/HO/D/MO/PC COMP/C/105499/74/01/2025</v>
          </cell>
          <cell r="D826" t="str">
            <v>REN</v>
          </cell>
          <cell r="E826" t="str">
            <v>21/01/25</v>
          </cell>
          <cell r="F826" t="str">
            <v>31/01/2025</v>
          </cell>
          <cell r="G826" t="str">
            <v>30/01/2026</v>
          </cell>
          <cell r="H826" t="str">
            <v>08004499</v>
          </cell>
          <cell r="I826" t="str">
            <v>AL BARAKA BANK (PAKISTAN) LIMITED</v>
          </cell>
          <cell r="J826" t="str">
            <v>BANK</v>
          </cell>
          <cell r="K826" t="str">
            <v>Mr. 
Al Baraka Bank Pakistan Limited 
Mr. 
Al Baraka Bank Pakistan Limited 
User: Rizwan  Sohail</v>
          </cell>
          <cell r="L826" t="str">
            <v>D</v>
          </cell>
          <cell r="M826" t="str">
            <v>09000221</v>
          </cell>
          <cell r="N826">
            <v>100</v>
          </cell>
          <cell r="P826" t="str">
            <v>Chak No. 95-6R Po Khas Zila Sahiwal</v>
          </cell>
          <cell r="Q826" t="str">
            <v>11000003</v>
          </cell>
          <cell r="R826" t="str">
            <v>SUZUKI WAGON-R VXL E2</v>
          </cell>
          <cell r="S826" t="str">
            <v>2018</v>
          </cell>
          <cell r="T826" t="str">
            <v>LEE-18-539</v>
          </cell>
          <cell r="U826" t="str">
            <v>PK10B159589</v>
          </cell>
          <cell r="V826" t="str">
            <v>A1J310PK10059581</v>
          </cell>
          <cell r="W826" t="str">
            <v>05-feb-2028</v>
          </cell>
          <cell r="Y826">
            <v>1530000</v>
          </cell>
          <cell r="Z826">
            <v>26379</v>
          </cell>
          <cell r="AA826">
            <v>30600</v>
          </cell>
        </row>
        <row r="827">
          <cell r="B827" t="str">
            <v>KHI/HO/D/MO/PC COMP/C/105499/75/01/2025</v>
          </cell>
          <cell r="D827" t="str">
            <v>REN</v>
          </cell>
          <cell r="E827" t="str">
            <v>21/01/25</v>
          </cell>
          <cell r="F827" t="str">
            <v>31/01/2025</v>
          </cell>
          <cell r="G827" t="str">
            <v>30/01/2026</v>
          </cell>
          <cell r="H827" t="str">
            <v>08004499</v>
          </cell>
          <cell r="I827" t="str">
            <v>AL BARAKA BANK (PAKISTAN) LIMITED</v>
          </cell>
          <cell r="J827" t="str">
            <v>BANK</v>
          </cell>
          <cell r="K827" t="str">
            <v>Mr. 
Al Baraka Bank Pakistan Limited 
Mr. 
Al Baraka Bank Pakistan Limited 
User: Jahanzaib   Afzaal</v>
          </cell>
          <cell r="L827" t="str">
            <v>D</v>
          </cell>
          <cell r="M827" t="str">
            <v>09000221</v>
          </cell>
          <cell r="N827">
            <v>100</v>
          </cell>
          <cell r="P827" t="str">
            <v>H # 75 Street 1 Mohallah Nazir Garden Harbanspura Lahore</v>
          </cell>
          <cell r="Q827" t="str">
            <v>11000003</v>
          </cell>
          <cell r="R827" t="str">
            <v>SUZUKI WAGON-R VXR</v>
          </cell>
          <cell r="S827" t="str">
            <v>2021</v>
          </cell>
          <cell r="T827" t="str">
            <v>AFM-867</v>
          </cell>
          <cell r="U827" t="str">
            <v>221417</v>
          </cell>
          <cell r="V827" t="str">
            <v>10121445</v>
          </cell>
          <cell r="W827" t="str">
            <v>05-feb-2028</v>
          </cell>
          <cell r="Y827">
            <v>1810500</v>
          </cell>
          <cell r="Z827">
            <v>31216</v>
          </cell>
          <cell r="AA827">
            <v>36210</v>
          </cell>
        </row>
        <row r="828">
          <cell r="B828" t="str">
            <v>KHI/HO/D/MO/PC COMP/C/105499/76/01/2025</v>
          </cell>
          <cell r="D828" t="str">
            <v>REN</v>
          </cell>
          <cell r="E828" t="str">
            <v>21/01/25</v>
          </cell>
          <cell r="F828" t="str">
            <v>31/01/2025</v>
          </cell>
          <cell r="G828" t="str">
            <v>30/01/2026</v>
          </cell>
          <cell r="H828" t="str">
            <v>08004499</v>
          </cell>
          <cell r="I828" t="str">
            <v>AL BARAKA BANK (PAKISTAN) LIMITED</v>
          </cell>
          <cell r="J828" t="str">
            <v>BANK</v>
          </cell>
          <cell r="K828" t="str">
            <v>Mr. 
Al Baraka Bank Pakistan Limited 
Mr. 
Al Baraka Bank Pakistan Limited 
User: Syed  Ali  Ahmed</v>
          </cell>
          <cell r="L828" t="str">
            <v>D</v>
          </cell>
          <cell r="M828" t="str">
            <v>09000221</v>
          </cell>
          <cell r="N828">
            <v>100</v>
          </cell>
          <cell r="P828" t="str">
            <v>H # A-191 Saeedabad Society Block 5 Gulistan-E-Johar Karachi</v>
          </cell>
          <cell r="Q828" t="str">
            <v>11000003</v>
          </cell>
          <cell r="R828" t="str">
            <v>SUZUKI Swift GL CVT</v>
          </cell>
          <cell r="S828" t="str">
            <v>2022</v>
          </cell>
          <cell r="T828" t="str">
            <v>BXQ-964</v>
          </cell>
          <cell r="U828" t="str">
            <v>1006295</v>
          </cell>
          <cell r="V828" t="str">
            <v>106284</v>
          </cell>
          <cell r="W828" t="str">
            <v>05-feb-2026</v>
          </cell>
          <cell r="Y828">
            <v>2932500</v>
          </cell>
          <cell r="Z828">
            <v>37921</v>
          </cell>
          <cell r="AA828">
            <v>43988</v>
          </cell>
        </row>
        <row r="829">
          <cell r="B829" t="str">
            <v>KHI/HO/D/MO/PC COMP/C/105499/77/01/2025</v>
          </cell>
          <cell r="D829" t="str">
            <v>REN</v>
          </cell>
          <cell r="E829" t="str">
            <v>21/01/25</v>
          </cell>
          <cell r="F829" t="str">
            <v>31/01/2025</v>
          </cell>
          <cell r="G829" t="str">
            <v>30/01/2026</v>
          </cell>
          <cell r="H829" t="str">
            <v>08004499</v>
          </cell>
          <cell r="I829" t="str">
            <v>AL BARAKA BANK (PAKISTAN) LIMITED</v>
          </cell>
          <cell r="J829" t="str">
            <v>BANK</v>
          </cell>
          <cell r="K829" t="str">
            <v>Mr. 
Al Baraka Bank Pakistan Limited 
Mr. 
Al Baraka Bank Pakistan Limited 
User: Muhammad  Shafique</v>
          </cell>
          <cell r="L829" t="str">
            <v>D</v>
          </cell>
          <cell r="M829" t="str">
            <v>09000221</v>
          </cell>
          <cell r="N829">
            <v>100</v>
          </cell>
          <cell r="P829" t="str">
            <v>H No 2 St No 4 Main Bazar Farozwala Shahzara Lahore</v>
          </cell>
          <cell r="Q829" t="str">
            <v>11000003</v>
          </cell>
          <cell r="R829" t="str">
            <v>HONDA CITY A/T</v>
          </cell>
          <cell r="S829" t="str">
            <v>2023</v>
          </cell>
          <cell r="T829" t="str">
            <v>ANF-498</v>
          </cell>
          <cell r="U829" t="str">
            <v>1017315</v>
          </cell>
          <cell r="V829" t="str">
            <v>PR030693</v>
          </cell>
          <cell r="W829" t="str">
            <v>05-feb-2026</v>
          </cell>
          <cell r="Y829">
            <v>3577650</v>
          </cell>
          <cell r="Z829">
            <v>46263</v>
          </cell>
          <cell r="AA829">
            <v>53665</v>
          </cell>
        </row>
        <row r="830">
          <cell r="B830" t="str">
            <v>KHI/HO/D/MO/PC COMP/C/105499/78/01/2025</v>
          </cell>
          <cell r="D830" t="str">
            <v>REN</v>
          </cell>
          <cell r="E830" t="str">
            <v>21/01/25</v>
          </cell>
          <cell r="F830" t="str">
            <v>31/01/2025</v>
          </cell>
          <cell r="G830" t="str">
            <v>30/01/2026</v>
          </cell>
          <cell r="H830" t="str">
            <v>08004499</v>
          </cell>
          <cell r="I830" t="str">
            <v>AL BARAKA BANK (PAKISTAN) LIMITED</v>
          </cell>
          <cell r="J830" t="str">
            <v>BANK</v>
          </cell>
          <cell r="K830" t="str">
            <v>Mr. 
Al Baraka Bank Pakistan Limited 
Mr. 
Al Baraka Bank Pakistan Limited 
User: Shabana   Nargis</v>
          </cell>
          <cell r="L830" t="str">
            <v>D</v>
          </cell>
          <cell r="M830" t="str">
            <v>09000221</v>
          </cell>
          <cell r="N830">
            <v>100</v>
          </cell>
          <cell r="P830" t="str">
            <v>H No 25 -C Shadman Colony Lahore</v>
          </cell>
          <cell r="Q830" t="str">
            <v>11000003</v>
          </cell>
          <cell r="R830" t="str">
            <v>CHANGAN OSHAN X7 COMFORT</v>
          </cell>
          <cell r="S830" t="str">
            <v>2023</v>
          </cell>
          <cell r="T830" t="str">
            <v>ANQ-892</v>
          </cell>
          <cell r="U830" t="str">
            <v>269985</v>
          </cell>
          <cell r="V830" t="str">
            <v>1000695</v>
          </cell>
          <cell r="W830" t="str">
            <v>05-feb-2026</v>
          </cell>
          <cell r="Y830">
            <v>5855650</v>
          </cell>
          <cell r="Z830">
            <v>75720</v>
          </cell>
          <cell r="AA830">
            <v>87835</v>
          </cell>
        </row>
        <row r="831">
          <cell r="B831" t="str">
            <v>KHI/HO/D/MO/PC COMP/C/105499/79/01/2025</v>
          </cell>
          <cell r="D831" t="str">
            <v>REN</v>
          </cell>
          <cell r="E831" t="str">
            <v>21/01/25</v>
          </cell>
          <cell r="F831" t="str">
            <v>05/01/2025</v>
          </cell>
          <cell r="G831" t="str">
            <v>04/01/2026</v>
          </cell>
          <cell r="H831" t="str">
            <v>08004499</v>
          </cell>
          <cell r="I831" t="str">
            <v>AL BARAKA BANK (PAKISTAN) LIMITED</v>
          </cell>
          <cell r="J831" t="str">
            <v>BANK</v>
          </cell>
          <cell r="K831" t="str">
            <v>Mr. 
Al Baraka Bank Pakistan Limited 
Mr. 
Al Baraka Bank Pakistan Limited 
User: Abdul  Basit</v>
          </cell>
          <cell r="L831" t="str">
            <v>D</v>
          </cell>
          <cell r="M831" t="str">
            <v>09000221</v>
          </cell>
          <cell r="N831">
            <v>100</v>
          </cell>
          <cell r="P831" t="str">
            <v>192-B Johar Town Lahore</v>
          </cell>
          <cell r="Q831" t="str">
            <v>11000003</v>
          </cell>
          <cell r="R831" t="str">
            <v>SUZUKI CULTUS</v>
          </cell>
          <cell r="S831" t="str">
            <v>2018</v>
          </cell>
          <cell r="T831" t="str">
            <v>BLT-041</v>
          </cell>
          <cell r="U831" t="str">
            <v>K116858</v>
          </cell>
          <cell r="V831" t="str">
            <v>10016952</v>
          </cell>
          <cell r="W831" t="str">
            <v>05-jan-2028</v>
          </cell>
          <cell r="Y831">
            <v>1785000</v>
          </cell>
          <cell r="Z831">
            <v>30776</v>
          </cell>
          <cell r="AA831">
            <v>35700</v>
          </cell>
        </row>
        <row r="832">
          <cell r="B832" t="str">
            <v>KHI/HO/D/MO/PC COMP/C/105499/80/01/2025</v>
          </cell>
          <cell r="D832" t="str">
            <v>REN</v>
          </cell>
          <cell r="E832" t="str">
            <v>21/01/25</v>
          </cell>
          <cell r="F832" t="str">
            <v>31/01/2025</v>
          </cell>
          <cell r="G832" t="str">
            <v>30/01/2026</v>
          </cell>
          <cell r="H832" t="str">
            <v>08004499</v>
          </cell>
          <cell r="I832" t="str">
            <v>AL BARAKA BANK (PAKISTAN) LIMITED</v>
          </cell>
          <cell r="J832" t="str">
            <v>BANK</v>
          </cell>
          <cell r="K832" t="str">
            <v>Mr. 
Al Baraka Bank Pakistan Limited 
Mr. 
Al Baraka Bank Pakistan Limited 
User: Waseem  Riaz</v>
          </cell>
          <cell r="L832" t="str">
            <v>D</v>
          </cell>
          <cell r="M832" t="str">
            <v>09000221</v>
          </cell>
          <cell r="N832">
            <v>100</v>
          </cell>
          <cell r="P832" t="str">
            <v>H # 1967-4 X Aqsa Street Hazoori Bagh Road Multan</v>
          </cell>
          <cell r="Q832" t="str">
            <v>11000003</v>
          </cell>
          <cell r="R832" t="str">
            <v>TOYOTA Yaris ATIV 1.3 (CV</v>
          </cell>
          <cell r="S832" t="str">
            <v>2022</v>
          </cell>
          <cell r="T832" t="str">
            <v>AXE-776</v>
          </cell>
          <cell r="U832" t="str">
            <v>2A46485</v>
          </cell>
          <cell r="V832" t="str">
            <v>9517290</v>
          </cell>
          <cell r="W832" t="str">
            <v>05-feb-2026</v>
          </cell>
          <cell r="Y832">
            <v>3655000</v>
          </cell>
          <cell r="Z832">
            <v>47263</v>
          </cell>
          <cell r="AA832">
            <v>54825</v>
          </cell>
        </row>
        <row r="833">
          <cell r="B833" t="str">
            <v>KHI/HO/D/MO/PC COMP/C/105499/81/01/2025</v>
          </cell>
          <cell r="D833" t="str">
            <v>REN</v>
          </cell>
          <cell r="E833" t="str">
            <v>21/01/25</v>
          </cell>
          <cell r="F833" t="str">
            <v>31/01/2025</v>
          </cell>
          <cell r="G833" t="str">
            <v>30/01/2026</v>
          </cell>
          <cell r="H833" t="str">
            <v>08004499</v>
          </cell>
          <cell r="I833" t="str">
            <v>AL BARAKA BANK (PAKISTAN) LIMITED</v>
          </cell>
          <cell r="J833" t="str">
            <v>BANK</v>
          </cell>
          <cell r="K833" t="str">
            <v>Mr. 
Al Baraka Bank Pakistan Limited 
Mr. 
Al Baraka Bank Pakistan Limited 
User: Akmal   Latif</v>
          </cell>
          <cell r="L833" t="str">
            <v>D</v>
          </cell>
          <cell r="M833" t="str">
            <v>09000221</v>
          </cell>
          <cell r="N833">
            <v>100</v>
          </cell>
          <cell r="P833" t="str">
            <v>186-B Ghalib City Faisalabad</v>
          </cell>
          <cell r="Q833" t="str">
            <v>11000003</v>
          </cell>
          <cell r="R833" t="str">
            <v>SUZUKI ALTO</v>
          </cell>
          <cell r="S833" t="str">
            <v>2019</v>
          </cell>
          <cell r="T833" t="str">
            <v>APD-518</v>
          </cell>
          <cell r="U833" t="str">
            <v>6R109169</v>
          </cell>
          <cell r="V833" t="str">
            <v>NF1AET306H1009083</v>
          </cell>
          <cell r="W833" t="str">
            <v>05-feb-2028</v>
          </cell>
          <cell r="Y833">
            <v>1806250</v>
          </cell>
          <cell r="Z833">
            <v>31143</v>
          </cell>
          <cell r="AA833">
            <v>36125</v>
          </cell>
        </row>
        <row r="834">
          <cell r="B834" t="str">
            <v>KHI/HO/D/MO/PC COMP/C/105499/82/01/2025</v>
          </cell>
          <cell r="D834" t="str">
            <v>REN</v>
          </cell>
          <cell r="E834" t="str">
            <v>21/01/25</v>
          </cell>
          <cell r="F834" t="str">
            <v>31/01/2025</v>
          </cell>
          <cell r="G834" t="str">
            <v>30/01/2026</v>
          </cell>
          <cell r="H834" t="str">
            <v>08004499</v>
          </cell>
          <cell r="I834" t="str">
            <v>AL BARAKA BANK (PAKISTAN) LIMITED</v>
          </cell>
          <cell r="J834" t="str">
            <v>BANK</v>
          </cell>
          <cell r="K834" t="str">
            <v>Mr. 
Al Baraka Bank Pakistan Limited 
Mr. 
Al Baraka Bank Pakistan Limited 
User: Waseem  Akram</v>
          </cell>
          <cell r="L834" t="str">
            <v>D</v>
          </cell>
          <cell r="M834" t="str">
            <v>09000221</v>
          </cell>
          <cell r="N834">
            <v>100</v>
          </cell>
          <cell r="P834" t="str">
            <v>H No P-1062,Oppsite Grand Avenue Marriage Hall Street Asghar Mall Rawalpindi</v>
          </cell>
          <cell r="Q834" t="str">
            <v>11000003</v>
          </cell>
          <cell r="R834" t="str">
            <v>HONDA CITY ASPIRE</v>
          </cell>
          <cell r="S834" t="str">
            <v>2018</v>
          </cell>
          <cell r="T834" t="str">
            <v>AGV-031</v>
          </cell>
          <cell r="U834" t="str">
            <v>79789025</v>
          </cell>
          <cell r="V834" t="str">
            <v>220010</v>
          </cell>
          <cell r="W834" t="str">
            <v>05-feb-2026</v>
          </cell>
          <cell r="Y834">
            <v>2550000</v>
          </cell>
          <cell r="Z834">
            <v>43965</v>
          </cell>
          <cell r="AA834">
            <v>51000</v>
          </cell>
        </row>
        <row r="835">
          <cell r="B835" t="str">
            <v>KHI/HO/D/MO/PC COMP/C/105499/83/01/2025</v>
          </cell>
          <cell r="D835" t="str">
            <v>REN</v>
          </cell>
          <cell r="E835" t="str">
            <v>21/01/25</v>
          </cell>
          <cell r="F835" t="str">
            <v>31/01/2025</v>
          </cell>
          <cell r="G835" t="str">
            <v>30/01/2026</v>
          </cell>
          <cell r="H835" t="str">
            <v>08004499</v>
          </cell>
          <cell r="I835" t="str">
            <v>AL BARAKA BANK (PAKISTAN) LIMITED</v>
          </cell>
          <cell r="J835" t="str">
            <v>BANK</v>
          </cell>
          <cell r="K835" t="str">
            <v>Mr. 
Al Baraka Bank Pakistan Limited 
Mr. 
Al Baraka Bank Pakistan Limited 
User: Muhammad Usman Qadeer</v>
          </cell>
          <cell r="L835" t="str">
            <v>D</v>
          </cell>
          <cell r="M835" t="str">
            <v>09000221</v>
          </cell>
          <cell r="N835">
            <v>100</v>
          </cell>
          <cell r="P835" t="str">
            <v>H # 409 Street 33 Street 4-A Ghouri Town Islamabad</v>
          </cell>
          <cell r="Q835" t="str">
            <v>11000003</v>
          </cell>
          <cell r="R835" t="str">
            <v>SUZUKI ALTO VXR E-2</v>
          </cell>
          <cell r="S835" t="str">
            <v>2022</v>
          </cell>
          <cell r="T835" t="str">
            <v>BBK-569</v>
          </cell>
          <cell r="U835" t="str">
            <v>254293</v>
          </cell>
          <cell r="V835" t="str">
            <v>1154291</v>
          </cell>
          <cell r="W835" t="str">
            <v>05-feb-2028</v>
          </cell>
          <cell r="Y835">
            <v>1423750</v>
          </cell>
          <cell r="Z835">
            <v>24548</v>
          </cell>
          <cell r="AA835">
            <v>28475</v>
          </cell>
        </row>
        <row r="836">
          <cell r="B836" t="str">
            <v>KHI/HO/D/MO/PC COMP/C/105499/84/01/2025</v>
          </cell>
          <cell r="D836" t="str">
            <v>REN</v>
          </cell>
          <cell r="E836" t="str">
            <v>21/01/25</v>
          </cell>
          <cell r="F836" t="str">
            <v>31/01/2025</v>
          </cell>
          <cell r="G836" t="str">
            <v>30/01/2026</v>
          </cell>
          <cell r="H836" t="str">
            <v>08004499</v>
          </cell>
          <cell r="I836" t="str">
            <v>AL BARAKA BANK (PAKISTAN) LIMITED</v>
          </cell>
          <cell r="J836" t="str">
            <v>BANK</v>
          </cell>
          <cell r="K836" t="str">
            <v>Mr. 
Al Baraka Bank Pakistan Limited 
Mr. 
Al Baraka Bank Pakistan Limited 
User: Hassaan   Ubaid</v>
          </cell>
          <cell r="L836" t="str">
            <v>D</v>
          </cell>
          <cell r="M836" t="str">
            <v>09000221</v>
          </cell>
          <cell r="N836">
            <v>100</v>
          </cell>
          <cell r="P836" t="str">
            <v>H No 802 Street No 18 Safari Villas Bahria Town Lahore</v>
          </cell>
          <cell r="Q836" t="str">
            <v>11000003</v>
          </cell>
          <cell r="R836" t="str">
            <v>SUZUKI CULTUS</v>
          </cell>
          <cell r="S836" t="str">
            <v>2018</v>
          </cell>
          <cell r="T836" t="str">
            <v>LE-18A-3847</v>
          </cell>
          <cell r="U836" t="str">
            <v>K124048</v>
          </cell>
          <cell r="V836" t="str">
            <v>H10024102</v>
          </cell>
          <cell r="W836" t="str">
            <v>05-feb-2028</v>
          </cell>
          <cell r="Y836">
            <v>1700000</v>
          </cell>
          <cell r="Z836">
            <v>29310</v>
          </cell>
          <cell r="AA836">
            <v>34000</v>
          </cell>
        </row>
        <row r="837">
          <cell r="B837" t="str">
            <v>KHI/HO/D/MO/PC COMP/C/105499/85/01/2025</v>
          </cell>
          <cell r="D837" t="str">
            <v>REN</v>
          </cell>
          <cell r="E837" t="str">
            <v>21/01/25</v>
          </cell>
          <cell r="F837" t="str">
            <v>31/01/2025</v>
          </cell>
          <cell r="G837" t="str">
            <v>30/01/2026</v>
          </cell>
          <cell r="H837" t="str">
            <v>08004499</v>
          </cell>
          <cell r="I837" t="str">
            <v>AL BARAKA BANK (PAKISTAN) LIMITED</v>
          </cell>
          <cell r="J837" t="str">
            <v>BANK</v>
          </cell>
          <cell r="K837" t="str">
            <v>Mr. 
Al Baraka Bank Pakistan Limited 
Mr. 
Al Baraka Bank Pakistan Limited 
User: Subhan   .</v>
          </cell>
          <cell r="L837" t="str">
            <v>D</v>
          </cell>
          <cell r="M837" t="str">
            <v>09000221</v>
          </cell>
          <cell r="N837">
            <v>100</v>
          </cell>
          <cell r="P837" t="str">
            <v>H # B-326 Block 13 Fb Area Karachi</v>
          </cell>
          <cell r="Q837" t="str">
            <v>11000003</v>
          </cell>
          <cell r="R837" t="str">
            <v>TOYOTA AVANZA M/T</v>
          </cell>
          <cell r="S837" t="str">
            <v>2015</v>
          </cell>
          <cell r="T837" t="str">
            <v>BG-1921</v>
          </cell>
          <cell r="U837" t="str">
            <v>DED9660</v>
          </cell>
          <cell r="V837" t="str">
            <v>BK000313</v>
          </cell>
          <cell r="W837" t="str">
            <v>05-feb-2027</v>
          </cell>
          <cell r="Y837">
            <v>2720000</v>
          </cell>
          <cell r="Z837">
            <v>46897</v>
          </cell>
          <cell r="AA837">
            <v>54400</v>
          </cell>
        </row>
        <row r="838">
          <cell r="B838" t="str">
            <v>KHI/HO/D/MO/PC COMP/C/105499/86/01/2025</v>
          </cell>
          <cell r="D838" t="str">
            <v>REN</v>
          </cell>
          <cell r="E838" t="str">
            <v>21/01/25</v>
          </cell>
          <cell r="F838" t="str">
            <v>06/01/2025</v>
          </cell>
          <cell r="G838" t="str">
            <v>05/01/2026</v>
          </cell>
          <cell r="H838" t="str">
            <v>08004499</v>
          </cell>
          <cell r="I838" t="str">
            <v>AL BARAKA BANK (PAKISTAN) LIMITED</v>
          </cell>
          <cell r="J838" t="str">
            <v>BANK</v>
          </cell>
          <cell r="K838" t="str">
            <v>Mr. 
Al Baraka Bank Pakistan Limited 
Mr. 
Al Baraka Bank Pakistan Limited 
User: Uzma  Shaheen</v>
          </cell>
          <cell r="L838" t="str">
            <v>D</v>
          </cell>
          <cell r="M838" t="str">
            <v>09000221</v>
          </cell>
          <cell r="N838">
            <v>100</v>
          </cell>
          <cell r="P838" t="str">
            <v>H No 64 B Anwar Block New Green City Ahlo Road Kahna Lahore</v>
          </cell>
          <cell r="Q838" t="str">
            <v>11000003</v>
          </cell>
          <cell r="R838" t="str">
            <v>SUZUKI ALTO</v>
          </cell>
          <cell r="S838" t="str">
            <v>2023</v>
          </cell>
          <cell r="T838" t="str">
            <v>AMV-728</v>
          </cell>
          <cell r="U838" t="str">
            <v>268569</v>
          </cell>
          <cell r="V838" t="str">
            <v>1168562</v>
          </cell>
          <cell r="W838" t="str">
            <v>05-jan-2027</v>
          </cell>
          <cell r="Y838">
            <v>1253750</v>
          </cell>
          <cell r="Z838">
            <v>21617</v>
          </cell>
          <cell r="AA838">
            <v>25075</v>
          </cell>
        </row>
        <row r="839">
          <cell r="B839" t="str">
            <v>KHI/HO/D/MO/PC COMP/C/105499/87/01/2025</v>
          </cell>
          <cell r="D839" t="str">
            <v>REN</v>
          </cell>
          <cell r="E839" t="str">
            <v>21/01/25</v>
          </cell>
          <cell r="F839" t="str">
            <v>09/01/2025</v>
          </cell>
          <cell r="G839" t="str">
            <v>08/01/2026</v>
          </cell>
          <cell r="H839" t="str">
            <v>08004499</v>
          </cell>
          <cell r="I839" t="str">
            <v>AL BARAKA BANK (PAKISTAN) LIMITED</v>
          </cell>
          <cell r="J839" t="str">
            <v>BANK</v>
          </cell>
          <cell r="K839" t="str">
            <v>Mr. 
Al Baraka Bank Pakistan Limited 
Mr. 
Al Baraka Bank Pakistan Limited 
User: Muhammad Hussain Abdullah</v>
          </cell>
          <cell r="L839" t="str">
            <v>D</v>
          </cell>
          <cell r="M839" t="str">
            <v>09000221</v>
          </cell>
          <cell r="N839">
            <v>100</v>
          </cell>
          <cell r="P839" t="str">
            <v>H No 350 J2 Block Wapda Town Lahore</v>
          </cell>
          <cell r="Q839" t="str">
            <v>11000003</v>
          </cell>
          <cell r="R839" t="str">
            <v>SUZUKI ALTO</v>
          </cell>
          <cell r="S839" t="str">
            <v>2022</v>
          </cell>
          <cell r="T839" t="str">
            <v>AMW-901</v>
          </cell>
          <cell r="U839" t="str">
            <v>6R268806</v>
          </cell>
          <cell r="V839" t="str">
            <v>6H1168795</v>
          </cell>
          <cell r="W839" t="str">
            <v>05-jan-2027</v>
          </cell>
          <cell r="Y839">
            <v>1658350</v>
          </cell>
          <cell r="Z839">
            <v>28592</v>
          </cell>
          <cell r="AA839">
            <v>33167</v>
          </cell>
        </row>
        <row r="840">
          <cell r="B840" t="str">
            <v>KHI/HO/D/MO/PC COMP/C/105499/88/01/2025</v>
          </cell>
          <cell r="D840" t="str">
            <v>REN</v>
          </cell>
          <cell r="E840" t="str">
            <v>21/01/25</v>
          </cell>
          <cell r="F840" t="str">
            <v>09/01/2025</v>
          </cell>
          <cell r="G840" t="str">
            <v>08/01/2026</v>
          </cell>
          <cell r="H840" t="str">
            <v>08004499</v>
          </cell>
          <cell r="I840" t="str">
            <v>AL BARAKA BANK (PAKISTAN) LIMITED</v>
          </cell>
          <cell r="J840" t="str">
            <v>BANK</v>
          </cell>
          <cell r="K840" t="str">
            <v>Mr. 
Al Baraka Bank Pakistan Limited 
Mr. 
Al Baraka Bank Pakistan Limited 
User: Ali  Rasheed</v>
          </cell>
          <cell r="L840" t="str">
            <v>D</v>
          </cell>
          <cell r="M840" t="str">
            <v>09000221</v>
          </cell>
          <cell r="N840">
            <v>100</v>
          </cell>
          <cell r="P840" t="str">
            <v>H # 207 Gulberg Town Near Maqbool Colony Bhawalpur</v>
          </cell>
          <cell r="Q840" t="str">
            <v>11000003</v>
          </cell>
          <cell r="R840" t="str">
            <v>SUZUKI ALTO VXR E-2</v>
          </cell>
          <cell r="S840" t="str">
            <v>2022</v>
          </cell>
          <cell r="T840" t="str">
            <v>ANH-619</v>
          </cell>
          <cell r="U840" t="str">
            <v>263396</v>
          </cell>
          <cell r="V840" t="str">
            <v>1163372</v>
          </cell>
          <cell r="W840" t="str">
            <v>05-feb-2028</v>
          </cell>
          <cell r="Y840">
            <v>1473050</v>
          </cell>
          <cell r="Z840">
            <v>25397</v>
          </cell>
          <cell r="AA840">
            <v>29461</v>
          </cell>
        </row>
        <row r="841">
          <cell r="B841" t="str">
            <v>KHI/HO/D/MO/PC COMP/C/105499/89/01/2025</v>
          </cell>
          <cell r="D841" t="str">
            <v>REN</v>
          </cell>
          <cell r="E841" t="str">
            <v>21/01/25</v>
          </cell>
          <cell r="F841" t="str">
            <v>10/01/2025</v>
          </cell>
          <cell r="G841" t="str">
            <v>09/01/2026</v>
          </cell>
          <cell r="H841" t="str">
            <v>08004499</v>
          </cell>
          <cell r="I841" t="str">
            <v>AL BARAKA BANK (PAKISTAN) LIMITED</v>
          </cell>
          <cell r="J841" t="str">
            <v>BANK</v>
          </cell>
          <cell r="K841" t="str">
            <v>Mr. 
Al Baraka Bank Pakistan Limited 
Mr. 
Al Baraka Bank Pakistan Limited 
User: Syed  Muhammad  Anwar</v>
          </cell>
          <cell r="L841" t="str">
            <v>D</v>
          </cell>
          <cell r="M841" t="str">
            <v>09000221</v>
          </cell>
          <cell r="N841">
            <v>100</v>
          </cell>
          <cell r="P841" t="str">
            <v>H No 21 St No 53 Mohallah Dargah Street Mian Meer Lahore</v>
          </cell>
          <cell r="Q841" t="str">
            <v>11000003</v>
          </cell>
          <cell r="R841" t="str">
            <v>TOYOTA COROLLA ALTIS 1.6</v>
          </cell>
          <cell r="S841" t="str">
            <v>2023</v>
          </cell>
          <cell r="T841" t="str">
            <v>AMX-681</v>
          </cell>
          <cell r="U841" t="str">
            <v>Q102871</v>
          </cell>
          <cell r="V841" t="str">
            <v>6080404</v>
          </cell>
          <cell r="W841" t="str">
            <v>05-jan-2028</v>
          </cell>
          <cell r="Y841">
            <v>3654150</v>
          </cell>
          <cell r="Z841">
            <v>47251</v>
          </cell>
          <cell r="AA841">
            <v>54812</v>
          </cell>
        </row>
        <row r="842">
          <cell r="B842" t="str">
            <v>KHI/HO/D/MO/PC COMP/C/105499/90/01/2025</v>
          </cell>
          <cell r="D842" t="str">
            <v>REN</v>
          </cell>
          <cell r="E842" t="str">
            <v>21/01/25</v>
          </cell>
          <cell r="F842" t="str">
            <v>11/01/2025</v>
          </cell>
          <cell r="G842" t="str">
            <v>10/01/2026</v>
          </cell>
          <cell r="H842" t="str">
            <v>08004499</v>
          </cell>
          <cell r="I842" t="str">
            <v>AL BARAKA BANK (PAKISTAN) LIMITED</v>
          </cell>
          <cell r="J842" t="str">
            <v>BANK</v>
          </cell>
          <cell r="K842" t="str">
            <v>Mr. 
Al Baraka Bank Pakistan Limited 
Mr. 
Al Baraka Bank Pakistan Limited 
User: Muhammad  Ameen</v>
          </cell>
          <cell r="L842" t="str">
            <v>D</v>
          </cell>
          <cell r="M842" t="str">
            <v>09000221</v>
          </cell>
          <cell r="N842">
            <v>100</v>
          </cell>
          <cell r="P842" t="str">
            <v>H No 03 St No 13 Taxali Gate Lahore</v>
          </cell>
          <cell r="Q842" t="str">
            <v>11000003</v>
          </cell>
          <cell r="R842" t="str">
            <v>SUZUKI ALTO VXR</v>
          </cell>
          <cell r="S842" t="str">
            <v>2022</v>
          </cell>
          <cell r="T842" t="str">
            <v>ANC-567</v>
          </cell>
          <cell r="U842" t="str">
            <v>6R268146</v>
          </cell>
          <cell r="V842" t="str">
            <v>1168140</v>
          </cell>
          <cell r="W842" t="str">
            <v>05-jan-2028</v>
          </cell>
          <cell r="Y842">
            <v>1473050</v>
          </cell>
          <cell r="Z842">
            <v>25397</v>
          </cell>
          <cell r="AA842">
            <v>29461</v>
          </cell>
        </row>
        <row r="843">
          <cell r="B843" t="str">
            <v>KHI/HO/D/MO/PC COMP/C/105499/91/01/2025</v>
          </cell>
          <cell r="D843" t="str">
            <v>REN</v>
          </cell>
          <cell r="E843" t="str">
            <v>21/01/25</v>
          </cell>
          <cell r="F843" t="str">
            <v>27/01/2025</v>
          </cell>
          <cell r="G843" t="str">
            <v>26/01/2026</v>
          </cell>
          <cell r="H843" t="str">
            <v>08004499</v>
          </cell>
          <cell r="I843" t="str">
            <v>AL BARAKA BANK (PAKISTAN) LIMITED</v>
          </cell>
          <cell r="J843" t="str">
            <v>BANK</v>
          </cell>
          <cell r="K843" t="str">
            <v>Mr. 
Al Baraka Bank Pakistan Limited 
Mr. 
Al Baraka Bank Pakistan Limited 
User: Muhammad Junaid Ismail</v>
          </cell>
          <cell r="L843" t="str">
            <v>D</v>
          </cell>
          <cell r="M843" t="str">
            <v>09000221</v>
          </cell>
          <cell r="N843">
            <v>100</v>
          </cell>
          <cell r="P843" t="str">
            <v>H # 81 Street 16 Johra Pir Colony Baghbanpura Lahore</v>
          </cell>
          <cell r="Q843" t="str">
            <v>11000003</v>
          </cell>
          <cell r="R843" t="str">
            <v>SUZUKI WAGON-R VXL E2</v>
          </cell>
          <cell r="S843" t="str">
            <v>2021</v>
          </cell>
          <cell r="T843" t="str">
            <v>ADB-21-146</v>
          </cell>
          <cell r="U843" t="str">
            <v>160244</v>
          </cell>
          <cell r="V843" t="str">
            <v>PK1060202</v>
          </cell>
          <cell r="W843" t="str">
            <v>05-feb-2027</v>
          </cell>
          <cell r="Y843">
            <v>1208000</v>
          </cell>
          <cell r="Z843">
            <v>26035</v>
          </cell>
          <cell r="AA843">
            <v>30200</v>
          </cell>
        </row>
        <row r="844">
          <cell r="B844" t="str">
            <v>KHI/HO/D/MO/PC COMP/C/105499/92/01/2025</v>
          </cell>
          <cell r="D844" t="str">
            <v>REN</v>
          </cell>
          <cell r="E844" t="str">
            <v>21/01/25</v>
          </cell>
          <cell r="F844" t="str">
            <v>25/01/2025</v>
          </cell>
          <cell r="G844" t="str">
            <v>24/01/2026</v>
          </cell>
          <cell r="H844" t="str">
            <v>08004499</v>
          </cell>
          <cell r="I844" t="str">
            <v>AL BARAKA BANK (PAKISTAN) LIMITED</v>
          </cell>
          <cell r="J844" t="str">
            <v>BANK</v>
          </cell>
          <cell r="K844" t="str">
            <v>Mr. 
Al Baraka Bank Pakistan Limited 
Mr. 
Al Baraka Bank Pakistan Limited 
User: Amir  Zeb</v>
          </cell>
          <cell r="L844" t="str">
            <v>D</v>
          </cell>
          <cell r="M844" t="str">
            <v>09000221</v>
          </cell>
          <cell r="N844">
            <v>100</v>
          </cell>
          <cell r="P844" t="str">
            <v>Mohallah Mahodand Po Dewlai Samal Bala The Kabal Swat</v>
          </cell>
          <cell r="Q844" t="str">
            <v>11000003</v>
          </cell>
          <cell r="R844" t="str">
            <v>TOYOTA COROLLA ALTIS CVTI</v>
          </cell>
          <cell r="S844" t="str">
            <v>2019</v>
          </cell>
          <cell r="T844" t="str">
            <v>ALG-026</v>
          </cell>
          <cell r="U844" t="str">
            <v>Q342909</v>
          </cell>
          <cell r="V844" t="str">
            <v>7042083</v>
          </cell>
          <cell r="W844" t="str">
            <v>05-feb-2026</v>
          </cell>
          <cell r="Y844">
            <v>2615550</v>
          </cell>
          <cell r="Z844">
            <v>33822</v>
          </cell>
          <cell r="AA844">
            <v>39233</v>
          </cell>
        </row>
        <row r="845">
          <cell r="B845" t="str">
            <v>KHI/HO/D/MO/PC COMP/C/105499/93/01/2025</v>
          </cell>
          <cell r="D845" t="str">
            <v>REN</v>
          </cell>
          <cell r="E845" t="str">
            <v>21/01/25</v>
          </cell>
          <cell r="F845" t="str">
            <v>01/02/2025</v>
          </cell>
          <cell r="G845" t="str">
            <v>31/01/2026</v>
          </cell>
          <cell r="H845" t="str">
            <v>08004499</v>
          </cell>
          <cell r="I845" t="str">
            <v>AL BARAKA BANK (PAKISTAN) LIMITED</v>
          </cell>
          <cell r="J845" t="str">
            <v>BANK</v>
          </cell>
          <cell r="K845" t="str">
            <v>Mr. 
Al Baraka Bank Pakistan Limited 
Mr. 
Al Baraka Bank Pakistan Limited 
User: Maqbool  Ahmed</v>
          </cell>
          <cell r="L845" t="str">
            <v>D</v>
          </cell>
          <cell r="M845" t="str">
            <v>09000221</v>
          </cell>
          <cell r="N845">
            <v>100</v>
          </cell>
          <cell r="P845" t="str">
            <v>House No. N-645 Sector 11-J North Karachi Karachi</v>
          </cell>
          <cell r="Q845" t="str">
            <v>11000003</v>
          </cell>
          <cell r="R845" t="str">
            <v>TOYOTA COROLLA ALTIS GRAN</v>
          </cell>
          <cell r="S845" t="str">
            <v>2018</v>
          </cell>
          <cell r="T845" t="str">
            <v>BPG-599</v>
          </cell>
          <cell r="U845" t="str">
            <v>Q337547</v>
          </cell>
          <cell r="V845" t="str">
            <v>7036359</v>
          </cell>
          <cell r="W845" t="str">
            <v>05-jan-2026</v>
          </cell>
          <cell r="Y845">
            <v>1887600</v>
          </cell>
          <cell r="Z845">
            <v>61022</v>
          </cell>
          <cell r="AA845">
            <v>70785</v>
          </cell>
        </row>
        <row r="846">
          <cell r="B846" t="str">
            <v>KHI/HO/D/MO/PC COMP/C/105499/94/01/2025</v>
          </cell>
          <cell r="D846" t="str">
            <v>REN</v>
          </cell>
          <cell r="E846" t="str">
            <v>21/01/25</v>
          </cell>
          <cell r="F846" t="str">
            <v>01/02/2025</v>
          </cell>
          <cell r="G846" t="str">
            <v>31/01/2026</v>
          </cell>
          <cell r="H846" t="str">
            <v>08004499</v>
          </cell>
          <cell r="I846" t="str">
            <v>AL BARAKA BANK (PAKISTAN) LIMITED</v>
          </cell>
          <cell r="J846" t="str">
            <v>BANK</v>
          </cell>
          <cell r="K846" t="str">
            <v>Mr. 
Al Baraka Bank Pakistan Limited 
Mr. 
Al Baraka Bank Pakistan Limited 
User: Irtaza  Jaffry</v>
          </cell>
          <cell r="L846" t="str">
            <v>D</v>
          </cell>
          <cell r="M846" t="str">
            <v>09000221</v>
          </cell>
          <cell r="N846">
            <v>100</v>
          </cell>
          <cell r="P846" t="str">
            <v>H#. 88 Block C Usman Ghani Lane Military Accounts, Lahore</v>
          </cell>
          <cell r="Q846" t="str">
            <v>11000003</v>
          </cell>
          <cell r="R846" t="str">
            <v>SUZUKI CULTUS VXR</v>
          </cell>
          <cell r="S846" t="str">
            <v>2019</v>
          </cell>
          <cell r="T846" t="str">
            <v>LEB-19-1932</v>
          </cell>
          <cell r="U846" t="str">
            <v>137020</v>
          </cell>
          <cell r="V846" t="str">
            <v>10037020</v>
          </cell>
          <cell r="W846" t="str">
            <v>05-feb-2026</v>
          </cell>
          <cell r="Y846">
            <v>916500</v>
          </cell>
          <cell r="Z846">
            <v>29629</v>
          </cell>
          <cell r="AA846">
            <v>34369</v>
          </cell>
        </row>
        <row r="847">
          <cell r="B847" t="str">
            <v>KHI/HO/D/MO/PC COMP/C/105499/95/01/2025</v>
          </cell>
          <cell r="D847" t="str">
            <v>REN</v>
          </cell>
          <cell r="E847" t="str">
            <v>21/01/25</v>
          </cell>
          <cell r="F847" t="str">
            <v>04/01/2025</v>
          </cell>
          <cell r="G847" t="str">
            <v>03/01/2026</v>
          </cell>
          <cell r="H847" t="str">
            <v>08004499</v>
          </cell>
          <cell r="I847" t="str">
            <v>AL BARAKA BANK (PAKISTAN) LIMITED</v>
          </cell>
          <cell r="J847" t="str">
            <v>BANK</v>
          </cell>
          <cell r="K847" t="str">
            <v>Mr. 
Al Baraka Bank Pakistan Limited 
Mr. 
Al Baraka Bank Pakistan Limited 
User: Rafaqat  Ali</v>
          </cell>
          <cell r="L847" t="str">
            <v>D</v>
          </cell>
          <cell r="M847" t="str">
            <v>09000221</v>
          </cell>
          <cell r="N847">
            <v>100</v>
          </cell>
          <cell r="P847" t="str">
            <v>House No.48 Block D Rehman Garden Jallo Park Lahore</v>
          </cell>
          <cell r="Q847" t="str">
            <v>11000003</v>
          </cell>
          <cell r="R847" t="str">
            <v>SUZUKI WAGON-R VXL E2</v>
          </cell>
          <cell r="S847" t="str">
            <v>2020</v>
          </cell>
          <cell r="T847" t="str">
            <v>ABL-644</v>
          </cell>
          <cell r="U847" t="str">
            <v>208908</v>
          </cell>
          <cell r="V847" t="str">
            <v>10108874</v>
          </cell>
          <cell r="W847" t="str">
            <v>05-jan-2026</v>
          </cell>
          <cell r="Y847">
            <v>1297500</v>
          </cell>
          <cell r="Z847">
            <v>27963</v>
          </cell>
          <cell r="AA847">
            <v>32438</v>
          </cell>
        </row>
        <row r="848">
          <cell r="B848" t="str">
            <v>KHI/HO/D/MO/PC COMP/C/105499/96/01/2025</v>
          </cell>
          <cell r="D848" t="str">
            <v>REN</v>
          </cell>
          <cell r="E848" t="str">
            <v>21/01/25</v>
          </cell>
          <cell r="F848" t="str">
            <v>25/01/2025</v>
          </cell>
          <cell r="G848" t="str">
            <v>24/01/2026</v>
          </cell>
          <cell r="H848" t="str">
            <v>08004499</v>
          </cell>
          <cell r="I848" t="str">
            <v>AL BARAKA BANK (PAKISTAN) LIMITED</v>
          </cell>
          <cell r="J848" t="str">
            <v>BANK</v>
          </cell>
          <cell r="K848" t="str">
            <v>Mr. 
Al Baraka Bank Pakistan Limited 
Mr. 
Al Baraka Bank Pakistan Limited 
User: Nadeem  Abbas</v>
          </cell>
          <cell r="L848" t="str">
            <v>D</v>
          </cell>
          <cell r="M848" t="str">
            <v>09000221</v>
          </cell>
          <cell r="N848">
            <v>100</v>
          </cell>
          <cell r="P848" t="str">
            <v>House No.21 Street 5 Mohallah Usman Nagar Shaziabad Lahore</v>
          </cell>
          <cell r="Q848" t="str">
            <v>11000003</v>
          </cell>
          <cell r="R848" t="str">
            <v>SUZUKI ALTO VXR</v>
          </cell>
          <cell r="S848" t="str">
            <v>2021</v>
          </cell>
          <cell r="T848" t="str">
            <v>ABV-556</v>
          </cell>
          <cell r="U848" t="str">
            <v>150925</v>
          </cell>
          <cell r="V848" t="str">
            <v>1050908</v>
          </cell>
          <cell r="W848" t="str">
            <v>05-feb-2028</v>
          </cell>
          <cell r="Y848">
            <v>1074750</v>
          </cell>
          <cell r="Z848">
            <v>23163</v>
          </cell>
          <cell r="AA848">
            <v>26869</v>
          </cell>
        </row>
        <row r="849">
          <cell r="B849" t="str">
            <v>KHI/HO/D/MO/PC COMP/C/105499/97/01/2025</v>
          </cell>
          <cell r="D849" t="str">
            <v>REN</v>
          </cell>
          <cell r="E849" t="str">
            <v>21/01/25</v>
          </cell>
          <cell r="F849" t="str">
            <v>25/01/2025</v>
          </cell>
          <cell r="G849" t="str">
            <v>24/01/2026</v>
          </cell>
          <cell r="H849" t="str">
            <v>08004499</v>
          </cell>
          <cell r="I849" t="str">
            <v>AL BARAKA BANK (PAKISTAN) LIMITED</v>
          </cell>
          <cell r="J849" t="str">
            <v>BANK</v>
          </cell>
          <cell r="K849" t="str">
            <v>Mr. 
Al Baraka Bank Pakistan Limited 
Mr. 
Al Baraka Bank Pakistan Limited 
User: Qasim  Azam</v>
          </cell>
          <cell r="L849" t="str">
            <v>D</v>
          </cell>
          <cell r="M849" t="str">
            <v>09000221</v>
          </cell>
          <cell r="N849">
            <v>100</v>
          </cell>
          <cell r="P849" t="str">
            <v>House No. 23 Street 22 Azindin Road Sanda Kalan Lahore</v>
          </cell>
          <cell r="Q849" t="str">
            <v>11000003</v>
          </cell>
          <cell r="R849" t="str">
            <v>KIA SPORTAGE AWD-CW</v>
          </cell>
          <cell r="S849" t="str">
            <v>2021</v>
          </cell>
          <cell r="T849" t="str">
            <v>ABR-882</v>
          </cell>
          <cell r="U849" t="str">
            <v>H332381</v>
          </cell>
          <cell r="V849" t="str">
            <v>P506923</v>
          </cell>
          <cell r="W849" t="str">
            <v>05-feb-2026</v>
          </cell>
          <cell r="Y849">
            <v>4072500</v>
          </cell>
          <cell r="Z849">
            <v>52662</v>
          </cell>
          <cell r="AA849">
            <v>61088</v>
          </cell>
        </row>
        <row r="850">
          <cell r="B850" t="str">
            <v>KHI/HO/D/MO/PC COMP/C/105499/98/01/2025</v>
          </cell>
          <cell r="D850" t="str">
            <v>REN</v>
          </cell>
          <cell r="E850" t="str">
            <v>21/01/25</v>
          </cell>
          <cell r="F850" t="str">
            <v>26/01/2025</v>
          </cell>
          <cell r="G850" t="str">
            <v>25/01/2026</v>
          </cell>
          <cell r="H850" t="str">
            <v>08004499</v>
          </cell>
          <cell r="I850" t="str">
            <v>AL BARAKA BANK (PAKISTAN) LIMITED</v>
          </cell>
          <cell r="J850" t="str">
            <v>BANK</v>
          </cell>
          <cell r="K850" t="str">
            <v>Mr. 
Al Baraka Bank Pakistan Limited 
Mr. 
Al Baraka Bank Pakistan Limited 
User: Aftab  Haider</v>
          </cell>
          <cell r="L850" t="str">
            <v>D</v>
          </cell>
          <cell r="M850" t="str">
            <v>09000221</v>
          </cell>
          <cell r="N850">
            <v>100</v>
          </cell>
          <cell r="P850" t="str">
            <v>House No.2 E Block  Valancia Town Lahore</v>
          </cell>
          <cell r="Q850" t="str">
            <v>11000003</v>
          </cell>
          <cell r="R850" t="str">
            <v>SUZUKI WAGON-R VXL E2</v>
          </cell>
          <cell r="S850" t="str">
            <v>2016</v>
          </cell>
          <cell r="T850" t="str">
            <v>LE-16A-1082</v>
          </cell>
          <cell r="U850" t="str">
            <v>118650</v>
          </cell>
          <cell r="V850" t="str">
            <v>10018638</v>
          </cell>
          <cell r="W850" t="str">
            <v>05-feb-2026</v>
          </cell>
          <cell r="Y850">
            <v>975000</v>
          </cell>
          <cell r="Z850">
            <v>21013</v>
          </cell>
          <cell r="AA850">
            <v>24375</v>
          </cell>
        </row>
        <row r="851">
          <cell r="B851" t="str">
            <v>KHI/HO/D/MO/PC COMP/C/105499/99/01/2025</v>
          </cell>
          <cell r="D851" t="str">
            <v>REN</v>
          </cell>
          <cell r="E851" t="str">
            <v>21/01/25</v>
          </cell>
          <cell r="F851" t="str">
            <v>26/01/2025</v>
          </cell>
          <cell r="G851" t="str">
            <v>25/01/2026</v>
          </cell>
          <cell r="H851" t="str">
            <v>08004499</v>
          </cell>
          <cell r="I851" t="str">
            <v>AL BARAKA BANK (PAKISTAN) LIMITED</v>
          </cell>
          <cell r="J851" t="str">
            <v>BANK</v>
          </cell>
          <cell r="K851" t="str">
            <v>Mr. 
Al Baraka Bank Pakistan Limited 
Mr. 
Al Baraka Bank Pakistan Limited 
User: Nadeem  Younas</v>
          </cell>
          <cell r="L851" t="str">
            <v>D</v>
          </cell>
          <cell r="M851" t="str">
            <v>09000221</v>
          </cell>
          <cell r="N851">
            <v>100</v>
          </cell>
          <cell r="P851" t="str">
            <v>House No. 147 Block A Model Town Lahore</v>
          </cell>
          <cell r="Q851" t="str">
            <v>11000003</v>
          </cell>
          <cell r="R851" t="str">
            <v>HONDA CITY I-VTEC A/T PT</v>
          </cell>
          <cell r="S851" t="str">
            <v>2014</v>
          </cell>
          <cell r="T851" t="str">
            <v>LEH-14-1041</v>
          </cell>
          <cell r="U851" t="str">
            <v>7420945</v>
          </cell>
          <cell r="V851" t="str">
            <v>R-157341</v>
          </cell>
          <cell r="W851" t="str">
            <v>05-feb-2026</v>
          </cell>
          <cell r="Y851">
            <v>1387500</v>
          </cell>
          <cell r="Z851">
            <v>29903</v>
          </cell>
          <cell r="AA851">
            <v>34688</v>
          </cell>
        </row>
        <row r="852">
          <cell r="B852" t="str">
            <v>KHI/HO/D/MO/PC COMP/C/105499/100/01/2025</v>
          </cell>
          <cell r="D852" t="str">
            <v>REN</v>
          </cell>
          <cell r="E852" t="str">
            <v>21/01/25</v>
          </cell>
          <cell r="F852" t="str">
            <v>27/01/2025</v>
          </cell>
          <cell r="G852" t="str">
            <v>26/01/2026</v>
          </cell>
          <cell r="H852" t="str">
            <v>08004499</v>
          </cell>
          <cell r="I852" t="str">
            <v>AL BARAKA BANK (PAKISTAN) LIMITED</v>
          </cell>
          <cell r="J852" t="str">
            <v>BANK</v>
          </cell>
          <cell r="K852" t="str">
            <v>Mr. 
Al Baraka Bank Pakistan Limited 
Mr. 
Al Baraka Bank Pakistan Limited 
User: Haseeb Rafiq Qureshi</v>
          </cell>
          <cell r="L852" t="str">
            <v>D</v>
          </cell>
          <cell r="M852" t="str">
            <v>09000221</v>
          </cell>
          <cell r="N852">
            <v>100</v>
          </cell>
          <cell r="P852" t="str">
            <v>House No. 8/38 Street 8 Gole Market Nazimabad Karachi</v>
          </cell>
          <cell r="Q852" t="str">
            <v>11000003</v>
          </cell>
          <cell r="R852" t="str">
            <v>SUZUKI BOLAN STD VX EURO</v>
          </cell>
          <cell r="S852" t="str">
            <v>2021</v>
          </cell>
          <cell r="T852" t="str">
            <v>CZ-1381</v>
          </cell>
          <cell r="U852" t="str">
            <v>1009167</v>
          </cell>
          <cell r="V852" t="str">
            <v>01125673</v>
          </cell>
          <cell r="W852" t="str">
            <v>05-feb-2026</v>
          </cell>
          <cell r="Y852">
            <v>850500</v>
          </cell>
          <cell r="Z852">
            <v>18330</v>
          </cell>
          <cell r="AA852">
            <v>21263</v>
          </cell>
        </row>
        <row r="853">
          <cell r="B853" t="str">
            <v>KHI/HO/D/MO/PC COMP/C/105499/101/01/2025</v>
          </cell>
          <cell r="D853" t="str">
            <v>REN</v>
          </cell>
          <cell r="E853" t="str">
            <v>21/01/25</v>
          </cell>
          <cell r="F853" t="str">
            <v>27/01/2025</v>
          </cell>
          <cell r="G853" t="str">
            <v>26/01/2026</v>
          </cell>
          <cell r="H853" t="str">
            <v>08004499</v>
          </cell>
          <cell r="I853" t="str">
            <v>AL BARAKA BANK (PAKISTAN) LIMITED</v>
          </cell>
          <cell r="J853" t="str">
            <v>BANK</v>
          </cell>
          <cell r="K853" t="str">
            <v>Mr. 
Al Baraka Bank Pakistan Limited 
Mr. 
Al Baraka Bank Pakistan Limited 
User: Muhammad  Tahir</v>
          </cell>
          <cell r="L853" t="str">
            <v>D</v>
          </cell>
          <cell r="M853" t="str">
            <v>09000221</v>
          </cell>
          <cell r="N853">
            <v>100</v>
          </cell>
          <cell r="P853" t="str">
            <v>House No. 23 Mohallah Mahmood Road New Samanabad Lahore</v>
          </cell>
          <cell r="Q853" t="str">
            <v>11000003</v>
          </cell>
          <cell r="R853" t="str">
            <v>TOYOTA YARIS ATIV X CVT</v>
          </cell>
          <cell r="S853" t="str">
            <v>2021</v>
          </cell>
          <cell r="T853" t="str">
            <v>ACR-410</v>
          </cell>
          <cell r="U853" t="str">
            <v>2A17125</v>
          </cell>
          <cell r="V853" t="str">
            <v>9506951</v>
          </cell>
          <cell r="W853" t="str">
            <v>05-feb-2026</v>
          </cell>
          <cell r="Y853">
            <v>2274750</v>
          </cell>
          <cell r="Z853">
            <v>49025</v>
          </cell>
          <cell r="AA853">
            <v>56869</v>
          </cell>
        </row>
        <row r="854">
          <cell r="B854" t="str">
            <v>KHI/HO/D/MO/PC COMP/C/105499/102/01/2025</v>
          </cell>
          <cell r="D854" t="str">
            <v>REN</v>
          </cell>
          <cell r="E854" t="str">
            <v>21/01/25</v>
          </cell>
          <cell r="F854" t="str">
            <v>27/01/2025</v>
          </cell>
          <cell r="G854" t="str">
            <v>26/01/2026</v>
          </cell>
          <cell r="H854" t="str">
            <v>08004499</v>
          </cell>
          <cell r="I854" t="str">
            <v>AL BARAKA BANK (PAKISTAN) LIMITED</v>
          </cell>
          <cell r="J854" t="str">
            <v>BANK</v>
          </cell>
          <cell r="K854" t="str">
            <v>Mr. 
Al Baraka Bank Pakistan Limited 
Mr. 
Al Baraka Bank Pakistan Limited 
User: Muhammad Farooq Jami</v>
          </cell>
          <cell r="L854" t="str">
            <v>D</v>
          </cell>
          <cell r="M854" t="str">
            <v>09000221</v>
          </cell>
          <cell r="N854">
            <v>100</v>
          </cell>
          <cell r="P854" t="str">
            <v>House No. 14 Street 4 Lahore Medical Housing Scheme Lahore Phase Iii</v>
          </cell>
          <cell r="Q854" t="str">
            <v>11000003</v>
          </cell>
          <cell r="R854" t="str">
            <v>SUZUKI ALTO VXL</v>
          </cell>
          <cell r="S854" t="str">
            <v>2019</v>
          </cell>
          <cell r="T854" t="str">
            <v>ABN-085</v>
          </cell>
          <cell r="U854" t="str">
            <v>6R107529</v>
          </cell>
          <cell r="V854" t="str">
            <v>H1007370</v>
          </cell>
          <cell r="W854" t="str">
            <v>05-feb-2026</v>
          </cell>
          <cell r="Y854">
            <v>1020000</v>
          </cell>
          <cell r="Z854">
            <v>21983</v>
          </cell>
          <cell r="AA854">
            <v>25500</v>
          </cell>
        </row>
        <row r="855">
          <cell r="B855" t="str">
            <v>KHI/HO/D/MO/PC COMP/C/105499/103/01/2025</v>
          </cell>
          <cell r="D855" t="str">
            <v>REN</v>
          </cell>
          <cell r="E855" t="str">
            <v>21/01/25</v>
          </cell>
          <cell r="F855" t="str">
            <v>27/01/2025</v>
          </cell>
          <cell r="G855" t="str">
            <v>26/01/2026</v>
          </cell>
          <cell r="H855" t="str">
            <v>08004499</v>
          </cell>
          <cell r="I855" t="str">
            <v>AL BARAKA BANK (PAKISTAN) LIMITED</v>
          </cell>
          <cell r="J855" t="str">
            <v>BANK</v>
          </cell>
          <cell r="K855" t="str">
            <v>Mr. 
Al Baraka Bank Pakistan Limited 
Mr. 
Al Baraka Bank Pakistan Limited 
User: Allah Ditta Ghulam Fareed</v>
          </cell>
          <cell r="L855" t="str">
            <v>D</v>
          </cell>
          <cell r="M855" t="str">
            <v>09000221</v>
          </cell>
          <cell r="N855">
            <v>100</v>
          </cell>
          <cell r="P855" t="str">
            <v>House No. 158 Block J Sabzazar Lahore</v>
          </cell>
          <cell r="Q855" t="str">
            <v>11000003</v>
          </cell>
          <cell r="R855" t="str">
            <v>SUZUKI WAGON-R VXL E2</v>
          </cell>
          <cell r="S855" t="str">
            <v>2021</v>
          </cell>
          <cell r="T855" t="str">
            <v>ACA-562</v>
          </cell>
          <cell r="U855" t="str">
            <v>209791</v>
          </cell>
          <cell r="V855" t="str">
            <v>10109799</v>
          </cell>
          <cell r="W855" t="str">
            <v>05-feb-2026</v>
          </cell>
          <cell r="Y855">
            <v>1297500</v>
          </cell>
          <cell r="Z855">
            <v>27963</v>
          </cell>
          <cell r="AA855">
            <v>32438</v>
          </cell>
        </row>
        <row r="856">
          <cell r="B856" t="str">
            <v>KHI/HO/D/MO/PC COMP/C/105499/104/01/2025</v>
          </cell>
          <cell r="D856" t="str">
            <v>REN</v>
          </cell>
          <cell r="E856" t="str">
            <v>21/01/25</v>
          </cell>
          <cell r="F856" t="str">
            <v>27/01/2025</v>
          </cell>
          <cell r="G856" t="str">
            <v>26/01/2026</v>
          </cell>
          <cell r="H856" t="str">
            <v>08004499</v>
          </cell>
          <cell r="I856" t="str">
            <v>AL BARAKA BANK (PAKISTAN) LIMITED</v>
          </cell>
          <cell r="J856" t="str">
            <v>BANK</v>
          </cell>
          <cell r="K856" t="str">
            <v>Mr. 
Al Baraka Bank Pakistan Limited 
Mr. 
Al Baraka Bank Pakistan Limited 
User: Syed Mohsin Ali Shah</v>
          </cell>
          <cell r="L856" t="str">
            <v>D</v>
          </cell>
          <cell r="M856" t="str">
            <v>09000221</v>
          </cell>
          <cell r="N856">
            <v>100</v>
          </cell>
          <cell r="P856" t="str">
            <v>Near Govt. High School No. 2 Phool Nagar Lahore</v>
          </cell>
          <cell r="Q856" t="str">
            <v>11000003</v>
          </cell>
          <cell r="R856" t="str">
            <v>HONDA CITY I-VTEC (M/T)</v>
          </cell>
          <cell r="S856" t="str">
            <v>2021</v>
          </cell>
          <cell r="T856" t="str">
            <v>ABT-563</v>
          </cell>
          <cell r="U856" t="str">
            <v>7543134</v>
          </cell>
          <cell r="V856" t="str">
            <v>MR266735</v>
          </cell>
          <cell r="W856" t="str">
            <v>05-feb-2026</v>
          </cell>
          <cell r="Y856">
            <v>1983750</v>
          </cell>
          <cell r="Z856">
            <v>42753</v>
          </cell>
          <cell r="AA856">
            <v>49594</v>
          </cell>
        </row>
        <row r="857">
          <cell r="B857" t="str">
            <v>KHI/HO/D/MO/PC COMP/C/105499/105/01/2025</v>
          </cell>
          <cell r="D857" t="str">
            <v>REN</v>
          </cell>
          <cell r="E857" t="str">
            <v>21/01/25</v>
          </cell>
          <cell r="F857" t="str">
            <v>27/01/2025</v>
          </cell>
          <cell r="G857" t="str">
            <v>26/01/2026</v>
          </cell>
          <cell r="H857" t="str">
            <v>08004499</v>
          </cell>
          <cell r="I857" t="str">
            <v>AL BARAKA BANK (PAKISTAN) LIMITED</v>
          </cell>
          <cell r="J857" t="str">
            <v>BANK</v>
          </cell>
          <cell r="K857" t="str">
            <v>Mr. 
Al Baraka Bank Pakistan Limited 
Mr. 
Al Baraka Bank Pakistan Limited 
User: Syed  Noman Shabbir</v>
          </cell>
          <cell r="L857" t="str">
            <v>D</v>
          </cell>
          <cell r="M857" t="str">
            <v>09000221</v>
          </cell>
          <cell r="N857">
            <v>100</v>
          </cell>
          <cell r="P857" t="str">
            <v>House No. 206 Mohallah Dheri Hassanabad Rawalpindi</v>
          </cell>
          <cell r="Q857" t="str">
            <v>11000003</v>
          </cell>
          <cell r="R857" t="str">
            <v>SUZUKI ALTO VXL AGS E-2</v>
          </cell>
          <cell r="S857" t="str">
            <v>2021</v>
          </cell>
          <cell r="T857" t="str">
            <v>ASW-173</v>
          </cell>
          <cell r="U857" t="str">
            <v>152383</v>
          </cell>
          <cell r="V857" t="str">
            <v>1052383</v>
          </cell>
          <cell r="W857" t="str">
            <v>05-feb-2026</v>
          </cell>
          <cell r="Y857">
            <v>1224750</v>
          </cell>
          <cell r="Z857">
            <v>26396</v>
          </cell>
          <cell r="AA857">
            <v>30619</v>
          </cell>
        </row>
        <row r="858">
          <cell r="B858" t="str">
            <v>KHI/HO/D/MO/PC COMP/C/105499/106/01/2025</v>
          </cell>
          <cell r="D858" t="str">
            <v>REN</v>
          </cell>
          <cell r="E858" t="str">
            <v>21/01/25</v>
          </cell>
          <cell r="F858" t="str">
            <v>27/01/2025</v>
          </cell>
          <cell r="G858" t="str">
            <v>26/01/2026</v>
          </cell>
          <cell r="H858" t="str">
            <v>08004499</v>
          </cell>
          <cell r="I858" t="str">
            <v>AL BARAKA BANK (PAKISTAN) LIMITED</v>
          </cell>
          <cell r="J858" t="str">
            <v>BANK</v>
          </cell>
          <cell r="K858" t="str">
            <v>Mr. 
Al Baraka Bank Pakistan Limited 
Mr. 
Al Baraka Bank Pakistan Limited 
User: Syed  Noman Shabbir</v>
          </cell>
          <cell r="L858" t="str">
            <v>D</v>
          </cell>
          <cell r="M858" t="str">
            <v>09000221</v>
          </cell>
          <cell r="N858">
            <v>100</v>
          </cell>
          <cell r="P858" t="str">
            <v>House No. 206 Mohallah Dheri Hassanabad Rawalpindi</v>
          </cell>
          <cell r="Q858" t="str">
            <v>11000003</v>
          </cell>
          <cell r="R858" t="str">
            <v>SUZUKI ALTO VXL AGS E-2</v>
          </cell>
          <cell r="S858" t="str">
            <v>2021</v>
          </cell>
          <cell r="T858" t="str">
            <v>ASW-174</v>
          </cell>
          <cell r="U858" t="str">
            <v>152413</v>
          </cell>
          <cell r="V858" t="str">
            <v>1052414</v>
          </cell>
          <cell r="W858" t="str">
            <v>05-feb-2028</v>
          </cell>
          <cell r="Y858">
            <v>1074750</v>
          </cell>
          <cell r="Z858">
            <v>23163</v>
          </cell>
          <cell r="AA858">
            <v>26869</v>
          </cell>
        </row>
        <row r="859">
          <cell r="B859" t="str">
            <v>KHI/HO/D/MO/PC COMP/C/105499/107/01/2025</v>
          </cell>
          <cell r="D859" t="str">
            <v>REN</v>
          </cell>
          <cell r="E859" t="str">
            <v>21/01/25</v>
          </cell>
          <cell r="F859" t="str">
            <v>27/01/2025</v>
          </cell>
          <cell r="G859" t="str">
            <v>26/01/2026</v>
          </cell>
          <cell r="H859" t="str">
            <v>08004499</v>
          </cell>
          <cell r="I859" t="str">
            <v>AL BARAKA BANK (PAKISTAN) LIMITED</v>
          </cell>
          <cell r="J859" t="str">
            <v>BANK</v>
          </cell>
          <cell r="K859" t="str">
            <v>Mr. 
Al Baraka Bank Pakistan Limited 
Mr. 
Al Baraka Bank Pakistan Limited 
User: Mirza Shoaib Ejaz</v>
          </cell>
          <cell r="L859" t="str">
            <v>D</v>
          </cell>
          <cell r="M859" t="str">
            <v>09000221</v>
          </cell>
          <cell r="N859">
            <v>100</v>
          </cell>
          <cell r="P859" t="str">
            <v>Kot Abdul Malik Kalar Tehsil Ferozewala District Sheikhupura</v>
          </cell>
          <cell r="Q859" t="str">
            <v>11000003</v>
          </cell>
          <cell r="R859" t="str">
            <v>KIA SPORTAGE AWD-CW</v>
          </cell>
          <cell r="S859" t="str">
            <v>2021</v>
          </cell>
          <cell r="T859" t="str">
            <v>ASK-311</v>
          </cell>
          <cell r="U859" t="str">
            <v>341668</v>
          </cell>
          <cell r="V859" t="str">
            <v>508476</v>
          </cell>
          <cell r="W859" t="str">
            <v>05-feb-2026</v>
          </cell>
          <cell r="Y859">
            <v>4072500</v>
          </cell>
          <cell r="Z859">
            <v>52662</v>
          </cell>
          <cell r="AA859">
            <v>61088</v>
          </cell>
        </row>
        <row r="860">
          <cell r="B860" t="str">
            <v>KHI/HO/D/MO/PC COMP/C/105499/108/01/2025</v>
          </cell>
          <cell r="D860" t="str">
            <v>REN</v>
          </cell>
          <cell r="E860" t="str">
            <v>21/01/25</v>
          </cell>
          <cell r="F860" t="str">
            <v>27/01/2025</v>
          </cell>
          <cell r="G860" t="str">
            <v>26/01/2026</v>
          </cell>
          <cell r="H860" t="str">
            <v>08004499</v>
          </cell>
          <cell r="I860" t="str">
            <v>AL BARAKA BANK (PAKISTAN) LIMITED</v>
          </cell>
          <cell r="J860" t="str">
            <v>BANK</v>
          </cell>
          <cell r="K860" t="str">
            <v>Mr. 
Al Baraka Bank Pakistan Limited 
Mr. 
Al Baraka Bank Pakistan Limited 
User: Arshi  Malik</v>
          </cell>
          <cell r="L860" t="str">
            <v>D</v>
          </cell>
          <cell r="M860" t="str">
            <v>09000221</v>
          </cell>
          <cell r="N860">
            <v>100</v>
          </cell>
          <cell r="P860" t="str">
            <v>House No. 26 N Block Sabzazar Scheme Multan Road Lahore</v>
          </cell>
          <cell r="Q860" t="str">
            <v>11000003</v>
          </cell>
          <cell r="R860" t="str">
            <v>SUZUKI ALTO VXL AGS E-2</v>
          </cell>
          <cell r="S860" t="str">
            <v>2021</v>
          </cell>
          <cell r="T860" t="str">
            <v>ABV-325</v>
          </cell>
          <cell r="U860" t="str">
            <v>152060</v>
          </cell>
          <cell r="V860" t="str">
            <v>1052104</v>
          </cell>
          <cell r="W860" t="str">
            <v>05-feb-2026</v>
          </cell>
          <cell r="Y860">
            <v>1224750</v>
          </cell>
          <cell r="Z860">
            <v>26396</v>
          </cell>
          <cell r="AA860">
            <v>30619</v>
          </cell>
        </row>
        <row r="861">
          <cell r="B861" t="str">
            <v>KHI/HO/D/MO/PC COMP/C/105499/109/01/2025</v>
          </cell>
          <cell r="D861" t="str">
            <v>REN</v>
          </cell>
          <cell r="E861" t="str">
            <v>21/01/25</v>
          </cell>
          <cell r="F861" t="str">
            <v>28/01/2025</v>
          </cell>
          <cell r="G861" t="str">
            <v>27/01/2026</v>
          </cell>
          <cell r="H861" t="str">
            <v>08004499</v>
          </cell>
          <cell r="I861" t="str">
            <v>AL BARAKA BANK (PAKISTAN) LIMITED</v>
          </cell>
          <cell r="J861" t="str">
            <v>BANK</v>
          </cell>
          <cell r="K861" t="str">
            <v>Mr. 
Al Baraka Bank Pakistan Limited 
Mr. 
Al Baraka Bank Pakistan Limited 
User: Muhammad   Shahid</v>
          </cell>
          <cell r="L861" t="str">
            <v>D</v>
          </cell>
          <cell r="M861" t="str">
            <v>09000221</v>
          </cell>
          <cell r="N861">
            <v>100</v>
          </cell>
          <cell r="P861" t="str">
            <v>House No. 59-4 D-Ii Mohallah Green Town Lahore</v>
          </cell>
          <cell r="Q861" t="str">
            <v>11000003</v>
          </cell>
          <cell r="R861" t="str">
            <v>SUZUKI CULTUS VXL</v>
          </cell>
          <cell r="S861" t="str">
            <v>2017</v>
          </cell>
          <cell r="T861" t="str">
            <v>LEB-17-9436</v>
          </cell>
          <cell r="U861" t="str">
            <v>104508</v>
          </cell>
          <cell r="V861" t="str">
            <v>10004525</v>
          </cell>
          <cell r="W861" t="str">
            <v>05-feb-2026</v>
          </cell>
          <cell r="Y861">
            <v>1117500</v>
          </cell>
          <cell r="Z861">
            <v>24084</v>
          </cell>
          <cell r="AA861">
            <v>27938</v>
          </cell>
        </row>
        <row r="862">
          <cell r="B862" t="str">
            <v>KHI/HO/D/MO/PC COMP/C/105499/110/01/2025</v>
          </cell>
          <cell r="D862" t="str">
            <v>REN</v>
          </cell>
          <cell r="E862" t="str">
            <v>21/01/25</v>
          </cell>
          <cell r="F862" t="str">
            <v>28/01/2025</v>
          </cell>
          <cell r="G862" t="str">
            <v>27/01/2026</v>
          </cell>
          <cell r="H862" t="str">
            <v>08004499</v>
          </cell>
          <cell r="I862" t="str">
            <v>AL BARAKA BANK (PAKISTAN) LIMITED</v>
          </cell>
          <cell r="J862" t="str">
            <v>BANK</v>
          </cell>
          <cell r="K862" t="str">
            <v>Mr. 
Al Baraka Bank Pakistan Limited 
Mr. 
Al Baraka Bank Pakistan Limited 
User: Mian  Safdar Hussain</v>
          </cell>
          <cell r="L862" t="str">
            <v>D</v>
          </cell>
          <cell r="M862" t="str">
            <v>09000221</v>
          </cell>
          <cell r="N862">
            <v>100</v>
          </cell>
          <cell r="P862" t="str">
            <v>House No. 20 E Phase 8 Dha Lahore</v>
          </cell>
          <cell r="Q862" t="str">
            <v>11000003</v>
          </cell>
          <cell r="R862" t="str">
            <v>HONDA CITY I-VTEC A/T PT</v>
          </cell>
          <cell r="S862" t="str">
            <v>2021</v>
          </cell>
          <cell r="T862" t="str">
            <v>ABU-327</v>
          </cell>
          <cell r="U862" t="str">
            <v>7543425</v>
          </cell>
          <cell r="V862" t="str">
            <v>257216</v>
          </cell>
          <cell r="W862" t="str">
            <v>05-feb-2026</v>
          </cell>
          <cell r="Y862">
            <v>1983750</v>
          </cell>
          <cell r="Z862">
            <v>42753</v>
          </cell>
          <cell r="AA862">
            <v>49594</v>
          </cell>
        </row>
        <row r="863">
          <cell r="B863" t="str">
            <v>KHI/HO/D/MO/PC COMP/C/105499/111/01/2025</v>
          </cell>
          <cell r="D863" t="str">
            <v>REN</v>
          </cell>
          <cell r="E863" t="str">
            <v>21/01/25</v>
          </cell>
          <cell r="F863" t="str">
            <v>28/01/2025</v>
          </cell>
          <cell r="G863" t="str">
            <v>27/01/2026</v>
          </cell>
          <cell r="H863" t="str">
            <v>08004499</v>
          </cell>
          <cell r="I863" t="str">
            <v>AL BARAKA BANK (PAKISTAN) LIMITED</v>
          </cell>
          <cell r="J863" t="str">
            <v>BANK</v>
          </cell>
          <cell r="K863" t="str">
            <v>Mr. 
Al Baraka Bank Pakistan Limited 
Mr. 
Al Baraka Bank Pakistan Limited 
User: Raja Waseem Rasheed</v>
          </cell>
          <cell r="L863" t="str">
            <v>D</v>
          </cell>
          <cell r="M863" t="str">
            <v>09000221</v>
          </cell>
          <cell r="N863">
            <v>100</v>
          </cell>
          <cell r="P863" t="str">
            <v>Chak No. 15/8 R Katcha Khu Mian Channu</v>
          </cell>
          <cell r="Q863" t="str">
            <v>11000003</v>
          </cell>
          <cell r="R863" t="str">
            <v>SUZUKI ALTO VXR</v>
          </cell>
          <cell r="S863" t="str">
            <v>2021</v>
          </cell>
          <cell r="T863" t="str">
            <v>ABV-548</v>
          </cell>
          <cell r="U863" t="str">
            <v>153099</v>
          </cell>
          <cell r="V863" t="str">
            <v>1053111</v>
          </cell>
          <cell r="W863" t="str">
            <v>05-feb-2026</v>
          </cell>
          <cell r="Y863">
            <v>1074750</v>
          </cell>
          <cell r="Z863">
            <v>23163</v>
          </cell>
          <cell r="AA863">
            <v>26869</v>
          </cell>
        </row>
        <row r="864">
          <cell r="B864" t="str">
            <v>KHI/HO/D/MO/PC COMP/C/105499/112/01/2025</v>
          </cell>
          <cell r="D864" t="str">
            <v>REN</v>
          </cell>
          <cell r="E864" t="str">
            <v>21/01/25</v>
          </cell>
          <cell r="F864" t="str">
            <v>05/01/2025</v>
          </cell>
          <cell r="G864" t="str">
            <v>04/01/2026</v>
          </cell>
          <cell r="H864" t="str">
            <v>08004499</v>
          </cell>
          <cell r="I864" t="str">
            <v>AL BARAKA BANK (PAKISTAN) LIMITED</v>
          </cell>
          <cell r="J864" t="str">
            <v>BANK</v>
          </cell>
          <cell r="K864" t="str">
            <v>Mr. 
Al Baraka Bank Pakistan Limited 
Mr. 
Al Baraka Bank Pakistan Limited 
User: Aamir  Ahmed</v>
          </cell>
          <cell r="L864" t="str">
            <v>D</v>
          </cell>
          <cell r="M864" t="str">
            <v>09000221</v>
          </cell>
          <cell r="N864">
            <v>100</v>
          </cell>
          <cell r="P864" t="str">
            <v>Plot # Z/212 Shop 12 Block7-8, Al-Hamra Co-Operative Society, Karachi.</v>
          </cell>
          <cell r="Q864" t="str">
            <v>11000003</v>
          </cell>
          <cell r="R864" t="str">
            <v>TOYOTA HILUX REVO</v>
          </cell>
          <cell r="S864" t="str">
            <v>2020</v>
          </cell>
          <cell r="T864" t="str">
            <v>KZ-4681</v>
          </cell>
          <cell r="U864" t="str">
            <v>1GD0905565</v>
          </cell>
          <cell r="V864" t="str">
            <v>5542349</v>
          </cell>
          <cell r="W864" t="str">
            <v>05-jan-2026</v>
          </cell>
          <cell r="Y864">
            <v>5286375</v>
          </cell>
          <cell r="Z864">
            <v>68358</v>
          </cell>
          <cell r="AA864">
            <v>79296</v>
          </cell>
        </row>
        <row r="865">
          <cell r="B865" t="str">
            <v>KHI/HO/D/MO/PC COMP/C/105499/113/01/2025</v>
          </cell>
          <cell r="D865" t="str">
            <v>REN</v>
          </cell>
          <cell r="E865" t="str">
            <v>21/01/25</v>
          </cell>
          <cell r="F865" t="str">
            <v>28/01/2025</v>
          </cell>
          <cell r="G865" t="str">
            <v>27/01/2026</v>
          </cell>
          <cell r="H865" t="str">
            <v>08004499</v>
          </cell>
          <cell r="I865" t="str">
            <v>AL BARAKA BANK (PAKISTAN) LIMITED</v>
          </cell>
          <cell r="J865" t="str">
            <v>BANK</v>
          </cell>
          <cell r="K865" t="str">
            <v>Mr. 
Al Baraka Bank Pakistan Limited 
Mr. 
Al Baraka Bank Pakistan Limited 
User: Muhammad  Ali</v>
          </cell>
          <cell r="L865" t="str">
            <v>D</v>
          </cell>
          <cell r="M865" t="str">
            <v>09000221</v>
          </cell>
          <cell r="N865">
            <v>100</v>
          </cell>
          <cell r="P865" t="str">
            <v>House No. 5 Adil Abbas Town Near Officers Colony Bahawalpur</v>
          </cell>
          <cell r="Q865" t="str">
            <v>11000003</v>
          </cell>
          <cell r="R865" t="str">
            <v>HONDA CIVIC VTI  ORIEL PT</v>
          </cell>
          <cell r="S865" t="str">
            <v>2021</v>
          </cell>
          <cell r="T865" t="str">
            <v>ATT-026</v>
          </cell>
          <cell r="U865" t="str">
            <v>Z16917186</v>
          </cell>
          <cell r="V865" t="str">
            <v>MR069299</v>
          </cell>
          <cell r="W865" t="str">
            <v>05-feb-2026</v>
          </cell>
          <cell r="Y865">
            <v>3100875</v>
          </cell>
          <cell r="Z865">
            <v>40097</v>
          </cell>
          <cell r="AA865">
            <v>46513</v>
          </cell>
        </row>
        <row r="866">
          <cell r="B866" t="str">
            <v>KHI/HO/D/MO/PC COMP/C/105499/114/01/2025</v>
          </cell>
          <cell r="D866" t="str">
            <v>REN</v>
          </cell>
          <cell r="E866" t="str">
            <v>21/01/25</v>
          </cell>
          <cell r="F866" t="str">
            <v>28/01/2025</v>
          </cell>
          <cell r="G866" t="str">
            <v>27/01/2026</v>
          </cell>
          <cell r="H866" t="str">
            <v>08004499</v>
          </cell>
          <cell r="I866" t="str">
            <v>AL BARAKA BANK (PAKISTAN) LIMITED</v>
          </cell>
          <cell r="J866" t="str">
            <v>BANK</v>
          </cell>
          <cell r="K866" t="str">
            <v>Mr. 
Al Baraka Bank Pakistan Limited 
Mr. 
Al Baraka Bank Pakistan Limited 
User: Adnan Ahmed Saeed</v>
          </cell>
          <cell r="L866" t="str">
            <v>D</v>
          </cell>
          <cell r="M866" t="str">
            <v>09000221</v>
          </cell>
          <cell r="N866">
            <v>100</v>
          </cell>
          <cell r="P866" t="str">
            <v>House No. 696 X Block Street 23 Dha Phase  Iii Lahore</v>
          </cell>
          <cell r="Q866" t="str">
            <v>11000003</v>
          </cell>
          <cell r="R866" t="str">
            <v>HONDA CIVIC VTI  ORIEL PT</v>
          </cell>
          <cell r="S866" t="str">
            <v>2021</v>
          </cell>
          <cell r="T866" t="str">
            <v>ACN-336</v>
          </cell>
          <cell r="U866" t="str">
            <v>16916977</v>
          </cell>
          <cell r="V866" t="str">
            <v>069131</v>
          </cell>
          <cell r="W866" t="str">
            <v>05-feb-2028</v>
          </cell>
          <cell r="Y866">
            <v>3095250</v>
          </cell>
          <cell r="Z866">
            <v>40025</v>
          </cell>
          <cell r="AA866">
            <v>46429</v>
          </cell>
        </row>
        <row r="867">
          <cell r="B867" t="str">
            <v>KHI/HO/D/MO/PC COMP/C/105499/115/01/2025</v>
          </cell>
          <cell r="D867" t="str">
            <v>REN</v>
          </cell>
          <cell r="E867" t="str">
            <v>21/01/25</v>
          </cell>
          <cell r="F867" t="str">
            <v>29/01/2025</v>
          </cell>
          <cell r="G867" t="str">
            <v>28/01/2026</v>
          </cell>
          <cell r="H867" t="str">
            <v>08004499</v>
          </cell>
          <cell r="I867" t="str">
            <v>AL BARAKA BANK (PAKISTAN) LIMITED</v>
          </cell>
          <cell r="J867" t="str">
            <v>BANK</v>
          </cell>
          <cell r="K867" t="str">
            <v>Mr. 
Al Baraka Bank Pakistan Limited 
Mr. 
Al Baraka Bank Pakistan Limited 
User: Imtiaz Ali Ujjan</v>
          </cell>
          <cell r="L867" t="str">
            <v>D</v>
          </cell>
          <cell r="M867" t="str">
            <v>09000221</v>
          </cell>
          <cell r="N867">
            <v>100</v>
          </cell>
          <cell r="P867" t="str">
            <v>Judges Banglows 1 &amp;amp; 2 Ferozenana Road Land Bl 07 Clifton  Kehkashan Karachi</v>
          </cell>
          <cell r="Q867" t="str">
            <v>11000003</v>
          </cell>
          <cell r="R867" t="str">
            <v>SUZUKI CULTUS VXL EURO II</v>
          </cell>
          <cell r="S867" t="str">
            <v>2020</v>
          </cell>
          <cell r="T867" t="str">
            <v>BBL-016</v>
          </cell>
          <cell r="U867" t="str">
            <v>589674</v>
          </cell>
          <cell r="V867" t="str">
            <v>496548</v>
          </cell>
          <cell r="W867" t="str">
            <v>05-feb-2026</v>
          </cell>
          <cell r="Y867">
            <v>675000</v>
          </cell>
          <cell r="Z867">
            <v>14548</v>
          </cell>
          <cell r="AA867">
            <v>16875</v>
          </cell>
        </row>
        <row r="868">
          <cell r="B868" t="str">
            <v>KHI/HO/D/MO/PC COMP/C/105499/116/01/2025</v>
          </cell>
          <cell r="D868" t="str">
            <v>REN</v>
          </cell>
          <cell r="E868" t="str">
            <v>21/01/25</v>
          </cell>
          <cell r="F868" t="str">
            <v>29/01/2025</v>
          </cell>
          <cell r="G868" t="str">
            <v>28/01/2026</v>
          </cell>
          <cell r="H868" t="str">
            <v>08004499</v>
          </cell>
          <cell r="I868" t="str">
            <v>AL BARAKA BANK (PAKISTAN) LIMITED</v>
          </cell>
          <cell r="J868" t="str">
            <v>BANK</v>
          </cell>
          <cell r="K868" t="str">
            <v>Mr. 
Al Baraka Bank Pakistan Limited 
Mr. 
Al Baraka Bank Pakistan Limited 
User: Ahmad  Raza</v>
          </cell>
          <cell r="L868" t="str">
            <v>D</v>
          </cell>
          <cell r="M868" t="str">
            <v>09000221</v>
          </cell>
          <cell r="N868">
            <v>100</v>
          </cell>
          <cell r="P868" t="str">
            <v>Street 3 Moh Muhammad Pura Fareed Town /Gujranwala</v>
          </cell>
          <cell r="Q868" t="str">
            <v>11000003</v>
          </cell>
          <cell r="R868" t="str">
            <v>SUZUKI WAGON-R VXR</v>
          </cell>
          <cell r="S868" t="str">
            <v>2021</v>
          </cell>
          <cell r="T868" t="str">
            <v>ABZ-270</v>
          </cell>
          <cell r="U868" t="str">
            <v>209593</v>
          </cell>
          <cell r="V868" t="str">
            <v>10109597</v>
          </cell>
          <cell r="W868" t="str">
            <v>05-feb-2028</v>
          </cell>
          <cell r="Y868">
            <v>1230000</v>
          </cell>
          <cell r="Z868">
            <v>26509</v>
          </cell>
          <cell r="AA868">
            <v>30750</v>
          </cell>
        </row>
        <row r="869">
          <cell r="B869" t="str">
            <v>KHI/HO/D/MO/PC COMP/C/105499/117/01/2025</v>
          </cell>
          <cell r="D869" t="str">
            <v>REN</v>
          </cell>
          <cell r="E869" t="str">
            <v>21/01/25</v>
          </cell>
          <cell r="F869" t="str">
            <v>29/01/2025</v>
          </cell>
          <cell r="G869" t="str">
            <v>28/01/2026</v>
          </cell>
          <cell r="H869" t="str">
            <v>08004499</v>
          </cell>
          <cell r="I869" t="str">
            <v>AL BARAKA BANK (PAKISTAN) LIMITED</v>
          </cell>
          <cell r="J869" t="str">
            <v>BANK</v>
          </cell>
          <cell r="K869" t="str">
            <v>Mr. 
Al Baraka Bank Pakistan Limited 
Mr. 
Al Baraka Bank Pakistan Limited 
User: Muhammad  Ejaz</v>
          </cell>
          <cell r="L869" t="str">
            <v>D</v>
          </cell>
          <cell r="M869" t="str">
            <v>09000221</v>
          </cell>
          <cell r="N869">
            <v>100</v>
          </cell>
          <cell r="P869" t="str">
            <v>House No. 190 D Block  Naz Town Valancia Town Lahore</v>
          </cell>
          <cell r="Q869" t="str">
            <v>11000003</v>
          </cell>
          <cell r="R869" t="str">
            <v>HONDA CITY ASPIRE M/T</v>
          </cell>
          <cell r="S869" t="str">
            <v>2021</v>
          </cell>
          <cell r="T869" t="str">
            <v>ABU-441</v>
          </cell>
          <cell r="U869" t="str">
            <v>7543618</v>
          </cell>
          <cell r="V869" t="str">
            <v>MR267448</v>
          </cell>
          <cell r="W869" t="str">
            <v>05-feb-2028</v>
          </cell>
          <cell r="Y869">
            <v>1841250</v>
          </cell>
          <cell r="Z869">
            <v>39682</v>
          </cell>
          <cell r="AA869">
            <v>46031</v>
          </cell>
        </row>
        <row r="870">
          <cell r="B870" t="str">
            <v>KHI/HO/D/MO/PC COMP/C/105499/118/01/2025</v>
          </cell>
          <cell r="D870" t="str">
            <v>REN</v>
          </cell>
          <cell r="E870" t="str">
            <v>21/01/25</v>
          </cell>
          <cell r="F870" t="str">
            <v>29/01/2025</v>
          </cell>
          <cell r="G870" t="str">
            <v>28/01/2026</v>
          </cell>
          <cell r="H870" t="str">
            <v>08004499</v>
          </cell>
          <cell r="I870" t="str">
            <v>AL BARAKA BANK (PAKISTAN) LIMITED</v>
          </cell>
          <cell r="J870" t="str">
            <v>BANK</v>
          </cell>
          <cell r="K870" t="str">
            <v>Mr. 
Al Baraka Bank Pakistan Limited 
Mr. 
Al Baraka Bank Pakistan Limited 
User: Abdul  Manan</v>
          </cell>
          <cell r="L870" t="str">
            <v>D</v>
          </cell>
          <cell r="M870" t="str">
            <v>09000221</v>
          </cell>
          <cell r="N870">
            <v>100</v>
          </cell>
          <cell r="P870" t="str">
            <v>House No. 2 Street 24-S Tipu Sultan Road Siddique Park New Mozang Lahoe</v>
          </cell>
          <cell r="Q870" t="str">
            <v>11000003</v>
          </cell>
          <cell r="R870" t="str">
            <v>ROAD PRINCE PEARL</v>
          </cell>
          <cell r="S870" t="str">
            <v>2021</v>
          </cell>
          <cell r="T870" t="str">
            <v>ABX-861</v>
          </cell>
          <cell r="U870" t="str">
            <v>20424097</v>
          </cell>
          <cell r="V870" t="str">
            <v>A20K0556</v>
          </cell>
          <cell r="W870" t="str">
            <v>05-feb-2028</v>
          </cell>
          <cell r="Y870">
            <v>1086750</v>
          </cell>
          <cell r="Z870">
            <v>23422</v>
          </cell>
          <cell r="AA870">
            <v>27169</v>
          </cell>
        </row>
        <row r="871">
          <cell r="B871" t="str">
            <v>KHI/HO/D/MO/PC COMP/C/105499/119/01/2025</v>
          </cell>
          <cell r="D871" t="str">
            <v>REN</v>
          </cell>
          <cell r="E871" t="str">
            <v>21/01/25</v>
          </cell>
          <cell r="F871" t="str">
            <v>29/01/2025</v>
          </cell>
          <cell r="G871" t="str">
            <v>28/01/2026</v>
          </cell>
          <cell r="H871" t="str">
            <v>08004499</v>
          </cell>
          <cell r="I871" t="str">
            <v>AL BARAKA BANK (PAKISTAN) LIMITED</v>
          </cell>
          <cell r="J871" t="str">
            <v>BANK</v>
          </cell>
          <cell r="K871" t="str">
            <v>Mr. 
Al Baraka Bank Pakistan Limited 
Mr. 
Al Baraka Bank Pakistan Limited 
User: Saleem  Ahmed  Sukhera</v>
          </cell>
          <cell r="L871" t="str">
            <v>D</v>
          </cell>
          <cell r="M871" t="str">
            <v>09000221</v>
          </cell>
          <cell r="N871">
            <v>100</v>
          </cell>
          <cell r="P871" t="str">
            <v>Flaat No.215 Opp Street 1 G/Floor Mehaabadi Sector F-11/1 Islamabad</v>
          </cell>
          <cell r="Q871" t="str">
            <v>11000003</v>
          </cell>
          <cell r="R871" t="str">
            <v>SUZUKI BOLAN STD VX EURO</v>
          </cell>
          <cell r="S871" t="str">
            <v>2021</v>
          </cell>
          <cell r="T871" t="str">
            <v>ASW-643</v>
          </cell>
          <cell r="U871" t="str">
            <v>1009114</v>
          </cell>
          <cell r="V871" t="str">
            <v>01125625</v>
          </cell>
          <cell r="W871" t="str">
            <v>05-feb-2026</v>
          </cell>
          <cell r="Y871">
            <v>850500</v>
          </cell>
          <cell r="Z871">
            <v>18330</v>
          </cell>
          <cell r="AA871">
            <v>21263</v>
          </cell>
        </row>
        <row r="872">
          <cell r="B872" t="str">
            <v>KHI/HO/D/MO/PC COMP/C/105499/120/01/2025</v>
          </cell>
          <cell r="D872" t="str">
            <v>REN</v>
          </cell>
          <cell r="E872" t="str">
            <v>21/01/25</v>
          </cell>
          <cell r="F872" t="str">
            <v>29/01/2025</v>
          </cell>
          <cell r="G872" t="str">
            <v>28/01/2026</v>
          </cell>
          <cell r="H872" t="str">
            <v>08004499</v>
          </cell>
          <cell r="I872" t="str">
            <v>AL BARAKA BANK (PAKISTAN) LIMITED</v>
          </cell>
          <cell r="J872" t="str">
            <v>BANK</v>
          </cell>
          <cell r="K872" t="str">
            <v>Mr. 
Al Baraka Bank Pakistan Limited 
Mr. 
Al Baraka Bank Pakistan Limited 
User: Muhammad  Mohsin</v>
          </cell>
          <cell r="L872" t="str">
            <v>D</v>
          </cell>
          <cell r="M872" t="str">
            <v>09000221</v>
          </cell>
          <cell r="N872">
            <v>100</v>
          </cell>
          <cell r="P872" t="str">
            <v>Near New Sabzi Mandi Near Jama Masjid Faiz Rasool Gujranwala</v>
          </cell>
          <cell r="Q872" t="str">
            <v>11000003</v>
          </cell>
          <cell r="R872" t="str">
            <v>SUZUKI EVERY WAGON</v>
          </cell>
          <cell r="S872" t="str">
            <v>2019</v>
          </cell>
          <cell r="T872" t="str">
            <v>ACE-526</v>
          </cell>
          <cell r="U872" t="str">
            <v>R06A-1743275</v>
          </cell>
          <cell r="V872" t="str">
            <v>DA17V-132911</v>
          </cell>
          <cell r="W872" t="str">
            <v>05-feb-2026</v>
          </cell>
          <cell r="Y872">
            <v>1125000</v>
          </cell>
          <cell r="Z872">
            <v>24246</v>
          </cell>
          <cell r="AA872">
            <v>28125</v>
          </cell>
        </row>
        <row r="873">
          <cell r="B873" t="str">
            <v>KHI/HO/D/MO/PC COMP/C/105499/121/01/2025</v>
          </cell>
          <cell r="D873" t="str">
            <v>REN</v>
          </cell>
          <cell r="E873" t="str">
            <v>21/01/25</v>
          </cell>
          <cell r="F873" t="str">
            <v>29/01/2025</v>
          </cell>
          <cell r="G873" t="str">
            <v>28/01/2026</v>
          </cell>
          <cell r="H873" t="str">
            <v>08004499</v>
          </cell>
          <cell r="I873" t="str">
            <v>AL BARAKA BANK (PAKISTAN) LIMITED</v>
          </cell>
          <cell r="J873" t="str">
            <v>BANK</v>
          </cell>
          <cell r="K873" t="str">
            <v>Mr. 
Al Baraka Bank Pakistan Limited 
Mr. 
Al Baraka Bank Pakistan Limited 
User: Khawaja Nadeem Zaheer Butt</v>
          </cell>
          <cell r="L873" t="str">
            <v>D</v>
          </cell>
          <cell r="M873" t="str">
            <v>09000221</v>
          </cell>
          <cell r="N873">
            <v>100</v>
          </cell>
          <cell r="P873" t="str">
            <v>Palak Basyra Building  Moh Shah Abdulmali Road Lahore</v>
          </cell>
          <cell r="Q873" t="str">
            <v>11000003</v>
          </cell>
          <cell r="R873" t="str">
            <v>TOYOTA YARIS ATIV X CVT</v>
          </cell>
          <cell r="S873" t="str">
            <v>2021</v>
          </cell>
          <cell r="T873" t="str">
            <v>ABR-538</v>
          </cell>
          <cell r="U873" t="str">
            <v>2A16172</v>
          </cell>
          <cell r="V873" t="str">
            <v>9506497</v>
          </cell>
          <cell r="W873" t="str">
            <v>05-feb-2026</v>
          </cell>
          <cell r="Y873">
            <v>2244750</v>
          </cell>
          <cell r="Z873">
            <v>48378</v>
          </cell>
          <cell r="AA873">
            <v>56119</v>
          </cell>
        </row>
        <row r="874">
          <cell r="B874" t="str">
            <v>KHI/HO/D/MO/PC COMP/C/105499/122/01/2025</v>
          </cell>
          <cell r="D874" t="str">
            <v>REN</v>
          </cell>
          <cell r="E874" t="str">
            <v>21/01/25</v>
          </cell>
          <cell r="F874" t="str">
            <v>29/01/2025</v>
          </cell>
          <cell r="G874" t="str">
            <v>28/01/2026</v>
          </cell>
          <cell r="H874" t="str">
            <v>08004499</v>
          </cell>
          <cell r="I874" t="str">
            <v>AL BARAKA BANK (PAKISTAN) LIMITED</v>
          </cell>
          <cell r="J874" t="str">
            <v>BANK</v>
          </cell>
          <cell r="K874" t="str">
            <v>Mr. 
Al Baraka Bank Pakistan Limited 
Mr. 
Al Baraka Bank Pakistan Limited 
User: Muhammad  Saleem</v>
          </cell>
          <cell r="L874" t="str">
            <v>D</v>
          </cell>
          <cell r="M874" t="str">
            <v>09000221</v>
          </cell>
          <cell r="N874">
            <v>100</v>
          </cell>
          <cell r="P874" t="str">
            <v>House No. 13 Street 9 Kareem Moh Sodiwal Road Lahore</v>
          </cell>
          <cell r="Q874" t="str">
            <v>11000003</v>
          </cell>
          <cell r="R874" t="str">
            <v>HYUNDAI TUCSON 6A/T</v>
          </cell>
          <cell r="S874" t="str">
            <v>2021</v>
          </cell>
          <cell r="T874" t="str">
            <v>ABS-705</v>
          </cell>
          <cell r="U874" t="str">
            <v>U030242</v>
          </cell>
          <cell r="V874" t="str">
            <v>MN201455</v>
          </cell>
          <cell r="W874" t="str">
            <v>05-feb-2026</v>
          </cell>
          <cell r="Y874">
            <v>4208850</v>
          </cell>
          <cell r="Z874">
            <v>54425</v>
          </cell>
          <cell r="AA874">
            <v>63133</v>
          </cell>
        </row>
        <row r="875">
          <cell r="B875" t="str">
            <v>KHI/HO/D/MO/PC COMP/C/105499/123/01/2025</v>
          </cell>
          <cell r="D875" t="str">
            <v>REN</v>
          </cell>
          <cell r="E875" t="str">
            <v>21/01/25</v>
          </cell>
          <cell r="F875" t="str">
            <v>29/01/2025</v>
          </cell>
          <cell r="G875" t="str">
            <v>28/01/2026</v>
          </cell>
          <cell r="H875" t="str">
            <v>08004499</v>
          </cell>
          <cell r="I875" t="str">
            <v>AL BARAKA BANK (PAKISTAN) LIMITED</v>
          </cell>
          <cell r="J875" t="str">
            <v>BANK</v>
          </cell>
          <cell r="K875" t="str">
            <v>Mr. 
Al Baraka Bank Pakistan Limited 
Mr. 
Al Baraka Bank Pakistan Limited 
User: Syed  Jamal Abbas Rizvi</v>
          </cell>
          <cell r="L875" t="str">
            <v>D</v>
          </cell>
          <cell r="M875" t="str">
            <v>09000221</v>
          </cell>
          <cell r="N875">
            <v>100</v>
          </cell>
          <cell r="P875" t="str">
            <v>House No. R-967 Block 20 Fb Area Karachi</v>
          </cell>
          <cell r="Q875" t="str">
            <v>11000003</v>
          </cell>
          <cell r="R875" t="str">
            <v>SUZUKI ALTO VXR</v>
          </cell>
          <cell r="S875" t="str">
            <v>2019</v>
          </cell>
          <cell r="T875" t="str">
            <v>BSY-319</v>
          </cell>
          <cell r="U875" t="str">
            <v>R103809</v>
          </cell>
          <cell r="V875" t="str">
            <v>1003780</v>
          </cell>
          <cell r="W875" t="str">
            <v>05-feb-2028</v>
          </cell>
          <cell r="Y875">
            <v>993750</v>
          </cell>
          <cell r="Z875">
            <v>21417</v>
          </cell>
          <cell r="AA875">
            <v>24844</v>
          </cell>
        </row>
        <row r="876">
          <cell r="B876" t="str">
            <v>KHI/HO/D/MO/PC COMP/C/105499/124/01/2025</v>
          </cell>
          <cell r="D876" t="str">
            <v>REN</v>
          </cell>
          <cell r="E876" t="str">
            <v>21/01/25</v>
          </cell>
          <cell r="F876" t="str">
            <v>29/01/2025</v>
          </cell>
          <cell r="G876" t="str">
            <v>28/01/2026</v>
          </cell>
          <cell r="H876" t="str">
            <v>08004499</v>
          </cell>
          <cell r="I876" t="str">
            <v>AL BARAKA BANK (PAKISTAN) LIMITED</v>
          </cell>
          <cell r="J876" t="str">
            <v>BANK</v>
          </cell>
          <cell r="K876" t="str">
            <v>Mr. 
Al Baraka Bank Pakistan Limited 
Mr. 
Al Baraka Bank Pakistan Limited 
User: Ahsan Nawaz  Khan</v>
          </cell>
          <cell r="L876" t="str">
            <v>D</v>
          </cell>
          <cell r="M876" t="str">
            <v>09000221</v>
          </cell>
          <cell r="N876">
            <v>100</v>
          </cell>
          <cell r="P876" t="str">
            <v>House No. 21/4 Sahibzad Gul Road Cantt Lahore</v>
          </cell>
          <cell r="Q876" t="str">
            <v>11000003</v>
          </cell>
          <cell r="R876" t="str">
            <v>SUZUKI ALTO VXL AGS E-2</v>
          </cell>
          <cell r="S876" t="str">
            <v>2021</v>
          </cell>
          <cell r="T876" t="str">
            <v>ABX-746</v>
          </cell>
          <cell r="U876" t="str">
            <v>6R148061</v>
          </cell>
          <cell r="V876" t="str">
            <v>H1048046</v>
          </cell>
          <cell r="W876" t="str">
            <v>05-feb-2028</v>
          </cell>
          <cell r="Y876">
            <v>1224750</v>
          </cell>
          <cell r="Z876">
            <v>26396</v>
          </cell>
          <cell r="AA876">
            <v>30619</v>
          </cell>
        </row>
        <row r="877">
          <cell r="B877" t="str">
            <v>KHI/HO/D/MO/PC COMP/C/105499/125/01/2025</v>
          </cell>
          <cell r="D877" t="str">
            <v>REN</v>
          </cell>
          <cell r="E877" t="str">
            <v>21/01/25</v>
          </cell>
          <cell r="F877" t="str">
            <v>29/01/2025</v>
          </cell>
          <cell r="G877" t="str">
            <v>28/01/2026</v>
          </cell>
          <cell r="H877" t="str">
            <v>08004499</v>
          </cell>
          <cell r="I877" t="str">
            <v>AL BARAKA BANK (PAKISTAN) LIMITED</v>
          </cell>
          <cell r="J877" t="str">
            <v>BANK</v>
          </cell>
          <cell r="K877" t="str">
            <v>Mr. 
Al Baraka Bank Pakistan Limited 
Mr. 
Al Baraka Bank Pakistan Limited 
User: Inayatullah  Khan</v>
          </cell>
          <cell r="L877" t="str">
            <v>D</v>
          </cell>
          <cell r="M877" t="str">
            <v>09000221</v>
          </cell>
          <cell r="N877">
            <v>100</v>
          </cell>
          <cell r="P877" t="str">
            <v>House No. D-92 Hasrat Mohani Colony  Manghopir Road Karachi</v>
          </cell>
          <cell r="Q877" t="str">
            <v>11000003</v>
          </cell>
          <cell r="R877" t="str">
            <v>TOYOTA COROLLA GLI M/T 1.</v>
          </cell>
          <cell r="S877" t="str">
            <v>2018</v>
          </cell>
          <cell r="T877" t="str">
            <v>BLW-358</v>
          </cell>
          <cell r="U877" t="str">
            <v>Z513491</v>
          </cell>
          <cell r="V877" t="str">
            <v>4139762</v>
          </cell>
          <cell r="W877" t="str">
            <v>05-feb-2026</v>
          </cell>
          <cell r="Y877">
            <v>1950000</v>
          </cell>
          <cell r="Z877">
            <v>42026</v>
          </cell>
          <cell r="AA877">
            <v>48750</v>
          </cell>
        </row>
        <row r="878">
          <cell r="B878" t="str">
            <v>KHI/HO/D/MO/PC COMP/C/105499/126/01/2025</v>
          </cell>
          <cell r="D878" t="str">
            <v>REN</v>
          </cell>
          <cell r="E878" t="str">
            <v>21/01/25</v>
          </cell>
          <cell r="F878" t="str">
            <v>29/01/2025</v>
          </cell>
          <cell r="G878" t="str">
            <v>28/01/2026</v>
          </cell>
          <cell r="H878" t="str">
            <v>08004499</v>
          </cell>
          <cell r="I878" t="str">
            <v>AL BARAKA BANK (PAKISTAN) LIMITED</v>
          </cell>
          <cell r="J878" t="str">
            <v>BANK</v>
          </cell>
          <cell r="K878" t="str">
            <v>Mr. 
Al Baraka Bank Pakistan Limited 
Mr. 
Al Baraka Bank Pakistan Limited 
User: Zia  Ullah</v>
          </cell>
          <cell r="L878" t="str">
            <v>D</v>
          </cell>
          <cell r="M878" t="str">
            <v>09000221</v>
          </cell>
          <cell r="N878">
            <v>100</v>
          </cell>
          <cell r="P878" t="str">
            <v>Arim Colony Railway Station Mardan</v>
          </cell>
          <cell r="Q878" t="str">
            <v>11000003</v>
          </cell>
          <cell r="R878" t="str">
            <v>SUZUKI WAGON-R VXL E2</v>
          </cell>
          <cell r="S878" t="str">
            <v>2017</v>
          </cell>
          <cell r="T878" t="str">
            <v>AFW-592</v>
          </cell>
          <cell r="U878" t="str">
            <v>10B142640</v>
          </cell>
          <cell r="V878" t="str">
            <v>10042619</v>
          </cell>
          <cell r="W878" t="str">
            <v>05-feb-2026</v>
          </cell>
          <cell r="Y878">
            <v>1147500</v>
          </cell>
          <cell r="Z878">
            <v>24731</v>
          </cell>
          <cell r="AA878">
            <v>28688</v>
          </cell>
        </row>
        <row r="879">
          <cell r="B879" t="str">
            <v>KHI/HO/D/MO/PC COMP/C/105499/127/01/2025</v>
          </cell>
          <cell r="D879" t="str">
            <v>REN</v>
          </cell>
          <cell r="E879" t="str">
            <v>21/01/25</v>
          </cell>
          <cell r="F879" t="str">
            <v>08/01/2025</v>
          </cell>
          <cell r="G879" t="str">
            <v>07/01/2026</v>
          </cell>
          <cell r="H879" t="str">
            <v>08004499</v>
          </cell>
          <cell r="I879" t="str">
            <v>AL BARAKA BANK (PAKISTAN) LIMITED</v>
          </cell>
          <cell r="J879" t="str">
            <v>BANK</v>
          </cell>
          <cell r="K879" t="str">
            <v>Mr. 
Al Baraka Bank Pakistan Limited 
Mr. 
Al Baraka Bank Pakistan Limited 
User: Shahzad  Rasool</v>
          </cell>
          <cell r="L879" t="str">
            <v>D</v>
          </cell>
          <cell r="M879" t="str">
            <v>09000221</v>
          </cell>
          <cell r="N879">
            <v>100</v>
          </cell>
          <cell r="P879" t="str">
            <v>House No.30 Ali Block Awan Town Lahore</v>
          </cell>
          <cell r="Q879" t="str">
            <v>11000003</v>
          </cell>
          <cell r="R879" t="str">
            <v>TOYOTA YARIS ATIV X CVT</v>
          </cell>
          <cell r="S879" t="str">
            <v>2020</v>
          </cell>
          <cell r="T879" t="str">
            <v>LEB-20-345</v>
          </cell>
          <cell r="U879" t="str">
            <v>2A01581</v>
          </cell>
          <cell r="V879" t="str">
            <v>R9501162</v>
          </cell>
          <cell r="W879" t="str">
            <v>05-jan-2026</v>
          </cell>
          <cell r="Y879">
            <v>2212500</v>
          </cell>
          <cell r="Z879">
            <v>47683</v>
          </cell>
          <cell r="AA879">
            <v>55313</v>
          </cell>
        </row>
        <row r="880">
          <cell r="B880" t="str">
            <v>KHI/HO/D/MO/PC COMP/C/105499/128/01/2025</v>
          </cell>
          <cell r="D880" t="str">
            <v>REN</v>
          </cell>
          <cell r="E880" t="str">
            <v>21/01/25</v>
          </cell>
          <cell r="F880" t="str">
            <v>08/01/2025</v>
          </cell>
          <cell r="G880" t="str">
            <v>07/01/2026</v>
          </cell>
          <cell r="H880" t="str">
            <v>08004499</v>
          </cell>
          <cell r="I880" t="str">
            <v>AL BARAKA BANK (PAKISTAN) LIMITED</v>
          </cell>
          <cell r="J880" t="str">
            <v>BANK</v>
          </cell>
          <cell r="K880" t="str">
            <v>Mr. 
Al Baraka Bank Pakistan Limited 
Mr. 
Al Baraka Bank Pakistan Limited 
User: Muhammad  Fahim</v>
          </cell>
          <cell r="L880" t="str">
            <v>D</v>
          </cell>
          <cell r="M880" t="str">
            <v>09000221</v>
          </cell>
          <cell r="N880">
            <v>100</v>
          </cell>
          <cell r="P880" t="str">
            <v>Malpur Maura Malpur Stop Islamabad</v>
          </cell>
          <cell r="Q880" t="str">
            <v>11000003</v>
          </cell>
          <cell r="R880" t="str">
            <v>SUZUKI ALTO VXR</v>
          </cell>
          <cell r="S880" t="str">
            <v>2020</v>
          </cell>
          <cell r="T880" t="str">
            <v>ASE-266</v>
          </cell>
          <cell r="U880" t="str">
            <v>150841</v>
          </cell>
          <cell r="V880" t="str">
            <v>1050819</v>
          </cell>
          <cell r="W880" t="str">
            <v>05-feb-2026</v>
          </cell>
          <cell r="Y880">
            <v>1074750</v>
          </cell>
          <cell r="Z880">
            <v>23163</v>
          </cell>
          <cell r="AA880">
            <v>26869</v>
          </cell>
        </row>
        <row r="881">
          <cell r="B881" t="str">
            <v>KHI/HO/D/MO/PC COMP/C/105499/129/01/2025</v>
          </cell>
          <cell r="D881" t="str">
            <v>REN</v>
          </cell>
          <cell r="E881" t="str">
            <v>21/01/25</v>
          </cell>
          <cell r="F881" t="str">
            <v>18/01/2025</v>
          </cell>
          <cell r="G881" t="str">
            <v>17/01/2026</v>
          </cell>
          <cell r="H881" t="str">
            <v>08004499</v>
          </cell>
          <cell r="I881" t="str">
            <v>AL BARAKA BANK (PAKISTAN) LIMITED</v>
          </cell>
          <cell r="J881" t="str">
            <v>BANK</v>
          </cell>
          <cell r="K881" t="str">
            <v>Mr. 
Al Baraka Bank Pakistan Limited 
Mr. 
Al Baraka Bank Pakistan Limited 
User: Ejaz  Ahmed</v>
          </cell>
          <cell r="L881" t="str">
            <v>D</v>
          </cell>
          <cell r="M881" t="str">
            <v>09000221</v>
          </cell>
          <cell r="N881">
            <v>100</v>
          </cell>
          <cell r="P881" t="str">
            <v>Cheema House Baoo Wala Rohi Nala Line Road Main Barki Road Lahore Cantt</v>
          </cell>
          <cell r="Q881" t="str">
            <v>11000003</v>
          </cell>
          <cell r="R881" t="str">
            <v>TOYOTA COROLLA GLI M/T 1.</v>
          </cell>
          <cell r="S881" t="str">
            <v>2019</v>
          </cell>
          <cell r="T881" t="str">
            <v>LEA-20-5910</v>
          </cell>
          <cell r="U881" t="str">
            <v>570005</v>
          </cell>
          <cell r="V881" t="str">
            <v>4198301</v>
          </cell>
          <cell r="W881" t="str">
            <v>05-feb-2026</v>
          </cell>
          <cell r="Y881">
            <v>2377500</v>
          </cell>
          <cell r="Z881">
            <v>51240</v>
          </cell>
          <cell r="AA881">
            <v>59438</v>
          </cell>
        </row>
        <row r="882">
          <cell r="B882" t="str">
            <v>KHI/HO/D/MO/PC COMP/C/105499/130/01/2025</v>
          </cell>
          <cell r="D882" t="str">
            <v>REN</v>
          </cell>
          <cell r="E882" t="str">
            <v>21/01/25</v>
          </cell>
          <cell r="F882" t="str">
            <v>18/01/2025</v>
          </cell>
          <cell r="G882" t="str">
            <v>17/01/2026</v>
          </cell>
          <cell r="H882" t="str">
            <v>08004499</v>
          </cell>
          <cell r="I882" t="str">
            <v>AL BARAKA BANK (PAKISTAN) LIMITED</v>
          </cell>
          <cell r="J882" t="str">
            <v>BANK</v>
          </cell>
          <cell r="K882" t="str">
            <v>Mr. 
Al Baraka Bank Pakistan Limited 
Mr. 
Al Baraka Bank Pakistan Limited 
User: Waqar  Khan</v>
          </cell>
          <cell r="L882" t="str">
            <v>D</v>
          </cell>
          <cell r="M882" t="str">
            <v>09000221</v>
          </cell>
          <cell r="N882">
            <v>100</v>
          </cell>
          <cell r="P882" t="str">
            <v>House No. 36/6 Street 6 Mohallah Rajput  Colony  Jahangir Road Sir Syed Chowk Rawalpindi</v>
          </cell>
          <cell r="Q882" t="str">
            <v>11000003</v>
          </cell>
          <cell r="R882" t="str">
            <v>SUZUKI MEHRAN VXR EURO-II</v>
          </cell>
          <cell r="S882" t="str">
            <v>2019</v>
          </cell>
          <cell r="T882" t="str">
            <v>RIC-201</v>
          </cell>
          <cell r="U882" t="str">
            <v>763116</v>
          </cell>
          <cell r="V882" t="str">
            <v>01301665</v>
          </cell>
          <cell r="W882" t="str">
            <v>05-feb-2026</v>
          </cell>
          <cell r="Y882">
            <v>712500</v>
          </cell>
          <cell r="Z882">
            <v>15356</v>
          </cell>
          <cell r="AA882">
            <v>17813</v>
          </cell>
        </row>
        <row r="883">
          <cell r="B883" t="str">
            <v>KHI/HO/D/MO/PC COMP/C/105499/131/01/2025</v>
          </cell>
          <cell r="D883" t="str">
            <v>REN</v>
          </cell>
          <cell r="E883" t="str">
            <v>21/01/25</v>
          </cell>
          <cell r="F883" t="str">
            <v>20/01/2025</v>
          </cell>
          <cell r="G883" t="str">
            <v>19/01/2026</v>
          </cell>
          <cell r="H883" t="str">
            <v>08004499</v>
          </cell>
          <cell r="I883" t="str">
            <v>AL BARAKA BANK (PAKISTAN) LIMITED</v>
          </cell>
          <cell r="J883" t="str">
            <v>BANK</v>
          </cell>
          <cell r="K883" t="str">
            <v>Mr. 
Al Baraka Bank Pakistan Limited 
Mr. 
Al Baraka Bank Pakistan Limited 
User: Rafaqat   Masih</v>
          </cell>
          <cell r="L883" t="str">
            <v>D</v>
          </cell>
          <cell r="M883" t="str">
            <v>09000221</v>
          </cell>
          <cell r="N883">
            <v>100</v>
          </cell>
          <cell r="P883" t="str">
            <v>House No.55 Block B Mohallah  Chritan Colony  Raiwind Lahore</v>
          </cell>
          <cell r="Q883" t="str">
            <v>11000003</v>
          </cell>
          <cell r="R883" t="str">
            <v>SUZUKI BOLAN STD VX EURO</v>
          </cell>
          <cell r="S883" t="str">
            <v>2021</v>
          </cell>
          <cell r="T883" t="str">
            <v>ABV-211</v>
          </cell>
          <cell r="U883" t="str">
            <v>1008524</v>
          </cell>
          <cell r="V883" t="str">
            <v>1125039</v>
          </cell>
          <cell r="W883" t="str">
            <v>05-feb-2026</v>
          </cell>
          <cell r="Y883">
            <v>850500</v>
          </cell>
          <cell r="Z883">
            <v>18330</v>
          </cell>
          <cell r="AA883">
            <v>21263</v>
          </cell>
        </row>
        <row r="884">
          <cell r="B884" t="str">
            <v>KHI/HO/D/MO/PC COMP/C/105499/132/01/2025</v>
          </cell>
          <cell r="D884" t="str">
            <v>REN</v>
          </cell>
          <cell r="E884" t="str">
            <v>21/01/25</v>
          </cell>
          <cell r="F884" t="str">
            <v>04/01/2025</v>
          </cell>
          <cell r="G884" t="str">
            <v>03/01/2026</v>
          </cell>
          <cell r="H884" t="str">
            <v>08004499</v>
          </cell>
          <cell r="I884" t="str">
            <v>AL BARAKA BANK (PAKISTAN) LIMITED</v>
          </cell>
          <cell r="J884" t="str">
            <v>BANK</v>
          </cell>
          <cell r="K884" t="str">
            <v>Mr. 
Al Baraka Bank Pakistan Limited 
Mr. 
Al Baraka Bank Pakistan Limited 
User: Ali  Raza</v>
          </cell>
          <cell r="L884" t="str">
            <v>D</v>
          </cell>
          <cell r="M884" t="str">
            <v>09000221</v>
          </cell>
          <cell r="N884">
            <v>100</v>
          </cell>
          <cell r="P884" t="str">
            <v>Hussain Street Khokhar Road Badami Bagh Lahore</v>
          </cell>
          <cell r="Q884" t="str">
            <v>11000003</v>
          </cell>
          <cell r="R884" t="str">
            <v>SUZUKI ALTO VX EURO II</v>
          </cell>
          <cell r="S884" t="str">
            <v>2021</v>
          </cell>
          <cell r="T884" t="str">
            <v>AGW-475</v>
          </cell>
          <cell r="U884" t="str">
            <v>6R197046</v>
          </cell>
          <cell r="V884" t="str">
            <v>1097039</v>
          </cell>
          <cell r="W884" t="str">
            <v>05-jan-2027</v>
          </cell>
          <cell r="Y884">
            <v>890400</v>
          </cell>
          <cell r="Z884">
            <v>19190</v>
          </cell>
          <cell r="AA884">
            <v>22260</v>
          </cell>
        </row>
        <row r="885">
          <cell r="B885" t="str">
            <v>KHI/HO/D/MO/PC COMP/C/105499/133/01/2025</v>
          </cell>
          <cell r="D885" t="str">
            <v>REN</v>
          </cell>
          <cell r="E885" t="str">
            <v>21/01/25</v>
          </cell>
          <cell r="F885" t="str">
            <v>12/01/2025</v>
          </cell>
          <cell r="G885" t="str">
            <v>11/01/2026</v>
          </cell>
          <cell r="H885" t="str">
            <v>08004499</v>
          </cell>
          <cell r="I885" t="str">
            <v>AL BARAKA BANK (PAKISTAN) LIMITED</v>
          </cell>
          <cell r="J885" t="str">
            <v>BANK</v>
          </cell>
          <cell r="K885" t="str">
            <v>Mr. 
Al Baraka Bank Pakistan Limited 
Mr. 
Al Baraka Bank Pakistan Limited 
User: Ali Mesum Raza</v>
          </cell>
          <cell r="L885" t="str">
            <v>D</v>
          </cell>
          <cell r="M885" t="str">
            <v>09000221</v>
          </cell>
          <cell r="N885">
            <v>100</v>
          </cell>
          <cell r="P885" t="str">
            <v>H # 183/T1 Mohallah Jinnah Town Distr Jail Road Multan</v>
          </cell>
          <cell r="Q885" t="str">
            <v>11000003</v>
          </cell>
          <cell r="R885" t="str">
            <v>SUZUKI ALTO VX EURO II</v>
          </cell>
          <cell r="S885" t="str">
            <v>2022</v>
          </cell>
          <cell r="T885" t="str">
            <v>AHE-684</v>
          </cell>
          <cell r="U885" t="str">
            <v>204718</v>
          </cell>
          <cell r="V885" t="str">
            <v>1104741</v>
          </cell>
          <cell r="W885" t="str">
            <v>05-jan-2027</v>
          </cell>
          <cell r="Y885">
            <v>890400</v>
          </cell>
          <cell r="Z885">
            <v>19190</v>
          </cell>
          <cell r="AA885">
            <v>22260</v>
          </cell>
        </row>
        <row r="886">
          <cell r="B886" t="str">
            <v>KHI/HO/D/MO/PC COMP/C/105499/134/01/2025</v>
          </cell>
          <cell r="D886" t="str">
            <v>REN</v>
          </cell>
          <cell r="E886" t="str">
            <v>21/01/25</v>
          </cell>
          <cell r="F886" t="str">
            <v>12/01/2025</v>
          </cell>
          <cell r="G886" t="str">
            <v>11/01/2026</v>
          </cell>
          <cell r="H886" t="str">
            <v>08004499</v>
          </cell>
          <cell r="I886" t="str">
            <v>AL BARAKA BANK (PAKISTAN) LIMITED</v>
          </cell>
          <cell r="J886" t="str">
            <v>BANK</v>
          </cell>
          <cell r="K886" t="str">
            <v>Mr. 
Al Baraka Bank Pakistan Limited 
Mr. 
Al Baraka Bank Pakistan Limited 
User: Muhammad  Zahid</v>
          </cell>
          <cell r="L886" t="str">
            <v>D</v>
          </cell>
          <cell r="M886" t="str">
            <v>09000221</v>
          </cell>
          <cell r="N886">
            <v>100</v>
          </cell>
          <cell r="P886" t="str">
            <v>H # D 22 Family Block D Plot Ht 11 Al Karam Landhi Karachi</v>
          </cell>
          <cell r="Q886" t="str">
            <v>11000003</v>
          </cell>
          <cell r="R886" t="str">
            <v>HONDA CIVIC VTI ORIEL I-V</v>
          </cell>
          <cell r="S886" t="str">
            <v>2020</v>
          </cell>
          <cell r="T886" t="str">
            <v>BQF-455</v>
          </cell>
          <cell r="U886" t="str">
            <v>R18Z12950468</v>
          </cell>
          <cell r="V886" t="str">
            <v>53936.</v>
          </cell>
          <cell r="W886" t="str">
            <v>05-feb-2027</v>
          </cell>
          <cell r="Y886">
            <v>3200000</v>
          </cell>
          <cell r="Z886">
            <v>41379</v>
          </cell>
          <cell r="AA886">
            <v>48000</v>
          </cell>
        </row>
        <row r="887">
          <cell r="B887" t="str">
            <v>KHI/HO/D/MO/PC COMP/C/105499/135/01/2025</v>
          </cell>
          <cell r="D887" t="str">
            <v>REN</v>
          </cell>
          <cell r="E887" t="str">
            <v>21/01/25</v>
          </cell>
          <cell r="F887" t="str">
            <v>13/01/2025</v>
          </cell>
          <cell r="G887" t="str">
            <v>12/01/2026</v>
          </cell>
          <cell r="H887" t="str">
            <v>08004499</v>
          </cell>
          <cell r="I887" t="str">
            <v>AL BARAKA BANK (PAKISTAN) LIMITED</v>
          </cell>
          <cell r="J887" t="str">
            <v>BANK</v>
          </cell>
          <cell r="K887" t="str">
            <v>Mr. 
Al Baraka Bank Pakistan Limited 
Mr. 
Al Baraka Bank Pakistan Limited 
User: Rahul  Akram</v>
          </cell>
          <cell r="L887" t="str">
            <v>D</v>
          </cell>
          <cell r="M887" t="str">
            <v>09000221</v>
          </cell>
          <cell r="N887">
            <v>100</v>
          </cell>
          <cell r="P887" t="str">
            <v>H # 8  Street 2 Kari Das Church Street Sodiwal Bund Road Lahore</v>
          </cell>
          <cell r="Q887" t="str">
            <v>11000003</v>
          </cell>
          <cell r="R887" t="str">
            <v>CHANGAN KARVAAN PLUS</v>
          </cell>
          <cell r="S887" t="str">
            <v>2021</v>
          </cell>
          <cell r="T887" t="str">
            <v>AGS-102</v>
          </cell>
          <cell r="U887" t="str">
            <v>503300</v>
          </cell>
          <cell r="V887" t="str">
            <v>1005527</v>
          </cell>
          <cell r="W887" t="str">
            <v>05-feb-2029</v>
          </cell>
          <cell r="Y887">
            <v>1119200</v>
          </cell>
          <cell r="Z887">
            <v>24121</v>
          </cell>
          <cell r="AA887">
            <v>27980</v>
          </cell>
        </row>
        <row r="888">
          <cell r="B888" t="str">
            <v>KHI/HO/D/MO/PC COMP/C/105499/136/01/2025</v>
          </cell>
          <cell r="D888" t="str">
            <v>REN</v>
          </cell>
          <cell r="E888" t="str">
            <v>21/01/25</v>
          </cell>
          <cell r="F888" t="str">
            <v>13/01/2025</v>
          </cell>
          <cell r="G888" t="str">
            <v>12/01/2026</v>
          </cell>
          <cell r="H888" t="str">
            <v>08004499</v>
          </cell>
          <cell r="I888" t="str">
            <v>AL BARAKA BANK (PAKISTAN) LIMITED</v>
          </cell>
          <cell r="J888" t="str">
            <v>BANK</v>
          </cell>
          <cell r="K888" t="str">
            <v>Mr. 
Al Baraka Bank Pakistan Limited 
Mr. 
Al Baraka Bank Pakistan Limited 
User: Muhammad Ehtesham Shahzad</v>
          </cell>
          <cell r="L888" t="str">
            <v>D</v>
          </cell>
          <cell r="M888" t="str">
            <v>09000221</v>
          </cell>
          <cell r="N888">
            <v>100</v>
          </cell>
          <cell r="P888" t="str">
            <v>House No. 7-4/A Street 7 Sector G-7/2 Islamabad</v>
          </cell>
          <cell r="Q888" t="str">
            <v>11000003</v>
          </cell>
          <cell r="R888" t="str">
            <v>SUZUKI ALTO VXR E-2</v>
          </cell>
          <cell r="S888" t="str">
            <v>2021</v>
          </cell>
          <cell r="T888" t="str">
            <v>AWV-834</v>
          </cell>
          <cell r="U888" t="str">
            <v>196595</v>
          </cell>
          <cell r="V888" t="str">
            <v>1096583</v>
          </cell>
          <cell r="W888" t="str">
            <v>05-jan-2028</v>
          </cell>
          <cell r="Y888">
            <v>1068000</v>
          </cell>
          <cell r="Z888">
            <v>23017</v>
          </cell>
          <cell r="AA888">
            <v>26700</v>
          </cell>
        </row>
        <row r="889">
          <cell r="B889" t="str">
            <v>KHI/HO/D/MO/PC COMP/C/105499/137/01/2025</v>
          </cell>
          <cell r="D889" t="str">
            <v>REN</v>
          </cell>
          <cell r="E889" t="str">
            <v>21/01/25</v>
          </cell>
          <cell r="F889" t="str">
            <v>14/01/2025</v>
          </cell>
          <cell r="G889" t="str">
            <v>13/01/2026</v>
          </cell>
          <cell r="H889" t="str">
            <v>08004499</v>
          </cell>
          <cell r="I889" t="str">
            <v>AL BARAKA BANK (PAKISTAN) LIMITED</v>
          </cell>
          <cell r="J889" t="str">
            <v>BANK</v>
          </cell>
          <cell r="K889" t="str">
            <v>Mr. 
Al Baraka Bank Pakistan Limited 
Mr. 
Al Baraka Bank Pakistan Limited 
User: Fazal  Mahmood</v>
          </cell>
          <cell r="L889" t="str">
            <v>D</v>
          </cell>
          <cell r="M889" t="str">
            <v>09000221</v>
          </cell>
          <cell r="N889">
            <v>100</v>
          </cell>
          <cell r="P889" t="str">
            <v>H # 4 Al Jannat Homes Opp Taj Bagh Gate 3 Harbanspura Road Lahore</v>
          </cell>
          <cell r="Q889" t="str">
            <v>11000003</v>
          </cell>
          <cell r="R889" t="str">
            <v>HONDA CITY I-VTEC (M/T)</v>
          </cell>
          <cell r="S889" t="str">
            <v>2017</v>
          </cell>
          <cell r="T889" t="str">
            <v>LE-18-7056</v>
          </cell>
          <cell r="U889" t="str">
            <v>17502552</v>
          </cell>
          <cell r="V889" t="str">
            <v>212913</v>
          </cell>
          <cell r="W889" t="str">
            <v>05-feb-2027</v>
          </cell>
          <cell r="Y889">
            <v>1776000</v>
          </cell>
          <cell r="Z889">
            <v>26793</v>
          </cell>
          <cell r="AA889">
            <v>31080</v>
          </cell>
        </row>
        <row r="890">
          <cell r="B890" t="str">
            <v>KHI/HO/D/MO/PC COMP/C/105499/138/01/2025</v>
          </cell>
          <cell r="D890" t="str">
            <v>REN</v>
          </cell>
          <cell r="E890" t="str">
            <v>21/01/25</v>
          </cell>
          <cell r="F890" t="str">
            <v>14/01/2025</v>
          </cell>
          <cell r="G890" t="str">
            <v>13/01/2026</v>
          </cell>
          <cell r="H890" t="str">
            <v>08004499</v>
          </cell>
          <cell r="I890" t="str">
            <v>AL BARAKA BANK (PAKISTAN) LIMITED</v>
          </cell>
          <cell r="J890" t="str">
            <v>BANK</v>
          </cell>
          <cell r="K890" t="str">
            <v>Mr. 
Al Baraka Bank Pakistan Limited 
Mr. 
Al Baraka Bank Pakistan Limited 
User: Muhammad  Siddique</v>
          </cell>
          <cell r="L890" t="str">
            <v>D</v>
          </cell>
          <cell r="M890" t="str">
            <v>09000221</v>
          </cell>
          <cell r="N890">
            <v>100</v>
          </cell>
          <cell r="P890" t="str">
            <v>H # 66-A/1 1St Floor Gulshan Shalimar Scheme Baghbanpura Lahore</v>
          </cell>
          <cell r="Q890" t="str">
            <v>11000003</v>
          </cell>
          <cell r="R890" t="str">
            <v>SUZUKI ALTO VXR E-2</v>
          </cell>
          <cell r="S890" t="str">
            <v>2022</v>
          </cell>
          <cell r="T890" t="str">
            <v>AHD-789</v>
          </cell>
          <cell r="U890" t="str">
            <v>6R205286</v>
          </cell>
          <cell r="V890" t="str">
            <v>H1105263</v>
          </cell>
          <cell r="W890" t="str">
            <v>05-feb-2027</v>
          </cell>
          <cell r="Y890">
            <v>1236800</v>
          </cell>
          <cell r="Z890">
            <v>18658</v>
          </cell>
          <cell r="AA890">
            <v>21644</v>
          </cell>
        </row>
        <row r="891">
          <cell r="B891" t="str">
            <v>KHI/HO/D/MO/PC COMP/C/105499/139/01/2025</v>
          </cell>
          <cell r="D891" t="str">
            <v>REN</v>
          </cell>
          <cell r="E891" t="str">
            <v>21/01/25</v>
          </cell>
          <cell r="F891" t="str">
            <v>14/01/2025</v>
          </cell>
          <cell r="G891" t="str">
            <v>13/01/2026</v>
          </cell>
          <cell r="H891" t="str">
            <v>08004499</v>
          </cell>
          <cell r="I891" t="str">
            <v>AL BARAKA BANK (PAKISTAN) LIMITED</v>
          </cell>
          <cell r="J891" t="str">
            <v>BANK</v>
          </cell>
          <cell r="K891" t="str">
            <v>Mr. 
Al Baraka Bank Pakistan Limited 
Mr. 
Al Baraka Bank Pakistan Limited 
User: Bushra  Maqbool</v>
          </cell>
          <cell r="L891" t="str">
            <v>D</v>
          </cell>
          <cell r="M891" t="str">
            <v>09000221</v>
          </cell>
          <cell r="N891">
            <v>100</v>
          </cell>
          <cell r="P891" t="str">
            <v>H # 50-B Wahdat Colony Lahore</v>
          </cell>
          <cell r="Q891" t="str">
            <v>11000003</v>
          </cell>
          <cell r="R891" t="str">
            <v>TOYOTA COROLLA GLI M/T 1.</v>
          </cell>
          <cell r="S891" t="str">
            <v>2016</v>
          </cell>
          <cell r="T891" t="str">
            <v>LEF-16-569</v>
          </cell>
          <cell r="U891" t="str">
            <v>Z443802</v>
          </cell>
          <cell r="V891" t="str">
            <v>NZE170R-4078133</v>
          </cell>
          <cell r="W891" t="str">
            <v>05-feb-2027</v>
          </cell>
          <cell r="Y891">
            <v>1840000</v>
          </cell>
          <cell r="Z891">
            <v>27758</v>
          </cell>
          <cell r="AA891">
            <v>32200</v>
          </cell>
        </row>
        <row r="892">
          <cell r="B892" t="str">
            <v>KHI/HO/D/MO/PC COMP/C/105499/140/01/2025</v>
          </cell>
          <cell r="D892" t="str">
            <v>REN</v>
          </cell>
          <cell r="E892" t="str">
            <v>21/01/25</v>
          </cell>
          <cell r="F892" t="str">
            <v>04/01/2025</v>
          </cell>
          <cell r="G892" t="str">
            <v>03/01/2026</v>
          </cell>
          <cell r="H892" t="str">
            <v>08004499</v>
          </cell>
          <cell r="I892" t="str">
            <v>AL BARAKA BANK (PAKISTAN) LIMITED</v>
          </cell>
          <cell r="J892" t="str">
            <v>BANK</v>
          </cell>
          <cell r="K892" t="str">
            <v>Mr. 
Al Baraka Bank Pakistan Limited 
Mr. 
Al Baraka Bank Pakistan Limited 
User: Wajid  Ali</v>
          </cell>
          <cell r="L892" t="str">
            <v>D</v>
          </cell>
          <cell r="M892" t="str">
            <v>09000221</v>
          </cell>
          <cell r="N892">
            <v>100</v>
          </cell>
          <cell r="P892" t="str">
            <v>H # 1 Rehmat Colony Near Shahbaz Book Center Wandala Road Shahdrah Lahore</v>
          </cell>
          <cell r="Q892" t="str">
            <v>11000003</v>
          </cell>
          <cell r="R892" t="str">
            <v>SUZUKI WAGON-R VXL E2</v>
          </cell>
          <cell r="S892" t="str">
            <v>2015</v>
          </cell>
          <cell r="T892" t="str">
            <v>LE-16-5878</v>
          </cell>
          <cell r="U892" t="str">
            <v>110106</v>
          </cell>
          <cell r="V892" t="str">
            <v>10010103</v>
          </cell>
          <cell r="W892" t="str">
            <v>05-jan-2027</v>
          </cell>
          <cell r="Y892">
            <v>1080000</v>
          </cell>
          <cell r="Z892">
            <v>16293</v>
          </cell>
          <cell r="AA892">
            <v>18900</v>
          </cell>
        </row>
        <row r="893">
          <cell r="B893" t="str">
            <v>KHI/HO/D/MO/PC COMP/C/105499/141/01/2025</v>
          </cell>
          <cell r="D893" t="str">
            <v>REN</v>
          </cell>
          <cell r="E893" t="str">
            <v>21/01/25</v>
          </cell>
          <cell r="F893" t="str">
            <v>17/01/2025</v>
          </cell>
          <cell r="G893" t="str">
            <v>16/01/2026</v>
          </cell>
          <cell r="H893" t="str">
            <v>08004499</v>
          </cell>
          <cell r="I893" t="str">
            <v>AL BARAKA BANK (PAKISTAN) LIMITED</v>
          </cell>
          <cell r="J893" t="str">
            <v>BANK</v>
          </cell>
          <cell r="K893" t="str">
            <v>Mr. 
Al Baraka Bank Pakistan Limited 
Mr. 
Al Baraka Bank Pakistan Limited 
User: Muhammad  Umar</v>
          </cell>
          <cell r="L893" t="str">
            <v>D</v>
          </cell>
          <cell r="M893" t="str">
            <v>09000221</v>
          </cell>
          <cell r="N893">
            <v>100</v>
          </cell>
          <cell r="P893" t="str">
            <v>H -5-A St 07 Wind Sir Park Ichra Lahore</v>
          </cell>
          <cell r="Q893" t="str">
            <v>11000003</v>
          </cell>
          <cell r="R893" t="str">
            <v>SUZUKI ALTO VX</v>
          </cell>
          <cell r="S893" t="str">
            <v>2022</v>
          </cell>
          <cell r="T893" t="str">
            <v>AHC-962</v>
          </cell>
          <cell r="U893" t="str">
            <v>6R197371</v>
          </cell>
          <cell r="V893" t="str">
            <v>1097457</v>
          </cell>
          <cell r="W893" t="str">
            <v>05-feb-2029</v>
          </cell>
          <cell r="Y893">
            <v>890400</v>
          </cell>
          <cell r="Z893">
            <v>19190</v>
          </cell>
          <cell r="AA893">
            <v>22260</v>
          </cell>
        </row>
        <row r="894">
          <cell r="B894" t="str">
            <v>KHI/HO/D/MO/PC COMP/C/105499/142/01/2025</v>
          </cell>
          <cell r="D894" t="str">
            <v>REN</v>
          </cell>
          <cell r="E894" t="str">
            <v>21/01/25</v>
          </cell>
          <cell r="F894" t="str">
            <v>17/01/2025</v>
          </cell>
          <cell r="G894" t="str">
            <v>16/01/2026</v>
          </cell>
          <cell r="H894" t="str">
            <v>08004499</v>
          </cell>
          <cell r="I894" t="str">
            <v>AL BARAKA BANK (PAKISTAN) LIMITED</v>
          </cell>
          <cell r="J894" t="str">
            <v>BANK</v>
          </cell>
          <cell r="K894" t="str">
            <v>Mr. 
Al Baraka Bank Pakistan Limited 
Mr. 
Al Baraka Bank Pakistan Limited 
User: Attique Ur Rehman</v>
          </cell>
          <cell r="L894" t="str">
            <v>D</v>
          </cell>
          <cell r="M894" t="str">
            <v>09000221</v>
          </cell>
          <cell r="N894">
            <v>100</v>
          </cell>
          <cell r="P894" t="str">
            <v>H # 62-B Rahim Town Rachna Town Kps Road Lahore</v>
          </cell>
          <cell r="Q894" t="str">
            <v>11000003</v>
          </cell>
          <cell r="R894" t="str">
            <v>SUZUKI WAGON-R VXR</v>
          </cell>
          <cell r="S894" t="str">
            <v>2022</v>
          </cell>
          <cell r="T894" t="str">
            <v>AHR-549</v>
          </cell>
          <cell r="U894" t="str">
            <v>B227905</v>
          </cell>
          <cell r="V894" t="str">
            <v>PK10127910</v>
          </cell>
          <cell r="W894" t="str">
            <v>05-apr-2027</v>
          </cell>
          <cell r="Y894">
            <v>1501600</v>
          </cell>
          <cell r="Z894">
            <v>22653</v>
          </cell>
          <cell r="AA894">
            <v>26278</v>
          </cell>
        </row>
        <row r="895">
          <cell r="B895" t="str">
            <v>KHI/HO/D/MO/PC COMP/C/105499/143/01/2025</v>
          </cell>
          <cell r="D895" t="str">
            <v>REN</v>
          </cell>
          <cell r="E895" t="str">
            <v>21/01/25</v>
          </cell>
          <cell r="F895" t="str">
            <v>17/01/2025</v>
          </cell>
          <cell r="G895" t="str">
            <v>16/01/2026</v>
          </cell>
          <cell r="H895" t="str">
            <v>08004499</v>
          </cell>
          <cell r="I895" t="str">
            <v>AL BARAKA BANK (PAKISTAN) LIMITED</v>
          </cell>
          <cell r="J895" t="str">
            <v>BANK</v>
          </cell>
          <cell r="K895" t="str">
            <v>Mr. 
Al Baraka Bank Pakistan Limited 
Mr. 
Al Baraka Bank Pakistan Limited 
User: Muhammad  Khalil</v>
          </cell>
          <cell r="L895" t="str">
            <v>D</v>
          </cell>
          <cell r="M895" t="str">
            <v>09000221</v>
          </cell>
          <cell r="N895">
            <v>100</v>
          </cell>
          <cell r="P895" t="str">
            <v>H # 3  Block B Lahore Garden Sharqpur Road Lahore</v>
          </cell>
          <cell r="Q895" t="str">
            <v>11000003</v>
          </cell>
          <cell r="R895" t="str">
            <v>SUZUKI BOLAN STD VX EURO</v>
          </cell>
          <cell r="S895" t="str">
            <v>2022</v>
          </cell>
          <cell r="T895" t="str">
            <v>AHQ-094</v>
          </cell>
          <cell r="U895" t="str">
            <v>1019448</v>
          </cell>
          <cell r="V895" t="str">
            <v>1135970</v>
          </cell>
          <cell r="W895" t="str">
            <v>05-feb-2027</v>
          </cell>
          <cell r="Y895">
            <v>919200</v>
          </cell>
          <cell r="Z895">
            <v>13867</v>
          </cell>
          <cell r="AA895">
            <v>16086</v>
          </cell>
        </row>
        <row r="896">
          <cell r="B896" t="str">
            <v>KHI/HO/D/MO/PC COMP/C/105499/144/01/2025</v>
          </cell>
          <cell r="D896" t="str">
            <v>REN</v>
          </cell>
          <cell r="E896" t="str">
            <v>21/01/25</v>
          </cell>
          <cell r="F896" t="str">
            <v>17/01/2025</v>
          </cell>
          <cell r="G896" t="str">
            <v>16/01/2026</v>
          </cell>
          <cell r="H896" t="str">
            <v>08004499</v>
          </cell>
          <cell r="I896" t="str">
            <v>AL BARAKA BANK (PAKISTAN) LIMITED</v>
          </cell>
          <cell r="J896" t="str">
            <v>BANK</v>
          </cell>
          <cell r="K896" t="str">
            <v>Mr. 
Al Baraka Bank Pakistan Limited 
Mr. 
Al Baraka Bank Pakistan Limited 
User: Faisal  Nawaz</v>
          </cell>
          <cell r="L896" t="str">
            <v>D</v>
          </cell>
          <cell r="M896" t="str">
            <v>09000221</v>
          </cell>
          <cell r="N896">
            <v>100</v>
          </cell>
          <cell r="P896" t="str">
            <v>H # 731/14 Street 13  Gulshan Colony 2 Chungi Ammar Sidhu Lahore</v>
          </cell>
          <cell r="Q896" t="str">
            <v>11000003</v>
          </cell>
          <cell r="R896" t="str">
            <v>SUZUKI CULTUS VXL EURO II</v>
          </cell>
          <cell r="S896" t="str">
            <v>2020</v>
          </cell>
          <cell r="T896" t="str">
            <v>AGZ-807</v>
          </cell>
          <cell r="U896" t="str">
            <v>165779</v>
          </cell>
          <cell r="V896" t="str">
            <v>10065806</v>
          </cell>
          <cell r="W896" t="str">
            <v>05-feb-2027</v>
          </cell>
          <cell r="Y896">
            <v>1440000</v>
          </cell>
          <cell r="Z896">
            <v>21724</v>
          </cell>
          <cell r="AA896">
            <v>25200</v>
          </cell>
        </row>
        <row r="897">
          <cell r="B897" t="str">
            <v>KHI/HO/D/MO/PC COMP/C/105499/145/01/2025</v>
          </cell>
          <cell r="D897" t="str">
            <v>REN</v>
          </cell>
          <cell r="E897" t="str">
            <v>21/01/25</v>
          </cell>
          <cell r="F897" t="str">
            <v>18/01/2025</v>
          </cell>
          <cell r="G897" t="str">
            <v>17/01/2026</v>
          </cell>
          <cell r="H897" t="str">
            <v>08004499</v>
          </cell>
          <cell r="I897" t="str">
            <v>AL BARAKA BANK (PAKISTAN) LIMITED</v>
          </cell>
          <cell r="J897" t="str">
            <v>BANK</v>
          </cell>
          <cell r="K897" t="str">
            <v>Mr. 
Al Baraka Bank Pakistan Limited 
Mr. 
Al Baraka Bank Pakistan Limited 
User: Syed Mansab Ali</v>
          </cell>
          <cell r="L897" t="str">
            <v>D</v>
          </cell>
          <cell r="M897" t="str">
            <v>09000221</v>
          </cell>
          <cell r="N897">
            <v>100</v>
          </cell>
          <cell r="P897" t="str">
            <v>H # 80 Sector 7-D/1 North  Karachi Karachi</v>
          </cell>
          <cell r="Q897" t="str">
            <v>11000003</v>
          </cell>
          <cell r="R897" t="str">
            <v>KIA PICANTO 1.0L A/T</v>
          </cell>
          <cell r="S897" t="str">
            <v>2019</v>
          </cell>
          <cell r="T897" t="str">
            <v>BRD 697</v>
          </cell>
          <cell r="U897" t="str">
            <v>148290</v>
          </cell>
          <cell r="V897" t="str">
            <v>700448</v>
          </cell>
          <cell r="W897" t="str">
            <v>05-feb-2027</v>
          </cell>
          <cell r="Y897">
            <v>1680000</v>
          </cell>
          <cell r="Z897">
            <v>25345</v>
          </cell>
          <cell r="AA897">
            <v>29400</v>
          </cell>
        </row>
        <row r="898">
          <cell r="B898" t="str">
            <v>KHI/HO/D/MO/PC COMP/C/105499/146/01/2025</v>
          </cell>
          <cell r="D898" t="str">
            <v>REN</v>
          </cell>
          <cell r="E898" t="str">
            <v>21/01/25</v>
          </cell>
          <cell r="F898" t="str">
            <v>18/01/2025</v>
          </cell>
          <cell r="G898" t="str">
            <v>17/01/2026</v>
          </cell>
          <cell r="H898" t="str">
            <v>08004499</v>
          </cell>
          <cell r="I898" t="str">
            <v>AL BARAKA BANK (PAKISTAN) LIMITED</v>
          </cell>
          <cell r="J898" t="str">
            <v>BANK</v>
          </cell>
          <cell r="K898" t="str">
            <v>Mr. 
Al Baraka Bank Pakistan Limited 
Mr. 
Al Baraka Bank Pakistan Limited 
User: Muhammad  Abbas</v>
          </cell>
          <cell r="L898" t="str">
            <v>D</v>
          </cell>
          <cell r="M898" t="str">
            <v>09000221</v>
          </cell>
          <cell r="N898">
            <v>100</v>
          </cell>
          <cell r="P898" t="str">
            <v>Mohallah Fakhar Shah Colony Deepal Pur Okara</v>
          </cell>
          <cell r="Q898" t="str">
            <v>11000003</v>
          </cell>
          <cell r="R898" t="str">
            <v>SUZUKI SWIFT DLX M/T NAV.</v>
          </cell>
          <cell r="S898" t="str">
            <v>2019</v>
          </cell>
          <cell r="T898" t="str">
            <v>APJ-989</v>
          </cell>
          <cell r="U898" t="str">
            <v>13047465</v>
          </cell>
          <cell r="V898" t="str">
            <v>10047464</v>
          </cell>
          <cell r="W898" t="str">
            <v>05-feb-2027</v>
          </cell>
          <cell r="Y898">
            <v>1640000</v>
          </cell>
          <cell r="Z898">
            <v>24742</v>
          </cell>
          <cell r="AA898">
            <v>28700</v>
          </cell>
        </row>
        <row r="899">
          <cell r="B899" t="str">
            <v>KHI/HO/D/MO/PC COMP/C/105499/147/01/2025</v>
          </cell>
          <cell r="D899" t="str">
            <v>REN</v>
          </cell>
          <cell r="E899" t="str">
            <v>21/01/25</v>
          </cell>
          <cell r="F899" t="str">
            <v>21/01/2025</v>
          </cell>
          <cell r="G899" t="str">
            <v>20/01/2026</v>
          </cell>
          <cell r="H899" t="str">
            <v>08004499</v>
          </cell>
          <cell r="I899" t="str">
            <v>AL BARAKA BANK (PAKISTAN) LIMITED</v>
          </cell>
          <cell r="J899" t="str">
            <v>BANK</v>
          </cell>
          <cell r="K899" t="str">
            <v>Mr. 
Al Baraka Bank Pakistan Limited 
Mr. 
Al Baraka Bank Pakistan Limited 
User: Iram  Sohail</v>
          </cell>
          <cell r="L899" t="str">
            <v>D</v>
          </cell>
          <cell r="M899" t="str">
            <v>09000221</v>
          </cell>
          <cell r="N899">
            <v>100</v>
          </cell>
          <cell r="P899" t="str">
            <v>H # 4/1 Fazila Colony Shah Kamal Lahore</v>
          </cell>
          <cell r="Q899" t="str">
            <v>11000003</v>
          </cell>
          <cell r="R899" t="str">
            <v>HONDA BRV MTI I-VTEC 1.5L</v>
          </cell>
          <cell r="S899" t="str">
            <v>2018</v>
          </cell>
          <cell r="T899" t="str">
            <v>LE-18A-6393</v>
          </cell>
          <cell r="U899" t="str">
            <v>13511444</v>
          </cell>
          <cell r="V899" t="str">
            <v>11458</v>
          </cell>
          <cell r="W899" t="str">
            <v>05-feb-2027</v>
          </cell>
          <cell r="Y899">
            <v>2400000</v>
          </cell>
          <cell r="Z899">
            <v>36207</v>
          </cell>
          <cell r="AA899">
            <v>42000</v>
          </cell>
        </row>
        <row r="900">
          <cell r="B900" t="str">
            <v>KHI/HO/D/MO/PC COMP/C/105499/148/01/2025</v>
          </cell>
          <cell r="D900" t="str">
            <v>REN</v>
          </cell>
          <cell r="E900" t="str">
            <v>21/01/25</v>
          </cell>
          <cell r="F900" t="str">
            <v>21/01/2025</v>
          </cell>
          <cell r="G900" t="str">
            <v>20/01/2026</v>
          </cell>
          <cell r="H900" t="str">
            <v>08004499</v>
          </cell>
          <cell r="I900" t="str">
            <v>AL BARAKA BANK (PAKISTAN) LIMITED</v>
          </cell>
          <cell r="J900" t="str">
            <v>BANK</v>
          </cell>
          <cell r="K900" t="str">
            <v>Mr. 
Al Baraka Bank Pakistan Limited 
Mr. 
Al Baraka Bank Pakistan Limited 
User: Muhammad   Umer</v>
          </cell>
          <cell r="L900" t="str">
            <v>D</v>
          </cell>
          <cell r="M900" t="str">
            <v>09000221</v>
          </cell>
          <cell r="N900">
            <v>100</v>
          </cell>
          <cell r="P900" t="str">
            <v>H No 4D/1/E St No 187 Mian Muhammad Din Colony Baghban Pura Lahore</v>
          </cell>
          <cell r="Q900" t="str">
            <v>11000003</v>
          </cell>
          <cell r="R900" t="str">
            <v>HONDA CITY 1.2  LS CVT</v>
          </cell>
          <cell r="S900" t="str">
            <v>2022</v>
          </cell>
          <cell r="T900" t="str">
            <v>AHE-924</v>
          </cell>
          <cell r="U900" t="str">
            <v>1007005</v>
          </cell>
          <cell r="V900" t="str">
            <v>NR010955</v>
          </cell>
          <cell r="W900" t="str">
            <v>05-feb-2027</v>
          </cell>
          <cell r="Y900">
            <v>2364000</v>
          </cell>
          <cell r="Z900">
            <v>50949</v>
          </cell>
          <cell r="AA900">
            <v>59100</v>
          </cell>
        </row>
        <row r="901">
          <cell r="B901" t="str">
            <v>KHI/HO/D/MO/PC COMP/C/105499/149/01/2025</v>
          </cell>
          <cell r="D901" t="str">
            <v>REN</v>
          </cell>
          <cell r="E901" t="str">
            <v>21/01/25</v>
          </cell>
          <cell r="F901" t="str">
            <v>21/01/2025</v>
          </cell>
          <cell r="G901" t="str">
            <v>20/01/2026</v>
          </cell>
          <cell r="H901" t="str">
            <v>08004499</v>
          </cell>
          <cell r="I901" t="str">
            <v>AL BARAKA BANK (PAKISTAN) LIMITED</v>
          </cell>
          <cell r="J901" t="str">
            <v>BANK</v>
          </cell>
          <cell r="K901" t="str">
            <v>Mr. 
Al Baraka Bank Pakistan Limited 
Mr. 
Al Baraka Bank Pakistan Limited 
User: Jahanzaib  Ali</v>
          </cell>
          <cell r="L901" t="str">
            <v>D</v>
          </cell>
          <cell r="M901" t="str">
            <v>09000221</v>
          </cell>
          <cell r="N901">
            <v>100</v>
          </cell>
          <cell r="P901" t="str">
            <v>20-G Flat Block N Ext. Model Town Lahore</v>
          </cell>
          <cell r="Q901" t="str">
            <v>11000003</v>
          </cell>
          <cell r="R901" t="str">
            <v>HONDA CITY I-VTEC (M/T)</v>
          </cell>
          <cell r="S901" t="str">
            <v>2020</v>
          </cell>
          <cell r="T901" t="str">
            <v>AAJ 450</v>
          </cell>
          <cell r="U901" t="str">
            <v>17539586</v>
          </cell>
          <cell r="V901" t="str">
            <v>LR261992</v>
          </cell>
          <cell r="W901" t="str">
            <v>05-feb-2027</v>
          </cell>
          <cell r="Y901">
            <v>1840000</v>
          </cell>
          <cell r="Z901">
            <v>27758</v>
          </cell>
          <cell r="AA901">
            <v>32200</v>
          </cell>
        </row>
        <row r="902">
          <cell r="B902" t="str">
            <v>KHI/HO/D/MO/PC COMP/C/105499/150/01/2025</v>
          </cell>
          <cell r="D902" t="str">
            <v>REN</v>
          </cell>
          <cell r="E902" t="str">
            <v>21/01/25</v>
          </cell>
          <cell r="F902" t="str">
            <v>21/01/2025</v>
          </cell>
          <cell r="G902" t="str">
            <v>20/01/2026</v>
          </cell>
          <cell r="H902" t="str">
            <v>08004499</v>
          </cell>
          <cell r="I902" t="str">
            <v>AL BARAKA BANK (PAKISTAN) LIMITED</v>
          </cell>
          <cell r="J902" t="str">
            <v>BANK</v>
          </cell>
          <cell r="K902" t="str">
            <v>Mr. 
Al Baraka Bank Pakistan Limited 
Mr. 
Al Baraka Bank Pakistan Limited 
User: Muzammal   Hussain</v>
          </cell>
          <cell r="L902" t="str">
            <v>D</v>
          </cell>
          <cell r="M902" t="str">
            <v>09000221</v>
          </cell>
          <cell r="N902">
            <v>100</v>
          </cell>
          <cell r="P902" t="str">
            <v>Al Bilala Road St No 6 Moh Shahrukh Colony Gujranwala</v>
          </cell>
          <cell r="Q902" t="str">
            <v>11000003</v>
          </cell>
          <cell r="R902" t="str">
            <v>SUZUKI ALTO VX</v>
          </cell>
          <cell r="S902" t="str">
            <v>2021</v>
          </cell>
          <cell r="T902" t="str">
            <v>AGY-229</v>
          </cell>
          <cell r="U902" t="str">
            <v>6R202585</v>
          </cell>
          <cell r="V902" t="str">
            <v>6H1102591</v>
          </cell>
          <cell r="W902" t="str">
            <v>05-feb-2027</v>
          </cell>
          <cell r="Y902">
            <v>890400</v>
          </cell>
          <cell r="Z902">
            <v>13433</v>
          </cell>
          <cell r="AA902">
            <v>15582</v>
          </cell>
        </row>
        <row r="903">
          <cell r="B903" t="str">
            <v>KHI/HO/D/MO/PC COMP/C/105499/151/01/2025</v>
          </cell>
          <cell r="D903" t="str">
            <v>REN</v>
          </cell>
          <cell r="E903" t="str">
            <v>21/01/25</v>
          </cell>
          <cell r="F903" t="str">
            <v>21/01/2025</v>
          </cell>
          <cell r="G903" t="str">
            <v>20/01/2026</v>
          </cell>
          <cell r="H903" t="str">
            <v>08004499</v>
          </cell>
          <cell r="I903" t="str">
            <v>AL BARAKA BANK (PAKISTAN) LIMITED</v>
          </cell>
          <cell r="J903" t="str">
            <v>BANK</v>
          </cell>
          <cell r="K903" t="str">
            <v>Mr. 
Al Baraka Bank Pakistan Limited 
Mr. 
Al Baraka Bank Pakistan Limited 
User: Sardar  Muhammad</v>
          </cell>
          <cell r="L903" t="str">
            <v>D</v>
          </cell>
          <cell r="M903" t="str">
            <v>09000221</v>
          </cell>
          <cell r="N903">
            <v>100</v>
          </cell>
          <cell r="P903" t="str">
            <v>H No 2 Street No 13 Baloch Khan Chowk Pashtoon Shah Quetta</v>
          </cell>
          <cell r="Q903" t="str">
            <v>11000003</v>
          </cell>
          <cell r="R903" t="str">
            <v>SUZUKI BOLAN VX</v>
          </cell>
          <cell r="S903" t="str">
            <v>2022</v>
          </cell>
          <cell r="T903" t="str">
            <v>CZ-7437</v>
          </cell>
          <cell r="U903" t="str">
            <v>1019173</v>
          </cell>
          <cell r="V903" t="str">
            <v>1135682</v>
          </cell>
          <cell r="W903" t="str">
            <v>05-feb-2027</v>
          </cell>
          <cell r="Y903">
            <v>942400</v>
          </cell>
          <cell r="Z903">
            <v>14217</v>
          </cell>
          <cell r="AA903">
            <v>16492</v>
          </cell>
        </row>
        <row r="904">
          <cell r="B904" t="str">
            <v>KHI/HO/D/MO/PC COMP/C/105499/152/01/2025</v>
          </cell>
          <cell r="D904" t="str">
            <v>REN</v>
          </cell>
          <cell r="E904" t="str">
            <v>21/01/25</v>
          </cell>
          <cell r="F904" t="str">
            <v>24/01/2025</v>
          </cell>
          <cell r="G904" t="str">
            <v>23/01/2026</v>
          </cell>
          <cell r="H904" t="str">
            <v>08004499</v>
          </cell>
          <cell r="I904" t="str">
            <v>AL BARAKA BANK (PAKISTAN) LIMITED</v>
          </cell>
          <cell r="J904" t="str">
            <v>BANK</v>
          </cell>
          <cell r="K904" t="str">
            <v>Mr. 
Al Baraka Bank Pakistan Limited 
Mr. 
Al Baraka Bank Pakistan Limited 
User: Muhammad Sohail Akhtar</v>
          </cell>
          <cell r="L904" t="str">
            <v>D</v>
          </cell>
          <cell r="M904" t="str">
            <v>09000221</v>
          </cell>
          <cell r="N904">
            <v>100</v>
          </cell>
          <cell r="P904" t="str">
            <v>H No 510Moh Model Town B Khanpur</v>
          </cell>
          <cell r="Q904" t="str">
            <v>11000003</v>
          </cell>
          <cell r="R904" t="str">
            <v>SUZUKI CULTUS</v>
          </cell>
          <cell r="S904" t="str">
            <v>2021</v>
          </cell>
          <cell r="T904" t="str">
            <v>BUQ-105</v>
          </cell>
          <cell r="U904" t="str">
            <v>181665</v>
          </cell>
          <cell r="V904" t="str">
            <v>10081664</v>
          </cell>
          <cell r="W904" t="str">
            <v>05-feb-2029</v>
          </cell>
          <cell r="Y904">
            <v>1680000</v>
          </cell>
          <cell r="Z904">
            <v>25345</v>
          </cell>
          <cell r="AA904">
            <v>29400</v>
          </cell>
        </row>
        <row r="905">
          <cell r="B905" t="str">
            <v>KHI/HO/D/MO/PC COMP/C/105499/153/01/2025</v>
          </cell>
          <cell r="D905" t="str">
            <v>REN</v>
          </cell>
          <cell r="E905" t="str">
            <v>21/01/25</v>
          </cell>
          <cell r="F905" t="str">
            <v>24/01/2025</v>
          </cell>
          <cell r="G905" t="str">
            <v>23/01/2026</v>
          </cell>
          <cell r="H905" t="str">
            <v>08004499</v>
          </cell>
          <cell r="I905" t="str">
            <v>AL BARAKA BANK (PAKISTAN) LIMITED</v>
          </cell>
          <cell r="J905" t="str">
            <v>BANK</v>
          </cell>
          <cell r="K905" t="str">
            <v>Mr. 
Al Baraka Bank Pakistan Limited 
Mr. 
Al Baraka Bank Pakistan Limited 
User: Amtul   Basit</v>
          </cell>
          <cell r="L905" t="str">
            <v>D</v>
          </cell>
          <cell r="M905" t="str">
            <v>09000221</v>
          </cell>
          <cell r="N905">
            <v>100</v>
          </cell>
          <cell r="P905" t="str">
            <v>H # 110 Block E Lahore Press Club H. Society Harbanspura Lahore</v>
          </cell>
          <cell r="Q905" t="str">
            <v>11000003</v>
          </cell>
          <cell r="R905" t="str">
            <v>SUZUKI ALTO VXL AGS E-2</v>
          </cell>
          <cell r="S905" t="str">
            <v>2021</v>
          </cell>
          <cell r="T905" t="str">
            <v>AHB-739</v>
          </cell>
          <cell r="U905" t="str">
            <v>6R203758</v>
          </cell>
          <cell r="V905" t="str">
            <v>H1103831</v>
          </cell>
          <cell r="W905" t="str">
            <v>05-feb-2029</v>
          </cell>
          <cell r="Y905">
            <v>1216800</v>
          </cell>
          <cell r="Z905">
            <v>18356</v>
          </cell>
          <cell r="AA905">
            <v>21294</v>
          </cell>
        </row>
        <row r="906">
          <cell r="B906" t="str">
            <v>KHI/HO/D/MO/PC COMP/C/105499/154/01/2025</v>
          </cell>
          <cell r="D906" t="str">
            <v>REN</v>
          </cell>
          <cell r="E906" t="str">
            <v>21/01/25</v>
          </cell>
          <cell r="F906" t="str">
            <v>25/01/2025</v>
          </cell>
          <cell r="G906" t="str">
            <v>24/01/2026</v>
          </cell>
          <cell r="H906" t="str">
            <v>08004499</v>
          </cell>
          <cell r="I906" t="str">
            <v>AL BARAKA BANK (PAKISTAN) LIMITED</v>
          </cell>
          <cell r="J906" t="str">
            <v>BANK</v>
          </cell>
          <cell r="K906" t="str">
            <v>Mr. 
Al Baraka Bank Pakistan Limited 
Mr. 
Al Baraka Bank Pakistan Limited 
User: Muhammad  Usman  Mukhtar</v>
          </cell>
          <cell r="L906" t="str">
            <v>D</v>
          </cell>
          <cell r="M906" t="str">
            <v>09000221</v>
          </cell>
          <cell r="N906">
            <v>100</v>
          </cell>
          <cell r="P906" t="str">
            <v>P-394 St No 10 Tariq Abad Faisalabad</v>
          </cell>
          <cell r="Q906" t="str">
            <v>11000003</v>
          </cell>
          <cell r="R906" t="str">
            <v>CHANGAN ALSVIN DCT 1.5</v>
          </cell>
          <cell r="S906" t="str">
            <v>2022</v>
          </cell>
          <cell r="T906" t="str">
            <v>AXB-377</v>
          </cell>
          <cell r="U906" t="str">
            <v>JL473QFM3CAD529207</v>
          </cell>
          <cell r="V906" t="str">
            <v>NKMA2ASE5N1005993</v>
          </cell>
          <cell r="W906" t="str">
            <v>05-feb-2027</v>
          </cell>
          <cell r="Y906">
            <v>2071200</v>
          </cell>
          <cell r="Z906">
            <v>31247</v>
          </cell>
          <cell r="AA906">
            <v>36246</v>
          </cell>
        </row>
        <row r="907">
          <cell r="B907" t="str">
            <v>KHI/HO/D/MO/PC COMP/C/105499/155/01/2025</v>
          </cell>
          <cell r="D907" t="str">
            <v>REN</v>
          </cell>
          <cell r="E907" t="str">
            <v>21/01/25</v>
          </cell>
          <cell r="F907" t="str">
            <v>25/01/2025</v>
          </cell>
          <cell r="G907" t="str">
            <v>24/01/2026</v>
          </cell>
          <cell r="H907" t="str">
            <v>08004499</v>
          </cell>
          <cell r="I907" t="str">
            <v>AL BARAKA BANK (PAKISTAN) LIMITED</v>
          </cell>
          <cell r="J907" t="str">
            <v>BANK</v>
          </cell>
          <cell r="K907" t="str">
            <v>Mr. 
Al Baraka Bank Pakistan Limited 
Mr. 
Al Baraka Bank Pakistan Limited 
User: Muhammad Shehroz Sardar</v>
          </cell>
          <cell r="L907" t="str">
            <v>D</v>
          </cell>
          <cell r="M907" t="str">
            <v>09000221</v>
          </cell>
          <cell r="N907">
            <v>100</v>
          </cell>
          <cell r="P907" t="str">
            <v>H No 5 Faisal Town Juharabad</v>
          </cell>
          <cell r="Q907" t="str">
            <v>11000003</v>
          </cell>
          <cell r="R907" t="str">
            <v>SUZUKI ALTO VXR</v>
          </cell>
          <cell r="S907" t="str">
            <v>2022</v>
          </cell>
          <cell r="T907" t="str">
            <v>AXJ-516</v>
          </cell>
          <cell r="U907" t="str">
            <v>208827</v>
          </cell>
          <cell r="V907" t="str">
            <v>1108790</v>
          </cell>
          <cell r="W907" t="str">
            <v>05-feb-2027</v>
          </cell>
          <cell r="Y907">
            <v>1236800</v>
          </cell>
          <cell r="Z907">
            <v>18658</v>
          </cell>
          <cell r="AA907">
            <v>21644</v>
          </cell>
        </row>
        <row r="908">
          <cell r="B908" t="str">
            <v>KHI/HO/D/MO/PC COMP/C/105499/156/01/2025</v>
          </cell>
          <cell r="D908" t="str">
            <v>REN</v>
          </cell>
          <cell r="E908" t="str">
            <v>21/01/25</v>
          </cell>
          <cell r="F908" t="str">
            <v>25/01/2025</v>
          </cell>
          <cell r="G908" t="str">
            <v>24/01/2026</v>
          </cell>
          <cell r="H908" t="str">
            <v>08004499</v>
          </cell>
          <cell r="I908" t="str">
            <v>AL BARAKA BANK (PAKISTAN) LIMITED</v>
          </cell>
          <cell r="J908" t="str">
            <v>BANK</v>
          </cell>
          <cell r="K908" t="str">
            <v>Mr. 
Al Baraka Bank Pakistan Limited 
Mr. 
Al Baraka Bank Pakistan Limited 
User: Muhammad Afzal Malik</v>
          </cell>
          <cell r="L908" t="str">
            <v>D</v>
          </cell>
          <cell r="M908" t="str">
            <v>09000221</v>
          </cell>
          <cell r="N908">
            <v>100</v>
          </cell>
          <cell r="P908" t="str">
            <v>H No 17 St No 2 Block X Sosan Road Mohallah Madina Town Faisalabad</v>
          </cell>
          <cell r="Q908" t="str">
            <v>11000003</v>
          </cell>
          <cell r="R908" t="str">
            <v>HYUNDAI ELANTRA 2.0 MP1 A</v>
          </cell>
          <cell r="S908" t="str">
            <v>2021</v>
          </cell>
          <cell r="T908" t="str">
            <v>AXC-519</v>
          </cell>
          <cell r="U908" t="str">
            <v>G4NAMU945343</v>
          </cell>
          <cell r="V908" t="str">
            <v>PMHD841FMMN302208</v>
          </cell>
          <cell r="W908" t="str">
            <v>05-feb-2027</v>
          </cell>
          <cell r="Y908">
            <v>3122400</v>
          </cell>
          <cell r="Z908">
            <v>40376</v>
          </cell>
          <cell r="AA908">
            <v>46836</v>
          </cell>
        </row>
        <row r="909">
          <cell r="B909" t="str">
            <v>KHI/HO/D/MO/PC COMP/C/105499/157/01/2025</v>
          </cell>
          <cell r="D909" t="str">
            <v>REN</v>
          </cell>
          <cell r="E909" t="str">
            <v>21/01/25</v>
          </cell>
          <cell r="F909" t="str">
            <v>07/01/2025</v>
          </cell>
          <cell r="G909" t="str">
            <v>06/01/2026</v>
          </cell>
          <cell r="H909" t="str">
            <v>08004499</v>
          </cell>
          <cell r="I909" t="str">
            <v>AL BARAKA BANK (PAKISTAN) LIMITED</v>
          </cell>
          <cell r="J909" t="str">
            <v>BANK</v>
          </cell>
          <cell r="K909" t="str">
            <v>Mr. 
Al Baraka Bank Pakistan Limited 
Mr. 
Al Baraka Bank Pakistan Limited 
User: Haris  Hamad</v>
          </cell>
          <cell r="L909" t="str">
            <v>D</v>
          </cell>
          <cell r="M909" t="str">
            <v>09000221</v>
          </cell>
          <cell r="N909">
            <v>100</v>
          </cell>
          <cell r="P909" t="str">
            <v>Street 4 Sbazazar Khanpur</v>
          </cell>
          <cell r="Q909" t="str">
            <v>11000003</v>
          </cell>
          <cell r="R909" t="str">
            <v>SUZUKI ALTO VX EURO II</v>
          </cell>
          <cell r="S909" t="str">
            <v>2022</v>
          </cell>
          <cell r="T909" t="str">
            <v>AHE-860</v>
          </cell>
          <cell r="U909" t="str">
            <v>196188</v>
          </cell>
          <cell r="V909" t="str">
            <v>1096162</v>
          </cell>
          <cell r="W909" t="str">
            <v>05-feb-2027</v>
          </cell>
          <cell r="Y909">
            <v>890400</v>
          </cell>
          <cell r="Z909">
            <v>19190</v>
          </cell>
          <cell r="AA909">
            <v>22260</v>
          </cell>
        </row>
        <row r="910">
          <cell r="B910" t="str">
            <v>KHI/HO/D/MO/PC COMP/C/105499/158/01/2025</v>
          </cell>
          <cell r="D910" t="str">
            <v>REN</v>
          </cell>
          <cell r="E910" t="str">
            <v>21/01/25</v>
          </cell>
          <cell r="F910" t="str">
            <v>26/01/2025</v>
          </cell>
          <cell r="G910" t="str">
            <v>25/01/2026</v>
          </cell>
          <cell r="H910" t="str">
            <v>08004499</v>
          </cell>
          <cell r="I910" t="str">
            <v>AL BARAKA BANK (PAKISTAN) LIMITED</v>
          </cell>
          <cell r="J910" t="str">
            <v>BANK</v>
          </cell>
          <cell r="K910" t="str">
            <v>Mr. 
Al Baraka Bank Pakistan Limited 
Mr. 
Al Baraka Bank Pakistan Limited 
User: Muhammad  Talha Saleemi</v>
          </cell>
          <cell r="L910" t="str">
            <v>D</v>
          </cell>
          <cell r="M910" t="str">
            <v>09000221</v>
          </cell>
          <cell r="N910">
            <v>100</v>
          </cell>
          <cell r="P910" t="str">
            <v>H # 682 Ghous Garden Phase 4 Lahore</v>
          </cell>
          <cell r="Q910" t="str">
            <v>11000003</v>
          </cell>
          <cell r="R910" t="str">
            <v>SUZUKI MEHRAN VXR EURO-II</v>
          </cell>
          <cell r="S910" t="str">
            <v>2017</v>
          </cell>
          <cell r="T910" t="str">
            <v>LEA-17A-6560</v>
          </cell>
          <cell r="U910" t="str">
            <v>695903</v>
          </cell>
          <cell r="V910" t="str">
            <v>01234402</v>
          </cell>
          <cell r="W910" t="str">
            <v>05-feb-2027</v>
          </cell>
          <cell r="Y910">
            <v>704000</v>
          </cell>
          <cell r="Z910">
            <v>10621</v>
          </cell>
          <cell r="AA910">
            <v>12320</v>
          </cell>
        </row>
        <row r="911">
          <cell r="B911" t="str">
            <v>KHI/HO/D/MO/PC COMP/C/105499/159/01/2025</v>
          </cell>
          <cell r="D911" t="str">
            <v>REN</v>
          </cell>
          <cell r="E911" t="str">
            <v>21/01/25</v>
          </cell>
          <cell r="F911" t="str">
            <v>26/01/2025</v>
          </cell>
          <cell r="G911" t="str">
            <v>25/01/2026</v>
          </cell>
          <cell r="H911" t="str">
            <v>08004499</v>
          </cell>
          <cell r="I911" t="str">
            <v>AL BARAKA BANK (PAKISTAN) LIMITED</v>
          </cell>
          <cell r="J911" t="str">
            <v>BANK</v>
          </cell>
          <cell r="K911" t="str">
            <v>Mr. 
Al Baraka Bank Pakistan Limited 
Mr. 
Al Baraka Bank Pakistan Limited 
User: Huma  Tariq</v>
          </cell>
          <cell r="L911" t="str">
            <v>D</v>
          </cell>
          <cell r="M911" t="str">
            <v>09000221</v>
          </cell>
          <cell r="N911">
            <v>100</v>
          </cell>
          <cell r="P911" t="str">
            <v>H No 06-E Block B Samanabad Lahore</v>
          </cell>
          <cell r="Q911" t="str">
            <v>11000003</v>
          </cell>
          <cell r="R911" t="str">
            <v>SUZUKI ALTO VXR</v>
          </cell>
          <cell r="S911" t="str">
            <v>2022</v>
          </cell>
          <cell r="T911" t="str">
            <v>AHL-659</v>
          </cell>
          <cell r="U911" t="str">
            <v>208896</v>
          </cell>
          <cell r="V911" t="str">
            <v>1108911</v>
          </cell>
          <cell r="W911" t="str">
            <v>05-feb-2029</v>
          </cell>
          <cell r="Y911">
            <v>1236800</v>
          </cell>
          <cell r="Z911">
            <v>18658</v>
          </cell>
          <cell r="AA911">
            <v>21644</v>
          </cell>
        </row>
        <row r="912">
          <cell r="B912" t="str">
            <v>KHI/HO/D/MO/PC COMP/C/105499/160/01/2025</v>
          </cell>
          <cell r="D912" t="str">
            <v>REN</v>
          </cell>
          <cell r="E912" t="str">
            <v>21/01/25</v>
          </cell>
          <cell r="F912" t="str">
            <v>27/01/2025</v>
          </cell>
          <cell r="G912" t="str">
            <v>26/01/2026</v>
          </cell>
          <cell r="H912" t="str">
            <v>08004499</v>
          </cell>
          <cell r="I912" t="str">
            <v>AL BARAKA BANK (PAKISTAN) LIMITED</v>
          </cell>
          <cell r="J912" t="str">
            <v>BANK</v>
          </cell>
          <cell r="K912" t="str">
            <v>Mr. 
Al Baraka Bank Pakistan Limited 
Mr. 
Al Baraka Bank Pakistan Limited 
User: Rouf   Khalid</v>
          </cell>
          <cell r="L912" t="str">
            <v>D</v>
          </cell>
          <cell r="M912" t="str">
            <v>09000221</v>
          </cell>
          <cell r="N912">
            <v>100</v>
          </cell>
          <cell r="P912" t="str">
            <v>Po Khas Chak 71/ F Hasil Pur</v>
          </cell>
          <cell r="Q912" t="str">
            <v>11000003</v>
          </cell>
          <cell r="R912" t="str">
            <v>PRINCE PEARL</v>
          </cell>
          <cell r="S912" t="str">
            <v>2022</v>
          </cell>
          <cell r="T912" t="str">
            <v>AHT-165</v>
          </cell>
          <cell r="U912" t="str">
            <v>M07606734W</v>
          </cell>
          <cell r="V912" t="str">
            <v>M22A03504</v>
          </cell>
          <cell r="W912" t="str">
            <v>05-feb-2029</v>
          </cell>
          <cell r="Y912">
            <v>1067200</v>
          </cell>
          <cell r="Z912">
            <v>23000</v>
          </cell>
          <cell r="AA912">
            <v>26680</v>
          </cell>
        </row>
        <row r="913">
          <cell r="B913" t="str">
            <v>KHI/HO/D/MO/PC COMP/C/105499/161/01/2025</v>
          </cell>
          <cell r="D913" t="str">
            <v>REN</v>
          </cell>
          <cell r="E913" t="str">
            <v>21/01/25</v>
          </cell>
          <cell r="F913" t="str">
            <v>27/01/2025</v>
          </cell>
          <cell r="G913" t="str">
            <v>26/01/2026</v>
          </cell>
          <cell r="H913" t="str">
            <v>08004499</v>
          </cell>
          <cell r="I913" t="str">
            <v>AL BARAKA BANK (PAKISTAN) LIMITED</v>
          </cell>
          <cell r="J913" t="str">
            <v>BANK</v>
          </cell>
          <cell r="K913" t="str">
            <v>Mr. 
Al Baraka Bank Pakistan Limited 
Mr. 
Al Baraka Bank Pakistan Limited 
User: Mashood  Saleem</v>
          </cell>
          <cell r="L913" t="str">
            <v>D</v>
          </cell>
          <cell r="M913" t="str">
            <v>09000221</v>
          </cell>
          <cell r="N913">
            <v>100</v>
          </cell>
          <cell r="P913" t="str">
            <v>H # 60 Block C Gulshan-E-Lahore Lahore</v>
          </cell>
          <cell r="Q913" t="str">
            <v>11000003</v>
          </cell>
          <cell r="R913" t="str">
            <v>HONDA CITY CVT ASPIRE A/T</v>
          </cell>
          <cell r="S913" t="str">
            <v>2018</v>
          </cell>
          <cell r="T913" t="str">
            <v>LEB-18-6537</v>
          </cell>
          <cell r="U913" t="str">
            <v>Z17507271</v>
          </cell>
          <cell r="V913" t="str">
            <v>JR219550</v>
          </cell>
          <cell r="W913" t="str">
            <v>05-feb-2027</v>
          </cell>
          <cell r="Y913">
            <v>2000000</v>
          </cell>
          <cell r="Z913">
            <v>34483</v>
          </cell>
          <cell r="AA913">
            <v>40000</v>
          </cell>
        </row>
        <row r="914">
          <cell r="B914" t="str">
            <v>KHI/HO/D/MO/PC COMP/C/105499/162/01/2025</v>
          </cell>
          <cell r="D914" t="str">
            <v>REN</v>
          </cell>
          <cell r="E914" t="str">
            <v>21/01/25</v>
          </cell>
          <cell r="F914" t="str">
            <v>28/01/2025</v>
          </cell>
          <cell r="G914" t="str">
            <v>27/01/2026</v>
          </cell>
          <cell r="H914" t="str">
            <v>08004499</v>
          </cell>
          <cell r="I914" t="str">
            <v>AL BARAKA BANK (PAKISTAN) LIMITED</v>
          </cell>
          <cell r="J914" t="str">
            <v>BANK</v>
          </cell>
          <cell r="K914" t="str">
            <v>Mr. 
Al Baraka Bank Pakistan Limited 
Mr. 
Al Baraka Bank Pakistan Limited 
User: Ijaz  Ahmad</v>
          </cell>
          <cell r="L914" t="str">
            <v>D</v>
          </cell>
          <cell r="M914" t="str">
            <v>09000221</v>
          </cell>
          <cell r="N914">
            <v>100</v>
          </cell>
          <cell r="P914" t="str">
            <v>Muhallah Targhar Road 25 Stop Shahdra Lahore</v>
          </cell>
          <cell r="Q914" t="str">
            <v>11000003</v>
          </cell>
          <cell r="R914" t="str">
            <v>HONDA CITY 1.2 LS MT</v>
          </cell>
          <cell r="S914" t="str">
            <v>2022</v>
          </cell>
          <cell r="T914" t="str">
            <v>AHN-741</v>
          </cell>
          <cell r="U914" t="str">
            <v>1007385</v>
          </cell>
          <cell r="V914" t="str">
            <v>NR011605</v>
          </cell>
          <cell r="W914" t="str">
            <v>05-mar-2027</v>
          </cell>
          <cell r="Y914">
            <v>2364000</v>
          </cell>
          <cell r="Z914">
            <v>35663</v>
          </cell>
          <cell r="AA914">
            <v>41370</v>
          </cell>
        </row>
        <row r="915">
          <cell r="B915" t="str">
            <v>KHI/HO/D/MO/PC COMP/C/105499/163/01/2025</v>
          </cell>
          <cell r="D915" t="str">
            <v>REN</v>
          </cell>
          <cell r="E915" t="str">
            <v>21/01/25</v>
          </cell>
          <cell r="F915" t="str">
            <v>28/01/2025</v>
          </cell>
          <cell r="G915" t="str">
            <v>27/01/2026</v>
          </cell>
          <cell r="H915" t="str">
            <v>08004499</v>
          </cell>
          <cell r="I915" t="str">
            <v>AL BARAKA BANK (PAKISTAN) LIMITED</v>
          </cell>
          <cell r="J915" t="str">
            <v>BANK</v>
          </cell>
          <cell r="K915" t="str">
            <v>Mr. 
Al Baraka Bank Pakistan Limited 
Mr. 
Al Baraka Bank Pakistan Limited 
User: Mirza Faizan Baig</v>
          </cell>
          <cell r="L915" t="str">
            <v>D</v>
          </cell>
          <cell r="M915" t="str">
            <v>09000221</v>
          </cell>
          <cell r="N915">
            <v>100</v>
          </cell>
          <cell r="P915" t="str">
            <v>H No K-41 Mohallah 1 Mohallah Machine Jhelum</v>
          </cell>
          <cell r="Q915" t="str">
            <v>11000003</v>
          </cell>
          <cell r="R915" t="str">
            <v>SUZUKI BOLAN STD VX</v>
          </cell>
          <cell r="S915" t="str">
            <v>2022</v>
          </cell>
          <cell r="T915" t="str">
            <v>AXJ-238</v>
          </cell>
          <cell r="U915" t="str">
            <v>1019530</v>
          </cell>
          <cell r="V915" t="str">
            <v>01136043</v>
          </cell>
          <cell r="W915" t="str">
            <v>05-feb-2027</v>
          </cell>
          <cell r="Y915">
            <v>942400</v>
          </cell>
          <cell r="Z915">
            <v>20310</v>
          </cell>
          <cell r="AA915">
            <v>23560</v>
          </cell>
        </row>
        <row r="916">
          <cell r="B916" t="str">
            <v>KHI/HO/D/MO/PC COMP/C/105499/164/01/2025</v>
          </cell>
          <cell r="D916" t="str">
            <v>REN</v>
          </cell>
          <cell r="E916" t="str">
            <v>21/01/25</v>
          </cell>
          <cell r="F916" t="str">
            <v>28/01/2025</v>
          </cell>
          <cell r="G916" t="str">
            <v>27/01/2026</v>
          </cell>
          <cell r="H916" t="str">
            <v>08004499</v>
          </cell>
          <cell r="I916" t="str">
            <v>AL BARAKA BANK (PAKISTAN) LIMITED</v>
          </cell>
          <cell r="J916" t="str">
            <v>BANK</v>
          </cell>
          <cell r="K916" t="str">
            <v>Mr. 
Al Baraka Bank Pakistan Limited 
Mr. 
Al Baraka Bank Pakistan Limited 
User: Hassan Ali Sadiq</v>
          </cell>
          <cell r="L916" t="str">
            <v>D</v>
          </cell>
          <cell r="M916" t="str">
            <v>09000221</v>
          </cell>
          <cell r="N916">
            <v>100</v>
          </cell>
          <cell r="P916" t="str">
            <v>A-804 8Th Floor Ammar Tower Mania Co Opr H. Society Off Shaheed-E-Millat Rd Karachi</v>
          </cell>
          <cell r="Q916" t="str">
            <v>11000003</v>
          </cell>
          <cell r="R916" t="str">
            <v>KIA PICANTO 1.0L A/T</v>
          </cell>
          <cell r="S916" t="str">
            <v>2020</v>
          </cell>
          <cell r="T916" t="str">
            <v>BRD-806</v>
          </cell>
          <cell r="U916" t="str">
            <v>148179</v>
          </cell>
          <cell r="V916" t="str">
            <v>700519</v>
          </cell>
          <cell r="W916" t="str">
            <v>05-feb-2027</v>
          </cell>
          <cell r="Y916">
            <v>1740000</v>
          </cell>
          <cell r="Z916">
            <v>26249</v>
          </cell>
          <cell r="AA916">
            <v>30450</v>
          </cell>
        </row>
        <row r="917">
          <cell r="B917" t="str">
            <v>KHI/HO/D/MO/PC COMP/C/105499/165/01/2025</v>
          </cell>
          <cell r="D917" t="str">
            <v>REN</v>
          </cell>
          <cell r="E917" t="str">
            <v>21/01/25</v>
          </cell>
          <cell r="F917" t="str">
            <v>29/01/2025</v>
          </cell>
          <cell r="G917" t="str">
            <v>28/01/2026</v>
          </cell>
          <cell r="H917" t="str">
            <v>08004499</v>
          </cell>
          <cell r="I917" t="str">
            <v>AL BARAKA BANK (PAKISTAN) LIMITED</v>
          </cell>
          <cell r="J917" t="str">
            <v>BANK</v>
          </cell>
          <cell r="K917" t="str">
            <v>Mr. 
Al Baraka Bank Pakistan Limited 
Mr. 
Al Baraka Bank Pakistan Limited 
User: Zainab  Shabbir</v>
          </cell>
          <cell r="L917" t="str">
            <v>D</v>
          </cell>
          <cell r="M917" t="str">
            <v>09000221</v>
          </cell>
          <cell r="N917">
            <v>100</v>
          </cell>
          <cell r="P917" t="str">
            <v>H # B-31 Block S North Nazimabad Karachi</v>
          </cell>
          <cell r="Q917" t="str">
            <v>11000003</v>
          </cell>
          <cell r="R917" t="str">
            <v>SUZUKI SWIFT DLX EURO II</v>
          </cell>
          <cell r="S917" t="str">
            <v>2019</v>
          </cell>
          <cell r="T917" t="str">
            <v>BQE-293</v>
          </cell>
          <cell r="U917" t="str">
            <v>46234</v>
          </cell>
          <cell r="V917" t="str">
            <v>10046229</v>
          </cell>
          <cell r="W917" t="str">
            <v>05-feb-2027</v>
          </cell>
          <cell r="Y917">
            <v>1696000</v>
          </cell>
          <cell r="Z917">
            <v>25586</v>
          </cell>
          <cell r="AA917">
            <v>29680</v>
          </cell>
        </row>
        <row r="918">
          <cell r="B918" t="str">
            <v>KHI/HO/D/MO/PC COMP/C/105499/166/01/2025</v>
          </cell>
          <cell r="D918" t="str">
            <v>REN</v>
          </cell>
          <cell r="E918" t="str">
            <v>21/01/25</v>
          </cell>
          <cell r="F918" t="str">
            <v>31/01/2025</v>
          </cell>
          <cell r="G918" t="str">
            <v>30/01/2026</v>
          </cell>
          <cell r="H918" t="str">
            <v>08004499</v>
          </cell>
          <cell r="I918" t="str">
            <v>AL BARAKA BANK (PAKISTAN) LIMITED</v>
          </cell>
          <cell r="J918" t="str">
            <v>BANK</v>
          </cell>
          <cell r="K918" t="str">
            <v>Mr. 
Al Baraka Bank Pakistan Limited 
Mr. 
Al Baraka Bank Pakistan Limited 
User: Riaz  Ahmad</v>
          </cell>
          <cell r="L918" t="str">
            <v>D</v>
          </cell>
          <cell r="M918" t="str">
            <v>09000221</v>
          </cell>
          <cell r="N918">
            <v>100</v>
          </cell>
          <cell r="P918" t="str">
            <v>H # 2/3 Street 77-S Mohallah Thapar Street Sham Nagar Chauburji Noorani Masjid Lahore</v>
          </cell>
          <cell r="Q918" t="str">
            <v>11000003</v>
          </cell>
          <cell r="R918" t="str">
            <v>TOYOTA COROLLA GLI M/T 1.</v>
          </cell>
          <cell r="S918" t="str">
            <v>2017</v>
          </cell>
          <cell r="T918" t="str">
            <v>LEB-17-5310</v>
          </cell>
          <cell r="U918" t="str">
            <v>Z482284</v>
          </cell>
          <cell r="V918" t="str">
            <v>4108766</v>
          </cell>
          <cell r="W918" t="str">
            <v>05-feb-2027</v>
          </cell>
          <cell r="Y918">
            <v>2000000</v>
          </cell>
          <cell r="Z918">
            <v>43103</v>
          </cell>
          <cell r="AA918">
            <v>50000</v>
          </cell>
        </row>
        <row r="919">
          <cell r="B919" t="str">
            <v>KHI/HO/D/MO/PC COMP/C/105499/167/01/2025</v>
          </cell>
          <cell r="D919" t="str">
            <v>REN</v>
          </cell>
          <cell r="E919" t="str">
            <v>21/01/25</v>
          </cell>
          <cell r="F919" t="str">
            <v>31/01/2025</v>
          </cell>
          <cell r="G919" t="str">
            <v>30/01/2026</v>
          </cell>
          <cell r="H919" t="str">
            <v>08004499</v>
          </cell>
          <cell r="I919" t="str">
            <v>AL BARAKA BANK (PAKISTAN) LIMITED</v>
          </cell>
          <cell r="J919" t="str">
            <v>BANK</v>
          </cell>
          <cell r="K919" t="str">
            <v>Mr. 
Al Baraka Bank Pakistan Limited 
Mr. 
Al Baraka Bank Pakistan Limited 
User: Wasiq  Ali Tai</v>
          </cell>
          <cell r="L919" t="str">
            <v>D</v>
          </cell>
          <cell r="M919" t="str">
            <v>09000221</v>
          </cell>
          <cell r="N919">
            <v>100</v>
          </cell>
          <cell r="P919" t="str">
            <v>H # 167 Street 24 Sector Dha Phase 1 Lahore</v>
          </cell>
          <cell r="Q919" t="str">
            <v>11000003</v>
          </cell>
          <cell r="R919" t="str">
            <v>SUZUKI BOLAN STD VX EURO</v>
          </cell>
          <cell r="S919" t="str">
            <v>2022</v>
          </cell>
          <cell r="T919" t="str">
            <v>AHP-744</v>
          </cell>
          <cell r="U919" t="str">
            <v>1019840</v>
          </cell>
          <cell r="V919" t="str">
            <v>1136346</v>
          </cell>
          <cell r="W919" t="str">
            <v>05-feb-2029</v>
          </cell>
          <cell r="Y919">
            <v>942400</v>
          </cell>
          <cell r="Z919">
            <v>14217</v>
          </cell>
          <cell r="AA919">
            <v>16492</v>
          </cell>
        </row>
        <row r="920">
          <cell r="B920" t="str">
            <v>KHI/HO/D/MO/PC COMP/C/105499/168/01/2025</v>
          </cell>
          <cell r="D920" t="str">
            <v>REN</v>
          </cell>
          <cell r="E920" t="str">
            <v>21/01/25</v>
          </cell>
          <cell r="F920" t="str">
            <v>31/01/2025</v>
          </cell>
          <cell r="G920" t="str">
            <v>30/01/2026</v>
          </cell>
          <cell r="H920" t="str">
            <v>08004499</v>
          </cell>
          <cell r="I920" t="str">
            <v>AL BARAKA BANK (PAKISTAN) LIMITED</v>
          </cell>
          <cell r="J920" t="str">
            <v>BANK</v>
          </cell>
          <cell r="K920" t="str">
            <v>Mr. 
Al Baraka Bank Pakistan Limited 
Mr. 
Al Baraka Bank Pakistan Limited 
User: Abdul   Salam</v>
          </cell>
          <cell r="L920" t="str">
            <v>D</v>
          </cell>
          <cell r="M920" t="str">
            <v>09000221</v>
          </cell>
          <cell r="N920">
            <v>100</v>
          </cell>
          <cell r="P920" t="str">
            <v>Arzanipur Thang Khalriyan Tehsil Chuian Kasur</v>
          </cell>
          <cell r="Q920" t="str">
            <v>11000003</v>
          </cell>
          <cell r="R920" t="str">
            <v>SUZUKI CULTUS VXL</v>
          </cell>
          <cell r="S920" t="str">
            <v>2018</v>
          </cell>
          <cell r="T920" t="str">
            <v>LEB-19-6730</v>
          </cell>
          <cell r="U920" t="str">
            <v>134079</v>
          </cell>
          <cell r="V920" t="str">
            <v>10033856</v>
          </cell>
          <cell r="W920" t="str">
            <v>05-feb-2027</v>
          </cell>
          <cell r="Y920">
            <v>1440000</v>
          </cell>
          <cell r="Z920">
            <v>31035</v>
          </cell>
          <cell r="AA920">
            <v>36000</v>
          </cell>
        </row>
        <row r="921">
          <cell r="B921" t="str">
            <v>KHI/HO/D/MO/PC COMP/C/105499/169/01/2025</v>
          </cell>
          <cell r="D921" t="str">
            <v>REN</v>
          </cell>
          <cell r="E921" t="str">
            <v>21/01/25</v>
          </cell>
          <cell r="F921" t="str">
            <v>31/01/2025</v>
          </cell>
          <cell r="G921" t="str">
            <v>30/01/2026</v>
          </cell>
          <cell r="H921" t="str">
            <v>08004499</v>
          </cell>
          <cell r="I921" t="str">
            <v>AL BARAKA BANK (PAKISTAN) LIMITED</v>
          </cell>
          <cell r="J921" t="str">
            <v>BANK</v>
          </cell>
          <cell r="K921" t="str">
            <v>Mr. 
Al Baraka Bank Pakistan Limited 
Mr. 
Al Baraka Bank Pakistan Limited 
User: Waseem Arif Bhatti</v>
          </cell>
          <cell r="L921" t="str">
            <v>D</v>
          </cell>
          <cell r="M921" t="str">
            <v>09000221</v>
          </cell>
          <cell r="N921">
            <v>100</v>
          </cell>
          <cell r="P921" t="str">
            <v>H # 336-A Punjab H. Society Phase 1 Pia Road Lahore</v>
          </cell>
          <cell r="Q921" t="str">
            <v>11000003</v>
          </cell>
          <cell r="R921" t="str">
            <v>TOYOTA YARIS ATIV MT 1.3</v>
          </cell>
          <cell r="S921" t="str">
            <v>2022</v>
          </cell>
          <cell r="T921" t="str">
            <v>LHF-22-945</v>
          </cell>
          <cell r="U921" t="str">
            <v>2A43219</v>
          </cell>
          <cell r="V921" t="str">
            <v>7027095</v>
          </cell>
          <cell r="W921" t="str">
            <v>05-feb-2027</v>
          </cell>
          <cell r="Y921">
            <v>2106400</v>
          </cell>
          <cell r="Z921">
            <v>31777</v>
          </cell>
          <cell r="AA921">
            <v>36862</v>
          </cell>
        </row>
        <row r="922">
          <cell r="B922" t="str">
            <v>KHI/HO/D/MO/PC COMP/C/105499/170/01/2025</v>
          </cell>
          <cell r="D922" t="str">
            <v>REN</v>
          </cell>
          <cell r="E922" t="str">
            <v>21/01/25</v>
          </cell>
          <cell r="F922" t="str">
            <v>31/01/2025</v>
          </cell>
          <cell r="G922" t="str">
            <v>30/01/2026</v>
          </cell>
          <cell r="H922" t="str">
            <v>08004499</v>
          </cell>
          <cell r="I922" t="str">
            <v>AL BARAKA BANK (PAKISTAN) LIMITED</v>
          </cell>
          <cell r="J922" t="str">
            <v>BANK</v>
          </cell>
          <cell r="K922" t="str">
            <v>Mr. 
Al Baraka Bank Pakistan Limited 
Mr. 
Al Baraka Bank Pakistan Limited 
User: Balqees  Akhtar</v>
          </cell>
          <cell r="L922" t="str">
            <v>D</v>
          </cell>
          <cell r="M922" t="str">
            <v>09000221</v>
          </cell>
          <cell r="N922">
            <v>100</v>
          </cell>
          <cell r="P922" t="str">
            <v>H # 1 Street 3 Mohallah Main Bazar Fazal Park Shahdra More Lahore</v>
          </cell>
          <cell r="Q922" t="str">
            <v>11000003</v>
          </cell>
          <cell r="R922" t="str">
            <v>SUZUKI BOLAN STD VX EURO</v>
          </cell>
          <cell r="S922" t="str">
            <v>2022</v>
          </cell>
          <cell r="T922" t="str">
            <v>AHJ-590</v>
          </cell>
          <cell r="U922" t="str">
            <v>PKT1019884</v>
          </cell>
          <cell r="V922" t="str">
            <v>SV308PK01136401</v>
          </cell>
          <cell r="W922" t="str">
            <v>05-feb-2027</v>
          </cell>
          <cell r="Y922">
            <v>942400</v>
          </cell>
          <cell r="Z922">
            <v>14217</v>
          </cell>
          <cell r="AA922">
            <v>16492</v>
          </cell>
        </row>
        <row r="923">
          <cell r="B923" t="str">
            <v>KHI/HO/D/MO/PC COMP/C/105499/171/01/2025</v>
          </cell>
          <cell r="D923" t="str">
            <v>REN</v>
          </cell>
          <cell r="E923" t="str">
            <v>21/01/25</v>
          </cell>
          <cell r="F923" t="str">
            <v>31/01/2025</v>
          </cell>
          <cell r="G923" t="str">
            <v>30/01/2026</v>
          </cell>
          <cell r="H923" t="str">
            <v>08004499</v>
          </cell>
          <cell r="I923" t="str">
            <v>AL BARAKA BANK (PAKISTAN) LIMITED</v>
          </cell>
          <cell r="J923" t="str">
            <v>BANK</v>
          </cell>
          <cell r="K923" t="str">
            <v>Mr. 
Al Baraka Bank Pakistan Limited 
Mr. 
Al Baraka Bank Pakistan Limited 
User: Syed Ali Zaheer Haider</v>
          </cell>
          <cell r="L923" t="str">
            <v>D</v>
          </cell>
          <cell r="M923" t="str">
            <v>09000221</v>
          </cell>
          <cell r="N923">
            <v>100</v>
          </cell>
          <cell r="P923" t="str">
            <v>H # 226 Street A -1 Society Johar Town Lahore</v>
          </cell>
          <cell r="Q923" t="str">
            <v>11000003</v>
          </cell>
          <cell r="R923" t="str">
            <v>SUZUKI WAGON-R VXR</v>
          </cell>
          <cell r="S923" t="str">
            <v>2022</v>
          </cell>
          <cell r="T923" t="str">
            <v>AHJ-833</v>
          </cell>
          <cell r="U923" t="str">
            <v>227844</v>
          </cell>
          <cell r="V923" t="str">
            <v>10127866</v>
          </cell>
          <cell r="W923" t="str">
            <v>05-feb-2028</v>
          </cell>
          <cell r="Y923">
            <v>1501600</v>
          </cell>
          <cell r="Z923">
            <v>22653</v>
          </cell>
          <cell r="AA923">
            <v>26278</v>
          </cell>
        </row>
        <row r="924">
          <cell r="B924" t="str">
            <v>KHI/HO/D/MO/PC COMP/C/105499/172/01/2025</v>
          </cell>
          <cell r="D924" t="str">
            <v>REN</v>
          </cell>
          <cell r="E924" t="str">
            <v>21/01/25</v>
          </cell>
          <cell r="F924" t="str">
            <v>31/01/2025</v>
          </cell>
          <cell r="G924" t="str">
            <v>30/01/2026</v>
          </cell>
          <cell r="H924" t="str">
            <v>08004499</v>
          </cell>
          <cell r="I924" t="str">
            <v>AL BARAKA BANK (PAKISTAN) LIMITED</v>
          </cell>
          <cell r="J924" t="str">
            <v>BANK</v>
          </cell>
          <cell r="K924" t="str">
            <v>Mr. 
Al Baraka Bank Pakistan Limited 
Mr. 
Al Baraka Bank Pakistan Limited 
User: Sajjad  Ahmed</v>
          </cell>
          <cell r="L924" t="str">
            <v>D</v>
          </cell>
          <cell r="M924" t="str">
            <v>09000221</v>
          </cell>
          <cell r="N924">
            <v>100</v>
          </cell>
          <cell r="P924" t="str">
            <v>Chak No 37/ 3R P-O Same Tehsil Haroonabad</v>
          </cell>
          <cell r="Q924" t="str">
            <v>11000003</v>
          </cell>
          <cell r="R924" t="str">
            <v>SUZUKI ALTO</v>
          </cell>
          <cell r="S924" t="str">
            <v>2019</v>
          </cell>
          <cell r="T924" t="str">
            <v>LEA-20-7296</v>
          </cell>
          <cell r="U924" t="str">
            <v>6R113505</v>
          </cell>
          <cell r="V924" t="str">
            <v>6H1013456</v>
          </cell>
          <cell r="W924" t="str">
            <v>05-feb-2027</v>
          </cell>
          <cell r="Y924">
            <v>1216000</v>
          </cell>
          <cell r="Z924">
            <v>26207</v>
          </cell>
          <cell r="AA924">
            <v>30400</v>
          </cell>
        </row>
        <row r="925">
          <cell r="B925" t="str">
            <v>KHI/HO/D/MO/PC COMP/C/105499/173/01/2025</v>
          </cell>
          <cell r="D925" t="str">
            <v>REN</v>
          </cell>
          <cell r="E925" t="str">
            <v>21/01/25</v>
          </cell>
          <cell r="F925" t="str">
            <v>31/01/2025</v>
          </cell>
          <cell r="G925" t="str">
            <v>30/01/2026</v>
          </cell>
          <cell r="H925" t="str">
            <v>08004499</v>
          </cell>
          <cell r="I925" t="str">
            <v>AL BARAKA BANK (PAKISTAN) LIMITED</v>
          </cell>
          <cell r="J925" t="str">
            <v>BANK</v>
          </cell>
          <cell r="K925" t="str">
            <v>Mr. 
Al Baraka Bank Pakistan Limited 
Mr. 
Al Baraka Bank Pakistan Limited 
User: Bilal  Miraj</v>
          </cell>
          <cell r="L925" t="str">
            <v>D</v>
          </cell>
          <cell r="M925" t="str">
            <v>09000221</v>
          </cell>
          <cell r="N925">
            <v>100</v>
          </cell>
          <cell r="P925" t="str">
            <v>H # 201 Lda Mohallah Mughlia Park  Maqbara More Lahore</v>
          </cell>
          <cell r="Q925" t="str">
            <v>11000003</v>
          </cell>
          <cell r="R925" t="str">
            <v>CHANGAN KARVAAN PLUS</v>
          </cell>
          <cell r="S925" t="str">
            <v>2022</v>
          </cell>
          <cell r="T925" t="str">
            <v>AHP-527</v>
          </cell>
          <cell r="U925" t="str">
            <v>507496</v>
          </cell>
          <cell r="V925" t="str">
            <v>1011805</v>
          </cell>
          <cell r="W925" t="str">
            <v>05-feb-2029</v>
          </cell>
          <cell r="Y925">
            <v>1371200</v>
          </cell>
          <cell r="Z925">
            <v>20686</v>
          </cell>
          <cell r="AA925">
            <v>23996</v>
          </cell>
        </row>
        <row r="926">
          <cell r="B926" t="str">
            <v>KHI/HO/D/MO/PC COMP/C/105499/174/01/2025</v>
          </cell>
          <cell r="D926" t="str">
            <v>REN</v>
          </cell>
          <cell r="E926" t="str">
            <v>21/01/25</v>
          </cell>
          <cell r="F926" t="str">
            <v>31/01/2025</v>
          </cell>
          <cell r="G926" t="str">
            <v>30/01/2026</v>
          </cell>
          <cell r="H926" t="str">
            <v>08004499</v>
          </cell>
          <cell r="I926" t="str">
            <v>AL BARAKA BANK (PAKISTAN) LIMITED</v>
          </cell>
          <cell r="J926" t="str">
            <v>BANK</v>
          </cell>
          <cell r="K926" t="str">
            <v>Mr. 
Al Baraka Bank Pakistan Limited 
Mr. 
Al Baraka Bank Pakistan Limited 
User: Izhar Ul Haq</v>
          </cell>
          <cell r="L926" t="str">
            <v>D</v>
          </cell>
          <cell r="M926" t="str">
            <v>09000221</v>
          </cell>
          <cell r="N926">
            <v>100</v>
          </cell>
          <cell r="P926" t="str">
            <v>House No 27 Street No 33 Mullah Sony View Park Mujahid  Abad Mughalpura Lhr Cant</v>
          </cell>
          <cell r="Q926" t="str">
            <v>11000003</v>
          </cell>
          <cell r="R926" t="str">
            <v>SUZUKI WAGON-R VXL E2</v>
          </cell>
          <cell r="S926" t="str">
            <v>2019</v>
          </cell>
          <cell r="T926" t="str">
            <v>LEE-19-7840</v>
          </cell>
          <cell r="U926" t="str">
            <v>B192074</v>
          </cell>
          <cell r="V926" t="str">
            <v>10092334</v>
          </cell>
          <cell r="W926" t="str">
            <v>05-feb-2029</v>
          </cell>
          <cell r="Y926">
            <v>1400000</v>
          </cell>
          <cell r="Z926">
            <v>21121</v>
          </cell>
          <cell r="AA926">
            <v>24500</v>
          </cell>
        </row>
        <row r="927">
          <cell r="B927" t="str">
            <v>KHI/HO/D/MO/PC COMP/C/105499/175/01/2025</v>
          </cell>
          <cell r="D927" t="str">
            <v>REN</v>
          </cell>
          <cell r="E927" t="str">
            <v>21/01/25</v>
          </cell>
          <cell r="F927" t="str">
            <v>31/01/2025</v>
          </cell>
          <cell r="G927" t="str">
            <v>30/01/2026</v>
          </cell>
          <cell r="H927" t="str">
            <v>08004499</v>
          </cell>
          <cell r="I927" t="str">
            <v>AL BARAKA BANK (PAKISTAN) LIMITED</v>
          </cell>
          <cell r="J927" t="str">
            <v>BANK</v>
          </cell>
          <cell r="K927" t="str">
            <v>Mr. 
Al Baraka Bank Pakistan Limited 
Mr. 
Al Baraka Bank Pakistan Limited 
User: Sagher  Iqbal</v>
          </cell>
          <cell r="L927" t="str">
            <v>D</v>
          </cell>
          <cell r="M927" t="str">
            <v>09000221</v>
          </cell>
          <cell r="N927">
            <v>100</v>
          </cell>
          <cell r="P927" t="str">
            <v>St 02 Salamat Street Yahana Abad Lahore</v>
          </cell>
          <cell r="Q927" t="str">
            <v>11000003</v>
          </cell>
          <cell r="R927" t="str">
            <v>SUZUKI CULTUS</v>
          </cell>
          <cell r="S927" t="str">
            <v>2017</v>
          </cell>
          <cell r="T927" t="str">
            <v>LED-17-327</v>
          </cell>
          <cell r="U927" t="str">
            <v>PK0K101489</v>
          </cell>
          <cell r="V927" t="str">
            <v>NF1AVK31H10001475</v>
          </cell>
          <cell r="W927" t="str">
            <v>05-feb-2027</v>
          </cell>
          <cell r="Y927">
            <v>1416000</v>
          </cell>
          <cell r="Z927">
            <v>30517</v>
          </cell>
          <cell r="AA927">
            <v>35400</v>
          </cell>
        </row>
        <row r="928">
          <cell r="B928" t="str">
            <v>KHI/HO/D/MO/PC COMP/C/105499/176/01/2025</v>
          </cell>
          <cell r="D928" t="str">
            <v>REN</v>
          </cell>
          <cell r="E928" t="str">
            <v>21/01/25</v>
          </cell>
          <cell r="F928" t="str">
            <v>31/01/2025</v>
          </cell>
          <cell r="G928" t="str">
            <v>30/01/2026</v>
          </cell>
          <cell r="H928" t="str">
            <v>08004499</v>
          </cell>
          <cell r="I928" t="str">
            <v>AL BARAKA BANK (PAKISTAN) LIMITED</v>
          </cell>
          <cell r="J928" t="str">
            <v>BANK</v>
          </cell>
          <cell r="K928" t="str">
            <v>Mr. 
Al Baraka Bank Pakistan Limited 
Mr. 
Al Baraka Bank Pakistan Limited 
User: Malik Muhammad  Amir</v>
          </cell>
          <cell r="L928" t="str">
            <v>D</v>
          </cell>
          <cell r="M928" t="str">
            <v>09000221</v>
          </cell>
          <cell r="N928">
            <v>100</v>
          </cell>
          <cell r="P928" t="str">
            <v>Khalid Park H. No. 212 Street 5 Khokhar Town Bund Road Lahore</v>
          </cell>
          <cell r="Q928" t="str">
            <v>11000003</v>
          </cell>
          <cell r="R928" t="str">
            <v>SUZUKI WAGON-R VXL E2</v>
          </cell>
          <cell r="S928" t="str">
            <v>2018</v>
          </cell>
          <cell r="T928" t="str">
            <v>LEE-18-4684</v>
          </cell>
          <cell r="U928" t="str">
            <v>PK10B156612</v>
          </cell>
          <cell r="V928" t="str">
            <v>10056592</v>
          </cell>
          <cell r="W928" t="str">
            <v>05-feb-2027</v>
          </cell>
          <cell r="Y928">
            <v>1280000</v>
          </cell>
          <cell r="Z928">
            <v>19310</v>
          </cell>
          <cell r="AA928">
            <v>22400</v>
          </cell>
        </row>
        <row r="929">
          <cell r="B929" t="str">
            <v>KHI/HO/D/MO/PC COMP/C/105499/177/01/2025</v>
          </cell>
          <cell r="D929" t="str">
            <v>REN</v>
          </cell>
          <cell r="E929" t="str">
            <v>21/01/25</v>
          </cell>
          <cell r="F929" t="str">
            <v>31/01/2025</v>
          </cell>
          <cell r="G929" t="str">
            <v>30/01/2026</v>
          </cell>
          <cell r="H929" t="str">
            <v>08004499</v>
          </cell>
          <cell r="I929" t="str">
            <v>AL BARAKA BANK (PAKISTAN) LIMITED</v>
          </cell>
          <cell r="J929" t="str">
            <v>BANK</v>
          </cell>
          <cell r="K929" t="str">
            <v>Mr. 
Al Baraka Bank Pakistan Limited 
Mr. 
Al Baraka Bank Pakistan Limited 
User: Waleed  Islam</v>
          </cell>
          <cell r="L929" t="str">
            <v>D</v>
          </cell>
          <cell r="M929" t="str">
            <v>09000221</v>
          </cell>
          <cell r="N929">
            <v>100</v>
          </cell>
          <cell r="P929" t="str">
            <v>House # 10A Military Accounts Society Collage Road Lahore</v>
          </cell>
          <cell r="Q929" t="str">
            <v>11000003</v>
          </cell>
          <cell r="R929" t="str">
            <v>HONDA CIVIC VTI  ORIEL PT</v>
          </cell>
          <cell r="S929" t="str">
            <v>2019</v>
          </cell>
          <cell r="T929" t="str">
            <v>LEH-19-1551</v>
          </cell>
          <cell r="U929" t="str">
            <v>71403538</v>
          </cell>
          <cell r="V929" t="str">
            <v>KR057362</v>
          </cell>
          <cell r="W929" t="str">
            <v>05-feb-2027</v>
          </cell>
          <cell r="Y929">
            <v>3480000</v>
          </cell>
          <cell r="Z929">
            <v>45000</v>
          </cell>
          <cell r="AA929">
            <v>52200</v>
          </cell>
        </row>
        <row r="930">
          <cell r="B930" t="str">
            <v>KHI/HO/D/MO/PC COMP/C/105499/178/01/2025</v>
          </cell>
          <cell r="D930" t="str">
            <v>REN</v>
          </cell>
          <cell r="E930" t="str">
            <v>21/01/25</v>
          </cell>
          <cell r="F930" t="str">
            <v>31/01/2025</v>
          </cell>
          <cell r="G930" t="str">
            <v>30/01/2026</v>
          </cell>
          <cell r="H930" t="str">
            <v>08004499</v>
          </cell>
          <cell r="I930" t="str">
            <v>AL BARAKA BANK (PAKISTAN) LIMITED</v>
          </cell>
          <cell r="J930" t="str">
            <v>BANK</v>
          </cell>
          <cell r="K930" t="str">
            <v>Mr. 
Al Baraka Bank Pakistan Limited 
Mr. 
Al Baraka Bank Pakistan Limited 
User: Waqas  Ahmad</v>
          </cell>
          <cell r="L930" t="str">
            <v>D</v>
          </cell>
          <cell r="M930" t="str">
            <v>09000221</v>
          </cell>
          <cell r="N930">
            <v>100</v>
          </cell>
          <cell r="P930" t="str">
            <v>H # 4 Street 25 Bilal Road Rasheed Pura Baghbanpura Lahore</v>
          </cell>
          <cell r="Q930" t="str">
            <v>11000003</v>
          </cell>
          <cell r="R930" t="str">
            <v>TOYOTA COROLLA ALTIS CVT</v>
          </cell>
          <cell r="S930" t="str">
            <v>2022</v>
          </cell>
          <cell r="T930" t="str">
            <v>AHG-079</v>
          </cell>
          <cell r="U930" t="str">
            <v>Q357236</v>
          </cell>
          <cell r="V930" t="str">
            <v>7056355</v>
          </cell>
          <cell r="W930" t="str">
            <v>05-feb-2027</v>
          </cell>
          <cell r="Y930">
            <v>3390400</v>
          </cell>
          <cell r="Z930">
            <v>43842</v>
          </cell>
          <cell r="AA930">
            <v>50856</v>
          </cell>
        </row>
        <row r="931">
          <cell r="B931" t="str">
            <v>KHI/HO/D/MO/PC COMP/C/105499/179/01/2025</v>
          </cell>
          <cell r="D931" t="str">
            <v>REN</v>
          </cell>
          <cell r="E931" t="str">
            <v>21/01/25</v>
          </cell>
          <cell r="F931" t="str">
            <v>31/01/2025</v>
          </cell>
          <cell r="G931" t="str">
            <v>30/01/2026</v>
          </cell>
          <cell r="H931" t="str">
            <v>08004499</v>
          </cell>
          <cell r="I931" t="str">
            <v>AL BARAKA BANK (PAKISTAN) LIMITED</v>
          </cell>
          <cell r="J931" t="str">
            <v>BANK</v>
          </cell>
          <cell r="K931" t="str">
            <v>Mr. 
Al Baraka Bank Pakistan Limited 
Mr. 
Al Baraka Bank Pakistan Limited 
User: Adeel   Zahid</v>
          </cell>
          <cell r="L931" t="str">
            <v>D</v>
          </cell>
          <cell r="M931" t="str">
            <v>09000221</v>
          </cell>
          <cell r="N931">
            <v>100</v>
          </cell>
          <cell r="P931" t="str">
            <v>P-692 Zeeshan Road Bhatees Street Khayaban 2 Madina Town Faisalabad</v>
          </cell>
          <cell r="Q931" t="str">
            <v>11000003</v>
          </cell>
          <cell r="R931" t="str">
            <v>HONDA CITY I-VTEC (M/T)</v>
          </cell>
          <cell r="S931" t="str">
            <v>2017</v>
          </cell>
          <cell r="T931" t="str">
            <v>AGA-304</v>
          </cell>
          <cell r="U931" t="str">
            <v>L13Z17503378</v>
          </cell>
          <cell r="V931" t="str">
            <v>214098</v>
          </cell>
          <cell r="W931" t="str">
            <v>05-feb-2027</v>
          </cell>
          <cell r="Y931">
            <v>1820000</v>
          </cell>
          <cell r="Z931">
            <v>39224</v>
          </cell>
          <cell r="AA931">
            <v>45500</v>
          </cell>
        </row>
        <row r="932">
          <cell r="B932" t="str">
            <v>KHI/HO/D/MO/PC COMP/C/105499/180/01/2025</v>
          </cell>
          <cell r="D932" t="str">
            <v>REN</v>
          </cell>
          <cell r="E932" t="str">
            <v>21/01/25</v>
          </cell>
          <cell r="F932" t="str">
            <v>31/01/2025</v>
          </cell>
          <cell r="G932" t="str">
            <v>30/01/2026</v>
          </cell>
          <cell r="H932" t="str">
            <v>08004499</v>
          </cell>
          <cell r="I932" t="str">
            <v>AL BARAKA BANK (PAKISTAN) LIMITED</v>
          </cell>
          <cell r="J932" t="str">
            <v>BANK</v>
          </cell>
          <cell r="K932" t="str">
            <v>Mr. 
Al Baraka Bank Pakistan Limited 
Mr. 
Al Baraka Bank Pakistan Limited 
User: Mufti Khurram Shahzad</v>
          </cell>
          <cell r="L932" t="str">
            <v>D</v>
          </cell>
          <cell r="M932" t="str">
            <v>09000221</v>
          </cell>
          <cell r="N932">
            <v>100</v>
          </cell>
          <cell r="P932" t="str">
            <v>H # 4 Street 26 Moh Dev Simaj Ram Nagar Islampura Lahore</v>
          </cell>
          <cell r="Q932" t="str">
            <v>11000003</v>
          </cell>
          <cell r="R932" t="str">
            <v>SUZUKI CULTUS VXL EURO II</v>
          </cell>
          <cell r="S932" t="str">
            <v>2021</v>
          </cell>
          <cell r="T932" t="str">
            <v>AUS-942</v>
          </cell>
          <cell r="U932" t="str">
            <v>180849</v>
          </cell>
          <cell r="V932" t="str">
            <v>10080672</v>
          </cell>
          <cell r="W932" t="str">
            <v>05-feb-2027</v>
          </cell>
          <cell r="Y932">
            <v>1776000</v>
          </cell>
          <cell r="Z932">
            <v>26793</v>
          </cell>
          <cell r="AA932">
            <v>31080</v>
          </cell>
        </row>
        <row r="933">
          <cell r="B933" t="str">
            <v>KHI/HO/D/MO/PC COMP/C/105499/181/01/2025</v>
          </cell>
          <cell r="D933" t="str">
            <v>REN</v>
          </cell>
          <cell r="E933" t="str">
            <v>21/01/25</v>
          </cell>
          <cell r="F933" t="str">
            <v>31/01/2025</v>
          </cell>
          <cell r="G933" t="str">
            <v>30/01/2026</v>
          </cell>
          <cell r="H933" t="str">
            <v>08004499</v>
          </cell>
          <cell r="I933" t="str">
            <v>AL BARAKA BANK (PAKISTAN) LIMITED</v>
          </cell>
          <cell r="J933" t="str">
            <v>BANK</v>
          </cell>
          <cell r="K933" t="str">
            <v>Mr. 
Al Baraka Bank Pakistan Limited 
Mr. 
Al Baraka Bank Pakistan Limited 
User: Ahsan  Khyber</v>
          </cell>
          <cell r="L933" t="str">
            <v>D</v>
          </cell>
          <cell r="M933" t="str">
            <v>09000221</v>
          </cell>
          <cell r="N933">
            <v>100</v>
          </cell>
          <cell r="P933" t="str">
            <v>H # 74-A Jalal Sons Venus H. Scheme Main Boulevard Ferozepur Road Lahore</v>
          </cell>
          <cell r="Q933" t="str">
            <v>11000003</v>
          </cell>
          <cell r="R933" t="str">
            <v>HONDA CITY CVT ASPIRE A/T</v>
          </cell>
          <cell r="S933" t="str">
            <v>2018</v>
          </cell>
          <cell r="T933" t="str">
            <v>LEC-18A-7089</v>
          </cell>
          <cell r="U933" t="str">
            <v>Z17521845</v>
          </cell>
          <cell r="V933" t="str">
            <v>JR238138</v>
          </cell>
          <cell r="W933" t="str">
            <v>05-feb-2027</v>
          </cell>
          <cell r="Y933">
            <v>2080000</v>
          </cell>
          <cell r="Z933">
            <v>31379</v>
          </cell>
          <cell r="AA933">
            <v>36400</v>
          </cell>
        </row>
        <row r="934">
          <cell r="B934" t="str">
            <v>KHI/HO/D/MO/PC COMP/C/105499/182/01/2025</v>
          </cell>
          <cell r="D934" t="str">
            <v>REN</v>
          </cell>
          <cell r="E934" t="str">
            <v>21/01/25</v>
          </cell>
          <cell r="F934" t="str">
            <v>31/01/2025</v>
          </cell>
          <cell r="G934" t="str">
            <v>30/01/2026</v>
          </cell>
          <cell r="H934" t="str">
            <v>08004499</v>
          </cell>
          <cell r="I934" t="str">
            <v>AL BARAKA BANK (PAKISTAN) LIMITED</v>
          </cell>
          <cell r="J934" t="str">
            <v>BANK</v>
          </cell>
          <cell r="K934" t="str">
            <v>Mr. 
Al Baraka Bank Pakistan Limited 
Mr. 
Al Baraka Bank Pakistan Limited 
User: Muhammad  Ramzan</v>
          </cell>
          <cell r="L934" t="str">
            <v>D</v>
          </cell>
          <cell r="M934" t="str">
            <v>09000221</v>
          </cell>
          <cell r="N934">
            <v>100</v>
          </cell>
          <cell r="P934" t="str">
            <v>H No 107 City Gardec Jhangi Wala Road  Bahawalpur</v>
          </cell>
          <cell r="Q934" t="str">
            <v>11000003</v>
          </cell>
          <cell r="R934" t="str">
            <v>HONDA CIVIC VTI MT</v>
          </cell>
          <cell r="S934" t="str">
            <v>2022</v>
          </cell>
          <cell r="T934" t="str">
            <v>AXE-929</v>
          </cell>
          <cell r="U934" t="str">
            <v>6929810</v>
          </cell>
          <cell r="V934" t="str">
            <v>R082392</v>
          </cell>
          <cell r="W934" t="str">
            <v>05-feb-2027</v>
          </cell>
          <cell r="Y934">
            <v>3373200</v>
          </cell>
          <cell r="Z934">
            <v>43619</v>
          </cell>
          <cell r="AA934">
            <v>50598</v>
          </cell>
        </row>
        <row r="935">
          <cell r="B935" t="str">
            <v>KHI/HO/D/MO/PC COMP/C/105499/183/01/2025</v>
          </cell>
          <cell r="D935" t="str">
            <v>REN</v>
          </cell>
          <cell r="E935" t="str">
            <v>21/01/25</v>
          </cell>
          <cell r="F935" t="str">
            <v>11/01/2025</v>
          </cell>
          <cell r="G935" t="str">
            <v>10/01/2026</v>
          </cell>
          <cell r="H935" t="str">
            <v>08004499</v>
          </cell>
          <cell r="I935" t="str">
            <v>AL BARAKA BANK (PAKISTAN) LIMITED</v>
          </cell>
          <cell r="J935" t="str">
            <v>BANK</v>
          </cell>
          <cell r="K935" t="str">
            <v>Mr. 
Al Baraka Bank Pakistan Limited 
Mr. 
Al Baraka Bank Pakistan Limited 
User: Awais  Aslam</v>
          </cell>
          <cell r="L935" t="str">
            <v>D</v>
          </cell>
          <cell r="M935" t="str">
            <v>09000221</v>
          </cell>
          <cell r="N935">
            <v>100</v>
          </cell>
          <cell r="P935" t="str">
            <v>91-N Sabzazar Scheme Multan Road Lahore</v>
          </cell>
          <cell r="Q935" t="str">
            <v>11000003</v>
          </cell>
          <cell r="R935" t="str">
            <v>HONDA CIVIC VTI  ORIEL PT</v>
          </cell>
          <cell r="S935" t="str">
            <v>2017</v>
          </cell>
          <cell r="T935" t="str">
            <v>LEH-17-741</v>
          </cell>
          <cell r="U935" t="str">
            <v>2918064</v>
          </cell>
          <cell r="V935" t="str">
            <v>R021438</v>
          </cell>
          <cell r="W935" t="str">
            <v>05-feb-2027</v>
          </cell>
          <cell r="Y935">
            <v>2700000</v>
          </cell>
          <cell r="Z935">
            <v>40733</v>
          </cell>
          <cell r="AA935">
            <v>47250</v>
          </cell>
        </row>
        <row r="936">
          <cell r="B936" t="str">
            <v>KHI/HO/D/MO/PC COMP/C/105499/184/01/2025</v>
          </cell>
          <cell r="D936" t="str">
            <v>REN</v>
          </cell>
          <cell r="E936" t="str">
            <v>21/01/25</v>
          </cell>
          <cell r="F936" t="str">
            <v>31/01/2025</v>
          </cell>
          <cell r="G936" t="str">
            <v>30/01/2026</v>
          </cell>
          <cell r="H936" t="str">
            <v>08004499</v>
          </cell>
          <cell r="I936" t="str">
            <v>AL BARAKA BANK (PAKISTAN) LIMITED</v>
          </cell>
          <cell r="J936" t="str">
            <v>BANK</v>
          </cell>
          <cell r="K936" t="str">
            <v>Mr. 
Al Baraka Bank Pakistan Limited 
Mr. 
Al Baraka Bank Pakistan Limited 
User: Shahnaz  Malik</v>
          </cell>
          <cell r="L936" t="str">
            <v>D</v>
          </cell>
          <cell r="M936" t="str">
            <v>09000221</v>
          </cell>
          <cell r="N936">
            <v>100</v>
          </cell>
          <cell r="P936" t="str">
            <v>182/2 Main Khayaban-E-Shahbaz Dha Karachi</v>
          </cell>
          <cell r="Q936" t="str">
            <v>11000003</v>
          </cell>
          <cell r="R936" t="str">
            <v>SUZUKI BOLAN STD VX EURO</v>
          </cell>
          <cell r="S936" t="str">
            <v>2022</v>
          </cell>
          <cell r="T936" t="str">
            <v>CZ-7854</v>
          </cell>
          <cell r="U936" t="str">
            <v>1019572</v>
          </cell>
          <cell r="V936" t="str">
            <v>01136082</v>
          </cell>
          <cell r="W936" t="str">
            <v>05-feb-2026</v>
          </cell>
          <cell r="Y936">
            <v>942400</v>
          </cell>
          <cell r="Z936">
            <v>20310</v>
          </cell>
          <cell r="AA936">
            <v>23560</v>
          </cell>
        </row>
        <row r="937">
          <cell r="B937" t="str">
            <v>KHI/HO/D/MO/PC COMP/C/105499/185/01/2025</v>
          </cell>
          <cell r="D937" t="str">
            <v>REN</v>
          </cell>
          <cell r="E937" t="str">
            <v>21/01/25</v>
          </cell>
          <cell r="F937" t="str">
            <v>31/01/2025</v>
          </cell>
          <cell r="G937" t="str">
            <v>30/01/2026</v>
          </cell>
          <cell r="H937" t="str">
            <v>08004499</v>
          </cell>
          <cell r="I937" t="str">
            <v>AL BARAKA BANK (PAKISTAN) LIMITED</v>
          </cell>
          <cell r="J937" t="str">
            <v>BANK</v>
          </cell>
          <cell r="K937" t="str">
            <v>Mr. 
Al Baraka Bank Pakistan Limited 
Mr. 
Al Baraka Bank Pakistan Limited 
User: Syed Shahid Raza Shamsi</v>
          </cell>
          <cell r="L937" t="str">
            <v>D</v>
          </cell>
          <cell r="M937" t="str">
            <v>09000221</v>
          </cell>
          <cell r="N937">
            <v>100</v>
          </cell>
          <cell r="P937" t="str">
            <v>H # Bb-39 2Nd Street Behind Iqra University Defence View Ph 2 Karachi</v>
          </cell>
          <cell r="Q937" t="str">
            <v>11000003</v>
          </cell>
          <cell r="R937" t="str">
            <v>SUZUKI ALTO VXL AGS</v>
          </cell>
          <cell r="S937" t="str">
            <v>2019</v>
          </cell>
          <cell r="T937" t="str">
            <v>BRC-447</v>
          </cell>
          <cell r="U937" t="str">
            <v>6R122691</v>
          </cell>
          <cell r="V937" t="str">
            <v>1022562</v>
          </cell>
          <cell r="W937" t="str">
            <v>05-feb-2027</v>
          </cell>
          <cell r="Y937">
            <v>1392000</v>
          </cell>
          <cell r="Z937">
            <v>21000</v>
          </cell>
          <cell r="AA937">
            <v>24360</v>
          </cell>
        </row>
        <row r="938">
          <cell r="B938" t="str">
            <v>KHI/HO/D/MO/PC COMP/C/105499/186/01/2025</v>
          </cell>
          <cell r="D938" t="str">
            <v>REN</v>
          </cell>
          <cell r="E938" t="str">
            <v>21/01/25</v>
          </cell>
          <cell r="F938" t="str">
            <v>31/01/2025</v>
          </cell>
          <cell r="G938" t="str">
            <v>30/01/2026</v>
          </cell>
          <cell r="H938" t="str">
            <v>08004499</v>
          </cell>
          <cell r="I938" t="str">
            <v>AL BARAKA BANK (PAKISTAN) LIMITED</v>
          </cell>
          <cell r="J938" t="str">
            <v>BANK</v>
          </cell>
          <cell r="K938" t="str">
            <v>Mr. 
Al Baraka Bank Pakistan Limited 
Mr. 
Al Baraka Bank Pakistan Limited 
User: Syed Shujaat Rasool  Shah</v>
          </cell>
          <cell r="L938" t="str">
            <v>D</v>
          </cell>
          <cell r="M938" t="str">
            <v>09000221</v>
          </cell>
          <cell r="N938">
            <v>100</v>
          </cell>
          <cell r="P938" t="str">
            <v>Banglow 9 Street 4 Naqash Villa Qasimabad Hyderabad</v>
          </cell>
          <cell r="Q938" t="str">
            <v>11000003</v>
          </cell>
          <cell r="R938" t="str">
            <v>SUZUKI MEHRAN VX EURO II</v>
          </cell>
          <cell r="S938" t="str">
            <v>2019</v>
          </cell>
          <cell r="T938" t="str">
            <v>BPP-902</v>
          </cell>
          <cell r="U938" t="str">
            <v>759512</v>
          </cell>
          <cell r="V938" t="str">
            <v>01298044</v>
          </cell>
          <cell r="W938" t="str">
            <v>05-feb-2029</v>
          </cell>
          <cell r="Y938">
            <v>800000</v>
          </cell>
          <cell r="Z938">
            <v>12069</v>
          </cell>
          <cell r="AA938">
            <v>14000</v>
          </cell>
        </row>
        <row r="939">
          <cell r="B939" t="str">
            <v>KHI/HO/D/MO/PC COMP/C/105499/187/01/2025</v>
          </cell>
          <cell r="D939" t="str">
            <v>REN</v>
          </cell>
          <cell r="E939" t="str">
            <v>21/01/25</v>
          </cell>
          <cell r="F939" t="str">
            <v>14/01/2025</v>
          </cell>
          <cell r="G939" t="str">
            <v>13/01/2026</v>
          </cell>
          <cell r="H939" t="str">
            <v>08004499</v>
          </cell>
          <cell r="I939" t="str">
            <v>AL BARAKA BANK (PAKISTAN) LIMITED</v>
          </cell>
          <cell r="J939" t="str">
            <v>BANK</v>
          </cell>
          <cell r="K939" t="str">
            <v>Mr. 
Al Baraka Bank Pakistan Limited 
Mr. 
Al Baraka Bank Pakistan Limited 
User: Fahad  Mushtaq</v>
          </cell>
          <cell r="L939" t="str">
            <v>D</v>
          </cell>
          <cell r="M939" t="str">
            <v>09000221</v>
          </cell>
          <cell r="N939">
            <v>100</v>
          </cell>
          <cell r="P939" t="str">
            <v>Moor Maqbara Jahangir Shahdra H # 4 Street 1 Mohallah Ravi Clifton Lahore</v>
          </cell>
          <cell r="Q939" t="str">
            <v>11000003</v>
          </cell>
          <cell r="R939" t="str">
            <v>HYUNDAI ELANTRA 2.0 MP1 A</v>
          </cell>
          <cell r="S939" t="str">
            <v>2022</v>
          </cell>
          <cell r="T939" t="str">
            <v>AFH-744</v>
          </cell>
          <cell r="U939" t="str">
            <v>962406</v>
          </cell>
          <cell r="V939" t="str">
            <v>302794</v>
          </cell>
          <cell r="W939" t="str">
            <v>05-mar-2027</v>
          </cell>
          <cell r="Y939">
            <v>3207040</v>
          </cell>
          <cell r="Z939">
            <v>41470</v>
          </cell>
          <cell r="AA939">
            <v>48106</v>
          </cell>
        </row>
        <row r="940">
          <cell r="B940" t="str">
            <v>KHI/HO/D/MO/PC COMP/C/105499/188/01/2025</v>
          </cell>
          <cell r="D940" t="str">
            <v>REN</v>
          </cell>
          <cell r="E940" t="str">
            <v>21/01/25</v>
          </cell>
          <cell r="F940" t="str">
            <v>27/01/2025</v>
          </cell>
          <cell r="G940" t="str">
            <v>26/01/2026</v>
          </cell>
          <cell r="H940" t="str">
            <v>08004499</v>
          </cell>
          <cell r="I940" t="str">
            <v>AL BARAKA BANK (PAKISTAN) LIMITED</v>
          </cell>
          <cell r="J940" t="str">
            <v>BANK</v>
          </cell>
          <cell r="K940" t="str">
            <v>Mr. 
Al Baraka Bank Pakistan Limited 
Mr. 
Al Baraka Bank Pakistan Limited 
User: Tayyab   Shahzad</v>
          </cell>
          <cell r="L940" t="str">
            <v>D</v>
          </cell>
          <cell r="M940" t="str">
            <v>09000221</v>
          </cell>
          <cell r="N940">
            <v>100</v>
          </cell>
          <cell r="P940" t="str">
            <v>283 D Rizwan Block Awan Town Lahore</v>
          </cell>
          <cell r="Q940" t="str">
            <v>11000003</v>
          </cell>
          <cell r="R940" t="str">
            <v>HONDA CIVIC VTI ORIEL I-V</v>
          </cell>
          <cell r="S940" t="str">
            <v>2017</v>
          </cell>
          <cell r="T940" t="str">
            <v>LE-18-3123</v>
          </cell>
          <cell r="U940" t="str">
            <v>R18Z12925350</v>
          </cell>
          <cell r="V940" t="str">
            <v>NFBFC6661HR028732</v>
          </cell>
          <cell r="W940" t="str">
            <v>05-feb-2027</v>
          </cell>
          <cell r="Y940">
            <v>2800000</v>
          </cell>
          <cell r="Z940">
            <v>36207</v>
          </cell>
          <cell r="AA940">
            <v>42000</v>
          </cell>
        </row>
        <row r="941">
          <cell r="B941" t="str">
            <v>KHI/HO/D/MO/PC COMP/C/105499/189/01/2025</v>
          </cell>
          <cell r="D941" t="str">
            <v>REN</v>
          </cell>
          <cell r="E941" t="str">
            <v>21/01/25</v>
          </cell>
          <cell r="F941" t="str">
            <v>28/01/2025</v>
          </cell>
          <cell r="G941" t="str">
            <v>27/01/2026</v>
          </cell>
          <cell r="H941" t="str">
            <v>08004499</v>
          </cell>
          <cell r="I941" t="str">
            <v>AL BARAKA BANK (PAKISTAN) LIMITED</v>
          </cell>
          <cell r="J941" t="str">
            <v>BANK</v>
          </cell>
          <cell r="K941" t="str">
            <v>Mr. 
Al Baraka Bank Pakistan Limited 
Mr. 
Al Baraka Bank Pakistan Limited 
User: Wasi Ur Rehman Farooq</v>
          </cell>
          <cell r="L941" t="str">
            <v>D</v>
          </cell>
          <cell r="M941" t="str">
            <v>09000221</v>
          </cell>
          <cell r="N941">
            <v>100</v>
          </cell>
          <cell r="P941" t="str">
            <v>House No. 156 Block A-1 Wapda Town Lahore</v>
          </cell>
          <cell r="Q941" t="str">
            <v>11000003</v>
          </cell>
          <cell r="R941" t="str">
            <v>TOYOTA Yaris ATIV 1.3 (CV</v>
          </cell>
          <cell r="S941" t="str">
            <v>2021</v>
          </cell>
          <cell r="T941" t="str">
            <v>ABR-691</v>
          </cell>
          <cell r="U941" t="str">
            <v>2A15864</v>
          </cell>
          <cell r="V941" t="str">
            <v>9506378</v>
          </cell>
          <cell r="W941" t="str">
            <v>05-feb-2026</v>
          </cell>
          <cell r="Y941">
            <v>2244750</v>
          </cell>
          <cell r="Z941">
            <v>48378</v>
          </cell>
          <cell r="AA941">
            <v>56119</v>
          </cell>
        </row>
        <row r="942">
          <cell r="B942" t="str">
            <v>KHI/HO/D/MO/PC COMP/C/105499/190/01/2025</v>
          </cell>
          <cell r="D942" t="str">
            <v>REN</v>
          </cell>
          <cell r="E942" t="str">
            <v>21/01/25</v>
          </cell>
          <cell r="F942" t="str">
            <v>12/01/2025</v>
          </cell>
          <cell r="G942" t="str">
            <v>11/01/2026</v>
          </cell>
          <cell r="H942" t="str">
            <v>08004499</v>
          </cell>
          <cell r="I942" t="str">
            <v>AL BARAKA BANK (PAKISTAN) LIMITED</v>
          </cell>
          <cell r="J942" t="str">
            <v>BANK</v>
          </cell>
          <cell r="K942" t="str">
            <v>Mr. 
Al Baraka Bank Pakistan Limited 
Mr. 
Al Baraka Bank Pakistan Limited 
User: Muhammad  Imran</v>
          </cell>
          <cell r="L942" t="str">
            <v>D</v>
          </cell>
          <cell r="M942" t="str">
            <v>09000221</v>
          </cell>
          <cell r="N942">
            <v>100</v>
          </cell>
          <cell r="P942" t="str">
            <v>H # 370 Mda Officers Co Opr. H. Sociewty M.A. Jinnah Road Multan</v>
          </cell>
          <cell r="Q942" t="str">
            <v>11000003</v>
          </cell>
          <cell r="R942" t="str">
            <v>MG HS MG HS TURBO</v>
          </cell>
          <cell r="S942" t="str">
            <v>2022</v>
          </cell>
          <cell r="T942" t="str">
            <v>AHN-370</v>
          </cell>
          <cell r="U942" t="str">
            <v>8210157</v>
          </cell>
          <cell r="V942" t="str">
            <v>152605</v>
          </cell>
          <cell r="W942" t="str">
            <v>05-feb-2027</v>
          </cell>
          <cell r="Y942">
            <v>4388000</v>
          </cell>
          <cell r="Z942">
            <v>56742</v>
          </cell>
          <cell r="AA942">
            <v>65820</v>
          </cell>
        </row>
        <row r="943">
          <cell r="B943" t="str">
            <v>KHI/HO/D/MO/PC COMP/C/105285/26/01/2025</v>
          </cell>
          <cell r="D943" t="str">
            <v>FRE</v>
          </cell>
          <cell r="E943" t="str">
            <v>22/01/25</v>
          </cell>
          <cell r="F943" t="str">
            <v>22/01/2025</v>
          </cell>
          <cell r="G943" t="str">
            <v>21/01/2026</v>
          </cell>
          <cell r="H943" t="str">
            <v>08004499</v>
          </cell>
          <cell r="I943" t="str">
            <v>AL BARAKA BANK (PAKISTAN) LIMITED</v>
          </cell>
          <cell r="J943" t="str">
            <v>BANK</v>
          </cell>
          <cell r="K943" t="str">
            <v>Mr. 
HPA M/s. Al Baraka Bank (Pakistan) Limited 
Mr. Ali Ullah
HPA M/s. Al Baraka Bank (Pakistan) Limited</v>
          </cell>
          <cell r="L943" t="str">
            <v>D</v>
          </cell>
          <cell r="M943" t="str">
            <v>09000221</v>
          </cell>
          <cell r="N943">
            <v>100</v>
          </cell>
          <cell r="O943" t="str">
            <v>ISLAMABAD</v>
          </cell>
          <cell r="P943" t="str">
            <v>H No 7 St No 41 Jinnah Garden Islamabad</v>
          </cell>
          <cell r="Q943" t="str">
            <v>11000003</v>
          </cell>
          <cell r="R943" t="str">
            <v>TOYOTA COROLLA ALTIS</v>
          </cell>
          <cell r="S943" t="str">
            <v>2022</v>
          </cell>
          <cell r="T943" t="str">
            <v>AZZ-229</v>
          </cell>
          <cell r="U943" t="str">
            <v>099031</v>
          </cell>
          <cell r="V943" t="str">
            <v>076550</v>
          </cell>
          <cell r="X943" t="str">
            <v>03</v>
          </cell>
          <cell r="Y943">
            <v>5500000</v>
          </cell>
          <cell r="Z943">
            <v>71121</v>
          </cell>
          <cell r="AA943">
            <v>82500</v>
          </cell>
        </row>
        <row r="944">
          <cell r="B944" t="str">
            <v>KHI/HO/D/MO/PC COMP/C/105285/27/01/2025</v>
          </cell>
          <cell r="D944" t="str">
            <v>FRE</v>
          </cell>
          <cell r="E944" t="str">
            <v>22/01/25</v>
          </cell>
          <cell r="F944" t="str">
            <v>22/01/2025</v>
          </cell>
          <cell r="G944" t="str">
            <v>21/01/2026</v>
          </cell>
          <cell r="H944" t="str">
            <v>08004499</v>
          </cell>
          <cell r="I944" t="str">
            <v>AL BARAKA BANK (PAKISTAN) LIMITED</v>
          </cell>
          <cell r="J944" t="str">
            <v>BANK</v>
          </cell>
          <cell r="K944" t="str">
            <v>Mr. 
HPA M/s. Al Baraka Bank (Pakistan) Limited 
Mr. Khalid Hussain
HPA M/s. Al Baraka Bank (Pakistan) Limited</v>
          </cell>
          <cell r="L944" t="str">
            <v>D</v>
          </cell>
          <cell r="M944" t="str">
            <v>09000221</v>
          </cell>
          <cell r="N944">
            <v>100</v>
          </cell>
          <cell r="O944" t="str">
            <v>LAHORE</v>
          </cell>
          <cell r="P944" t="str">
            <v>H # 569 Street 1 Block B Bismillah H. Society GT Road Lahore</v>
          </cell>
          <cell r="Q944" t="str">
            <v>11000003</v>
          </cell>
          <cell r="R944" t="str">
            <v>SUZUKI ALTO VXL AGS E-2</v>
          </cell>
          <cell r="S944" t="str">
            <v>2025</v>
          </cell>
          <cell r="U944" t="str">
            <v>336679</v>
          </cell>
          <cell r="V944" t="str">
            <v>1236728</v>
          </cell>
          <cell r="X944" t="str">
            <v>3</v>
          </cell>
          <cell r="Y944">
            <v>3045000</v>
          </cell>
          <cell r="Z944">
            <v>52500</v>
          </cell>
          <cell r="AA944">
            <v>60900</v>
          </cell>
        </row>
        <row r="945">
          <cell r="B945" t="str">
            <v>KHI/HO/D/MO/PC COMP/C/105285/28/01/2025</v>
          </cell>
          <cell r="D945" t="str">
            <v>FRE</v>
          </cell>
          <cell r="E945" t="str">
            <v>23/01/25</v>
          </cell>
          <cell r="F945" t="str">
            <v>23/01/2025</v>
          </cell>
          <cell r="G945" t="str">
            <v>22/01/2026</v>
          </cell>
          <cell r="H945" t="str">
            <v>08004499</v>
          </cell>
          <cell r="I945" t="str">
            <v>AL BARAKA BANK (PAKISTAN) LIMITED</v>
          </cell>
          <cell r="J945" t="str">
            <v>BANK</v>
          </cell>
          <cell r="K945" t="str">
            <v>Mr. 
HPA M/s. Al Baraka Bank (Pakistan) Limited 
Mr. Syed Abdul Rasheed 
HPA M/s. Al Baraka Bank (Pakistan) Limited</v>
          </cell>
          <cell r="L945" t="str">
            <v>D</v>
          </cell>
          <cell r="M945" t="str">
            <v>09000221</v>
          </cell>
          <cell r="N945">
            <v>100</v>
          </cell>
          <cell r="O945" t="str">
            <v>ISLAMABAD</v>
          </cell>
          <cell r="P945" t="str">
            <v>Ali Pur Bank Stop Khan Fabrics Street Near Jinnah Public School New Abadi Ali Pur Islamabad</v>
          </cell>
          <cell r="Q945" t="str">
            <v>11000003</v>
          </cell>
          <cell r="R945" t="str">
            <v>HONDA CITY 1.2  LS CVT</v>
          </cell>
          <cell r="S945" t="str">
            <v>2022</v>
          </cell>
          <cell r="T945" t="str">
            <v>AXT-238</v>
          </cell>
          <cell r="U945" t="str">
            <v>51008287</v>
          </cell>
          <cell r="V945" t="str">
            <v>013265</v>
          </cell>
          <cell r="Y945">
            <v>4200000</v>
          </cell>
          <cell r="Z945">
            <v>54310</v>
          </cell>
          <cell r="AA945">
            <v>63000</v>
          </cell>
        </row>
        <row r="946">
          <cell r="B946" t="str">
            <v>KHI/HO/D/MO/PC COMP/C/105285/29/01/2025</v>
          </cell>
          <cell r="D946" t="str">
            <v>FRE</v>
          </cell>
          <cell r="E946" t="str">
            <v>23/01/25</v>
          </cell>
          <cell r="F946" t="str">
            <v>23/01/2025</v>
          </cell>
          <cell r="G946" t="str">
            <v>22/01/2026</v>
          </cell>
          <cell r="H946" t="str">
            <v>08004499</v>
          </cell>
          <cell r="I946" t="str">
            <v>AL BARAKA BANK (PAKISTAN) LIMITED</v>
          </cell>
          <cell r="J946" t="str">
            <v>BANK</v>
          </cell>
          <cell r="K946" t="str">
            <v>Mr. 
HPA M/s. Al Baraka Bank (Pakistan) Limited 
Mr. Muhammad Ramzan 
HPA M/s. Al Baraka Bank (Pakistan) Limited</v>
          </cell>
          <cell r="L946" t="str">
            <v>D</v>
          </cell>
          <cell r="M946" t="str">
            <v>09000221</v>
          </cell>
          <cell r="N946">
            <v>100</v>
          </cell>
          <cell r="O946" t="str">
            <v>LAHORE</v>
          </cell>
          <cell r="P946" t="str">
            <v>Mohallah Sharif Pura Sameejabad NO. 1 Multan</v>
          </cell>
          <cell r="Q946" t="str">
            <v>11000003</v>
          </cell>
          <cell r="R946" t="str">
            <v>HONDA CIVIC VTI  ORIEL PT</v>
          </cell>
          <cell r="S946" t="str">
            <v>2021</v>
          </cell>
          <cell r="T946" t="str">
            <v>AEX-009</v>
          </cell>
          <cell r="U946" t="str">
            <v>16922735</v>
          </cell>
          <cell r="V946" t="str">
            <v>75079</v>
          </cell>
          <cell r="X946" t="str">
            <v>3</v>
          </cell>
          <cell r="Y946">
            <v>6900000</v>
          </cell>
          <cell r="Z946">
            <v>89224</v>
          </cell>
          <cell r="AA946">
            <v>103500</v>
          </cell>
        </row>
        <row r="947">
          <cell r="B947" t="str">
            <v>KHI/HO/D/MO/PC COMP/C/105285/30/01/2025</v>
          </cell>
          <cell r="D947" t="str">
            <v>FRE</v>
          </cell>
          <cell r="E947" t="str">
            <v>24/01/25</v>
          </cell>
          <cell r="F947" t="str">
            <v>24/01/2025</v>
          </cell>
          <cell r="G947" t="str">
            <v>23/01/2026</v>
          </cell>
          <cell r="H947" t="str">
            <v>08004499</v>
          </cell>
          <cell r="I947" t="str">
            <v>AL BARAKA BANK (PAKISTAN) LIMITED</v>
          </cell>
          <cell r="J947" t="str">
            <v>BANK</v>
          </cell>
          <cell r="K947" t="str">
            <v>Mr. 
HPA M/s. Al Baraka Bank (Pakistan) Limited 
Mr. Khurram Shahzad
HPA M/s. Al Baraka Bank (Pakistan) Limited</v>
          </cell>
          <cell r="L947" t="str">
            <v>D</v>
          </cell>
          <cell r="M947" t="str">
            <v>09000221</v>
          </cell>
          <cell r="N947">
            <v>100</v>
          </cell>
          <cell r="P947" t="str">
            <v>H # 56-A Mohallah River View Housing Society Raiwind Road Lahore</v>
          </cell>
          <cell r="Q947" t="str">
            <v>11000003</v>
          </cell>
          <cell r="R947" t="str">
            <v>SUZUKI Every VXR</v>
          </cell>
          <cell r="S947" t="str">
            <v>2025</v>
          </cell>
          <cell r="U947" t="str">
            <v>R1001909</v>
          </cell>
          <cell r="V947" t="str">
            <v>V00101872</v>
          </cell>
          <cell r="X947" t="str">
            <v>3</v>
          </cell>
          <cell r="Y947">
            <v>2799000</v>
          </cell>
          <cell r="Z947">
            <v>48258</v>
          </cell>
          <cell r="AA947">
            <v>55980</v>
          </cell>
        </row>
        <row r="948">
          <cell r="B948" t="str">
            <v>KHI/HO/D/MO/PC COMP/C/105285/31/01/2025</v>
          </cell>
          <cell r="D948" t="str">
            <v>FRE</v>
          </cell>
          <cell r="E948" t="str">
            <v>24/01/25</v>
          </cell>
          <cell r="F948" t="str">
            <v>24/01/2025</v>
          </cell>
          <cell r="G948" t="str">
            <v>23/01/2026</v>
          </cell>
          <cell r="H948" t="str">
            <v>08004499</v>
          </cell>
          <cell r="I948" t="str">
            <v>AL BARAKA BANK (PAKISTAN) LIMITED</v>
          </cell>
          <cell r="J948" t="str">
            <v>BANK</v>
          </cell>
          <cell r="K948" t="str">
            <v>Mr. 
HPA M/s. Al Baraka Bank (Pakistan) Limited 
Mr. Arshad Ali
HPA M/s. Al Baraka Bank (Pakistan) Limited</v>
          </cell>
          <cell r="L948" t="str">
            <v>D</v>
          </cell>
          <cell r="M948" t="str">
            <v>09000221</v>
          </cell>
          <cell r="N948">
            <v>100</v>
          </cell>
          <cell r="O948" t="str">
            <v>ISLAMABAD</v>
          </cell>
          <cell r="P948" t="str">
            <v>38-40-C Golden Heights Business Square Gulberg Green Islamabad</v>
          </cell>
          <cell r="Q948" t="str">
            <v>11000003</v>
          </cell>
          <cell r="R948" t="str">
            <v>TOYOTA COROLLA ALTIS GRAN</v>
          </cell>
          <cell r="S948" t="str">
            <v>2020</v>
          </cell>
          <cell r="T948" t="str">
            <v>AMJ-080</v>
          </cell>
          <cell r="U948" t="str">
            <v>345423</v>
          </cell>
          <cell r="V948" t="str">
            <v>7044607</v>
          </cell>
          <cell r="X948" t="str">
            <v>3</v>
          </cell>
          <cell r="Y948">
            <v>5600000</v>
          </cell>
          <cell r="Z948">
            <v>72414</v>
          </cell>
          <cell r="AA948">
            <v>84000</v>
          </cell>
        </row>
        <row r="949">
          <cell r="B949" t="str">
            <v>KHI/HO/D/MO/PC COMP/C/105285/32/01/2025</v>
          </cell>
          <cell r="D949" t="str">
            <v>FRE</v>
          </cell>
          <cell r="E949" t="str">
            <v>27/01/25</v>
          </cell>
          <cell r="F949" t="str">
            <v>27/01/2025</v>
          </cell>
          <cell r="G949" t="str">
            <v>26/01/2026</v>
          </cell>
          <cell r="H949" t="str">
            <v>08004499</v>
          </cell>
          <cell r="I949" t="str">
            <v>AL BARAKA BANK (PAKISTAN) LIMITED</v>
          </cell>
          <cell r="J949" t="str">
            <v>BANK</v>
          </cell>
          <cell r="K949" t="str">
            <v>Mr. 
HPA M/s. Al Baraka Bank (Pakistan) Limited 
Mr. Shayan Zafar Qazi
HPA M/s. Al Baraka Bank (Pakistan) Limited</v>
          </cell>
          <cell r="L949" t="str">
            <v>D</v>
          </cell>
          <cell r="M949" t="str">
            <v>09000221</v>
          </cell>
          <cell r="N949">
            <v>100</v>
          </cell>
          <cell r="P949" t="str">
            <v>Flat 202 2nd Floor Phase 1 Urbon Castle Appartment FB Area Block 21 Karachi</v>
          </cell>
          <cell r="Q949" t="str">
            <v>11000003</v>
          </cell>
          <cell r="R949" t="str">
            <v>SUZUKI ALTO VXL AGS E-2</v>
          </cell>
          <cell r="S949" t="str">
            <v>2025</v>
          </cell>
          <cell r="U949" t="str">
            <v>337664</v>
          </cell>
          <cell r="V949" t="str">
            <v>1237681</v>
          </cell>
          <cell r="X949" t="str">
            <v>3</v>
          </cell>
          <cell r="Y949">
            <v>3045000</v>
          </cell>
          <cell r="Z949">
            <v>52500</v>
          </cell>
          <cell r="AA949">
            <v>60900</v>
          </cell>
        </row>
        <row r="950">
          <cell r="B950" t="str">
            <v>KHI/HO/D/MO/PC COMP/C/105285/33/01/2025</v>
          </cell>
          <cell r="D950" t="str">
            <v>FRE</v>
          </cell>
          <cell r="E950" t="str">
            <v>27/01/25</v>
          </cell>
          <cell r="F950" t="str">
            <v>27/01/2025</v>
          </cell>
          <cell r="G950" t="str">
            <v>26/01/2026</v>
          </cell>
          <cell r="H950" t="str">
            <v>08004499</v>
          </cell>
          <cell r="I950" t="str">
            <v>AL BARAKA BANK (PAKISTAN) LIMITED</v>
          </cell>
          <cell r="J950" t="str">
            <v>BANK</v>
          </cell>
          <cell r="K950" t="str">
            <v>Mr. 
HPA M/s. Al Baraka Bank (Pakistan) Limited 
Mr. Ali Yasir Mustafa 
HPA M/s. Al Baraka Bank (Pakistan) Limited</v>
          </cell>
          <cell r="L950" t="str">
            <v>D</v>
          </cell>
          <cell r="M950" t="str">
            <v>09000221</v>
          </cell>
          <cell r="N950">
            <v>100</v>
          </cell>
          <cell r="O950" t="str">
            <v>LAHORE</v>
          </cell>
          <cell r="P950" t="str">
            <v>H No 324 Block L Khayaban E Amin Defence Road Lahore</v>
          </cell>
          <cell r="Q950" t="str">
            <v>11000003</v>
          </cell>
          <cell r="R950" t="str">
            <v>TOYOTA YARIS ATIV X 1.5 A</v>
          </cell>
          <cell r="S950" t="str">
            <v>2020</v>
          </cell>
          <cell r="T950" t="str">
            <v>ABF-113</v>
          </cell>
          <cell r="U950" t="str">
            <v>ZA13783</v>
          </cell>
          <cell r="V950" t="str">
            <v>7008092</v>
          </cell>
          <cell r="Y950">
            <v>4000000</v>
          </cell>
          <cell r="Z950">
            <v>51724</v>
          </cell>
          <cell r="AA950">
            <v>60000</v>
          </cell>
        </row>
        <row r="951">
          <cell r="B951" t="str">
            <v>KHI/HO/D/MO/PC COMP/C/105285/34/01/2025</v>
          </cell>
          <cell r="D951" t="str">
            <v>FRE</v>
          </cell>
          <cell r="E951" t="str">
            <v>27/01/25</v>
          </cell>
          <cell r="F951" t="str">
            <v>27/01/2025</v>
          </cell>
          <cell r="G951" t="str">
            <v>26/01/2026</v>
          </cell>
          <cell r="H951" t="str">
            <v>08004499</v>
          </cell>
          <cell r="I951" t="str">
            <v>AL BARAKA BANK (PAKISTAN) LIMITED</v>
          </cell>
          <cell r="J951" t="str">
            <v>BANK</v>
          </cell>
          <cell r="K951" t="str">
            <v>Mr. 
HPA M/s. Al Baraka Bank (Pakistan) Limited 
Mr. Abubakar Sarfraz
HPA M/s. Al Baraka Bank (Pakistan) Limited</v>
          </cell>
          <cell r="L951" t="str">
            <v>D</v>
          </cell>
          <cell r="M951" t="str">
            <v>09000221</v>
          </cell>
          <cell r="N951">
            <v>100</v>
          </cell>
          <cell r="O951" t="str">
            <v>GUJRANWALA</v>
          </cell>
          <cell r="P951" t="str">
            <v>Near Pindi Bypass St No 11 Mo Samnabad Gujranwala</v>
          </cell>
          <cell r="Q951" t="str">
            <v>11000003</v>
          </cell>
          <cell r="R951" t="str">
            <v>SUZUKI WAGON-R</v>
          </cell>
          <cell r="S951" t="str">
            <v>2018</v>
          </cell>
          <cell r="T951" t="str">
            <v>LEB-18A-991</v>
          </cell>
          <cell r="U951" t="str">
            <v>164647</v>
          </cell>
          <cell r="V951" t="str">
            <v>10064637</v>
          </cell>
          <cell r="Y951">
            <v>2300000</v>
          </cell>
          <cell r="Z951">
            <v>39655</v>
          </cell>
          <cell r="AA951">
            <v>46000</v>
          </cell>
        </row>
        <row r="952">
          <cell r="B952" t="str">
            <v>KHI/HO/D/MO/PC COMP/C/105285/35/01/2025</v>
          </cell>
          <cell r="D952" t="str">
            <v>FRE</v>
          </cell>
          <cell r="E952" t="str">
            <v>28/01/25</v>
          </cell>
          <cell r="F952" t="str">
            <v>28/01/2025</v>
          </cell>
          <cell r="G952" t="str">
            <v>27/01/2026</v>
          </cell>
          <cell r="H952" t="str">
            <v>08004499</v>
          </cell>
          <cell r="I952" t="str">
            <v>AL BARAKA BANK (PAKISTAN) LIMITED</v>
          </cell>
          <cell r="J952" t="str">
            <v>BANK</v>
          </cell>
          <cell r="K952" t="str">
            <v>Mr. 
HPA M/s. Al Baraka Bank (Pakistan) Limited 
Mr. Muhammad Bilal Qamar
HPA M/s. Al Baraka Bank (Pakistan) Limited</v>
          </cell>
          <cell r="L952" t="str">
            <v>D</v>
          </cell>
          <cell r="M952" t="str">
            <v>09000221</v>
          </cell>
          <cell r="N952">
            <v>100</v>
          </cell>
          <cell r="O952" t="str">
            <v>OKARA</v>
          </cell>
          <cell r="P952" t="str">
            <v>Chak Islampura PO Deepalpur Qila Javed Singh Distr Okara  Teh. Deepalpur</v>
          </cell>
          <cell r="Q952" t="str">
            <v>11000003</v>
          </cell>
          <cell r="R952" t="str">
            <v>SUZUKI WAGON-R VXL E2</v>
          </cell>
          <cell r="S952" t="str">
            <v>2020</v>
          </cell>
          <cell r="T952" t="str">
            <v>LEB-20-8115</v>
          </cell>
          <cell r="U952" t="str">
            <v>202039</v>
          </cell>
          <cell r="V952" t="str">
            <v>10102007</v>
          </cell>
          <cell r="X952" t="str">
            <v>3</v>
          </cell>
          <cell r="Y952">
            <v>2300000</v>
          </cell>
          <cell r="Z952">
            <v>39655</v>
          </cell>
          <cell r="AA952">
            <v>46000</v>
          </cell>
        </row>
        <row r="953">
          <cell r="B953" t="str">
            <v>KHI/HO/D/MO/PC COMP/C/105285/36/01/2025</v>
          </cell>
          <cell r="D953" t="str">
            <v>FRE</v>
          </cell>
          <cell r="E953" t="str">
            <v>28/01/25</v>
          </cell>
          <cell r="F953" t="str">
            <v>28/01/2025</v>
          </cell>
          <cell r="G953" t="str">
            <v>27/01/2026</v>
          </cell>
          <cell r="H953" t="str">
            <v>08004499</v>
          </cell>
          <cell r="I953" t="str">
            <v>AL BARAKA BANK (PAKISTAN) LIMITED</v>
          </cell>
          <cell r="J953" t="str">
            <v>BANK</v>
          </cell>
          <cell r="K953" t="str">
            <v>Mr. 
HPA M/s. Al Baraka Bank (Pakistan) Limited 
Mr. Muhammad Ejaz Khan
HPA M/s. Al Baraka Bank (Pakistan) Limited</v>
          </cell>
          <cell r="L953" t="str">
            <v>D</v>
          </cell>
          <cell r="M953" t="str">
            <v>09000221</v>
          </cell>
          <cell r="N953">
            <v>100</v>
          </cell>
          <cell r="O953" t="str">
            <v>MULTAN</v>
          </cell>
          <cell r="P953" t="str">
            <v>H No 282 Block D Phase 1 Wapda Town Multan</v>
          </cell>
          <cell r="Q953" t="str">
            <v>11000003</v>
          </cell>
          <cell r="R953" t="str">
            <v>HONDA CITY 1.2  LS CVT</v>
          </cell>
          <cell r="S953" t="str">
            <v>2025</v>
          </cell>
          <cell r="U953" t="str">
            <v>1030307</v>
          </cell>
          <cell r="V953" t="str">
            <v>047408</v>
          </cell>
          <cell r="Y953">
            <v>4719000</v>
          </cell>
          <cell r="Z953">
            <v>61022</v>
          </cell>
          <cell r="AA953">
            <v>70785</v>
          </cell>
        </row>
        <row r="954">
          <cell r="B954" t="str">
            <v>KHI/HO/D/MO/PC COMP/C/105285/37/01/2025</v>
          </cell>
          <cell r="D954" t="str">
            <v>FRE</v>
          </cell>
          <cell r="E954" t="str">
            <v>28/01/25</v>
          </cell>
          <cell r="F954" t="str">
            <v>28/01/2025</v>
          </cell>
          <cell r="G954" t="str">
            <v>27/01/2026</v>
          </cell>
          <cell r="H954" t="str">
            <v>08004499</v>
          </cell>
          <cell r="I954" t="str">
            <v>AL BARAKA BANK (PAKISTAN) LIMITED</v>
          </cell>
          <cell r="J954" t="str">
            <v>BANK</v>
          </cell>
          <cell r="K954" t="str">
            <v>Mr. 
HPA M/s. Al Baraka Bank (Pakistan) Limited 
Mr. Qamer Javed Hayat
HPA M/s. Al Baraka Bank (Pakistan) Limited</v>
          </cell>
          <cell r="L954" t="str">
            <v>D</v>
          </cell>
          <cell r="M954" t="str">
            <v>09000221</v>
          </cell>
          <cell r="N954">
            <v>100</v>
          </cell>
          <cell r="O954" t="str">
            <v>LAHORE</v>
          </cell>
          <cell r="P954" t="str">
            <v>H No 287 Air Line Society Lahore</v>
          </cell>
          <cell r="Q954" t="str">
            <v>11000003</v>
          </cell>
          <cell r="R954" t="str">
            <v>TOYOTA COROLLA ALTIS 1.6</v>
          </cell>
          <cell r="S954" t="str">
            <v>2025</v>
          </cell>
          <cell r="U954" t="str">
            <v>Q109346</v>
          </cell>
          <cell r="V954" t="str">
            <v>6086857</v>
          </cell>
          <cell r="Y954">
            <v>6641000</v>
          </cell>
          <cell r="Z954">
            <v>85875</v>
          </cell>
          <cell r="AA954">
            <v>99615</v>
          </cell>
        </row>
        <row r="955">
          <cell r="B955" t="str">
            <v>KHI/HO/D/MO/PC COMP/C/105285/38/01/2025</v>
          </cell>
          <cell r="D955" t="str">
            <v>FRE</v>
          </cell>
          <cell r="E955" t="str">
            <v>28/01/25</v>
          </cell>
          <cell r="F955" t="str">
            <v>28/01/2025</v>
          </cell>
          <cell r="G955" t="str">
            <v>27/01/2026</v>
          </cell>
          <cell r="H955" t="str">
            <v>08004499</v>
          </cell>
          <cell r="I955" t="str">
            <v>AL BARAKA BANK (PAKISTAN) LIMITED</v>
          </cell>
          <cell r="J955" t="str">
            <v>BANK</v>
          </cell>
          <cell r="K955" t="str">
            <v>Mr. 
HPA M/s. Al Baraka Bank (Pakistan) Limited 
Mr. Muhammad Tayyab Hassan
HPA M/s. Al Baraka Bank (Pakistan) Limited</v>
          </cell>
          <cell r="L955" t="str">
            <v>D</v>
          </cell>
          <cell r="M955" t="str">
            <v>09000221</v>
          </cell>
          <cell r="N955">
            <v>100</v>
          </cell>
          <cell r="P955" t="str">
            <v>205 Lasani Garden Ismail Road Faisalabad</v>
          </cell>
          <cell r="Q955" t="str">
            <v>11000003</v>
          </cell>
          <cell r="R955" t="str">
            <v>HONDA CIVIC VTI  ORIEL PT</v>
          </cell>
          <cell r="S955" t="str">
            <v>2016</v>
          </cell>
          <cell r="T955" t="str">
            <v>ABT-309</v>
          </cell>
          <cell r="U955" t="str">
            <v>R18Z12902011</v>
          </cell>
          <cell r="V955" t="str">
            <v>NFBFC6659GR002529</v>
          </cell>
          <cell r="X955" t="str">
            <v>3</v>
          </cell>
          <cell r="Y955">
            <v>3500000</v>
          </cell>
          <cell r="Z955">
            <v>45258</v>
          </cell>
          <cell r="AA955">
            <v>52500</v>
          </cell>
        </row>
        <row r="956">
          <cell r="B956" t="str">
            <v>KHI/HO/D/MO/PC COMP/C/105285/39/01/2025</v>
          </cell>
          <cell r="D956" t="str">
            <v>FRE</v>
          </cell>
          <cell r="E956" t="str">
            <v>29/01/25</v>
          </cell>
          <cell r="F956" t="str">
            <v>29/01/2025</v>
          </cell>
          <cell r="G956" t="str">
            <v>28/01/2026</v>
          </cell>
          <cell r="H956" t="str">
            <v>08004499</v>
          </cell>
          <cell r="I956" t="str">
            <v>AL BARAKA BANK (PAKISTAN) LIMITED</v>
          </cell>
          <cell r="J956" t="str">
            <v>BANK</v>
          </cell>
          <cell r="K956" t="str">
            <v>Mr. 
HPA M/s. Al Baraka Bank (Pakistan) Limited 
Mr. Muhammad Asad Gulzar
HPA M/s. Al Baraka Bank (Pakistan) Limited</v>
          </cell>
          <cell r="L956" t="str">
            <v>D</v>
          </cell>
          <cell r="M956" t="str">
            <v>09000221</v>
          </cell>
          <cell r="N956">
            <v>100</v>
          </cell>
          <cell r="O956" t="str">
            <v>RAWALPINDI</v>
          </cell>
          <cell r="P956" t="str">
            <v>H-12 Main Khayaban Villas Chakri Road Rawalpindi</v>
          </cell>
          <cell r="Q956" t="str">
            <v>11000003</v>
          </cell>
          <cell r="R956" t="str">
            <v>HONDA BRV I-VTEC S STD</v>
          </cell>
          <cell r="S956" t="str">
            <v>2017</v>
          </cell>
          <cell r="T956" t="str">
            <v>AFJ-767</v>
          </cell>
          <cell r="U956" t="str">
            <v>504300</v>
          </cell>
          <cell r="V956" t="str">
            <v>004309</v>
          </cell>
          <cell r="X956" t="str">
            <v>3</v>
          </cell>
          <cell r="Y956">
            <v>4200000</v>
          </cell>
          <cell r="Z956">
            <v>54310</v>
          </cell>
          <cell r="AA956">
            <v>63000</v>
          </cell>
        </row>
        <row r="957">
          <cell r="B957" t="str">
            <v>KHI/HO/D/MO/PC COMP/C/105285/40/01/2025</v>
          </cell>
          <cell r="D957" t="str">
            <v>FRE</v>
          </cell>
          <cell r="E957" t="str">
            <v>29/01/25</v>
          </cell>
          <cell r="F957" t="str">
            <v>29/01/2025</v>
          </cell>
          <cell r="G957" t="str">
            <v>28/01/2026</v>
          </cell>
          <cell r="H957" t="str">
            <v>08004499</v>
          </cell>
          <cell r="I957" t="str">
            <v>AL BARAKA BANK (PAKISTAN) LIMITED</v>
          </cell>
          <cell r="J957" t="str">
            <v>BANK</v>
          </cell>
          <cell r="K957" t="str">
            <v>Mr. 
HPA M/s. Al Baraka Bank (Pakistan) Limited 
Mr. Ghulam Raza Jagirani
HPA M/s. Al Baraka Bank (Pakistan) Limited</v>
          </cell>
          <cell r="L957" t="str">
            <v>D</v>
          </cell>
          <cell r="M957" t="str">
            <v>09000221</v>
          </cell>
          <cell r="N957">
            <v>100</v>
          </cell>
          <cell r="O957" t="str">
            <v>KARACHI</v>
          </cell>
          <cell r="P957" t="str">
            <v>Plot FL 1 Fl 5 Flat C-15 Hassan Center Block 16 Gulshan-e-Iqbal Karachi</v>
          </cell>
          <cell r="Q957" t="str">
            <v>11000003</v>
          </cell>
          <cell r="R957" t="str">
            <v>SUZUKI ALTO VXL AGS E-2</v>
          </cell>
          <cell r="S957" t="str">
            <v>2024</v>
          </cell>
          <cell r="T957" t="str">
            <v>BZV-759</v>
          </cell>
          <cell r="U957" t="str">
            <v>6R306254</v>
          </cell>
          <cell r="V957" t="str">
            <v>H1206221</v>
          </cell>
          <cell r="X957" t="str">
            <v>3</v>
          </cell>
          <cell r="Y957">
            <v>3045000</v>
          </cell>
          <cell r="Z957">
            <v>52500</v>
          </cell>
          <cell r="AA957">
            <v>60900</v>
          </cell>
        </row>
        <row r="958">
          <cell r="B958" t="str">
            <v>KHI/HO/D/MO/PC COMP/C/105285/41/01/2025</v>
          </cell>
          <cell r="D958" t="str">
            <v>FRE</v>
          </cell>
          <cell r="E958" t="str">
            <v>30/01/25</v>
          </cell>
          <cell r="F958" t="str">
            <v>30/01/2025</v>
          </cell>
          <cell r="G958" t="str">
            <v>29/01/2026</v>
          </cell>
          <cell r="H958" t="str">
            <v>08004499</v>
          </cell>
          <cell r="I958" t="str">
            <v>AL BARAKA BANK (PAKISTAN) LIMITED</v>
          </cell>
          <cell r="J958" t="str">
            <v>BANK</v>
          </cell>
          <cell r="K958" t="str">
            <v>Mr. 
HPA M/s. Al Baraka Bank (Pakistan) Limited 
Mr. Muhammad Zeeshan Islam 
HPA M/s. Al Baraka Bank (Pakistan) Limited</v>
          </cell>
          <cell r="L958" t="str">
            <v>D</v>
          </cell>
          <cell r="M958" t="str">
            <v>09000221</v>
          </cell>
          <cell r="N958">
            <v>100</v>
          </cell>
          <cell r="P958" t="str">
            <v>H # P-190 Sitara Gold City Satiyana Road Faisalabad</v>
          </cell>
          <cell r="Q958" t="str">
            <v>11000003</v>
          </cell>
          <cell r="R958" t="str">
            <v>SUZUKI ALTO VXR E-2</v>
          </cell>
          <cell r="S958" t="str">
            <v>2025</v>
          </cell>
          <cell r="U958" t="str">
            <v>6R336498</v>
          </cell>
          <cell r="V958" t="str">
            <v>NF1AET306H1236504</v>
          </cell>
          <cell r="X958" t="str">
            <v>3</v>
          </cell>
          <cell r="Y958">
            <v>2707000</v>
          </cell>
          <cell r="Z958">
            <v>46672</v>
          </cell>
          <cell r="AA958">
            <v>54140</v>
          </cell>
        </row>
        <row r="959">
          <cell r="B959" t="str">
            <v>KHI/HO/D/MO/PC COMP/C/105285/42/01/2025</v>
          </cell>
          <cell r="D959" t="str">
            <v>FRE</v>
          </cell>
          <cell r="E959" t="str">
            <v>30/01/25</v>
          </cell>
          <cell r="F959" t="str">
            <v>30/01/2025</v>
          </cell>
          <cell r="G959" t="str">
            <v>29/01/2026</v>
          </cell>
          <cell r="H959" t="str">
            <v>08004499</v>
          </cell>
          <cell r="I959" t="str">
            <v>AL BARAKA BANK (PAKISTAN) LIMITED</v>
          </cell>
          <cell r="J959" t="str">
            <v>BANK</v>
          </cell>
          <cell r="K959" t="str">
            <v>Mr. 
HPA M/s. Al Baraka Bank (Pakistan) Limited 
Mr. Nouman Ahmad 
HPA M/s. Al Baraka Bank (Pakistan) Limited</v>
          </cell>
          <cell r="L959" t="str">
            <v>D</v>
          </cell>
          <cell r="M959" t="str">
            <v>09000221</v>
          </cell>
          <cell r="N959">
            <v>100</v>
          </cell>
          <cell r="O959" t="str">
            <v>LAHORE</v>
          </cell>
          <cell r="P959" t="str">
            <v>H # 1 Street 1 Jalal Park Aray Wali Gali Main Hrabanspura Lahore Near Sali Town</v>
          </cell>
          <cell r="Q959" t="str">
            <v>11000003</v>
          </cell>
          <cell r="R959" t="str">
            <v>TOYOTA COROLLA GLI M/T 1.</v>
          </cell>
          <cell r="S959" t="str">
            <v>2018</v>
          </cell>
          <cell r="T959" t="str">
            <v>LEA-18A-5490</v>
          </cell>
          <cell r="U959" t="str">
            <v>Z532798</v>
          </cell>
          <cell r="V959" t="str">
            <v>NZE170R-4158581</v>
          </cell>
          <cell r="X959" t="str">
            <v>3</v>
          </cell>
          <cell r="Y959">
            <v>3500000</v>
          </cell>
          <cell r="Z959">
            <v>45258</v>
          </cell>
          <cell r="AA959">
            <v>52500</v>
          </cell>
        </row>
        <row r="960">
          <cell r="B960" t="str">
            <v>KHI/HO/D/MO/PC COMP/C/105285/43/01/2025</v>
          </cell>
          <cell r="D960" t="str">
            <v>FRE</v>
          </cell>
          <cell r="E960" t="str">
            <v>30/01/25</v>
          </cell>
          <cell r="F960" t="str">
            <v>30/01/2025</v>
          </cell>
          <cell r="G960" t="str">
            <v>29/01/2026</v>
          </cell>
          <cell r="H960" t="str">
            <v>08004499</v>
          </cell>
          <cell r="I960" t="str">
            <v>AL BARAKA BANK (PAKISTAN) LIMITED</v>
          </cell>
          <cell r="J960" t="str">
            <v>BANK</v>
          </cell>
          <cell r="K960" t="str">
            <v>Mr. 
HPA M/s. Al Baraka Bank (Pakistan) Limited 
Mr. Muhammad Masood Ahmed
HPA M/s. Al Baraka Bank (Pakistan) Limited</v>
          </cell>
          <cell r="L960" t="str">
            <v>D</v>
          </cell>
          <cell r="M960" t="str">
            <v>09000221</v>
          </cell>
          <cell r="N960">
            <v>100</v>
          </cell>
          <cell r="O960" t="str">
            <v>FAISALABAD</v>
          </cell>
          <cell r="P960" t="str">
            <v>St No 04 Mohallah Saif Abad 2 Nemat abad Faisalabad</v>
          </cell>
          <cell r="Q960" t="str">
            <v>11000003</v>
          </cell>
          <cell r="R960" t="str">
            <v>HONDA CITY M/T</v>
          </cell>
          <cell r="S960" t="str">
            <v>2016</v>
          </cell>
          <cell r="T960" t="str">
            <v>LEA-16-9706</v>
          </cell>
          <cell r="U960" t="str">
            <v>17437150</v>
          </cell>
          <cell r="V960" t="str">
            <v>FR176612</v>
          </cell>
          <cell r="Y960">
            <v>3000000</v>
          </cell>
          <cell r="Z960">
            <v>51724</v>
          </cell>
          <cell r="AA960">
            <v>60000</v>
          </cell>
        </row>
        <row r="961">
          <cell r="B961" t="str">
            <v>KHI/HO/D/MO/PC COMP/C/105285/44/01/2025</v>
          </cell>
          <cell r="D961" t="str">
            <v>FRE</v>
          </cell>
          <cell r="E961" t="str">
            <v>31/01/25</v>
          </cell>
          <cell r="F961" t="str">
            <v>31/01/2025</v>
          </cell>
          <cell r="G961" t="str">
            <v>30/01/2026</v>
          </cell>
          <cell r="H961" t="str">
            <v>08004499</v>
          </cell>
          <cell r="I961" t="str">
            <v>AL BARAKA BANK (PAKISTAN) LIMITED</v>
          </cell>
          <cell r="J961" t="str">
            <v>BANK</v>
          </cell>
          <cell r="K961" t="str">
            <v>Mr. 
HPA M/s. Al Baraka Bank (Pakistan) Limited 
Mr. Muhammad Azhar Hussain
HPA M/s. Al Baraka Bank (Pakistan) Limited</v>
          </cell>
          <cell r="L961" t="str">
            <v>D</v>
          </cell>
          <cell r="M961" t="str">
            <v>09000221</v>
          </cell>
          <cell r="N961">
            <v>100</v>
          </cell>
          <cell r="O961" t="str">
            <v>GUJRANWALA</v>
          </cell>
          <cell r="P961" t="str">
            <v>PO Khas Trigri Mohallah Islamabad Gujranwala</v>
          </cell>
          <cell r="Q961" t="str">
            <v>11000003</v>
          </cell>
          <cell r="R961" t="str">
            <v>TOYOTA COROLLA GLI M/T 1.</v>
          </cell>
          <cell r="S961" t="str">
            <v>2018</v>
          </cell>
          <cell r="T961" t="str">
            <v>LED-18-9941</v>
          </cell>
          <cell r="U961" t="str">
            <v>Z517064</v>
          </cell>
          <cell r="V961" t="str">
            <v>4143165</v>
          </cell>
          <cell r="X961" t="str">
            <v>3</v>
          </cell>
          <cell r="Y961">
            <v>3500000</v>
          </cell>
          <cell r="Z961">
            <v>45258</v>
          </cell>
          <cell r="AA961">
            <v>52500</v>
          </cell>
        </row>
        <row r="962">
          <cell r="B962" t="str">
            <v>KHI/HO/D/MO/PC COMP/C/105285/45/01/2025</v>
          </cell>
          <cell r="D962" t="str">
            <v>FRE</v>
          </cell>
          <cell r="E962" t="str">
            <v>31/01/25</v>
          </cell>
          <cell r="F962" t="str">
            <v>31/01/2025</v>
          </cell>
          <cell r="G962" t="str">
            <v>30/01/2026</v>
          </cell>
          <cell r="H962" t="str">
            <v>08004499</v>
          </cell>
          <cell r="I962" t="str">
            <v>AL BARAKA BANK (PAKISTAN) LIMITED</v>
          </cell>
          <cell r="J962" t="str">
            <v>BANK</v>
          </cell>
          <cell r="K962" t="str">
            <v>Mr. 
HPA M/s. Al Baraka Bank (Pakistan) Limited 
Mr. Syed Tasawar Hussain Shah
HPA M/s. Al Baraka Bank (Pakistan) Limited</v>
          </cell>
          <cell r="L962" t="str">
            <v>D</v>
          </cell>
          <cell r="M962" t="str">
            <v>09000221</v>
          </cell>
          <cell r="N962">
            <v>100</v>
          </cell>
          <cell r="P962" t="str">
            <v>H No 5 No 1 Pak Town Shahgai Road Lahore</v>
          </cell>
          <cell r="Q962" t="str">
            <v>11000003</v>
          </cell>
          <cell r="R962" t="str">
            <v>TOYOTA COROLLA ALTIS  1.6</v>
          </cell>
          <cell r="S962" t="str">
            <v>2019</v>
          </cell>
          <cell r="T962" t="str">
            <v>ALX-936</v>
          </cell>
          <cell r="U962" t="str">
            <v>Q062823</v>
          </cell>
          <cell r="V962" t="str">
            <v>R6040328</v>
          </cell>
          <cell r="Y962">
            <v>5200000</v>
          </cell>
          <cell r="Z962">
            <v>67242</v>
          </cell>
          <cell r="AA962">
            <v>78000</v>
          </cell>
        </row>
        <row r="963">
          <cell r="B963" t="str">
            <v>KHI/HO/D/MO/PC COMP/C/105285/46/01/2025</v>
          </cell>
          <cell r="D963" t="str">
            <v>FRE</v>
          </cell>
          <cell r="E963" t="str">
            <v>31/01/25</v>
          </cell>
          <cell r="F963" t="str">
            <v>31/01/2025</v>
          </cell>
          <cell r="G963" t="str">
            <v>30/01/2026</v>
          </cell>
          <cell r="H963" t="str">
            <v>08004499</v>
          </cell>
          <cell r="I963" t="str">
            <v>AL BARAKA BANK (PAKISTAN) LIMITED</v>
          </cell>
          <cell r="J963" t="str">
            <v>BANK</v>
          </cell>
          <cell r="K963" t="str">
            <v>Mr. 
HPA M/s. Al Baraka Bank (Pakistan) Limited 
Mr. Suhaib Manzoor 
HPA M/s. Al Baraka Bank (Pakistan) Limited</v>
          </cell>
          <cell r="L963" t="str">
            <v>D</v>
          </cell>
          <cell r="M963" t="str">
            <v>09000221</v>
          </cell>
          <cell r="N963">
            <v>100</v>
          </cell>
          <cell r="O963" t="str">
            <v>LAHORE</v>
          </cell>
          <cell r="P963" t="str">
            <v>H # 73-A Dil Muhammad Road Lahore</v>
          </cell>
          <cell r="Q963" t="str">
            <v>11000003</v>
          </cell>
          <cell r="R963" t="str">
            <v>HONDA CITY 1.2  LS CVT</v>
          </cell>
          <cell r="S963" t="str">
            <v>2021</v>
          </cell>
          <cell r="T963" t="str">
            <v>AGR-229</v>
          </cell>
          <cell r="U963" t="str">
            <v>B51002558</v>
          </cell>
          <cell r="V963" t="str">
            <v>R003404</v>
          </cell>
          <cell r="X963" t="str">
            <v>3</v>
          </cell>
          <cell r="Y963">
            <v>4200000</v>
          </cell>
          <cell r="Z963">
            <v>54310</v>
          </cell>
          <cell r="AA963">
            <v>63000</v>
          </cell>
        </row>
        <row r="964">
          <cell r="B964" t="str">
            <v>KHI/HO/D/MO/PC COMP/C/105285/47/01/2025</v>
          </cell>
          <cell r="D964" t="str">
            <v>FRE</v>
          </cell>
          <cell r="E964" t="str">
            <v>31/01/25</v>
          </cell>
          <cell r="F964" t="str">
            <v>31/01/2025</v>
          </cell>
          <cell r="G964" t="str">
            <v>30/01/2026</v>
          </cell>
          <cell r="H964" t="str">
            <v>08004499</v>
          </cell>
          <cell r="I964" t="str">
            <v>AL BARAKA BANK (PAKISTAN) LIMITED</v>
          </cell>
          <cell r="J964" t="str">
            <v>BANK</v>
          </cell>
          <cell r="K964" t="str">
            <v>Mr. 
HPA M/s. Al Baraka Bank (Pakistan) Limited 
Mr. Malik Zeeshan 
HPA M/s. Al Baraka Bank (Pakistan) Limited</v>
          </cell>
          <cell r="L964" t="str">
            <v>D</v>
          </cell>
          <cell r="M964" t="str">
            <v>09000221</v>
          </cell>
          <cell r="N964">
            <v>100</v>
          </cell>
          <cell r="O964" t="str">
            <v>ISLAMABAD</v>
          </cell>
          <cell r="P964" t="str">
            <v>Flat No. 1 Block 16 Hana road PHA Appartment Sector G-8/4 Islamabad</v>
          </cell>
          <cell r="Q964" t="str">
            <v>11000003</v>
          </cell>
          <cell r="R964" t="str">
            <v>CHANGAN KARVAAN PLUS</v>
          </cell>
          <cell r="S964" t="str">
            <v>2025</v>
          </cell>
          <cell r="U964" t="str">
            <v>505729</v>
          </cell>
          <cell r="V964" t="str">
            <v>1002785</v>
          </cell>
          <cell r="X964" t="str">
            <v>3</v>
          </cell>
          <cell r="Y964">
            <v>3049000</v>
          </cell>
          <cell r="Z964">
            <v>52569</v>
          </cell>
          <cell r="AA964">
            <v>60980</v>
          </cell>
        </row>
        <row r="965">
          <cell r="B965" t="str">
            <v>KHI/HO/D/MO/PC COMP/C/105285/48/01/2025</v>
          </cell>
          <cell r="D965" t="str">
            <v>FRE</v>
          </cell>
          <cell r="E965" t="str">
            <v>31/01/25</v>
          </cell>
          <cell r="F965" t="str">
            <v>31/01/2025</v>
          </cell>
          <cell r="G965" t="str">
            <v>30/01/2026</v>
          </cell>
          <cell r="H965" t="str">
            <v>08004499</v>
          </cell>
          <cell r="I965" t="str">
            <v>AL BARAKA BANK (PAKISTAN) LIMITED</v>
          </cell>
          <cell r="J965" t="str">
            <v>BANK</v>
          </cell>
          <cell r="K965" t="str">
            <v>Mr. 
HPA M/s. Al Baraka Bank (Pakistan) Limited 
Mr. Zahoor Ul Hassan 
HPA M/s. Al Baraka Bank (Pakistan) Limited</v>
          </cell>
          <cell r="L965" t="str">
            <v>D</v>
          </cell>
          <cell r="M965" t="str">
            <v>09000221</v>
          </cell>
          <cell r="N965">
            <v>100</v>
          </cell>
          <cell r="O965" t="str">
            <v>LAHORE</v>
          </cell>
          <cell r="P965" t="str">
            <v>H # 597-C Block 4 Sector A-2 Township</v>
          </cell>
          <cell r="Q965" t="str">
            <v>11000003</v>
          </cell>
          <cell r="R965" t="str">
            <v>SUZUKI CULTUS VXL EURO II</v>
          </cell>
          <cell r="S965" t="str">
            <v>2021</v>
          </cell>
          <cell r="T965" t="str">
            <v>AGK-238</v>
          </cell>
          <cell r="U965" t="str">
            <v>189091</v>
          </cell>
          <cell r="V965" t="str">
            <v>10089075</v>
          </cell>
          <cell r="X965" t="str">
            <v>3</v>
          </cell>
          <cell r="Y965">
            <v>3000000</v>
          </cell>
          <cell r="Z965">
            <v>51724</v>
          </cell>
          <cell r="AA965">
            <v>60000</v>
          </cell>
        </row>
        <row r="966">
          <cell r="B966" t="str">
            <v>KHI/HO/D/MO/PC COMP/C/105285/49/01/2025</v>
          </cell>
          <cell r="D966" t="str">
            <v>FRE</v>
          </cell>
          <cell r="E966" t="str">
            <v>31/01/25</v>
          </cell>
          <cell r="F966" t="str">
            <v>31/01/2025</v>
          </cell>
          <cell r="G966" t="str">
            <v>30/01/2026</v>
          </cell>
          <cell r="H966" t="str">
            <v>08004499</v>
          </cell>
          <cell r="I966" t="str">
            <v>AL BARAKA BANK (PAKISTAN) LIMITED</v>
          </cell>
          <cell r="J966" t="str">
            <v>BANK</v>
          </cell>
          <cell r="K966" t="str">
            <v>Mr. 
HPA M/s. Al Baraka Bank (Pakistan) Limited 
Mr. Waseem Riaz
HPA M/s. Al Baraka Bank (Pakistan) Limited</v>
          </cell>
          <cell r="L966" t="str">
            <v>D</v>
          </cell>
          <cell r="M966" t="str">
            <v>09000221</v>
          </cell>
          <cell r="N966">
            <v>100</v>
          </cell>
          <cell r="O966" t="str">
            <v>MULTAN</v>
          </cell>
          <cell r="P966" t="str">
            <v>H No 1967-1 Aqsa Street Hazoori Bagh Road Multan</v>
          </cell>
          <cell r="Q966" t="str">
            <v>11000003</v>
          </cell>
          <cell r="R966" t="str">
            <v>SUZUKI CULTUS VXL</v>
          </cell>
          <cell r="S966" t="str">
            <v>2019</v>
          </cell>
          <cell r="T966" t="str">
            <v>LEE-19-9167</v>
          </cell>
          <cell r="U966" t="str">
            <v>140203</v>
          </cell>
          <cell r="V966" t="str">
            <v>10040182</v>
          </cell>
          <cell r="Y966">
            <v>2800000</v>
          </cell>
          <cell r="Z966">
            <v>48276</v>
          </cell>
          <cell r="AA966">
            <v>56000</v>
          </cell>
        </row>
        <row r="967">
          <cell r="B967" t="str">
            <v>KHI/HO/D/MO/PC COMP/C/105285/50/01/2025</v>
          </cell>
          <cell r="D967" t="str">
            <v>FRE</v>
          </cell>
          <cell r="E967" t="str">
            <v>31/01/25</v>
          </cell>
          <cell r="F967" t="str">
            <v>31/01/2025</v>
          </cell>
          <cell r="G967" t="str">
            <v>30/01/2026</v>
          </cell>
          <cell r="H967" t="str">
            <v>08004499</v>
          </cell>
          <cell r="I967" t="str">
            <v>AL BARAKA BANK (PAKISTAN) LIMITED</v>
          </cell>
          <cell r="J967" t="str">
            <v>BANK</v>
          </cell>
          <cell r="K967" t="str">
            <v>Mr. 
HPA M/s. Al Baraka Bank (Pakistan) Limited 
Mr. Asif Nisar
HPA M/s. Al Baraka Bank (Pakistan) Limited</v>
          </cell>
          <cell r="L967" t="str">
            <v>D</v>
          </cell>
          <cell r="M967" t="str">
            <v>09000221</v>
          </cell>
          <cell r="N967">
            <v>100</v>
          </cell>
          <cell r="O967" t="str">
            <v>RAWALPINDI</v>
          </cell>
          <cell r="P967" t="str">
            <v>H NO 291 Lane 3 Sherzaman Colony Lalazar Rawalpindi</v>
          </cell>
          <cell r="Q967" t="str">
            <v>11000003</v>
          </cell>
          <cell r="R967" t="str">
            <v>HONDA CITY 1.2  LS CVT</v>
          </cell>
          <cell r="S967" t="str">
            <v>2025</v>
          </cell>
          <cell r="U967" t="str">
            <v>030860</v>
          </cell>
          <cell r="V967" t="str">
            <v>048197</v>
          </cell>
          <cell r="X967" t="str">
            <v>03</v>
          </cell>
          <cell r="Y967">
            <v>4719000</v>
          </cell>
          <cell r="Z967">
            <v>61022</v>
          </cell>
          <cell r="AA967">
            <v>70785</v>
          </cell>
        </row>
        <row r="968">
          <cell r="B968" t="str">
            <v>KHI/HO/D/MO/PC COMP/C/105285/51/01/2025</v>
          </cell>
          <cell r="D968" t="str">
            <v>FRE</v>
          </cell>
          <cell r="E968" t="str">
            <v>31/01/25</v>
          </cell>
          <cell r="F968" t="str">
            <v>31/01/2025</v>
          </cell>
          <cell r="G968" t="str">
            <v>30/01/2026</v>
          </cell>
          <cell r="H968" t="str">
            <v>08004499</v>
          </cell>
          <cell r="I968" t="str">
            <v>AL BARAKA BANK (PAKISTAN) LIMITED</v>
          </cell>
          <cell r="J968" t="str">
            <v>BANK</v>
          </cell>
          <cell r="K968" t="str">
            <v>Mr. 
HPA M/s. Al Baraka Bank (Pakistan) Limited 
Ms. Samama Bukhari 
HPA M/s. Al Baraka Bank (Pakistan) Limited</v>
          </cell>
          <cell r="L968" t="str">
            <v>D</v>
          </cell>
          <cell r="M968" t="str">
            <v>09000221</v>
          </cell>
          <cell r="N968">
            <v>100</v>
          </cell>
          <cell r="O968" t="str">
            <v>KARACHI</v>
          </cell>
          <cell r="P968" t="str">
            <v>H # C-29 Sector 14-A Shadman Town 1 North Nazimabad Karachi</v>
          </cell>
          <cell r="Q968" t="str">
            <v>11000003</v>
          </cell>
          <cell r="R968" t="str">
            <v>TOYOTA Yaris ATIV X 1.5 (</v>
          </cell>
          <cell r="S968" t="str">
            <v>2021</v>
          </cell>
          <cell r="T968" t="str">
            <v>BSW-520</v>
          </cell>
          <cell r="U968" t="str">
            <v>16691</v>
          </cell>
          <cell r="V968" t="str">
            <v>9506751</v>
          </cell>
          <cell r="X968" t="str">
            <v>3</v>
          </cell>
          <cell r="Y968">
            <v>4150000</v>
          </cell>
          <cell r="Z968">
            <v>53663</v>
          </cell>
          <cell r="AA968">
            <v>62250</v>
          </cell>
        </row>
        <row r="969">
          <cell r="B969" t="str">
            <v>KHI/HO/D/MO/PC COMP/C/105285/52/01/2025</v>
          </cell>
          <cell r="D969" t="str">
            <v>FRE</v>
          </cell>
          <cell r="E969" t="str">
            <v>31/01/25</v>
          </cell>
          <cell r="F969" t="str">
            <v>31/01/2025</v>
          </cell>
          <cell r="G969" t="str">
            <v>30/01/2026</v>
          </cell>
          <cell r="H969" t="str">
            <v>08004499</v>
          </cell>
          <cell r="I969" t="str">
            <v>AL BARAKA BANK (PAKISTAN) LIMITED</v>
          </cell>
          <cell r="J969" t="str">
            <v>BANK</v>
          </cell>
          <cell r="K969" t="str">
            <v>Mr. 
HPA M/s. Al Baraka Bank (Pakistan) Limited 
Mr. Muhammad Mudassar 
HPA M/s. Al Baraka Bank (Pakistan) Limited</v>
          </cell>
          <cell r="L969" t="str">
            <v>D</v>
          </cell>
          <cell r="M969" t="str">
            <v>09000221</v>
          </cell>
          <cell r="N969">
            <v>100</v>
          </cell>
          <cell r="P969" t="str">
            <v>H # 20-A Street 65-A Fazal Park Wassan Pura Lahore</v>
          </cell>
          <cell r="Q969" t="str">
            <v>11000003</v>
          </cell>
          <cell r="R969" t="str">
            <v>SUZUKI Every VXR</v>
          </cell>
          <cell r="S969" t="str">
            <v>2025</v>
          </cell>
          <cell r="U969" t="str">
            <v>1002364</v>
          </cell>
          <cell r="V969" t="str">
            <v>102387</v>
          </cell>
          <cell r="X969" t="str">
            <v>3</v>
          </cell>
          <cell r="Y969">
            <v>2799000</v>
          </cell>
          <cell r="Z969">
            <v>48258</v>
          </cell>
          <cell r="AA969">
            <v>55980</v>
          </cell>
        </row>
        <row r="970">
          <cell r="B970" t="str">
            <v>KHI/HO/D/MO/PC COMP/C/105285/53/01/2025</v>
          </cell>
          <cell r="D970" t="str">
            <v>FRE</v>
          </cell>
          <cell r="E970" t="str">
            <v>31/01/25</v>
          </cell>
          <cell r="F970" t="str">
            <v>31/01/2025</v>
          </cell>
          <cell r="G970" t="str">
            <v>30/01/2026</v>
          </cell>
          <cell r="H970" t="str">
            <v>08004499</v>
          </cell>
          <cell r="I970" t="str">
            <v>AL BARAKA BANK (PAKISTAN) LIMITED</v>
          </cell>
          <cell r="J970" t="str">
            <v>BANK</v>
          </cell>
          <cell r="K970" t="str">
            <v>Mr. 
HPA M/s. Al Baraka Bank (Pakistan) Limited 
Mr. Muhammad Naveed Aslam  
HPA M/s. Al Baraka Bank (Pakistan) Limited</v>
          </cell>
          <cell r="L970" t="str">
            <v>D</v>
          </cell>
          <cell r="M970" t="str">
            <v>09000221</v>
          </cell>
          <cell r="N970">
            <v>100</v>
          </cell>
          <cell r="O970" t="str">
            <v>FAISALABAD</v>
          </cell>
          <cell r="P970" t="str">
            <v>Chak No. 199 RB Guttwala Fakharabad Faisalabad</v>
          </cell>
          <cell r="Q970" t="str">
            <v>11000003</v>
          </cell>
          <cell r="R970" t="str">
            <v>SUZUKI WAGON-R VXL E2</v>
          </cell>
          <cell r="S970" t="str">
            <v>2021</v>
          </cell>
          <cell r="U970" t="str">
            <v>PK10B226253</v>
          </cell>
          <cell r="V970" t="str">
            <v>A1J310PK10126253</v>
          </cell>
          <cell r="X970" t="str">
            <v>3</v>
          </cell>
          <cell r="Y970">
            <v>2400000</v>
          </cell>
          <cell r="Z970">
            <v>41379</v>
          </cell>
          <cell r="AA970">
            <v>48000</v>
          </cell>
        </row>
        <row r="971">
          <cell r="B971" t="str">
            <v>KHI/HO/D/MO/PC COMP/C/105285/54/01/2025</v>
          </cell>
          <cell r="D971" t="str">
            <v>FRE</v>
          </cell>
          <cell r="E971" t="str">
            <v>31/01/25</v>
          </cell>
          <cell r="F971" t="str">
            <v>31/01/2025</v>
          </cell>
          <cell r="G971" t="str">
            <v>30/01/2026</v>
          </cell>
          <cell r="H971" t="str">
            <v>08004499</v>
          </cell>
          <cell r="I971" t="str">
            <v>AL BARAKA BANK (PAKISTAN) LIMITED</v>
          </cell>
          <cell r="J971" t="str">
            <v>BANK</v>
          </cell>
          <cell r="K971" t="str">
            <v>Mr. 
HPA M/s. Al Baraka Bank (Pakistan) Limited 
Mr. Hassan Khalid
HPA M/s. Al Baraka Bank (Pakistan) Limited</v>
          </cell>
          <cell r="L971" t="str">
            <v>D</v>
          </cell>
          <cell r="M971" t="str">
            <v>09000221</v>
          </cell>
          <cell r="N971">
            <v>100</v>
          </cell>
          <cell r="O971" t="str">
            <v>LAHORE</v>
          </cell>
          <cell r="P971" t="str">
            <v>H No 31 St 7 Block M5 Lake City Lahore</v>
          </cell>
          <cell r="Q971" t="str">
            <v>11000003</v>
          </cell>
          <cell r="R971" t="str">
            <v>HONDA CIVIC</v>
          </cell>
          <cell r="S971" t="str">
            <v>2018</v>
          </cell>
          <cell r="T971" t="str">
            <v>LEC-18-4261</v>
          </cell>
          <cell r="U971" t="str">
            <v>12928021</v>
          </cell>
          <cell r="V971" t="str">
            <v>R031301</v>
          </cell>
          <cell r="Y971">
            <v>4500000</v>
          </cell>
          <cell r="Z971">
            <v>58190</v>
          </cell>
          <cell r="AA971">
            <v>67500</v>
          </cell>
        </row>
        <row r="972">
          <cell r="B972" t="str">
            <v>KHI/HO/D/MO/PC COMP/C/105285/55/01/2025</v>
          </cell>
          <cell r="D972" t="str">
            <v>FRE</v>
          </cell>
          <cell r="E972" t="str">
            <v>31/01/25</v>
          </cell>
          <cell r="F972" t="str">
            <v>31/01/2025</v>
          </cell>
          <cell r="G972" t="str">
            <v>30/01/2026</v>
          </cell>
          <cell r="H972" t="str">
            <v>08004499</v>
          </cell>
          <cell r="I972" t="str">
            <v>AL BARAKA BANK (PAKISTAN) LIMITED</v>
          </cell>
          <cell r="J972" t="str">
            <v>BANK</v>
          </cell>
          <cell r="K972" t="str">
            <v>Mr. 
HPA M/s. Al Baraka Bank (Pakistan) Limited 
Mr. Muhammad Safdar
HPA M/s. Al Baraka Bank (Pakistan) Limited</v>
          </cell>
          <cell r="L972" t="str">
            <v>D</v>
          </cell>
          <cell r="M972" t="str">
            <v>09000221</v>
          </cell>
          <cell r="N972">
            <v>100</v>
          </cell>
          <cell r="O972" t="str">
            <v>SAHIWAL</v>
          </cell>
          <cell r="P972" t="str">
            <v>PO Khas Chak No 101/19 The &amp; Distt Sahiwal</v>
          </cell>
          <cell r="Q972" t="str">
            <v>11000003</v>
          </cell>
          <cell r="R972" t="str">
            <v>SUZUKI ALTO VXR</v>
          </cell>
          <cell r="S972" t="str">
            <v>2022</v>
          </cell>
          <cell r="T972" t="str">
            <v>AMK-019</v>
          </cell>
          <cell r="U972" t="str">
            <v>6R214010</v>
          </cell>
          <cell r="V972" t="str">
            <v>6H1113966</v>
          </cell>
          <cell r="Y972">
            <v>2600000</v>
          </cell>
          <cell r="Z972">
            <v>44828</v>
          </cell>
          <cell r="AA972">
            <v>52000</v>
          </cell>
        </row>
        <row r="973">
          <cell r="B973" t="str">
            <v>KHI/HO/D/MO/PC COMP/C/105285/56/01/2025</v>
          </cell>
          <cell r="D973" t="str">
            <v>FRE</v>
          </cell>
          <cell r="E973" t="str">
            <v>31/01/25</v>
          </cell>
          <cell r="F973" t="str">
            <v>31/01/2025</v>
          </cell>
          <cell r="G973" t="str">
            <v>30/01/2026</v>
          </cell>
          <cell r="H973" t="str">
            <v>08004499</v>
          </cell>
          <cell r="I973" t="str">
            <v>AL BARAKA BANK (PAKISTAN) LIMITED</v>
          </cell>
          <cell r="J973" t="str">
            <v>BANK</v>
          </cell>
          <cell r="K973" t="str">
            <v>Mr. 
HPA M/s. Al Baraka Bank (Pakistan) Limited 
Mr.  MUHAMMAD ABID
HPA M/s. Al Baraka Bank (Pakistan) Limited</v>
          </cell>
          <cell r="L973" t="str">
            <v>D</v>
          </cell>
          <cell r="M973" t="str">
            <v>09000221</v>
          </cell>
          <cell r="N973">
            <v>100</v>
          </cell>
          <cell r="O973" t="str">
            <v>FAISALABAD</v>
          </cell>
          <cell r="P973" t="str">
            <v>H No 565D Sir Syed Town Faisalabad</v>
          </cell>
          <cell r="Q973" t="str">
            <v>11000003</v>
          </cell>
          <cell r="R973" t="str">
            <v>HONDA CIVIC</v>
          </cell>
          <cell r="S973" t="str">
            <v>2017</v>
          </cell>
          <cell r="T973" t="str">
            <v>ADY-122</v>
          </cell>
          <cell r="U973" t="str">
            <v>R18Z 12913247</v>
          </cell>
          <cell r="V973" t="str">
            <v>NFBFC6654HR016484</v>
          </cell>
          <cell r="X973" t="str">
            <v>3</v>
          </cell>
          <cell r="Y973">
            <v>3200000</v>
          </cell>
          <cell r="Z973">
            <v>55172</v>
          </cell>
          <cell r="AA973">
            <v>64000</v>
          </cell>
        </row>
        <row r="974">
          <cell r="B974" t="str">
            <v>KHI/HO/D/MO/PC COMP/C/105285/57/01/2025</v>
          </cell>
          <cell r="D974" t="str">
            <v>FRE</v>
          </cell>
          <cell r="E974" t="str">
            <v>31/01/25</v>
          </cell>
          <cell r="F974" t="str">
            <v>31/01/2025</v>
          </cell>
          <cell r="G974" t="str">
            <v>30/01/2026</v>
          </cell>
          <cell r="H974" t="str">
            <v>08004499</v>
          </cell>
          <cell r="I974" t="str">
            <v>AL BARAKA BANK (PAKISTAN) LIMITED</v>
          </cell>
          <cell r="J974" t="str">
            <v>BANK</v>
          </cell>
          <cell r="K974" t="str">
            <v>Mr. 
HPA M/s. Al Baraka Bank (Pakistan) Limited 
Mr. Malik Azhar 
HPA M/s. Al Baraka Bank (Pakistan) Limited</v>
          </cell>
          <cell r="L974" t="str">
            <v>D</v>
          </cell>
          <cell r="M974" t="str">
            <v>09000221</v>
          </cell>
          <cell r="N974">
            <v>100</v>
          </cell>
          <cell r="O974" t="str">
            <v>LAHORE</v>
          </cell>
          <cell r="P974" t="str">
            <v>Near Ghousia Masjid Moh Muhammad Ali Road Dohatta Colony Ichra Lahore</v>
          </cell>
          <cell r="Q974" t="str">
            <v>11000003</v>
          </cell>
          <cell r="R974" t="str">
            <v>TOYOTA COROLLA GLI M/T 1.</v>
          </cell>
          <cell r="S974" t="str">
            <v>2019</v>
          </cell>
          <cell r="T974" t="str">
            <v>LED-19-1502</v>
          </cell>
          <cell r="U974" t="str">
            <v>Z552788</v>
          </cell>
          <cell r="V974" t="str">
            <v>4178527</v>
          </cell>
          <cell r="X974" t="str">
            <v>3</v>
          </cell>
          <cell r="Y974">
            <v>4100000</v>
          </cell>
          <cell r="Z974">
            <v>53017</v>
          </cell>
          <cell r="AA974">
            <v>61500</v>
          </cell>
        </row>
        <row r="975">
          <cell r="B975" t="str">
            <v>KHI/HO/D/MO/PC COMP/C/106977/1/02/2025</v>
          </cell>
          <cell r="D975" t="str">
            <v>FRE</v>
          </cell>
          <cell r="E975" t="str">
            <v>03/02/25</v>
          </cell>
          <cell r="F975" t="str">
            <v>03/02/2025</v>
          </cell>
          <cell r="G975" t="str">
            <v>02/02/2026</v>
          </cell>
          <cell r="H975" t="str">
            <v>08004499</v>
          </cell>
          <cell r="I975" t="str">
            <v>AL BARAKA BANK (PAKISTAN) LIMITED</v>
          </cell>
          <cell r="J975" t="str">
            <v>BANK</v>
          </cell>
          <cell r="K975" t="str">
            <v>Mr. 
HPA M/s. Al Baraka Bank (Pakistan) Limited 
Ms. Saima Jahangir  
HPA M/s. Al Baraka Bank (Pakistan) Limited</v>
          </cell>
          <cell r="L975" t="str">
            <v>D</v>
          </cell>
          <cell r="M975" t="str">
            <v>09000221</v>
          </cell>
          <cell r="N975">
            <v>100</v>
          </cell>
          <cell r="P975" t="str">
            <v>Villa No. 4 Street 1 Block C DHA Villas Ext Park View Lahore Cantt</v>
          </cell>
          <cell r="Q975" t="str">
            <v>11000003</v>
          </cell>
          <cell r="R975" t="str">
            <v>HONDA CITY 1.2  LS CVT</v>
          </cell>
          <cell r="S975" t="str">
            <v>2025</v>
          </cell>
          <cell r="U975" t="str">
            <v>51030946</v>
          </cell>
          <cell r="V975" t="str">
            <v>048317</v>
          </cell>
          <cell r="X975" t="str">
            <v>3</v>
          </cell>
          <cell r="Y975">
            <v>4719000</v>
          </cell>
          <cell r="Z975">
            <v>60590</v>
          </cell>
          <cell r="AA975">
            <v>70785</v>
          </cell>
        </row>
        <row r="976">
          <cell r="B976" t="str">
            <v>KHI/HO/D/MO/PC COMP/C/106977/2/02/2025</v>
          </cell>
          <cell r="D976" t="str">
            <v>FRE</v>
          </cell>
          <cell r="E976" t="str">
            <v>04/02/25</v>
          </cell>
          <cell r="F976" t="str">
            <v>04/02/2025</v>
          </cell>
          <cell r="G976" t="str">
            <v>03/02/2026</v>
          </cell>
          <cell r="H976" t="str">
            <v>08004499</v>
          </cell>
          <cell r="I976" t="str">
            <v>AL BARAKA BANK (PAKISTAN) LIMITED</v>
          </cell>
          <cell r="J976" t="str">
            <v>BANK</v>
          </cell>
          <cell r="K976" t="str">
            <v>Mr. 
HPA M/s. Al Baraka Bank (Pakistan) Limited 
Mr. Nafees Iqbal
HPA M/s. Al Baraka Bank (Pakistan) Limited</v>
          </cell>
          <cell r="L976" t="str">
            <v>D</v>
          </cell>
          <cell r="M976" t="str">
            <v>09000221</v>
          </cell>
          <cell r="N976">
            <v>100</v>
          </cell>
          <cell r="O976" t="str">
            <v>LAHORE</v>
          </cell>
          <cell r="P976" t="str">
            <v>H No 8-G Babar Street Canal Burg Society Lahore</v>
          </cell>
          <cell r="Q976" t="str">
            <v>11000003</v>
          </cell>
          <cell r="R976" t="str">
            <v>SUZUKI ALTO VXR E-2</v>
          </cell>
          <cell r="S976" t="str">
            <v>2025</v>
          </cell>
          <cell r="U976" t="str">
            <v>338698</v>
          </cell>
          <cell r="V976" t="str">
            <v>1238701</v>
          </cell>
          <cell r="Y976">
            <v>2707000</v>
          </cell>
          <cell r="Z976">
            <v>46672</v>
          </cell>
          <cell r="AA976">
            <v>54140</v>
          </cell>
        </row>
        <row r="977">
          <cell r="B977" t="str">
            <v>KHI/HO/D/MO/PC COMP/C/106977/3/02/2025</v>
          </cell>
          <cell r="D977" t="str">
            <v>FRE</v>
          </cell>
          <cell r="E977" t="str">
            <v>04/02/25</v>
          </cell>
          <cell r="F977" t="str">
            <v>04/02/2025</v>
          </cell>
          <cell r="G977" t="str">
            <v>03/02/2026</v>
          </cell>
          <cell r="H977" t="str">
            <v>08004499</v>
          </cell>
          <cell r="I977" t="str">
            <v>AL BARAKA BANK (PAKISTAN) LIMITED</v>
          </cell>
          <cell r="J977" t="str">
            <v>BANK</v>
          </cell>
          <cell r="K977" t="str">
            <v>Mr. 
HPA M/s. Al Baraka Bank (Pakistan) Limited 
Ms. Zahida Parveen  
HPA M/s. Al Baraka Bank (Pakistan) Limited</v>
          </cell>
          <cell r="L977" t="str">
            <v>D</v>
          </cell>
          <cell r="M977" t="str">
            <v>09000221</v>
          </cell>
          <cell r="N977">
            <v>100</v>
          </cell>
          <cell r="O977" t="str">
            <v>LAHORE</v>
          </cell>
          <cell r="P977" t="str">
            <v>Meharpura Ali Chowk Multan Road Lahore</v>
          </cell>
          <cell r="Q977" t="str">
            <v>11000003</v>
          </cell>
          <cell r="R977" t="str">
            <v>SUZUKI ALTO VXR E-2</v>
          </cell>
          <cell r="S977" t="str">
            <v>2021</v>
          </cell>
          <cell r="T977" t="str">
            <v>AGM 269</v>
          </cell>
          <cell r="U977" t="str">
            <v>185137</v>
          </cell>
          <cell r="V977" t="str">
            <v>1085118</v>
          </cell>
          <cell r="X977" t="str">
            <v>3</v>
          </cell>
          <cell r="Y977">
            <v>2300000</v>
          </cell>
          <cell r="Z977">
            <v>39655</v>
          </cell>
          <cell r="AA977">
            <v>46000</v>
          </cell>
        </row>
        <row r="978">
          <cell r="B978" t="str">
            <v>KHI/HO/D/MO/PC COMP/C/106977/4/02/2025</v>
          </cell>
          <cell r="D978" t="str">
            <v>FRE</v>
          </cell>
          <cell r="E978" t="str">
            <v>06/02/25</v>
          </cell>
          <cell r="F978" t="str">
            <v>06/02/2025</v>
          </cell>
          <cell r="G978" t="str">
            <v>05/02/2026</v>
          </cell>
          <cell r="H978" t="str">
            <v>08004499</v>
          </cell>
          <cell r="I978" t="str">
            <v>AL BARAKA BANK (PAKISTAN) LIMITED</v>
          </cell>
          <cell r="J978" t="str">
            <v>BANK</v>
          </cell>
          <cell r="K978" t="str">
            <v>Mr. 
HPA M/s. Al Baraka Bank (Pakistan) Limited 
Mr. Saad Rasool 
HPA M/s. Al Baraka Bank (Pakistan) Limited</v>
          </cell>
          <cell r="L978" t="str">
            <v>D</v>
          </cell>
          <cell r="M978" t="str">
            <v>09000221</v>
          </cell>
          <cell r="N978">
            <v>100</v>
          </cell>
          <cell r="O978" t="str">
            <v>LAHORE</v>
          </cell>
          <cell r="P978" t="str">
            <v>Shahid Town Higen Store Wali Gali Ghazi Road Lahore</v>
          </cell>
          <cell r="Q978" t="str">
            <v>11000003</v>
          </cell>
          <cell r="R978" t="str">
            <v>KIA SPORTAGE AWD</v>
          </cell>
          <cell r="S978" t="str">
            <v>2019</v>
          </cell>
          <cell r="T978" t="str">
            <v>BH-4273</v>
          </cell>
          <cell r="U978" t="str">
            <v>H025883</v>
          </cell>
          <cell r="V978" t="str">
            <v>KP500574</v>
          </cell>
          <cell r="X978" t="str">
            <v>3</v>
          </cell>
          <cell r="Y978">
            <v>6000000</v>
          </cell>
          <cell r="Z978">
            <v>77586</v>
          </cell>
          <cell r="AA978">
            <v>90000</v>
          </cell>
        </row>
        <row r="979">
          <cell r="B979" t="str">
            <v>KHI/HO/D/MO/PC COMP/C/106977/5/02/2025</v>
          </cell>
          <cell r="D979" t="str">
            <v>FRE</v>
          </cell>
          <cell r="E979" t="str">
            <v>06/02/25</v>
          </cell>
          <cell r="F979" t="str">
            <v>06/02/2025</v>
          </cell>
          <cell r="G979" t="str">
            <v>05/02/2026</v>
          </cell>
          <cell r="H979" t="str">
            <v>08004499</v>
          </cell>
          <cell r="I979" t="str">
            <v>AL BARAKA BANK (PAKISTAN) LIMITED</v>
          </cell>
          <cell r="J979" t="str">
            <v>BANK</v>
          </cell>
          <cell r="K979" t="str">
            <v>Mr. 
HPA M/s. Al Baraka Bank (Pakistan) Limited 
Mr. Qamar Shahzad 
HPA M/s. Al Baraka Bank (Pakistan) Limited</v>
          </cell>
          <cell r="L979" t="str">
            <v>D</v>
          </cell>
          <cell r="M979" t="str">
            <v>09000221</v>
          </cell>
          <cell r="N979">
            <v>100</v>
          </cell>
          <cell r="O979" t="str">
            <v>FAISALABAD</v>
          </cell>
          <cell r="P979" t="str">
            <v>Near Khayaban Garden Doctor Colony Lasani Pully Faisalabad</v>
          </cell>
          <cell r="Q979" t="str">
            <v>11000003</v>
          </cell>
          <cell r="R979" t="str">
            <v>SUZUKI ALTO VXR E-2</v>
          </cell>
          <cell r="S979" t="str">
            <v>2021</v>
          </cell>
          <cell r="T979" t="str">
            <v>ACF-707</v>
          </cell>
          <cell r="U979" t="str">
            <v>6R577163</v>
          </cell>
          <cell r="V979" t="str">
            <v>NF1AET306H1057733</v>
          </cell>
          <cell r="X979" t="str">
            <v>3</v>
          </cell>
          <cell r="Y979">
            <v>2300000</v>
          </cell>
          <cell r="Z979">
            <v>39655</v>
          </cell>
          <cell r="AA979">
            <v>46000</v>
          </cell>
        </row>
        <row r="980">
          <cell r="B980" t="str">
            <v>KHI/HO/D/MO/PC COMP/C/106977/6/02/2025</v>
          </cell>
          <cell r="D980" t="str">
            <v>FRE</v>
          </cell>
          <cell r="E980" t="str">
            <v>07/02/25</v>
          </cell>
          <cell r="F980" t="str">
            <v>07/02/2025</v>
          </cell>
          <cell r="G980" t="str">
            <v>06/02/2026</v>
          </cell>
          <cell r="H980" t="str">
            <v>08004499</v>
          </cell>
          <cell r="I980" t="str">
            <v>AL BARAKA BANK (PAKISTAN) LIMITED</v>
          </cell>
          <cell r="J980" t="str">
            <v>BANK</v>
          </cell>
          <cell r="K980" t="str">
            <v>Mr. 
HPA M/s. Al Baraka Bank (Pakistan) Limited 
Mr. Niaz Ahmad Awan
HPA M/s. Al Baraka Bank (Pakistan) Limited</v>
          </cell>
          <cell r="L980" t="str">
            <v>D</v>
          </cell>
          <cell r="M980" t="str">
            <v>09000221</v>
          </cell>
          <cell r="N980">
            <v>100</v>
          </cell>
          <cell r="O980" t="str">
            <v>LAHORE</v>
          </cell>
          <cell r="P980" t="str">
            <v>H No 2 Ayubi St No 5 Ali Muhammad Park Tajpura Lahore</v>
          </cell>
          <cell r="Q980" t="str">
            <v>11000003</v>
          </cell>
          <cell r="R980" t="str">
            <v>SUZUKI ALTO VXR</v>
          </cell>
          <cell r="S980" t="str">
            <v>2025</v>
          </cell>
          <cell r="T980" t="str">
            <v>AUJ-406</v>
          </cell>
          <cell r="U980" t="str">
            <v>336032</v>
          </cell>
          <cell r="V980" t="str">
            <v>1236090</v>
          </cell>
          <cell r="Y980">
            <v>2707000</v>
          </cell>
          <cell r="Z980">
            <v>46672</v>
          </cell>
          <cell r="AA980">
            <v>54140</v>
          </cell>
        </row>
        <row r="981">
          <cell r="B981" t="str">
            <v>KHI/HO/D/MO/PC COMP/C/106977/7/02/2025</v>
          </cell>
          <cell r="D981" t="str">
            <v>FRE</v>
          </cell>
          <cell r="E981" t="str">
            <v>07/02/25</v>
          </cell>
          <cell r="F981" t="str">
            <v>07/02/2025</v>
          </cell>
          <cell r="G981" t="str">
            <v>06/02/2026</v>
          </cell>
          <cell r="H981" t="str">
            <v>08004499</v>
          </cell>
          <cell r="I981" t="str">
            <v>AL BARAKA BANK (PAKISTAN) LIMITED</v>
          </cell>
          <cell r="J981" t="str">
            <v>BANK</v>
          </cell>
          <cell r="K981" t="str">
            <v>Mr. 
HPA M/s. Al Baraka Bank (Pakistan) Limited 
Mr. Nawaiz Masih
HPA M/s. Al Baraka Bank (Pakistan) Limited</v>
          </cell>
          <cell r="L981" t="str">
            <v>D</v>
          </cell>
          <cell r="M981" t="str">
            <v>09000221</v>
          </cell>
          <cell r="N981">
            <v>100</v>
          </cell>
          <cell r="O981" t="str">
            <v>ISLAMABAD</v>
          </cell>
          <cell r="P981" t="str">
            <v>H # 4 Street 10 Zia Masjid Akbar Town Islamabad</v>
          </cell>
          <cell r="Q981" t="str">
            <v>11000003</v>
          </cell>
          <cell r="R981" t="str">
            <v>HONDA CIVIC VTI ORIEL I-V</v>
          </cell>
          <cell r="S981" t="str">
            <v>2017</v>
          </cell>
          <cell r="T981" t="str">
            <v>ADE-125</v>
          </cell>
          <cell r="U981" t="str">
            <v>12907931</v>
          </cell>
          <cell r="V981" t="str">
            <v>010752</v>
          </cell>
          <cell r="X981" t="str">
            <v>3</v>
          </cell>
          <cell r="Y981">
            <v>4500000</v>
          </cell>
          <cell r="Z981">
            <v>58190</v>
          </cell>
          <cell r="AA981">
            <v>67500</v>
          </cell>
        </row>
        <row r="982">
          <cell r="B982" t="str">
            <v>KHI/HO/D/MO/PC COMP/C/106977/8/02/2025</v>
          </cell>
          <cell r="D982" t="str">
            <v>FRE</v>
          </cell>
          <cell r="E982" t="str">
            <v>10/02/25</v>
          </cell>
          <cell r="F982" t="str">
            <v>10/02/2025</v>
          </cell>
          <cell r="G982" t="str">
            <v>09/02/2026</v>
          </cell>
          <cell r="H982" t="str">
            <v>08004499</v>
          </cell>
          <cell r="I982" t="str">
            <v>AL BARAKA BANK (PAKISTAN) LIMITED</v>
          </cell>
          <cell r="J982" t="str">
            <v>BANK</v>
          </cell>
          <cell r="K982" t="str">
            <v>Mr. 
HPA M/s. Al Baraka Bank (Pakistan) Limited 
Mr. Azan Ahmad
HPA M/s. Al Baraka Bank (Pakistan) Limited</v>
          </cell>
          <cell r="L982" t="str">
            <v>D</v>
          </cell>
          <cell r="M982" t="str">
            <v>09000221</v>
          </cell>
          <cell r="N982">
            <v>100</v>
          </cell>
          <cell r="P982" t="str">
            <v>H # 6 Street 15 Block C Eden Value Homes Thokar Niaz Baig Multan Road Lahore</v>
          </cell>
          <cell r="Q982" t="str">
            <v>11000003</v>
          </cell>
          <cell r="R982" t="str">
            <v>HONDA CITY 1.2  LS CVT</v>
          </cell>
          <cell r="S982" t="str">
            <v>2025</v>
          </cell>
          <cell r="U982" t="str">
            <v>1031400</v>
          </cell>
          <cell r="V982" t="str">
            <v>048793</v>
          </cell>
          <cell r="X982" t="str">
            <v>3</v>
          </cell>
          <cell r="Y982">
            <v>4719000</v>
          </cell>
          <cell r="Z982">
            <v>50851</v>
          </cell>
          <cell r="AA982">
            <v>58988</v>
          </cell>
        </row>
        <row r="983">
          <cell r="B983" t="str">
            <v>KHI/HO/D/MO/PC COMP/C/107185/1/02/2025</v>
          </cell>
          <cell r="D983" t="str">
            <v>FRE</v>
          </cell>
          <cell r="E983" t="str">
            <v>10/02/25</v>
          </cell>
          <cell r="F983" t="str">
            <v>09/08/2024</v>
          </cell>
          <cell r="G983" t="str">
            <v>08/08/2025</v>
          </cell>
          <cell r="H983" t="str">
            <v>08004499</v>
          </cell>
          <cell r="I983" t="str">
            <v>AL BARAKA BANK (PAKISTAN) LIMITED</v>
          </cell>
          <cell r="J983" t="str">
            <v>BANK</v>
          </cell>
          <cell r="K983" t="str">
            <v>Mr. 
HPA M/s. Al Baraka Bank (Pakistan) Limited 
Mr. Hafiz Rehan Aftab
HPA M/s. Al Baraka Bank (Pakistan) Limited</v>
          </cell>
          <cell r="L983" t="str">
            <v>D</v>
          </cell>
          <cell r="M983" t="str">
            <v>09000221</v>
          </cell>
          <cell r="N983">
            <v>100</v>
          </cell>
          <cell r="O983" t="str">
            <v>LAHORE</v>
          </cell>
          <cell r="P983" t="str">
            <v>H # 60 Victoria Park Mall Road Lahore</v>
          </cell>
          <cell r="Q983" t="str">
            <v>11000003</v>
          </cell>
          <cell r="R983" t="str">
            <v>TOYOTA Yaris ATIV X 1.5 (</v>
          </cell>
          <cell r="S983" t="str">
            <v>2020</v>
          </cell>
          <cell r="T983" t="str">
            <v>AAQ-924</v>
          </cell>
          <cell r="U983" t="str">
            <v>2A08752</v>
          </cell>
          <cell r="V983" t="str">
            <v>R9503685</v>
          </cell>
          <cell r="X983" t="str">
            <v>3</v>
          </cell>
          <cell r="Y983">
            <v>4200000</v>
          </cell>
          <cell r="Z983">
            <v>53879</v>
          </cell>
          <cell r="AA983">
            <v>63000</v>
          </cell>
        </row>
        <row r="984">
          <cell r="B984" t="str">
            <v>KHI/HO/D/MO/PC COMP/C/106977/9/02/2025</v>
          </cell>
          <cell r="D984" t="str">
            <v>FRE</v>
          </cell>
          <cell r="E984" t="str">
            <v>10/02/25</v>
          </cell>
          <cell r="F984" t="str">
            <v>10/02/2025</v>
          </cell>
          <cell r="G984" t="str">
            <v>09/02/2026</v>
          </cell>
          <cell r="H984" t="str">
            <v>08004499</v>
          </cell>
          <cell r="I984" t="str">
            <v>AL BARAKA BANK (PAKISTAN) LIMITED</v>
          </cell>
          <cell r="J984" t="str">
            <v>BANK</v>
          </cell>
          <cell r="K984" t="str">
            <v>Mr. 
HPA M/s. Al Baraka Bank (Pakistan) Limited 
Mr. Muhammad Rashid Maqsood Maan
HPA M/s. Al Baraka Bank (Pakistan) Limited</v>
          </cell>
          <cell r="L984" t="str">
            <v>D</v>
          </cell>
          <cell r="M984" t="str">
            <v>09000221</v>
          </cell>
          <cell r="N984">
            <v>100</v>
          </cell>
          <cell r="O984" t="str">
            <v>LARKANA</v>
          </cell>
          <cell r="P984" t="str">
            <v>Maan House Ranjha Carpet Street Main Shahdara Mor Lahore</v>
          </cell>
          <cell r="Q984" t="str">
            <v>11000003</v>
          </cell>
          <cell r="R984" t="str">
            <v>SUZUKI ALTO VXR</v>
          </cell>
          <cell r="S984" t="str">
            <v>2025</v>
          </cell>
          <cell r="U984" t="str">
            <v>338849</v>
          </cell>
          <cell r="V984" t="str">
            <v>1238763</v>
          </cell>
          <cell r="Y984">
            <v>2707000</v>
          </cell>
          <cell r="Z984">
            <v>46672</v>
          </cell>
          <cell r="AA984">
            <v>54140</v>
          </cell>
        </row>
        <row r="985">
          <cell r="B985" t="str">
            <v>KHI/HO/D/MO/CV/C/107227/1/02/2025</v>
          </cell>
          <cell r="D985" t="str">
            <v>FRE</v>
          </cell>
          <cell r="E985" t="str">
            <v>11/02/25</v>
          </cell>
          <cell r="F985" t="str">
            <v>11/02/2025</v>
          </cell>
          <cell r="G985" t="str">
            <v>10/02/2026</v>
          </cell>
          <cell r="H985" t="str">
            <v>08004499</v>
          </cell>
          <cell r="I985" t="str">
            <v>AL BARAKA BANK (PAKISTAN) LIMITED</v>
          </cell>
          <cell r="J985" t="str">
            <v>BANK</v>
          </cell>
          <cell r="K985" t="str">
            <v>Mr.
HPA M/s. Al Baraka Bank Pakistan Limited
Mr. Farman Khan
HPA M/s. Al Baraka Bank Pakistan Limited</v>
          </cell>
          <cell r="L985" t="str">
            <v>D</v>
          </cell>
          <cell r="M985" t="str">
            <v>09000138</v>
          </cell>
          <cell r="N985">
            <v>100</v>
          </cell>
          <cell r="P985" t="str">
            <v>Near Bilal Masjid Mohallah Thoeedabad Kohsar Colony Taxila Rawalpindi</v>
          </cell>
          <cell r="Q985" t="str">
            <v>11000003</v>
          </cell>
          <cell r="R985" t="str">
            <v>SUZUKI RAVI PICK UP</v>
          </cell>
          <cell r="S985" t="str">
            <v>2025</v>
          </cell>
          <cell r="U985" t="str">
            <v>395530</v>
          </cell>
          <cell r="V985" t="str">
            <v>500198</v>
          </cell>
          <cell r="Y985">
            <v>1856000</v>
          </cell>
          <cell r="Z985">
            <v>31569</v>
          </cell>
          <cell r="AA985">
            <v>37120</v>
          </cell>
        </row>
        <row r="986">
          <cell r="B986" t="str">
            <v>KHI/HO/D/MO/PC COMP/C/106977/10/02/2025</v>
          </cell>
          <cell r="D986" t="str">
            <v>FRE</v>
          </cell>
          <cell r="E986" t="str">
            <v>12/02/25</v>
          </cell>
          <cell r="F986" t="str">
            <v>12/02/2025</v>
          </cell>
          <cell r="G986" t="str">
            <v>11/02/2026</v>
          </cell>
          <cell r="H986" t="str">
            <v>08004499</v>
          </cell>
          <cell r="I986" t="str">
            <v>AL BARAKA BANK (PAKISTAN) LIMITED</v>
          </cell>
          <cell r="J986" t="str">
            <v>BANK</v>
          </cell>
          <cell r="K986" t="str">
            <v>Mr. 
HPA M/s. Al Baraka Bank (Pakistan) Limited 
Mr. Riaz Ahmed
HPA M/s. Al Baraka Bank (Pakistan) Limited</v>
          </cell>
          <cell r="L986" t="str">
            <v>D</v>
          </cell>
          <cell r="M986" t="str">
            <v>09000221</v>
          </cell>
          <cell r="N986">
            <v>100</v>
          </cell>
          <cell r="P986" t="str">
            <v>Room 3 1st Floor All Difta Market Sector F-11/1 Main Service Golra Road Islamabad</v>
          </cell>
          <cell r="Q986" t="str">
            <v>11000003</v>
          </cell>
          <cell r="R986" t="str">
            <v>SUZUKI ALTO VXR E-2</v>
          </cell>
          <cell r="S986" t="str">
            <v>2025</v>
          </cell>
          <cell r="U986" t="str">
            <v>339116</v>
          </cell>
          <cell r="V986" t="str">
            <v>1239100</v>
          </cell>
          <cell r="Y986">
            <v>2707000</v>
          </cell>
          <cell r="Z986">
            <v>46672</v>
          </cell>
          <cell r="AA986">
            <v>54140</v>
          </cell>
        </row>
        <row r="987">
          <cell r="B987" t="str">
            <v>KHI/HO/D/MO/PC COMP/C/106977/11/02/2025</v>
          </cell>
          <cell r="D987" t="str">
            <v>FRE</v>
          </cell>
          <cell r="E987" t="str">
            <v>12/02/25</v>
          </cell>
          <cell r="F987" t="str">
            <v>12/02/2025</v>
          </cell>
          <cell r="G987" t="str">
            <v>11/02/2026</v>
          </cell>
          <cell r="H987" t="str">
            <v>08004499</v>
          </cell>
          <cell r="I987" t="str">
            <v>AL BARAKA BANK (PAKISTAN) LIMITED</v>
          </cell>
          <cell r="J987" t="str">
            <v>BANK</v>
          </cell>
          <cell r="K987" t="str">
            <v>Mr. 
HPA M/s. Al Baraka Bank (Pakistan) Limited 
Mr. Waseem Abbas
HPA M/s. Al Baraka Bank (Pakistan) Limited</v>
          </cell>
          <cell r="L987" t="str">
            <v>D</v>
          </cell>
          <cell r="M987" t="str">
            <v>09000221</v>
          </cell>
          <cell r="N987">
            <v>100</v>
          </cell>
          <cell r="O987" t="str">
            <v>LAHORE</v>
          </cell>
          <cell r="P987" t="str">
            <v>Ameen street Tibba Qila Khazana Sultan Mehmood Road Lahore</v>
          </cell>
          <cell r="Q987" t="str">
            <v>11000003</v>
          </cell>
          <cell r="R987" t="str">
            <v>CHANGAN ALSVIN</v>
          </cell>
          <cell r="S987" t="str">
            <v>2025</v>
          </cell>
          <cell r="U987" t="str">
            <v>523382</v>
          </cell>
          <cell r="V987" t="str">
            <v>1000388</v>
          </cell>
          <cell r="Y987">
            <v>4574000</v>
          </cell>
          <cell r="Z987">
            <v>59147</v>
          </cell>
          <cell r="AA987">
            <v>68610</v>
          </cell>
        </row>
        <row r="988">
          <cell r="B988" t="str">
            <v>KHI/HO/D/MO/PC COMP/C/106977/12/02/2025</v>
          </cell>
          <cell r="D988" t="str">
            <v>FRE</v>
          </cell>
          <cell r="E988" t="str">
            <v>12/02/25</v>
          </cell>
          <cell r="F988" t="str">
            <v>12/02/2025</v>
          </cell>
          <cell r="G988" t="str">
            <v>11/02/2026</v>
          </cell>
          <cell r="H988" t="str">
            <v>08004499</v>
          </cell>
          <cell r="I988" t="str">
            <v>AL BARAKA BANK (PAKISTAN) LIMITED</v>
          </cell>
          <cell r="J988" t="str">
            <v>BANK</v>
          </cell>
          <cell r="K988" t="str">
            <v>Mr. 
HPA M/s. Al Baraka Bank (Pakistan) Limited 
Mr. Chaudhary Aamir Hussain
HPA M/s. Al Baraka Bank (Pakistan) Limited</v>
          </cell>
          <cell r="L988" t="str">
            <v>D</v>
          </cell>
          <cell r="M988" t="str">
            <v>09000221</v>
          </cell>
          <cell r="N988">
            <v>100</v>
          </cell>
          <cell r="O988" t="str">
            <v>ISLAMABAD</v>
          </cell>
          <cell r="P988" t="str">
            <v>Dera Arain Near Mandi Maweshian Datyal Bypass Talagang</v>
          </cell>
          <cell r="Q988" t="str">
            <v>11000003</v>
          </cell>
          <cell r="R988" t="str">
            <v>SUZUKI WAGON-R VXL E2</v>
          </cell>
          <cell r="S988" t="str">
            <v>2022</v>
          </cell>
          <cell r="T988" t="str">
            <v>AXW-144</v>
          </cell>
          <cell r="U988" t="str">
            <v>231605</v>
          </cell>
          <cell r="V988" t="str">
            <v>10131603</v>
          </cell>
          <cell r="X988" t="str">
            <v>3</v>
          </cell>
          <cell r="Y988">
            <v>2850000</v>
          </cell>
          <cell r="Z988">
            <v>49138</v>
          </cell>
          <cell r="AA988">
            <v>57000</v>
          </cell>
        </row>
        <row r="989">
          <cell r="B989" t="str">
            <v>KHI/HO/D/MO/PC COMP/C/106977/13/02/2025</v>
          </cell>
          <cell r="D989" t="str">
            <v>FRE</v>
          </cell>
          <cell r="E989" t="str">
            <v>12/02/25</v>
          </cell>
          <cell r="F989" t="str">
            <v>12/02/2025</v>
          </cell>
          <cell r="G989" t="str">
            <v>11/02/2026</v>
          </cell>
          <cell r="H989" t="str">
            <v>08004499</v>
          </cell>
          <cell r="I989" t="str">
            <v>AL BARAKA BANK (PAKISTAN) LIMITED</v>
          </cell>
          <cell r="J989" t="str">
            <v>BANK</v>
          </cell>
          <cell r="K989" t="str">
            <v>Mr. 
HPA M/s. Al Baraka Bank (Pakistan) Limited 
Mr. Muhammad Uzaif  
HPA M/s. Al Baraka Bank (Pakistan) Limited</v>
          </cell>
          <cell r="L989" t="str">
            <v>D</v>
          </cell>
          <cell r="M989" t="str">
            <v>09000221</v>
          </cell>
          <cell r="N989">
            <v>100</v>
          </cell>
          <cell r="O989" t="str">
            <v>KARACHI</v>
          </cell>
          <cell r="P989" t="str">
            <v>H # A-65 Central Govt. Eomployee Co-Opr. H. Society Block 19 Gulistan-e-johar KHI</v>
          </cell>
          <cell r="Q989" t="str">
            <v>11000003</v>
          </cell>
          <cell r="R989" t="str">
            <v>SUZUKI ALTO VXL AGS E-2</v>
          </cell>
          <cell r="S989" t="str">
            <v>2022</v>
          </cell>
          <cell r="T989" t="str">
            <v>BXT-505</v>
          </cell>
          <cell r="U989" t="str">
            <v>6R246629</v>
          </cell>
          <cell r="V989" t="str">
            <v>H1146623</v>
          </cell>
          <cell r="X989" t="str">
            <v>3</v>
          </cell>
          <cell r="Y989">
            <v>2700000</v>
          </cell>
          <cell r="Z989">
            <v>46551</v>
          </cell>
          <cell r="AA989">
            <v>54000</v>
          </cell>
        </row>
        <row r="990">
          <cell r="B990" t="str">
            <v>KHI/HO/D/MO/PC COMP/C/106977/14/02/2025</v>
          </cell>
          <cell r="D990" t="str">
            <v>FRE</v>
          </cell>
          <cell r="E990" t="str">
            <v>12/02/25</v>
          </cell>
          <cell r="F990" t="str">
            <v>12/02/2025</v>
          </cell>
          <cell r="G990" t="str">
            <v>11/02/2026</v>
          </cell>
          <cell r="H990" t="str">
            <v>08004499</v>
          </cell>
          <cell r="I990" t="str">
            <v>AL BARAKA BANK (PAKISTAN) LIMITED</v>
          </cell>
          <cell r="J990" t="str">
            <v>BANK</v>
          </cell>
          <cell r="K990" t="str">
            <v>Mr. 
HPA M/s. Al Baraka Bank (Pakistan) Limited 
Mr. Hussnain Ali Naqvi
HPA M/s. Al Baraka Bank (Pakistan) Limited</v>
          </cell>
          <cell r="L990" t="str">
            <v>D</v>
          </cell>
          <cell r="M990" t="str">
            <v>09000221</v>
          </cell>
          <cell r="N990">
            <v>100</v>
          </cell>
          <cell r="O990" t="str">
            <v>LAHORE</v>
          </cell>
          <cell r="P990" t="str">
            <v>H # 14 Block P Al Hafeez Town 80 ft  Road Lahore</v>
          </cell>
          <cell r="Q990" t="str">
            <v>11000003</v>
          </cell>
          <cell r="R990" t="str">
            <v>HONDA CITY 1.2  LS CVT</v>
          </cell>
          <cell r="S990" t="str">
            <v>2025</v>
          </cell>
          <cell r="U990" t="str">
            <v>51031354</v>
          </cell>
          <cell r="V990" t="str">
            <v>48730</v>
          </cell>
          <cell r="X990" t="str">
            <v>3</v>
          </cell>
          <cell r="Y990">
            <v>4719000</v>
          </cell>
          <cell r="Z990">
            <v>61022</v>
          </cell>
          <cell r="AA990">
            <v>70785</v>
          </cell>
        </row>
        <row r="991">
          <cell r="B991" t="str">
            <v>KHI/HO/D/MO/PC COMP/C/106977/15/02/2025</v>
          </cell>
          <cell r="D991" t="str">
            <v>FRE</v>
          </cell>
          <cell r="E991" t="str">
            <v>13/02/25</v>
          </cell>
          <cell r="F991" t="str">
            <v>13/02/2025</v>
          </cell>
          <cell r="G991" t="str">
            <v>12/02/2026</v>
          </cell>
          <cell r="H991" t="str">
            <v>08004499</v>
          </cell>
          <cell r="I991" t="str">
            <v>AL BARAKA BANK (PAKISTAN) LIMITED</v>
          </cell>
          <cell r="J991" t="str">
            <v>BANK</v>
          </cell>
          <cell r="K991" t="str">
            <v>Mr. 
HPA M/s. Al Baraka Bank (Pakistan) Limited 
Mr. Muhammad Akram
HPA M/s. Al Baraka Bank (Pakistan) Limited</v>
          </cell>
          <cell r="L991" t="str">
            <v>D</v>
          </cell>
          <cell r="M991" t="str">
            <v>09000221</v>
          </cell>
          <cell r="N991">
            <v>100</v>
          </cell>
          <cell r="O991" t="str">
            <v>FAISALABAD</v>
          </cell>
          <cell r="P991" t="str">
            <v>H # 57-A Al Rehmat Villas Lower Canal Road Jaranwala Road Faisalabad</v>
          </cell>
          <cell r="Q991" t="str">
            <v>11000003</v>
          </cell>
          <cell r="R991" t="str">
            <v>HONDA CITY ASPIRE 1.5  I-</v>
          </cell>
          <cell r="S991" t="str">
            <v>2018</v>
          </cell>
          <cell r="T991" t="str">
            <v>ALC-285</v>
          </cell>
          <cell r="U991" t="str">
            <v>L15A79793112</v>
          </cell>
          <cell r="V991" t="str">
            <v>NFBGM1264JR238250</v>
          </cell>
          <cell r="X991" t="str">
            <v>3</v>
          </cell>
          <cell r="Y991">
            <v>3700000</v>
          </cell>
          <cell r="Z991">
            <v>47845</v>
          </cell>
          <cell r="AA991">
            <v>55500</v>
          </cell>
        </row>
        <row r="992">
          <cell r="B992" t="str">
            <v>KHI/HO/D/MO/PC COMP/C/106977/16/02/2025</v>
          </cell>
          <cell r="D992" t="str">
            <v>FRE</v>
          </cell>
          <cell r="E992" t="str">
            <v>13/02/25</v>
          </cell>
          <cell r="F992" t="str">
            <v>13/02/2025</v>
          </cell>
          <cell r="G992" t="str">
            <v>12/02/2026</v>
          </cell>
          <cell r="H992" t="str">
            <v>08004499</v>
          </cell>
          <cell r="I992" t="str">
            <v>AL BARAKA BANK (PAKISTAN) LIMITED</v>
          </cell>
          <cell r="J992" t="str">
            <v>BANK</v>
          </cell>
          <cell r="K992" t="str">
            <v>Mr. 
HPA M/s. Al Baraka Bank (Pakistan) Limited 
Ms. Deeba Shahwar  
HPA M/s. Al Baraka Bank (Pakistan) Limited</v>
          </cell>
          <cell r="L992" t="str">
            <v>D</v>
          </cell>
          <cell r="M992" t="str">
            <v>09000221</v>
          </cell>
          <cell r="N992">
            <v>100</v>
          </cell>
          <cell r="O992" t="str">
            <v>MULTAN</v>
          </cell>
          <cell r="P992" t="str">
            <v>H # 169/1 Mohallah Chah Takki Wala Ismail Zai Colony Shah Badar Road Multan</v>
          </cell>
          <cell r="Q992" t="str">
            <v>11000003</v>
          </cell>
          <cell r="R992" t="str">
            <v>KIA PICANTO 1.0L A/T</v>
          </cell>
          <cell r="S992" t="str">
            <v>2025</v>
          </cell>
          <cell r="U992" t="str">
            <v>220474</v>
          </cell>
          <cell r="V992" t="str">
            <v>714299</v>
          </cell>
          <cell r="X992" t="str">
            <v>3</v>
          </cell>
          <cell r="Y992">
            <v>3904000</v>
          </cell>
          <cell r="Z992">
            <v>50483</v>
          </cell>
          <cell r="AA992">
            <v>58560</v>
          </cell>
        </row>
        <row r="993">
          <cell r="B993" t="str">
            <v>KHI/HO/D/MO/PC COMP/C/106977/17/02/2025</v>
          </cell>
          <cell r="D993" t="str">
            <v>FRE</v>
          </cell>
          <cell r="E993" t="str">
            <v>13/02/25</v>
          </cell>
          <cell r="F993" t="str">
            <v>13/02/2025</v>
          </cell>
          <cell r="G993" t="str">
            <v>12/02/2026</v>
          </cell>
          <cell r="H993" t="str">
            <v>08004499</v>
          </cell>
          <cell r="I993" t="str">
            <v>AL BARAKA BANK (PAKISTAN) LIMITED</v>
          </cell>
          <cell r="J993" t="str">
            <v>BANK</v>
          </cell>
          <cell r="K993" t="str">
            <v>Mr. 
HPA M/s. Al Baraka Bank (Pakistan) Limited 
Mr. Siraj Uddin
HPA M/s. Al Baraka Bank (Pakistan) Limited</v>
          </cell>
          <cell r="L993" t="str">
            <v>D</v>
          </cell>
          <cell r="M993" t="str">
            <v>09000221</v>
          </cell>
          <cell r="N993">
            <v>100</v>
          </cell>
          <cell r="O993" t="str">
            <v>KARACHI</v>
          </cell>
          <cell r="P993" t="str">
            <v>H # D-46 Block 3 Metroville SITE Karachi</v>
          </cell>
          <cell r="Q993" t="str">
            <v>11000003</v>
          </cell>
          <cell r="R993" t="str">
            <v>SUZUKI ALTO VXR E-2</v>
          </cell>
          <cell r="S993" t="str">
            <v>2023</v>
          </cell>
          <cell r="T993" t="str">
            <v>BYU-798</v>
          </cell>
          <cell r="U993" t="str">
            <v>6R272083</v>
          </cell>
          <cell r="V993" t="str">
            <v>6H1172071</v>
          </cell>
          <cell r="X993" t="str">
            <v>3</v>
          </cell>
          <cell r="Y993">
            <v>2600000</v>
          </cell>
          <cell r="Z993">
            <v>44828</v>
          </cell>
          <cell r="AA993">
            <v>52000</v>
          </cell>
        </row>
        <row r="994">
          <cell r="B994" t="str">
            <v>KHI/HO/D/MO/PC COMP/C/106977/18/02/2025</v>
          </cell>
          <cell r="D994" t="str">
            <v>FRE</v>
          </cell>
          <cell r="E994" t="str">
            <v>14/02/25</v>
          </cell>
          <cell r="F994" t="str">
            <v>14/02/2025</v>
          </cell>
          <cell r="G994" t="str">
            <v>13/02/2026</v>
          </cell>
          <cell r="H994" t="str">
            <v>08004499</v>
          </cell>
          <cell r="I994" t="str">
            <v>AL BARAKA BANK (PAKISTAN) LIMITED</v>
          </cell>
          <cell r="J994" t="str">
            <v>BANK</v>
          </cell>
          <cell r="K994" t="str">
            <v>Mr. 
HPA M/s. Al Baraka Bank (Pakistan) Limited 
Mr. Arshan Ismail  
HPA M/s. Al Baraka Bank (Pakistan) Limited</v>
          </cell>
          <cell r="L994" t="str">
            <v>D</v>
          </cell>
          <cell r="M994" t="str">
            <v>09000221</v>
          </cell>
          <cell r="N994">
            <v>100</v>
          </cell>
          <cell r="P994" t="str">
            <v>H # 603 Block E Wapda Town Phase 1 Multan</v>
          </cell>
          <cell r="Q994" t="str">
            <v>11000003</v>
          </cell>
          <cell r="R994" t="str">
            <v>SUZUKI ALTO VXR E-2</v>
          </cell>
          <cell r="S994" t="str">
            <v>2021</v>
          </cell>
          <cell r="T994" t="str">
            <v>ACY-572</v>
          </cell>
          <cell r="U994" t="str">
            <v>153036</v>
          </cell>
          <cell r="V994" t="str">
            <v>1053021</v>
          </cell>
          <cell r="X994" t="str">
            <v>3</v>
          </cell>
          <cell r="Y994">
            <v>2400000</v>
          </cell>
          <cell r="Z994">
            <v>41379</v>
          </cell>
          <cell r="AA994">
            <v>48000</v>
          </cell>
        </row>
        <row r="995">
          <cell r="B995" t="str">
            <v>KHI/HO/D/MO/PC COMP/C/106977/19/02/2025</v>
          </cell>
          <cell r="D995" t="str">
            <v>FRE</v>
          </cell>
          <cell r="E995" t="str">
            <v>14/02/25</v>
          </cell>
          <cell r="F995" t="str">
            <v>14/02/2025</v>
          </cell>
          <cell r="G995" t="str">
            <v>13/02/2026</v>
          </cell>
          <cell r="H995" t="str">
            <v>08004499</v>
          </cell>
          <cell r="I995" t="str">
            <v>AL BARAKA BANK (PAKISTAN) LIMITED</v>
          </cell>
          <cell r="J995" t="str">
            <v>BANK</v>
          </cell>
          <cell r="K995" t="str">
            <v>Mr. 
HPA M/s. Al Baraka Bank (Pakistan) Limited 
Mr. Rizwan 
HPA M/s. Al Baraka Bank (Pakistan) Limited</v>
          </cell>
          <cell r="L995" t="str">
            <v>D</v>
          </cell>
          <cell r="M995" t="str">
            <v>09000221</v>
          </cell>
          <cell r="N995">
            <v>100</v>
          </cell>
          <cell r="O995" t="str">
            <v>KARACHI</v>
          </cell>
          <cell r="P995" t="str">
            <v>H # 42 Street 6 Area 36/B Landhi No. 5 Karachi</v>
          </cell>
          <cell r="Q995" t="str">
            <v>11000003</v>
          </cell>
          <cell r="R995" t="str">
            <v>SUZUKI Swift GLX CVT</v>
          </cell>
          <cell r="S995" t="str">
            <v>2025</v>
          </cell>
          <cell r="U995" t="str">
            <v>1025765</v>
          </cell>
          <cell r="V995" t="str">
            <v>S00208450</v>
          </cell>
          <cell r="X995" t="str">
            <v>3</v>
          </cell>
          <cell r="Y995">
            <v>4719000</v>
          </cell>
          <cell r="Z995">
            <v>61022</v>
          </cell>
          <cell r="AA995">
            <v>70785</v>
          </cell>
        </row>
        <row r="996">
          <cell r="B996" t="str">
            <v>KHI/HO/D/MO/PC COMP/C/106977/20/02/2025</v>
          </cell>
          <cell r="D996" t="str">
            <v>FRE</v>
          </cell>
          <cell r="E996" t="str">
            <v>17/02/25</v>
          </cell>
          <cell r="F996" t="str">
            <v>17/02/2025</v>
          </cell>
          <cell r="G996" t="str">
            <v>16/02/2026</v>
          </cell>
          <cell r="H996" t="str">
            <v>08004499</v>
          </cell>
          <cell r="I996" t="str">
            <v>AL BARAKA BANK (PAKISTAN) LIMITED</v>
          </cell>
          <cell r="J996" t="str">
            <v>BANK</v>
          </cell>
          <cell r="K996" t="str">
            <v>Mr. 
HPA M/s. Al Baraka Bank (Pakistan) Limited 
Mr. Hafiz Abdul Razzaq
HPA M/s. Al Baraka Bank (Pakistan) Limited</v>
          </cell>
          <cell r="L996" t="str">
            <v>D</v>
          </cell>
          <cell r="M996" t="str">
            <v>09000221</v>
          </cell>
          <cell r="N996">
            <v>100</v>
          </cell>
          <cell r="P996" t="str">
            <v>H # P-68 Mohallah Kohinoor Town Faisalabad</v>
          </cell>
          <cell r="Q996" t="str">
            <v>11000003</v>
          </cell>
          <cell r="R996" t="str">
            <v>SUZUKI ALTO VXL AGS E-2</v>
          </cell>
          <cell r="S996" t="str">
            <v>2025</v>
          </cell>
          <cell r="U996" t="str">
            <v>6R338217</v>
          </cell>
          <cell r="V996" t="str">
            <v>NF1AET306H1238244</v>
          </cell>
          <cell r="X996" t="str">
            <v>3</v>
          </cell>
          <cell r="Y996">
            <v>3045000</v>
          </cell>
          <cell r="Z996">
            <v>52500</v>
          </cell>
          <cell r="AA996">
            <v>60900</v>
          </cell>
        </row>
        <row r="997">
          <cell r="B997" t="str">
            <v>KHI/HO/D/MO/PC COMP/C/106977/21/02/2025</v>
          </cell>
          <cell r="D997" t="str">
            <v>FRE</v>
          </cell>
          <cell r="E997" t="str">
            <v>17/02/25</v>
          </cell>
          <cell r="F997" t="str">
            <v>17/02/2025</v>
          </cell>
          <cell r="G997" t="str">
            <v>16/02/2026</v>
          </cell>
          <cell r="H997" t="str">
            <v>08004499</v>
          </cell>
          <cell r="I997" t="str">
            <v>AL BARAKA BANK (PAKISTAN) LIMITED</v>
          </cell>
          <cell r="J997" t="str">
            <v>BANK</v>
          </cell>
          <cell r="K997" t="str">
            <v>Mr. 
HPA M/s. Al Baraka Bank (Pakistan) Limited 
Mr. Nafees Iqbal  
HPA M/s. Al Baraka Bank (Pakistan) Limited</v>
          </cell>
          <cell r="L997" t="str">
            <v>D</v>
          </cell>
          <cell r="M997" t="str">
            <v>09000221</v>
          </cell>
          <cell r="N997">
            <v>100</v>
          </cell>
          <cell r="O997" t="str">
            <v>LAHORE</v>
          </cell>
          <cell r="P997" t="str">
            <v>H # 8-G Babar Street Canal Burg Society Lahore</v>
          </cell>
          <cell r="Q997" t="str">
            <v>11000003</v>
          </cell>
          <cell r="R997" t="str">
            <v>SUZUKI ALTO VXR E-2</v>
          </cell>
          <cell r="S997" t="str">
            <v>2025</v>
          </cell>
          <cell r="U997" t="str">
            <v>6R339464</v>
          </cell>
          <cell r="V997" t="str">
            <v>H1239181</v>
          </cell>
          <cell r="X997" t="str">
            <v>3</v>
          </cell>
          <cell r="Y997">
            <v>2707000</v>
          </cell>
          <cell r="Z997">
            <v>46672</v>
          </cell>
          <cell r="AA997">
            <v>54140</v>
          </cell>
        </row>
        <row r="998">
          <cell r="B998" t="str">
            <v>KHI/HO/D/MO/PC COMP/C/106977/22/02/2025</v>
          </cell>
          <cell r="D998" t="str">
            <v>FRE</v>
          </cell>
          <cell r="E998" t="str">
            <v>17/02/25</v>
          </cell>
          <cell r="F998" t="str">
            <v>17/02/2025</v>
          </cell>
          <cell r="G998" t="str">
            <v>16/02/2026</v>
          </cell>
          <cell r="H998" t="str">
            <v>08004499</v>
          </cell>
          <cell r="I998" t="str">
            <v>AL BARAKA BANK (PAKISTAN) LIMITED</v>
          </cell>
          <cell r="J998" t="str">
            <v>BANK</v>
          </cell>
          <cell r="K998" t="str">
            <v>Mr. 
HPA M/s. Al Baraka Bank (Pakistan) Limited 
Ms. Saira Ali  
HPA M/s. Al Baraka Bank (Pakistan) Limited</v>
          </cell>
          <cell r="L998" t="str">
            <v>D</v>
          </cell>
          <cell r="M998" t="str">
            <v>09000221</v>
          </cell>
          <cell r="N998">
            <v>100</v>
          </cell>
          <cell r="O998" t="str">
            <v>LAHORE</v>
          </cell>
          <cell r="P998" t="str">
            <v>H # 309-K Gulberg III Lahore</v>
          </cell>
          <cell r="Q998" t="str">
            <v>11000003</v>
          </cell>
          <cell r="R998" t="str">
            <v>HONDA CITY I-VTEC 1.2</v>
          </cell>
          <cell r="S998" t="str">
            <v>2023</v>
          </cell>
          <cell r="T998" t="str">
            <v>ANJ-811</v>
          </cell>
          <cell r="U998" t="str">
            <v>L12B51017958</v>
          </cell>
          <cell r="V998" t="str">
            <v>R031762</v>
          </cell>
          <cell r="X998" t="str">
            <v>3</v>
          </cell>
          <cell r="Y998">
            <v>4000000</v>
          </cell>
          <cell r="Z998">
            <v>51724</v>
          </cell>
          <cell r="AA998">
            <v>60000</v>
          </cell>
        </row>
        <row r="999">
          <cell r="B999" t="str">
            <v>KHI/HO/D/MO/PC COMP/C/107407/1/02/2025</v>
          </cell>
          <cell r="D999" t="str">
            <v>REN</v>
          </cell>
          <cell r="E999" t="str">
            <v>17/02/25</v>
          </cell>
          <cell r="F999" t="str">
            <v>06/02/2025</v>
          </cell>
          <cell r="G999" t="str">
            <v>05/02/2026</v>
          </cell>
          <cell r="H999" t="str">
            <v>08004499</v>
          </cell>
          <cell r="I999" t="str">
            <v>AL BARAKA BANK (PAKISTAN) LIMITED</v>
          </cell>
          <cell r="J999" t="str">
            <v>BANK</v>
          </cell>
          <cell r="K999" t="str">
            <v xml:space="preserve">
HPA M/s. Al Baraka Bank (Pakistan) Limited 
Hpa M/S. Al Baraka Bank (Pakistan) Limited 
User: Muhammad  Zeeshan Bhatti</v>
          </cell>
          <cell r="L999" t="str">
            <v>D</v>
          </cell>
          <cell r="M999" t="str">
            <v>09000221</v>
          </cell>
          <cell r="N999">
            <v>100</v>
          </cell>
          <cell r="P999" t="str">
            <v>H # 50 Main Bacar Imamia Colony Lahore</v>
          </cell>
          <cell r="Q999" t="str">
            <v>11000003</v>
          </cell>
          <cell r="R999" t="str">
            <v>SUZUKI ALTO VXR E-2</v>
          </cell>
          <cell r="S999" t="str">
            <v>2024</v>
          </cell>
          <cell r="T999" t="str">
            <v>AQZ-705</v>
          </cell>
          <cell r="U999" t="str">
            <v>293398</v>
          </cell>
          <cell r="V999" t="str">
            <v>1193364</v>
          </cell>
          <cell r="W999" t="str">
            <v>05-feb-2029</v>
          </cell>
          <cell r="Y999">
            <v>2350800</v>
          </cell>
          <cell r="Z999">
            <v>40100</v>
          </cell>
          <cell r="AA999">
            <v>47016</v>
          </cell>
        </row>
        <row r="1000">
          <cell r="B1000" t="str">
            <v>KHI/HO/D/MO/PC COMP/C/107407/2/02/2025</v>
          </cell>
          <cell r="D1000" t="str">
            <v>REN</v>
          </cell>
          <cell r="E1000" t="str">
            <v>17/02/25</v>
          </cell>
          <cell r="F1000" t="str">
            <v>13/02/2025</v>
          </cell>
          <cell r="G1000" t="str">
            <v>12/02/2026</v>
          </cell>
          <cell r="H1000" t="str">
            <v>08004499</v>
          </cell>
          <cell r="I1000" t="str">
            <v>AL BARAKA BANK (PAKISTAN) LIMITED</v>
          </cell>
          <cell r="J1000" t="str">
            <v>BANK</v>
          </cell>
          <cell r="K1000" t="str">
            <v xml:space="preserve">
HPA M/s. Al Baraka Bank (Pakistan) Limited 
Hpa M/S. Al Baraka Bank (Pakistan) Limited 
User: Muhammad  Waleed</v>
          </cell>
          <cell r="L1000" t="str">
            <v>D</v>
          </cell>
          <cell r="M1000" t="str">
            <v>09000221</v>
          </cell>
          <cell r="N1000">
            <v>100</v>
          </cell>
          <cell r="P1000" t="str">
            <v>Gali Munir Jutt Wali Mohalla Sikandar Abad Khushab</v>
          </cell>
          <cell r="Q1000" t="str">
            <v>11000003</v>
          </cell>
          <cell r="R1000" t="str">
            <v>SUZUKI ALTO</v>
          </cell>
          <cell r="S1000" t="str">
            <v>2024</v>
          </cell>
          <cell r="T1000" t="str">
            <v>ARD-634</v>
          </cell>
          <cell r="U1000" t="str">
            <v>297289</v>
          </cell>
          <cell r="V1000" t="str">
            <v>1197300</v>
          </cell>
          <cell r="W1000" t="str">
            <v>05-mar-2029</v>
          </cell>
          <cell r="Y1000">
            <v>2350800</v>
          </cell>
          <cell r="Z1000">
            <v>40531</v>
          </cell>
          <cell r="AA1000">
            <v>47016</v>
          </cell>
        </row>
        <row r="1001">
          <cell r="B1001" t="str">
            <v>KHI/HO/D/MO/PC COMP/C/107407/3/02/2025</v>
          </cell>
          <cell r="D1001" t="str">
            <v>REN</v>
          </cell>
          <cell r="E1001" t="str">
            <v>17/02/25</v>
          </cell>
          <cell r="F1001" t="str">
            <v>14/02/2025</v>
          </cell>
          <cell r="G1001" t="str">
            <v>13/02/2026</v>
          </cell>
          <cell r="H1001" t="str">
            <v>08004499</v>
          </cell>
          <cell r="I1001" t="str">
            <v>AL BARAKA BANK (PAKISTAN) LIMITED</v>
          </cell>
          <cell r="J1001" t="str">
            <v>BANK</v>
          </cell>
          <cell r="K1001" t="str">
            <v xml:space="preserve">
HPA M/s. Al Baraka Bank (Pakistan) Limited 
Hpa M/S. Al Baraka Bank (Pakistan) Limited 
User: Muhammad   Yasir</v>
          </cell>
          <cell r="L1001" t="str">
            <v>D</v>
          </cell>
          <cell r="M1001" t="str">
            <v>09000221</v>
          </cell>
          <cell r="N1001">
            <v>100</v>
          </cell>
          <cell r="O1001" t="str">
            <v>KARACHI</v>
          </cell>
          <cell r="P1001" t="str">
            <v>H No 118 St 2 Block C NFC Phase 1 Near Wapda Town Lahore</v>
          </cell>
          <cell r="Q1001" t="str">
            <v>11000003</v>
          </cell>
          <cell r="R1001" t="str">
            <v>TOYOTA COROLLA ALTIS GRAN</v>
          </cell>
          <cell r="S1001" t="str">
            <v>2023</v>
          </cell>
          <cell r="T1001" t="str">
            <v>APQ-985</v>
          </cell>
          <cell r="U1001" t="str">
            <v>Q365915</v>
          </cell>
          <cell r="V1001" t="str">
            <v>R-7065206</v>
          </cell>
          <cell r="W1001" t="str">
            <v>05-feb-2027</v>
          </cell>
          <cell r="Y1001">
            <v>6300000</v>
          </cell>
          <cell r="Z1001">
            <v>81465</v>
          </cell>
          <cell r="AA1001">
            <v>94500</v>
          </cell>
        </row>
        <row r="1002">
          <cell r="B1002" t="str">
            <v>KHI/HO/D/MO/PC COMP/C/107407/4/02/2025</v>
          </cell>
          <cell r="D1002" t="str">
            <v>REN</v>
          </cell>
          <cell r="E1002" t="str">
            <v>17/02/25</v>
          </cell>
          <cell r="F1002" t="str">
            <v>16/02/2025</v>
          </cell>
          <cell r="G1002" t="str">
            <v>15/02/2026</v>
          </cell>
          <cell r="H1002" t="str">
            <v>08004499</v>
          </cell>
          <cell r="I1002" t="str">
            <v>AL BARAKA BANK (PAKISTAN) LIMITED</v>
          </cell>
          <cell r="J1002" t="str">
            <v>BANK</v>
          </cell>
          <cell r="K1002" t="str">
            <v xml:space="preserve">
HPA M/s. Al Baraka Bank (Pakistan) Limited 
Hpa M/S. Al Baraka Bank (Pakistan) Limited 
User: Syed Abid  Raza  Rizvi</v>
          </cell>
          <cell r="L1002" t="str">
            <v>D</v>
          </cell>
          <cell r="M1002" t="str">
            <v>09000221</v>
          </cell>
          <cell r="N1002">
            <v>100</v>
          </cell>
          <cell r="O1002" t="str">
            <v>KARACHI</v>
          </cell>
          <cell r="P1002" t="str">
            <v>H # 370 Block F Shah Rukn-e-Alam Colony Multan</v>
          </cell>
          <cell r="Q1002" t="str">
            <v>11000003</v>
          </cell>
          <cell r="R1002" t="str">
            <v>SUZUKI ALTO VXL AGS E-2</v>
          </cell>
          <cell r="S1002" t="str">
            <v>2024</v>
          </cell>
          <cell r="T1002" t="str">
            <v>ARS-464</v>
          </cell>
          <cell r="U1002" t="str">
            <v>6R298746</v>
          </cell>
          <cell r="V1002" t="str">
            <v>1198923</v>
          </cell>
          <cell r="W1002" t="str">
            <v>05-mar-2026</v>
          </cell>
          <cell r="Y1002">
            <v>2641500</v>
          </cell>
          <cell r="Z1002">
            <v>45544</v>
          </cell>
          <cell r="AA1002">
            <v>52830</v>
          </cell>
        </row>
        <row r="1003">
          <cell r="B1003" t="str">
            <v>KHI/HO/D/MO/PC COMP/C/107407/5/02/2025</v>
          </cell>
          <cell r="D1003" t="str">
            <v>REN</v>
          </cell>
          <cell r="E1003" t="str">
            <v>17/02/25</v>
          </cell>
          <cell r="F1003" t="str">
            <v>19/02/2025</v>
          </cell>
          <cell r="G1003" t="str">
            <v>18/02/2026</v>
          </cell>
          <cell r="H1003" t="str">
            <v>08004499</v>
          </cell>
          <cell r="I1003" t="str">
            <v>AL BARAKA BANK (PAKISTAN) LIMITED</v>
          </cell>
          <cell r="J1003" t="str">
            <v>BANK</v>
          </cell>
          <cell r="K1003" t="str">
            <v xml:space="preserve">
HPA M/s. Al Baraka Bank (Pakistan) Limited 
Hpa M/S. Al Baraka Bank (Pakistan) Limited 
User: Omer Farooq Kanju</v>
          </cell>
          <cell r="L1003" t="str">
            <v>D</v>
          </cell>
          <cell r="M1003" t="str">
            <v>09000221</v>
          </cell>
          <cell r="N1003">
            <v>100</v>
          </cell>
          <cell r="P1003" t="str">
            <v>H NO. 43-L Phase 1 DHA Lahore</v>
          </cell>
          <cell r="Q1003" t="str">
            <v>11000003</v>
          </cell>
          <cell r="R1003" t="str">
            <v>CHANGAN OSHAN X7 FUTURE S</v>
          </cell>
          <cell r="S1003" t="str">
            <v>2024</v>
          </cell>
          <cell r="T1003" t="str">
            <v>AQW-337</v>
          </cell>
          <cell r="U1003" t="str">
            <v>544358</v>
          </cell>
          <cell r="V1003" t="str">
            <v>1004624</v>
          </cell>
          <cell r="W1003" t="str">
            <v>05-mar-2027</v>
          </cell>
          <cell r="Y1003">
            <v>7784100</v>
          </cell>
          <cell r="Z1003">
            <v>100656</v>
          </cell>
          <cell r="AA1003">
            <v>116762</v>
          </cell>
        </row>
        <row r="1004">
          <cell r="B1004" t="str">
            <v>KHI/HO/D/MO/PC COMP/C/107407/6/02/2025</v>
          </cell>
          <cell r="D1004" t="str">
            <v>REN</v>
          </cell>
          <cell r="E1004" t="str">
            <v>17/02/25</v>
          </cell>
          <cell r="F1004" t="str">
            <v>19/02/2025</v>
          </cell>
          <cell r="G1004" t="str">
            <v>18/02/2026</v>
          </cell>
          <cell r="H1004" t="str">
            <v>08004499</v>
          </cell>
          <cell r="I1004" t="str">
            <v>AL BARAKA BANK (PAKISTAN) LIMITED</v>
          </cell>
          <cell r="J1004" t="str">
            <v>BANK</v>
          </cell>
          <cell r="K1004" t="str">
            <v xml:space="preserve">
HPA M/s. Al Baraka Bank (Pakistan) Limited 
Hpa M/S. Al Baraka Bank (Pakistan) Limited 
User: Hafiz Muhammad Arslan Maqsood</v>
          </cell>
          <cell r="L1004" t="str">
            <v>D</v>
          </cell>
          <cell r="M1004" t="str">
            <v>09000221</v>
          </cell>
          <cell r="N1004">
            <v>100</v>
          </cell>
          <cell r="P1004" t="str">
            <v>H No 396 Street 122 G-9/3 Islamabad</v>
          </cell>
          <cell r="Q1004" t="str">
            <v>11000003</v>
          </cell>
          <cell r="R1004" t="str">
            <v>SUZUKI ALTO VXR</v>
          </cell>
          <cell r="S1004" t="str">
            <v>2019</v>
          </cell>
          <cell r="T1004" t="str">
            <v>APV-568</v>
          </cell>
          <cell r="U1004" t="str">
            <v>150899</v>
          </cell>
          <cell r="V1004" t="str">
            <v>10050858</v>
          </cell>
          <cell r="W1004" t="str">
            <v>05-mar-2029</v>
          </cell>
          <cell r="Y1004">
            <v>2295000</v>
          </cell>
          <cell r="Z1004">
            <v>39569</v>
          </cell>
          <cell r="AA1004">
            <v>45900</v>
          </cell>
        </row>
        <row r="1005">
          <cell r="B1005" t="str">
            <v>KHI/HO/D/MO/PC COMP/C/107407/7/02/2025</v>
          </cell>
          <cell r="D1005" t="str">
            <v>REN</v>
          </cell>
          <cell r="E1005" t="str">
            <v>17/02/25</v>
          </cell>
          <cell r="F1005" t="str">
            <v>07/02/2025</v>
          </cell>
          <cell r="G1005" t="str">
            <v>06/02/2026</v>
          </cell>
          <cell r="H1005" t="str">
            <v>08004499</v>
          </cell>
          <cell r="I1005" t="str">
            <v>AL BARAKA BANK (PAKISTAN) LIMITED</v>
          </cell>
          <cell r="J1005" t="str">
            <v>BANK</v>
          </cell>
          <cell r="K1005" t="str">
            <v xml:space="preserve">
HPA M/s. Al Baraka Bank (Pakistan) Limited 
Hpa M/S. Al Baraka Bank (Pakistan) Limited 
User: Ghulam  Dastagir</v>
          </cell>
          <cell r="L1005" t="str">
            <v>D</v>
          </cell>
          <cell r="M1005" t="str">
            <v>09000221</v>
          </cell>
          <cell r="N1005">
            <v>100</v>
          </cell>
          <cell r="O1005" t="str">
            <v>KARACHI</v>
          </cell>
          <cell r="P1005" t="str">
            <v>H No 337 Block A Chowk GM Abad Faisalabad</v>
          </cell>
          <cell r="Q1005" t="str">
            <v>11000003</v>
          </cell>
          <cell r="R1005" t="str">
            <v>KIA PICANTO 1.0L A/T</v>
          </cell>
          <cell r="S1005" t="str">
            <v>2024</v>
          </cell>
          <cell r="T1005" t="str">
            <v>ARP-337</v>
          </cell>
          <cell r="U1005" t="str">
            <v>G3LAPP171847</v>
          </cell>
          <cell r="V1005" t="str">
            <v>NNATA52AZPP713057</v>
          </cell>
          <cell r="W1005" t="str">
            <v>05-feb-2027</v>
          </cell>
          <cell r="Y1005">
            <v>3470400</v>
          </cell>
          <cell r="Z1005">
            <v>44876</v>
          </cell>
          <cell r="AA1005">
            <v>52056</v>
          </cell>
        </row>
        <row r="1006">
          <cell r="B1006" t="str">
            <v>KHI/HO/D/MO/PC COMP/C/107407/8/02/2025</v>
          </cell>
          <cell r="D1006" t="str">
            <v>REN</v>
          </cell>
          <cell r="E1006" t="str">
            <v>17/02/25</v>
          </cell>
          <cell r="F1006" t="str">
            <v>20/02/2025</v>
          </cell>
          <cell r="G1006" t="str">
            <v>19/02/2026</v>
          </cell>
          <cell r="H1006" t="str">
            <v>08004499</v>
          </cell>
          <cell r="I1006" t="str">
            <v>AL BARAKA BANK (PAKISTAN) LIMITED</v>
          </cell>
          <cell r="J1006" t="str">
            <v>BANK</v>
          </cell>
          <cell r="K1006" t="str">
            <v xml:space="preserve">
HPA M/s. Al Baraka Bank (Pakistan) Limited 
Hpa M/S. Al Baraka Bank (Pakistan) Limited 
User: Muhammad Usman Siddique</v>
          </cell>
          <cell r="L1006" t="str">
            <v>D</v>
          </cell>
          <cell r="M1006" t="str">
            <v>09000221</v>
          </cell>
          <cell r="N1006">
            <v>100</v>
          </cell>
          <cell r="O1006" t="str">
            <v>KARACHI</v>
          </cell>
          <cell r="P1006" t="str">
            <v>H No 5/38 Sodiwal Colony Near Jamia Masjid Sodiwal Lahore</v>
          </cell>
          <cell r="Q1006" t="str">
            <v>11000003</v>
          </cell>
          <cell r="R1006" t="str">
            <v>TOYOTA YARIS ATIV AT</v>
          </cell>
          <cell r="S1006" t="str">
            <v>2020</v>
          </cell>
          <cell r="T1006" t="str">
            <v>ABD-736</v>
          </cell>
          <cell r="U1006" t="str">
            <v>A-14393</v>
          </cell>
          <cell r="V1006" t="str">
            <v>R-7008461</v>
          </cell>
          <cell r="W1006" t="str">
            <v>06-mar-2028</v>
          </cell>
          <cell r="Y1006">
            <v>2700000</v>
          </cell>
          <cell r="Z1006">
            <v>46551</v>
          </cell>
          <cell r="AA1006">
            <v>54000</v>
          </cell>
        </row>
        <row r="1007">
          <cell r="B1007" t="str">
            <v>KHI/HO/D/MO/PC COMP/C/107407/9/02/2025</v>
          </cell>
          <cell r="D1007" t="str">
            <v>REN</v>
          </cell>
          <cell r="E1007" t="str">
            <v>17/02/25</v>
          </cell>
          <cell r="F1007" t="str">
            <v>21/02/2025</v>
          </cell>
          <cell r="G1007" t="str">
            <v>20/02/2026</v>
          </cell>
          <cell r="H1007" t="str">
            <v>08004499</v>
          </cell>
          <cell r="I1007" t="str">
            <v>AL BARAKA BANK (PAKISTAN) LIMITED</v>
          </cell>
          <cell r="J1007" t="str">
            <v>BANK</v>
          </cell>
          <cell r="K1007" t="str">
            <v xml:space="preserve">
HPA M/s. Al Baraka Bank (Pakistan) Limited 
Hpa M/S. Al Baraka Bank (Pakistan) Limited 
User: Safdar Ali Arrar</v>
          </cell>
          <cell r="L1007" t="str">
            <v>D</v>
          </cell>
          <cell r="M1007" t="str">
            <v>09000221</v>
          </cell>
          <cell r="N1007">
            <v>100</v>
          </cell>
          <cell r="P1007" t="str">
            <v>H No 188 PGEHF Mohallah Lahore</v>
          </cell>
          <cell r="Q1007" t="str">
            <v>11000003</v>
          </cell>
          <cell r="R1007" t="str">
            <v>SUZUKI ALTO</v>
          </cell>
          <cell r="S1007" t="str">
            <v>2024</v>
          </cell>
          <cell r="T1007" t="str">
            <v>AQZ-517</v>
          </cell>
          <cell r="U1007" t="str">
            <v>298745</v>
          </cell>
          <cell r="V1007" t="str">
            <v>1198784</v>
          </cell>
          <cell r="W1007" t="str">
            <v>05-mar-2029</v>
          </cell>
          <cell r="Y1007">
            <v>2350800</v>
          </cell>
          <cell r="Z1007">
            <v>40531</v>
          </cell>
          <cell r="AA1007">
            <v>47016</v>
          </cell>
        </row>
        <row r="1008">
          <cell r="B1008" t="str">
            <v>KHI/HO/D/MO/PC COMP/C/107407/10/02/2025</v>
          </cell>
          <cell r="D1008" t="str">
            <v>REN</v>
          </cell>
          <cell r="E1008" t="str">
            <v>17/02/25</v>
          </cell>
          <cell r="F1008" t="str">
            <v>21/02/2025</v>
          </cell>
          <cell r="G1008" t="str">
            <v>20/02/2026</v>
          </cell>
          <cell r="H1008" t="str">
            <v>08004499</v>
          </cell>
          <cell r="I1008" t="str">
            <v>AL BARAKA BANK (PAKISTAN) LIMITED</v>
          </cell>
          <cell r="J1008" t="str">
            <v>BANK</v>
          </cell>
          <cell r="K1008" t="str">
            <v xml:space="preserve">
HPA M/s. Al Baraka Bank (Pakistan) Limited 
Hpa M/S. Al Baraka Bank (Pakistan) Limited 
User: Irfan  Aamir</v>
          </cell>
          <cell r="L1008" t="str">
            <v>D</v>
          </cell>
          <cell r="M1008" t="str">
            <v>09000221</v>
          </cell>
          <cell r="N1008">
            <v>100</v>
          </cell>
          <cell r="P1008" t="str">
            <v>Flat 11 Building 6 Sector C Askari 11 Lahore</v>
          </cell>
          <cell r="Q1008" t="str">
            <v>11000003</v>
          </cell>
          <cell r="R1008" t="str">
            <v>CHANGAN ALSVIN</v>
          </cell>
          <cell r="S1008" t="str">
            <v>2024</v>
          </cell>
          <cell r="T1008" t="str">
            <v>AQW-198</v>
          </cell>
          <cell r="U1008" t="str">
            <v>537247</v>
          </cell>
          <cell r="V1008" t="str">
            <v>1011419</v>
          </cell>
          <cell r="W1008" t="str">
            <v>05-mar-2027</v>
          </cell>
          <cell r="Y1008">
            <v>4094100</v>
          </cell>
          <cell r="Z1008">
            <v>52942</v>
          </cell>
          <cell r="AA1008">
            <v>61412</v>
          </cell>
        </row>
        <row r="1009">
          <cell r="B1009" t="str">
            <v>KHI/HO/D/MO/PC COMP/C/107407/11/02/2025</v>
          </cell>
          <cell r="D1009" t="str">
            <v>REN</v>
          </cell>
          <cell r="E1009" t="str">
            <v>17/02/25</v>
          </cell>
          <cell r="F1009" t="str">
            <v>21/02/2025</v>
          </cell>
          <cell r="G1009" t="str">
            <v>20/02/2026</v>
          </cell>
          <cell r="H1009" t="str">
            <v>08004499</v>
          </cell>
          <cell r="I1009" t="str">
            <v>AL BARAKA BANK (PAKISTAN) LIMITED</v>
          </cell>
          <cell r="J1009" t="str">
            <v>BANK</v>
          </cell>
          <cell r="K1009" t="str">
            <v xml:space="preserve">
HPA M/s. Al Baraka Bank (Pakistan) Limited 
Hpa M/S. Al Baraka Bank (Pakistan) Limited 
User: Hafiz Muhammad Gulfam</v>
          </cell>
          <cell r="L1009" t="str">
            <v>D</v>
          </cell>
          <cell r="M1009" t="str">
            <v>09000221</v>
          </cell>
          <cell r="N1009">
            <v>100</v>
          </cell>
          <cell r="P1009" t="str">
            <v>Flat No 3 Kashmir Block DHA Society Near Cooper Store Lahore</v>
          </cell>
          <cell r="Q1009" t="str">
            <v>11000003</v>
          </cell>
          <cell r="R1009" t="str">
            <v>HONDA CITY ASPIRE A/T</v>
          </cell>
          <cell r="S1009" t="str">
            <v>2020</v>
          </cell>
          <cell r="T1009" t="str">
            <v>LEB-20-6577</v>
          </cell>
          <cell r="U1009" t="str">
            <v>17538667</v>
          </cell>
          <cell r="V1009" t="str">
            <v>LR260454</v>
          </cell>
          <cell r="W1009" t="str">
            <v>05-mar-2027</v>
          </cell>
          <cell r="Y1009">
            <v>3420000</v>
          </cell>
          <cell r="Z1009">
            <v>44224</v>
          </cell>
          <cell r="AA1009">
            <v>51300</v>
          </cell>
        </row>
        <row r="1010">
          <cell r="B1010" t="str">
            <v>KHI/HO/D/MO/PC COMP/C/107407/12/02/2025</v>
          </cell>
          <cell r="D1010" t="str">
            <v>REN</v>
          </cell>
          <cell r="E1010" t="str">
            <v>17/02/25</v>
          </cell>
          <cell r="F1010" t="str">
            <v>21/02/2025</v>
          </cell>
          <cell r="G1010" t="str">
            <v>20/02/2026</v>
          </cell>
          <cell r="H1010" t="str">
            <v>08004499</v>
          </cell>
          <cell r="I1010" t="str">
            <v>AL BARAKA BANK (PAKISTAN) LIMITED</v>
          </cell>
          <cell r="J1010" t="str">
            <v>BANK</v>
          </cell>
          <cell r="K1010" t="str">
            <v xml:space="preserve">
HPA M/s. Al Baraka Bank (Pakistan) Limited 
Hpa M/S. Al Baraka Bank (Pakistan) Limited 
User: Shahzad   Sharif</v>
          </cell>
          <cell r="L1010" t="str">
            <v>D</v>
          </cell>
          <cell r="M1010" t="str">
            <v>09000221</v>
          </cell>
          <cell r="N1010">
            <v>100</v>
          </cell>
          <cell r="O1010" t="str">
            <v>KARACHI</v>
          </cell>
          <cell r="P1010" t="str">
            <v>H No 11 Bukhri St Rustam Park Multan Road Lahore</v>
          </cell>
          <cell r="Q1010" t="str">
            <v>11000003</v>
          </cell>
          <cell r="R1010" t="str">
            <v>SUZUKI WAGON-R VXR</v>
          </cell>
          <cell r="S1010" t="str">
            <v>2018</v>
          </cell>
          <cell r="T1010" t="str">
            <v>LED-18A-1423</v>
          </cell>
          <cell r="U1010" t="str">
            <v>B177998</v>
          </cell>
          <cell r="V1010" t="str">
            <v>K10077889</v>
          </cell>
          <cell r="W1010" t="str">
            <v>05-mar-2029</v>
          </cell>
          <cell r="Y1010">
            <v>1980000</v>
          </cell>
          <cell r="Z1010">
            <v>34138</v>
          </cell>
          <cell r="AA1010">
            <v>39600</v>
          </cell>
        </row>
        <row r="1011">
          <cell r="B1011" t="str">
            <v>KHI/HO/D/MO/PC COMP/C/107407/13/02/2025</v>
          </cell>
          <cell r="D1011" t="str">
            <v>REN</v>
          </cell>
          <cell r="E1011" t="str">
            <v>17/02/25</v>
          </cell>
          <cell r="F1011" t="str">
            <v>22/02/2025</v>
          </cell>
          <cell r="G1011" t="str">
            <v>21/02/2026</v>
          </cell>
          <cell r="H1011" t="str">
            <v>08004499</v>
          </cell>
          <cell r="I1011" t="str">
            <v>AL BARAKA BANK (PAKISTAN) LIMITED</v>
          </cell>
          <cell r="J1011" t="str">
            <v>BANK</v>
          </cell>
          <cell r="K1011" t="str">
            <v xml:space="preserve">
HPA M/s. Al Baraka Bank (Pakistan) Limited 
Hpa M/S. Al Baraka Bank (Pakistan) Limited 
User: Umair   Safdar</v>
          </cell>
          <cell r="L1011" t="str">
            <v>D</v>
          </cell>
          <cell r="M1011" t="str">
            <v>09000221</v>
          </cell>
          <cell r="N1011">
            <v>100</v>
          </cell>
          <cell r="P1011" t="str">
            <v>H NO 59 St No 2 Mohallah Mushtaq Colony Masoom Shah Road Multan</v>
          </cell>
          <cell r="Q1011" t="str">
            <v>11000003</v>
          </cell>
          <cell r="R1011" t="str">
            <v>HONDA CITY M/T 1.3</v>
          </cell>
          <cell r="S1011" t="str">
            <v>2019</v>
          </cell>
          <cell r="T1011" t="str">
            <v>ANZ-232</v>
          </cell>
          <cell r="U1011" t="str">
            <v>17534001</v>
          </cell>
          <cell r="V1011" t="str">
            <v>253289</v>
          </cell>
          <cell r="W1011" t="str">
            <v>05-mar-2027</v>
          </cell>
          <cell r="Y1011">
            <v>3060000</v>
          </cell>
          <cell r="Z1011">
            <v>52758</v>
          </cell>
          <cell r="AA1011">
            <v>61200</v>
          </cell>
        </row>
        <row r="1012">
          <cell r="B1012" t="str">
            <v>KHI/HO/D/MO/PC COMP/C/107407/14/02/2025</v>
          </cell>
          <cell r="D1012" t="str">
            <v>REN</v>
          </cell>
          <cell r="E1012" t="str">
            <v>17/02/25</v>
          </cell>
          <cell r="F1012" t="str">
            <v>22/02/2025</v>
          </cell>
          <cell r="G1012" t="str">
            <v>21/02/2026</v>
          </cell>
          <cell r="H1012" t="str">
            <v>08004499</v>
          </cell>
          <cell r="I1012" t="str">
            <v>AL BARAKA BANK (PAKISTAN) LIMITED</v>
          </cell>
          <cell r="J1012" t="str">
            <v>BANK</v>
          </cell>
          <cell r="K1012" t="str">
            <v xml:space="preserve">
HPA M/s. Al Baraka Bank (Pakistan) Limited 
Hpa M/S. Al Baraka Bank (Pakistan) Limited 
User: Muhammad   Shahbaz</v>
          </cell>
          <cell r="L1012" t="str">
            <v>D</v>
          </cell>
          <cell r="M1012" t="str">
            <v>09000221</v>
          </cell>
          <cell r="N1012">
            <v>100</v>
          </cell>
          <cell r="O1012" t="str">
            <v>KARACHI</v>
          </cell>
          <cell r="P1012" t="str">
            <v>H No 1104 B Mohallah Ghulam Muhammad Abad Faisalabad</v>
          </cell>
          <cell r="Q1012" t="str">
            <v>11000003</v>
          </cell>
          <cell r="R1012" t="str">
            <v>SUZUKI ALTO VXR</v>
          </cell>
          <cell r="S1012" t="str">
            <v>2021</v>
          </cell>
          <cell r="T1012" t="str">
            <v>AUZ-962</v>
          </cell>
          <cell r="U1012" t="str">
            <v>6R176226</v>
          </cell>
          <cell r="V1012" t="str">
            <v>NF1AET306H1076220</v>
          </cell>
          <cell r="W1012" t="str">
            <v>05-mar-2029</v>
          </cell>
          <cell r="Y1012">
            <v>2070000</v>
          </cell>
          <cell r="Z1012">
            <v>35690</v>
          </cell>
          <cell r="AA1012">
            <v>41400</v>
          </cell>
        </row>
        <row r="1013">
          <cell r="B1013" t="str">
            <v>KHI/HO/D/MO/PC COMP/C/107407/15/02/2025</v>
          </cell>
          <cell r="D1013" t="str">
            <v>REN</v>
          </cell>
          <cell r="E1013" t="str">
            <v>17/02/25</v>
          </cell>
          <cell r="F1013" t="str">
            <v>22/02/2025</v>
          </cell>
          <cell r="G1013" t="str">
            <v>21/02/2026</v>
          </cell>
          <cell r="H1013" t="str">
            <v>08004499</v>
          </cell>
          <cell r="I1013" t="str">
            <v>AL BARAKA BANK (PAKISTAN) LIMITED</v>
          </cell>
          <cell r="J1013" t="str">
            <v>BANK</v>
          </cell>
          <cell r="K1013" t="str">
            <v xml:space="preserve">
HPA M/s. Al Baraka Bank (Pakistan) Limited 
Hpa M/S. Al Baraka Bank (Pakistan) Limited 
User: Saqib  Waheed</v>
          </cell>
          <cell r="L1013" t="str">
            <v>D</v>
          </cell>
          <cell r="M1013" t="str">
            <v>09000221</v>
          </cell>
          <cell r="N1013">
            <v>100</v>
          </cell>
          <cell r="P1013" t="str">
            <v>H No 48 Block B1 Punjab Housing PH 1 Wapda Town Lahore</v>
          </cell>
          <cell r="Q1013" t="str">
            <v>11000003</v>
          </cell>
          <cell r="R1013" t="str">
            <v>SUZUKI SWIFT DLX</v>
          </cell>
          <cell r="S1013" t="str">
            <v>2024</v>
          </cell>
          <cell r="T1013" t="str">
            <v>AQX-610</v>
          </cell>
          <cell r="U1013" t="str">
            <v>1019078</v>
          </cell>
          <cell r="V1013" t="str">
            <v>63500201719</v>
          </cell>
          <cell r="W1013" t="str">
            <v>05-mar-2026</v>
          </cell>
          <cell r="Y1013">
            <v>4536000</v>
          </cell>
          <cell r="Z1013">
            <v>58655</v>
          </cell>
          <cell r="AA1013">
            <v>68040</v>
          </cell>
        </row>
        <row r="1014">
          <cell r="B1014" t="str">
            <v>KHI/HO/D/MO/PC COMP/C/107407/16/02/2025</v>
          </cell>
          <cell r="D1014" t="str">
            <v>REN</v>
          </cell>
          <cell r="E1014" t="str">
            <v>17/02/25</v>
          </cell>
          <cell r="F1014" t="str">
            <v>23/02/2025</v>
          </cell>
          <cell r="G1014" t="str">
            <v>22/02/2026</v>
          </cell>
          <cell r="H1014" t="str">
            <v>08004499</v>
          </cell>
          <cell r="I1014" t="str">
            <v>AL BARAKA BANK (PAKISTAN) LIMITED</v>
          </cell>
          <cell r="J1014" t="str">
            <v>BANK</v>
          </cell>
          <cell r="K1014" t="str">
            <v xml:space="preserve">
HPA M/s. Al Baraka Bank (Pakistan) Limited 
Hpa M/S. Al Baraka Bank (Pakistan) Limited 
User: Ali   Hassan</v>
          </cell>
          <cell r="L1014" t="str">
            <v>D</v>
          </cell>
          <cell r="M1014" t="str">
            <v>09000221</v>
          </cell>
          <cell r="N1014">
            <v>100</v>
          </cell>
          <cell r="P1014" t="str">
            <v>H No 26/7 E Umar Street Arif abad Bilal Town Lahore</v>
          </cell>
          <cell r="Q1014" t="str">
            <v>11000003</v>
          </cell>
          <cell r="R1014" t="str">
            <v>HONDA CITY ASPIRE A/T</v>
          </cell>
          <cell r="S1014" t="str">
            <v>2015</v>
          </cell>
          <cell r="T1014" t="str">
            <v>LEF-15-9151</v>
          </cell>
          <cell r="U1014" t="str">
            <v>17433431</v>
          </cell>
          <cell r="V1014" t="str">
            <v>172355</v>
          </cell>
          <cell r="W1014" t="str">
            <v>05-mar-2027</v>
          </cell>
          <cell r="Y1014">
            <v>2475000</v>
          </cell>
          <cell r="Z1014">
            <v>42672</v>
          </cell>
          <cell r="AA1014">
            <v>49500</v>
          </cell>
        </row>
        <row r="1015">
          <cell r="B1015" t="str">
            <v>KHI/HO/D/MO/PC COMP/C/107407/17/02/2025</v>
          </cell>
          <cell r="D1015" t="str">
            <v>REN</v>
          </cell>
          <cell r="E1015" t="str">
            <v>17/02/25</v>
          </cell>
          <cell r="F1015" t="str">
            <v>07/02/2025</v>
          </cell>
          <cell r="G1015" t="str">
            <v>06/02/2026</v>
          </cell>
          <cell r="H1015" t="str">
            <v>08004499</v>
          </cell>
          <cell r="I1015" t="str">
            <v>AL BARAKA BANK (PAKISTAN) LIMITED</v>
          </cell>
          <cell r="J1015" t="str">
            <v>BANK</v>
          </cell>
          <cell r="K1015" t="str">
            <v xml:space="preserve">
HPA M/s. Al Baraka Bank (Pakistan) Limited 
Hpa M/S. Al Baraka Bank (Pakistan) Limited 
User: Waqas  Khan</v>
          </cell>
          <cell r="L1015" t="str">
            <v>D</v>
          </cell>
          <cell r="M1015" t="str">
            <v>09000221</v>
          </cell>
          <cell r="N1015">
            <v>100</v>
          </cell>
          <cell r="P1015" t="str">
            <v>Automan Near Govermamant Pimary School Sohan Islamabad</v>
          </cell>
          <cell r="Q1015" t="str">
            <v>11000003</v>
          </cell>
          <cell r="R1015" t="str">
            <v>SUZUKI ALTO VXR</v>
          </cell>
          <cell r="S1015" t="str">
            <v>2024</v>
          </cell>
          <cell r="T1015" t="str">
            <v>BDE-196</v>
          </cell>
          <cell r="U1015" t="str">
            <v>290047</v>
          </cell>
          <cell r="V1015" t="str">
            <v>1190074</v>
          </cell>
          <cell r="W1015" t="str">
            <v>05-feb-2029</v>
          </cell>
          <cell r="Y1015">
            <v>2519100</v>
          </cell>
          <cell r="Z1015">
            <v>43433</v>
          </cell>
          <cell r="AA1015">
            <v>50382</v>
          </cell>
        </row>
        <row r="1016">
          <cell r="B1016" t="str">
            <v>KHI/HO/D/MO/PC COMP/C/107407/18/02/2025</v>
          </cell>
          <cell r="D1016" t="str">
            <v>REN</v>
          </cell>
          <cell r="E1016" t="str">
            <v>17/02/25</v>
          </cell>
          <cell r="F1016" t="str">
            <v>22/02/2025</v>
          </cell>
          <cell r="G1016" t="str">
            <v>21/02/2026</v>
          </cell>
          <cell r="H1016" t="str">
            <v>08004499</v>
          </cell>
          <cell r="I1016" t="str">
            <v>AL BARAKA BANK (PAKISTAN) LIMITED</v>
          </cell>
          <cell r="J1016" t="str">
            <v>BANK</v>
          </cell>
          <cell r="K1016" t="str">
            <v xml:space="preserve">
HPA M/s. Al Baraka Bank (Pakistan) Limited 
Hpa M/S. Al Baraka Bank (Pakistan) Limited 
User: Muhammad  Owais</v>
          </cell>
          <cell r="L1016" t="str">
            <v>D</v>
          </cell>
          <cell r="M1016" t="str">
            <v>09000221</v>
          </cell>
          <cell r="N1016">
            <v>100</v>
          </cell>
          <cell r="O1016" t="str">
            <v>KARACHI</v>
          </cell>
          <cell r="P1016" t="str">
            <v>H No 27 National Housing Scheme 01 Adyala Road Rawalpindi</v>
          </cell>
          <cell r="Q1016" t="str">
            <v>11000003</v>
          </cell>
          <cell r="R1016" t="str">
            <v>SUZUKI ALTO</v>
          </cell>
          <cell r="S1016" t="str">
            <v>2024</v>
          </cell>
          <cell r="T1016" t="str">
            <v>BDS-163</v>
          </cell>
          <cell r="U1016" t="str">
            <v>R298495</v>
          </cell>
          <cell r="V1016" t="str">
            <v>1198475</v>
          </cell>
          <cell r="W1016" t="str">
            <v>05-mar-2029</v>
          </cell>
          <cell r="Y1016">
            <v>2350800</v>
          </cell>
          <cell r="Z1016">
            <v>40531</v>
          </cell>
          <cell r="AA1016">
            <v>47016</v>
          </cell>
        </row>
        <row r="1017">
          <cell r="B1017" t="str">
            <v>KHI/HO/D/MO/PC COMP/C/107407/19/02/2025</v>
          </cell>
          <cell r="D1017" t="str">
            <v>REN</v>
          </cell>
          <cell r="E1017" t="str">
            <v>17/02/25</v>
          </cell>
          <cell r="F1017" t="str">
            <v>23/02/2025</v>
          </cell>
          <cell r="G1017" t="str">
            <v>22/02/2026</v>
          </cell>
          <cell r="H1017" t="str">
            <v>08004499</v>
          </cell>
          <cell r="I1017" t="str">
            <v>AL BARAKA BANK (PAKISTAN) LIMITED</v>
          </cell>
          <cell r="J1017" t="str">
            <v>BANK</v>
          </cell>
          <cell r="K1017" t="str">
            <v xml:space="preserve">
HPA M/s. Al Baraka Bank (Pakistan) Limited 
Hpa M/S. Al Baraka Bank (Pakistan) Limited 
User: Ahmed  Hassan</v>
          </cell>
          <cell r="L1017" t="str">
            <v>D</v>
          </cell>
          <cell r="M1017" t="str">
            <v>09000221</v>
          </cell>
          <cell r="N1017">
            <v>100</v>
          </cell>
          <cell r="P1017" t="str">
            <v>H No 31 Street 39 Z Block DHA Phase 3 Lahore</v>
          </cell>
          <cell r="Q1017" t="str">
            <v>11000003</v>
          </cell>
          <cell r="R1017" t="str">
            <v>HONDA CIVIC</v>
          </cell>
          <cell r="S1017" t="str">
            <v>2017</v>
          </cell>
          <cell r="T1017" t="str">
            <v>AFH-735</v>
          </cell>
          <cell r="U1017" t="str">
            <v>12922861</v>
          </cell>
          <cell r="V1017" t="str">
            <v>HR026248</v>
          </cell>
          <cell r="W1017" t="str">
            <v>05-mar-2027</v>
          </cell>
          <cell r="Y1017">
            <v>3600000</v>
          </cell>
          <cell r="Z1017">
            <v>46551</v>
          </cell>
          <cell r="AA1017">
            <v>54000</v>
          </cell>
        </row>
        <row r="1018">
          <cell r="B1018" t="str">
            <v>KHI/HO/D/MO/PC COMP/C/107407/20/02/2025</v>
          </cell>
          <cell r="D1018" t="str">
            <v>REN</v>
          </cell>
          <cell r="E1018" t="str">
            <v>17/02/25</v>
          </cell>
          <cell r="F1018" t="str">
            <v>26/02/2025</v>
          </cell>
          <cell r="G1018" t="str">
            <v>25/02/2026</v>
          </cell>
          <cell r="H1018" t="str">
            <v>08004499</v>
          </cell>
          <cell r="I1018" t="str">
            <v>AL BARAKA BANK (PAKISTAN) LIMITED</v>
          </cell>
          <cell r="J1018" t="str">
            <v>BANK</v>
          </cell>
          <cell r="K1018" t="str">
            <v xml:space="preserve">
HPA M/s. Al Baraka Bank (Pakistan) Limited 
Hpa M/S. Al Baraka Bank (Pakistan) Limited 
User: Shabbir   Rafique</v>
          </cell>
          <cell r="L1018" t="str">
            <v>D</v>
          </cell>
          <cell r="M1018" t="str">
            <v>09000221</v>
          </cell>
          <cell r="N1018">
            <v>100</v>
          </cell>
          <cell r="O1018" t="str">
            <v>KARACHI</v>
          </cell>
          <cell r="P1018" t="str">
            <v>PO Thokar Niaz Baig Gopi Ray Teh Distr Lahore</v>
          </cell>
          <cell r="Q1018" t="str">
            <v>11000003</v>
          </cell>
          <cell r="R1018" t="str">
            <v>SUZUKI ALTO VXL AGS E-2</v>
          </cell>
          <cell r="S1018" t="str">
            <v>2019</v>
          </cell>
          <cell r="T1018" t="str">
            <v>LE-20-7633</v>
          </cell>
          <cell r="U1018" t="str">
            <v>R122219</v>
          </cell>
          <cell r="V1018" t="str">
            <v>1022230</v>
          </cell>
          <cell r="W1018" t="str">
            <v>05-mar-2029</v>
          </cell>
          <cell r="Y1018">
            <v>1980000</v>
          </cell>
          <cell r="Z1018">
            <v>34138</v>
          </cell>
          <cell r="AA1018">
            <v>39600</v>
          </cell>
        </row>
        <row r="1019">
          <cell r="B1019" t="str">
            <v>KHI/HO/D/MO/PC COMP/C/107407/21/02/2025</v>
          </cell>
          <cell r="D1019" t="str">
            <v>REN</v>
          </cell>
          <cell r="E1019" t="str">
            <v>17/02/25</v>
          </cell>
          <cell r="F1019" t="str">
            <v>27/02/2025</v>
          </cell>
          <cell r="G1019" t="str">
            <v>26/02/2026</v>
          </cell>
          <cell r="H1019" t="str">
            <v>08004499</v>
          </cell>
          <cell r="I1019" t="str">
            <v>AL BARAKA BANK (PAKISTAN) LIMITED</v>
          </cell>
          <cell r="J1019" t="str">
            <v>BANK</v>
          </cell>
          <cell r="K1019" t="str">
            <v xml:space="preserve">
HPA M/s. Al Baraka Bank (Pakistan) Limited 
Hpa M/S. Al Baraka Bank (Pakistan) Limited 
User: Ahmad Ali Shoukat</v>
          </cell>
          <cell r="L1019" t="str">
            <v>D</v>
          </cell>
          <cell r="M1019" t="str">
            <v>09000221</v>
          </cell>
          <cell r="N1019">
            <v>100</v>
          </cell>
          <cell r="O1019" t="str">
            <v>KARACHI</v>
          </cell>
          <cell r="P1019" t="str">
            <v>H  # E-142-A Madina Chowk Qainchi Ammar Siddhu Lahore</v>
          </cell>
          <cell r="Q1019" t="str">
            <v>11000003</v>
          </cell>
          <cell r="R1019" t="str">
            <v>HONDA Civic CVT Oriel NAV</v>
          </cell>
          <cell r="S1019" t="str">
            <v>2018</v>
          </cell>
          <cell r="T1019" t="str">
            <v>LE-18A-8619</v>
          </cell>
          <cell r="U1019" t="str">
            <v>Z12938970</v>
          </cell>
          <cell r="V1019" t="str">
            <v>R042511</v>
          </cell>
          <cell r="W1019" t="str">
            <v>05-mar-2027</v>
          </cell>
          <cell r="Y1019">
            <v>4680000</v>
          </cell>
          <cell r="Z1019">
            <v>60517</v>
          </cell>
          <cell r="AA1019">
            <v>70200</v>
          </cell>
        </row>
        <row r="1020">
          <cell r="B1020" t="str">
            <v>KHI/HO/D/MO/PC COMP/C/107407/22/02/2025</v>
          </cell>
          <cell r="D1020" t="str">
            <v>REN</v>
          </cell>
          <cell r="E1020" t="str">
            <v>17/02/25</v>
          </cell>
          <cell r="F1020" t="str">
            <v>27/02/2025</v>
          </cell>
          <cell r="G1020" t="str">
            <v>26/02/2026</v>
          </cell>
          <cell r="H1020" t="str">
            <v>08004499</v>
          </cell>
          <cell r="I1020" t="str">
            <v>AL BARAKA BANK (PAKISTAN) LIMITED</v>
          </cell>
          <cell r="J1020" t="str">
            <v>BANK</v>
          </cell>
          <cell r="K1020" t="str">
            <v xml:space="preserve">
HPA M/s. Al Baraka Bank (Pakistan) Limited 
Hpa M/S. Al Baraka Bank (Pakistan) Limited 
User: Muhammad  Shehroz</v>
          </cell>
          <cell r="L1020" t="str">
            <v>D</v>
          </cell>
          <cell r="M1020" t="str">
            <v>09000221</v>
          </cell>
          <cell r="N1020">
            <v>100</v>
          </cell>
          <cell r="O1020" t="str">
            <v>KARACHI</v>
          </cell>
          <cell r="P1020" t="str">
            <v>H No 220 F2 Wapda Town Lahore</v>
          </cell>
          <cell r="Q1020" t="str">
            <v>11000003</v>
          </cell>
          <cell r="R1020" t="str">
            <v>SUZUKI CULTUS AGS</v>
          </cell>
          <cell r="S1020" t="str">
            <v>2020</v>
          </cell>
          <cell r="T1020" t="str">
            <v>AAH-026</v>
          </cell>
          <cell r="U1020" t="str">
            <v>PK10K161367</v>
          </cell>
          <cell r="V1020" t="str">
            <v>10061355</v>
          </cell>
          <cell r="W1020" t="str">
            <v>05-mar-2029</v>
          </cell>
          <cell r="Y1020">
            <v>2677500</v>
          </cell>
          <cell r="Z1020">
            <v>46163</v>
          </cell>
          <cell r="AA1020">
            <v>53550</v>
          </cell>
        </row>
        <row r="1021">
          <cell r="B1021" t="str">
            <v>KHI/HO/D/MO/PC COMP/C/107407/23/02/2025</v>
          </cell>
          <cell r="D1021" t="str">
            <v>REN</v>
          </cell>
          <cell r="E1021" t="str">
            <v>17/02/25</v>
          </cell>
          <cell r="F1021" t="str">
            <v>27/02/2025</v>
          </cell>
          <cell r="G1021" t="str">
            <v>26/02/2026</v>
          </cell>
          <cell r="H1021" t="str">
            <v>08004499</v>
          </cell>
          <cell r="I1021" t="str">
            <v>AL BARAKA BANK (PAKISTAN) LIMITED</v>
          </cell>
          <cell r="J1021" t="str">
            <v>BANK</v>
          </cell>
          <cell r="K1021" t="str">
            <v xml:space="preserve">
HPA M/s. Al Baraka Bank (Pakistan) Limited 
Hpa M/S. Al Baraka Bank (Pakistan) Limited 
User: Rohail  Riaz  Khan</v>
          </cell>
          <cell r="L1021" t="str">
            <v>D</v>
          </cell>
          <cell r="M1021" t="str">
            <v>09000221</v>
          </cell>
          <cell r="N1021">
            <v>100</v>
          </cell>
          <cell r="P1021" t="str">
            <v>457 A Jahanzaib Block Allama Iqbal Town Lahore</v>
          </cell>
          <cell r="Q1021" t="str">
            <v>11000003</v>
          </cell>
          <cell r="R1021" t="str">
            <v>SUZUKI ALTO</v>
          </cell>
          <cell r="S1021" t="str">
            <v>2024</v>
          </cell>
          <cell r="T1021" t="str">
            <v>ARG-720</v>
          </cell>
          <cell r="U1021" t="str">
            <v>293461</v>
          </cell>
          <cell r="V1021" t="str">
            <v>1193450</v>
          </cell>
          <cell r="W1021" t="str">
            <v>05-apr-2029</v>
          </cell>
          <cell r="Y1021">
            <v>2436300</v>
          </cell>
          <cell r="Z1021">
            <v>42005</v>
          </cell>
          <cell r="AA1021">
            <v>48726</v>
          </cell>
        </row>
        <row r="1022">
          <cell r="B1022" t="str">
            <v>KHI/HO/D/MO/PC COMP/C/107407/24/02/2025</v>
          </cell>
          <cell r="D1022" t="str">
            <v>REN</v>
          </cell>
          <cell r="E1022" t="str">
            <v>17/02/25</v>
          </cell>
          <cell r="F1022" t="str">
            <v>27/02/2025</v>
          </cell>
          <cell r="G1022" t="str">
            <v>26/02/2026</v>
          </cell>
          <cell r="H1022" t="str">
            <v>08004499</v>
          </cell>
          <cell r="I1022" t="str">
            <v>AL BARAKA BANK (PAKISTAN) LIMITED</v>
          </cell>
          <cell r="J1022" t="str">
            <v>BANK</v>
          </cell>
          <cell r="K1022" t="str">
            <v xml:space="preserve">
HPA M/s. Al Baraka Bank (Pakistan) Limited 
Hpa M/S. Al Baraka Bank (Pakistan) Limited 
User: Abdul  Waheed</v>
          </cell>
          <cell r="L1022" t="str">
            <v>D</v>
          </cell>
          <cell r="M1022" t="str">
            <v>09000221</v>
          </cell>
          <cell r="N1022">
            <v>100</v>
          </cell>
          <cell r="P1022" t="str">
            <v>H No AS -18 Green Park City Qaidabad Landhi Karachi</v>
          </cell>
          <cell r="Q1022" t="str">
            <v>11000003</v>
          </cell>
          <cell r="R1022" t="str">
            <v>HONDA BRV - S</v>
          </cell>
          <cell r="S1022" t="str">
            <v>2021</v>
          </cell>
          <cell r="T1022" t="str">
            <v>BH-9397</v>
          </cell>
          <cell r="U1022" t="str">
            <v>14803503</v>
          </cell>
          <cell r="V1022" t="str">
            <v>R020205</v>
          </cell>
          <cell r="W1022" t="str">
            <v>06-mar-2028</v>
          </cell>
          <cell r="Y1022">
            <v>4680000</v>
          </cell>
          <cell r="Z1022">
            <v>60517</v>
          </cell>
          <cell r="AA1022">
            <v>70200</v>
          </cell>
        </row>
        <row r="1023">
          <cell r="B1023" t="str">
            <v>KHI/HO/D/MO/PC COMP/C/107407/25/02/2025</v>
          </cell>
          <cell r="D1023" t="str">
            <v>REN</v>
          </cell>
          <cell r="E1023" t="str">
            <v>17/02/25</v>
          </cell>
          <cell r="F1023" t="str">
            <v>28/02/2025</v>
          </cell>
          <cell r="G1023" t="str">
            <v>27/02/2026</v>
          </cell>
          <cell r="H1023" t="str">
            <v>08004499</v>
          </cell>
          <cell r="I1023" t="str">
            <v>AL BARAKA BANK (PAKISTAN) LIMITED</v>
          </cell>
          <cell r="J1023" t="str">
            <v>BANK</v>
          </cell>
          <cell r="K1023" t="str">
            <v xml:space="preserve">
HPA M/s. Al Baraka Bank (Pakistan) Limited 
Hpa M/S. Al Baraka Bank (Pakistan) Limited 
User: Muhammad  Tuqir</v>
          </cell>
          <cell r="L1023" t="str">
            <v>D</v>
          </cell>
          <cell r="M1023" t="str">
            <v>09000221</v>
          </cell>
          <cell r="N1023">
            <v>100</v>
          </cell>
          <cell r="O1023" t="str">
            <v>KARACHI</v>
          </cell>
          <cell r="P1023" t="str">
            <v>Al Ahmed Colony Metro Politen Corporation Part Dakkhana Allama Iqbal Town Lahore</v>
          </cell>
          <cell r="Q1023" t="str">
            <v>11000003</v>
          </cell>
          <cell r="R1023" t="str">
            <v>SUZUKI ALTO VX</v>
          </cell>
          <cell r="S1023" t="str">
            <v>2024</v>
          </cell>
          <cell r="T1023" t="str">
            <v>ARH-745</v>
          </cell>
          <cell r="U1023" t="str">
            <v>6R298269</v>
          </cell>
          <cell r="V1023" t="str">
            <v>1198102</v>
          </cell>
          <cell r="W1023" t="str">
            <v>05-apr-2027</v>
          </cell>
          <cell r="Y1023">
            <v>2097900</v>
          </cell>
          <cell r="Z1023">
            <v>36170</v>
          </cell>
          <cell r="AA1023">
            <v>41958</v>
          </cell>
        </row>
        <row r="1024">
          <cell r="B1024" t="str">
            <v>KHI/HO/D/MO/PC COMP/C/107407/26/02/2025</v>
          </cell>
          <cell r="D1024" t="str">
            <v>REN</v>
          </cell>
          <cell r="E1024" t="str">
            <v>17/02/25</v>
          </cell>
          <cell r="F1024" t="str">
            <v>09/02/2025</v>
          </cell>
          <cell r="G1024" t="str">
            <v>08/02/2026</v>
          </cell>
          <cell r="H1024" t="str">
            <v>08004499</v>
          </cell>
          <cell r="I1024" t="str">
            <v>AL BARAKA BANK (PAKISTAN) LIMITED</v>
          </cell>
          <cell r="J1024" t="str">
            <v>BANK</v>
          </cell>
          <cell r="K1024" t="str">
            <v xml:space="preserve">
HPA M/s. Al Baraka Bank (Pakistan) Limited 
Hpa M/S. Al Baraka Bank (Pakistan) Limited 
User: Syed Tahir Mehmood  Shah</v>
          </cell>
          <cell r="L1024" t="str">
            <v>D</v>
          </cell>
          <cell r="M1024" t="str">
            <v>09000221</v>
          </cell>
          <cell r="N1024">
            <v>100</v>
          </cell>
          <cell r="O1024" t="str">
            <v>KARACHI</v>
          </cell>
          <cell r="P1024" t="str">
            <v>H # 2 Street 2 Rehmat Park Near 80 ft Road Marghzar Colony Lahore</v>
          </cell>
          <cell r="Q1024" t="str">
            <v>11000003</v>
          </cell>
          <cell r="R1024" t="str">
            <v>TOYOTA COROLLA ALTIS VVT-</v>
          </cell>
          <cell r="S1024" t="str">
            <v>2017</v>
          </cell>
          <cell r="T1024" t="str">
            <v>LEB-17A-2255</v>
          </cell>
          <cell r="U1024" t="str">
            <v>Q040473</v>
          </cell>
          <cell r="V1024" t="str">
            <v>R6017957</v>
          </cell>
          <cell r="W1024" t="str">
            <v>05-feb-2027</v>
          </cell>
          <cell r="Y1024">
            <v>3960000</v>
          </cell>
          <cell r="Z1024">
            <v>51207</v>
          </cell>
          <cell r="AA1024">
            <v>59400</v>
          </cell>
        </row>
        <row r="1025">
          <cell r="B1025" t="str">
            <v>KHI/HO/D/MO/PC COMP/C/107407/27/02/2025</v>
          </cell>
          <cell r="D1025" t="str">
            <v>REN</v>
          </cell>
          <cell r="E1025" t="str">
            <v>17/02/25</v>
          </cell>
          <cell r="F1025" t="str">
            <v>28/02/2025</v>
          </cell>
          <cell r="G1025" t="str">
            <v>27/02/2026</v>
          </cell>
          <cell r="H1025" t="str">
            <v>08004499</v>
          </cell>
          <cell r="I1025" t="str">
            <v>AL BARAKA BANK (PAKISTAN) LIMITED</v>
          </cell>
          <cell r="J1025" t="str">
            <v>BANK</v>
          </cell>
          <cell r="K1025" t="str">
            <v xml:space="preserve">
HPA M/s. Al Baraka Bank (Pakistan) Limited 
Hpa M/S. Al Baraka Bank (Pakistan) Limited 
User: Muhammad Mateen Ghani</v>
          </cell>
          <cell r="L1025" t="str">
            <v>D</v>
          </cell>
          <cell r="M1025" t="str">
            <v>09000221</v>
          </cell>
          <cell r="N1025">
            <v>100</v>
          </cell>
          <cell r="O1025" t="str">
            <v>KARACHI</v>
          </cell>
          <cell r="P1025" t="str">
            <v>Masoom Shah Road Silver Ka Karhana Writer Colony 1 Multan</v>
          </cell>
          <cell r="Q1025" t="str">
            <v>11000003</v>
          </cell>
          <cell r="R1025" t="str">
            <v>SUZUKI WAGON R VXL</v>
          </cell>
          <cell r="S1025" t="str">
            <v>2015</v>
          </cell>
          <cell r="T1025" t="str">
            <v>MNC-15-829</v>
          </cell>
          <cell r="U1025" t="str">
            <v>PK10B106651</v>
          </cell>
          <cell r="V1025" t="str">
            <v>PK10006680</v>
          </cell>
          <cell r="W1025" t="str">
            <v>05-mar-2027</v>
          </cell>
          <cell r="Y1025">
            <v>1620000</v>
          </cell>
          <cell r="Z1025">
            <v>27931</v>
          </cell>
          <cell r="AA1025">
            <v>32400</v>
          </cell>
        </row>
        <row r="1026">
          <cell r="B1026" t="str">
            <v>KHI/HO/D/MO/PC COMP/C/107407/28/02/2025</v>
          </cell>
          <cell r="D1026" t="str">
            <v>REN</v>
          </cell>
          <cell r="E1026" t="str">
            <v>17/02/25</v>
          </cell>
          <cell r="F1026" t="str">
            <v>28/02/2025</v>
          </cell>
          <cell r="G1026" t="str">
            <v>27/02/2026</v>
          </cell>
          <cell r="H1026" t="str">
            <v>08004499</v>
          </cell>
          <cell r="I1026" t="str">
            <v>AL BARAKA BANK (PAKISTAN) LIMITED</v>
          </cell>
          <cell r="J1026" t="str">
            <v>BANK</v>
          </cell>
          <cell r="K1026" t="str">
            <v xml:space="preserve">
HPA M/s. Al Baraka Bank (Pakistan) Limited 
Hpa M/S. Al Baraka Bank (Pakistan) Limited 
User: Aqeel Ahmed Abbasi</v>
          </cell>
          <cell r="L1026" t="str">
            <v>D</v>
          </cell>
          <cell r="M1026" t="str">
            <v>09000221</v>
          </cell>
          <cell r="N1026">
            <v>100</v>
          </cell>
          <cell r="O1026" t="str">
            <v>KARACHI</v>
          </cell>
          <cell r="P1026" t="str">
            <v>H NO KK 311 Street 09 Farooq E Azam Road Near Sadiqabad Rawalpindi</v>
          </cell>
          <cell r="Q1026" t="str">
            <v>11000003</v>
          </cell>
          <cell r="R1026" t="str">
            <v>SUZUKI CULTUS</v>
          </cell>
          <cell r="S1026" t="str">
            <v>2019</v>
          </cell>
          <cell r="T1026" t="str">
            <v>AMV-702</v>
          </cell>
          <cell r="U1026" t="str">
            <v>K139971</v>
          </cell>
          <cell r="V1026" t="str">
            <v>039978</v>
          </cell>
          <cell r="W1026" t="str">
            <v>06-mar-2028</v>
          </cell>
          <cell r="Y1026">
            <v>2340000</v>
          </cell>
          <cell r="Z1026">
            <v>40345</v>
          </cell>
          <cell r="AA1026">
            <v>46800</v>
          </cell>
        </row>
        <row r="1027">
          <cell r="B1027" t="str">
            <v>KHI/HO/D/MO/PC COMP/C/107407/29/02/2025</v>
          </cell>
          <cell r="D1027" t="str">
            <v>REN</v>
          </cell>
          <cell r="E1027" t="str">
            <v>17/02/25</v>
          </cell>
          <cell r="F1027" t="str">
            <v>28/02/2025</v>
          </cell>
          <cell r="G1027" t="str">
            <v>27/02/2026</v>
          </cell>
          <cell r="H1027" t="str">
            <v>08004499</v>
          </cell>
          <cell r="I1027" t="str">
            <v>AL BARAKA BANK (PAKISTAN) LIMITED</v>
          </cell>
          <cell r="J1027" t="str">
            <v>BANK</v>
          </cell>
          <cell r="K1027" t="str">
            <v xml:space="preserve">
HPA M/s. Al Baraka Bank (Pakistan) Limited 
Hpa M/S. Al Baraka Bank (Pakistan) Limited 
User: Mariam  Farah</v>
          </cell>
          <cell r="L1027" t="str">
            <v>D</v>
          </cell>
          <cell r="M1027" t="str">
            <v>09000221</v>
          </cell>
          <cell r="N1027">
            <v>100</v>
          </cell>
          <cell r="O1027" t="str">
            <v>KARACHI</v>
          </cell>
          <cell r="P1027" t="str">
            <v>H No 169 St No 3 Warispura Data Chowk Faisalabad</v>
          </cell>
          <cell r="Q1027" t="str">
            <v>11000003</v>
          </cell>
          <cell r="R1027" t="str">
            <v>FAW V-2</v>
          </cell>
          <cell r="S1027" t="str">
            <v>2015</v>
          </cell>
          <cell r="T1027" t="str">
            <v>LED-16-5817</v>
          </cell>
          <cell r="U1027" t="str">
            <v>HE300551</v>
          </cell>
          <cell r="V1027" t="str">
            <v>LFP72APC7E5B36623</v>
          </cell>
          <cell r="W1027" t="str">
            <v>05-mar-2027</v>
          </cell>
          <cell r="Y1027">
            <v>1170000</v>
          </cell>
          <cell r="Z1027">
            <v>20172</v>
          </cell>
          <cell r="AA1027">
            <v>23400</v>
          </cell>
        </row>
        <row r="1028">
          <cell r="B1028" t="str">
            <v>KHI/HO/D/MO/PC COMP/C/107407/30/02/2025</v>
          </cell>
          <cell r="D1028" t="str">
            <v>REN</v>
          </cell>
          <cell r="E1028" t="str">
            <v>17/02/25</v>
          </cell>
          <cell r="F1028" t="str">
            <v>28/02/2025</v>
          </cell>
          <cell r="G1028" t="str">
            <v>27/02/2026</v>
          </cell>
          <cell r="H1028" t="str">
            <v>08004499</v>
          </cell>
          <cell r="I1028" t="str">
            <v>AL BARAKA BANK (PAKISTAN) LIMITED</v>
          </cell>
          <cell r="J1028" t="str">
            <v>BANK</v>
          </cell>
          <cell r="K1028" t="str">
            <v xml:space="preserve">
HPA M/s. Al Baraka Bank (Pakistan) Limited 
Hpa M/S. Al Baraka Bank (Pakistan) Limited 
User: Sehrish  Khizar</v>
          </cell>
          <cell r="L1028" t="str">
            <v>D</v>
          </cell>
          <cell r="M1028" t="str">
            <v>09000221</v>
          </cell>
          <cell r="N1028">
            <v>100</v>
          </cell>
          <cell r="P1028" t="str">
            <v>H No 1251 Street 174 Sector G-11 / I Islamabad</v>
          </cell>
          <cell r="Q1028" t="str">
            <v>11000003</v>
          </cell>
          <cell r="R1028" t="str">
            <v>TOYOTA COROLLA</v>
          </cell>
          <cell r="S1028" t="str">
            <v>2015</v>
          </cell>
          <cell r="T1028" t="str">
            <v>BEN-885</v>
          </cell>
          <cell r="U1028" t="str">
            <v>3493443</v>
          </cell>
          <cell r="V1028" t="str">
            <v>4052991</v>
          </cell>
          <cell r="W1028" t="str">
            <v>06-mar-2028</v>
          </cell>
          <cell r="Y1028">
            <v>2700000</v>
          </cell>
          <cell r="Z1028">
            <v>46551</v>
          </cell>
          <cell r="AA1028">
            <v>54000</v>
          </cell>
        </row>
        <row r="1029">
          <cell r="B1029" t="str">
            <v>KHI/HO/D/MO/PC COMP/C/107407/31/02/2025</v>
          </cell>
          <cell r="D1029" t="str">
            <v>REN</v>
          </cell>
          <cell r="E1029" t="str">
            <v>17/02/25</v>
          </cell>
          <cell r="F1029" t="str">
            <v>28/02/2025</v>
          </cell>
          <cell r="G1029" t="str">
            <v>27/02/2026</v>
          </cell>
          <cell r="H1029" t="str">
            <v>08004499</v>
          </cell>
          <cell r="I1029" t="str">
            <v>AL BARAKA BANK (PAKISTAN) LIMITED</v>
          </cell>
          <cell r="J1029" t="str">
            <v>BANK</v>
          </cell>
          <cell r="K1029" t="str">
            <v xml:space="preserve">
HPA M/s. Al Baraka Bank (Pakistan) Limited 
Hpa M/S. Al Baraka Bank (Pakistan) Limited 
User: Furqan Akhtar Jilani</v>
          </cell>
          <cell r="L1029" t="str">
            <v>D</v>
          </cell>
          <cell r="M1029" t="str">
            <v>09000221</v>
          </cell>
          <cell r="N1029">
            <v>100</v>
          </cell>
          <cell r="P1029" t="str">
            <v>H No R- 478 /15 Block 5 FB Area Karachi</v>
          </cell>
          <cell r="Q1029" t="str">
            <v>11000003</v>
          </cell>
          <cell r="R1029" t="str">
            <v>SUZUKI SWIFT RS DLX</v>
          </cell>
          <cell r="S1029" t="str">
            <v>2017</v>
          </cell>
          <cell r="T1029" t="str">
            <v>BLB-617</v>
          </cell>
          <cell r="U1029" t="str">
            <v>13038362</v>
          </cell>
          <cell r="V1029" t="str">
            <v>10038368</v>
          </cell>
          <cell r="W1029" t="str">
            <v>05-mar-2027</v>
          </cell>
          <cell r="Y1029">
            <v>2250000</v>
          </cell>
          <cell r="Z1029">
            <v>38793</v>
          </cell>
          <cell r="AA1029">
            <v>45000</v>
          </cell>
        </row>
        <row r="1030">
          <cell r="B1030" t="str">
            <v>KHI/HO/D/MO/PC COMP/C/107407/32/02/2025</v>
          </cell>
          <cell r="D1030" t="str">
            <v>REN</v>
          </cell>
          <cell r="E1030" t="str">
            <v>17/02/25</v>
          </cell>
          <cell r="F1030" t="str">
            <v>28/02/2025</v>
          </cell>
          <cell r="G1030" t="str">
            <v>27/02/2026</v>
          </cell>
          <cell r="H1030" t="str">
            <v>08004499</v>
          </cell>
          <cell r="I1030" t="str">
            <v>AL BARAKA BANK (PAKISTAN) LIMITED</v>
          </cell>
          <cell r="J1030" t="str">
            <v>BANK</v>
          </cell>
          <cell r="K1030" t="str">
            <v xml:space="preserve">
HPA M/s. Al Baraka Bank (Pakistan) Limited 
Hpa M/S. Al Baraka Bank (Pakistan) Limited 
User: Sajjad   Ahmed</v>
          </cell>
          <cell r="L1030" t="str">
            <v>D</v>
          </cell>
          <cell r="M1030" t="str">
            <v>09000221</v>
          </cell>
          <cell r="N1030">
            <v>100</v>
          </cell>
          <cell r="O1030" t="str">
            <v>KARACHI</v>
          </cell>
          <cell r="P1030" t="str">
            <v>People Colony H No 06 St 01 Ferozwala Shadara</v>
          </cell>
          <cell r="Q1030" t="str">
            <v>11000003</v>
          </cell>
          <cell r="R1030" t="str">
            <v>SUZUKI ALTO VXR</v>
          </cell>
          <cell r="S1030" t="str">
            <v>2021</v>
          </cell>
          <cell r="T1030" t="str">
            <v>ALQ-623</v>
          </cell>
          <cell r="U1030" t="str">
            <v>R232224</v>
          </cell>
          <cell r="V1030" t="str">
            <v>H1132221</v>
          </cell>
          <cell r="W1030" t="str">
            <v>05-mar-2027</v>
          </cell>
          <cell r="Y1030">
            <v>2160000</v>
          </cell>
          <cell r="Z1030">
            <v>37242</v>
          </cell>
          <cell r="AA1030">
            <v>43200</v>
          </cell>
        </row>
        <row r="1031">
          <cell r="B1031" t="str">
            <v>KHI/HO/D/MO/PC COMP/C/107407/33/02/2025</v>
          </cell>
          <cell r="D1031" t="str">
            <v>REN</v>
          </cell>
          <cell r="E1031" t="str">
            <v>17/02/25</v>
          </cell>
          <cell r="F1031" t="str">
            <v>28/02/2025</v>
          </cell>
          <cell r="G1031" t="str">
            <v>27/02/2026</v>
          </cell>
          <cell r="H1031" t="str">
            <v>08004499</v>
          </cell>
          <cell r="I1031" t="str">
            <v>AL BARAKA BANK (PAKISTAN) LIMITED</v>
          </cell>
          <cell r="J1031" t="str">
            <v>BANK</v>
          </cell>
          <cell r="K1031" t="str">
            <v xml:space="preserve">
HPA M/s. Al Baraka Bank (Pakistan) Limited 
Hpa M/S. Al Baraka Bank (Pakistan) Limited 
User: Muhammad   Farooq</v>
          </cell>
          <cell r="L1031" t="str">
            <v>D</v>
          </cell>
          <cell r="M1031" t="str">
            <v>09000221</v>
          </cell>
          <cell r="N1031">
            <v>100</v>
          </cell>
          <cell r="P1031" t="str">
            <v>H No 2 St 6 Muhallah Raiway Stadium Garhi Shahu Lahore</v>
          </cell>
          <cell r="Q1031" t="str">
            <v>11000003</v>
          </cell>
          <cell r="R1031" t="str">
            <v>HONDA CIVIC</v>
          </cell>
          <cell r="S1031" t="str">
            <v>2017</v>
          </cell>
          <cell r="T1031" t="str">
            <v>LED-17-1283</v>
          </cell>
          <cell r="U1031" t="str">
            <v>12911144</v>
          </cell>
          <cell r="V1031" t="str">
            <v>HR014336</v>
          </cell>
          <cell r="W1031" t="str">
            <v>05-mar-2027</v>
          </cell>
          <cell r="Y1031">
            <v>4365000</v>
          </cell>
          <cell r="Z1031">
            <v>56444</v>
          </cell>
          <cell r="AA1031">
            <v>65475</v>
          </cell>
        </row>
        <row r="1032">
          <cell r="B1032" t="str">
            <v>KHI/HO/D/MO/PC COMP/C/107407/34/02/2025</v>
          </cell>
          <cell r="D1032" t="str">
            <v>REN</v>
          </cell>
          <cell r="E1032" t="str">
            <v>17/02/25</v>
          </cell>
          <cell r="F1032" t="str">
            <v>28/02/2025</v>
          </cell>
          <cell r="G1032" t="str">
            <v>27/02/2026</v>
          </cell>
          <cell r="H1032" t="str">
            <v>08004499</v>
          </cell>
          <cell r="I1032" t="str">
            <v>AL BARAKA BANK (PAKISTAN) LIMITED</v>
          </cell>
          <cell r="J1032" t="str">
            <v>BANK</v>
          </cell>
          <cell r="K1032" t="str">
            <v xml:space="preserve">
HPA M/s. Al Baraka Bank (Pakistan) Limited 
Hpa M/S. Al Baraka Bank (Pakistan) Limited 
User: Malik Muhammad Ahsan Sadique</v>
          </cell>
          <cell r="L1032" t="str">
            <v>D</v>
          </cell>
          <cell r="M1032" t="str">
            <v>09000221</v>
          </cell>
          <cell r="N1032">
            <v>100</v>
          </cell>
          <cell r="O1032" t="str">
            <v>KARACHI</v>
          </cell>
          <cell r="P1032" t="str">
            <v>H No G682 Street 7 Al Rehman Garden Phase 2 Sharak Pur Road Lahore</v>
          </cell>
          <cell r="Q1032" t="str">
            <v>11000003</v>
          </cell>
          <cell r="R1032" t="str">
            <v>HONDA BRV - S</v>
          </cell>
          <cell r="S1032" t="str">
            <v>2018</v>
          </cell>
          <cell r="T1032" t="str">
            <v>LEE-18-6566</v>
          </cell>
          <cell r="U1032" t="str">
            <v>Z13508646</v>
          </cell>
          <cell r="V1032" t="str">
            <v>R008655</v>
          </cell>
          <cell r="W1032" t="str">
            <v>06-mar-2028</v>
          </cell>
          <cell r="Y1032">
            <v>3870000</v>
          </cell>
          <cell r="Z1032">
            <v>50044</v>
          </cell>
          <cell r="AA1032">
            <v>58050</v>
          </cell>
        </row>
        <row r="1033">
          <cell r="B1033" t="str">
            <v>KHI/HO/D/MO/PC COMP/C/107407/35/02/2025</v>
          </cell>
          <cell r="D1033" t="str">
            <v>REN</v>
          </cell>
          <cell r="E1033" t="str">
            <v>17/02/25</v>
          </cell>
          <cell r="F1033" t="str">
            <v>28/02/2025</v>
          </cell>
          <cell r="G1033" t="str">
            <v>27/02/2026</v>
          </cell>
          <cell r="H1033" t="str">
            <v>08004499</v>
          </cell>
          <cell r="I1033" t="str">
            <v>AL BARAKA BANK (PAKISTAN) LIMITED</v>
          </cell>
          <cell r="J1033" t="str">
            <v>BANK</v>
          </cell>
          <cell r="K1033" t="str">
            <v xml:space="preserve">
HPA M/s. Al Baraka Bank (Pakistan) Limited 
Hpa M/S. Al Baraka Bank (Pakistan) Limited 
User: Taimoor  Khan</v>
          </cell>
          <cell r="L1033" t="str">
            <v>D</v>
          </cell>
          <cell r="M1033" t="str">
            <v>09000221</v>
          </cell>
          <cell r="N1033">
            <v>100</v>
          </cell>
          <cell r="P1033" t="str">
            <v>H No 41 H4 Wapda Town Lahore</v>
          </cell>
          <cell r="Q1033" t="str">
            <v>11000003</v>
          </cell>
          <cell r="R1033" t="str">
            <v>SUZUKI CULTUS</v>
          </cell>
          <cell r="S1033" t="str">
            <v>2018</v>
          </cell>
          <cell r="T1033" t="str">
            <v>LEH-18-6332</v>
          </cell>
          <cell r="U1033" t="str">
            <v>117944</v>
          </cell>
          <cell r="V1033" t="str">
            <v>10017914</v>
          </cell>
          <cell r="W1033" t="str">
            <v>05-mar-2029</v>
          </cell>
          <cell r="Y1033">
            <v>2160000</v>
          </cell>
          <cell r="Z1033">
            <v>37242</v>
          </cell>
          <cell r="AA1033">
            <v>43200</v>
          </cell>
        </row>
        <row r="1034">
          <cell r="B1034" t="str">
            <v>KHI/HO/D/MO/PC COMP/C/107407/36/02/2025</v>
          </cell>
          <cell r="D1034" t="str">
            <v>REN</v>
          </cell>
          <cell r="E1034" t="str">
            <v>17/02/25</v>
          </cell>
          <cell r="F1034" t="str">
            <v>09/02/2025</v>
          </cell>
          <cell r="G1034" t="str">
            <v>08/02/2026</v>
          </cell>
          <cell r="H1034" t="str">
            <v>08004499</v>
          </cell>
          <cell r="I1034" t="str">
            <v>AL BARAKA BANK (PAKISTAN) LIMITED</v>
          </cell>
          <cell r="J1034" t="str">
            <v>BANK</v>
          </cell>
          <cell r="K1034" t="str">
            <v xml:space="preserve">
HPA M/s. Al Baraka Bank (Pakistan) Limited 
Hpa M/S. Al Baraka Bank (Pakistan) Limited 
User: Mateen  Akbar</v>
          </cell>
          <cell r="L1034" t="str">
            <v>D</v>
          </cell>
          <cell r="M1034" t="str">
            <v>09000221</v>
          </cell>
          <cell r="N1034">
            <v>100</v>
          </cell>
          <cell r="O1034" t="str">
            <v>KARACHI</v>
          </cell>
          <cell r="P1034" t="str">
            <v>H # 13 Street 50-A Sanat Nagar Lahore</v>
          </cell>
          <cell r="Q1034" t="str">
            <v>11000003</v>
          </cell>
          <cell r="R1034" t="str">
            <v>TOYOTA Yaris ATIV X 1.5 (</v>
          </cell>
          <cell r="S1034" t="str">
            <v>2022</v>
          </cell>
          <cell r="T1034" t="str">
            <v>ABV 720</v>
          </cell>
          <cell r="U1034" t="str">
            <v>2A18390</v>
          </cell>
          <cell r="V1034" t="str">
            <v>9502991</v>
          </cell>
          <cell r="W1034" t="str">
            <v>05-feb-2027</v>
          </cell>
          <cell r="Y1034">
            <v>3510000</v>
          </cell>
          <cell r="Z1034">
            <v>45388</v>
          </cell>
          <cell r="AA1034">
            <v>52650</v>
          </cell>
        </row>
        <row r="1035">
          <cell r="B1035" t="str">
            <v>KHI/HO/D/MO/PC COMP/C/107407/37/02/2025</v>
          </cell>
          <cell r="D1035" t="str">
            <v>REN</v>
          </cell>
          <cell r="E1035" t="str">
            <v>17/02/25</v>
          </cell>
          <cell r="F1035" t="str">
            <v>28/02/2025</v>
          </cell>
          <cell r="G1035" t="str">
            <v>27/02/2026</v>
          </cell>
          <cell r="H1035" t="str">
            <v>08004499</v>
          </cell>
          <cell r="I1035" t="str">
            <v>AL BARAKA BANK (PAKISTAN) LIMITED</v>
          </cell>
          <cell r="J1035" t="str">
            <v>BANK</v>
          </cell>
          <cell r="K1035" t="str">
            <v xml:space="preserve">
HPA M/s. Al Baraka Bank (Pakistan) Limited 
Hpa M/S. Al Baraka Bank (Pakistan) Limited 
User: Muhammad Tahir Javed</v>
          </cell>
          <cell r="L1035" t="str">
            <v>D</v>
          </cell>
          <cell r="M1035" t="str">
            <v>09000221</v>
          </cell>
          <cell r="N1035">
            <v>100</v>
          </cell>
          <cell r="O1035" t="str">
            <v>KARACHI</v>
          </cell>
          <cell r="P1035" t="str">
            <v>43- B City  Housing Sargodha Road Faisalabad</v>
          </cell>
          <cell r="Q1035" t="str">
            <v>11000003</v>
          </cell>
          <cell r="R1035" t="str">
            <v>SUZUKI CULTUS AGS</v>
          </cell>
          <cell r="S1035" t="str">
            <v>2021</v>
          </cell>
          <cell r="T1035" t="str">
            <v>ADW-088</v>
          </cell>
          <cell r="U1035" t="str">
            <v>PK10K171094</v>
          </cell>
          <cell r="V1035" t="str">
            <v>NF1AVK31H10071023</v>
          </cell>
          <cell r="W1035" t="str">
            <v>05-mar-2026</v>
          </cell>
          <cell r="Y1035">
            <v>3307500</v>
          </cell>
          <cell r="Z1035">
            <v>42770</v>
          </cell>
          <cell r="AA1035">
            <v>49613</v>
          </cell>
        </row>
        <row r="1036">
          <cell r="B1036" t="str">
            <v>KHI/HO/D/MO/PC COMP/C/107407/38/02/2025</v>
          </cell>
          <cell r="D1036" t="str">
            <v>REN</v>
          </cell>
          <cell r="E1036" t="str">
            <v>17/02/25</v>
          </cell>
          <cell r="F1036" t="str">
            <v>28/02/2025</v>
          </cell>
          <cell r="G1036" t="str">
            <v>27/02/2026</v>
          </cell>
          <cell r="H1036" t="str">
            <v>08004499</v>
          </cell>
          <cell r="I1036" t="str">
            <v>AL BARAKA BANK (PAKISTAN) LIMITED</v>
          </cell>
          <cell r="J1036" t="str">
            <v>BANK</v>
          </cell>
          <cell r="K1036" t="str">
            <v xml:space="preserve">
HPA M/s. Al Baraka Bank (Pakistan) Limited 
Hpa M/S. Al Baraka Bank (Pakistan) Limited 
User: Abdul   Salam</v>
          </cell>
          <cell r="L1036" t="str">
            <v>D</v>
          </cell>
          <cell r="M1036" t="str">
            <v>09000221</v>
          </cell>
          <cell r="N1036">
            <v>100</v>
          </cell>
          <cell r="O1036" t="str">
            <v>KARACHI</v>
          </cell>
          <cell r="P1036" t="str">
            <v>Plot No 748 Saeedabad Baldia Town Sec-9 D Karachi</v>
          </cell>
          <cell r="Q1036" t="str">
            <v>11000003</v>
          </cell>
          <cell r="R1036" t="str">
            <v>TOYOTA COROLLA GLI A/T</v>
          </cell>
          <cell r="S1036" t="str">
            <v>2019</v>
          </cell>
          <cell r="T1036" t="str">
            <v>BPH-610</v>
          </cell>
          <cell r="U1036" t="str">
            <v>Z547633</v>
          </cell>
          <cell r="V1036" t="str">
            <v>4173376</v>
          </cell>
          <cell r="W1036" t="str">
            <v>05-mar-2027</v>
          </cell>
          <cell r="Y1036">
            <v>3690000</v>
          </cell>
          <cell r="Z1036">
            <v>47716</v>
          </cell>
          <cell r="AA1036">
            <v>55350</v>
          </cell>
        </row>
        <row r="1037">
          <cell r="B1037" t="str">
            <v>KHI/HO/D/MO/PC COMP/C/107407/39/02/2025</v>
          </cell>
          <cell r="D1037" t="str">
            <v>REN</v>
          </cell>
          <cell r="E1037" t="str">
            <v>17/02/25</v>
          </cell>
          <cell r="F1037" t="str">
            <v>28/02/2025</v>
          </cell>
          <cell r="G1037" t="str">
            <v>27/02/2026</v>
          </cell>
          <cell r="H1037" t="str">
            <v>08004499</v>
          </cell>
          <cell r="I1037" t="str">
            <v>AL BARAKA BANK (PAKISTAN) LIMITED</v>
          </cell>
          <cell r="J1037" t="str">
            <v>BANK</v>
          </cell>
          <cell r="K1037" t="str">
            <v xml:space="preserve">
HPA M/s. Al Baraka Bank (Pakistan) Limited 
Hpa M/S. Al Baraka Bank (Pakistan) Limited 
User: Hasna  Arshad</v>
          </cell>
          <cell r="L1037" t="str">
            <v>D</v>
          </cell>
          <cell r="M1037" t="str">
            <v>09000221</v>
          </cell>
          <cell r="N1037">
            <v>100</v>
          </cell>
          <cell r="P1037" t="str">
            <v>H No 1026 Bahria Town Phase V Road D Islamabad</v>
          </cell>
          <cell r="Q1037" t="str">
            <v>11000003</v>
          </cell>
          <cell r="R1037" t="str">
            <v>CHANGAN ALSVIN</v>
          </cell>
          <cell r="S1037" t="str">
            <v>2021</v>
          </cell>
          <cell r="T1037" t="str">
            <v>AVW-795</v>
          </cell>
          <cell r="U1037" t="str">
            <v>520103</v>
          </cell>
          <cell r="V1037" t="str">
            <v>1003682</v>
          </cell>
          <cell r="W1037" t="str">
            <v>05-mar-2027</v>
          </cell>
          <cell r="Y1037">
            <v>3060000</v>
          </cell>
          <cell r="Z1037">
            <v>52758</v>
          </cell>
          <cell r="AA1037">
            <v>61200</v>
          </cell>
        </row>
        <row r="1038">
          <cell r="B1038" t="str">
            <v>KHI/HO/D/MO/PC COMP/C/107407/40/02/2025</v>
          </cell>
          <cell r="D1038" t="str">
            <v>REN</v>
          </cell>
          <cell r="E1038" t="str">
            <v>17/02/25</v>
          </cell>
          <cell r="F1038" t="str">
            <v>28/02/2025</v>
          </cell>
          <cell r="G1038" t="str">
            <v>27/02/2026</v>
          </cell>
          <cell r="H1038" t="str">
            <v>08004499</v>
          </cell>
          <cell r="I1038" t="str">
            <v>AL BARAKA BANK (PAKISTAN) LIMITED</v>
          </cell>
          <cell r="J1038" t="str">
            <v>BANK</v>
          </cell>
          <cell r="K1038" t="str">
            <v xml:space="preserve">
HPA M/s. Al Baraka Bank (Pakistan) Limited 
Hpa M/S. Al Baraka Bank (Pakistan) Limited 
User: Imran  Khan</v>
          </cell>
          <cell r="L1038" t="str">
            <v>D</v>
          </cell>
          <cell r="M1038" t="str">
            <v>09000221</v>
          </cell>
          <cell r="N1038">
            <v>100</v>
          </cell>
          <cell r="P1038" t="str">
            <v>H No 46 D Street 03 Block DD RWD  Society Islamabad</v>
          </cell>
          <cell r="Q1038" t="str">
            <v>11000003</v>
          </cell>
          <cell r="R1038" t="str">
            <v>SUZUKI ALTO VX</v>
          </cell>
          <cell r="S1038" t="str">
            <v>2024</v>
          </cell>
          <cell r="T1038" t="str">
            <v>BDK-745</v>
          </cell>
          <cell r="U1038" t="str">
            <v>295581</v>
          </cell>
          <cell r="V1038" t="str">
            <v>1195602</v>
          </cell>
          <cell r="W1038" t="str">
            <v>05-mar-2029</v>
          </cell>
          <cell r="Y1038">
            <v>2097900</v>
          </cell>
          <cell r="Z1038">
            <v>36170</v>
          </cell>
          <cell r="AA1038">
            <v>41958</v>
          </cell>
        </row>
        <row r="1039">
          <cell r="B1039" t="str">
            <v>KHI/HO/D/MO/PC COMP/C/107407/41/02/2025</v>
          </cell>
          <cell r="D1039" t="str">
            <v>REN</v>
          </cell>
          <cell r="E1039" t="str">
            <v>17/02/25</v>
          </cell>
          <cell r="F1039" t="str">
            <v>28/02/2025</v>
          </cell>
          <cell r="G1039" t="str">
            <v>27/02/2026</v>
          </cell>
          <cell r="H1039" t="str">
            <v>08004499</v>
          </cell>
          <cell r="I1039" t="str">
            <v>AL BARAKA BANK (PAKISTAN) LIMITED</v>
          </cell>
          <cell r="J1039" t="str">
            <v>BANK</v>
          </cell>
          <cell r="K1039" t="str">
            <v xml:space="preserve">
HPA M/s. Al Baraka Bank (Pakistan) Limited 
Hpa M/S. Al Baraka Bank (Pakistan) Limited 
User: Muhammad Adnan Siddique</v>
          </cell>
          <cell r="L1039" t="str">
            <v>D</v>
          </cell>
          <cell r="M1039" t="str">
            <v>09000221</v>
          </cell>
          <cell r="N1039">
            <v>100</v>
          </cell>
          <cell r="O1039" t="str">
            <v>KARACHI</v>
          </cell>
          <cell r="P1039" t="str">
            <v>H # 2 Dr Muhammad Siddique Garrison Homes Phase 2 Near Harbanspura Phatak Lahore</v>
          </cell>
          <cell r="Q1039" t="str">
            <v>11000003</v>
          </cell>
          <cell r="R1039" t="str">
            <v>TOYOTA YARIS ATIV X CVT</v>
          </cell>
          <cell r="S1039" t="str">
            <v>2020</v>
          </cell>
          <cell r="T1039" t="str">
            <v>AAY-484</v>
          </cell>
          <cell r="U1039" t="str">
            <v>2A08021</v>
          </cell>
          <cell r="V1039" t="str">
            <v>R9503428</v>
          </cell>
          <cell r="W1039" t="str">
            <v>06-mar-2028</v>
          </cell>
          <cell r="Y1039">
            <v>4050000</v>
          </cell>
          <cell r="Z1039">
            <v>52370</v>
          </cell>
          <cell r="AA1039">
            <v>60750</v>
          </cell>
        </row>
        <row r="1040">
          <cell r="B1040" t="str">
            <v>KHI/HO/D/MO/PC COMP/C/107407/42/02/2025</v>
          </cell>
          <cell r="D1040" t="str">
            <v>REN</v>
          </cell>
          <cell r="E1040" t="str">
            <v>17/02/25</v>
          </cell>
          <cell r="F1040" t="str">
            <v>28/02/2025</v>
          </cell>
          <cell r="G1040" t="str">
            <v>27/02/2026</v>
          </cell>
          <cell r="H1040" t="str">
            <v>08004499</v>
          </cell>
          <cell r="I1040" t="str">
            <v>AL BARAKA BANK (PAKISTAN) LIMITED</v>
          </cell>
          <cell r="J1040" t="str">
            <v>BANK</v>
          </cell>
          <cell r="K1040" t="str">
            <v xml:space="preserve">
HPA M/s. Al Baraka Bank (Pakistan) Limited 
Hpa M/S. Al Baraka Bank (Pakistan) Limited 
User: Malik Muzaffar Ali</v>
          </cell>
          <cell r="L1040" t="str">
            <v>D</v>
          </cell>
          <cell r="M1040" t="str">
            <v>09000221</v>
          </cell>
          <cell r="N1040">
            <v>100</v>
          </cell>
          <cell r="O1040" t="str">
            <v>KARACHI</v>
          </cell>
          <cell r="P1040" t="str">
            <v>H No 130 B Block LDA Shah Jamal Town Walton Lahore</v>
          </cell>
          <cell r="Q1040" t="str">
            <v>11000003</v>
          </cell>
          <cell r="R1040" t="str">
            <v>TOYOTA COROLLA GLI M/T 1.</v>
          </cell>
          <cell r="S1040" t="str">
            <v>2018</v>
          </cell>
          <cell r="T1040" t="str">
            <v>LEB-19-7979</v>
          </cell>
          <cell r="U1040" t="str">
            <v>Z545431</v>
          </cell>
          <cell r="V1040" t="str">
            <v>R4171631</v>
          </cell>
          <cell r="W1040" t="str">
            <v>06-mar-2028</v>
          </cell>
          <cell r="Y1040">
            <v>3780000</v>
          </cell>
          <cell r="Z1040">
            <v>48879</v>
          </cell>
          <cell r="AA1040">
            <v>56700</v>
          </cell>
        </row>
        <row r="1041">
          <cell r="B1041" t="str">
            <v>KHI/HO/D/MO/PC COMP/C/107407/43/02/2025</v>
          </cell>
          <cell r="D1041" t="str">
            <v>REN</v>
          </cell>
          <cell r="E1041" t="str">
            <v>17/02/25</v>
          </cell>
          <cell r="F1041" t="str">
            <v>28/02/2025</v>
          </cell>
          <cell r="G1041" t="str">
            <v>27/02/2026</v>
          </cell>
          <cell r="H1041" t="str">
            <v>08004499</v>
          </cell>
          <cell r="I1041" t="str">
            <v>AL BARAKA BANK (PAKISTAN) LIMITED</v>
          </cell>
          <cell r="J1041" t="str">
            <v>BANK</v>
          </cell>
          <cell r="K1041" t="str">
            <v xml:space="preserve">
HPA M/s. Al Baraka Bank (Pakistan) Limited 
Hpa M/S. Al Baraka Bank (Pakistan) Limited 
User: Ghulam  Sabir</v>
          </cell>
          <cell r="L1041" t="str">
            <v>D</v>
          </cell>
          <cell r="M1041" t="str">
            <v>09000221</v>
          </cell>
          <cell r="N1041">
            <v>100</v>
          </cell>
          <cell r="O1041" t="str">
            <v>KARACHI</v>
          </cell>
          <cell r="P1041" t="str">
            <v>H No 334-K Liaqat Chowk Sabzazar Scheme Lahore</v>
          </cell>
          <cell r="Q1041" t="str">
            <v>11000003</v>
          </cell>
          <cell r="R1041" t="str">
            <v>SUZUKI ALTO</v>
          </cell>
          <cell r="S1041" t="str">
            <v>2022</v>
          </cell>
          <cell r="T1041" t="str">
            <v>AMA-804</v>
          </cell>
          <cell r="U1041" t="str">
            <v>R250782</v>
          </cell>
          <cell r="V1041" t="str">
            <v>H1150770</v>
          </cell>
          <cell r="W1041" t="str">
            <v>05-mar-2029</v>
          </cell>
          <cell r="Y1041">
            <v>2160000</v>
          </cell>
          <cell r="Z1041">
            <v>37242</v>
          </cell>
          <cell r="AA1041">
            <v>43200</v>
          </cell>
        </row>
        <row r="1042">
          <cell r="B1042" t="str">
            <v>KHI/HO/D/MO/PC COMP/C/107407/44/02/2025</v>
          </cell>
          <cell r="D1042" t="str">
            <v>REN</v>
          </cell>
          <cell r="E1042" t="str">
            <v>17/02/25</v>
          </cell>
          <cell r="F1042" t="str">
            <v>28/02/2025</v>
          </cell>
          <cell r="G1042" t="str">
            <v>27/02/2026</v>
          </cell>
          <cell r="H1042" t="str">
            <v>08004499</v>
          </cell>
          <cell r="I1042" t="str">
            <v>AL BARAKA BANK (PAKISTAN) LIMITED</v>
          </cell>
          <cell r="J1042" t="str">
            <v>BANK</v>
          </cell>
          <cell r="K1042" t="str">
            <v xml:space="preserve">
HPA M/s. Al Baraka Bank (Pakistan) Limited 
Hpa M/S. Al Baraka Bank (Pakistan) Limited 
User: Daud Bin Imran  Baloch</v>
          </cell>
          <cell r="L1042" t="str">
            <v>D</v>
          </cell>
          <cell r="M1042" t="str">
            <v>09000221</v>
          </cell>
          <cell r="N1042">
            <v>100</v>
          </cell>
          <cell r="O1042" t="str">
            <v>KARACHI</v>
          </cell>
          <cell r="P1042" t="str">
            <v>H # 22-E Govt Chauburji Quarters Near Dispensary Multan Road Lahore</v>
          </cell>
          <cell r="Q1042" t="str">
            <v>11000003</v>
          </cell>
          <cell r="R1042" t="str">
            <v>SUZUKI ALTO VXL AGS E-2</v>
          </cell>
          <cell r="S1042" t="str">
            <v>2021</v>
          </cell>
          <cell r="T1042" t="str">
            <v>AEW-647</v>
          </cell>
          <cell r="U1042" t="str">
            <v>R179580</v>
          </cell>
          <cell r="V1042" t="str">
            <v>1079653</v>
          </cell>
          <cell r="W1042" t="str">
            <v>05-mar-2029</v>
          </cell>
          <cell r="Y1042">
            <v>2340000</v>
          </cell>
          <cell r="Z1042">
            <v>40345</v>
          </cell>
          <cell r="AA1042">
            <v>46800</v>
          </cell>
        </row>
        <row r="1043">
          <cell r="B1043" t="str">
            <v>KHI/HO/D/MO/PC COMP/C/107407/45/02/2025</v>
          </cell>
          <cell r="D1043" t="str">
            <v>REN</v>
          </cell>
          <cell r="E1043" t="str">
            <v>17/02/25</v>
          </cell>
          <cell r="F1043" t="str">
            <v>28/02/2025</v>
          </cell>
          <cell r="G1043" t="str">
            <v>27/02/2026</v>
          </cell>
          <cell r="H1043" t="str">
            <v>08004499</v>
          </cell>
          <cell r="I1043" t="str">
            <v>AL BARAKA BANK (PAKISTAN) LIMITED</v>
          </cell>
          <cell r="J1043" t="str">
            <v>BANK</v>
          </cell>
          <cell r="K1043" t="str">
            <v xml:space="preserve">
HPA M/s. Al Baraka Bank (Pakistan) Limited 
Hpa M/S. Al Baraka Bank (Pakistan) Limited 
User: Khalid  Ahmed</v>
          </cell>
          <cell r="L1043" t="str">
            <v>D</v>
          </cell>
          <cell r="M1043" t="str">
            <v>09000221</v>
          </cell>
          <cell r="N1043">
            <v>100</v>
          </cell>
          <cell r="P1043" t="str">
            <v>Balglow No. 10 Street 6 Jawed Bahria Co Opr. H. Society Hawksbay Road Maripur KHI</v>
          </cell>
          <cell r="Q1043" t="str">
            <v>11000003</v>
          </cell>
          <cell r="R1043" t="str">
            <v>HONDA BRV I-VTEC S STD</v>
          </cell>
          <cell r="S1043" t="str">
            <v>2020</v>
          </cell>
          <cell r="T1043" t="str">
            <v>BJ-0231</v>
          </cell>
          <cell r="U1043" t="str">
            <v>4802326</v>
          </cell>
          <cell r="V1043" t="str">
            <v>19009</v>
          </cell>
          <cell r="W1043" t="str">
            <v>05-mar-2027</v>
          </cell>
          <cell r="Y1043">
            <v>4050000</v>
          </cell>
          <cell r="Z1043">
            <v>52370</v>
          </cell>
          <cell r="AA1043">
            <v>60750</v>
          </cell>
        </row>
        <row r="1044">
          <cell r="B1044" t="str">
            <v>KHI/HO/D/MO/PC COMP/C/107407/46/02/2025</v>
          </cell>
          <cell r="D1044" t="str">
            <v>REN</v>
          </cell>
          <cell r="E1044" t="str">
            <v>17/02/25</v>
          </cell>
          <cell r="F1044" t="str">
            <v>09/02/2025</v>
          </cell>
          <cell r="G1044" t="str">
            <v>08/02/2026</v>
          </cell>
          <cell r="H1044" t="str">
            <v>08004499</v>
          </cell>
          <cell r="I1044" t="str">
            <v>AL BARAKA BANK (PAKISTAN) LIMITED</v>
          </cell>
          <cell r="J1044" t="str">
            <v>BANK</v>
          </cell>
          <cell r="K1044" t="str">
            <v xml:space="preserve">
HPA M/s. Al Baraka Bank (Pakistan) Limited 
Hpa M/S. Al Baraka Bank (Pakistan) Limited 
User: Malik Naseer Ahmad Bhatti</v>
          </cell>
          <cell r="L1044" t="str">
            <v>D</v>
          </cell>
          <cell r="M1044" t="str">
            <v>09000221</v>
          </cell>
          <cell r="N1044">
            <v>100</v>
          </cell>
          <cell r="P1044" t="str">
            <v>H # 345 Ext 8 Bhatti Flour Mills Fairozabad Makhdoom Rasheed Rd Ansar Colony Multan</v>
          </cell>
          <cell r="Q1044" t="str">
            <v>11000003</v>
          </cell>
          <cell r="R1044" t="str">
            <v>HONDA CIVIC VTI  ORIEL PT</v>
          </cell>
          <cell r="S1044" t="str">
            <v>2016</v>
          </cell>
          <cell r="T1044" t="str">
            <v>LE-16-9211</v>
          </cell>
          <cell r="U1044" t="str">
            <v>14045329</v>
          </cell>
          <cell r="V1044" t="str">
            <v>129100</v>
          </cell>
          <cell r="W1044" t="str">
            <v>05-mar-2027</v>
          </cell>
          <cell r="Y1044">
            <v>3645000</v>
          </cell>
          <cell r="Z1044">
            <v>47134</v>
          </cell>
          <cell r="AA1044">
            <v>54675</v>
          </cell>
        </row>
        <row r="1045">
          <cell r="B1045" t="str">
            <v>KHI/HO/D/MO/PC COMP/C/107407/47/02/2025</v>
          </cell>
          <cell r="D1045" t="str">
            <v>REN</v>
          </cell>
          <cell r="E1045" t="str">
            <v>17/02/25</v>
          </cell>
          <cell r="F1045" t="str">
            <v>28/02/2025</v>
          </cell>
          <cell r="G1045" t="str">
            <v>27/02/2026</v>
          </cell>
          <cell r="H1045" t="str">
            <v>08004499</v>
          </cell>
          <cell r="I1045" t="str">
            <v>AL BARAKA BANK (PAKISTAN) LIMITED</v>
          </cell>
          <cell r="J1045" t="str">
            <v>BANK</v>
          </cell>
          <cell r="K1045" t="str">
            <v xml:space="preserve">
HPA M/s. Al Baraka Bank (Pakistan) Limited 
Hpa M/S. Al Baraka Bank (Pakistan) Limited 
User: Muaz  Sarfraz</v>
          </cell>
          <cell r="L1045" t="str">
            <v>D</v>
          </cell>
          <cell r="M1045" t="str">
            <v>09000221</v>
          </cell>
          <cell r="N1045">
            <v>100</v>
          </cell>
          <cell r="O1045" t="str">
            <v>KARACHI</v>
          </cell>
          <cell r="P1045" t="str">
            <v>ST 2 Mohallah Gulshan Umar Colony Bhatta 2 Green Town Lahore</v>
          </cell>
          <cell r="Q1045" t="str">
            <v>11000003</v>
          </cell>
          <cell r="R1045" t="str">
            <v>SUZUKI WAGON-R</v>
          </cell>
          <cell r="S1045" t="str">
            <v>2019</v>
          </cell>
          <cell r="T1045" t="str">
            <v>LED-19-1063</v>
          </cell>
          <cell r="U1045" t="str">
            <v>B186091</v>
          </cell>
          <cell r="V1045" t="str">
            <v>K10086079</v>
          </cell>
          <cell r="W1045" t="str">
            <v>05-mar-2029</v>
          </cell>
          <cell r="Y1045">
            <v>1935000</v>
          </cell>
          <cell r="Z1045">
            <v>33362</v>
          </cell>
          <cell r="AA1045">
            <v>38700</v>
          </cell>
        </row>
        <row r="1046">
          <cell r="B1046" t="str">
            <v>KHI/HO/D/MO/PC COMP/C/107407/48/02/2025</v>
          </cell>
          <cell r="D1046" t="str">
            <v>REN</v>
          </cell>
          <cell r="E1046" t="str">
            <v>17/02/25</v>
          </cell>
          <cell r="F1046" t="str">
            <v>28/02/2025</v>
          </cell>
          <cell r="G1046" t="str">
            <v>27/02/2026</v>
          </cell>
          <cell r="H1046" t="str">
            <v>08004499</v>
          </cell>
          <cell r="I1046" t="str">
            <v>AL BARAKA BANK (PAKISTAN) LIMITED</v>
          </cell>
          <cell r="J1046" t="str">
            <v>BANK</v>
          </cell>
          <cell r="K1046" t="str">
            <v xml:space="preserve">
HPA M/s. Al Baraka Bank (Pakistan) Limited 
Hpa M/S. Al Baraka Bank (Pakistan) Limited 
User: Awais  Ishtiaq</v>
          </cell>
          <cell r="L1046" t="str">
            <v>D</v>
          </cell>
          <cell r="M1046" t="str">
            <v>09000221</v>
          </cell>
          <cell r="N1046">
            <v>100</v>
          </cell>
          <cell r="O1046" t="str">
            <v>KARACHI</v>
          </cell>
          <cell r="P1046" t="str">
            <v>H # 62-B GM Abad Saddar Bazar Faisalabad</v>
          </cell>
          <cell r="Q1046" t="str">
            <v>11000003</v>
          </cell>
          <cell r="R1046" t="str">
            <v>HONDA CIVIC VTI  ORIEL PT</v>
          </cell>
          <cell r="S1046" t="str">
            <v>2017</v>
          </cell>
          <cell r="T1046" t="str">
            <v>LEC-17-856</v>
          </cell>
          <cell r="U1046" t="str">
            <v>R18Z12906534</v>
          </cell>
          <cell r="V1046" t="str">
            <v>NFBFC66534HR009364</v>
          </cell>
          <cell r="W1046" t="str">
            <v>05-mar-2027</v>
          </cell>
          <cell r="Y1046">
            <v>3420000</v>
          </cell>
          <cell r="Z1046">
            <v>44224</v>
          </cell>
          <cell r="AA1046">
            <v>51300</v>
          </cell>
        </row>
        <row r="1047">
          <cell r="B1047" t="str">
            <v>KHI/HO/D/MO/PC COMP/C/107407/49/02/2025</v>
          </cell>
          <cell r="D1047" t="str">
            <v>REN</v>
          </cell>
          <cell r="E1047" t="str">
            <v>17/02/25</v>
          </cell>
          <cell r="F1047" t="str">
            <v>13/02/2025</v>
          </cell>
          <cell r="G1047" t="str">
            <v>12/02/2026</v>
          </cell>
          <cell r="H1047" t="str">
            <v>08004499</v>
          </cell>
          <cell r="I1047" t="str">
            <v>AL BARAKA BANK (PAKISTAN) LIMITED</v>
          </cell>
          <cell r="J1047" t="str">
            <v>BANK</v>
          </cell>
          <cell r="K1047" t="str">
            <v xml:space="preserve">
HPA M/s. Al Baraka Bank (Pakistan) Limited 
Hpa M/S. Al Baraka Bank (Pakistan) Limited 
User: Ashfaq  Ahmad</v>
          </cell>
          <cell r="L1047" t="str">
            <v>D</v>
          </cell>
          <cell r="M1047" t="str">
            <v>09000221</v>
          </cell>
          <cell r="N1047">
            <v>100</v>
          </cell>
          <cell r="O1047" t="str">
            <v>KARACHI</v>
          </cell>
          <cell r="P1047" t="str">
            <v>Arzani Pur PO Tehsil Chunain Kasur</v>
          </cell>
          <cell r="Q1047" t="str">
            <v>11000003</v>
          </cell>
          <cell r="R1047" t="str">
            <v>SUZUKI ALTO</v>
          </cell>
          <cell r="S1047" t="str">
            <v>2024</v>
          </cell>
          <cell r="T1047" t="str">
            <v>ARA-874</v>
          </cell>
          <cell r="U1047" t="str">
            <v>6R296952</v>
          </cell>
          <cell r="V1047" t="str">
            <v>6H1196967</v>
          </cell>
          <cell r="W1047" t="str">
            <v>05-feb-2029</v>
          </cell>
          <cell r="Y1047">
            <v>2350800</v>
          </cell>
          <cell r="Z1047">
            <v>40531</v>
          </cell>
          <cell r="AA1047">
            <v>47016</v>
          </cell>
        </row>
        <row r="1048">
          <cell r="B1048" t="str">
            <v>KHI/HO/D/MO/PC COMP/C/107407/50/02/2025</v>
          </cell>
          <cell r="D1048" t="str">
            <v>REN</v>
          </cell>
          <cell r="E1048" t="str">
            <v>17/02/25</v>
          </cell>
          <cell r="F1048" t="str">
            <v>13/02/2025</v>
          </cell>
          <cell r="G1048" t="str">
            <v>12/02/2026</v>
          </cell>
          <cell r="H1048" t="str">
            <v>08004499</v>
          </cell>
          <cell r="I1048" t="str">
            <v>AL BARAKA BANK (PAKISTAN) LIMITED</v>
          </cell>
          <cell r="J1048" t="str">
            <v>BANK</v>
          </cell>
          <cell r="K1048" t="str">
            <v xml:space="preserve">
HPA M/s. Al Baraka Bank (Pakistan) Limited 
Hpa M/S. Al Baraka Bank (Pakistan) Limited 
User: Laiba    Maqsood</v>
          </cell>
          <cell r="L1048" t="str">
            <v>D</v>
          </cell>
          <cell r="M1048" t="str">
            <v>09000221</v>
          </cell>
          <cell r="N1048">
            <v>100</v>
          </cell>
          <cell r="O1048" t="str">
            <v>KARACHI</v>
          </cell>
          <cell r="P1048" t="str">
            <v>H No 7 C St 3 Sharif Street Mohallah Karamatabad Opp Wahdat Colony Lahore</v>
          </cell>
          <cell r="Q1048" t="str">
            <v>11000003</v>
          </cell>
          <cell r="R1048" t="str">
            <v>HONDA CITY</v>
          </cell>
          <cell r="S1048" t="str">
            <v>2017</v>
          </cell>
          <cell r="T1048" t="str">
            <v>LEA-17A-881</v>
          </cell>
          <cell r="U1048" t="str">
            <v>Z17501369</v>
          </cell>
          <cell r="V1048" t="str">
            <v>HR210755</v>
          </cell>
          <cell r="W1048" t="str">
            <v>05-feb-2026</v>
          </cell>
          <cell r="Y1048">
            <v>2700000</v>
          </cell>
          <cell r="Z1048">
            <v>46551</v>
          </cell>
          <cell r="AA1048">
            <v>54000</v>
          </cell>
        </row>
        <row r="1049">
          <cell r="B1049" t="str">
            <v>KHI/HO/D/MO/PC COMP/C/107407/51/02/2025</v>
          </cell>
          <cell r="D1049" t="str">
            <v>REN</v>
          </cell>
          <cell r="E1049" t="str">
            <v>17/02/25</v>
          </cell>
          <cell r="F1049" t="str">
            <v>02/02/2025</v>
          </cell>
          <cell r="G1049" t="str">
            <v>01/02/2026</v>
          </cell>
          <cell r="H1049" t="str">
            <v>08004499</v>
          </cell>
          <cell r="I1049" t="str">
            <v>AL BARAKA BANK (PAKISTAN) LIMITED</v>
          </cell>
          <cell r="J1049" t="str">
            <v>BANK</v>
          </cell>
          <cell r="K1049" t="str">
            <v xml:space="preserve">
HPA M/s. Al Baraka Bank (Pakistan) Limited 
Hpa M/S. Al Baraka Bank (Pakistan) Limited 
User: Muhammad Jehangir Khan</v>
          </cell>
          <cell r="L1049" t="str">
            <v>D</v>
          </cell>
          <cell r="M1049" t="str">
            <v>09000221</v>
          </cell>
          <cell r="N1049">
            <v>100</v>
          </cell>
          <cell r="O1049" t="str">
            <v>KARACHI</v>
          </cell>
          <cell r="P1049" t="str">
            <v>H No D-1 Medical Colony Rajan Pur DG Khan</v>
          </cell>
          <cell r="Q1049" t="str">
            <v>11000003</v>
          </cell>
          <cell r="R1049" t="str">
            <v>PROTON PROTON X70 FWD Pre</v>
          </cell>
          <cell r="S1049" t="str">
            <v>2023</v>
          </cell>
          <cell r="T1049" t="str">
            <v>AND-795</v>
          </cell>
          <cell r="U1049" t="str">
            <v>3G15TDN3WA3109965</v>
          </cell>
          <cell r="V1049" t="str">
            <v>NKPNL2ERPP001041</v>
          </cell>
          <cell r="W1049" t="str">
            <v>05-feb-2028</v>
          </cell>
          <cell r="Y1049">
            <v>5797255</v>
          </cell>
          <cell r="Z1049">
            <v>74964</v>
          </cell>
          <cell r="AA1049">
            <v>86959</v>
          </cell>
        </row>
        <row r="1050">
          <cell r="B1050" t="str">
            <v>KHI/HO/D/MO/PC COMP/C/107407/52/02/2025</v>
          </cell>
          <cell r="D1050" t="str">
            <v>REN</v>
          </cell>
          <cell r="E1050" t="str">
            <v>17/02/25</v>
          </cell>
          <cell r="F1050" t="str">
            <v>15/02/2025</v>
          </cell>
          <cell r="G1050" t="str">
            <v>14/02/2026</v>
          </cell>
          <cell r="H1050" t="str">
            <v>08004499</v>
          </cell>
          <cell r="I1050" t="str">
            <v>AL BARAKA BANK (PAKISTAN) LIMITED</v>
          </cell>
          <cell r="J1050" t="str">
            <v>BANK</v>
          </cell>
          <cell r="K1050" t="str">
            <v xml:space="preserve">
HPA M/s. Al Baraka Bank (Pakistan) Limited 
Hpa M/S. Al Baraka Bank (Pakistan) Limited 
User: Muhammad Saud Akbar</v>
          </cell>
          <cell r="L1050" t="str">
            <v>D</v>
          </cell>
          <cell r="M1050" t="str">
            <v>09000221</v>
          </cell>
          <cell r="N1050">
            <v>100</v>
          </cell>
          <cell r="O1050" t="str">
            <v>KARACHI</v>
          </cell>
          <cell r="P1050" t="str">
            <v>H No 60 Faisal Block Azam Garden Multan Road Multan</v>
          </cell>
          <cell r="Q1050" t="str">
            <v>11000003</v>
          </cell>
          <cell r="R1050" t="str">
            <v>TOYOTA COROLLA ALTIS GRAN</v>
          </cell>
          <cell r="S1050" t="str">
            <v>2019</v>
          </cell>
          <cell r="T1050" t="str">
            <v>APH-111</v>
          </cell>
          <cell r="U1050" t="str">
            <v>Q339805</v>
          </cell>
          <cell r="V1050" t="str">
            <v>R7038969</v>
          </cell>
          <cell r="W1050" t="str">
            <v>05-mar-2026</v>
          </cell>
          <cell r="Y1050">
            <v>3825000</v>
          </cell>
          <cell r="Z1050">
            <v>49461</v>
          </cell>
          <cell r="AA1050">
            <v>57375</v>
          </cell>
        </row>
        <row r="1051">
          <cell r="B1051" t="str">
            <v>KHI/HO/D/MO/PC COMP/C/107407/53/02/2025</v>
          </cell>
          <cell r="D1051" t="str">
            <v>REN</v>
          </cell>
          <cell r="E1051" t="str">
            <v>17/02/25</v>
          </cell>
          <cell r="F1051" t="str">
            <v>16/02/2025</v>
          </cell>
          <cell r="G1051" t="str">
            <v>15/02/2026</v>
          </cell>
          <cell r="H1051" t="str">
            <v>08004499</v>
          </cell>
          <cell r="I1051" t="str">
            <v>AL BARAKA BANK (PAKISTAN) LIMITED</v>
          </cell>
          <cell r="J1051" t="str">
            <v>BANK</v>
          </cell>
          <cell r="K1051" t="str">
            <v xml:space="preserve">
HPA M/s. Al Baraka Bank (Pakistan) Limited 
Hpa M/S. Al Baraka Bank (Pakistan) Limited 
User: Sakhawat   Latif</v>
          </cell>
          <cell r="L1051" t="str">
            <v>D</v>
          </cell>
          <cell r="M1051" t="str">
            <v>09000221</v>
          </cell>
          <cell r="N1051">
            <v>100</v>
          </cell>
          <cell r="O1051" t="str">
            <v>KARACHI</v>
          </cell>
          <cell r="P1051" t="str">
            <v>H No 6 St No 22 Aziz Colony Wandala Road Shahdara Lahore</v>
          </cell>
          <cell r="Q1051" t="str">
            <v>11000003</v>
          </cell>
          <cell r="R1051" t="str">
            <v>SUZUKI CULTUS</v>
          </cell>
          <cell r="S1051" t="str">
            <v>2018</v>
          </cell>
          <cell r="T1051" t="str">
            <v>LEE-18-8904</v>
          </cell>
          <cell r="U1051" t="str">
            <v>K121508</v>
          </cell>
          <cell r="V1051" t="str">
            <v>H10021462</v>
          </cell>
          <cell r="W1051" t="str">
            <v>06-mar-2028</v>
          </cell>
          <cell r="Y1051">
            <v>1840250</v>
          </cell>
          <cell r="Z1051">
            <v>31729</v>
          </cell>
          <cell r="AA1051">
            <v>36805</v>
          </cell>
        </row>
        <row r="1052">
          <cell r="B1052" t="str">
            <v>KHI/HO/D/MO/PC COMP/C/107407/54/02/2025</v>
          </cell>
          <cell r="D1052" t="str">
            <v>REN</v>
          </cell>
          <cell r="E1052" t="str">
            <v>17/02/25</v>
          </cell>
          <cell r="F1052" t="str">
            <v>16/02/2025</v>
          </cell>
          <cell r="G1052" t="str">
            <v>15/02/2026</v>
          </cell>
          <cell r="H1052" t="str">
            <v>08004499</v>
          </cell>
          <cell r="I1052" t="str">
            <v>AL BARAKA BANK (PAKISTAN) LIMITED</v>
          </cell>
          <cell r="J1052" t="str">
            <v>BANK</v>
          </cell>
          <cell r="K1052" t="str">
            <v xml:space="preserve">
HPA M/s. Al Baraka Bank (Pakistan) Limited 
Hpa M/S. Al Baraka Bank (Pakistan) Limited 
User: Rao  Zohair  Hussain</v>
          </cell>
          <cell r="L1052" t="str">
            <v>D</v>
          </cell>
          <cell r="M1052" t="str">
            <v>09000221</v>
          </cell>
          <cell r="N1052">
            <v>100</v>
          </cell>
          <cell r="O1052" t="str">
            <v>KARACHI</v>
          </cell>
          <cell r="P1052" t="str">
            <v>H # R-329 Anwar-e-Ibrahim Malir City Karachi</v>
          </cell>
          <cell r="Q1052" t="str">
            <v>11000003</v>
          </cell>
          <cell r="R1052" t="str">
            <v>SUZUKI ALTO VXL AGS E-2</v>
          </cell>
          <cell r="S1052" t="str">
            <v>2020</v>
          </cell>
          <cell r="T1052" t="str">
            <v>BRT130</v>
          </cell>
          <cell r="U1052" t="str">
            <v>6R125324</v>
          </cell>
          <cell r="V1052" t="str">
            <v>1025347</v>
          </cell>
          <cell r="W1052" t="str">
            <v>06-mar-2028</v>
          </cell>
          <cell r="Y1052">
            <v>1742500</v>
          </cell>
          <cell r="Z1052">
            <v>22533</v>
          </cell>
          <cell r="AA1052">
            <v>26138</v>
          </cell>
        </row>
        <row r="1053">
          <cell r="B1053" t="str">
            <v>KHI/HO/D/MO/PC COMP/C/107407/55/02/2025</v>
          </cell>
          <cell r="D1053" t="str">
            <v>REN</v>
          </cell>
          <cell r="E1053" t="str">
            <v>17/02/25</v>
          </cell>
          <cell r="F1053" t="str">
            <v>18/02/2025</v>
          </cell>
          <cell r="G1053" t="str">
            <v>17/02/2026</v>
          </cell>
          <cell r="H1053" t="str">
            <v>08004499</v>
          </cell>
          <cell r="I1053" t="str">
            <v>AL BARAKA BANK (PAKISTAN) LIMITED</v>
          </cell>
          <cell r="J1053" t="str">
            <v>BANK</v>
          </cell>
          <cell r="K1053" t="str">
            <v xml:space="preserve">
HPA M/s. Al Baraka Bank (Pakistan) Limited 
Hpa M/S. Al Baraka Bank (Pakistan) Limited 
User: Abdul   Samad</v>
          </cell>
          <cell r="L1053" t="str">
            <v>D</v>
          </cell>
          <cell r="M1053" t="str">
            <v>09000221</v>
          </cell>
          <cell r="N1053">
            <v>100</v>
          </cell>
          <cell r="P1053" t="str">
            <v>H #  101 3rd Floor Block 2 Hussainabad FB Area Karachi</v>
          </cell>
          <cell r="Q1053" t="str">
            <v>11000003</v>
          </cell>
          <cell r="R1053" t="str">
            <v>KIA PICANTO 1.0L A/T</v>
          </cell>
          <cell r="S1053" t="str">
            <v>2019</v>
          </cell>
          <cell r="T1053" t="str">
            <v>BRC-561</v>
          </cell>
          <cell r="U1053" t="str">
            <v>132184</v>
          </cell>
          <cell r="V1053" t="str">
            <v>700118</v>
          </cell>
          <cell r="W1053" t="str">
            <v>05-mar-2027</v>
          </cell>
          <cell r="Y1053">
            <v>2040000</v>
          </cell>
          <cell r="Z1053">
            <v>35172</v>
          </cell>
          <cell r="AA1053">
            <v>40800</v>
          </cell>
        </row>
        <row r="1054">
          <cell r="B1054" t="str">
            <v>KHI/HO/D/MO/PC COMP/C/107407/56/02/2025</v>
          </cell>
          <cell r="D1054" t="str">
            <v>REN</v>
          </cell>
          <cell r="E1054" t="str">
            <v>17/02/25</v>
          </cell>
          <cell r="F1054" t="str">
            <v>20/02/2025</v>
          </cell>
          <cell r="G1054" t="str">
            <v>19/02/2026</v>
          </cell>
          <cell r="H1054" t="str">
            <v>08004499</v>
          </cell>
          <cell r="I1054" t="str">
            <v>AL BARAKA BANK (PAKISTAN) LIMITED</v>
          </cell>
          <cell r="J1054" t="str">
            <v>BANK</v>
          </cell>
          <cell r="K1054" t="str">
            <v xml:space="preserve">
HPA M/s. Al Baraka Bank (Pakistan) Limited 
Hpa M/S. Al Baraka Bank (Pakistan) Limited 
User: Salman  Ali</v>
          </cell>
          <cell r="L1054" t="str">
            <v>D</v>
          </cell>
          <cell r="M1054" t="str">
            <v>09000221</v>
          </cell>
          <cell r="N1054">
            <v>100</v>
          </cell>
          <cell r="P1054" t="str">
            <v>H NO 408 J-2 Block Wapda Town Lahore</v>
          </cell>
          <cell r="Q1054" t="str">
            <v>11000003</v>
          </cell>
          <cell r="R1054" t="str">
            <v>SUZUKI ALTO VXL AGS</v>
          </cell>
          <cell r="S1054" t="str">
            <v>2022</v>
          </cell>
          <cell r="T1054" t="str">
            <v>ACY-896</v>
          </cell>
          <cell r="U1054" t="str">
            <v>128877</v>
          </cell>
          <cell r="V1054" t="str">
            <v>1028867</v>
          </cell>
          <cell r="W1054" t="str">
            <v>06-mar-2028</v>
          </cell>
          <cell r="Y1054">
            <v>1997500</v>
          </cell>
          <cell r="Z1054">
            <v>34440</v>
          </cell>
          <cell r="AA1054">
            <v>39950</v>
          </cell>
        </row>
        <row r="1055">
          <cell r="B1055" t="str">
            <v>KHI/HO/D/MO/PC COMP/C/107407/57/02/2025</v>
          </cell>
          <cell r="D1055" t="str">
            <v>REN</v>
          </cell>
          <cell r="E1055" t="str">
            <v>17/02/25</v>
          </cell>
          <cell r="F1055" t="str">
            <v>20/02/2025</v>
          </cell>
          <cell r="G1055" t="str">
            <v>19/02/2026</v>
          </cell>
          <cell r="H1055" t="str">
            <v>08004499</v>
          </cell>
          <cell r="I1055" t="str">
            <v>AL BARAKA BANK (PAKISTAN) LIMITED</v>
          </cell>
          <cell r="J1055" t="str">
            <v>BANK</v>
          </cell>
          <cell r="K1055" t="str">
            <v xml:space="preserve">
HPA M/s. Al Baraka Bank (Pakistan) Limited 
Hpa M/S. Al Baraka Bank (Pakistan) Limited 
User: Farooq  Usman</v>
          </cell>
          <cell r="L1055" t="str">
            <v>D</v>
          </cell>
          <cell r="M1055" t="str">
            <v>09000221</v>
          </cell>
          <cell r="N1055">
            <v>100</v>
          </cell>
          <cell r="P1055" t="str">
            <v>H No 311 Block K Shah Rukn E Alam Colony Multan</v>
          </cell>
          <cell r="Q1055" t="str">
            <v>11000003</v>
          </cell>
          <cell r="R1055" t="str">
            <v>HONDA CIVIC 1.8 I-VTEC VT</v>
          </cell>
          <cell r="S1055" t="str">
            <v>2017</v>
          </cell>
          <cell r="T1055" t="str">
            <v>AHB-18</v>
          </cell>
          <cell r="U1055" t="str">
            <v>12925496</v>
          </cell>
          <cell r="V1055" t="str">
            <v>R028827</v>
          </cell>
          <cell r="W1055" t="str">
            <v>05-mar-2026</v>
          </cell>
          <cell r="Y1055">
            <v>3527500</v>
          </cell>
          <cell r="Z1055">
            <v>45615</v>
          </cell>
          <cell r="AA1055">
            <v>52913</v>
          </cell>
        </row>
        <row r="1056">
          <cell r="B1056" t="str">
            <v>KHI/HO/D/MO/PC COMP/C/107407/58/02/2025</v>
          </cell>
          <cell r="D1056" t="str">
            <v>REN</v>
          </cell>
          <cell r="E1056" t="str">
            <v>17/02/25</v>
          </cell>
          <cell r="F1056" t="str">
            <v>21/02/2025</v>
          </cell>
          <cell r="G1056" t="str">
            <v>20/02/2026</v>
          </cell>
          <cell r="H1056" t="str">
            <v>08004499</v>
          </cell>
          <cell r="I1056" t="str">
            <v>AL BARAKA BANK (PAKISTAN) LIMITED</v>
          </cell>
          <cell r="J1056" t="str">
            <v>BANK</v>
          </cell>
          <cell r="K1056" t="str">
            <v xml:space="preserve">
HPA M/s. Al Baraka Bank (Pakistan) Limited 
Hpa M/S. Al Baraka Bank (Pakistan) Limited 
User: Nazma   Yasmin</v>
          </cell>
          <cell r="L1056" t="str">
            <v>D</v>
          </cell>
          <cell r="M1056" t="str">
            <v>09000221</v>
          </cell>
          <cell r="N1056">
            <v>100</v>
          </cell>
          <cell r="P1056" t="str">
            <v>Village Chakora PO Ghaziabad Tehsil / Distt Chakwal</v>
          </cell>
          <cell r="Q1056" t="str">
            <v>11000003</v>
          </cell>
          <cell r="R1056" t="str">
            <v>SUZUKI ALTO VXR</v>
          </cell>
          <cell r="S1056" t="str">
            <v>2021</v>
          </cell>
          <cell r="T1056" t="str">
            <v>AUJ-831</v>
          </cell>
          <cell r="U1056" t="str">
            <v>191596</v>
          </cell>
          <cell r="V1056" t="str">
            <v>1091571</v>
          </cell>
          <cell r="W1056" t="str">
            <v>06-mar-2028</v>
          </cell>
          <cell r="Y1056">
            <v>1997500</v>
          </cell>
          <cell r="Z1056">
            <v>34440</v>
          </cell>
          <cell r="AA1056">
            <v>39950</v>
          </cell>
        </row>
        <row r="1057">
          <cell r="B1057" t="str">
            <v>KHI/HO/D/MO/PC COMP/C/107407/59/02/2025</v>
          </cell>
          <cell r="D1057" t="str">
            <v>REN</v>
          </cell>
          <cell r="E1057" t="str">
            <v>17/02/25</v>
          </cell>
          <cell r="F1057" t="str">
            <v>21/02/2025</v>
          </cell>
          <cell r="G1057" t="str">
            <v>20/02/2026</v>
          </cell>
          <cell r="H1057" t="str">
            <v>08004499</v>
          </cell>
          <cell r="I1057" t="str">
            <v>AL BARAKA BANK (PAKISTAN) LIMITED</v>
          </cell>
          <cell r="J1057" t="str">
            <v>BANK</v>
          </cell>
          <cell r="K1057" t="str">
            <v xml:space="preserve">
HPA M/s. Al Baraka Bank (Pakistan) Limited 
Hpa M/S. Al Baraka Bank (Pakistan) Limited 
User: Muhammad Bilal  Bashir</v>
          </cell>
          <cell r="L1057" t="str">
            <v>D</v>
          </cell>
          <cell r="M1057" t="str">
            <v>09000221</v>
          </cell>
          <cell r="N1057">
            <v>100</v>
          </cell>
          <cell r="O1057" t="str">
            <v>KARACHI</v>
          </cell>
          <cell r="P1057" t="str">
            <v>66 JB Dhandra Kalan Jhang Road Faisalabad</v>
          </cell>
          <cell r="Q1057" t="str">
            <v>11000003</v>
          </cell>
          <cell r="R1057" t="str">
            <v>HONDA CITY</v>
          </cell>
          <cell r="S1057" t="str">
            <v>2018</v>
          </cell>
          <cell r="T1057" t="str">
            <v>ALK-866</v>
          </cell>
          <cell r="U1057" t="str">
            <v>L15A-79793492</v>
          </cell>
          <cell r="V1057" t="str">
            <v>NFBGM2665JR239237</v>
          </cell>
          <cell r="W1057" t="str">
            <v>05-mar-2026</v>
          </cell>
          <cell r="Y1057">
            <v>2805000</v>
          </cell>
          <cell r="Z1057">
            <v>48362</v>
          </cell>
          <cell r="AA1057">
            <v>56100</v>
          </cell>
        </row>
        <row r="1058">
          <cell r="B1058" t="str">
            <v>KHI/HO/D/MO/PC COMP/C/107407/60/02/2025</v>
          </cell>
          <cell r="D1058" t="str">
            <v>REN</v>
          </cell>
          <cell r="E1058" t="str">
            <v>17/02/25</v>
          </cell>
          <cell r="F1058" t="str">
            <v>06/02/2025</v>
          </cell>
          <cell r="G1058" t="str">
            <v>05/02/2026</v>
          </cell>
          <cell r="H1058" t="str">
            <v>08004499</v>
          </cell>
          <cell r="I1058" t="str">
            <v>AL BARAKA BANK (PAKISTAN) LIMITED</v>
          </cell>
          <cell r="J1058" t="str">
            <v>BANK</v>
          </cell>
          <cell r="K1058" t="str">
            <v xml:space="preserve">
HPA M/s. Al Baraka Bank (Pakistan) Limited 
Hpa M/S. Al Baraka Bank (Pakistan) Limited 
User: Khalid   Nawaz</v>
          </cell>
          <cell r="L1058" t="str">
            <v>D</v>
          </cell>
          <cell r="M1058" t="str">
            <v>09000221</v>
          </cell>
          <cell r="N1058">
            <v>100</v>
          </cell>
          <cell r="O1058" t="str">
            <v>KARACHI</v>
          </cell>
          <cell r="P1058" t="str">
            <v>H # 6 Street 31 Musum Park Raj Garh Lahore</v>
          </cell>
          <cell r="Q1058" t="str">
            <v>11000003</v>
          </cell>
          <cell r="R1058" t="str">
            <v>KIA SPORTAGE FWD</v>
          </cell>
          <cell r="S1058" t="str">
            <v>2023</v>
          </cell>
          <cell r="T1058" t="str">
            <v>ANG-160</v>
          </cell>
          <cell r="U1058" t="str">
            <v>G4NANH305301</v>
          </cell>
          <cell r="V1058" t="str">
            <v>311734</v>
          </cell>
          <cell r="W1058" t="str">
            <v>05-feb-2026</v>
          </cell>
          <cell r="Y1058">
            <v>5779150</v>
          </cell>
          <cell r="Z1058">
            <v>74730</v>
          </cell>
          <cell r="AA1058">
            <v>86687</v>
          </cell>
        </row>
        <row r="1059">
          <cell r="B1059" t="str">
            <v>KHI/HO/D/MO/PC COMP/C/107407/61/02/2025</v>
          </cell>
          <cell r="D1059" t="str">
            <v>REN</v>
          </cell>
          <cell r="E1059" t="str">
            <v>17/02/25</v>
          </cell>
          <cell r="F1059" t="str">
            <v>22/02/2025</v>
          </cell>
          <cell r="G1059" t="str">
            <v>21/02/2026</v>
          </cell>
          <cell r="H1059" t="str">
            <v>08004499</v>
          </cell>
          <cell r="I1059" t="str">
            <v>AL BARAKA BANK (PAKISTAN) LIMITED</v>
          </cell>
          <cell r="J1059" t="str">
            <v>BANK</v>
          </cell>
          <cell r="K1059" t="str">
            <v xml:space="preserve">
HPA M/s. Al Baraka Bank (Pakistan) Limited 
Hpa M/S. Al Baraka Bank (Pakistan) Limited 
User: Faisal   Saleem</v>
          </cell>
          <cell r="L1059" t="str">
            <v>D</v>
          </cell>
          <cell r="M1059" t="str">
            <v>09000221</v>
          </cell>
          <cell r="N1059">
            <v>100</v>
          </cell>
          <cell r="O1059" t="str">
            <v>KARACHI</v>
          </cell>
          <cell r="P1059" t="str">
            <v>672 E Gulshan Ravi Lahore</v>
          </cell>
          <cell r="Q1059" t="str">
            <v>11000003</v>
          </cell>
          <cell r="R1059" t="str">
            <v>SUZUKI CULTUS</v>
          </cell>
          <cell r="S1059" t="str">
            <v>2021</v>
          </cell>
          <cell r="T1059" t="str">
            <v>ACX 080</v>
          </cell>
          <cell r="U1059" t="str">
            <v>K171394</v>
          </cell>
          <cell r="V1059" t="str">
            <v>H10071406</v>
          </cell>
          <cell r="W1059" t="str">
            <v>06-mar-2028</v>
          </cell>
          <cell r="Y1059">
            <v>2456500</v>
          </cell>
          <cell r="Z1059">
            <v>31765</v>
          </cell>
          <cell r="AA1059">
            <v>36848</v>
          </cell>
        </row>
        <row r="1060">
          <cell r="B1060" t="str">
            <v>KHI/HO/D/MO/PC COMP/C/107407/62/02/2025</v>
          </cell>
          <cell r="D1060" t="str">
            <v>REN</v>
          </cell>
          <cell r="E1060" t="str">
            <v>17/02/25</v>
          </cell>
          <cell r="F1060" t="str">
            <v>23/02/2025</v>
          </cell>
          <cell r="G1060" t="str">
            <v>22/02/2026</v>
          </cell>
          <cell r="H1060" t="str">
            <v>08004499</v>
          </cell>
          <cell r="I1060" t="str">
            <v>AL BARAKA BANK (PAKISTAN) LIMITED</v>
          </cell>
          <cell r="J1060" t="str">
            <v>BANK</v>
          </cell>
          <cell r="K1060" t="str">
            <v xml:space="preserve">
HPA M/s. Al Baraka Bank (Pakistan) Limited 
Hpa M/S. Al Baraka Bank (Pakistan) Limited 
User: Muhammad  Asif</v>
          </cell>
          <cell r="L1060" t="str">
            <v>D</v>
          </cell>
          <cell r="M1060" t="str">
            <v>09000221</v>
          </cell>
          <cell r="N1060">
            <v>100</v>
          </cell>
          <cell r="O1060" t="str">
            <v>KARACHI</v>
          </cell>
          <cell r="P1060" t="str">
            <v>Plot 28 29 Row 9 Baring Wali Gali C1 Aear Liaquatabad Karachi</v>
          </cell>
          <cell r="Q1060" t="str">
            <v>11000003</v>
          </cell>
          <cell r="R1060" t="str">
            <v>SUZUKI ALTO VXR E-2</v>
          </cell>
          <cell r="S1060" t="str">
            <v>2021</v>
          </cell>
          <cell r="T1060" t="str">
            <v>BWG-968</v>
          </cell>
          <cell r="U1060" t="str">
            <v>R-159690</v>
          </cell>
          <cell r="V1060" t="str">
            <v>1059721</v>
          </cell>
          <cell r="W1060" t="str">
            <v>06-mar-2028</v>
          </cell>
          <cell r="Y1060">
            <v>1912500</v>
          </cell>
          <cell r="Z1060">
            <v>32974</v>
          </cell>
          <cell r="AA1060">
            <v>38250</v>
          </cell>
        </row>
        <row r="1061">
          <cell r="B1061" t="str">
            <v>KHI/HO/D/MO/PC COMP/C/107407/63/02/2025</v>
          </cell>
          <cell r="D1061" t="str">
            <v>REN</v>
          </cell>
          <cell r="E1061" t="str">
            <v>17/02/25</v>
          </cell>
          <cell r="F1061" t="str">
            <v>23/02/2025</v>
          </cell>
          <cell r="G1061" t="str">
            <v>22/02/2026</v>
          </cell>
          <cell r="H1061" t="str">
            <v>08004499</v>
          </cell>
          <cell r="I1061" t="str">
            <v>AL BARAKA BANK (PAKISTAN) LIMITED</v>
          </cell>
          <cell r="J1061" t="str">
            <v>BANK</v>
          </cell>
          <cell r="K1061" t="str">
            <v xml:space="preserve">
HPA M/s. Al Baraka Bank (Pakistan) Limited 
Hpa M/S. Al Baraka Bank (Pakistan) Limited 
User: Asif   Faiz</v>
          </cell>
          <cell r="L1061" t="str">
            <v>D</v>
          </cell>
          <cell r="M1061" t="str">
            <v>09000221</v>
          </cell>
          <cell r="N1061">
            <v>100</v>
          </cell>
          <cell r="P1061" t="str">
            <v>Faisal Park Match Factory Shahdra Lahore</v>
          </cell>
          <cell r="Q1061" t="str">
            <v>11000003</v>
          </cell>
          <cell r="R1061" t="str">
            <v>SUZUKI WAGON-R VXL E2</v>
          </cell>
          <cell r="S1061" t="str">
            <v>2022</v>
          </cell>
          <cell r="T1061" t="str">
            <v>ANG-429</v>
          </cell>
          <cell r="U1061" t="str">
            <v>231635</v>
          </cell>
          <cell r="V1061" t="str">
            <v>10131635</v>
          </cell>
          <cell r="W1061" t="str">
            <v>06-mar-2028</v>
          </cell>
          <cell r="Y1061">
            <v>2443750</v>
          </cell>
          <cell r="Z1061">
            <v>42134</v>
          </cell>
          <cell r="AA1061">
            <v>48875</v>
          </cell>
        </row>
        <row r="1062">
          <cell r="B1062" t="str">
            <v>KHI/HO/D/MO/PC COMP/C/107407/64/02/2025</v>
          </cell>
          <cell r="D1062" t="str">
            <v>REN</v>
          </cell>
          <cell r="E1062" t="str">
            <v>17/02/25</v>
          </cell>
          <cell r="F1062" t="str">
            <v>24/02/2025</v>
          </cell>
          <cell r="G1062" t="str">
            <v>23/02/2026</v>
          </cell>
          <cell r="H1062" t="str">
            <v>08004499</v>
          </cell>
          <cell r="I1062" t="str">
            <v>AL BARAKA BANK (PAKISTAN) LIMITED</v>
          </cell>
          <cell r="J1062" t="str">
            <v>BANK</v>
          </cell>
          <cell r="K1062" t="str">
            <v xml:space="preserve">
HPA M/s. Al Baraka Bank (Pakistan) Limited 
Hpa M/S. Al Baraka Bank (Pakistan) Limited 
User: Muhammad Adeel Siddiqui</v>
          </cell>
          <cell r="L1062" t="str">
            <v>D</v>
          </cell>
          <cell r="M1062" t="str">
            <v>09000221</v>
          </cell>
          <cell r="N1062">
            <v>100</v>
          </cell>
          <cell r="P1062" t="str">
            <v>H # A-74 Hakeem Villas Main Jinnah Avenue Malir Karachi</v>
          </cell>
          <cell r="Q1062" t="str">
            <v>11000003</v>
          </cell>
          <cell r="R1062" t="str">
            <v>HONDA CITY CVT ASPIRE A/T</v>
          </cell>
          <cell r="S1062" t="str">
            <v>2019</v>
          </cell>
          <cell r="T1062" t="str">
            <v>BPU-137</v>
          </cell>
          <cell r="U1062" t="str">
            <v>9794821</v>
          </cell>
          <cell r="V1062" t="str">
            <v>KR246870</v>
          </cell>
          <cell r="W1062" t="str">
            <v>05-mar-2026</v>
          </cell>
          <cell r="Y1062">
            <v>2465000</v>
          </cell>
          <cell r="Z1062">
            <v>42500</v>
          </cell>
          <cell r="AA1062">
            <v>49300</v>
          </cell>
        </row>
        <row r="1063">
          <cell r="B1063" t="str">
            <v>KHI/HO/D/MO/PC COMP/C/107407/65/02/2025</v>
          </cell>
          <cell r="D1063" t="str">
            <v>REN</v>
          </cell>
          <cell r="E1063" t="str">
            <v>17/02/25</v>
          </cell>
          <cell r="F1063" t="str">
            <v>24/02/2025</v>
          </cell>
          <cell r="G1063" t="str">
            <v>23/02/2026</v>
          </cell>
          <cell r="H1063" t="str">
            <v>08004499</v>
          </cell>
          <cell r="I1063" t="str">
            <v>AL BARAKA BANK (PAKISTAN) LIMITED</v>
          </cell>
          <cell r="J1063" t="str">
            <v>BANK</v>
          </cell>
          <cell r="K1063" t="str">
            <v xml:space="preserve">
HPA M/s. Al Baraka Bank (Pakistan) Limited 
Hpa M/S. Al Baraka Bank (Pakistan) Limited 
User: Shair Afgan Sungla</v>
          </cell>
          <cell r="L1063" t="str">
            <v>D</v>
          </cell>
          <cell r="M1063" t="str">
            <v>09000221</v>
          </cell>
          <cell r="N1063">
            <v>100</v>
          </cell>
          <cell r="P1063" t="str">
            <v>Ground Floor Lane 10 H-6 Street 10 Hostel City Park Road Chatha Bakhtawar Islamabad</v>
          </cell>
          <cell r="Q1063" t="str">
            <v>11000003</v>
          </cell>
          <cell r="R1063" t="str">
            <v>SUZUKI CULTUS VXR EURO-II</v>
          </cell>
          <cell r="S1063" t="str">
            <v>2017</v>
          </cell>
          <cell r="T1063" t="str">
            <v>AEB-875</v>
          </cell>
          <cell r="U1063" t="str">
            <v>103592</v>
          </cell>
          <cell r="V1063" t="str">
            <v>10003564</v>
          </cell>
          <cell r="W1063" t="str">
            <v>06-mar-2028</v>
          </cell>
          <cell r="Y1063">
            <v>1899750</v>
          </cell>
          <cell r="Z1063">
            <v>32754</v>
          </cell>
          <cell r="AA1063">
            <v>37995</v>
          </cell>
        </row>
        <row r="1064">
          <cell r="B1064" t="str">
            <v>KHI/HO/D/MO/PC COMP/C/107407/66/02/2025</v>
          </cell>
          <cell r="D1064" t="str">
            <v>REN</v>
          </cell>
          <cell r="E1064" t="str">
            <v>17/02/25</v>
          </cell>
          <cell r="F1064" t="str">
            <v>27/02/2025</v>
          </cell>
          <cell r="G1064" t="str">
            <v>26/02/2026</v>
          </cell>
          <cell r="H1064" t="str">
            <v>08004499</v>
          </cell>
          <cell r="I1064" t="str">
            <v>AL BARAKA BANK (PAKISTAN) LIMITED</v>
          </cell>
          <cell r="J1064" t="str">
            <v>BANK</v>
          </cell>
          <cell r="K1064" t="str">
            <v xml:space="preserve">
HPA M/s. Al Baraka Bank (Pakistan) Limited 
Hpa M/S. Al Baraka Bank (Pakistan) Limited 
User: Saad  Anwar</v>
          </cell>
          <cell r="L1064" t="str">
            <v>D</v>
          </cell>
          <cell r="M1064" t="str">
            <v>09000221</v>
          </cell>
          <cell r="N1064">
            <v>100</v>
          </cell>
          <cell r="P1064" t="str">
            <v>Fl # 406 4th Floor Block A Pioneer Tower Govt Tech Society Sector 16-A Scheme 33 Gulzar E Hijri Karachi</v>
          </cell>
          <cell r="Q1064" t="str">
            <v>11000003</v>
          </cell>
          <cell r="R1064" t="str">
            <v>TOYOTA COROLLA XLI 1.3</v>
          </cell>
          <cell r="S1064" t="str">
            <v>2017</v>
          </cell>
          <cell r="T1064" t="str">
            <v>BLG-719</v>
          </cell>
          <cell r="U1064" t="str">
            <v>510048</v>
          </cell>
          <cell r="V1064" t="str">
            <v>4135896</v>
          </cell>
          <cell r="W1064" t="str">
            <v>05-mar-2026</v>
          </cell>
          <cell r="Y1064">
            <v>1827500</v>
          </cell>
          <cell r="Z1064">
            <v>23632</v>
          </cell>
          <cell r="AA1064">
            <v>27413</v>
          </cell>
        </row>
        <row r="1065">
          <cell r="B1065" t="str">
            <v>KHI/HO/D/MO/PC COMP/C/107407/67/02/2025</v>
          </cell>
          <cell r="D1065" t="str">
            <v>REN</v>
          </cell>
          <cell r="E1065" t="str">
            <v>17/02/25</v>
          </cell>
          <cell r="F1065" t="str">
            <v>27/02/2025</v>
          </cell>
          <cell r="G1065" t="str">
            <v>26/02/2026</v>
          </cell>
          <cell r="H1065" t="str">
            <v>08004499</v>
          </cell>
          <cell r="I1065" t="str">
            <v>AL BARAKA BANK (PAKISTAN) LIMITED</v>
          </cell>
          <cell r="J1065" t="str">
            <v>BANK</v>
          </cell>
          <cell r="K1065" t="str">
            <v xml:space="preserve">
HPA M/s. Al Baraka Bank (Pakistan) Limited 
Hpa M/S. Al Baraka Bank (Pakistan) Limited 
User: Abdul  Rahman</v>
          </cell>
          <cell r="L1065" t="str">
            <v>D</v>
          </cell>
          <cell r="M1065" t="str">
            <v>09000221</v>
          </cell>
          <cell r="N1065">
            <v>100</v>
          </cell>
          <cell r="O1065" t="str">
            <v>KARACHI</v>
          </cell>
          <cell r="P1065" t="str">
            <v>H NO 532-C Mohallah Peoples Colony 2 Fawara Chowk Faisalabad</v>
          </cell>
          <cell r="Q1065" t="str">
            <v>11000003</v>
          </cell>
          <cell r="R1065" t="str">
            <v>HONDA HRV-S</v>
          </cell>
          <cell r="S1065" t="str">
            <v>2023</v>
          </cell>
          <cell r="T1065" t="str">
            <v>APE-379</v>
          </cell>
          <cell r="U1065" t="str">
            <v>L15ZG1001797</v>
          </cell>
          <cell r="V1065" t="str">
            <v>NFBRVV3851PR001801</v>
          </cell>
          <cell r="W1065" t="str">
            <v>05-mar-2026</v>
          </cell>
          <cell r="Y1065">
            <v>5290400</v>
          </cell>
          <cell r="Z1065">
            <v>68410</v>
          </cell>
          <cell r="AA1065">
            <v>79356</v>
          </cell>
        </row>
        <row r="1066">
          <cell r="B1066" t="str">
            <v>KHI/HO/D/MO/PC COMP/C/107407/68/02/2025</v>
          </cell>
          <cell r="D1066" t="str">
            <v>REN</v>
          </cell>
          <cell r="E1066" t="str">
            <v>17/02/25</v>
          </cell>
          <cell r="F1066" t="str">
            <v>28/02/2025</v>
          </cell>
          <cell r="G1066" t="str">
            <v>27/02/2026</v>
          </cell>
          <cell r="H1066" t="str">
            <v>08004499</v>
          </cell>
          <cell r="I1066" t="str">
            <v>AL BARAKA BANK (PAKISTAN) LIMITED</v>
          </cell>
          <cell r="J1066" t="str">
            <v>BANK</v>
          </cell>
          <cell r="K1066" t="str">
            <v xml:space="preserve">
HPA M/s. Al Baraka Bank (Pakistan) Limited 
Hpa M/S. Al Baraka Bank (Pakistan) Limited 
User: Sohail  Ilyas</v>
          </cell>
          <cell r="L1066" t="str">
            <v>D</v>
          </cell>
          <cell r="M1066" t="str">
            <v>09000221</v>
          </cell>
          <cell r="N1066">
            <v>100</v>
          </cell>
          <cell r="P1066" t="str">
            <v>H No 345 St No 02 Mohallah Model Town Humak Islamabad</v>
          </cell>
          <cell r="Q1066" t="str">
            <v>11000003</v>
          </cell>
          <cell r="R1066" t="str">
            <v>SUZUKI CULTUS VXR</v>
          </cell>
          <cell r="S1066" t="str">
            <v>2018</v>
          </cell>
          <cell r="T1066" t="str">
            <v>AKG-852</v>
          </cell>
          <cell r="U1066" t="str">
            <v>125922</v>
          </cell>
          <cell r="V1066" t="str">
            <v>10025899</v>
          </cell>
          <cell r="W1066" t="str">
            <v>05-mar-2027</v>
          </cell>
          <cell r="Y1066">
            <v>1955000</v>
          </cell>
          <cell r="Z1066">
            <v>33707</v>
          </cell>
          <cell r="AA1066">
            <v>39100</v>
          </cell>
        </row>
        <row r="1067">
          <cell r="B1067" t="str">
            <v>KHI/HO/D/MO/PC COMP/C/107407/69/02/2025</v>
          </cell>
          <cell r="D1067" t="str">
            <v>REN</v>
          </cell>
          <cell r="E1067" t="str">
            <v>17/02/25</v>
          </cell>
          <cell r="F1067" t="str">
            <v>28/02/2025</v>
          </cell>
          <cell r="G1067" t="str">
            <v>27/02/2026</v>
          </cell>
          <cell r="H1067" t="str">
            <v>08004499</v>
          </cell>
          <cell r="I1067" t="str">
            <v>AL BARAKA BANK (PAKISTAN) LIMITED</v>
          </cell>
          <cell r="J1067" t="str">
            <v>BANK</v>
          </cell>
          <cell r="K1067" t="str">
            <v xml:space="preserve">
HPA M/s. Al Baraka Bank (Pakistan) Limited 
Hpa M/S. Al Baraka Bank (Pakistan) Limited 
User: Qaiser  Abbas</v>
          </cell>
          <cell r="L1067" t="str">
            <v>D</v>
          </cell>
          <cell r="M1067" t="str">
            <v>09000221</v>
          </cell>
          <cell r="N1067">
            <v>100</v>
          </cell>
          <cell r="O1067" t="str">
            <v>KARACHI</v>
          </cell>
          <cell r="P1067" t="str">
            <v>H No 4 Jinnah Block Awan Town Multan Road Lahore</v>
          </cell>
          <cell r="Q1067" t="str">
            <v>11000003</v>
          </cell>
          <cell r="R1067" t="str">
            <v>HONDA CITY</v>
          </cell>
          <cell r="S1067" t="str">
            <v>2018</v>
          </cell>
          <cell r="T1067" t="str">
            <v>LE-19-5822</v>
          </cell>
          <cell r="U1067" t="str">
            <v>Z17522216</v>
          </cell>
          <cell r="V1067" t="str">
            <v>R238868</v>
          </cell>
          <cell r="W1067" t="str">
            <v>05-mar-2026</v>
          </cell>
          <cell r="Y1067">
            <v>2754000</v>
          </cell>
          <cell r="Z1067">
            <v>47483</v>
          </cell>
          <cell r="AA1067">
            <v>55080</v>
          </cell>
        </row>
        <row r="1068">
          <cell r="B1068" t="str">
            <v>KHI/HO/D/MO/PC COMP/C/107407/70/02/2025</v>
          </cell>
          <cell r="D1068" t="str">
            <v>REN</v>
          </cell>
          <cell r="E1068" t="str">
            <v>17/02/25</v>
          </cell>
          <cell r="F1068" t="str">
            <v>28/02/2025</v>
          </cell>
          <cell r="G1068" t="str">
            <v>27/02/2026</v>
          </cell>
          <cell r="H1068" t="str">
            <v>08004499</v>
          </cell>
          <cell r="I1068" t="str">
            <v>AL BARAKA BANK (PAKISTAN) LIMITED</v>
          </cell>
          <cell r="J1068" t="str">
            <v>BANK</v>
          </cell>
          <cell r="K1068" t="str">
            <v xml:space="preserve">
HPA M/s. Al Baraka Bank (Pakistan) Limited 
Hpa M/S. Al Baraka Bank (Pakistan) Limited 
User: Muhammad  Junaid</v>
          </cell>
          <cell r="L1068" t="str">
            <v>D</v>
          </cell>
          <cell r="M1068" t="str">
            <v>09000221</v>
          </cell>
          <cell r="N1068">
            <v>100</v>
          </cell>
          <cell r="O1068" t="str">
            <v>KARACHI</v>
          </cell>
          <cell r="P1068" t="str">
            <v>H No 57 Block GH Punjab University Gate No 1 Wahaqat Road Lahore</v>
          </cell>
          <cell r="Q1068" t="str">
            <v>11000003</v>
          </cell>
          <cell r="R1068" t="str">
            <v>SUZUKI CULTUS VXL</v>
          </cell>
          <cell r="S1068" t="str">
            <v>2021</v>
          </cell>
          <cell r="T1068" t="str">
            <v>ACC-603</v>
          </cell>
          <cell r="U1068" t="str">
            <v>K168554</v>
          </cell>
          <cell r="V1068" t="str">
            <v>H10068542</v>
          </cell>
          <cell r="W1068" t="str">
            <v>06-mar-2028</v>
          </cell>
          <cell r="Y1068">
            <v>2677500</v>
          </cell>
          <cell r="Z1068">
            <v>46163</v>
          </cell>
          <cell r="AA1068">
            <v>53550</v>
          </cell>
        </row>
        <row r="1069">
          <cell r="B1069" t="str">
            <v>KHI/HO/D/MO/PC COMP/C/107407/71/02/2025</v>
          </cell>
          <cell r="D1069" t="str">
            <v>REN</v>
          </cell>
          <cell r="E1069" t="str">
            <v>17/02/25</v>
          </cell>
          <cell r="F1069" t="str">
            <v>07/02/2025</v>
          </cell>
          <cell r="G1069" t="str">
            <v>06/02/2026</v>
          </cell>
          <cell r="H1069" t="str">
            <v>08004499</v>
          </cell>
          <cell r="I1069" t="str">
            <v>AL BARAKA BANK (PAKISTAN) LIMITED</v>
          </cell>
          <cell r="J1069" t="str">
            <v>BANK</v>
          </cell>
          <cell r="K1069" t="str">
            <v xml:space="preserve">
HPA M/s. Al Baraka Bank (Pakistan) Limited 
Hpa M/S. Al Baraka Bank (Pakistan) Limited 
User: Muhammad  Zuhaib  Akram</v>
          </cell>
          <cell r="L1069" t="str">
            <v>D</v>
          </cell>
          <cell r="M1069" t="str">
            <v>09000221</v>
          </cell>
          <cell r="N1069">
            <v>100</v>
          </cell>
          <cell r="P1069" t="str">
            <v>H NO 102 St 4 Ghouri Town Phase 4B Islamabad</v>
          </cell>
          <cell r="Q1069" t="str">
            <v>11000003</v>
          </cell>
          <cell r="R1069" t="str">
            <v>SUZUKI WAGON R VXL</v>
          </cell>
          <cell r="S1069" t="str">
            <v>2019</v>
          </cell>
          <cell r="T1069" t="str">
            <v>LEA-6977</v>
          </cell>
          <cell r="U1069" t="str">
            <v>193761</v>
          </cell>
          <cell r="V1069" t="str">
            <v>10093811</v>
          </cell>
          <cell r="W1069" t="str">
            <v>05-feb-2028</v>
          </cell>
          <cell r="Y1069">
            <v>1700000</v>
          </cell>
          <cell r="Z1069">
            <v>29310</v>
          </cell>
          <cell r="AA1069">
            <v>34000</v>
          </cell>
        </row>
        <row r="1070">
          <cell r="B1070" t="str">
            <v>KHI/HO/D/MO/PC COMP/C/107407/72/02/2025</v>
          </cell>
          <cell r="D1070" t="str">
            <v>REN</v>
          </cell>
          <cell r="E1070" t="str">
            <v>17/02/25</v>
          </cell>
          <cell r="F1070" t="str">
            <v>28/02/2025</v>
          </cell>
          <cell r="G1070" t="str">
            <v>27/02/2026</v>
          </cell>
          <cell r="H1070" t="str">
            <v>08004499</v>
          </cell>
          <cell r="I1070" t="str">
            <v>AL BARAKA BANK (PAKISTAN) LIMITED</v>
          </cell>
          <cell r="J1070" t="str">
            <v>BANK</v>
          </cell>
          <cell r="K1070" t="str">
            <v xml:space="preserve">
HPA M/s. Al Baraka Bank (Pakistan) Limited 
Hpa M/S. Al Baraka Bank (Pakistan) Limited 
User: Muhammad  Ijaz</v>
          </cell>
          <cell r="L1070" t="str">
            <v>D</v>
          </cell>
          <cell r="M1070" t="str">
            <v>09000221</v>
          </cell>
          <cell r="N1070">
            <v>100</v>
          </cell>
          <cell r="O1070" t="str">
            <v>KARACHI</v>
          </cell>
          <cell r="P1070" t="str">
            <v>H # 777/206 Street 20 Mohallah Razabad Bazar # 2 Faisalabad</v>
          </cell>
          <cell r="Q1070" t="str">
            <v>11000003</v>
          </cell>
          <cell r="R1070" t="str">
            <v>SUZUKI WAGON-R VXL E2</v>
          </cell>
          <cell r="S1070" t="str">
            <v>2022</v>
          </cell>
          <cell r="T1070" t="str">
            <v>AKW-903</v>
          </cell>
          <cell r="U1070" t="str">
            <v>PK10B235941</v>
          </cell>
          <cell r="V1070" t="str">
            <v>A1J310PK10135965</v>
          </cell>
          <cell r="W1070" t="str">
            <v>06-mar-2028</v>
          </cell>
          <cell r="Y1070">
            <v>2371500</v>
          </cell>
          <cell r="Z1070">
            <v>40888</v>
          </cell>
          <cell r="AA1070">
            <v>47430</v>
          </cell>
        </row>
        <row r="1071">
          <cell r="B1071" t="str">
            <v>KHI/HO/D/MO/PC COMP/C/107407/73/02/2025</v>
          </cell>
          <cell r="D1071" t="str">
            <v>REN</v>
          </cell>
          <cell r="E1071" t="str">
            <v>17/02/25</v>
          </cell>
          <cell r="F1071" t="str">
            <v>28/02/2025</v>
          </cell>
          <cell r="G1071" t="str">
            <v>27/02/2026</v>
          </cell>
          <cell r="H1071" t="str">
            <v>08004499</v>
          </cell>
          <cell r="I1071" t="str">
            <v>AL BARAKA BANK (PAKISTAN) LIMITED</v>
          </cell>
          <cell r="J1071" t="str">
            <v>BANK</v>
          </cell>
          <cell r="K1071" t="str">
            <v xml:space="preserve">
HPA M/s. Al Baraka Bank (Pakistan) Limited 
Hpa M/S. Al Baraka Bank (Pakistan) Limited 
User: Salman  Rasheed</v>
          </cell>
          <cell r="L1071" t="str">
            <v>D</v>
          </cell>
          <cell r="M1071" t="str">
            <v>09000221</v>
          </cell>
          <cell r="N1071">
            <v>100</v>
          </cell>
          <cell r="P1071" t="str">
            <v>H No 15 S-3 Block A-2 Gulberg 3 Lahore</v>
          </cell>
          <cell r="Q1071" t="str">
            <v>11000003</v>
          </cell>
          <cell r="R1071" t="str">
            <v>SUZUKI MEHRAN VXR</v>
          </cell>
          <cell r="S1071" t="str">
            <v>2016</v>
          </cell>
          <cell r="T1071" t="str">
            <v>LEA-16A-1930</v>
          </cell>
          <cell r="U1071" t="str">
            <v>664476</v>
          </cell>
          <cell r="V1071" t="str">
            <v>1202941</v>
          </cell>
          <cell r="W1071" t="str">
            <v>05-mar-2026</v>
          </cell>
          <cell r="Y1071">
            <v>841500</v>
          </cell>
          <cell r="Z1071">
            <v>14509</v>
          </cell>
          <cell r="AA1071">
            <v>16830</v>
          </cell>
        </row>
        <row r="1072">
          <cell r="B1072" t="str">
            <v>KHI/HO/D/MO/PC COMP/C/107407/74/02/2025</v>
          </cell>
          <cell r="D1072" t="str">
            <v>REN</v>
          </cell>
          <cell r="E1072" t="str">
            <v>17/02/25</v>
          </cell>
          <cell r="F1072" t="str">
            <v>28/02/2025</v>
          </cell>
          <cell r="G1072" t="str">
            <v>27/02/2026</v>
          </cell>
          <cell r="H1072" t="str">
            <v>08004499</v>
          </cell>
          <cell r="I1072" t="str">
            <v>AL BARAKA BANK (PAKISTAN) LIMITED</v>
          </cell>
          <cell r="J1072" t="str">
            <v>BANK</v>
          </cell>
          <cell r="K1072" t="str">
            <v xml:space="preserve">
HPA M/s. Al Baraka Bank (Pakistan) Limited 
Hpa M/S. Al Baraka Bank (Pakistan) Limited 
User: Nausheen  Imran</v>
          </cell>
          <cell r="L1072" t="str">
            <v>D</v>
          </cell>
          <cell r="M1072" t="str">
            <v>09000221</v>
          </cell>
          <cell r="N1072">
            <v>100</v>
          </cell>
          <cell r="P1072" t="str">
            <v>H # 252 K-2 Wapda Town Lahore</v>
          </cell>
          <cell r="Q1072" t="str">
            <v>11000003</v>
          </cell>
          <cell r="R1072" t="str">
            <v>TOYOTA PASSO A/T</v>
          </cell>
          <cell r="S1072" t="str">
            <v>2013</v>
          </cell>
          <cell r="T1072" t="str">
            <v>ACH 983</v>
          </cell>
          <cell r="U1072" t="str">
            <v>390312</v>
          </cell>
          <cell r="V1072" t="str">
            <v>146249</v>
          </cell>
          <cell r="W1072" t="str">
            <v>05-mar-2027</v>
          </cell>
          <cell r="Y1072">
            <v>1870000</v>
          </cell>
          <cell r="Z1072">
            <v>32242</v>
          </cell>
          <cell r="AA1072">
            <v>37400</v>
          </cell>
        </row>
        <row r="1073">
          <cell r="B1073" t="str">
            <v>KHI/HO/D/MO/PC COMP/C/107407/75/02/2025</v>
          </cell>
          <cell r="D1073" t="str">
            <v>REN</v>
          </cell>
          <cell r="E1073" t="str">
            <v>17/02/25</v>
          </cell>
          <cell r="F1073" t="str">
            <v>28/02/2025</v>
          </cell>
          <cell r="G1073" t="str">
            <v>27/02/2026</v>
          </cell>
          <cell r="H1073" t="str">
            <v>08004499</v>
          </cell>
          <cell r="I1073" t="str">
            <v>AL BARAKA BANK (PAKISTAN) LIMITED</v>
          </cell>
          <cell r="J1073" t="str">
            <v>BANK</v>
          </cell>
          <cell r="K1073" t="str">
            <v xml:space="preserve">
HPA M/s. Al Baraka Bank (Pakistan) Limited 
Hpa M/S. Al Baraka Bank (Pakistan) Limited 
User: Muhammad  Bashir</v>
          </cell>
          <cell r="L1073" t="str">
            <v>D</v>
          </cell>
          <cell r="M1073" t="str">
            <v>09000221</v>
          </cell>
          <cell r="N1073">
            <v>100</v>
          </cell>
          <cell r="P1073" t="str">
            <v>St -1 Mohalla Chaudhrian Near Masjid Al Amin Nayaiabadi Morgah Rawalpindi</v>
          </cell>
          <cell r="Q1073" t="str">
            <v>11000003</v>
          </cell>
          <cell r="R1073" t="str">
            <v>SUZUKI WAGON R VXL</v>
          </cell>
          <cell r="S1073" t="str">
            <v>2021</v>
          </cell>
          <cell r="T1073" t="str">
            <v>AUV-238</v>
          </cell>
          <cell r="U1073" t="str">
            <v>218485</v>
          </cell>
          <cell r="V1073" t="str">
            <v>10118484</v>
          </cell>
          <cell r="W1073" t="str">
            <v>06-mar-2028</v>
          </cell>
          <cell r="Y1073">
            <v>2052750</v>
          </cell>
          <cell r="Z1073">
            <v>35392</v>
          </cell>
          <cell r="AA1073">
            <v>41055</v>
          </cell>
        </row>
        <row r="1074">
          <cell r="B1074" t="str">
            <v>KHI/HO/D/MO/PC COMP/C/107407/76/02/2025</v>
          </cell>
          <cell r="D1074" t="str">
            <v>REN</v>
          </cell>
          <cell r="E1074" t="str">
            <v>17/02/25</v>
          </cell>
          <cell r="F1074" t="str">
            <v>28/02/2025</v>
          </cell>
          <cell r="G1074" t="str">
            <v>27/02/2026</v>
          </cell>
          <cell r="H1074" t="str">
            <v>08004499</v>
          </cell>
          <cell r="I1074" t="str">
            <v>AL BARAKA BANK (PAKISTAN) LIMITED</v>
          </cell>
          <cell r="J1074" t="str">
            <v>BANK</v>
          </cell>
          <cell r="K1074" t="str">
            <v xml:space="preserve">
HPA M/s. Al Baraka Bank (Pakistan) Limited 
Hpa M/S. Al Baraka Bank (Pakistan) Limited 
User: Muhammad Usman  Kaleem</v>
          </cell>
          <cell r="L1074" t="str">
            <v>D</v>
          </cell>
          <cell r="M1074" t="str">
            <v>09000221</v>
          </cell>
          <cell r="N1074">
            <v>100</v>
          </cell>
          <cell r="P1074" t="str">
            <v>H # 136-A Block 8 DG Khan</v>
          </cell>
          <cell r="Q1074" t="str">
            <v>11000003</v>
          </cell>
          <cell r="R1074" t="str">
            <v>SUZUKI CULTUS VXL EURO II</v>
          </cell>
          <cell r="S1074" t="str">
            <v>2021</v>
          </cell>
          <cell r="T1074" t="str">
            <v>ANK-690</v>
          </cell>
          <cell r="U1074" t="str">
            <v>171619</v>
          </cell>
          <cell r="V1074" t="str">
            <v>10071601</v>
          </cell>
          <cell r="W1074" t="str">
            <v>06-mar-2028</v>
          </cell>
          <cell r="Y1074">
            <v>2550000</v>
          </cell>
          <cell r="Z1074">
            <v>43965</v>
          </cell>
          <cell r="AA1074">
            <v>51000</v>
          </cell>
        </row>
        <row r="1075">
          <cell r="B1075" t="str">
            <v>KHI/HO/D/MO/PC COMP/C/107407/77/02/2025</v>
          </cell>
          <cell r="D1075" t="str">
            <v>REN</v>
          </cell>
          <cell r="E1075" t="str">
            <v>17/02/25</v>
          </cell>
          <cell r="F1075" t="str">
            <v>28/02/2025</v>
          </cell>
          <cell r="G1075" t="str">
            <v>27/02/2026</v>
          </cell>
          <cell r="H1075" t="str">
            <v>08004499</v>
          </cell>
          <cell r="I1075" t="str">
            <v>AL BARAKA BANK (PAKISTAN) LIMITED</v>
          </cell>
          <cell r="J1075" t="str">
            <v>BANK</v>
          </cell>
          <cell r="K1075" t="str">
            <v xml:space="preserve">
HPA M/s. Al Baraka Bank (Pakistan) Limited 
Hpa M/S. Al Baraka Bank (Pakistan) Limited 
User: Muhammad   Tanveer</v>
          </cell>
          <cell r="L1075" t="str">
            <v>D</v>
          </cell>
          <cell r="M1075" t="str">
            <v>09000221</v>
          </cell>
          <cell r="N1075">
            <v>100</v>
          </cell>
          <cell r="O1075" t="str">
            <v>KARACHI</v>
          </cell>
          <cell r="P1075" t="str">
            <v>H # 1 Latif Villas Street MPS Road Inside Gagra Villa Multan</v>
          </cell>
          <cell r="Q1075" t="str">
            <v>11000003</v>
          </cell>
          <cell r="R1075" t="str">
            <v>SUZUKI ALTO VXR E-2</v>
          </cell>
          <cell r="S1075" t="str">
            <v>2019</v>
          </cell>
          <cell r="T1075" t="str">
            <v>LE-19A-274</v>
          </cell>
          <cell r="U1075" t="str">
            <v>6R114144</v>
          </cell>
          <cell r="V1075" t="str">
            <v>H1014122</v>
          </cell>
          <cell r="W1075" t="str">
            <v>06-mar-2028</v>
          </cell>
          <cell r="Y1075">
            <v>1742500</v>
          </cell>
          <cell r="Z1075">
            <v>30044</v>
          </cell>
          <cell r="AA1075">
            <v>34850</v>
          </cell>
        </row>
        <row r="1076">
          <cell r="B1076" t="str">
            <v>KHI/HO/D/MO/PC COMP/C/107407/78/02/2025</v>
          </cell>
          <cell r="D1076" t="str">
            <v>REN</v>
          </cell>
          <cell r="E1076" t="str">
            <v>17/02/25</v>
          </cell>
          <cell r="F1076" t="str">
            <v>28/02/2025</v>
          </cell>
          <cell r="G1076" t="str">
            <v>27/02/2026</v>
          </cell>
          <cell r="H1076" t="str">
            <v>08004499</v>
          </cell>
          <cell r="I1076" t="str">
            <v>AL BARAKA BANK (PAKISTAN) LIMITED</v>
          </cell>
          <cell r="J1076" t="str">
            <v>BANK</v>
          </cell>
          <cell r="K1076" t="str">
            <v xml:space="preserve">
HPA M/s. Al Baraka Bank (Pakistan) Limited 
Hpa M/S. Al Baraka Bank (Pakistan) Limited 
User: Muhammad  Shahbaz</v>
          </cell>
          <cell r="L1076" t="str">
            <v>D</v>
          </cell>
          <cell r="M1076" t="str">
            <v>09000221</v>
          </cell>
          <cell r="N1076">
            <v>100</v>
          </cell>
          <cell r="P1076" t="str">
            <v>Mohlan Wal Khurd Multan Road Lahore</v>
          </cell>
          <cell r="Q1076" t="str">
            <v>11000003</v>
          </cell>
          <cell r="R1076" t="str">
            <v>SUZUKI WAGON-R VXL E2</v>
          </cell>
          <cell r="S1076" t="str">
            <v>2018</v>
          </cell>
          <cell r="T1076" t="str">
            <v>LEC-18A-8405</v>
          </cell>
          <cell r="U1076" t="str">
            <v>175438</v>
          </cell>
          <cell r="V1076" t="str">
            <v>10075440</v>
          </cell>
          <cell r="W1076" t="str">
            <v>06-mar-2028</v>
          </cell>
          <cell r="Y1076">
            <v>1547000</v>
          </cell>
          <cell r="Z1076">
            <v>26672</v>
          </cell>
          <cell r="AA1076">
            <v>30940</v>
          </cell>
        </row>
        <row r="1077">
          <cell r="B1077" t="str">
            <v>KHI/HO/D/MO/PC COMP/C/107407/79/02/2025</v>
          </cell>
          <cell r="D1077" t="str">
            <v>REN</v>
          </cell>
          <cell r="E1077" t="str">
            <v>17/02/25</v>
          </cell>
          <cell r="F1077" t="str">
            <v>28/02/2025</v>
          </cell>
          <cell r="G1077" t="str">
            <v>27/02/2026</v>
          </cell>
          <cell r="H1077" t="str">
            <v>08004499</v>
          </cell>
          <cell r="I1077" t="str">
            <v>AL BARAKA BANK (PAKISTAN) LIMITED</v>
          </cell>
          <cell r="J1077" t="str">
            <v>BANK</v>
          </cell>
          <cell r="K1077" t="str">
            <v xml:space="preserve">
HPA M/s. Al Baraka Bank (Pakistan) Limited 
Hpa M/S. Al Baraka Bank (Pakistan) Limited 
User: Waris   Ali</v>
          </cell>
          <cell r="L1077" t="str">
            <v>D</v>
          </cell>
          <cell r="M1077" t="str">
            <v>09000221</v>
          </cell>
          <cell r="N1077">
            <v>100</v>
          </cell>
          <cell r="O1077" t="str">
            <v>KARACHI</v>
          </cell>
          <cell r="P1077" t="str">
            <v>H # 12 Chota Pind Gujrawali Scheme Street 4 Mohlanwal Main Multan Road Lahore</v>
          </cell>
          <cell r="Q1077" t="str">
            <v>11000003</v>
          </cell>
          <cell r="R1077" t="str">
            <v>SUZUKI WAGON-R VXL E2</v>
          </cell>
          <cell r="S1077" t="str">
            <v>2017</v>
          </cell>
          <cell r="T1077" t="str">
            <v>LE-17A-3652</v>
          </cell>
          <cell r="U1077" t="str">
            <v>B1388127</v>
          </cell>
          <cell r="V1077" t="str">
            <v>PK10037884</v>
          </cell>
          <cell r="W1077" t="str">
            <v>06-mar-2028</v>
          </cell>
          <cell r="Y1077">
            <v>1700000</v>
          </cell>
          <cell r="Z1077">
            <v>29310</v>
          </cell>
          <cell r="AA1077">
            <v>34000</v>
          </cell>
        </row>
        <row r="1078">
          <cell r="B1078" t="str">
            <v>KHI/HO/D/MO/PC COMP/C/107407/80/02/2025</v>
          </cell>
          <cell r="D1078" t="str">
            <v>REN</v>
          </cell>
          <cell r="E1078" t="str">
            <v>17/02/25</v>
          </cell>
          <cell r="F1078" t="str">
            <v>09/02/2025</v>
          </cell>
          <cell r="G1078" t="str">
            <v>08/02/2026</v>
          </cell>
          <cell r="H1078" t="str">
            <v>08004499</v>
          </cell>
          <cell r="I1078" t="str">
            <v>AL BARAKA BANK (PAKISTAN) LIMITED</v>
          </cell>
          <cell r="J1078" t="str">
            <v>BANK</v>
          </cell>
          <cell r="K1078" t="str">
            <v xml:space="preserve">
HPA M/s. Al Baraka Bank (Pakistan) Limited 
Hpa M/S. Al Baraka Bank (Pakistan) Limited 
User: Mubashar   Iqbal</v>
          </cell>
          <cell r="L1078" t="str">
            <v>D</v>
          </cell>
          <cell r="M1078" t="str">
            <v>09000221</v>
          </cell>
          <cell r="N1078">
            <v>100</v>
          </cell>
          <cell r="O1078" t="str">
            <v>KARACHI</v>
          </cell>
          <cell r="P1078" t="str">
            <v>H NO 02 St 18 Johar Town Lahore</v>
          </cell>
          <cell r="Q1078" t="str">
            <v>11000003</v>
          </cell>
          <cell r="R1078" t="str">
            <v>SUZUKI CULTUS VXL</v>
          </cell>
          <cell r="S1078" t="str">
            <v>2020</v>
          </cell>
          <cell r="T1078" t="str">
            <v>ABF-726</v>
          </cell>
          <cell r="U1078" t="str">
            <v>K165900</v>
          </cell>
          <cell r="V1078" t="str">
            <v>H10065939</v>
          </cell>
          <cell r="W1078" t="str">
            <v>05-feb-2028</v>
          </cell>
          <cell r="Y1078">
            <v>2380000</v>
          </cell>
          <cell r="Z1078">
            <v>41035</v>
          </cell>
          <cell r="AA1078">
            <v>47600</v>
          </cell>
        </row>
        <row r="1079">
          <cell r="B1079" t="str">
            <v>KHI/HO/D/MO/PC COMP/C/107407/81/02/2025</v>
          </cell>
          <cell r="D1079" t="str">
            <v>REN</v>
          </cell>
          <cell r="E1079" t="str">
            <v>17/02/25</v>
          </cell>
          <cell r="F1079" t="str">
            <v>09/02/2025</v>
          </cell>
          <cell r="G1079" t="str">
            <v>08/02/2026</v>
          </cell>
          <cell r="H1079" t="str">
            <v>08004499</v>
          </cell>
          <cell r="I1079" t="str">
            <v>AL BARAKA BANK (PAKISTAN) LIMITED</v>
          </cell>
          <cell r="J1079" t="str">
            <v>BANK</v>
          </cell>
          <cell r="K1079" t="str">
            <v xml:space="preserve">
HPA M/s. Al Baraka Bank (Pakistan) Limited 
Hpa M/S. Al Baraka Bank (Pakistan) Limited 
User: Sadia   Nasir</v>
          </cell>
          <cell r="L1079" t="str">
            <v>D</v>
          </cell>
          <cell r="M1079" t="str">
            <v>09000221</v>
          </cell>
          <cell r="N1079">
            <v>100</v>
          </cell>
          <cell r="O1079" t="str">
            <v>KARACHI</v>
          </cell>
          <cell r="P1079" t="str">
            <v>H No P 14 B A Block 12 Madina Town  Faisalabad</v>
          </cell>
          <cell r="Q1079" t="str">
            <v>11000003</v>
          </cell>
          <cell r="R1079" t="str">
            <v>TOYOTA YARIS ATIV X 1.5 A</v>
          </cell>
          <cell r="S1079" t="str">
            <v>2020</v>
          </cell>
          <cell r="T1079" t="str">
            <v>AAE-828</v>
          </cell>
          <cell r="U1079" t="str">
            <v>2A05992</v>
          </cell>
          <cell r="V1079" t="str">
            <v>NSP151R-9502765</v>
          </cell>
          <cell r="W1079" t="str">
            <v>05-feb-2026</v>
          </cell>
          <cell r="Y1079">
            <v>3060000</v>
          </cell>
          <cell r="Z1079">
            <v>39569</v>
          </cell>
          <cell r="AA1079">
            <v>45900</v>
          </cell>
        </row>
        <row r="1080">
          <cell r="B1080" t="str">
            <v>KHI/HO/D/MO/PC COMP/C/107407/82/02/2025</v>
          </cell>
          <cell r="D1080" t="str">
            <v>REN</v>
          </cell>
          <cell r="E1080" t="str">
            <v>17/02/25</v>
          </cell>
          <cell r="F1080" t="str">
            <v>13/02/2025</v>
          </cell>
          <cell r="G1080" t="str">
            <v>12/02/2026</v>
          </cell>
          <cell r="H1080" t="str">
            <v>08004499</v>
          </cell>
          <cell r="I1080" t="str">
            <v>AL BARAKA BANK (PAKISTAN) LIMITED</v>
          </cell>
          <cell r="J1080" t="str">
            <v>BANK</v>
          </cell>
          <cell r="K1080" t="str">
            <v xml:space="preserve">
HPA M/s. Al Baraka Bank (Pakistan) Limited 
Hpa M/S. Al Baraka Bank (Pakistan) Limited 
User: Shahbaz  Ahmad</v>
          </cell>
          <cell r="L1080" t="str">
            <v>D</v>
          </cell>
          <cell r="M1080" t="str">
            <v>09000221</v>
          </cell>
          <cell r="N1080">
            <v>100</v>
          </cell>
          <cell r="O1080" t="str">
            <v>KARACHI</v>
          </cell>
          <cell r="P1080" t="str">
            <v>Chak No 63 JB Mehta Jhang Road Sadhar By Pass Faisalabad</v>
          </cell>
          <cell r="Q1080" t="str">
            <v>11000003</v>
          </cell>
          <cell r="R1080" t="str">
            <v>KIA PICANTO 1.0L A/T</v>
          </cell>
          <cell r="S1080" t="str">
            <v>2023</v>
          </cell>
          <cell r="T1080" t="str">
            <v>ANS-957</v>
          </cell>
          <cell r="U1080" t="str">
            <v>G3LANP121178</v>
          </cell>
          <cell r="V1080" t="str">
            <v>NNATA52AZKP711622</v>
          </cell>
          <cell r="W1080" t="str">
            <v>05-mar-2026</v>
          </cell>
          <cell r="Y1080">
            <v>2931650</v>
          </cell>
          <cell r="Z1080">
            <v>50546</v>
          </cell>
          <cell r="AA1080">
            <v>58633</v>
          </cell>
        </row>
        <row r="1081">
          <cell r="B1081" t="str">
            <v>KHI/HO/D/MO/PC COMP/C/107407/83/02/2025</v>
          </cell>
          <cell r="D1081" t="str">
            <v>REN</v>
          </cell>
          <cell r="E1081" t="str">
            <v>17/02/25</v>
          </cell>
          <cell r="F1081" t="str">
            <v>13/02/2025</v>
          </cell>
          <cell r="G1081" t="str">
            <v>12/02/2026</v>
          </cell>
          <cell r="H1081" t="str">
            <v>08004499</v>
          </cell>
          <cell r="I1081" t="str">
            <v>AL BARAKA BANK (PAKISTAN) LIMITED</v>
          </cell>
          <cell r="J1081" t="str">
            <v>BANK</v>
          </cell>
          <cell r="K1081" t="str">
            <v xml:space="preserve">
HPA M/s. Al Baraka Bank (Pakistan) Limited 
Hpa M/S. Al Baraka Bank (Pakistan) Limited 
User: Suhail  Ahmed</v>
          </cell>
          <cell r="L1081" t="str">
            <v>D</v>
          </cell>
          <cell r="M1081" t="str">
            <v>09000221</v>
          </cell>
          <cell r="N1081">
            <v>100</v>
          </cell>
          <cell r="P1081" t="str">
            <v>H No 832 / A Street 01 Mehmoodabad Gate Karachi</v>
          </cell>
          <cell r="Q1081" t="str">
            <v>11000003</v>
          </cell>
          <cell r="R1081" t="str">
            <v>KIA PICANTO 1.0L A/T</v>
          </cell>
          <cell r="S1081" t="str">
            <v>2019</v>
          </cell>
          <cell r="T1081" t="str">
            <v>BRJ -165</v>
          </cell>
          <cell r="U1081" t="str">
            <v>148121</v>
          </cell>
          <cell r="V1081" t="str">
            <v>700401</v>
          </cell>
          <cell r="W1081" t="str">
            <v>06-mar-2028</v>
          </cell>
          <cell r="Y1081">
            <v>1785000</v>
          </cell>
          <cell r="Z1081">
            <v>30776</v>
          </cell>
          <cell r="AA1081">
            <v>35700</v>
          </cell>
        </row>
        <row r="1082">
          <cell r="B1082" t="str">
            <v>KHI/HO/D/MO/PC COMP/C/107407/84/02/2025</v>
          </cell>
          <cell r="D1082" t="str">
            <v>REN</v>
          </cell>
          <cell r="E1082" t="str">
            <v>17/02/25</v>
          </cell>
          <cell r="F1082" t="str">
            <v>02/02/2025</v>
          </cell>
          <cell r="G1082" t="str">
            <v>01/02/2026</v>
          </cell>
          <cell r="H1082" t="str">
            <v>08004499</v>
          </cell>
          <cell r="I1082" t="str">
            <v>AL BARAKA BANK (PAKISTAN) LIMITED</v>
          </cell>
          <cell r="J1082" t="str">
            <v>BANK</v>
          </cell>
          <cell r="K1082" t="str">
            <v xml:space="preserve">
HPA M/s. Al Baraka Bank (Pakistan) Limited 
Hpa M/S. Al Baraka Bank (Pakistan) Limited 
User: Muhammad  Ikram</v>
          </cell>
          <cell r="L1082" t="str">
            <v>D</v>
          </cell>
          <cell r="M1082" t="str">
            <v>09000221</v>
          </cell>
          <cell r="N1082">
            <v>100</v>
          </cell>
          <cell r="P1082" t="str">
            <v>H No 136 -137 St No 2 Muhallah Pak Town Chungi Amer Sidhu Lahore</v>
          </cell>
          <cell r="Q1082" t="str">
            <v>11000003</v>
          </cell>
          <cell r="R1082" t="str">
            <v>SUZUKI WAGON R VXL</v>
          </cell>
          <cell r="S1082" t="str">
            <v>2022</v>
          </cell>
          <cell r="T1082" t="str">
            <v>AHG-297</v>
          </cell>
          <cell r="U1082" t="str">
            <v>228703</v>
          </cell>
          <cell r="V1082" t="str">
            <v>10128712</v>
          </cell>
          <cell r="W1082" t="str">
            <v>05-feb-2027</v>
          </cell>
          <cell r="Y1082">
            <v>1580000</v>
          </cell>
          <cell r="Z1082">
            <v>23837</v>
          </cell>
          <cell r="AA1082">
            <v>27650</v>
          </cell>
        </row>
        <row r="1083">
          <cell r="B1083" t="str">
            <v>KHI/HO/D/MO/PC COMP/C/107407/85/02/2025</v>
          </cell>
          <cell r="D1083" t="str">
            <v>REN</v>
          </cell>
          <cell r="E1083" t="str">
            <v>17/02/25</v>
          </cell>
          <cell r="F1083" t="str">
            <v>07/02/2025</v>
          </cell>
          <cell r="G1083" t="str">
            <v>06/02/2026</v>
          </cell>
          <cell r="H1083" t="str">
            <v>08004499</v>
          </cell>
          <cell r="I1083" t="str">
            <v>AL BARAKA BANK (PAKISTAN) LIMITED</v>
          </cell>
          <cell r="J1083" t="str">
            <v>BANK</v>
          </cell>
          <cell r="K1083" t="str">
            <v xml:space="preserve">
HPA M/s. Al Baraka Bank (Pakistan) Limited 
Hpa M/S. Al Baraka Bank (Pakistan) Limited 
User: Naseem  Ahmad</v>
          </cell>
          <cell r="L1083" t="str">
            <v>D</v>
          </cell>
          <cell r="M1083" t="str">
            <v>09000221</v>
          </cell>
          <cell r="N1083">
            <v>100</v>
          </cell>
          <cell r="O1083" t="str">
            <v>KARACHI</v>
          </cell>
          <cell r="P1083" t="str">
            <v>H No B-1027 Sutar Mandi Lahori Gate Lahore</v>
          </cell>
          <cell r="Q1083" t="str">
            <v>11000003</v>
          </cell>
          <cell r="R1083" t="str">
            <v>SUZUKI WAGON R VXL</v>
          </cell>
          <cell r="S1083" t="str">
            <v>2018</v>
          </cell>
          <cell r="T1083" t="str">
            <v>LEB-18-8486</v>
          </cell>
          <cell r="U1083" t="str">
            <v>B153883</v>
          </cell>
          <cell r="V1083" t="str">
            <v>K10053861</v>
          </cell>
          <cell r="W1083" t="str">
            <v>05-feb-2027</v>
          </cell>
          <cell r="Y1083">
            <v>1200000</v>
          </cell>
          <cell r="Z1083">
            <v>18103</v>
          </cell>
          <cell r="AA1083">
            <v>21000</v>
          </cell>
        </row>
        <row r="1084">
          <cell r="B1084" t="str">
            <v>KHI/HO/D/MO/PC COMP/C/107407/86/02/2025</v>
          </cell>
          <cell r="D1084" t="str">
            <v>REN</v>
          </cell>
          <cell r="E1084" t="str">
            <v>17/02/25</v>
          </cell>
          <cell r="F1084" t="str">
            <v>07/02/2025</v>
          </cell>
          <cell r="G1084" t="str">
            <v>06/02/2026</v>
          </cell>
          <cell r="H1084" t="str">
            <v>08004499</v>
          </cell>
          <cell r="I1084" t="str">
            <v>AL BARAKA BANK (PAKISTAN) LIMITED</v>
          </cell>
          <cell r="J1084" t="str">
            <v>BANK</v>
          </cell>
          <cell r="K1084" t="str">
            <v xml:space="preserve">
HPA M/s. Al Baraka Bank (Pakistan) Limited 
Hpa M/S. Al Baraka Bank (Pakistan) Limited 
User: Muhammad  Naveed Shahzad</v>
          </cell>
          <cell r="L1084" t="str">
            <v>D</v>
          </cell>
          <cell r="M1084" t="str">
            <v>09000221</v>
          </cell>
          <cell r="N1084">
            <v>100</v>
          </cell>
          <cell r="O1084" t="str">
            <v>KARACHI</v>
          </cell>
          <cell r="P1084" t="str">
            <v>H # 139 Block Z Sector D-2 Green Town Lahore</v>
          </cell>
          <cell r="Q1084" t="str">
            <v>11000003</v>
          </cell>
          <cell r="R1084" t="str">
            <v>SUZUKI ALTO VX EURO II</v>
          </cell>
          <cell r="S1084" t="str">
            <v>2022</v>
          </cell>
          <cell r="T1084" t="str">
            <v>LHC-22-439</v>
          </cell>
          <cell r="U1084" t="str">
            <v>6R209249</v>
          </cell>
          <cell r="V1084" t="str">
            <v>1109299</v>
          </cell>
          <cell r="W1084" t="str">
            <v>05-mar-2029</v>
          </cell>
          <cell r="Y1084">
            <v>890400</v>
          </cell>
          <cell r="Z1084">
            <v>19190</v>
          </cell>
          <cell r="AA1084">
            <v>22260</v>
          </cell>
        </row>
        <row r="1085">
          <cell r="B1085" t="str">
            <v>KHI/HO/D/MO/PC COMP/C/107407/87/02/2025</v>
          </cell>
          <cell r="D1085" t="str">
            <v>REN</v>
          </cell>
          <cell r="E1085" t="str">
            <v>17/02/25</v>
          </cell>
          <cell r="F1085" t="str">
            <v>07/02/2025</v>
          </cell>
          <cell r="G1085" t="str">
            <v>06/02/2026</v>
          </cell>
          <cell r="H1085" t="str">
            <v>08004499</v>
          </cell>
          <cell r="I1085" t="str">
            <v>AL BARAKA BANK (PAKISTAN) LIMITED</v>
          </cell>
          <cell r="J1085" t="str">
            <v>BANK</v>
          </cell>
          <cell r="K1085" t="str">
            <v xml:space="preserve">
HPA M/s. Al Baraka Bank (Pakistan) Limited 
Hpa M/S. Al Baraka Bank (Pakistan) Limited 
User: Ali  Raza</v>
          </cell>
          <cell r="L1085" t="str">
            <v>D</v>
          </cell>
          <cell r="M1085" t="str">
            <v>09000221</v>
          </cell>
          <cell r="N1085">
            <v>100</v>
          </cell>
          <cell r="O1085" t="str">
            <v>KARACHI</v>
          </cell>
          <cell r="P1085" t="str">
            <v>H # 539 Usama Block Nishter Colony Lahore</v>
          </cell>
          <cell r="Q1085" t="str">
            <v>11000003</v>
          </cell>
          <cell r="R1085" t="str">
            <v>SUZUKI ALTO VXL AGS E-2</v>
          </cell>
          <cell r="S1085" t="str">
            <v>2022</v>
          </cell>
          <cell r="T1085" t="str">
            <v>AJB-286</v>
          </cell>
          <cell r="U1085" t="str">
            <v>6R212090</v>
          </cell>
          <cell r="V1085" t="str">
            <v>H1111931</v>
          </cell>
          <cell r="W1085" t="str">
            <v>05-feb-2028</v>
          </cell>
          <cell r="Y1085">
            <v>1236800</v>
          </cell>
          <cell r="Z1085">
            <v>18658</v>
          </cell>
          <cell r="AA1085">
            <v>21644</v>
          </cell>
        </row>
        <row r="1086">
          <cell r="B1086" t="str">
            <v>KHI/HO/D/MO/PC COMP/C/107407/88/02/2025</v>
          </cell>
          <cell r="D1086" t="str">
            <v>REN</v>
          </cell>
          <cell r="E1086" t="str">
            <v>17/02/25</v>
          </cell>
          <cell r="F1086" t="str">
            <v>09/02/2025</v>
          </cell>
          <cell r="G1086" t="str">
            <v>08/02/2026</v>
          </cell>
          <cell r="H1086" t="str">
            <v>08004499</v>
          </cell>
          <cell r="I1086" t="str">
            <v>AL BARAKA BANK (PAKISTAN) LIMITED</v>
          </cell>
          <cell r="J1086" t="str">
            <v>BANK</v>
          </cell>
          <cell r="K1086" t="str">
            <v xml:space="preserve">
HPA M/s. Al Baraka Bank (Pakistan) Limited 
Hpa M/S. Al Baraka Bank (Pakistan) Limited 
User: Muhammad  Shafi</v>
          </cell>
          <cell r="L1086" t="str">
            <v>D</v>
          </cell>
          <cell r="M1086" t="str">
            <v>09000221</v>
          </cell>
          <cell r="N1086">
            <v>100</v>
          </cell>
          <cell r="P1086" t="str">
            <v>H No 199 B Green City Barki Road Lahore</v>
          </cell>
          <cell r="Q1086" t="str">
            <v>11000003</v>
          </cell>
          <cell r="R1086" t="str">
            <v>KIA PICANTO 1.0L A/T</v>
          </cell>
          <cell r="S1086" t="str">
            <v>2021</v>
          </cell>
          <cell r="T1086" t="str">
            <v>AGU-122</v>
          </cell>
          <cell r="U1086" t="str">
            <v>180361</v>
          </cell>
          <cell r="V1086" t="str">
            <v>707949</v>
          </cell>
          <cell r="W1086" t="str">
            <v>05-feb-2027</v>
          </cell>
          <cell r="Y1086">
            <v>1564000</v>
          </cell>
          <cell r="Z1086">
            <v>33707</v>
          </cell>
          <cell r="AA1086">
            <v>39100</v>
          </cell>
        </row>
        <row r="1087">
          <cell r="B1087" t="str">
            <v>KHI/HO/D/MO/PC COMP/C/107407/89/02/2025</v>
          </cell>
          <cell r="D1087" t="str">
            <v>REN</v>
          </cell>
          <cell r="E1087" t="str">
            <v>17/02/25</v>
          </cell>
          <cell r="F1087" t="str">
            <v>09/02/2025</v>
          </cell>
          <cell r="G1087" t="str">
            <v>08/02/2026</v>
          </cell>
          <cell r="H1087" t="str">
            <v>08004499</v>
          </cell>
          <cell r="I1087" t="str">
            <v>AL BARAKA BANK (PAKISTAN) LIMITED</v>
          </cell>
          <cell r="J1087" t="str">
            <v>BANK</v>
          </cell>
          <cell r="K1087" t="str">
            <v xml:space="preserve">
HPA M/s. Al Baraka Bank (Pakistan) Limited 
Hpa M/S. Al Baraka Bank (Pakistan) Limited 
User: Iftikhar  Khan</v>
          </cell>
          <cell r="L1087" t="str">
            <v>D</v>
          </cell>
          <cell r="M1087" t="str">
            <v>09000221</v>
          </cell>
          <cell r="N1087">
            <v>100</v>
          </cell>
          <cell r="P1087" t="str">
            <v>H No 39 St No 22 Maizanabad Baghban pura Lahore</v>
          </cell>
          <cell r="Q1087" t="str">
            <v>11000003</v>
          </cell>
          <cell r="R1087" t="str">
            <v>HONDA BRV - S</v>
          </cell>
          <cell r="S1087" t="str">
            <v>2022</v>
          </cell>
          <cell r="T1087" t="str">
            <v>AHK-383</v>
          </cell>
          <cell r="U1087" t="str">
            <v>14808167</v>
          </cell>
          <cell r="V1087" t="str">
            <v>NR024862</v>
          </cell>
          <cell r="W1087" t="str">
            <v>05-mar-2027</v>
          </cell>
          <cell r="Y1087">
            <v>2964400</v>
          </cell>
          <cell r="Z1087">
            <v>38333</v>
          </cell>
          <cell r="AA1087">
            <v>44466</v>
          </cell>
        </row>
        <row r="1088">
          <cell r="B1088" t="str">
            <v>KHI/HO/D/MO/PC COMP/C/107407/90/02/2025</v>
          </cell>
          <cell r="D1088" t="str">
            <v>REN</v>
          </cell>
          <cell r="E1088" t="str">
            <v>17/02/25</v>
          </cell>
          <cell r="F1088" t="str">
            <v>11/02/2025</v>
          </cell>
          <cell r="G1088" t="str">
            <v>10/02/2026</v>
          </cell>
          <cell r="H1088" t="str">
            <v>08004499</v>
          </cell>
          <cell r="I1088" t="str">
            <v>AL BARAKA BANK (PAKISTAN) LIMITED</v>
          </cell>
          <cell r="J1088" t="str">
            <v>BANK</v>
          </cell>
          <cell r="K1088" t="str">
            <v xml:space="preserve">
HPA M/s. Al Baraka Bank (Pakistan) Limited 
Hpa M/S. Al Baraka Bank (Pakistan) Limited 
User: Sidra  Iqbal</v>
          </cell>
          <cell r="L1088" t="str">
            <v>D</v>
          </cell>
          <cell r="M1088" t="str">
            <v>09000221</v>
          </cell>
          <cell r="N1088">
            <v>100</v>
          </cell>
          <cell r="P1088" t="str">
            <v>St No 3 Mohallah Imdad Colony Hujra Shah Muqeem Depalpur Okara</v>
          </cell>
          <cell r="Q1088" t="str">
            <v>11000003</v>
          </cell>
          <cell r="R1088" t="str">
            <v>HONDA CITY 1.2 LS MT</v>
          </cell>
          <cell r="S1088" t="str">
            <v>2018</v>
          </cell>
          <cell r="T1088" t="str">
            <v>LED-18-2498</v>
          </cell>
          <cell r="U1088" t="str">
            <v>17510006</v>
          </cell>
          <cell r="V1088" t="str">
            <v>JR222816</v>
          </cell>
          <cell r="W1088" t="str">
            <v>05-mar-2027</v>
          </cell>
          <cell r="Y1088">
            <v>1816000</v>
          </cell>
          <cell r="Z1088">
            <v>27397</v>
          </cell>
          <cell r="AA1088">
            <v>31780</v>
          </cell>
        </row>
        <row r="1089">
          <cell r="B1089" t="str">
            <v>KHI/HO/D/MO/PC COMP/C/107407/91/02/2025</v>
          </cell>
          <cell r="D1089" t="str">
            <v>REN</v>
          </cell>
          <cell r="E1089" t="str">
            <v>17/02/25</v>
          </cell>
          <cell r="F1089" t="str">
            <v>14/02/2025</v>
          </cell>
          <cell r="G1089" t="str">
            <v>13/02/2026</v>
          </cell>
          <cell r="H1089" t="str">
            <v>08004499</v>
          </cell>
          <cell r="I1089" t="str">
            <v>AL BARAKA BANK (PAKISTAN) LIMITED</v>
          </cell>
          <cell r="J1089" t="str">
            <v>BANK</v>
          </cell>
          <cell r="K1089" t="str">
            <v xml:space="preserve">
HPA M/s. Al Baraka Bank (Pakistan) Limited 
Hpa M/S. Al Baraka Bank (Pakistan) Limited 
User: Shahzad  Ali</v>
          </cell>
          <cell r="L1089" t="str">
            <v>D</v>
          </cell>
          <cell r="M1089" t="str">
            <v>09000221</v>
          </cell>
          <cell r="N1089">
            <v>100</v>
          </cell>
          <cell r="P1089" t="str">
            <v>H # 210 Block A 1st Floor MRP Colony Karachi</v>
          </cell>
          <cell r="Q1089" t="str">
            <v>11000003</v>
          </cell>
          <cell r="R1089" t="str">
            <v>SUZUKI ALTO VXR E-2</v>
          </cell>
          <cell r="S1089" t="str">
            <v>2021</v>
          </cell>
          <cell r="T1089" t="str">
            <v>BUT-142</v>
          </cell>
          <cell r="U1089" t="str">
            <v>146378</v>
          </cell>
          <cell r="V1089" t="str">
            <v>1046366</v>
          </cell>
          <cell r="W1089" t="str">
            <v>06-mar-2028</v>
          </cell>
          <cell r="Y1089">
            <v>1320000</v>
          </cell>
          <cell r="Z1089">
            <v>19914</v>
          </cell>
          <cell r="AA1089">
            <v>23100</v>
          </cell>
        </row>
        <row r="1090">
          <cell r="B1090" t="str">
            <v>KHI/HO/D/MO/PC COMP/C/107407/92/02/2025</v>
          </cell>
          <cell r="D1090" t="str">
            <v>REN</v>
          </cell>
          <cell r="E1090" t="str">
            <v>17/02/25</v>
          </cell>
          <cell r="F1090" t="str">
            <v>14/02/2025</v>
          </cell>
          <cell r="G1090" t="str">
            <v>13/02/2026</v>
          </cell>
          <cell r="H1090" t="str">
            <v>08004499</v>
          </cell>
          <cell r="I1090" t="str">
            <v>AL BARAKA BANK (PAKISTAN) LIMITED</v>
          </cell>
          <cell r="J1090" t="str">
            <v>BANK</v>
          </cell>
          <cell r="K1090" t="str">
            <v xml:space="preserve">
HPA M/s. Al Baraka Bank (Pakistan) Limited 
Hpa M/S. Al Baraka Bank (Pakistan) Limited 
User: Asad Ullah  Saleem</v>
          </cell>
          <cell r="L1090" t="str">
            <v>D</v>
          </cell>
          <cell r="M1090" t="str">
            <v>09000221</v>
          </cell>
          <cell r="N1090">
            <v>100</v>
          </cell>
          <cell r="O1090" t="str">
            <v>KARACHI</v>
          </cell>
          <cell r="P1090" t="str">
            <v>H # 3 Street 6 Ali Street Abid Colony Ghazi road Lahore</v>
          </cell>
          <cell r="Q1090" t="str">
            <v>11000003</v>
          </cell>
          <cell r="R1090" t="str">
            <v>HONDA CITY I-VTEC A/T PT</v>
          </cell>
          <cell r="S1090" t="str">
            <v>2018</v>
          </cell>
          <cell r="T1090" t="str">
            <v>LEC-18A-3676</v>
          </cell>
          <cell r="U1090" t="str">
            <v>Z17518230</v>
          </cell>
          <cell r="V1090" t="str">
            <v>233492</v>
          </cell>
          <cell r="W1090" t="str">
            <v>05-mar-2027</v>
          </cell>
          <cell r="Y1090">
            <v>1840000</v>
          </cell>
          <cell r="Z1090">
            <v>27758</v>
          </cell>
          <cell r="AA1090">
            <v>32200</v>
          </cell>
        </row>
        <row r="1091">
          <cell r="B1091" t="str">
            <v>KHI/HO/D/MO/PC COMP/C/107407/93/02/2025</v>
          </cell>
          <cell r="D1091" t="str">
            <v>REN</v>
          </cell>
          <cell r="E1091" t="str">
            <v>17/02/25</v>
          </cell>
          <cell r="F1091" t="str">
            <v>15/02/2025</v>
          </cell>
          <cell r="G1091" t="str">
            <v>14/02/2026</v>
          </cell>
          <cell r="H1091" t="str">
            <v>08004499</v>
          </cell>
          <cell r="I1091" t="str">
            <v>AL BARAKA BANK (PAKISTAN) LIMITED</v>
          </cell>
          <cell r="J1091" t="str">
            <v>BANK</v>
          </cell>
          <cell r="K1091" t="str">
            <v xml:space="preserve">
HPA M/s. Al Baraka Bank (Pakistan) Limited 
Hpa M/S. Al Baraka Bank (Pakistan) Limited 
User: Hassam  Khan</v>
          </cell>
          <cell r="L1091" t="str">
            <v>D</v>
          </cell>
          <cell r="M1091" t="str">
            <v>09000221</v>
          </cell>
          <cell r="N1091">
            <v>100</v>
          </cell>
          <cell r="P1091" t="str">
            <v>H # L-1550 Block 1 Gulzar-e-Hijri Karachi</v>
          </cell>
          <cell r="Q1091" t="str">
            <v>11000003</v>
          </cell>
          <cell r="R1091" t="str">
            <v>SUZUKI ALTO VXR E-2</v>
          </cell>
          <cell r="S1091" t="str">
            <v>2019</v>
          </cell>
          <cell r="T1091" t="str">
            <v>BQS-701</v>
          </cell>
          <cell r="U1091" t="str">
            <v>110730</v>
          </cell>
          <cell r="V1091" t="str">
            <v>1010722</v>
          </cell>
          <cell r="W1091" t="str">
            <v>05-mar-2027</v>
          </cell>
          <cell r="Y1091">
            <v>1360000</v>
          </cell>
          <cell r="Z1091">
            <v>20517</v>
          </cell>
          <cell r="AA1091">
            <v>23800</v>
          </cell>
        </row>
        <row r="1092">
          <cell r="B1092" t="str">
            <v>KHI/HO/D/MO/PC COMP/C/107407/94/02/2025</v>
          </cell>
          <cell r="D1092" t="str">
            <v>REN</v>
          </cell>
          <cell r="E1092" t="str">
            <v>17/02/25</v>
          </cell>
          <cell r="F1092" t="str">
            <v>16/02/2025</v>
          </cell>
          <cell r="G1092" t="str">
            <v>15/02/2026</v>
          </cell>
          <cell r="H1092" t="str">
            <v>08004499</v>
          </cell>
          <cell r="I1092" t="str">
            <v>AL BARAKA BANK (PAKISTAN) LIMITED</v>
          </cell>
          <cell r="J1092" t="str">
            <v>BANK</v>
          </cell>
          <cell r="K1092" t="str">
            <v xml:space="preserve">
HPA M/s. Al Baraka Bank (Pakistan) Limited 
Hpa M/S. Al Baraka Bank (Pakistan) Limited 
User: Muahmmad Ibrar Abbasi</v>
          </cell>
          <cell r="L1092" t="str">
            <v>D</v>
          </cell>
          <cell r="M1092" t="str">
            <v>09000221</v>
          </cell>
          <cell r="N1092">
            <v>100</v>
          </cell>
          <cell r="P1092" t="str">
            <v>F Floor Zakaria Plaza Street 14 Phase 5-B Ghouri Town Islamabad</v>
          </cell>
          <cell r="Q1092" t="str">
            <v>11000003</v>
          </cell>
          <cell r="R1092" t="str">
            <v>SUZUKI ALTO VXR E-2</v>
          </cell>
          <cell r="S1092" t="str">
            <v>2022</v>
          </cell>
          <cell r="T1092" t="str">
            <v>AHS-594</v>
          </cell>
          <cell r="U1092" t="str">
            <v>210216</v>
          </cell>
          <cell r="V1092" t="str">
            <v>1110005</v>
          </cell>
          <cell r="W1092" t="str">
            <v>05-mar-2027</v>
          </cell>
          <cell r="Y1092">
            <v>1068000</v>
          </cell>
          <cell r="Z1092">
            <v>23017</v>
          </cell>
          <cell r="AA1092">
            <v>26700</v>
          </cell>
        </row>
        <row r="1093">
          <cell r="B1093" t="str">
            <v>KHI/HO/D/MO/PC COMP/C/107407/95/02/2025</v>
          </cell>
          <cell r="D1093" t="str">
            <v>REN</v>
          </cell>
          <cell r="E1093" t="str">
            <v>17/02/25</v>
          </cell>
          <cell r="F1093" t="str">
            <v>16/02/2025</v>
          </cell>
          <cell r="G1093" t="str">
            <v>15/02/2026</v>
          </cell>
          <cell r="H1093" t="str">
            <v>08004499</v>
          </cell>
          <cell r="I1093" t="str">
            <v>AL BARAKA BANK (PAKISTAN) LIMITED</v>
          </cell>
          <cell r="J1093" t="str">
            <v>BANK</v>
          </cell>
          <cell r="K1093" t="str">
            <v xml:space="preserve">
HPA M/s. Al Baraka Bank (Pakistan) Limited 
Hpa M/S. Al Baraka Bank (Pakistan) Limited 
User: Syed Tahir Hussain Shah</v>
          </cell>
          <cell r="L1093" t="str">
            <v>D</v>
          </cell>
          <cell r="M1093" t="str">
            <v>09000221</v>
          </cell>
          <cell r="N1093">
            <v>100</v>
          </cell>
          <cell r="P1093" t="str">
            <v>Model House No. 37 City Housing Gujranwala</v>
          </cell>
          <cell r="Q1093" t="str">
            <v>11000003</v>
          </cell>
          <cell r="R1093" t="str">
            <v>SUZUKI WAGON R VXL AGS</v>
          </cell>
          <cell r="S1093" t="str">
            <v>2022</v>
          </cell>
          <cell r="T1093" t="str">
            <v>AKD-047</v>
          </cell>
          <cell r="U1093" t="str">
            <v>229762</v>
          </cell>
          <cell r="V1093" t="str">
            <v>10129760</v>
          </cell>
          <cell r="W1093" t="str">
            <v>06-mar-2028</v>
          </cell>
          <cell r="Y1093">
            <v>1726400</v>
          </cell>
          <cell r="Z1093">
            <v>37207</v>
          </cell>
          <cell r="AA1093">
            <v>43160</v>
          </cell>
        </row>
        <row r="1094">
          <cell r="B1094" t="str">
            <v>KHI/HO/D/MO/PC COMP/C/107407/96/02/2025</v>
          </cell>
          <cell r="D1094" t="str">
            <v>REN</v>
          </cell>
          <cell r="E1094" t="str">
            <v>17/02/25</v>
          </cell>
          <cell r="F1094" t="str">
            <v>03/02/2025</v>
          </cell>
          <cell r="G1094" t="str">
            <v>02/02/2026</v>
          </cell>
          <cell r="H1094" t="str">
            <v>08004499</v>
          </cell>
          <cell r="I1094" t="str">
            <v>AL BARAKA BANK (PAKISTAN) LIMITED</v>
          </cell>
          <cell r="J1094" t="str">
            <v>BANK</v>
          </cell>
          <cell r="K1094" t="str">
            <v xml:space="preserve">
HPA M/s. Al Baraka Bank (Pakistan) Limited 
Hpa M/S. Al Baraka Bank (Pakistan) Limited 
User: Basit  Nawaz</v>
          </cell>
          <cell r="L1094" t="str">
            <v>D</v>
          </cell>
          <cell r="M1094" t="str">
            <v>09000221</v>
          </cell>
          <cell r="N1094">
            <v>100</v>
          </cell>
          <cell r="P1094" t="str">
            <v>Abdullah Town St No 3 Barakoh Islamabad</v>
          </cell>
          <cell r="Q1094" t="str">
            <v>11000003</v>
          </cell>
          <cell r="R1094" t="str">
            <v>SUZUKI BOLAN STD</v>
          </cell>
          <cell r="S1094" t="str">
            <v>2022</v>
          </cell>
          <cell r="T1094" t="str">
            <v>AXC-851</v>
          </cell>
          <cell r="U1094" t="str">
            <v>1020078</v>
          </cell>
          <cell r="V1094" t="str">
            <v>1136571</v>
          </cell>
          <cell r="W1094" t="str">
            <v>05-feb-2027</v>
          </cell>
          <cell r="Y1094">
            <v>942400</v>
          </cell>
          <cell r="Z1094">
            <v>14217</v>
          </cell>
          <cell r="AA1094">
            <v>16492</v>
          </cell>
        </row>
        <row r="1095">
          <cell r="B1095" t="str">
            <v>KHI/HO/D/MO/PC COMP/C/107407/97/02/2025</v>
          </cell>
          <cell r="D1095" t="str">
            <v>REN</v>
          </cell>
          <cell r="E1095" t="str">
            <v>17/02/25</v>
          </cell>
          <cell r="F1095" t="str">
            <v>16/02/2025</v>
          </cell>
          <cell r="G1095" t="str">
            <v>15/02/2026</v>
          </cell>
          <cell r="H1095" t="str">
            <v>08004499</v>
          </cell>
          <cell r="I1095" t="str">
            <v>AL BARAKA BANK (PAKISTAN) LIMITED</v>
          </cell>
          <cell r="J1095" t="str">
            <v>BANK</v>
          </cell>
          <cell r="K1095" t="str">
            <v xml:space="preserve">
HPA M/s. Al Baraka Bank (Pakistan) Limited 
Hpa M/S. Al Baraka Bank (Pakistan) Limited 
User: Ashfaq  Lodhi</v>
          </cell>
          <cell r="L1095" t="str">
            <v>D</v>
          </cell>
          <cell r="M1095" t="str">
            <v>09000221</v>
          </cell>
          <cell r="N1095">
            <v>100</v>
          </cell>
          <cell r="P1095" t="str">
            <v>H # 41/1 Sector 36-C Korangi No. 5 Karachi</v>
          </cell>
          <cell r="Q1095" t="str">
            <v>11000003</v>
          </cell>
          <cell r="R1095" t="str">
            <v>HONDA CIVIC VTI ORIEL I-V</v>
          </cell>
          <cell r="S1095" t="str">
            <v>2018</v>
          </cell>
          <cell r="T1095" t="str">
            <v>BMT-370</v>
          </cell>
          <cell r="U1095" t="str">
            <v>12935726</v>
          </cell>
          <cell r="V1095" t="str">
            <v>039137</v>
          </cell>
          <cell r="W1095" t="str">
            <v>05-mar-2027</v>
          </cell>
          <cell r="Y1095">
            <v>2980000</v>
          </cell>
          <cell r="Z1095">
            <v>38535</v>
          </cell>
          <cell r="AA1095">
            <v>44700</v>
          </cell>
        </row>
        <row r="1096">
          <cell r="B1096" t="str">
            <v>KHI/HO/D/MO/PC COMP/C/107407/98/02/2025</v>
          </cell>
          <cell r="D1096" t="str">
            <v>REN</v>
          </cell>
          <cell r="E1096" t="str">
            <v>17/02/25</v>
          </cell>
          <cell r="F1096" t="str">
            <v>16/02/2025</v>
          </cell>
          <cell r="G1096" t="str">
            <v>15/02/2026</v>
          </cell>
          <cell r="H1096" t="str">
            <v>08004499</v>
          </cell>
          <cell r="I1096" t="str">
            <v>AL BARAKA BANK (PAKISTAN) LIMITED</v>
          </cell>
          <cell r="J1096" t="str">
            <v>BANK</v>
          </cell>
          <cell r="K1096" t="str">
            <v xml:space="preserve">
HPA M/s. Al Baraka Bank (Pakistan) Limited 
Hpa M/S. Al Baraka Bank (Pakistan) Limited 
User: Muhammad  Arslan  Awais</v>
          </cell>
          <cell r="L1096" t="str">
            <v>D</v>
          </cell>
          <cell r="M1096" t="str">
            <v>09000221</v>
          </cell>
          <cell r="N1096">
            <v>100</v>
          </cell>
          <cell r="O1096" t="str">
            <v>KARACHI</v>
          </cell>
          <cell r="P1096" t="str">
            <v>H # 65 Street 13 Jalal Park Kot Khawaja Saeed Lahore</v>
          </cell>
          <cell r="Q1096" t="str">
            <v>11000003</v>
          </cell>
          <cell r="R1096" t="str">
            <v>HONDA CITY 1.2  LS CVT</v>
          </cell>
          <cell r="S1096" t="str">
            <v>2022</v>
          </cell>
          <cell r="T1096" t="str">
            <v>AHX-641</v>
          </cell>
          <cell r="U1096" t="str">
            <v>L12B51008778</v>
          </cell>
          <cell r="V1096" t="str">
            <v>NR013882</v>
          </cell>
          <cell r="W1096" t="str">
            <v>05-mar-2027</v>
          </cell>
          <cell r="Y1096">
            <v>2364000</v>
          </cell>
          <cell r="Z1096">
            <v>35663</v>
          </cell>
          <cell r="AA1096">
            <v>41370</v>
          </cell>
        </row>
        <row r="1097">
          <cell r="B1097" t="str">
            <v>KHI/HO/D/MO/PC COMP/C/107407/99/02/2025</v>
          </cell>
          <cell r="D1097" t="str">
            <v>REN</v>
          </cell>
          <cell r="E1097" t="str">
            <v>17/02/25</v>
          </cell>
          <cell r="F1097" t="str">
            <v>16/02/2025</v>
          </cell>
          <cell r="G1097" t="str">
            <v>15/02/2026</v>
          </cell>
          <cell r="H1097" t="str">
            <v>08004499</v>
          </cell>
          <cell r="I1097" t="str">
            <v>AL BARAKA BANK (PAKISTAN) LIMITED</v>
          </cell>
          <cell r="J1097" t="str">
            <v>BANK</v>
          </cell>
          <cell r="K1097" t="str">
            <v xml:space="preserve">
HPA M/s. Al Baraka Bank (Pakistan) Limited 
Hpa M/S. Al Baraka Bank (Pakistan) Limited 
User: Muhammad Omer Rasool</v>
          </cell>
          <cell r="L1097" t="str">
            <v>D</v>
          </cell>
          <cell r="M1097" t="str">
            <v>09000221</v>
          </cell>
          <cell r="N1097">
            <v>100</v>
          </cell>
          <cell r="P1097" t="str">
            <v>37/2 Ali Park Captain Jamal Road Sanda Khurd Lahore</v>
          </cell>
          <cell r="Q1097" t="str">
            <v>11000003</v>
          </cell>
          <cell r="R1097" t="str">
            <v>KIA PICANTO 1.0L M/T</v>
          </cell>
          <cell r="S1097" t="str">
            <v>2022</v>
          </cell>
          <cell r="T1097" t="str">
            <v>AJA-556</v>
          </cell>
          <cell r="U1097" t="str">
            <v>165553</v>
          </cell>
          <cell r="V1097" t="str">
            <v>KP708870</v>
          </cell>
          <cell r="W1097" t="str">
            <v>05-mar-2026</v>
          </cell>
          <cell r="Y1097">
            <v>1560000</v>
          </cell>
          <cell r="Z1097">
            <v>33621</v>
          </cell>
          <cell r="AA1097">
            <v>39000</v>
          </cell>
        </row>
        <row r="1098">
          <cell r="B1098" t="str">
            <v>KHI/HO/D/MO/PC COMP/C/107407/100/02/2025</v>
          </cell>
          <cell r="D1098" t="str">
            <v>REN</v>
          </cell>
          <cell r="E1098" t="str">
            <v>17/02/25</v>
          </cell>
          <cell r="F1098" t="str">
            <v>16/02/2025</v>
          </cell>
          <cell r="G1098" t="str">
            <v>15/02/2026</v>
          </cell>
          <cell r="H1098" t="str">
            <v>08004499</v>
          </cell>
          <cell r="I1098" t="str">
            <v>AL BARAKA BANK (PAKISTAN) LIMITED</v>
          </cell>
          <cell r="J1098" t="str">
            <v>BANK</v>
          </cell>
          <cell r="K1098" t="str">
            <v xml:space="preserve">
HPA M/s. Al Baraka Bank (Pakistan) Limited 
Hpa M/S. Al Baraka Bank (Pakistan) Limited 
User: Muhammad Talha Adeel</v>
          </cell>
          <cell r="L1098" t="str">
            <v>D</v>
          </cell>
          <cell r="M1098" t="str">
            <v>09000221</v>
          </cell>
          <cell r="N1098">
            <v>100</v>
          </cell>
          <cell r="P1098" t="str">
            <v>H # 341 Block L Sabzazar Scheme Multan Road Lahore</v>
          </cell>
          <cell r="Q1098" t="str">
            <v>11000003</v>
          </cell>
          <cell r="R1098" t="str">
            <v>SUZUKI WAGON-R VXR</v>
          </cell>
          <cell r="S1098" t="str">
            <v>2022</v>
          </cell>
          <cell r="T1098" t="str">
            <v>AJK-441</v>
          </cell>
          <cell r="U1098" t="str">
            <v>212734</v>
          </cell>
          <cell r="V1098" t="str">
            <v>1112701</v>
          </cell>
          <cell r="W1098" t="str">
            <v>05-mar-2027</v>
          </cell>
          <cell r="Y1098">
            <v>1236800</v>
          </cell>
          <cell r="Z1098">
            <v>26655</v>
          </cell>
          <cell r="AA1098">
            <v>30920</v>
          </cell>
        </row>
        <row r="1099">
          <cell r="B1099" t="str">
            <v>KHI/HO/D/MO/PC COMP/C/107407/101/02/2025</v>
          </cell>
          <cell r="D1099" t="str">
            <v>REN</v>
          </cell>
          <cell r="E1099" t="str">
            <v>17/02/25</v>
          </cell>
          <cell r="F1099" t="str">
            <v>16/02/2025</v>
          </cell>
          <cell r="G1099" t="str">
            <v>15/02/2026</v>
          </cell>
          <cell r="H1099" t="str">
            <v>08004499</v>
          </cell>
          <cell r="I1099" t="str">
            <v>AL BARAKA BANK (PAKISTAN) LIMITED</v>
          </cell>
          <cell r="J1099" t="str">
            <v>BANK</v>
          </cell>
          <cell r="K1099" t="str">
            <v xml:space="preserve">
HPA M/s. Al Baraka Bank (Pakistan) Limited 
Hpa M/S. Al Baraka Bank (Pakistan) Limited 
User: Muhammad  Zeeshan Bhatti</v>
          </cell>
          <cell r="L1099" t="str">
            <v>D</v>
          </cell>
          <cell r="M1099" t="str">
            <v>09000221</v>
          </cell>
          <cell r="N1099">
            <v>100</v>
          </cell>
          <cell r="P1099" t="str">
            <v>Street 1 Mohallah Main Bazar Iamamia Colony Shahdra Lahore</v>
          </cell>
          <cell r="Q1099" t="str">
            <v>11000003</v>
          </cell>
          <cell r="R1099" t="str">
            <v>SUZUKI WAGON-R VXL E2</v>
          </cell>
          <cell r="S1099" t="str">
            <v>2022</v>
          </cell>
          <cell r="T1099" t="str">
            <v>AJU-717</v>
          </cell>
          <cell r="U1099" t="str">
            <v>229032</v>
          </cell>
          <cell r="V1099" t="str">
            <v>10129024</v>
          </cell>
          <cell r="W1099" t="str">
            <v>05-mar-2027</v>
          </cell>
          <cell r="Y1099">
            <v>1580000</v>
          </cell>
          <cell r="Z1099">
            <v>23837</v>
          </cell>
          <cell r="AA1099">
            <v>27650</v>
          </cell>
        </row>
        <row r="1100">
          <cell r="B1100" t="str">
            <v>KHI/HO/D/MO/PC COMP/C/107407/102/02/2025</v>
          </cell>
          <cell r="D1100" t="str">
            <v>REN</v>
          </cell>
          <cell r="E1100" t="str">
            <v>17/02/25</v>
          </cell>
          <cell r="F1100" t="str">
            <v>16/02/2025</v>
          </cell>
          <cell r="G1100" t="str">
            <v>15/02/2026</v>
          </cell>
          <cell r="H1100" t="str">
            <v>08004499</v>
          </cell>
          <cell r="I1100" t="str">
            <v>AL BARAKA BANK (PAKISTAN) LIMITED</v>
          </cell>
          <cell r="J1100" t="str">
            <v>BANK</v>
          </cell>
          <cell r="K1100" t="str">
            <v xml:space="preserve">
HPA M/s. Al Baraka Bank (Pakistan) Limited 
Hpa M/S. Al Baraka Bank (Pakistan) Limited 
User: Zarmeen  Zahra</v>
          </cell>
          <cell r="L1100" t="str">
            <v>D</v>
          </cell>
          <cell r="M1100" t="str">
            <v>09000221</v>
          </cell>
          <cell r="N1100">
            <v>100</v>
          </cell>
          <cell r="P1100" t="str">
            <v>Street 1 Mohallah Zahidabad Shah Faisal Colony Rajwana Road Multan</v>
          </cell>
          <cell r="Q1100" t="str">
            <v>11000003</v>
          </cell>
          <cell r="R1100" t="str">
            <v>SUZUKI ALTO VXR E-2</v>
          </cell>
          <cell r="S1100" t="str">
            <v>2022</v>
          </cell>
          <cell r="T1100" t="str">
            <v>AGE-752</v>
          </cell>
          <cell r="U1100" t="str">
            <v>212748</v>
          </cell>
          <cell r="V1100" t="str">
            <v>1112720</v>
          </cell>
          <cell r="W1100" t="str">
            <v>05-mar-2027</v>
          </cell>
          <cell r="Y1100">
            <v>1236800</v>
          </cell>
          <cell r="Z1100">
            <v>18658</v>
          </cell>
          <cell r="AA1100">
            <v>21644</v>
          </cell>
        </row>
        <row r="1101">
          <cell r="B1101" t="str">
            <v>KHI/HO/D/MO/PC COMP/C/107407/103/02/2025</v>
          </cell>
          <cell r="D1101" t="str">
            <v>REN</v>
          </cell>
          <cell r="E1101" t="str">
            <v>17/02/25</v>
          </cell>
          <cell r="F1101" t="str">
            <v>16/02/2025</v>
          </cell>
          <cell r="G1101" t="str">
            <v>15/02/2026</v>
          </cell>
          <cell r="H1101" t="str">
            <v>08004499</v>
          </cell>
          <cell r="I1101" t="str">
            <v>AL BARAKA BANK (PAKISTAN) LIMITED</v>
          </cell>
          <cell r="J1101" t="str">
            <v>BANK</v>
          </cell>
          <cell r="K1101" t="str">
            <v xml:space="preserve">
HPA M/s. Al Baraka Bank (Pakistan) Limited 
Hpa M/S. Al Baraka Bank (Pakistan) Limited 
User: Ghulam Mustafa Hattar</v>
          </cell>
          <cell r="L1101" t="str">
            <v>D</v>
          </cell>
          <cell r="M1101" t="str">
            <v>09000221</v>
          </cell>
          <cell r="N1101">
            <v>100</v>
          </cell>
          <cell r="P1101" t="str">
            <v>H No 324 Street No 16 Paris city Block F Sector H-13 /4 Islamabad</v>
          </cell>
          <cell r="Q1101" t="str">
            <v>11000003</v>
          </cell>
          <cell r="R1101" t="str">
            <v>SUZUKI WAGON R VXL</v>
          </cell>
          <cell r="S1101" t="str">
            <v>2018</v>
          </cell>
          <cell r="T1101" t="str">
            <v>AKV-439</v>
          </cell>
          <cell r="U1101" t="str">
            <v>172822</v>
          </cell>
          <cell r="V1101" t="str">
            <v>10072836</v>
          </cell>
          <cell r="W1101" t="str">
            <v>05-mar-2027</v>
          </cell>
          <cell r="Y1101">
            <v>1280000</v>
          </cell>
          <cell r="Z1101">
            <v>19310</v>
          </cell>
          <cell r="AA1101">
            <v>22400</v>
          </cell>
        </row>
        <row r="1102">
          <cell r="B1102" t="str">
            <v>KHI/HO/D/MO/PC COMP/C/107407/104/02/2025</v>
          </cell>
          <cell r="D1102" t="str">
            <v>REN</v>
          </cell>
          <cell r="E1102" t="str">
            <v>17/02/25</v>
          </cell>
          <cell r="F1102" t="str">
            <v>16/02/2025</v>
          </cell>
          <cell r="G1102" t="str">
            <v>15/02/2026</v>
          </cell>
          <cell r="H1102" t="str">
            <v>08004499</v>
          </cell>
          <cell r="I1102" t="str">
            <v>AL BARAKA BANK (PAKISTAN) LIMITED</v>
          </cell>
          <cell r="J1102" t="str">
            <v>BANK</v>
          </cell>
          <cell r="K1102" t="str">
            <v xml:space="preserve">
HPA M/s. Al Baraka Bank (Pakistan) Limited 
Hpa M/S. Al Baraka Bank (Pakistan) Limited 
User: Umer  Sabir</v>
          </cell>
          <cell r="L1102" t="str">
            <v>D</v>
          </cell>
          <cell r="M1102" t="str">
            <v>09000221</v>
          </cell>
          <cell r="N1102">
            <v>100</v>
          </cell>
          <cell r="P1102" t="str">
            <v>H No 2115 A ST 112 Bahria Phase 07 Rawalpindi</v>
          </cell>
          <cell r="Q1102" t="str">
            <v>11000003</v>
          </cell>
          <cell r="R1102" t="str">
            <v>SUZUKI CULTUS VXR</v>
          </cell>
          <cell r="S1102" t="str">
            <v>2020</v>
          </cell>
          <cell r="T1102" t="str">
            <v>ARU-623</v>
          </cell>
          <cell r="U1102" t="str">
            <v>159983</v>
          </cell>
          <cell r="V1102" t="str">
            <v>10060006</v>
          </cell>
          <cell r="W1102" t="str">
            <v>05-mar-2027</v>
          </cell>
          <cell r="Y1102">
            <v>1400000</v>
          </cell>
          <cell r="Z1102">
            <v>21121</v>
          </cell>
          <cell r="AA1102">
            <v>24500</v>
          </cell>
        </row>
        <row r="1103">
          <cell r="B1103" t="str">
            <v>KHI/HO/D/MO/PC COMP/C/107407/105/02/2025</v>
          </cell>
          <cell r="D1103" t="str">
            <v>REN</v>
          </cell>
          <cell r="E1103" t="str">
            <v>17/02/25</v>
          </cell>
          <cell r="F1103" t="str">
            <v>03/02/2025</v>
          </cell>
          <cell r="G1103" t="str">
            <v>02/02/2026</v>
          </cell>
          <cell r="H1103" t="str">
            <v>08004499</v>
          </cell>
          <cell r="I1103" t="str">
            <v>AL BARAKA BANK (PAKISTAN) LIMITED</v>
          </cell>
          <cell r="J1103" t="str">
            <v>BANK</v>
          </cell>
          <cell r="K1103" t="str">
            <v xml:space="preserve">
HPA M/s. Al Baraka Bank (Pakistan) Limited 
Hpa M/S. Al Baraka Bank (Pakistan) Limited 
User: Muhammad   Mushtaq</v>
          </cell>
          <cell r="L1103" t="str">
            <v>D</v>
          </cell>
          <cell r="M1103" t="str">
            <v>09000221</v>
          </cell>
          <cell r="N1103">
            <v>100</v>
          </cell>
          <cell r="P1103" t="str">
            <v>H No 340 A-II Block 3 Township Lahore</v>
          </cell>
          <cell r="Q1103" t="str">
            <v>11000003</v>
          </cell>
          <cell r="R1103" t="str">
            <v>SUZUKI CULTUS VXL EURO II</v>
          </cell>
          <cell r="S1103" t="str">
            <v>2022</v>
          </cell>
          <cell r="T1103" t="str">
            <v>AHZ-924</v>
          </cell>
          <cell r="U1103" t="str">
            <v>192131</v>
          </cell>
          <cell r="V1103" t="str">
            <v>10092138</v>
          </cell>
          <cell r="W1103" t="str">
            <v>05-feb-2026</v>
          </cell>
          <cell r="Y1103">
            <v>1795200</v>
          </cell>
          <cell r="Z1103">
            <v>27083</v>
          </cell>
          <cell r="AA1103">
            <v>31416</v>
          </cell>
        </row>
        <row r="1104">
          <cell r="B1104" t="str">
            <v>KHI/HO/D/MO/PC COMP/C/107407/106/02/2025</v>
          </cell>
          <cell r="D1104" t="str">
            <v>REN</v>
          </cell>
          <cell r="E1104" t="str">
            <v>17/02/25</v>
          </cell>
          <cell r="F1104" t="str">
            <v>16/02/2025</v>
          </cell>
          <cell r="G1104" t="str">
            <v>15/02/2026</v>
          </cell>
          <cell r="H1104" t="str">
            <v>08004499</v>
          </cell>
          <cell r="I1104" t="str">
            <v>AL BARAKA BANK (PAKISTAN) LIMITED</v>
          </cell>
          <cell r="J1104" t="str">
            <v>BANK</v>
          </cell>
          <cell r="K1104" t="str">
            <v xml:space="preserve">
HPA M/s. Al Baraka Bank (Pakistan) Limited 
Hpa M/S. Al Baraka Bank (Pakistan) Limited 
User: Muhammad  Rafiq</v>
          </cell>
          <cell r="L1104" t="str">
            <v>D</v>
          </cell>
          <cell r="M1104" t="str">
            <v>09000221</v>
          </cell>
          <cell r="N1104">
            <v>100</v>
          </cell>
          <cell r="O1104" t="str">
            <v>KARACHI</v>
          </cell>
          <cell r="P1104" t="str">
            <v>H No 49 Ground Floor Al Rasheed Market 86 Mcleod Road Lahore</v>
          </cell>
          <cell r="Q1104" t="str">
            <v>11000003</v>
          </cell>
          <cell r="R1104" t="str">
            <v>KIA SPORTAGE AWD-CW</v>
          </cell>
          <cell r="S1104" t="str">
            <v>2022</v>
          </cell>
          <cell r="T1104" t="str">
            <v>AXT-168</v>
          </cell>
          <cell r="U1104" t="str">
            <v>H324816</v>
          </cell>
          <cell r="V1104" t="str">
            <v>P515480</v>
          </cell>
          <cell r="W1104" t="str">
            <v>05-mar-2027</v>
          </cell>
          <cell r="Y1104">
            <v>4549600</v>
          </cell>
          <cell r="Z1104">
            <v>58831</v>
          </cell>
          <cell r="AA1104">
            <v>68244</v>
          </cell>
        </row>
        <row r="1105">
          <cell r="B1105" t="str">
            <v>KHI/HO/D/MO/PC COMP/C/107407/107/02/2025</v>
          </cell>
          <cell r="D1105" t="str">
            <v>REN</v>
          </cell>
          <cell r="E1105" t="str">
            <v>17/02/25</v>
          </cell>
          <cell r="F1105" t="str">
            <v>17/02/2025</v>
          </cell>
          <cell r="G1105" t="str">
            <v>16/02/2026</v>
          </cell>
          <cell r="H1105" t="str">
            <v>08004499</v>
          </cell>
          <cell r="I1105" t="str">
            <v>AL BARAKA BANK (PAKISTAN) LIMITED</v>
          </cell>
          <cell r="J1105" t="str">
            <v>BANK</v>
          </cell>
          <cell r="K1105" t="str">
            <v xml:space="preserve">
HPA M/s. Al Baraka Bank (Pakistan) Limited 
Hpa M/S. Al Baraka Bank (Pakistan) Limited 
User: Abdul  Ahad Khan</v>
          </cell>
          <cell r="L1105" t="str">
            <v>D</v>
          </cell>
          <cell r="M1105" t="str">
            <v>09000221</v>
          </cell>
          <cell r="N1105">
            <v>100</v>
          </cell>
          <cell r="P1105" t="str">
            <v>H # B-64 Gulshan-e-Hadeed Bin qasim Karachi</v>
          </cell>
          <cell r="Q1105" t="str">
            <v>11000003</v>
          </cell>
          <cell r="R1105" t="str">
            <v>SUZUKI ALTO VXL AGS E-2</v>
          </cell>
          <cell r="S1105" t="str">
            <v>2021</v>
          </cell>
          <cell r="T1105" t="str">
            <v>BUY-382</v>
          </cell>
          <cell r="U1105" t="str">
            <v>189441</v>
          </cell>
          <cell r="V1105" t="str">
            <v>1089440</v>
          </cell>
          <cell r="W1105" t="str">
            <v>05-mar-2027</v>
          </cell>
          <cell r="Y1105">
            <v>1200000</v>
          </cell>
          <cell r="Z1105">
            <v>18103</v>
          </cell>
          <cell r="AA1105">
            <v>21000</v>
          </cell>
        </row>
        <row r="1106">
          <cell r="B1106" t="str">
            <v>KHI/HO/D/MO/PC COMP/C/107407/108/02/2025</v>
          </cell>
          <cell r="D1106" t="str">
            <v>REN</v>
          </cell>
          <cell r="E1106" t="str">
            <v>17/02/25</v>
          </cell>
          <cell r="F1106" t="str">
            <v>16/02/2025</v>
          </cell>
          <cell r="G1106" t="str">
            <v>15/02/2026</v>
          </cell>
          <cell r="H1106" t="str">
            <v>08004499</v>
          </cell>
          <cell r="I1106" t="str">
            <v>AL BARAKA BANK (PAKISTAN) LIMITED</v>
          </cell>
          <cell r="J1106" t="str">
            <v>BANK</v>
          </cell>
          <cell r="K1106" t="str">
            <v xml:space="preserve">
HPA M/s. Al Baraka Bank (Pakistan) Limited 
Hpa M/S. Al Baraka Bank (Pakistan) Limited 
User: Tahir  Mahmood</v>
          </cell>
          <cell r="L1106" t="str">
            <v>D</v>
          </cell>
          <cell r="M1106" t="str">
            <v>09000221</v>
          </cell>
          <cell r="N1106">
            <v>100</v>
          </cell>
          <cell r="O1106" t="str">
            <v>KARACHI</v>
          </cell>
          <cell r="P1106" t="str">
            <v>H No 30 /D St No 1 Sajjad Colony Amir Road Shadbagh Lahore</v>
          </cell>
          <cell r="Q1106" t="str">
            <v>11000003</v>
          </cell>
          <cell r="R1106" t="str">
            <v>SUZUKI ALTO VXR</v>
          </cell>
          <cell r="S1106" t="str">
            <v>2022</v>
          </cell>
          <cell r="T1106" t="str">
            <v>AHY-527</v>
          </cell>
          <cell r="U1106" t="str">
            <v>6R212217</v>
          </cell>
          <cell r="V1106" t="str">
            <v>NF1AET306H1112180</v>
          </cell>
          <cell r="W1106" t="str">
            <v>05-mar-2027</v>
          </cell>
          <cell r="Y1106">
            <v>1236800</v>
          </cell>
          <cell r="Z1106">
            <v>26655</v>
          </cell>
          <cell r="AA1106">
            <v>30920</v>
          </cell>
        </row>
        <row r="1107">
          <cell r="B1107" t="str">
            <v>KHI/HO/D/MO/PC COMP/C/107407/109/02/2025</v>
          </cell>
          <cell r="D1107" t="str">
            <v>REN</v>
          </cell>
          <cell r="E1107" t="str">
            <v>17/02/25</v>
          </cell>
          <cell r="F1107" t="str">
            <v>17/02/2025</v>
          </cell>
          <cell r="G1107" t="str">
            <v>16/02/2026</v>
          </cell>
          <cell r="H1107" t="str">
            <v>08004499</v>
          </cell>
          <cell r="I1107" t="str">
            <v>AL BARAKA BANK (PAKISTAN) LIMITED</v>
          </cell>
          <cell r="J1107" t="str">
            <v>BANK</v>
          </cell>
          <cell r="K1107" t="str">
            <v xml:space="preserve">
HPA M/s. Al Baraka Bank (Pakistan) Limited 
Hpa M/S. Al Baraka Bank (Pakistan) Limited 
User: Abid  Hussain</v>
          </cell>
          <cell r="L1107" t="str">
            <v>D</v>
          </cell>
          <cell r="M1107" t="str">
            <v>09000221</v>
          </cell>
          <cell r="N1107">
            <v>100</v>
          </cell>
          <cell r="P1107" t="str">
            <v>Basti Khair Shah Nawab Pur Rd Street 11 Mohallah rehmat Colony Multan</v>
          </cell>
          <cell r="Q1107" t="str">
            <v>11000003</v>
          </cell>
          <cell r="R1107" t="str">
            <v>SUZUKI WAGON-R VXL E2</v>
          </cell>
          <cell r="S1107" t="str">
            <v>2022</v>
          </cell>
          <cell r="T1107" t="str">
            <v>AHN-683</v>
          </cell>
          <cell r="U1107" t="str">
            <v>228455</v>
          </cell>
          <cell r="V1107" t="str">
            <v>10128415</v>
          </cell>
          <cell r="W1107" t="str">
            <v>05-mar-2027</v>
          </cell>
          <cell r="Y1107">
            <v>1408000</v>
          </cell>
          <cell r="Z1107">
            <v>21242</v>
          </cell>
          <cell r="AA1107">
            <v>24640</v>
          </cell>
        </row>
        <row r="1108">
          <cell r="B1108" t="str">
            <v>KHI/HO/D/MO/PC COMP/C/107407/110/02/2025</v>
          </cell>
          <cell r="D1108" t="str">
            <v>REN</v>
          </cell>
          <cell r="E1108" t="str">
            <v>17/02/25</v>
          </cell>
          <cell r="F1108" t="str">
            <v>17/02/2025</v>
          </cell>
          <cell r="G1108" t="str">
            <v>16/02/2026</v>
          </cell>
          <cell r="H1108" t="str">
            <v>08004499</v>
          </cell>
          <cell r="I1108" t="str">
            <v>AL BARAKA BANK (PAKISTAN) LIMITED</v>
          </cell>
          <cell r="J1108" t="str">
            <v>BANK</v>
          </cell>
          <cell r="K1108" t="str">
            <v xml:space="preserve">
HPA M/s. Al Baraka Bank (Pakistan) Limited 
Hpa M/S. Al Baraka Bank (Pakistan) Limited 
User: Mohsin  Raza</v>
          </cell>
          <cell r="L1108" t="str">
            <v>D</v>
          </cell>
          <cell r="M1108" t="str">
            <v>09000221</v>
          </cell>
          <cell r="N1108">
            <v>100</v>
          </cell>
          <cell r="O1108" t="str">
            <v>KARACHI</v>
          </cell>
          <cell r="P1108" t="str">
            <v>ST No 3 Mohallah Shalimar Profesor Block Faisalabad</v>
          </cell>
          <cell r="Q1108" t="str">
            <v>11000003</v>
          </cell>
          <cell r="R1108" t="str">
            <v>HONDA CITY M/T</v>
          </cell>
          <cell r="S1108" t="str">
            <v>2021</v>
          </cell>
          <cell r="T1108" t="str">
            <v>AFC-953</v>
          </cell>
          <cell r="U1108" t="str">
            <v>L12B51001785</v>
          </cell>
          <cell r="V1108" t="str">
            <v>NFBGN8525MR002332</v>
          </cell>
          <cell r="W1108" t="str">
            <v>05-mar-2027</v>
          </cell>
          <cell r="Y1108">
            <v>2160000</v>
          </cell>
          <cell r="Z1108">
            <v>46551</v>
          </cell>
          <cell r="AA1108">
            <v>54000</v>
          </cell>
        </row>
        <row r="1109">
          <cell r="B1109" t="str">
            <v>KHI/HO/D/MO/PC COMP/C/107407/111/02/2025</v>
          </cell>
          <cell r="D1109" t="str">
            <v>REN</v>
          </cell>
          <cell r="E1109" t="str">
            <v>17/02/25</v>
          </cell>
          <cell r="F1109" t="str">
            <v>18/02/2025</v>
          </cell>
          <cell r="G1109" t="str">
            <v>17/02/2026</v>
          </cell>
          <cell r="H1109" t="str">
            <v>08004499</v>
          </cell>
          <cell r="I1109" t="str">
            <v>AL BARAKA BANK (PAKISTAN) LIMITED</v>
          </cell>
          <cell r="J1109" t="str">
            <v>BANK</v>
          </cell>
          <cell r="K1109" t="str">
            <v xml:space="preserve">
HPA M/s. Al Baraka Bank (Pakistan) Limited 
Hpa M/S. Al Baraka Bank (Pakistan) Limited 
User: Fahad  Rafique</v>
          </cell>
          <cell r="L1109" t="str">
            <v>D</v>
          </cell>
          <cell r="M1109" t="str">
            <v>09000221</v>
          </cell>
          <cell r="N1109">
            <v>100</v>
          </cell>
          <cell r="P1109" t="str">
            <v>H # 419 Mohallah Bilal Park Nishter Colony Ferozepur Road Lahore</v>
          </cell>
          <cell r="Q1109" t="str">
            <v>11000003</v>
          </cell>
          <cell r="R1109" t="str">
            <v>SUZUKI ALTO VXL AGS E-2</v>
          </cell>
          <cell r="S1109" t="str">
            <v>2022</v>
          </cell>
          <cell r="T1109" t="str">
            <v>AJK-419</v>
          </cell>
          <cell r="U1109" t="str">
            <v>212890</v>
          </cell>
          <cell r="V1109" t="str">
            <v>1112932</v>
          </cell>
          <cell r="W1109" t="str">
            <v>05-mar-2027</v>
          </cell>
          <cell r="Y1109">
            <v>1236800</v>
          </cell>
          <cell r="Z1109">
            <v>18658</v>
          </cell>
          <cell r="AA1109">
            <v>21644</v>
          </cell>
        </row>
        <row r="1110">
          <cell r="B1110" t="str">
            <v>KHI/HO/D/MO/PC COMP/C/107407/112/02/2025</v>
          </cell>
          <cell r="D1110" t="str">
            <v>REN</v>
          </cell>
          <cell r="E1110" t="str">
            <v>17/02/25</v>
          </cell>
          <cell r="F1110" t="str">
            <v>18/02/2025</v>
          </cell>
          <cell r="G1110" t="str">
            <v>17/02/2026</v>
          </cell>
          <cell r="H1110" t="str">
            <v>08004499</v>
          </cell>
          <cell r="I1110" t="str">
            <v>AL BARAKA BANK (PAKISTAN) LIMITED</v>
          </cell>
          <cell r="J1110" t="str">
            <v>BANK</v>
          </cell>
          <cell r="K1110" t="str">
            <v xml:space="preserve">
HPA M/s. Al Baraka Bank (Pakistan) Limited 
Hpa M/S. Al Baraka Bank (Pakistan) Limited 
User: Sarfraz Saghir Ahmad</v>
          </cell>
          <cell r="L1110" t="str">
            <v>D</v>
          </cell>
          <cell r="M1110" t="str">
            <v>09000221</v>
          </cell>
          <cell r="N1110">
            <v>100</v>
          </cell>
          <cell r="P1110" t="str">
            <v>H # 1/35 Street 28 Moh Aziz colony Wandala Road Shahdra Lahore</v>
          </cell>
          <cell r="Q1110" t="str">
            <v>11000003</v>
          </cell>
          <cell r="R1110" t="str">
            <v>SUZUKI ALTO VXL AGS E-2</v>
          </cell>
          <cell r="S1110" t="str">
            <v>2022</v>
          </cell>
          <cell r="T1110" t="str">
            <v>AHZ-167</v>
          </cell>
          <cell r="U1110" t="str">
            <v>212874</v>
          </cell>
          <cell r="V1110" t="str">
            <v>1112906</v>
          </cell>
          <cell r="W1110" t="str">
            <v>05-mar-2027</v>
          </cell>
          <cell r="Y1110">
            <v>1236800</v>
          </cell>
          <cell r="Z1110">
            <v>18658</v>
          </cell>
          <cell r="AA1110">
            <v>21644</v>
          </cell>
        </row>
        <row r="1111">
          <cell r="B1111" t="str">
            <v>KHI/HO/D/MO/PC COMP/C/107407/113/02/2025</v>
          </cell>
          <cell r="D1111" t="str">
            <v>REN</v>
          </cell>
          <cell r="E1111" t="str">
            <v>17/02/25</v>
          </cell>
          <cell r="F1111" t="str">
            <v>18/02/2025</v>
          </cell>
          <cell r="G1111" t="str">
            <v>17/02/2026</v>
          </cell>
          <cell r="H1111" t="str">
            <v>08004499</v>
          </cell>
          <cell r="I1111" t="str">
            <v>AL BARAKA BANK (PAKISTAN) LIMITED</v>
          </cell>
          <cell r="J1111" t="str">
            <v>BANK</v>
          </cell>
          <cell r="K1111" t="str">
            <v xml:space="preserve">
HPA M/s. Al Baraka Bank (Pakistan) Limited 
Hpa M/S. Al Baraka Bank (Pakistan) Limited 
User: Hubab  .</v>
          </cell>
          <cell r="L1111" t="str">
            <v>D</v>
          </cell>
          <cell r="M1111" t="str">
            <v>09000221</v>
          </cell>
          <cell r="N1111">
            <v>100</v>
          </cell>
          <cell r="O1111" t="str">
            <v>KARACHI</v>
          </cell>
          <cell r="P1111" t="str">
            <v>H No E 80 -3 Peer Colony St No 7 Walton Road Lahore</v>
          </cell>
          <cell r="Q1111" t="str">
            <v>11000003</v>
          </cell>
          <cell r="R1111" t="str">
            <v>TOYOTA YARIS 1.5 CVT X</v>
          </cell>
          <cell r="S1111" t="str">
            <v>2020</v>
          </cell>
          <cell r="T1111" t="str">
            <v>ADC-839</v>
          </cell>
          <cell r="U1111" t="str">
            <v>2A02615</v>
          </cell>
          <cell r="V1111" t="str">
            <v>9501571</v>
          </cell>
          <cell r="W1111" t="str">
            <v>05-mar-2027</v>
          </cell>
          <cell r="Y1111">
            <v>2480000</v>
          </cell>
          <cell r="Z1111">
            <v>37414</v>
          </cell>
          <cell r="AA1111">
            <v>43400</v>
          </cell>
        </row>
        <row r="1112">
          <cell r="B1112" t="str">
            <v>KHI/HO/D/MO/PC COMP/C/107407/114/02/2025</v>
          </cell>
          <cell r="D1112" t="str">
            <v>REN</v>
          </cell>
          <cell r="E1112" t="str">
            <v>17/02/25</v>
          </cell>
          <cell r="F1112" t="str">
            <v>18/02/2025</v>
          </cell>
          <cell r="G1112" t="str">
            <v>17/02/2026</v>
          </cell>
          <cell r="H1112" t="str">
            <v>08004499</v>
          </cell>
          <cell r="I1112" t="str">
            <v>AL BARAKA BANK (PAKISTAN) LIMITED</v>
          </cell>
          <cell r="J1112" t="str">
            <v>BANK</v>
          </cell>
          <cell r="K1112" t="str">
            <v xml:space="preserve">
HPA M/s. Al Baraka Bank (Pakistan) Limited 
Hpa M/S. Al Baraka Bank (Pakistan) Limited 
User: Muhammad  Shafique</v>
          </cell>
          <cell r="L1112" t="str">
            <v>D</v>
          </cell>
          <cell r="M1112" t="str">
            <v>09000221</v>
          </cell>
          <cell r="N1112">
            <v>100</v>
          </cell>
          <cell r="P1112" t="str">
            <v>H # 04 Street 33 Jalal Building Burni Road Garhi Shahu Lahore</v>
          </cell>
          <cell r="Q1112" t="str">
            <v>11000003</v>
          </cell>
          <cell r="R1112" t="str">
            <v>HONDA CITY I-VTEC (M/T)</v>
          </cell>
          <cell r="S1112" t="str">
            <v>2016</v>
          </cell>
          <cell r="T1112" t="str">
            <v>LEA-16-9954</v>
          </cell>
          <cell r="U1112" t="str">
            <v>7438342</v>
          </cell>
          <cell r="V1112" t="str">
            <v>178169</v>
          </cell>
          <cell r="W1112" t="str">
            <v>05-mar-2027</v>
          </cell>
          <cell r="Y1112">
            <v>1580000</v>
          </cell>
          <cell r="Z1112">
            <v>23837</v>
          </cell>
          <cell r="AA1112">
            <v>27650</v>
          </cell>
        </row>
        <row r="1113">
          <cell r="B1113" t="str">
            <v>KHI/HO/D/MO/PC COMP/C/107407/115/02/2025</v>
          </cell>
          <cell r="D1113" t="str">
            <v>REN</v>
          </cell>
          <cell r="E1113" t="str">
            <v>17/02/25</v>
          </cell>
          <cell r="F1113" t="str">
            <v>18/02/2025</v>
          </cell>
          <cell r="G1113" t="str">
            <v>17/02/2026</v>
          </cell>
          <cell r="H1113" t="str">
            <v>08004499</v>
          </cell>
          <cell r="I1113" t="str">
            <v>AL BARAKA BANK (PAKISTAN) LIMITED</v>
          </cell>
          <cell r="J1113" t="str">
            <v>BANK</v>
          </cell>
          <cell r="K1113" t="str">
            <v xml:space="preserve">
HPA M/s. Al Baraka Bank (Pakistan) Limited 
Hpa M/S. Al Baraka Bank (Pakistan) Limited 
User: Muhammad Waseel Rafiq</v>
          </cell>
          <cell r="L1113" t="str">
            <v>D</v>
          </cell>
          <cell r="M1113" t="str">
            <v>09000221</v>
          </cell>
          <cell r="N1113">
            <v>100</v>
          </cell>
          <cell r="P1113" t="str">
            <v>H No 12 -A St No 1 Syed Street Jalal Colony Sanda Khurd Lahore</v>
          </cell>
          <cell r="Q1113" t="str">
            <v>11000003</v>
          </cell>
          <cell r="R1113" t="str">
            <v>SUZUKI WAGON R VXL</v>
          </cell>
          <cell r="S1113" t="str">
            <v>2022</v>
          </cell>
          <cell r="T1113" t="str">
            <v>AJE-721</v>
          </cell>
          <cell r="U1113" t="str">
            <v>229883</v>
          </cell>
          <cell r="V1113" t="str">
            <v>10129885</v>
          </cell>
          <cell r="W1113" t="str">
            <v>05-mar-2027</v>
          </cell>
          <cell r="Y1113">
            <v>1501600</v>
          </cell>
          <cell r="Z1113">
            <v>22653</v>
          </cell>
          <cell r="AA1113">
            <v>26278</v>
          </cell>
        </row>
        <row r="1114">
          <cell r="B1114" t="str">
            <v>KHI/HO/D/MO/PC COMP/C/107407/116/02/2025</v>
          </cell>
          <cell r="D1114" t="str">
            <v>REN</v>
          </cell>
          <cell r="E1114" t="str">
            <v>17/02/25</v>
          </cell>
          <cell r="F1114" t="str">
            <v>21/02/2025</v>
          </cell>
          <cell r="G1114" t="str">
            <v>20/02/2026</v>
          </cell>
          <cell r="H1114" t="str">
            <v>08004499</v>
          </cell>
          <cell r="I1114" t="str">
            <v>AL BARAKA BANK (PAKISTAN) LIMITED</v>
          </cell>
          <cell r="J1114" t="str">
            <v>BANK</v>
          </cell>
          <cell r="K1114" t="str">
            <v xml:space="preserve">
HPA M/s. Al Baraka Bank (Pakistan) Limited 
Hpa M/S. Al Baraka Bank (Pakistan) Limited 
User: Rao Azhar Hussain</v>
          </cell>
          <cell r="L1114" t="str">
            <v>D</v>
          </cell>
          <cell r="M1114" t="str">
            <v>09000221</v>
          </cell>
          <cell r="N1114">
            <v>100</v>
          </cell>
          <cell r="P1114" t="str">
            <v>H # R-329 Anwar-e-Ibrahim Malir City Karachi</v>
          </cell>
          <cell r="Q1114" t="str">
            <v>11000003</v>
          </cell>
          <cell r="R1114" t="str">
            <v>TOYOTA COROLLA XLI 1.3</v>
          </cell>
          <cell r="S1114" t="str">
            <v>2017</v>
          </cell>
          <cell r="T1114" t="str">
            <v>BLG-322</v>
          </cell>
          <cell r="U1114" t="str">
            <v>509146</v>
          </cell>
          <cell r="V1114" t="str">
            <v>4135216</v>
          </cell>
          <cell r="W1114" t="str">
            <v>05-mar-2027</v>
          </cell>
          <cell r="Y1114">
            <v>1760000</v>
          </cell>
          <cell r="Z1114">
            <v>26551</v>
          </cell>
          <cell r="AA1114">
            <v>30800</v>
          </cell>
        </row>
        <row r="1115">
          <cell r="B1115" t="str">
            <v>KHI/HO/D/MO/PC COMP/C/107407/117/02/2025</v>
          </cell>
          <cell r="D1115" t="str">
            <v>REN</v>
          </cell>
          <cell r="E1115" t="str">
            <v>17/02/25</v>
          </cell>
          <cell r="F1115" t="str">
            <v>21/02/2025</v>
          </cell>
          <cell r="G1115" t="str">
            <v>20/02/2026</v>
          </cell>
          <cell r="H1115" t="str">
            <v>08004499</v>
          </cell>
          <cell r="I1115" t="str">
            <v>AL BARAKA BANK (PAKISTAN) LIMITED</v>
          </cell>
          <cell r="J1115" t="str">
            <v>BANK</v>
          </cell>
          <cell r="K1115" t="str">
            <v xml:space="preserve">
HPA M/s. Al Baraka Bank (Pakistan) Limited 
Hpa M/S. Al Baraka Bank (Pakistan) Limited 
User: Rida   Fatima</v>
          </cell>
          <cell r="L1115" t="str">
            <v>D</v>
          </cell>
          <cell r="M1115" t="str">
            <v>09000221</v>
          </cell>
          <cell r="N1115">
            <v>100</v>
          </cell>
          <cell r="O1115" t="str">
            <v>KARACHI</v>
          </cell>
          <cell r="P1115" t="str">
            <v>H # P-69/1 Lane 2 New Lala Rukh Wah Cantt</v>
          </cell>
          <cell r="Q1115" t="str">
            <v>11000003</v>
          </cell>
          <cell r="R1115" t="str">
            <v>SUZUKI ALTO VXR E-2</v>
          </cell>
          <cell r="S1115" t="str">
            <v>2022</v>
          </cell>
          <cell r="T1115" t="str">
            <v>AJA-613</v>
          </cell>
          <cell r="U1115" t="str">
            <v>6R206890</v>
          </cell>
          <cell r="V1115" t="str">
            <v>1106603</v>
          </cell>
          <cell r="W1115" t="str">
            <v>05-mar-2027</v>
          </cell>
          <cell r="Y1115">
            <v>1236800</v>
          </cell>
          <cell r="Z1115">
            <v>26655</v>
          </cell>
          <cell r="AA1115">
            <v>30920</v>
          </cell>
        </row>
        <row r="1116">
          <cell r="B1116" t="str">
            <v>KHI/HO/D/MO/PC COMP/C/107407/118/02/2025</v>
          </cell>
          <cell r="D1116" t="str">
            <v>REN</v>
          </cell>
          <cell r="E1116" t="str">
            <v>17/02/25</v>
          </cell>
          <cell r="F1116" t="str">
            <v>21/02/2025</v>
          </cell>
          <cell r="G1116" t="str">
            <v>20/02/2026</v>
          </cell>
          <cell r="H1116" t="str">
            <v>08004499</v>
          </cell>
          <cell r="I1116" t="str">
            <v>AL BARAKA BANK (PAKISTAN) LIMITED</v>
          </cell>
          <cell r="J1116" t="str">
            <v>BANK</v>
          </cell>
          <cell r="K1116" t="str">
            <v xml:space="preserve">
HPA M/s. Al Baraka Bank (Pakistan) Limited 
Hpa M/S. Al Baraka Bank (Pakistan) Limited 
User: Javaid  Gulzar</v>
          </cell>
          <cell r="L1116" t="str">
            <v>D</v>
          </cell>
          <cell r="M1116" t="str">
            <v>09000221</v>
          </cell>
          <cell r="N1116">
            <v>100</v>
          </cell>
          <cell r="P1116" t="str">
            <v>H # 1H-195 Street 17 Falcon Complex AFOHS Karachi</v>
          </cell>
          <cell r="Q1116" t="str">
            <v>11000003</v>
          </cell>
          <cell r="R1116" t="str">
            <v>SUZUKI ALTO VXL AGS E-2</v>
          </cell>
          <cell r="S1116" t="str">
            <v>2022</v>
          </cell>
          <cell r="T1116" t="str">
            <v>BVZ-932</v>
          </cell>
          <cell r="U1116" t="str">
            <v>214618</v>
          </cell>
          <cell r="V1116" t="str">
            <v>1114572</v>
          </cell>
          <cell r="W1116" t="str">
            <v>05-mar-2026</v>
          </cell>
          <cell r="Y1116">
            <v>1397600</v>
          </cell>
          <cell r="Z1116">
            <v>21084</v>
          </cell>
          <cell r="AA1116">
            <v>24458</v>
          </cell>
        </row>
        <row r="1117">
          <cell r="B1117" t="str">
            <v>KHI/HO/D/MO/PC COMP/C/107407/119/02/2025</v>
          </cell>
          <cell r="D1117" t="str">
            <v>REN</v>
          </cell>
          <cell r="E1117" t="str">
            <v>17/02/25</v>
          </cell>
          <cell r="F1117" t="str">
            <v>22/02/2025</v>
          </cell>
          <cell r="G1117" t="str">
            <v>21/02/2026</v>
          </cell>
          <cell r="H1117" t="str">
            <v>08004499</v>
          </cell>
          <cell r="I1117" t="str">
            <v>AL BARAKA BANK (PAKISTAN) LIMITED</v>
          </cell>
          <cell r="J1117" t="str">
            <v>BANK</v>
          </cell>
          <cell r="K1117" t="str">
            <v xml:space="preserve">
HPA M/s. Al Baraka Bank (Pakistan) Limited 
Hpa M/S. Al Baraka Bank (Pakistan) Limited 
User: Waseem  Iftikhar</v>
          </cell>
          <cell r="L1117" t="str">
            <v>D</v>
          </cell>
          <cell r="M1117" t="str">
            <v>09000221</v>
          </cell>
          <cell r="N1117">
            <v>100</v>
          </cell>
          <cell r="P1117" t="str">
            <v>H No 9 St No 31 Mohallah Aslam Khan Road Islamia Park Lahore</v>
          </cell>
          <cell r="Q1117" t="str">
            <v>11000003</v>
          </cell>
          <cell r="R1117" t="str">
            <v>SUZUKI ALTO</v>
          </cell>
          <cell r="S1117" t="str">
            <v>2022</v>
          </cell>
          <cell r="T1117" t="str">
            <v>AJT-502</v>
          </cell>
          <cell r="U1117" t="str">
            <v>212910</v>
          </cell>
          <cell r="V1117" t="str">
            <v>1112945</v>
          </cell>
          <cell r="W1117" t="str">
            <v>06-mar-2028</v>
          </cell>
          <cell r="Y1117">
            <v>1236800</v>
          </cell>
          <cell r="Z1117">
            <v>18658</v>
          </cell>
          <cell r="AA1117">
            <v>21644</v>
          </cell>
        </row>
        <row r="1118">
          <cell r="B1118" t="str">
            <v>KHI/HO/D/MO/PC COMP/C/107407/120/02/2025</v>
          </cell>
          <cell r="D1118" t="str">
            <v>REN</v>
          </cell>
          <cell r="E1118" t="str">
            <v>17/02/25</v>
          </cell>
          <cell r="F1118" t="str">
            <v>21/02/2025</v>
          </cell>
          <cell r="G1118" t="str">
            <v>20/02/2026</v>
          </cell>
          <cell r="H1118" t="str">
            <v>08004499</v>
          </cell>
          <cell r="I1118" t="str">
            <v>AL BARAKA BANK (PAKISTAN) LIMITED</v>
          </cell>
          <cell r="J1118" t="str">
            <v>BANK</v>
          </cell>
          <cell r="K1118" t="str">
            <v xml:space="preserve">
HPA M/s. Al Baraka Bank (Pakistan) Limited 
Hpa M/S. Al Baraka Bank (Pakistan) Limited 
User: Ayaz  Imtiaz Ahmed Khan</v>
          </cell>
          <cell r="L1118" t="str">
            <v>D</v>
          </cell>
          <cell r="M1118" t="str">
            <v>09000221</v>
          </cell>
          <cell r="N1118">
            <v>100</v>
          </cell>
          <cell r="P1118" t="str">
            <v>H # A-263 Block 2 Gulistan-e-Johar Karachi</v>
          </cell>
          <cell r="Q1118" t="str">
            <v>11000003</v>
          </cell>
          <cell r="R1118" t="str">
            <v>SUZUKI CULTUS VXL EURO II</v>
          </cell>
          <cell r="S1118" t="str">
            <v>2019</v>
          </cell>
          <cell r="T1118" t="str">
            <v>BQR-992</v>
          </cell>
          <cell r="U1118" t="str">
            <v>147054</v>
          </cell>
          <cell r="V1118" t="str">
            <v>47036</v>
          </cell>
          <cell r="W1118" t="str">
            <v>05-mar-2029</v>
          </cell>
          <cell r="Y1118">
            <v>1504000</v>
          </cell>
          <cell r="Z1118">
            <v>22690</v>
          </cell>
          <cell r="AA1118">
            <v>26320</v>
          </cell>
        </row>
        <row r="1119">
          <cell r="B1119" t="str">
            <v>KHI/HO/D/MO/PC COMP/C/107407/121/02/2025</v>
          </cell>
          <cell r="D1119" t="str">
            <v>REN</v>
          </cell>
          <cell r="E1119" t="str">
            <v>17/02/25</v>
          </cell>
          <cell r="F1119" t="str">
            <v>22/02/2025</v>
          </cell>
          <cell r="G1119" t="str">
            <v>21/02/2026</v>
          </cell>
          <cell r="H1119" t="str">
            <v>08004499</v>
          </cell>
          <cell r="I1119" t="str">
            <v>AL BARAKA BANK (PAKISTAN) LIMITED</v>
          </cell>
          <cell r="J1119" t="str">
            <v>BANK</v>
          </cell>
          <cell r="K1119" t="str">
            <v xml:space="preserve">
HPA M/s. Al Baraka Bank (Pakistan) Limited 
Hpa M/S. Al Baraka Bank (Pakistan) Limited 
User: Muhammad   Imran</v>
          </cell>
          <cell r="L1119" t="str">
            <v>D</v>
          </cell>
          <cell r="M1119" t="str">
            <v>09000221</v>
          </cell>
          <cell r="N1119">
            <v>100</v>
          </cell>
          <cell r="O1119" t="str">
            <v>KARACHI</v>
          </cell>
          <cell r="P1119" t="str">
            <v>Chak No 50 G .B Eastro Tehsil Samundari Distt Faisalabad</v>
          </cell>
          <cell r="Q1119" t="str">
            <v>11000003</v>
          </cell>
          <cell r="R1119" t="str">
            <v>SUZUKI ALTO VXR</v>
          </cell>
          <cell r="S1119" t="str">
            <v>2022</v>
          </cell>
          <cell r="T1119" t="str">
            <v>AHZ-855</v>
          </cell>
          <cell r="U1119" t="str">
            <v>6R213126</v>
          </cell>
          <cell r="V1119" t="str">
            <v>6H1113116</v>
          </cell>
          <cell r="W1119" t="str">
            <v>05-mar-2027</v>
          </cell>
          <cell r="Y1119">
            <v>1236800</v>
          </cell>
          <cell r="Z1119">
            <v>18658</v>
          </cell>
          <cell r="AA1119">
            <v>21644</v>
          </cell>
        </row>
        <row r="1120">
          <cell r="B1120" t="str">
            <v>KHI/HO/D/MO/PC COMP/C/107407/122/02/2025</v>
          </cell>
          <cell r="D1120" t="str">
            <v>REN</v>
          </cell>
          <cell r="E1120" t="str">
            <v>17/02/25</v>
          </cell>
          <cell r="F1120" t="str">
            <v>22/02/2025</v>
          </cell>
          <cell r="G1120" t="str">
            <v>21/02/2026</v>
          </cell>
          <cell r="H1120" t="str">
            <v>08004499</v>
          </cell>
          <cell r="I1120" t="str">
            <v>AL BARAKA BANK (PAKISTAN) LIMITED</v>
          </cell>
          <cell r="J1120" t="str">
            <v>BANK</v>
          </cell>
          <cell r="K1120" t="str">
            <v xml:space="preserve">
HPA M/s. Al Baraka Bank (Pakistan) Limited 
Hpa M/S. Al Baraka Bank (Pakistan) Limited 
User: Muhammad   Nadeem</v>
          </cell>
          <cell r="L1120" t="str">
            <v>D</v>
          </cell>
          <cell r="M1120" t="str">
            <v>09000221</v>
          </cell>
          <cell r="N1120">
            <v>100</v>
          </cell>
          <cell r="P1120" t="str">
            <v>Moh Hanjiyan Wala PO Khas Ferozwala The Dist Gujranwala</v>
          </cell>
          <cell r="Q1120" t="str">
            <v>11000003</v>
          </cell>
          <cell r="R1120" t="str">
            <v>SUZUKI WAGON R VXL</v>
          </cell>
          <cell r="S1120" t="str">
            <v>2022</v>
          </cell>
          <cell r="T1120" t="str">
            <v>AJG-281</v>
          </cell>
          <cell r="U1120" t="str">
            <v>230036</v>
          </cell>
          <cell r="V1120" t="str">
            <v>10130054</v>
          </cell>
          <cell r="W1120" t="str">
            <v>05-mar-2027</v>
          </cell>
          <cell r="Y1120">
            <v>1501600</v>
          </cell>
          <cell r="Z1120">
            <v>22653</v>
          </cell>
          <cell r="AA1120">
            <v>26278</v>
          </cell>
        </row>
        <row r="1121">
          <cell r="B1121" t="str">
            <v>KHI/HO/D/MO/PC COMP/C/107407/123/02/2025</v>
          </cell>
          <cell r="D1121" t="str">
            <v>REN</v>
          </cell>
          <cell r="E1121" t="str">
            <v>17/02/25</v>
          </cell>
          <cell r="F1121" t="str">
            <v>22/02/2025</v>
          </cell>
          <cell r="G1121" t="str">
            <v>21/02/2026</v>
          </cell>
          <cell r="H1121" t="str">
            <v>08004499</v>
          </cell>
          <cell r="I1121" t="str">
            <v>AL BARAKA BANK (PAKISTAN) LIMITED</v>
          </cell>
          <cell r="J1121" t="str">
            <v>BANK</v>
          </cell>
          <cell r="K1121" t="str">
            <v xml:space="preserve">
HPA M/s. Al Baraka Bank (Pakistan) Limited 
Hpa M/S. Al Baraka Bank (Pakistan) Limited 
User: Musarat  Aftab Gorar</v>
          </cell>
          <cell r="L1121" t="str">
            <v>D</v>
          </cell>
          <cell r="M1121" t="str">
            <v>09000221</v>
          </cell>
          <cell r="N1121">
            <v>100</v>
          </cell>
          <cell r="P1121" t="str">
            <v>H # C-65 Mohallah Gulshan-e-Mehran Phase 1 Qasimabad Hyderabad</v>
          </cell>
          <cell r="Q1121" t="str">
            <v>11000003</v>
          </cell>
          <cell r="R1121" t="str">
            <v>SUZUKI CULTUS VXL EURO II</v>
          </cell>
          <cell r="S1121" t="str">
            <v>2018</v>
          </cell>
          <cell r="T1121" t="str">
            <v>BMV-275</v>
          </cell>
          <cell r="U1121" t="str">
            <v>121496</v>
          </cell>
          <cell r="V1121" t="str">
            <v>10021461</v>
          </cell>
          <cell r="W1121" t="str">
            <v>05-mar-2027</v>
          </cell>
          <cell r="Y1121">
            <v>1440000</v>
          </cell>
          <cell r="Z1121">
            <v>31035</v>
          </cell>
          <cell r="AA1121">
            <v>36000</v>
          </cell>
        </row>
        <row r="1122">
          <cell r="B1122" t="str">
            <v>KHI/HO/D/MO/PC COMP/C/107407/124/02/2025</v>
          </cell>
          <cell r="D1122" t="str">
            <v>REN</v>
          </cell>
          <cell r="E1122" t="str">
            <v>17/02/25</v>
          </cell>
          <cell r="F1122" t="str">
            <v>04/02/2025</v>
          </cell>
          <cell r="G1122" t="str">
            <v>03/02/2026</v>
          </cell>
          <cell r="H1122" t="str">
            <v>08004499</v>
          </cell>
          <cell r="I1122" t="str">
            <v>AL BARAKA BANK (PAKISTAN) LIMITED</v>
          </cell>
          <cell r="J1122" t="str">
            <v>BANK</v>
          </cell>
          <cell r="K1122" t="str">
            <v xml:space="preserve">
HPA M/s. Al Baraka Bank (Pakistan) Limited 
Hpa M/S. Al Baraka Bank (Pakistan) Limited 
User: Shah  Murad</v>
          </cell>
          <cell r="L1122" t="str">
            <v>D</v>
          </cell>
          <cell r="M1122" t="str">
            <v>09000221</v>
          </cell>
          <cell r="N1122">
            <v>100</v>
          </cell>
          <cell r="O1122" t="str">
            <v>KARACHI</v>
          </cell>
          <cell r="P1122" t="str">
            <v>H # 432 Block A Askari Lahore</v>
          </cell>
          <cell r="Q1122" t="str">
            <v>11000003</v>
          </cell>
          <cell r="R1122" t="str">
            <v>HONDA CIVIC VTI  ORIEL PT</v>
          </cell>
          <cell r="S1122" t="str">
            <v>2017</v>
          </cell>
          <cell r="T1122" t="str">
            <v>LEF-17-882</v>
          </cell>
          <cell r="U1122" t="str">
            <v>R18Z12909720</v>
          </cell>
          <cell r="V1122" t="str">
            <v>R012795</v>
          </cell>
          <cell r="W1122" t="str">
            <v>05-feb-2027</v>
          </cell>
          <cell r="Y1122">
            <v>2560000</v>
          </cell>
          <cell r="Z1122">
            <v>44138</v>
          </cell>
          <cell r="AA1122">
            <v>51200</v>
          </cell>
        </row>
        <row r="1123">
          <cell r="B1123" t="str">
            <v>KHI/HO/D/MO/PC COMP/C/107407/125/02/2025</v>
          </cell>
          <cell r="D1123" t="str">
            <v>REN</v>
          </cell>
          <cell r="E1123" t="str">
            <v>17/02/25</v>
          </cell>
          <cell r="F1123" t="str">
            <v>23/02/2025</v>
          </cell>
          <cell r="G1123" t="str">
            <v>22/02/2026</v>
          </cell>
          <cell r="H1123" t="str">
            <v>08004499</v>
          </cell>
          <cell r="I1123" t="str">
            <v>AL BARAKA BANK (PAKISTAN) LIMITED</v>
          </cell>
          <cell r="J1123" t="str">
            <v>BANK</v>
          </cell>
          <cell r="K1123" t="str">
            <v xml:space="preserve">
HPA M/s. Al Baraka Bank (Pakistan) Limited 
Hpa M/S. Al Baraka Bank (Pakistan) Limited 
User: Muhammad  Akram</v>
          </cell>
          <cell r="L1123" t="str">
            <v>D</v>
          </cell>
          <cell r="M1123" t="str">
            <v>09000221</v>
          </cell>
          <cell r="N1123">
            <v>100</v>
          </cell>
          <cell r="O1123" t="str">
            <v>KARACHI</v>
          </cell>
          <cell r="P1123" t="str">
            <v>H # 339-A Lahore Garden Faizpur Interchange Sharqpur Road Lahore</v>
          </cell>
          <cell r="Q1123" t="str">
            <v>11000003</v>
          </cell>
          <cell r="R1123" t="str">
            <v>TOYOTA COROLLA GLI A/T 1.</v>
          </cell>
          <cell r="S1123" t="str">
            <v>2018</v>
          </cell>
          <cell r="T1123" t="str">
            <v>LEB-18-8510</v>
          </cell>
          <cell r="U1123" t="str">
            <v>Z517079</v>
          </cell>
          <cell r="V1123" t="str">
            <v>R-4143124</v>
          </cell>
          <cell r="W1123" t="str">
            <v>05-mar-2027</v>
          </cell>
          <cell r="Y1123">
            <v>2320000</v>
          </cell>
          <cell r="Z1123">
            <v>35000</v>
          </cell>
          <cell r="AA1123">
            <v>40600</v>
          </cell>
        </row>
        <row r="1124">
          <cell r="B1124" t="str">
            <v>KHI/HO/D/MO/PC COMP/C/107407/126/02/2025</v>
          </cell>
          <cell r="D1124" t="str">
            <v>REN</v>
          </cell>
          <cell r="E1124" t="str">
            <v>17/02/25</v>
          </cell>
          <cell r="F1124" t="str">
            <v>24/02/2025</v>
          </cell>
          <cell r="G1124" t="str">
            <v>23/02/2026</v>
          </cell>
          <cell r="H1124" t="str">
            <v>08004499</v>
          </cell>
          <cell r="I1124" t="str">
            <v>AL BARAKA BANK (PAKISTAN) LIMITED</v>
          </cell>
          <cell r="J1124" t="str">
            <v>BANK</v>
          </cell>
          <cell r="K1124" t="str">
            <v xml:space="preserve">
HPA M/s. Al Baraka Bank (Pakistan) Limited 
Hpa M/S. Al Baraka Bank (Pakistan) Limited 
User: Muhammad   Saleh</v>
          </cell>
          <cell r="L1124" t="str">
            <v>D</v>
          </cell>
          <cell r="M1124" t="str">
            <v>09000221</v>
          </cell>
          <cell r="N1124">
            <v>100</v>
          </cell>
          <cell r="P1124" t="str">
            <v>Village Behda P.O Sabu Rahu Sakrand Distt S.B.A</v>
          </cell>
          <cell r="Q1124" t="str">
            <v>11000003</v>
          </cell>
          <cell r="R1124" t="str">
            <v>SUZUKI ALTO VXR</v>
          </cell>
          <cell r="S1124" t="str">
            <v>2022</v>
          </cell>
          <cell r="T1124" t="str">
            <v>BWB-486</v>
          </cell>
          <cell r="U1124" t="str">
            <v>213617</v>
          </cell>
          <cell r="V1124" t="str">
            <v>1113627</v>
          </cell>
          <cell r="W1124" t="str">
            <v>05-mar-2027</v>
          </cell>
          <cell r="Y1124">
            <v>1236800</v>
          </cell>
          <cell r="Z1124">
            <v>26655</v>
          </cell>
          <cell r="AA1124">
            <v>30920</v>
          </cell>
        </row>
        <row r="1125">
          <cell r="B1125" t="str">
            <v>KHI/HO/D/MO/PC COMP/C/107407/127/02/2025</v>
          </cell>
          <cell r="D1125" t="str">
            <v>REN</v>
          </cell>
          <cell r="E1125" t="str">
            <v>17/02/25</v>
          </cell>
          <cell r="F1125" t="str">
            <v>24/02/2025</v>
          </cell>
          <cell r="G1125" t="str">
            <v>23/02/2026</v>
          </cell>
          <cell r="H1125" t="str">
            <v>08004499</v>
          </cell>
          <cell r="I1125" t="str">
            <v>AL BARAKA BANK (PAKISTAN) LIMITED</v>
          </cell>
          <cell r="J1125" t="str">
            <v>BANK</v>
          </cell>
          <cell r="K1125" t="str">
            <v xml:space="preserve">
HPA M/s. Al Baraka Bank (Pakistan) Limited 
Hpa M/S. Al Baraka Bank (Pakistan) Limited 
User: Rana  Irfan Bashir</v>
          </cell>
          <cell r="L1125" t="str">
            <v>D</v>
          </cell>
          <cell r="M1125" t="str">
            <v>09000221</v>
          </cell>
          <cell r="N1125">
            <v>100</v>
          </cell>
          <cell r="O1125" t="str">
            <v>KARACHI</v>
          </cell>
          <cell r="P1125" t="str">
            <v>Dil Muhammad Colony Kana Kacha Lahore</v>
          </cell>
          <cell r="Q1125" t="str">
            <v>11000003</v>
          </cell>
          <cell r="R1125" t="str">
            <v>TOYOTA COROLLA 1.3 XLI</v>
          </cell>
          <cell r="S1125" t="str">
            <v>2018</v>
          </cell>
          <cell r="T1125" t="str">
            <v>LEC-18-6602</v>
          </cell>
          <cell r="U1125" t="str">
            <v>Z507943</v>
          </cell>
          <cell r="V1125" t="str">
            <v>R-4134307</v>
          </cell>
          <cell r="W1125" t="str">
            <v>05-mar-2027</v>
          </cell>
          <cell r="Y1125">
            <v>2000000</v>
          </cell>
          <cell r="Z1125">
            <v>43103</v>
          </cell>
          <cell r="AA1125">
            <v>50000</v>
          </cell>
        </row>
        <row r="1126">
          <cell r="B1126" t="str">
            <v>KHI/HO/D/MO/PC COMP/C/107407/128/02/2025</v>
          </cell>
          <cell r="D1126" t="str">
            <v>REN</v>
          </cell>
          <cell r="E1126" t="str">
            <v>17/02/25</v>
          </cell>
          <cell r="F1126" t="str">
            <v>24/02/2025</v>
          </cell>
          <cell r="G1126" t="str">
            <v>23/02/2026</v>
          </cell>
          <cell r="H1126" t="str">
            <v>08004499</v>
          </cell>
          <cell r="I1126" t="str">
            <v>AL BARAKA BANK (PAKISTAN) LIMITED</v>
          </cell>
          <cell r="J1126" t="str">
            <v>BANK</v>
          </cell>
          <cell r="K1126" t="str">
            <v xml:space="preserve">
HPA M/s. Al Baraka Bank (Pakistan) Limited 
Hpa M/S. Al Baraka Bank (Pakistan) Limited 
User: Muhammad Sameen Yousuf  Khan</v>
          </cell>
          <cell r="L1126" t="str">
            <v>D</v>
          </cell>
          <cell r="M1126" t="str">
            <v>09000221</v>
          </cell>
          <cell r="N1126">
            <v>100</v>
          </cell>
          <cell r="P1126" t="str">
            <v>H # R-99 Jhabgir Co Opr. Housing Society Krrachi</v>
          </cell>
          <cell r="Q1126" t="str">
            <v>11000003</v>
          </cell>
          <cell r="R1126" t="str">
            <v>SUZUKI CULTUS VXL EURO II</v>
          </cell>
          <cell r="S1126" t="str">
            <v>2016</v>
          </cell>
          <cell r="T1126" t="str">
            <v>BHB-457</v>
          </cell>
          <cell r="U1126" t="str">
            <v>632979</v>
          </cell>
          <cell r="V1126" t="str">
            <v>539846</v>
          </cell>
          <cell r="W1126" t="str">
            <v>05-mar-2027</v>
          </cell>
          <cell r="Y1126">
            <v>900000</v>
          </cell>
          <cell r="Z1126">
            <v>13577</v>
          </cell>
          <cell r="AA1126">
            <v>15750</v>
          </cell>
        </row>
        <row r="1127">
          <cell r="B1127" t="str">
            <v>KHI/HO/D/MO/PC COMP/C/107407/129/02/2025</v>
          </cell>
          <cell r="D1127" t="str">
            <v>REN</v>
          </cell>
          <cell r="E1127" t="str">
            <v>17/02/25</v>
          </cell>
          <cell r="F1127" t="str">
            <v>24/02/2025</v>
          </cell>
          <cell r="G1127" t="str">
            <v>23/02/2026</v>
          </cell>
          <cell r="H1127" t="str">
            <v>08004499</v>
          </cell>
          <cell r="I1127" t="str">
            <v>AL BARAKA BANK (PAKISTAN) LIMITED</v>
          </cell>
          <cell r="J1127" t="str">
            <v>BANK</v>
          </cell>
          <cell r="K1127" t="str">
            <v xml:space="preserve">
HPA M/s. Al Baraka Bank (Pakistan) Limited 
Hpa M/S. Al Baraka Bank (Pakistan) Limited 
User: Mehboob Alam Malik</v>
          </cell>
          <cell r="L1127" t="str">
            <v>D</v>
          </cell>
          <cell r="M1127" t="str">
            <v>09000221</v>
          </cell>
          <cell r="N1127">
            <v>100</v>
          </cell>
          <cell r="O1127" t="str">
            <v>KARACHI</v>
          </cell>
          <cell r="P1127" t="str">
            <v>Dakhana Khas Masjid Zubair Dakhana Khas Kamaha Lahore</v>
          </cell>
          <cell r="Q1127" t="str">
            <v>11000003</v>
          </cell>
          <cell r="R1127" t="str">
            <v>TOYOTA COROLLA ALTIS 1.6</v>
          </cell>
          <cell r="S1127" t="str">
            <v>2022</v>
          </cell>
          <cell r="T1127" t="str">
            <v>AGC-970</v>
          </cell>
          <cell r="U1127" t="str">
            <v>Q 090674</v>
          </cell>
          <cell r="V1127" t="str">
            <v>6068137</v>
          </cell>
          <cell r="W1127" t="str">
            <v>05-mar-2027</v>
          </cell>
          <cell r="Y1127">
            <v>3144800</v>
          </cell>
          <cell r="Z1127">
            <v>40665</v>
          </cell>
          <cell r="AA1127">
            <v>47172</v>
          </cell>
        </row>
        <row r="1128">
          <cell r="B1128" t="str">
            <v>KHI/HO/D/MO/PC COMP/C/107407/130/02/2025</v>
          </cell>
          <cell r="D1128" t="str">
            <v>REN</v>
          </cell>
          <cell r="E1128" t="str">
            <v>17/02/25</v>
          </cell>
          <cell r="F1128" t="str">
            <v>04/02/2025</v>
          </cell>
          <cell r="G1128" t="str">
            <v>03/02/2026</v>
          </cell>
          <cell r="H1128" t="str">
            <v>08004499</v>
          </cell>
          <cell r="I1128" t="str">
            <v>AL BARAKA BANK (PAKISTAN) LIMITED</v>
          </cell>
          <cell r="J1128" t="str">
            <v>BANK</v>
          </cell>
          <cell r="K1128" t="str">
            <v xml:space="preserve">
HPA M/s. Al Baraka Bank (Pakistan) Limited 
Hpa M/S. Al Baraka Bank (Pakistan) Limited 
User: Ateeq  Uz Zaman  Khan</v>
          </cell>
          <cell r="L1128" t="str">
            <v>D</v>
          </cell>
          <cell r="M1128" t="str">
            <v>09000221</v>
          </cell>
          <cell r="N1128">
            <v>100</v>
          </cell>
          <cell r="O1128" t="str">
            <v>KARACHI</v>
          </cell>
          <cell r="P1128" t="str">
            <v>H # 29 Street 2 Fort Avenue Colony Multan Public School Road Multan</v>
          </cell>
          <cell r="Q1128" t="str">
            <v>11000003</v>
          </cell>
          <cell r="R1128" t="str">
            <v>TOYOTA COROLLA ALTIS CVTI</v>
          </cell>
          <cell r="S1128" t="str">
            <v>2020</v>
          </cell>
          <cell r="T1128" t="str">
            <v>ACG-008</v>
          </cell>
          <cell r="U1128" t="str">
            <v>Q345937</v>
          </cell>
          <cell r="V1128" t="str">
            <v>7045120</v>
          </cell>
          <cell r="W1128" t="str">
            <v>05-feb-2027</v>
          </cell>
          <cell r="Y1128">
            <v>3320000</v>
          </cell>
          <cell r="Z1128">
            <v>42931</v>
          </cell>
          <cell r="AA1128">
            <v>49800</v>
          </cell>
        </row>
        <row r="1129">
          <cell r="B1129" t="str">
            <v>KHI/HO/D/MO/PC COMP/C/107407/131/02/2025</v>
          </cell>
          <cell r="D1129" t="str">
            <v>REN</v>
          </cell>
          <cell r="E1129" t="str">
            <v>17/02/25</v>
          </cell>
          <cell r="F1129" t="str">
            <v>25/02/2025</v>
          </cell>
          <cell r="G1129" t="str">
            <v>24/02/2026</v>
          </cell>
          <cell r="H1129" t="str">
            <v>08004499</v>
          </cell>
          <cell r="I1129" t="str">
            <v>AL BARAKA BANK (PAKISTAN) LIMITED</v>
          </cell>
          <cell r="J1129" t="str">
            <v>BANK</v>
          </cell>
          <cell r="K1129" t="str">
            <v xml:space="preserve">
HPA M/s. Al Baraka Bank (Pakistan) Limited 
Hpa M/S. Al Baraka Bank (Pakistan) Limited 
User: Ijaz Ul Hassan</v>
          </cell>
          <cell r="L1129" t="str">
            <v>D</v>
          </cell>
          <cell r="M1129" t="str">
            <v>09000221</v>
          </cell>
          <cell r="N1129">
            <v>100</v>
          </cell>
          <cell r="P1129" t="str">
            <v>HS No 1693/193 Street 11 Mohallah Arif Pura TB Road Multan</v>
          </cell>
          <cell r="Q1129" t="str">
            <v>11000003</v>
          </cell>
          <cell r="R1129" t="str">
            <v>SUZUKI WAGON-R VXL E2</v>
          </cell>
          <cell r="S1129" t="str">
            <v>2022</v>
          </cell>
          <cell r="T1129" t="str">
            <v>AJH-577</v>
          </cell>
          <cell r="U1129" t="str">
            <v>1113157</v>
          </cell>
          <cell r="V1129" t="str">
            <v>10128911</v>
          </cell>
          <cell r="W1129" t="str">
            <v>05-mar-2027</v>
          </cell>
          <cell r="Y1129">
            <v>1580000</v>
          </cell>
          <cell r="Z1129">
            <v>23837</v>
          </cell>
          <cell r="AA1129">
            <v>27650</v>
          </cell>
        </row>
        <row r="1130">
          <cell r="B1130" t="str">
            <v>KHI/HO/D/MO/PC COMP/C/107407/132/02/2025</v>
          </cell>
          <cell r="D1130" t="str">
            <v>REN</v>
          </cell>
          <cell r="E1130" t="str">
            <v>17/02/25</v>
          </cell>
          <cell r="F1130" t="str">
            <v>25/02/2025</v>
          </cell>
          <cell r="G1130" t="str">
            <v>24/02/2026</v>
          </cell>
          <cell r="H1130" t="str">
            <v>08004499</v>
          </cell>
          <cell r="I1130" t="str">
            <v>AL BARAKA BANK (PAKISTAN) LIMITED</v>
          </cell>
          <cell r="J1130" t="str">
            <v>BANK</v>
          </cell>
          <cell r="K1130" t="str">
            <v xml:space="preserve">
HPA M/s. Al Baraka Bank (Pakistan) Limited 
Hpa M/S. Al Baraka Bank (Pakistan) Limited 
User: Faisal   Mirza</v>
          </cell>
          <cell r="L1130" t="str">
            <v>D</v>
          </cell>
          <cell r="M1130" t="str">
            <v>09000221</v>
          </cell>
          <cell r="N1130">
            <v>100</v>
          </cell>
          <cell r="P1130" t="str">
            <v>H # 3H 5/27 Gole Market Nazimabad Karachi</v>
          </cell>
          <cell r="Q1130" t="str">
            <v>11000003</v>
          </cell>
          <cell r="R1130" t="str">
            <v>SUZUKI CULTUS VXL EURO II</v>
          </cell>
          <cell r="S1130" t="str">
            <v>2018</v>
          </cell>
          <cell r="T1130" t="str">
            <v>BNU- 148</v>
          </cell>
          <cell r="U1130" t="str">
            <v>131212</v>
          </cell>
          <cell r="V1130" t="str">
            <v>H10031226</v>
          </cell>
          <cell r="W1130" t="str">
            <v>05-mar-2027</v>
          </cell>
          <cell r="Y1130">
            <v>1440000</v>
          </cell>
          <cell r="Z1130">
            <v>31035</v>
          </cell>
          <cell r="AA1130">
            <v>36000</v>
          </cell>
        </row>
        <row r="1131">
          <cell r="B1131" t="str">
            <v>KHI/HO/D/MO/PC COMP/C/107407/133/02/2025</v>
          </cell>
          <cell r="D1131" t="str">
            <v>REN</v>
          </cell>
          <cell r="E1131" t="str">
            <v>17/02/25</v>
          </cell>
          <cell r="F1131" t="str">
            <v>26/02/2025</v>
          </cell>
          <cell r="G1131" t="str">
            <v>25/02/2026</v>
          </cell>
          <cell r="H1131" t="str">
            <v>08004499</v>
          </cell>
          <cell r="I1131" t="str">
            <v>AL BARAKA BANK (PAKISTAN) LIMITED</v>
          </cell>
          <cell r="J1131" t="str">
            <v>BANK</v>
          </cell>
          <cell r="K1131" t="str">
            <v xml:space="preserve">
HPA M/s. Al Baraka Bank (Pakistan) Limited 
Hpa M/S. Al Baraka Bank (Pakistan) Limited 
User: Mohsin  Naseer</v>
          </cell>
          <cell r="L1131" t="str">
            <v>D</v>
          </cell>
          <cell r="M1131" t="str">
            <v>09000221</v>
          </cell>
          <cell r="N1131">
            <v>100</v>
          </cell>
          <cell r="P1131" t="str">
            <v>H # 12 School Stop Muhammad Rd Sanda Khurd Lahore</v>
          </cell>
          <cell r="Q1131" t="str">
            <v>11000003</v>
          </cell>
          <cell r="R1131" t="str">
            <v>SUZUKI WAGON-R VXR</v>
          </cell>
          <cell r="S1131" t="str">
            <v>2022</v>
          </cell>
          <cell r="T1131" t="str">
            <v>AJE-758</v>
          </cell>
          <cell r="U1131" t="str">
            <v>228070</v>
          </cell>
          <cell r="V1131" t="str">
            <v>10128061</v>
          </cell>
          <cell r="W1131" t="str">
            <v>05-mar-2029</v>
          </cell>
          <cell r="Y1131">
            <v>1501600</v>
          </cell>
          <cell r="Z1131">
            <v>32362</v>
          </cell>
          <cell r="AA1131">
            <v>37540</v>
          </cell>
        </row>
        <row r="1132">
          <cell r="B1132" t="str">
            <v>KHI/HO/D/MO/PC COMP/C/107407/134/02/2025</v>
          </cell>
          <cell r="D1132" t="str">
            <v>REN</v>
          </cell>
          <cell r="E1132" t="str">
            <v>17/02/25</v>
          </cell>
          <cell r="F1132" t="str">
            <v>28/02/2025</v>
          </cell>
          <cell r="G1132" t="str">
            <v>27/02/2026</v>
          </cell>
          <cell r="H1132" t="str">
            <v>08004499</v>
          </cell>
          <cell r="I1132" t="str">
            <v>AL BARAKA BANK (PAKISTAN) LIMITED</v>
          </cell>
          <cell r="J1132" t="str">
            <v>BANK</v>
          </cell>
          <cell r="K1132" t="str">
            <v xml:space="preserve">
HPA M/s. Al Baraka Bank (Pakistan) Limited 
Hpa M/S. Al Baraka Bank (Pakistan) Limited 
User: Malik Haseeb  Ahmad</v>
          </cell>
          <cell r="L1132" t="str">
            <v>D</v>
          </cell>
          <cell r="M1132" t="str">
            <v>09000221</v>
          </cell>
          <cell r="N1132">
            <v>100</v>
          </cell>
          <cell r="O1132" t="str">
            <v>KARACHI</v>
          </cell>
          <cell r="P1132" t="str">
            <v>H No 208 /1 St 05 Block U Phase 2 DHA Lahore</v>
          </cell>
          <cell r="Q1132" t="str">
            <v>11000003</v>
          </cell>
          <cell r="R1132" t="str">
            <v>TOYOTA COROLLA ALTIS GRAN</v>
          </cell>
          <cell r="S1132" t="str">
            <v>2022</v>
          </cell>
          <cell r="T1132" t="str">
            <v>AHS-427</v>
          </cell>
          <cell r="U1132" t="str">
            <v>Q357771</v>
          </cell>
          <cell r="V1132" t="str">
            <v>7056927</v>
          </cell>
          <cell r="W1132" t="str">
            <v>05-mar-2027</v>
          </cell>
          <cell r="Y1132">
            <v>3390400</v>
          </cell>
          <cell r="Z1132">
            <v>43842</v>
          </cell>
          <cell r="AA1132">
            <v>50856</v>
          </cell>
        </row>
        <row r="1133">
          <cell r="B1133" t="str">
            <v>KHI/HO/D/MO/PC COMP/C/107407/135/02/2025</v>
          </cell>
          <cell r="D1133" t="str">
            <v>REN</v>
          </cell>
          <cell r="E1133" t="str">
            <v>17/02/25</v>
          </cell>
          <cell r="F1133" t="str">
            <v>28/02/2025</v>
          </cell>
          <cell r="G1133" t="str">
            <v>27/02/2026</v>
          </cell>
          <cell r="H1133" t="str">
            <v>08004499</v>
          </cell>
          <cell r="I1133" t="str">
            <v>AL BARAKA BANK (PAKISTAN) LIMITED</v>
          </cell>
          <cell r="J1133" t="str">
            <v>BANK</v>
          </cell>
          <cell r="K1133" t="str">
            <v xml:space="preserve">
HPA M/s. Al Baraka Bank (Pakistan) Limited 
Hpa M/S. Al Baraka Bank (Pakistan) Limited 
User: Muhammad  Munir</v>
          </cell>
          <cell r="L1133" t="str">
            <v>D</v>
          </cell>
          <cell r="M1133" t="str">
            <v>09000221</v>
          </cell>
          <cell r="N1133">
            <v>100</v>
          </cell>
          <cell r="O1133" t="str">
            <v>KARACHI</v>
          </cell>
          <cell r="P1133" t="str">
            <v>St No 01 Bilal Town Marz Pura Narwala Road Faisalabad</v>
          </cell>
          <cell r="Q1133" t="str">
            <v>11000003</v>
          </cell>
          <cell r="R1133" t="str">
            <v>SUZUKI ALTO</v>
          </cell>
          <cell r="S1133" t="str">
            <v>2022</v>
          </cell>
          <cell r="T1133" t="str">
            <v>AJB-294</v>
          </cell>
          <cell r="U1133" t="str">
            <v>6R213829</v>
          </cell>
          <cell r="V1133" t="str">
            <v>H 1113830</v>
          </cell>
          <cell r="W1133" t="str">
            <v>05-mar-2027</v>
          </cell>
          <cell r="Y1133">
            <v>1236800</v>
          </cell>
          <cell r="Z1133">
            <v>18658</v>
          </cell>
          <cell r="AA1133">
            <v>21644</v>
          </cell>
        </row>
        <row r="1134">
          <cell r="B1134" t="str">
            <v>KHI/HO/D/MO/PC COMP/C/107407/136/02/2025</v>
          </cell>
          <cell r="D1134" t="str">
            <v>REN</v>
          </cell>
          <cell r="E1134" t="str">
            <v>17/02/25</v>
          </cell>
          <cell r="F1134" t="str">
            <v>28/02/2025</v>
          </cell>
          <cell r="G1134" t="str">
            <v>27/02/2026</v>
          </cell>
          <cell r="H1134" t="str">
            <v>08004499</v>
          </cell>
          <cell r="I1134" t="str">
            <v>AL BARAKA BANK (PAKISTAN) LIMITED</v>
          </cell>
          <cell r="J1134" t="str">
            <v>BANK</v>
          </cell>
          <cell r="K1134" t="str">
            <v xml:space="preserve">
HPA M/s. Al Baraka Bank (Pakistan) Limited 
Hpa M/S. Al Baraka Bank (Pakistan) Limited 
User: Muhammad  Shahid Tufail  Bhatti</v>
          </cell>
          <cell r="L1134" t="str">
            <v>D</v>
          </cell>
          <cell r="M1134" t="str">
            <v>09000221</v>
          </cell>
          <cell r="N1134">
            <v>100</v>
          </cell>
          <cell r="O1134" t="str">
            <v>KARACHI</v>
          </cell>
          <cell r="P1134" t="str">
            <v>H # 84/16 Mozang Road Lahore</v>
          </cell>
          <cell r="Q1134" t="str">
            <v>11000003</v>
          </cell>
          <cell r="R1134" t="str">
            <v>SUZUKI CULTUS VXL EURO II</v>
          </cell>
          <cell r="S1134" t="str">
            <v>2022</v>
          </cell>
          <cell r="T1134" t="str">
            <v>AHZ-750</v>
          </cell>
          <cell r="U1134" t="str">
            <v>K193689</v>
          </cell>
          <cell r="V1134" t="str">
            <v>H10093713</v>
          </cell>
          <cell r="W1134" t="str">
            <v>05-mar-2029</v>
          </cell>
          <cell r="Y1134">
            <v>1795200</v>
          </cell>
          <cell r="Z1134">
            <v>38690</v>
          </cell>
          <cell r="AA1134">
            <v>44880</v>
          </cell>
        </row>
        <row r="1135">
          <cell r="B1135" t="str">
            <v>KHI/HO/D/MO/PC COMP/C/107407/137/02/2025</v>
          </cell>
          <cell r="D1135" t="str">
            <v>REN</v>
          </cell>
          <cell r="E1135" t="str">
            <v>17/02/25</v>
          </cell>
          <cell r="F1135" t="str">
            <v>28/02/2025</v>
          </cell>
          <cell r="G1135" t="str">
            <v>27/02/2026</v>
          </cell>
          <cell r="H1135" t="str">
            <v>08004499</v>
          </cell>
          <cell r="I1135" t="str">
            <v>AL BARAKA BANK (PAKISTAN) LIMITED</v>
          </cell>
          <cell r="J1135" t="str">
            <v>BANK</v>
          </cell>
          <cell r="K1135" t="str">
            <v xml:space="preserve">
HPA M/s. Al Baraka Bank (Pakistan) Limited 
Hpa M/S. Al Baraka Bank (Pakistan) Limited 
User: Muhammad  Irfan</v>
          </cell>
          <cell r="L1135" t="str">
            <v>D</v>
          </cell>
          <cell r="M1135" t="str">
            <v>09000221</v>
          </cell>
          <cell r="N1135">
            <v>100</v>
          </cell>
          <cell r="O1135" t="str">
            <v>KARACHI</v>
          </cell>
          <cell r="P1135" t="str">
            <v>H No 22 F2 Wapda Town Lahore</v>
          </cell>
          <cell r="Q1135" t="str">
            <v>11000003</v>
          </cell>
          <cell r="R1135" t="str">
            <v>SUZUKI WAGON R VXL</v>
          </cell>
          <cell r="S1135" t="str">
            <v>2022</v>
          </cell>
          <cell r="T1135" t="str">
            <v>AJH-787</v>
          </cell>
          <cell r="U1135" t="str">
            <v>PK10B229535</v>
          </cell>
          <cell r="V1135" t="str">
            <v>AIJ310PK10129632</v>
          </cell>
          <cell r="W1135" t="str">
            <v>05-mar-2027</v>
          </cell>
          <cell r="Y1135">
            <v>1501600</v>
          </cell>
          <cell r="Z1135">
            <v>32362</v>
          </cell>
          <cell r="AA1135">
            <v>37540</v>
          </cell>
        </row>
        <row r="1136">
          <cell r="B1136" t="str">
            <v>KHI/HO/D/MO/PC COMP/C/107407/138/02/2025</v>
          </cell>
          <cell r="D1136" t="str">
            <v>REN</v>
          </cell>
          <cell r="E1136" t="str">
            <v>17/02/25</v>
          </cell>
          <cell r="F1136" t="str">
            <v>28/02/2025</v>
          </cell>
          <cell r="G1136" t="str">
            <v>27/02/2026</v>
          </cell>
          <cell r="H1136" t="str">
            <v>08004499</v>
          </cell>
          <cell r="I1136" t="str">
            <v>AL BARAKA BANK (PAKISTAN) LIMITED</v>
          </cell>
          <cell r="J1136" t="str">
            <v>BANK</v>
          </cell>
          <cell r="K1136" t="str">
            <v xml:space="preserve">
HPA M/s. Al Baraka Bank (Pakistan) Limited 
Hpa M/S. Al Baraka Bank (Pakistan) Limited 
User: Ahmed  Nauman</v>
          </cell>
          <cell r="L1136" t="str">
            <v>D</v>
          </cell>
          <cell r="M1136" t="str">
            <v>09000221</v>
          </cell>
          <cell r="N1136">
            <v>100</v>
          </cell>
          <cell r="P1136" t="str">
            <v>H No 66 /34 Mohallah New Abdi Jia Musa Shahdra Lahore</v>
          </cell>
          <cell r="Q1136" t="str">
            <v>11000003</v>
          </cell>
          <cell r="R1136" t="str">
            <v>HYUNDAI ELANTRA 2.0 MP1 A</v>
          </cell>
          <cell r="S1136" t="str">
            <v>2022</v>
          </cell>
          <cell r="T1136" t="str">
            <v>AHZ-380</v>
          </cell>
          <cell r="U1136" t="str">
            <v>978155</v>
          </cell>
          <cell r="V1136" t="str">
            <v>302834</v>
          </cell>
          <cell r="W1136" t="str">
            <v>05-apr-2027</v>
          </cell>
          <cell r="Y1136">
            <v>3207040</v>
          </cell>
          <cell r="Z1136">
            <v>41470</v>
          </cell>
          <cell r="AA1136">
            <v>48106</v>
          </cell>
        </row>
        <row r="1137">
          <cell r="B1137" t="str">
            <v>KHI/HO/D/MO/PC COMP/C/107407/139/02/2025</v>
          </cell>
          <cell r="D1137" t="str">
            <v>REN</v>
          </cell>
          <cell r="E1137" t="str">
            <v>17/02/25</v>
          </cell>
          <cell r="F1137" t="str">
            <v>28/02/2025</v>
          </cell>
          <cell r="G1137" t="str">
            <v>27/02/2026</v>
          </cell>
          <cell r="H1137" t="str">
            <v>08004499</v>
          </cell>
          <cell r="I1137" t="str">
            <v>AL BARAKA BANK (PAKISTAN) LIMITED</v>
          </cell>
          <cell r="J1137" t="str">
            <v>BANK</v>
          </cell>
          <cell r="K1137" t="str">
            <v xml:space="preserve">
HPA M/s. Al Baraka Bank (Pakistan) Limited 
Hpa M/S. Al Baraka Bank (Pakistan) Limited 
User: Muhammad  Naveed</v>
          </cell>
          <cell r="L1137" t="str">
            <v>D</v>
          </cell>
          <cell r="M1137" t="str">
            <v>09000221</v>
          </cell>
          <cell r="N1137">
            <v>100</v>
          </cell>
          <cell r="O1137" t="str">
            <v>KARACHI</v>
          </cell>
          <cell r="P1137" t="str">
            <v>H No 69 Main Road Al Noor Barden Faisalabad</v>
          </cell>
          <cell r="Q1137" t="str">
            <v>11000003</v>
          </cell>
          <cell r="R1137" t="str">
            <v>SUZUKI ALTO VXR</v>
          </cell>
          <cell r="S1137" t="str">
            <v>2022</v>
          </cell>
          <cell r="T1137" t="str">
            <v>AHW-199</v>
          </cell>
          <cell r="U1137" t="str">
            <v>6R214486</v>
          </cell>
          <cell r="V1137" t="str">
            <v>H1114460</v>
          </cell>
          <cell r="W1137" t="str">
            <v>05-mar-2027</v>
          </cell>
          <cell r="Y1137">
            <v>1236800</v>
          </cell>
          <cell r="Z1137">
            <v>26655</v>
          </cell>
          <cell r="AA1137">
            <v>30920</v>
          </cell>
        </row>
        <row r="1138">
          <cell r="B1138" t="str">
            <v>KHI/HO/D/MO/PC COMP/C/107407/140/02/2025</v>
          </cell>
          <cell r="D1138" t="str">
            <v>REN</v>
          </cell>
          <cell r="E1138" t="str">
            <v>17/02/25</v>
          </cell>
          <cell r="F1138" t="str">
            <v>28/02/2025</v>
          </cell>
          <cell r="G1138" t="str">
            <v>27/02/2026</v>
          </cell>
          <cell r="H1138" t="str">
            <v>08004499</v>
          </cell>
          <cell r="I1138" t="str">
            <v>AL BARAKA BANK (PAKISTAN) LIMITED</v>
          </cell>
          <cell r="J1138" t="str">
            <v>BANK</v>
          </cell>
          <cell r="K1138" t="str">
            <v xml:space="preserve">
HPA M/s. Al Baraka Bank (Pakistan) Limited 
Hpa M/S. Al Baraka Bank (Pakistan) Limited 
User: Ismail  Khan</v>
          </cell>
          <cell r="L1138" t="str">
            <v>D</v>
          </cell>
          <cell r="M1138" t="str">
            <v>09000221</v>
          </cell>
          <cell r="N1138">
            <v>100</v>
          </cell>
          <cell r="P1138" t="str">
            <v>Ward No. 4 H # 2344 Moh Nizami Block 10 Sanghar</v>
          </cell>
          <cell r="Q1138" t="str">
            <v>11000003</v>
          </cell>
          <cell r="R1138" t="str">
            <v>SUZUKI ALTO VXR E-2</v>
          </cell>
          <cell r="S1138" t="str">
            <v>2022</v>
          </cell>
          <cell r="T1138" t="str">
            <v>BWJ-106</v>
          </cell>
          <cell r="U1138" t="str">
            <v>195352</v>
          </cell>
          <cell r="V1138" t="str">
            <v>1113621</v>
          </cell>
          <cell r="W1138" t="str">
            <v>05-mar-2027</v>
          </cell>
          <cell r="Y1138">
            <v>1236800</v>
          </cell>
          <cell r="Z1138">
            <v>26655</v>
          </cell>
          <cell r="AA1138">
            <v>30920</v>
          </cell>
        </row>
        <row r="1139">
          <cell r="B1139" t="str">
            <v>KHI/HO/D/MO/PC COMP/C/107407/141/02/2025</v>
          </cell>
          <cell r="D1139" t="str">
            <v>REN</v>
          </cell>
          <cell r="E1139" t="str">
            <v>17/02/25</v>
          </cell>
          <cell r="F1139" t="str">
            <v>07/02/2025</v>
          </cell>
          <cell r="G1139" t="str">
            <v>06/02/2026</v>
          </cell>
          <cell r="H1139" t="str">
            <v>08004499</v>
          </cell>
          <cell r="I1139" t="str">
            <v>AL BARAKA BANK (PAKISTAN) LIMITED</v>
          </cell>
          <cell r="J1139" t="str">
            <v>BANK</v>
          </cell>
          <cell r="K1139" t="str">
            <v xml:space="preserve">
HPA M/s. Al Baraka Bank (Pakistan) Limited 
Hpa M/S. Al Baraka Bank (Pakistan) Limited 
User: Qamar  Ali</v>
          </cell>
          <cell r="L1139" t="str">
            <v>D</v>
          </cell>
          <cell r="M1139" t="str">
            <v>09000221</v>
          </cell>
          <cell r="N1139">
            <v>100</v>
          </cell>
          <cell r="P1139" t="str">
            <v>H # 778 LDA Jahangir Road Lalpur Mughal Pura Lahore</v>
          </cell>
          <cell r="Q1139" t="str">
            <v>11000003</v>
          </cell>
          <cell r="R1139" t="str">
            <v>SUZUKI ALTO VXL AGS E-2</v>
          </cell>
          <cell r="S1139" t="str">
            <v>2022</v>
          </cell>
          <cell r="T1139" t="str">
            <v>AHC-704</v>
          </cell>
          <cell r="U1139" t="str">
            <v>206071</v>
          </cell>
          <cell r="V1139" t="str">
            <v>1106101</v>
          </cell>
          <cell r="W1139" t="str">
            <v>05-mar-2029</v>
          </cell>
          <cell r="Y1139">
            <v>1216800</v>
          </cell>
          <cell r="Z1139">
            <v>26224</v>
          </cell>
          <cell r="AA1139">
            <v>30420</v>
          </cell>
        </row>
        <row r="1140">
          <cell r="B1140" t="str">
            <v>KHI/HO/D/MO/PC COMP/C/107407/142/02/2025</v>
          </cell>
          <cell r="D1140" t="str">
            <v>REN</v>
          </cell>
          <cell r="E1140" t="str">
            <v>17/02/25</v>
          </cell>
          <cell r="F1140" t="str">
            <v>28/02/2025</v>
          </cell>
          <cell r="G1140" t="str">
            <v>27/02/2026</v>
          </cell>
          <cell r="H1140" t="str">
            <v>08004499</v>
          </cell>
          <cell r="I1140" t="str">
            <v>AL BARAKA BANK (PAKISTAN) LIMITED</v>
          </cell>
          <cell r="J1140" t="str">
            <v>BANK</v>
          </cell>
          <cell r="K1140" t="str">
            <v xml:space="preserve">
HPA M/s. Al Baraka Bank (Pakistan) Limited 
Hpa M/S. Al Baraka Bank (Pakistan) Limited 
User: Muhammad  Hafeez</v>
          </cell>
          <cell r="L1140" t="str">
            <v>D</v>
          </cell>
          <cell r="M1140" t="str">
            <v>09000221</v>
          </cell>
          <cell r="N1140">
            <v>100</v>
          </cell>
          <cell r="P1140" t="str">
            <v>H No 26 F-61 POF Wah Cantt</v>
          </cell>
          <cell r="Q1140" t="str">
            <v>11000003</v>
          </cell>
          <cell r="R1140" t="str">
            <v>SUZUKI WAGON R VXL</v>
          </cell>
          <cell r="S1140" t="str">
            <v>2018</v>
          </cell>
          <cell r="T1140" t="str">
            <v>AKY-182</v>
          </cell>
          <cell r="U1140" t="str">
            <v>171872</v>
          </cell>
          <cell r="V1140" t="str">
            <v>10071864</v>
          </cell>
          <cell r="W1140" t="str">
            <v>05-mar-2027</v>
          </cell>
          <cell r="Y1140">
            <v>1280000</v>
          </cell>
          <cell r="Z1140">
            <v>27586</v>
          </cell>
          <cell r="AA1140">
            <v>32000</v>
          </cell>
        </row>
        <row r="1141">
          <cell r="B1141" t="str">
            <v>KHI/HO/D/MO/PC COMP/C/107407/143/02/2025</v>
          </cell>
          <cell r="D1141" t="str">
            <v>REN</v>
          </cell>
          <cell r="E1141" t="str">
            <v>17/02/25</v>
          </cell>
          <cell r="F1141" t="str">
            <v>28/02/2025</v>
          </cell>
          <cell r="G1141" t="str">
            <v>27/02/2026</v>
          </cell>
          <cell r="H1141" t="str">
            <v>08004499</v>
          </cell>
          <cell r="I1141" t="str">
            <v>AL BARAKA BANK (PAKISTAN) LIMITED</v>
          </cell>
          <cell r="J1141" t="str">
            <v>BANK</v>
          </cell>
          <cell r="K1141" t="str">
            <v xml:space="preserve">
HPA M/s. Al Baraka Bank (Pakistan) Limited 
Hpa M/S. Al Baraka Bank (Pakistan) Limited 
User: Muhammad  Aqeel</v>
          </cell>
          <cell r="L1141" t="str">
            <v>D</v>
          </cell>
          <cell r="M1141" t="str">
            <v>09000221</v>
          </cell>
          <cell r="N1141">
            <v>100</v>
          </cell>
          <cell r="P1141" t="str">
            <v>H # 37-A 44 Avenue Buch Villa Multan</v>
          </cell>
          <cell r="Q1141" t="str">
            <v>11000003</v>
          </cell>
          <cell r="R1141" t="str">
            <v>SUZUKI BOLAN STD VX EURO</v>
          </cell>
          <cell r="S1141" t="str">
            <v>2022</v>
          </cell>
          <cell r="T1141" t="str">
            <v>AHB-498</v>
          </cell>
          <cell r="U1141" t="str">
            <v>1018101</v>
          </cell>
          <cell r="V1141" t="str">
            <v>1134621</v>
          </cell>
          <cell r="W1141" t="str">
            <v>05-mar-2027</v>
          </cell>
          <cell r="Y1141">
            <v>1012000</v>
          </cell>
          <cell r="Z1141">
            <v>21810</v>
          </cell>
          <cell r="AA1141">
            <v>25300</v>
          </cell>
        </row>
        <row r="1142">
          <cell r="B1142" t="str">
            <v>KHI/HO/D/MO/PC COMP/C/107407/144/02/2025</v>
          </cell>
          <cell r="D1142" t="str">
            <v>REN</v>
          </cell>
          <cell r="E1142" t="str">
            <v>17/02/25</v>
          </cell>
          <cell r="F1142" t="str">
            <v>28/02/2025</v>
          </cell>
          <cell r="G1142" t="str">
            <v>27/02/2026</v>
          </cell>
          <cell r="H1142" t="str">
            <v>08004499</v>
          </cell>
          <cell r="I1142" t="str">
            <v>AL BARAKA BANK (PAKISTAN) LIMITED</v>
          </cell>
          <cell r="J1142" t="str">
            <v>BANK</v>
          </cell>
          <cell r="K1142" t="str">
            <v xml:space="preserve">
HPA M/s. Al Baraka Bank (Pakistan) Limited 
Hpa M/S. Al Baraka Bank (Pakistan) Limited 
User: Fahad   Maqsood</v>
          </cell>
          <cell r="L1142" t="str">
            <v>D</v>
          </cell>
          <cell r="M1142" t="str">
            <v>09000221</v>
          </cell>
          <cell r="N1142">
            <v>100</v>
          </cell>
          <cell r="O1142" t="str">
            <v>KARACHI</v>
          </cell>
          <cell r="P1142" t="str">
            <v>Millat Road Chak No 116 JB Rarra Faisalabad</v>
          </cell>
          <cell r="Q1142" t="str">
            <v>11000003</v>
          </cell>
          <cell r="R1142" t="str">
            <v>SUZUKI WAGON R VXL</v>
          </cell>
          <cell r="S1142" t="str">
            <v>2022</v>
          </cell>
          <cell r="T1142" t="str">
            <v>AJE-966</v>
          </cell>
          <cell r="U1142" t="str">
            <v>PK10B 229598</v>
          </cell>
          <cell r="V1142" t="str">
            <v>PK10129633</v>
          </cell>
          <cell r="W1142" t="str">
            <v>05-mar-2027</v>
          </cell>
          <cell r="Y1142">
            <v>1580000</v>
          </cell>
          <cell r="Z1142">
            <v>34051</v>
          </cell>
          <cell r="AA1142">
            <v>39500</v>
          </cell>
        </row>
        <row r="1143">
          <cell r="B1143" t="str">
            <v>KHI/HO/D/MO/PC COMP/C/107407/145/02/2025</v>
          </cell>
          <cell r="D1143" t="str">
            <v>REN</v>
          </cell>
          <cell r="E1143" t="str">
            <v>17/02/25</v>
          </cell>
          <cell r="F1143" t="str">
            <v>28/02/2025</v>
          </cell>
          <cell r="G1143" t="str">
            <v>27/02/2026</v>
          </cell>
          <cell r="H1143" t="str">
            <v>08004499</v>
          </cell>
          <cell r="I1143" t="str">
            <v>AL BARAKA BANK (PAKISTAN) LIMITED</v>
          </cell>
          <cell r="J1143" t="str">
            <v>BANK</v>
          </cell>
          <cell r="K1143" t="str">
            <v xml:space="preserve">
HPA M/s. Al Baraka Bank (Pakistan) Limited 
Hpa M/S. Al Baraka Bank (Pakistan) Limited 
User: Maqsood  Shahzad</v>
          </cell>
          <cell r="L1143" t="str">
            <v>D</v>
          </cell>
          <cell r="M1143" t="str">
            <v>09000221</v>
          </cell>
          <cell r="N1143">
            <v>100</v>
          </cell>
          <cell r="P1143" t="str">
            <v>H No 14 -C Moh Shah Taj Colony Walton road Lahore</v>
          </cell>
          <cell r="Q1143" t="str">
            <v>11000003</v>
          </cell>
          <cell r="R1143" t="str">
            <v>SUZUKI WAGON R VXL</v>
          </cell>
          <cell r="S1143" t="str">
            <v>2022</v>
          </cell>
          <cell r="T1143" t="str">
            <v>AJK-526</v>
          </cell>
          <cell r="U1143" t="str">
            <v>230215</v>
          </cell>
          <cell r="V1143" t="str">
            <v>10130168</v>
          </cell>
          <cell r="W1143" t="str">
            <v>06-mar-2028</v>
          </cell>
          <cell r="Y1143">
            <v>1501600</v>
          </cell>
          <cell r="Z1143">
            <v>32362</v>
          </cell>
          <cell r="AA1143">
            <v>37540</v>
          </cell>
        </row>
        <row r="1144">
          <cell r="B1144" t="str">
            <v>KHI/HO/D/MO/PC COMP/C/107407/146/02/2025</v>
          </cell>
          <cell r="D1144" t="str">
            <v>REN</v>
          </cell>
          <cell r="E1144" t="str">
            <v>17/02/25</v>
          </cell>
          <cell r="F1144" t="str">
            <v>28/02/2025</v>
          </cell>
          <cell r="G1144" t="str">
            <v>27/02/2026</v>
          </cell>
          <cell r="H1144" t="str">
            <v>08004499</v>
          </cell>
          <cell r="I1144" t="str">
            <v>AL BARAKA BANK (PAKISTAN) LIMITED</v>
          </cell>
          <cell r="J1144" t="str">
            <v>BANK</v>
          </cell>
          <cell r="K1144" t="str">
            <v xml:space="preserve">
HPA M/s. Al Baraka Bank (Pakistan) Limited 
Hpa M/S. Al Baraka Bank (Pakistan) Limited 
User: Muhammad  Waqas</v>
          </cell>
          <cell r="L1144" t="str">
            <v>D</v>
          </cell>
          <cell r="M1144" t="str">
            <v>09000221</v>
          </cell>
          <cell r="N1144">
            <v>100</v>
          </cell>
          <cell r="O1144" t="str">
            <v>KARACHI</v>
          </cell>
          <cell r="P1144" t="str">
            <v>St N o 3 Abu Bakar Park Khokhar Road badami Bagh Lahore</v>
          </cell>
          <cell r="Q1144" t="str">
            <v>11000003</v>
          </cell>
          <cell r="R1144" t="str">
            <v>SUZUKI WAGON R VXL</v>
          </cell>
          <cell r="S1144" t="str">
            <v>2022</v>
          </cell>
          <cell r="T1144" t="str">
            <v>AHY-902</v>
          </cell>
          <cell r="U1144" t="str">
            <v>PK10B229011</v>
          </cell>
          <cell r="V1144" t="str">
            <v>PK10128996</v>
          </cell>
          <cell r="W1144" t="str">
            <v>05-mar-2027</v>
          </cell>
          <cell r="Y1144">
            <v>1580000</v>
          </cell>
          <cell r="Z1144">
            <v>34051</v>
          </cell>
          <cell r="AA1144">
            <v>39500</v>
          </cell>
        </row>
        <row r="1145">
          <cell r="B1145" t="str">
            <v>KHI/HO/D/MO/PC COMP/C/107407/147/02/2025</v>
          </cell>
          <cell r="D1145" t="str">
            <v>REN</v>
          </cell>
          <cell r="E1145" t="str">
            <v>17/02/25</v>
          </cell>
          <cell r="F1145" t="str">
            <v>28/02/2025</v>
          </cell>
          <cell r="G1145" t="str">
            <v>27/02/2026</v>
          </cell>
          <cell r="H1145" t="str">
            <v>08004499</v>
          </cell>
          <cell r="I1145" t="str">
            <v>AL BARAKA BANK (PAKISTAN) LIMITED</v>
          </cell>
          <cell r="J1145" t="str">
            <v>BANK</v>
          </cell>
          <cell r="K1145" t="str">
            <v xml:space="preserve">
HPA M/s. Al Baraka Bank (Pakistan) Limited 
Hpa M/S. Al Baraka Bank (Pakistan) Limited 
User: Muhammad Ammar  Badar</v>
          </cell>
          <cell r="L1145" t="str">
            <v>D</v>
          </cell>
          <cell r="M1145" t="str">
            <v>09000221</v>
          </cell>
          <cell r="N1145">
            <v>100</v>
          </cell>
          <cell r="P1145" t="str">
            <v>H # 590/1 Block D Canal View Lahore</v>
          </cell>
          <cell r="Q1145" t="str">
            <v>11000003</v>
          </cell>
          <cell r="R1145" t="str">
            <v>SUZUKI WAGON-R VXL E2</v>
          </cell>
          <cell r="S1145" t="str">
            <v>2022</v>
          </cell>
          <cell r="T1145" t="str">
            <v>AJD-992</v>
          </cell>
          <cell r="U1145" t="str">
            <v>228204</v>
          </cell>
          <cell r="V1145" t="str">
            <v>10128202</v>
          </cell>
          <cell r="W1145" t="str">
            <v>05-mar-2027</v>
          </cell>
          <cell r="Y1145">
            <v>1501600</v>
          </cell>
          <cell r="Z1145">
            <v>22653</v>
          </cell>
          <cell r="AA1145">
            <v>26278</v>
          </cell>
        </row>
        <row r="1146">
          <cell r="B1146" t="str">
            <v>KHI/HO/D/MO/PC COMP/C/107407/148/02/2025</v>
          </cell>
          <cell r="D1146" t="str">
            <v>REN</v>
          </cell>
          <cell r="E1146" t="str">
            <v>17/02/25</v>
          </cell>
          <cell r="F1146" t="str">
            <v>28/02/2025</v>
          </cell>
          <cell r="G1146" t="str">
            <v>27/02/2026</v>
          </cell>
          <cell r="H1146" t="str">
            <v>08004499</v>
          </cell>
          <cell r="I1146" t="str">
            <v>AL BARAKA BANK (PAKISTAN) LIMITED</v>
          </cell>
          <cell r="J1146" t="str">
            <v>BANK</v>
          </cell>
          <cell r="K1146" t="str">
            <v xml:space="preserve">
HPA M/s. Al Baraka Bank (Pakistan) Limited 
Hpa M/S. Al Baraka Bank (Pakistan) Limited 
User: Shahbaz  Ali</v>
          </cell>
          <cell r="L1146" t="str">
            <v>D</v>
          </cell>
          <cell r="M1146" t="str">
            <v>09000221</v>
          </cell>
          <cell r="N1146">
            <v>100</v>
          </cell>
          <cell r="P1146" t="str">
            <v>H # 66 Street 41-A Al Bashir Street Fazal Road sanda Kalan Lahore</v>
          </cell>
          <cell r="Q1146" t="str">
            <v>11000003</v>
          </cell>
          <cell r="R1146" t="str">
            <v>SUZUKI WAGON-R VXL E2</v>
          </cell>
          <cell r="S1146" t="str">
            <v>2022</v>
          </cell>
          <cell r="T1146" t="str">
            <v>AJL-718</v>
          </cell>
          <cell r="U1146" t="str">
            <v>229946</v>
          </cell>
          <cell r="V1146" t="str">
            <v>10129944</v>
          </cell>
          <cell r="W1146" t="str">
            <v>05-mar-2029</v>
          </cell>
          <cell r="Y1146">
            <v>1580000</v>
          </cell>
          <cell r="Z1146">
            <v>23837</v>
          </cell>
          <cell r="AA1146">
            <v>27650</v>
          </cell>
        </row>
        <row r="1147">
          <cell r="B1147" t="str">
            <v>KHI/HO/D/MO/PC COMP/C/107407/149/02/2025</v>
          </cell>
          <cell r="D1147" t="str">
            <v>REN</v>
          </cell>
          <cell r="E1147" t="str">
            <v>17/02/25</v>
          </cell>
          <cell r="F1147" t="str">
            <v>28/02/2025</v>
          </cell>
          <cell r="G1147" t="str">
            <v>27/02/2026</v>
          </cell>
          <cell r="H1147" t="str">
            <v>08004499</v>
          </cell>
          <cell r="I1147" t="str">
            <v>AL BARAKA BANK (PAKISTAN) LIMITED</v>
          </cell>
          <cell r="J1147" t="str">
            <v>BANK</v>
          </cell>
          <cell r="K1147" t="str">
            <v xml:space="preserve">
HPA M/s. Al Baraka Bank (Pakistan) Limited 
Hpa M/S. Al Baraka Bank (Pakistan) Limited 
User: Muhammad  Babur</v>
          </cell>
          <cell r="L1147" t="str">
            <v>D</v>
          </cell>
          <cell r="M1147" t="str">
            <v>09000221</v>
          </cell>
          <cell r="N1147">
            <v>100</v>
          </cell>
          <cell r="P1147" t="str">
            <v>Apartment 53 A Askari 7 Adyala Road Rawalpindi</v>
          </cell>
          <cell r="Q1147" t="str">
            <v>11000003</v>
          </cell>
          <cell r="R1147" t="str">
            <v>HONDA BRV - S</v>
          </cell>
          <cell r="S1147" t="str">
            <v>2017</v>
          </cell>
          <cell r="T1147" t="str">
            <v>AEA-222</v>
          </cell>
          <cell r="U1147" t="str">
            <v>3500446</v>
          </cell>
          <cell r="V1147" t="str">
            <v>HR000392</v>
          </cell>
          <cell r="W1147" t="str">
            <v>05-mar-2027</v>
          </cell>
          <cell r="Y1147">
            <v>2320000</v>
          </cell>
          <cell r="Z1147">
            <v>30000</v>
          </cell>
          <cell r="AA1147">
            <v>34800</v>
          </cell>
        </row>
        <row r="1148">
          <cell r="B1148" t="str">
            <v>KHI/HO/D/MO/PC COMP/C/107407/150/02/2025</v>
          </cell>
          <cell r="D1148" t="str">
            <v>REN</v>
          </cell>
          <cell r="E1148" t="str">
            <v>17/02/25</v>
          </cell>
          <cell r="F1148" t="str">
            <v>28/02/2025</v>
          </cell>
          <cell r="G1148" t="str">
            <v>27/02/2026</v>
          </cell>
          <cell r="H1148" t="str">
            <v>08004499</v>
          </cell>
          <cell r="I1148" t="str">
            <v>AL BARAKA BANK (PAKISTAN) LIMITED</v>
          </cell>
          <cell r="J1148" t="str">
            <v>BANK</v>
          </cell>
          <cell r="K1148" t="str">
            <v xml:space="preserve">
HPA M/s. Al Baraka Bank (Pakistan) Limited 
Hpa M/S. Al Baraka Bank (Pakistan) Limited 
User: Shaikh Umer Waqas</v>
          </cell>
          <cell r="L1148" t="str">
            <v>D</v>
          </cell>
          <cell r="M1148" t="str">
            <v>09000221</v>
          </cell>
          <cell r="N1148">
            <v>100</v>
          </cell>
          <cell r="O1148" t="str">
            <v>KARACHI</v>
          </cell>
          <cell r="P1148" t="str">
            <v>H No 3023 St 7 Sector G-8 / 1 Islamabad</v>
          </cell>
          <cell r="Q1148" t="str">
            <v>11000003</v>
          </cell>
          <cell r="R1148" t="str">
            <v>TOYOTA COROLLA XLI 1.3</v>
          </cell>
          <cell r="S1148" t="str">
            <v>2018</v>
          </cell>
          <cell r="T1148" t="str">
            <v>AHZ-510</v>
          </cell>
          <cell r="U1148" t="str">
            <v>Z524687</v>
          </cell>
          <cell r="V1148" t="str">
            <v>R4150709</v>
          </cell>
          <cell r="W1148" t="str">
            <v>05-mar-2026</v>
          </cell>
          <cell r="Y1148">
            <v>2160000</v>
          </cell>
          <cell r="Z1148">
            <v>27931</v>
          </cell>
          <cell r="AA1148">
            <v>32400</v>
          </cell>
        </row>
        <row r="1149">
          <cell r="B1149" t="str">
            <v>KHI/HO/D/MO/PC COMP/C/107407/151/02/2025</v>
          </cell>
          <cell r="D1149" t="str">
            <v>REN</v>
          </cell>
          <cell r="E1149" t="str">
            <v>17/02/25</v>
          </cell>
          <cell r="F1149" t="str">
            <v>10/02/2025</v>
          </cell>
          <cell r="G1149" t="str">
            <v>09/02/2026</v>
          </cell>
          <cell r="H1149" t="str">
            <v>08004499</v>
          </cell>
          <cell r="I1149" t="str">
            <v>AL BARAKA BANK (PAKISTAN) LIMITED</v>
          </cell>
          <cell r="J1149" t="str">
            <v>BANK</v>
          </cell>
          <cell r="K1149" t="str">
            <v xml:space="preserve">
HPA M/s. Al Baraka Bank (Pakistan) Limited 
Hpa M/S. Al Baraka Bank (Pakistan) Limited 
User: Nasir  Iqbal</v>
          </cell>
          <cell r="L1149" t="str">
            <v>D</v>
          </cell>
          <cell r="M1149" t="str">
            <v>09000221</v>
          </cell>
          <cell r="N1149">
            <v>100</v>
          </cell>
          <cell r="P1149" t="str">
            <v>Asia Flour Mills BWP Pvt Ltd Small Industries Estate Multan Road Bahawalpur</v>
          </cell>
          <cell r="Q1149" t="str">
            <v>11000003</v>
          </cell>
          <cell r="R1149" t="str">
            <v>SUZUKI CULTUS VXL EURO II</v>
          </cell>
          <cell r="S1149" t="str">
            <v>2019</v>
          </cell>
          <cell r="T1149" t="str">
            <v>LEF-19-7090</v>
          </cell>
          <cell r="U1149" t="str">
            <v>145243</v>
          </cell>
          <cell r="V1149" t="str">
            <v>10045243</v>
          </cell>
          <cell r="W1149" t="str">
            <v>05-mar-2027</v>
          </cell>
          <cell r="Y1149">
            <v>1350000</v>
          </cell>
          <cell r="Z1149">
            <v>29095</v>
          </cell>
          <cell r="AA1149">
            <v>33750</v>
          </cell>
        </row>
        <row r="1150">
          <cell r="B1150" t="str">
            <v>KHI/HO/D/MO/PC COMP/C/107407/152/02/2025</v>
          </cell>
          <cell r="D1150" t="str">
            <v>REN</v>
          </cell>
          <cell r="E1150" t="str">
            <v>17/02/25</v>
          </cell>
          <cell r="F1150" t="str">
            <v>11/02/2025</v>
          </cell>
          <cell r="G1150" t="str">
            <v>10/02/2026</v>
          </cell>
          <cell r="H1150" t="str">
            <v>08004499</v>
          </cell>
          <cell r="I1150" t="str">
            <v>AL BARAKA BANK (PAKISTAN) LIMITED</v>
          </cell>
          <cell r="J1150" t="str">
            <v>BANK</v>
          </cell>
          <cell r="K1150" t="str">
            <v xml:space="preserve">
HPA M/s. Al Baraka Bank (Pakistan) Limited 
Hpa M/S. Al Baraka Bank (Pakistan) Limited 
User: Ali  Akbar</v>
          </cell>
          <cell r="L1150" t="str">
            <v>D</v>
          </cell>
          <cell r="M1150" t="str">
            <v>09000221</v>
          </cell>
          <cell r="N1150">
            <v>100</v>
          </cell>
          <cell r="P1150" t="str">
            <v>House No.217 Street 27 Rustam Park Khadim Street Multan Road Lahore</v>
          </cell>
          <cell r="Q1150" t="str">
            <v>11000003</v>
          </cell>
          <cell r="R1150" t="str">
            <v>SUZUKI SWIFT NV-AT EURO I</v>
          </cell>
          <cell r="S1150" t="str">
            <v>2021</v>
          </cell>
          <cell r="T1150" t="str">
            <v>ACA-272</v>
          </cell>
          <cell r="U1150" t="str">
            <v>13049726</v>
          </cell>
          <cell r="V1150" t="str">
            <v>10049721</v>
          </cell>
          <cell r="W1150" t="str">
            <v>05-mar-2026</v>
          </cell>
          <cell r="Y1150">
            <v>1657500</v>
          </cell>
          <cell r="Z1150">
            <v>35723</v>
          </cell>
          <cell r="AA1150">
            <v>41438</v>
          </cell>
        </row>
        <row r="1151">
          <cell r="B1151" t="str">
            <v>KHI/HO/D/MO/PC COMP/C/107407/153/02/2025</v>
          </cell>
          <cell r="D1151" t="str">
            <v>REN</v>
          </cell>
          <cell r="E1151" t="str">
            <v>17/02/25</v>
          </cell>
          <cell r="F1151" t="str">
            <v>12/02/2025</v>
          </cell>
          <cell r="G1151" t="str">
            <v>11/02/2026</v>
          </cell>
          <cell r="H1151" t="str">
            <v>08004499</v>
          </cell>
          <cell r="I1151" t="str">
            <v>AL BARAKA BANK (PAKISTAN) LIMITED</v>
          </cell>
          <cell r="J1151" t="str">
            <v>BANK</v>
          </cell>
          <cell r="K1151" t="str">
            <v xml:space="preserve">
HPA M/s. Al Baraka Bank (Pakistan) Limited 
Hpa M/S. Al Baraka Bank (Pakistan) Limited 
User: Saif Ullah  Shafi</v>
          </cell>
          <cell r="L1151" t="str">
            <v>D</v>
          </cell>
          <cell r="M1151" t="str">
            <v>09000221</v>
          </cell>
          <cell r="N1151">
            <v>100</v>
          </cell>
          <cell r="O1151" t="str">
            <v>KARACHI</v>
          </cell>
          <cell r="P1151" t="str">
            <v>Zariwala Gali Chapai Wali Gali Mian Wandala Bazar Shahdra Lahore</v>
          </cell>
          <cell r="Q1151" t="str">
            <v>11000003</v>
          </cell>
          <cell r="R1151" t="str">
            <v>TOYOTA YARIS ATIV X CVT</v>
          </cell>
          <cell r="S1151" t="str">
            <v>2021</v>
          </cell>
          <cell r="T1151" t="str">
            <v>ACB-538</v>
          </cell>
          <cell r="U1151" t="str">
            <v>2A17068</v>
          </cell>
          <cell r="V1151" t="str">
            <v>NSP151R-9507046</v>
          </cell>
          <cell r="W1151" t="str">
            <v>05-mar-2026</v>
          </cell>
          <cell r="Y1151">
            <v>2274750</v>
          </cell>
          <cell r="Z1151">
            <v>49025</v>
          </cell>
          <cell r="AA1151">
            <v>56869</v>
          </cell>
        </row>
        <row r="1152">
          <cell r="B1152" t="str">
            <v>KHI/HO/D/MO/PC COMP/C/107407/154/02/2025</v>
          </cell>
          <cell r="D1152" t="str">
            <v>REN</v>
          </cell>
          <cell r="E1152" t="str">
            <v>17/02/25</v>
          </cell>
          <cell r="F1152" t="str">
            <v>16/02/2025</v>
          </cell>
          <cell r="G1152" t="str">
            <v>15/02/2026</v>
          </cell>
          <cell r="H1152" t="str">
            <v>08004499</v>
          </cell>
          <cell r="I1152" t="str">
            <v>AL BARAKA BANK (PAKISTAN) LIMITED</v>
          </cell>
          <cell r="J1152" t="str">
            <v>BANK</v>
          </cell>
          <cell r="K1152" t="str">
            <v xml:space="preserve">
HPA M/s. Al Baraka Bank (Pakistan) Limited 
Hpa M/S. Al Baraka Bank (Pakistan) Limited 
User: Hafiz  Muhammad Rizwan Anjum</v>
          </cell>
          <cell r="L1152" t="str">
            <v>D</v>
          </cell>
          <cell r="M1152" t="str">
            <v>09000221</v>
          </cell>
          <cell r="N1152">
            <v>100</v>
          </cell>
          <cell r="O1152" t="str">
            <v>KARACHI</v>
          </cell>
          <cell r="P1152" t="str">
            <v>35-H Club Road Vehari</v>
          </cell>
          <cell r="Q1152" t="str">
            <v>11000003</v>
          </cell>
          <cell r="R1152" t="str">
            <v>SUZUKI ALTO VXR E-2</v>
          </cell>
          <cell r="S1152" t="str">
            <v>2021</v>
          </cell>
          <cell r="T1152" t="str">
            <v>ACC-079</v>
          </cell>
          <cell r="U1152" t="str">
            <v>6R155251</v>
          </cell>
          <cell r="V1152" t="str">
            <v>6H1056120</v>
          </cell>
          <cell r="W1152" t="str">
            <v>06-mar-2028</v>
          </cell>
          <cell r="Y1152">
            <v>1074750</v>
          </cell>
          <cell r="Z1152">
            <v>23163</v>
          </cell>
          <cell r="AA1152">
            <v>26869</v>
          </cell>
        </row>
        <row r="1153">
          <cell r="B1153" t="str">
            <v>KHI/HO/D/MO/PC COMP/C/107407/155/02/2025</v>
          </cell>
          <cell r="D1153" t="str">
            <v>REN</v>
          </cell>
          <cell r="E1153" t="str">
            <v>17/02/25</v>
          </cell>
          <cell r="F1153" t="str">
            <v>16/02/2025</v>
          </cell>
          <cell r="G1153" t="str">
            <v>15/02/2026</v>
          </cell>
          <cell r="H1153" t="str">
            <v>08004499</v>
          </cell>
          <cell r="I1153" t="str">
            <v>AL BARAKA BANK (PAKISTAN) LIMITED</v>
          </cell>
          <cell r="J1153" t="str">
            <v>BANK</v>
          </cell>
          <cell r="K1153" t="str">
            <v xml:space="preserve">
HPA M/s. Al Baraka Bank (Pakistan) Limited 
Hpa M/S. Al Baraka Bank (Pakistan) Limited 
User: Muhammad Khalid Qureshi</v>
          </cell>
          <cell r="L1153" t="str">
            <v>D</v>
          </cell>
          <cell r="M1153" t="str">
            <v>09000221</v>
          </cell>
          <cell r="N1153">
            <v>100</v>
          </cell>
          <cell r="P1153" t="str">
            <v>House No. 1 Street 1 Mohallah Ameer Hamza  New Shakrial Madni Road Rawalpindi</v>
          </cell>
          <cell r="Q1153" t="str">
            <v>11000003</v>
          </cell>
          <cell r="R1153" t="str">
            <v>SUZUKI WAGON-R VXR</v>
          </cell>
          <cell r="S1153" t="str">
            <v>2021</v>
          </cell>
          <cell r="T1153" t="str">
            <v>ATH-499</v>
          </cell>
          <cell r="U1153" t="str">
            <v>210384</v>
          </cell>
          <cell r="V1153" t="str">
            <v>10110380</v>
          </cell>
          <cell r="W1153" t="str">
            <v>06-mar-2028</v>
          </cell>
          <cell r="Y1153">
            <v>1230000</v>
          </cell>
          <cell r="Z1153">
            <v>26509</v>
          </cell>
          <cell r="AA1153">
            <v>30750</v>
          </cell>
        </row>
        <row r="1154">
          <cell r="B1154" t="str">
            <v>KHI/HO/D/MO/PC COMP/C/107407/156/02/2025</v>
          </cell>
          <cell r="D1154" t="str">
            <v>REN</v>
          </cell>
          <cell r="E1154" t="str">
            <v>17/02/25</v>
          </cell>
          <cell r="F1154" t="str">
            <v>16/02/2025</v>
          </cell>
          <cell r="G1154" t="str">
            <v>15/02/2026</v>
          </cell>
          <cell r="H1154" t="str">
            <v>08004499</v>
          </cell>
          <cell r="I1154" t="str">
            <v>AL BARAKA BANK (PAKISTAN) LIMITED</v>
          </cell>
          <cell r="J1154" t="str">
            <v>BANK</v>
          </cell>
          <cell r="K1154" t="str">
            <v xml:space="preserve">
HPA M/s. Al Baraka Bank (Pakistan) Limited 
Hpa M/S. Al Baraka Bank (Pakistan) Limited 
User: Mian Muhammad Ali Raza</v>
          </cell>
          <cell r="L1154" t="str">
            <v>D</v>
          </cell>
          <cell r="M1154" t="str">
            <v>09000221</v>
          </cell>
          <cell r="N1154">
            <v>100</v>
          </cell>
          <cell r="P1154" t="str">
            <v>House No. 132 Near Meo Garden Gate  Allama Iqbal Road Garhi Shahu Lahore</v>
          </cell>
          <cell r="Q1154" t="str">
            <v>11000003</v>
          </cell>
          <cell r="R1154" t="str">
            <v>SUZUKI WAGON-R VXL E2</v>
          </cell>
          <cell r="S1154" t="str">
            <v>2021</v>
          </cell>
          <cell r="T1154" t="str">
            <v>ACE-058</v>
          </cell>
          <cell r="U1154" t="str">
            <v>210432</v>
          </cell>
          <cell r="V1154" t="str">
            <v>10110439</v>
          </cell>
          <cell r="W1154" t="str">
            <v>05-mar-2026</v>
          </cell>
          <cell r="Y1154">
            <v>1297500</v>
          </cell>
          <cell r="Z1154">
            <v>27963</v>
          </cell>
          <cell r="AA1154">
            <v>32438</v>
          </cell>
        </row>
        <row r="1155">
          <cell r="B1155" t="str">
            <v>KHI/HO/D/MO/PC COMP/C/107407/157/02/2025</v>
          </cell>
          <cell r="D1155" t="str">
            <v>REN</v>
          </cell>
          <cell r="E1155" t="str">
            <v>17/02/25</v>
          </cell>
          <cell r="F1155" t="str">
            <v>16/02/2025</v>
          </cell>
          <cell r="G1155" t="str">
            <v>15/02/2026</v>
          </cell>
          <cell r="H1155" t="str">
            <v>08004499</v>
          </cell>
          <cell r="I1155" t="str">
            <v>AL BARAKA BANK (PAKISTAN) LIMITED</v>
          </cell>
          <cell r="J1155" t="str">
            <v>BANK</v>
          </cell>
          <cell r="K1155" t="str">
            <v xml:space="preserve">
HPA M/s. Al Baraka Bank (Pakistan) Limited 
Hpa M/S. Al Baraka Bank (Pakistan) Limited 
User: Ishfaq  Ahmad</v>
          </cell>
          <cell r="L1155" t="str">
            <v>D</v>
          </cell>
          <cell r="M1155" t="str">
            <v>09000221</v>
          </cell>
          <cell r="N1155">
            <v>100</v>
          </cell>
          <cell r="O1155" t="str">
            <v>KARACHI</v>
          </cell>
          <cell r="P1155" t="str">
            <v>House No. 2-A  Street 1 Sanda Bhattian  1 Walal Bund Road Lahore</v>
          </cell>
          <cell r="Q1155" t="str">
            <v>11000003</v>
          </cell>
          <cell r="R1155" t="str">
            <v>TOYOTA COROLLA ALTIS CVTI</v>
          </cell>
          <cell r="S1155" t="str">
            <v>2016</v>
          </cell>
          <cell r="T1155" t="str">
            <v>LEE-16-7098</v>
          </cell>
          <cell r="U1155" t="str">
            <v>Q316813</v>
          </cell>
          <cell r="V1155" t="str">
            <v>7015878</v>
          </cell>
          <cell r="W1155" t="str">
            <v>05-mar-2026</v>
          </cell>
          <cell r="Y1155">
            <v>2175000</v>
          </cell>
          <cell r="Z1155">
            <v>46875</v>
          </cell>
          <cell r="AA1155">
            <v>54375</v>
          </cell>
        </row>
        <row r="1156">
          <cell r="B1156" t="str">
            <v>KHI/HO/D/MO/PC COMP/C/107407/158/02/2025</v>
          </cell>
          <cell r="D1156" t="str">
            <v>REN</v>
          </cell>
          <cell r="E1156" t="str">
            <v>17/02/25</v>
          </cell>
          <cell r="F1156" t="str">
            <v>17/02/2025</v>
          </cell>
          <cell r="G1156" t="str">
            <v>16/02/2026</v>
          </cell>
          <cell r="H1156" t="str">
            <v>08004499</v>
          </cell>
          <cell r="I1156" t="str">
            <v>AL BARAKA BANK (PAKISTAN) LIMITED</v>
          </cell>
          <cell r="J1156" t="str">
            <v>BANK</v>
          </cell>
          <cell r="K1156" t="str">
            <v xml:space="preserve">
HPA M/s. Al Baraka Bank (Pakistan) Limited 
Hpa M/S. Al Baraka Bank (Pakistan) Limited 
User: Shiraz  Hussain</v>
          </cell>
          <cell r="L1156" t="str">
            <v>D</v>
          </cell>
          <cell r="M1156" t="str">
            <v>09000221</v>
          </cell>
          <cell r="N1156">
            <v>100</v>
          </cell>
          <cell r="P1156" t="str">
            <v>Bank Road Street Aziz Khan Mehar Kinara Mardan</v>
          </cell>
          <cell r="Q1156" t="str">
            <v>11000003</v>
          </cell>
          <cell r="R1156" t="str">
            <v>SUZUKI EVERY WAGON</v>
          </cell>
          <cell r="S1156" t="str">
            <v>2015</v>
          </cell>
          <cell r="T1156" t="str">
            <v>ATD-665</v>
          </cell>
          <cell r="U1156" t="str">
            <v>1675812</v>
          </cell>
          <cell r="V1156" t="str">
            <v>113896</v>
          </cell>
          <cell r="W1156" t="str">
            <v>05-mar-2026</v>
          </cell>
          <cell r="Y1156">
            <v>1125000</v>
          </cell>
          <cell r="Z1156">
            <v>24246</v>
          </cell>
          <cell r="AA1156">
            <v>28125</v>
          </cell>
        </row>
        <row r="1157">
          <cell r="B1157" t="str">
            <v>KHI/HO/D/MO/PC COMP/C/107407/159/02/2025</v>
          </cell>
          <cell r="D1157" t="str">
            <v>REN</v>
          </cell>
          <cell r="E1157" t="str">
            <v>17/02/25</v>
          </cell>
          <cell r="F1157" t="str">
            <v>18/02/2025</v>
          </cell>
          <cell r="G1157" t="str">
            <v>17/02/2026</v>
          </cell>
          <cell r="H1157" t="str">
            <v>08004499</v>
          </cell>
          <cell r="I1157" t="str">
            <v>AL BARAKA BANK (PAKISTAN) LIMITED</v>
          </cell>
          <cell r="J1157" t="str">
            <v>BANK</v>
          </cell>
          <cell r="K1157" t="str">
            <v xml:space="preserve">
HPA M/s. Al Baraka Bank (Pakistan) Limited 
Hpa M/S. Al Baraka Bank (Pakistan) Limited 
User: Ahsan Sana Ullah</v>
          </cell>
          <cell r="L1157" t="str">
            <v>D</v>
          </cell>
          <cell r="M1157" t="str">
            <v>09000221</v>
          </cell>
          <cell r="N1157">
            <v>100</v>
          </cell>
          <cell r="P1157" t="str">
            <v>Purani Sugar Mill Patoki District Kasur</v>
          </cell>
          <cell r="Q1157" t="str">
            <v>11000003</v>
          </cell>
          <cell r="R1157" t="str">
            <v>SUZUKI ALTO VXR E-2</v>
          </cell>
          <cell r="S1157" t="str">
            <v>2021</v>
          </cell>
          <cell r="T1157" t="str">
            <v>ACC-184</v>
          </cell>
          <cell r="U1157" t="str">
            <v>155157</v>
          </cell>
          <cell r="V1157" t="str">
            <v>1055128</v>
          </cell>
          <cell r="W1157" t="str">
            <v>05-mar-2026</v>
          </cell>
          <cell r="Y1157">
            <v>1074750</v>
          </cell>
          <cell r="Z1157">
            <v>23163</v>
          </cell>
          <cell r="AA1157">
            <v>26869</v>
          </cell>
        </row>
        <row r="1158">
          <cell r="B1158" t="str">
            <v>KHI/HO/D/MO/PC COMP/C/107407/160/02/2025</v>
          </cell>
          <cell r="D1158" t="str">
            <v>REN</v>
          </cell>
          <cell r="E1158" t="str">
            <v>17/02/25</v>
          </cell>
          <cell r="F1158" t="str">
            <v>18/02/2025</v>
          </cell>
          <cell r="G1158" t="str">
            <v>17/02/2026</v>
          </cell>
          <cell r="H1158" t="str">
            <v>08004499</v>
          </cell>
          <cell r="I1158" t="str">
            <v>AL BARAKA BANK (PAKISTAN) LIMITED</v>
          </cell>
          <cell r="J1158" t="str">
            <v>BANK</v>
          </cell>
          <cell r="K1158" t="str">
            <v xml:space="preserve">
HPA M/s. Al Baraka Bank (Pakistan) Limited 
Hpa M/S. Al Baraka Bank (Pakistan) Limited 
User: Muhammad  Ehsan</v>
          </cell>
          <cell r="L1158" t="str">
            <v>D</v>
          </cell>
          <cell r="M1158" t="str">
            <v>09000221</v>
          </cell>
          <cell r="N1158">
            <v>100</v>
          </cell>
          <cell r="P1158" t="str">
            <v>House No. 220-F-1 Wapda Town  Lahore</v>
          </cell>
          <cell r="Q1158" t="str">
            <v>11000003</v>
          </cell>
          <cell r="R1158" t="str">
            <v>HONDA CITY I-VTEC (M/T)</v>
          </cell>
          <cell r="S1158" t="str">
            <v>2021</v>
          </cell>
          <cell r="T1158" t="str">
            <v>ABX-732</v>
          </cell>
          <cell r="U1158" t="str">
            <v>7544159</v>
          </cell>
          <cell r="V1158" t="str">
            <v>MR268169</v>
          </cell>
          <cell r="W1158" t="str">
            <v>06-mar-2028</v>
          </cell>
          <cell r="Y1158">
            <v>1841250</v>
          </cell>
          <cell r="Z1158">
            <v>39682</v>
          </cell>
          <cell r="AA1158">
            <v>46031</v>
          </cell>
        </row>
        <row r="1159">
          <cell r="B1159" t="str">
            <v>KHI/HO/D/MO/PC COMP/C/107407/161/02/2025</v>
          </cell>
          <cell r="D1159" t="str">
            <v>REN</v>
          </cell>
          <cell r="E1159" t="str">
            <v>17/02/25</v>
          </cell>
          <cell r="F1159" t="str">
            <v>19/02/2025</v>
          </cell>
          <cell r="G1159" t="str">
            <v>18/02/2026</v>
          </cell>
          <cell r="H1159" t="str">
            <v>08004499</v>
          </cell>
          <cell r="I1159" t="str">
            <v>AL BARAKA BANK (PAKISTAN) LIMITED</v>
          </cell>
          <cell r="J1159" t="str">
            <v>BANK</v>
          </cell>
          <cell r="K1159" t="str">
            <v xml:space="preserve">
HPA M/s. Al Baraka Bank (Pakistan) Limited 
Hpa M/S. Al Baraka Bank (Pakistan) Limited 
User: Hamees  Zishaan</v>
          </cell>
          <cell r="L1159" t="str">
            <v>D</v>
          </cell>
          <cell r="M1159" t="str">
            <v>09000221</v>
          </cell>
          <cell r="N1159">
            <v>100</v>
          </cell>
          <cell r="O1159" t="str">
            <v>KARACHI</v>
          </cell>
          <cell r="P1159" t="str">
            <v>293 A-2 Johar Town Lahore</v>
          </cell>
          <cell r="Q1159" t="str">
            <v>11000003</v>
          </cell>
          <cell r="R1159" t="str">
            <v>TOYOTA YARIS ATIV X CVT</v>
          </cell>
          <cell r="S1159" t="str">
            <v>2021</v>
          </cell>
          <cell r="T1159" t="str">
            <v>ACK-131</v>
          </cell>
          <cell r="U1159" t="str">
            <v>2A17357</v>
          </cell>
          <cell r="V1159" t="str">
            <v>NSP151R-9507107</v>
          </cell>
          <cell r="W1159" t="str">
            <v>06-mar-2028</v>
          </cell>
          <cell r="Y1159">
            <v>2244750</v>
          </cell>
          <cell r="Z1159">
            <v>48378</v>
          </cell>
          <cell r="AA1159">
            <v>56119</v>
          </cell>
        </row>
        <row r="1160">
          <cell r="B1160" t="str">
            <v>KHI/HO/D/MO/PC COMP/C/107407/162/02/2025</v>
          </cell>
          <cell r="D1160" t="str">
            <v>REN</v>
          </cell>
          <cell r="E1160" t="str">
            <v>17/02/25</v>
          </cell>
          <cell r="F1160" t="str">
            <v>19/02/2025</v>
          </cell>
          <cell r="G1160" t="str">
            <v>18/02/2026</v>
          </cell>
          <cell r="H1160" t="str">
            <v>08004499</v>
          </cell>
          <cell r="I1160" t="str">
            <v>AL BARAKA BANK (PAKISTAN) LIMITED</v>
          </cell>
          <cell r="J1160" t="str">
            <v>BANK</v>
          </cell>
          <cell r="K1160" t="str">
            <v xml:space="preserve">
HPA M/s. Al Baraka Bank (Pakistan) Limited 
Hpa M/S. Al Baraka Bank (Pakistan) Limited 
User: Muhammad  Amin</v>
          </cell>
          <cell r="L1160" t="str">
            <v>D</v>
          </cell>
          <cell r="M1160" t="str">
            <v>09000221</v>
          </cell>
          <cell r="N1160">
            <v>100</v>
          </cell>
          <cell r="P1160" t="str">
            <v>House No. 10 Street 33 Hafiz Road Masoom Gunj Lahore</v>
          </cell>
          <cell r="Q1160" t="str">
            <v>11000003</v>
          </cell>
          <cell r="R1160" t="str">
            <v>SUZUKI CULTUS</v>
          </cell>
          <cell r="S1160" t="str">
            <v>2015</v>
          </cell>
          <cell r="T1160" t="str">
            <v>LEF-14-2623</v>
          </cell>
          <cell r="U1160" t="str">
            <v>597595</v>
          </cell>
          <cell r="V1160" t="str">
            <v>504459</v>
          </cell>
          <cell r="W1160" t="str">
            <v>05-mar-2026</v>
          </cell>
          <cell r="Y1160">
            <v>787500</v>
          </cell>
          <cell r="Z1160">
            <v>16972</v>
          </cell>
          <cell r="AA1160">
            <v>19688</v>
          </cell>
        </row>
        <row r="1161">
          <cell r="B1161" t="str">
            <v>KHI/HO/D/MO/PC COMP/C/107407/163/02/2025</v>
          </cell>
          <cell r="D1161" t="str">
            <v>REN</v>
          </cell>
          <cell r="E1161" t="str">
            <v>17/02/25</v>
          </cell>
          <cell r="F1161" t="str">
            <v>22/02/2025</v>
          </cell>
          <cell r="G1161" t="str">
            <v>21/02/2026</v>
          </cell>
          <cell r="H1161" t="str">
            <v>08004499</v>
          </cell>
          <cell r="I1161" t="str">
            <v>AL BARAKA BANK (PAKISTAN) LIMITED</v>
          </cell>
          <cell r="J1161" t="str">
            <v>BANK</v>
          </cell>
          <cell r="K1161" t="str">
            <v xml:space="preserve">
HPA M/s. Al Baraka Bank (Pakistan) Limited 
Hpa M/S. Al Baraka Bank (Pakistan) Limited 
User: Muhammad Qasim Ali</v>
          </cell>
          <cell r="L1161" t="str">
            <v>D</v>
          </cell>
          <cell r="M1161" t="str">
            <v>09000221</v>
          </cell>
          <cell r="N1161">
            <v>100</v>
          </cell>
          <cell r="P1161" t="str">
            <v>House No. 188 New Abadi Siraj park Lahore Cantt</v>
          </cell>
          <cell r="Q1161" t="str">
            <v>11000003</v>
          </cell>
          <cell r="R1161" t="str">
            <v>SUZUKI BOLAN STD VX EURO</v>
          </cell>
          <cell r="S1161" t="str">
            <v>2021</v>
          </cell>
          <cell r="T1161" t="str">
            <v>ACJ-251</v>
          </cell>
          <cell r="U1161" t="str">
            <v>1009621</v>
          </cell>
          <cell r="V1161" t="str">
            <v>01126075</v>
          </cell>
          <cell r="W1161" t="str">
            <v>05-mar-2026</v>
          </cell>
          <cell r="Y1161">
            <v>850500</v>
          </cell>
          <cell r="Z1161">
            <v>18330</v>
          </cell>
          <cell r="AA1161">
            <v>21263</v>
          </cell>
        </row>
        <row r="1162">
          <cell r="B1162" t="str">
            <v>KHI/HO/D/MO/PC COMP/C/107407/164/02/2025</v>
          </cell>
          <cell r="D1162" t="str">
            <v>REN</v>
          </cell>
          <cell r="E1162" t="str">
            <v>17/02/25</v>
          </cell>
          <cell r="F1162" t="str">
            <v>22/02/2025</v>
          </cell>
          <cell r="G1162" t="str">
            <v>21/02/2026</v>
          </cell>
          <cell r="H1162" t="str">
            <v>08004499</v>
          </cell>
          <cell r="I1162" t="str">
            <v>AL BARAKA BANK (PAKISTAN) LIMITED</v>
          </cell>
          <cell r="J1162" t="str">
            <v>BANK</v>
          </cell>
          <cell r="K1162" t="str">
            <v xml:space="preserve">
HPA M/s. Al Baraka Bank (Pakistan) Limited 
Hpa M/S. Al Baraka Bank (Pakistan) Limited 
User: Arslan  Aslam</v>
          </cell>
          <cell r="L1162" t="str">
            <v>D</v>
          </cell>
          <cell r="M1162" t="str">
            <v>09000221</v>
          </cell>
          <cell r="N1162">
            <v>100</v>
          </cell>
          <cell r="P1162" t="str">
            <v>UPO Phiranwali Phalia Dist Mandi Bahauddin</v>
          </cell>
          <cell r="Q1162" t="str">
            <v>11000003</v>
          </cell>
          <cell r="R1162" t="str">
            <v>SUZUKI ALTO VXL AGS E-2</v>
          </cell>
          <cell r="S1162" t="str">
            <v>2021</v>
          </cell>
          <cell r="T1162" t="str">
            <v>ACB-038</v>
          </cell>
          <cell r="U1162" t="str">
            <v>155145</v>
          </cell>
          <cell r="V1162" t="str">
            <v>1055133</v>
          </cell>
          <cell r="W1162" t="str">
            <v>05-mar-2026</v>
          </cell>
          <cell r="Y1162">
            <v>1224750</v>
          </cell>
          <cell r="Z1162">
            <v>26396</v>
          </cell>
          <cell r="AA1162">
            <v>30619</v>
          </cell>
        </row>
        <row r="1163">
          <cell r="B1163" t="str">
            <v>KHI/HO/D/MO/PC COMP/C/107407/165/02/2025</v>
          </cell>
          <cell r="D1163" t="str">
            <v>REN</v>
          </cell>
          <cell r="E1163" t="str">
            <v>17/02/25</v>
          </cell>
          <cell r="F1163" t="str">
            <v>23/02/2025</v>
          </cell>
          <cell r="G1163" t="str">
            <v>22/02/2026</v>
          </cell>
          <cell r="H1163" t="str">
            <v>08004499</v>
          </cell>
          <cell r="I1163" t="str">
            <v>AL BARAKA BANK (PAKISTAN) LIMITED</v>
          </cell>
          <cell r="J1163" t="str">
            <v>BANK</v>
          </cell>
          <cell r="K1163" t="str">
            <v xml:space="preserve">
HPA M/s. Al Baraka Bank (Pakistan) Limited 
Hpa M/S. Al Baraka Bank (Pakistan) Limited 
User: Zafar  Iqbal</v>
          </cell>
          <cell r="L1163" t="str">
            <v>D</v>
          </cell>
          <cell r="M1163" t="str">
            <v>09000221</v>
          </cell>
          <cell r="N1163">
            <v>100</v>
          </cell>
          <cell r="O1163" t="str">
            <v>KARACHI</v>
          </cell>
          <cell r="P1163" t="str">
            <v>Opp Gen. Hospital Gate No.2 Near Al Fazal Resturant Ferozepur Road Lahore</v>
          </cell>
          <cell r="Q1163" t="str">
            <v>11000003</v>
          </cell>
          <cell r="R1163" t="str">
            <v>TOYOTA YARIS ATIV X CVT</v>
          </cell>
          <cell r="S1163" t="str">
            <v>2021</v>
          </cell>
          <cell r="T1163" t="str">
            <v>ADA-349</v>
          </cell>
          <cell r="U1163" t="str">
            <v>2A18975</v>
          </cell>
          <cell r="V1163" t="str">
            <v>9507729</v>
          </cell>
          <cell r="W1163" t="str">
            <v>05-mar-2026</v>
          </cell>
          <cell r="Y1163">
            <v>2244750</v>
          </cell>
          <cell r="Z1163">
            <v>48378</v>
          </cell>
          <cell r="AA1163">
            <v>56119</v>
          </cell>
        </row>
        <row r="1164">
          <cell r="B1164" t="str">
            <v>KHI/HO/D/MO/PC COMP/C/107407/166/02/2025</v>
          </cell>
          <cell r="D1164" t="str">
            <v>REN</v>
          </cell>
          <cell r="E1164" t="str">
            <v>17/02/25</v>
          </cell>
          <cell r="F1164" t="str">
            <v>03/02/2025</v>
          </cell>
          <cell r="G1164" t="str">
            <v>02/02/2026</v>
          </cell>
          <cell r="H1164" t="str">
            <v>08004499</v>
          </cell>
          <cell r="I1164" t="str">
            <v>AL BARAKA BANK (PAKISTAN) LIMITED</v>
          </cell>
          <cell r="J1164" t="str">
            <v>BANK</v>
          </cell>
          <cell r="K1164" t="str">
            <v xml:space="preserve">
HPA M/s. Al Baraka Bank (Pakistan) Limited 
Hpa M/S. Al Baraka Bank (Pakistan) Limited 
User: Noor  Nabi</v>
          </cell>
          <cell r="L1164" t="str">
            <v>D</v>
          </cell>
          <cell r="M1164" t="str">
            <v>09000221</v>
          </cell>
          <cell r="N1164">
            <v>100</v>
          </cell>
          <cell r="P1164" t="str">
            <v>Flat No. 8 Building 4-C 4th Floor 
Commercial Phase 2 Ext DHA 
Karachi</v>
          </cell>
          <cell r="Q1164" t="str">
            <v>11000003</v>
          </cell>
          <cell r="R1164" t="str">
            <v>HONDA BRV I-VTEC</v>
          </cell>
          <cell r="S1164" t="str">
            <v>2021</v>
          </cell>
          <cell r="T1164" t="str">
            <v>BJ-0454</v>
          </cell>
          <cell r="U1164" t="str">
            <v>4803781</v>
          </cell>
          <cell r="V1164" t="str">
            <v>020477</v>
          </cell>
          <cell r="W1164" t="str">
            <v>05-feb-2026</v>
          </cell>
          <cell r="Y1164">
            <v>2622750</v>
          </cell>
          <cell r="Z1164">
            <v>33915</v>
          </cell>
          <cell r="AA1164">
            <v>39341</v>
          </cell>
        </row>
        <row r="1165">
          <cell r="B1165" t="str">
            <v>KHI/HO/D/MO/PC COMP/C/107407/167/02/2025</v>
          </cell>
          <cell r="D1165" t="str">
            <v>REN</v>
          </cell>
          <cell r="E1165" t="str">
            <v>17/02/25</v>
          </cell>
          <cell r="F1165" t="str">
            <v>23/02/2025</v>
          </cell>
          <cell r="G1165" t="str">
            <v>22/02/2026</v>
          </cell>
          <cell r="H1165" t="str">
            <v>08004499</v>
          </cell>
          <cell r="I1165" t="str">
            <v>AL BARAKA BANK (PAKISTAN) LIMITED</v>
          </cell>
          <cell r="J1165" t="str">
            <v>BANK</v>
          </cell>
          <cell r="K1165" t="str">
            <v xml:space="preserve">
HPA M/s. Al Baraka Bank (Pakistan) Limited 
Hpa M/S. Al Baraka Bank (Pakistan) Limited 
User: Muhammad Amir Zahid</v>
          </cell>
          <cell r="L1165" t="str">
            <v>D</v>
          </cell>
          <cell r="M1165" t="str">
            <v>09000221</v>
          </cell>
          <cell r="N1165">
            <v>100</v>
          </cell>
          <cell r="P1165" t="str">
            <v>Near Hussain Sugar Mills Colony  House No. 30 Street 02 Moh Ahmad Park Jaranwala</v>
          </cell>
          <cell r="Q1165" t="str">
            <v>11000003</v>
          </cell>
          <cell r="R1165" t="str">
            <v>SUZUKI BOLAN STD VX EURO</v>
          </cell>
          <cell r="S1165" t="str">
            <v>2021</v>
          </cell>
          <cell r="T1165" t="str">
            <v>ACC-875</v>
          </cell>
          <cell r="U1165" t="str">
            <v>1009968</v>
          </cell>
          <cell r="V1165" t="str">
            <v>1126482</v>
          </cell>
          <cell r="W1165" t="str">
            <v>05-mar-2026</v>
          </cell>
          <cell r="Y1165">
            <v>850500</v>
          </cell>
          <cell r="Z1165">
            <v>18330</v>
          </cell>
          <cell r="AA1165">
            <v>21263</v>
          </cell>
        </row>
        <row r="1166">
          <cell r="B1166" t="str">
            <v>KHI/HO/D/MO/PC COMP/C/107407/168/02/2025</v>
          </cell>
          <cell r="D1166" t="str">
            <v>REN</v>
          </cell>
          <cell r="E1166" t="str">
            <v>17/02/25</v>
          </cell>
          <cell r="F1166" t="str">
            <v>24/02/2025</v>
          </cell>
          <cell r="G1166" t="str">
            <v>23/02/2026</v>
          </cell>
          <cell r="H1166" t="str">
            <v>08004499</v>
          </cell>
          <cell r="I1166" t="str">
            <v>AL BARAKA BANK (PAKISTAN) LIMITED</v>
          </cell>
          <cell r="J1166" t="str">
            <v>BANK</v>
          </cell>
          <cell r="K1166" t="str">
            <v xml:space="preserve">
HPA M/s. Al Baraka Bank (Pakistan) Limited 
Hpa M/S. Al Baraka Bank (Pakistan) Limited 
User: Ahmad Ali Goraya</v>
          </cell>
          <cell r="L1166" t="str">
            <v>D</v>
          </cell>
          <cell r="M1166" t="str">
            <v>09000221</v>
          </cell>
          <cell r="N1166">
            <v>100</v>
          </cell>
          <cell r="O1166" t="str">
            <v>KARACHI</v>
          </cell>
          <cell r="P1166" t="str">
            <v>Chenab House  Main Yaseen Watto Road G-1 Johar Town Lahore</v>
          </cell>
          <cell r="Q1166" t="str">
            <v>11000003</v>
          </cell>
          <cell r="R1166" t="str">
            <v>TOYOTA COROLLA ALTIS CVT</v>
          </cell>
          <cell r="S1166" t="str">
            <v>2016</v>
          </cell>
          <cell r="T1166" t="str">
            <v>LEB-16-4651</v>
          </cell>
          <cell r="U1166" t="str">
            <v>Q314560</v>
          </cell>
          <cell r="V1166" t="str">
            <v>R-7013590</v>
          </cell>
          <cell r="W1166" t="str">
            <v>05-mar-2026</v>
          </cell>
          <cell r="Y1166">
            <v>2025000</v>
          </cell>
          <cell r="Z1166">
            <v>43643</v>
          </cell>
          <cell r="AA1166">
            <v>50625</v>
          </cell>
        </row>
        <row r="1167">
          <cell r="B1167" t="str">
            <v>KHI/HO/D/MO/PC COMP/C/107407/169/02/2025</v>
          </cell>
          <cell r="D1167" t="str">
            <v>REN</v>
          </cell>
          <cell r="E1167" t="str">
            <v>17/02/25</v>
          </cell>
          <cell r="F1167" t="str">
            <v>24/02/2025</v>
          </cell>
          <cell r="G1167" t="str">
            <v>23/02/2026</v>
          </cell>
          <cell r="H1167" t="str">
            <v>08004499</v>
          </cell>
          <cell r="I1167" t="str">
            <v>AL BARAKA BANK (PAKISTAN) LIMITED</v>
          </cell>
          <cell r="J1167" t="str">
            <v>BANK</v>
          </cell>
          <cell r="K1167" t="str">
            <v xml:space="preserve">
HPA M/s. Al Baraka Bank (Pakistan) Limited 
Hpa M/S. Al Baraka Bank (Pakistan) Limited 
User: Noman  Safdar</v>
          </cell>
          <cell r="L1167" t="str">
            <v>D</v>
          </cell>
          <cell r="M1167" t="str">
            <v>09000221</v>
          </cell>
          <cell r="N1167">
            <v>100</v>
          </cell>
          <cell r="P1167" t="str">
            <v>Riazabad Road Mohallah Jhandraan Qadir Pur Raan Town Tehsil Multan Saddar Dist Multan</v>
          </cell>
          <cell r="Q1167" t="str">
            <v>11000003</v>
          </cell>
          <cell r="R1167" t="str">
            <v>SUZUKI ALTO VXR E-2</v>
          </cell>
          <cell r="S1167" t="str">
            <v>2021</v>
          </cell>
          <cell r="T1167" t="str">
            <v>ADG-222</v>
          </cell>
          <cell r="U1167" t="str">
            <v>157597</v>
          </cell>
          <cell r="V1167" t="str">
            <v>1057573</v>
          </cell>
          <cell r="W1167" t="str">
            <v>05-mar-2026</v>
          </cell>
          <cell r="Y1167">
            <v>1074750</v>
          </cell>
          <cell r="Z1167">
            <v>23163</v>
          </cell>
          <cell r="AA1167">
            <v>26869</v>
          </cell>
        </row>
        <row r="1168">
          <cell r="B1168" t="str">
            <v>KHI/HO/D/MO/PC COMP/C/107407/170/02/2025</v>
          </cell>
          <cell r="D1168" t="str">
            <v>REN</v>
          </cell>
          <cell r="E1168" t="str">
            <v>17/02/25</v>
          </cell>
          <cell r="F1168" t="str">
            <v>24/02/2025</v>
          </cell>
          <cell r="G1168" t="str">
            <v>23/02/2026</v>
          </cell>
          <cell r="H1168" t="str">
            <v>08004499</v>
          </cell>
          <cell r="I1168" t="str">
            <v>AL BARAKA BANK (PAKISTAN) LIMITED</v>
          </cell>
          <cell r="J1168" t="str">
            <v>BANK</v>
          </cell>
          <cell r="K1168" t="str">
            <v xml:space="preserve">
HPA M/s. Al Baraka Bank (Pakistan) Limited 
Hpa M/S. Al Baraka Bank (Pakistan) Limited 
User: Afraz  Ahmad</v>
          </cell>
          <cell r="L1168" t="str">
            <v>D</v>
          </cell>
          <cell r="M1168" t="str">
            <v>09000221</v>
          </cell>
          <cell r="N1168">
            <v>100</v>
          </cell>
          <cell r="O1168" t="str">
            <v>KARACHI</v>
          </cell>
          <cell r="P1168" t="str">
            <v>House No. 2 Block C Al Makka Welfare Society Near Butt Chowk Road Township Lahore</v>
          </cell>
          <cell r="Q1168" t="str">
            <v>11000003</v>
          </cell>
          <cell r="R1168" t="str">
            <v>TOYOTA YARIS ATIV X CVT</v>
          </cell>
          <cell r="S1168" t="str">
            <v>2021</v>
          </cell>
          <cell r="T1168" t="str">
            <v>ACF-676</v>
          </cell>
          <cell r="U1168" t="str">
            <v>2A19556</v>
          </cell>
          <cell r="V1168" t="str">
            <v>R9507957</v>
          </cell>
          <cell r="W1168" t="str">
            <v>05-mar-2026</v>
          </cell>
          <cell r="Y1168">
            <v>2244750</v>
          </cell>
          <cell r="Z1168">
            <v>48378</v>
          </cell>
          <cell r="AA1168">
            <v>56119</v>
          </cell>
        </row>
        <row r="1169">
          <cell r="B1169" t="str">
            <v>KHI/HO/D/MO/PC COMP/C/107407/171/02/2025</v>
          </cell>
          <cell r="D1169" t="str">
            <v>REN</v>
          </cell>
          <cell r="E1169" t="str">
            <v>17/02/25</v>
          </cell>
          <cell r="F1169" t="str">
            <v>25/02/2025</v>
          </cell>
          <cell r="G1169" t="str">
            <v>24/02/2026</v>
          </cell>
          <cell r="H1169" t="str">
            <v>08004499</v>
          </cell>
          <cell r="I1169" t="str">
            <v>AL BARAKA BANK (PAKISTAN) LIMITED</v>
          </cell>
          <cell r="J1169" t="str">
            <v>BANK</v>
          </cell>
          <cell r="K1169" t="str">
            <v xml:space="preserve">
HPA M/s. Al Baraka Bank (Pakistan) Limited 
Hpa M/S. Al Baraka Bank (Pakistan) Limited 
User: Waqar  Younis</v>
          </cell>
          <cell r="L1169" t="str">
            <v>D</v>
          </cell>
          <cell r="M1169" t="str">
            <v>09000221</v>
          </cell>
          <cell r="N1169">
            <v>100</v>
          </cell>
          <cell r="O1169" t="str">
            <v>KARACHI</v>
          </cell>
          <cell r="P1169" t="str">
            <v>House No. 40 Street 2 Jallo More Batapur Lahore</v>
          </cell>
          <cell r="Q1169" t="str">
            <v>11000003</v>
          </cell>
          <cell r="R1169" t="str">
            <v>HONDA CITY ASPIRE A/T</v>
          </cell>
          <cell r="S1169" t="str">
            <v>2016</v>
          </cell>
          <cell r="T1169" t="str">
            <v>LE-16-5194</v>
          </cell>
          <cell r="U1169" t="str">
            <v>Z17437263</v>
          </cell>
          <cell r="V1169" t="str">
            <v>FR176767</v>
          </cell>
          <cell r="W1169" t="str">
            <v>05-mar-2026</v>
          </cell>
          <cell r="Y1169">
            <v>1297500</v>
          </cell>
          <cell r="Z1169">
            <v>27963</v>
          </cell>
          <cell r="AA1169">
            <v>32438</v>
          </cell>
        </row>
        <row r="1170">
          <cell r="B1170" t="str">
            <v>KHI/HO/D/MO/PC COMP/C/107407/172/02/2025</v>
          </cell>
          <cell r="D1170" t="str">
            <v>REN</v>
          </cell>
          <cell r="E1170" t="str">
            <v>17/02/25</v>
          </cell>
          <cell r="F1170" t="str">
            <v>25/02/2025</v>
          </cell>
          <cell r="G1170" t="str">
            <v>24/02/2026</v>
          </cell>
          <cell r="H1170" t="str">
            <v>08004499</v>
          </cell>
          <cell r="I1170" t="str">
            <v>AL BARAKA BANK (PAKISTAN) LIMITED</v>
          </cell>
          <cell r="J1170" t="str">
            <v>BANK</v>
          </cell>
          <cell r="K1170" t="str">
            <v xml:space="preserve">
HPA M/s. Al Baraka Bank (Pakistan) Limited 
Hpa M/S. Al Baraka Bank (Pakistan) Limited 
User: Bilawal  Ali</v>
          </cell>
          <cell r="L1170" t="str">
            <v>D</v>
          </cell>
          <cell r="M1170" t="str">
            <v>09000221</v>
          </cell>
          <cell r="N1170">
            <v>100</v>
          </cell>
          <cell r="O1170" t="str">
            <v>KARACHI</v>
          </cell>
          <cell r="P1170" t="str">
            <v>674 Neelum Block  DC Colony Gujranwala</v>
          </cell>
          <cell r="Q1170" t="str">
            <v>11000003</v>
          </cell>
          <cell r="R1170" t="str">
            <v>SUZUKI ALTO VXL AGS E-2</v>
          </cell>
          <cell r="S1170" t="str">
            <v>2021</v>
          </cell>
          <cell r="T1170" t="str">
            <v>ACH-363</v>
          </cell>
          <cell r="U1170" t="str">
            <v>6R155832</v>
          </cell>
          <cell r="V1170" t="str">
            <v>NF1AET306H1055807</v>
          </cell>
          <cell r="W1170" t="str">
            <v>05-mar-2026</v>
          </cell>
          <cell r="Y1170">
            <v>1224750</v>
          </cell>
          <cell r="Z1170">
            <v>26396</v>
          </cell>
          <cell r="AA1170">
            <v>30619</v>
          </cell>
        </row>
        <row r="1171">
          <cell r="B1171" t="str">
            <v>KHI/HO/D/MO/PC COMP/C/107407/173/02/2025</v>
          </cell>
          <cell r="D1171" t="str">
            <v>REN</v>
          </cell>
          <cell r="E1171" t="str">
            <v>17/02/25</v>
          </cell>
          <cell r="F1171" t="str">
            <v>25/02/2025</v>
          </cell>
          <cell r="G1171" t="str">
            <v>24/02/2026</v>
          </cell>
          <cell r="H1171" t="str">
            <v>08004499</v>
          </cell>
          <cell r="I1171" t="str">
            <v>AL BARAKA BANK (PAKISTAN) LIMITED</v>
          </cell>
          <cell r="J1171" t="str">
            <v>BANK</v>
          </cell>
          <cell r="K1171" t="str">
            <v xml:space="preserve">
HPA M/s. Al Baraka Bank (Pakistan) Limited 
Hpa M/S. Al Baraka Bank (Pakistan) Limited 
User: Muhammad Ali Bhatti</v>
          </cell>
          <cell r="L1171" t="str">
            <v>D</v>
          </cell>
          <cell r="M1171" t="str">
            <v>09000221</v>
          </cell>
          <cell r="N1171">
            <v>100</v>
          </cell>
          <cell r="P1171" t="str">
            <v>House No. 587 Bilal Colony Dil Muhammad Road Pathi Ground Lahore</v>
          </cell>
          <cell r="Q1171" t="str">
            <v>11000003</v>
          </cell>
          <cell r="R1171" t="str">
            <v>SUZUKI CULTUS VXL EURO II</v>
          </cell>
          <cell r="S1171" t="str">
            <v>2017</v>
          </cell>
          <cell r="T1171" t="str">
            <v>LEE-18-1542</v>
          </cell>
          <cell r="U1171" t="str">
            <v>110582</v>
          </cell>
          <cell r="V1171" t="str">
            <v>10010545</v>
          </cell>
          <cell r="W1171" t="str">
            <v>05-mar-2026</v>
          </cell>
          <cell r="Y1171">
            <v>1200000</v>
          </cell>
          <cell r="Z1171">
            <v>25862</v>
          </cell>
          <cell r="AA1171">
            <v>30000</v>
          </cell>
        </row>
        <row r="1172">
          <cell r="B1172" t="str">
            <v>KHI/HO/D/MO/PC COMP/C/107407/174/02/2025</v>
          </cell>
          <cell r="D1172" t="str">
            <v>REN</v>
          </cell>
          <cell r="E1172" t="str">
            <v>17/02/25</v>
          </cell>
          <cell r="F1172" t="str">
            <v>09/02/2025</v>
          </cell>
          <cell r="G1172" t="str">
            <v>08/02/2026</v>
          </cell>
          <cell r="H1172" t="str">
            <v>08004499</v>
          </cell>
          <cell r="I1172" t="str">
            <v>AL BARAKA BANK (PAKISTAN) LIMITED</v>
          </cell>
          <cell r="J1172" t="str">
            <v>BANK</v>
          </cell>
          <cell r="K1172" t="str">
            <v xml:space="preserve">
HPA M/s. Al Baraka Bank (Pakistan) Limited 
Hpa M/S. Al Baraka Bank (Pakistan) Limited 
User: Amjad  Latif</v>
          </cell>
          <cell r="L1172" t="str">
            <v>D</v>
          </cell>
          <cell r="M1172" t="str">
            <v>09000221</v>
          </cell>
          <cell r="N1172">
            <v>100</v>
          </cell>
          <cell r="P1172" t="str">
            <v>Hafizabad Road Street 07 Moh Shareefpura Gujranwala</v>
          </cell>
          <cell r="Q1172" t="str">
            <v>11000003</v>
          </cell>
          <cell r="R1172" t="str">
            <v>SUZUKI WAGON-R VXL E2</v>
          </cell>
          <cell r="S1172" t="str">
            <v>2021</v>
          </cell>
          <cell r="T1172" t="str">
            <v>ABY-633</v>
          </cell>
          <cell r="U1172" t="str">
            <v>210342</v>
          </cell>
          <cell r="V1172" t="str">
            <v>10110336</v>
          </cell>
          <cell r="W1172" t="str">
            <v>05-feb-2026</v>
          </cell>
          <cell r="Y1172">
            <v>1297500</v>
          </cell>
          <cell r="Z1172">
            <v>27963</v>
          </cell>
          <cell r="AA1172">
            <v>32438</v>
          </cell>
        </row>
        <row r="1173">
          <cell r="B1173" t="str">
            <v>KHI/HO/D/MO/PC COMP/C/107407/175/02/2025</v>
          </cell>
          <cell r="D1173" t="str">
            <v>REN</v>
          </cell>
          <cell r="E1173" t="str">
            <v>17/02/25</v>
          </cell>
          <cell r="F1173" t="str">
            <v>25/02/2025</v>
          </cell>
          <cell r="G1173" t="str">
            <v>24/02/2026</v>
          </cell>
          <cell r="H1173" t="str">
            <v>08004499</v>
          </cell>
          <cell r="I1173" t="str">
            <v>AL BARAKA BANK (PAKISTAN) LIMITED</v>
          </cell>
          <cell r="J1173" t="str">
            <v>BANK</v>
          </cell>
          <cell r="K1173" t="str">
            <v xml:space="preserve">
HPA M/s. Al Baraka Bank (Pakistan) Limited 
Hpa M/S. Al Baraka Bank (Pakistan) Limited 
User: Ahad  Munir</v>
          </cell>
          <cell r="L1173" t="str">
            <v>D</v>
          </cell>
          <cell r="M1173" t="str">
            <v>09000221</v>
          </cell>
          <cell r="N1173">
            <v>100</v>
          </cell>
          <cell r="O1173" t="str">
            <v>KARACHI</v>
          </cell>
          <cell r="P1173" t="str">
            <v>House No. 488 Block 6 Sector A-2 Township Lahore</v>
          </cell>
          <cell r="Q1173" t="str">
            <v>11000003</v>
          </cell>
          <cell r="R1173" t="str">
            <v>SUZUKI BOLAN STD VX EURO</v>
          </cell>
          <cell r="S1173" t="str">
            <v>2016</v>
          </cell>
          <cell r="T1173" t="str">
            <v>LED-16-4227</v>
          </cell>
          <cell r="U1173" t="str">
            <v>PKT-937913</v>
          </cell>
          <cell r="V1173" t="str">
            <v>PK01054366</v>
          </cell>
          <cell r="W1173" t="str">
            <v>05-mar-2026</v>
          </cell>
          <cell r="Y1173">
            <v>600000</v>
          </cell>
          <cell r="Z1173">
            <v>12931</v>
          </cell>
          <cell r="AA1173">
            <v>15000</v>
          </cell>
        </row>
        <row r="1174">
          <cell r="B1174" t="str">
            <v>KHI/HO/D/MO/PC COMP/C/107407/176/02/2025</v>
          </cell>
          <cell r="D1174" t="str">
            <v>REN</v>
          </cell>
          <cell r="E1174" t="str">
            <v>17/02/25</v>
          </cell>
          <cell r="F1174" t="str">
            <v>25/02/2025</v>
          </cell>
          <cell r="G1174" t="str">
            <v>24/02/2026</v>
          </cell>
          <cell r="H1174" t="str">
            <v>08004499</v>
          </cell>
          <cell r="I1174" t="str">
            <v>AL BARAKA BANK (PAKISTAN) LIMITED</v>
          </cell>
          <cell r="J1174" t="str">
            <v>BANK</v>
          </cell>
          <cell r="K1174" t="str">
            <v xml:space="preserve">
HPA M/s. Al Baraka Bank (Pakistan) Limited 
Hpa M/S. Al Baraka Bank (Pakistan) Limited 
User: Nadeem  Altaf</v>
          </cell>
          <cell r="L1174" t="str">
            <v>D</v>
          </cell>
          <cell r="M1174" t="str">
            <v>09000221</v>
          </cell>
          <cell r="N1174">
            <v>100</v>
          </cell>
          <cell r="O1174" t="str">
            <v>KARACHI</v>
          </cell>
          <cell r="P1174" t="str">
            <v>House No. 204 Block C Pak Arab Housing Society Lahore</v>
          </cell>
          <cell r="Q1174" t="str">
            <v>11000003</v>
          </cell>
          <cell r="R1174" t="str">
            <v>KIA SPORTAGE FWD</v>
          </cell>
          <cell r="S1174" t="str">
            <v>2021</v>
          </cell>
          <cell r="T1174" t="str">
            <v>ACA-401</v>
          </cell>
          <cell r="U1174" t="str">
            <v>H345046</v>
          </cell>
          <cell r="V1174" t="str">
            <v>P101295</v>
          </cell>
          <cell r="W1174" t="str">
            <v>05-mar-2026</v>
          </cell>
          <cell r="Y1174">
            <v>3322500</v>
          </cell>
          <cell r="Z1174">
            <v>42963</v>
          </cell>
          <cell r="AA1174">
            <v>49838</v>
          </cell>
        </row>
        <row r="1175">
          <cell r="B1175" t="str">
            <v>KHI/HO/D/MO/PC COMP/C/107407/177/02/2025</v>
          </cell>
          <cell r="D1175" t="str">
            <v>REN</v>
          </cell>
          <cell r="E1175" t="str">
            <v>17/02/25</v>
          </cell>
          <cell r="F1175" t="str">
            <v>26/02/2025</v>
          </cell>
          <cell r="G1175" t="str">
            <v>25/02/2026</v>
          </cell>
          <cell r="H1175" t="str">
            <v>08004499</v>
          </cell>
          <cell r="I1175" t="str">
            <v>AL BARAKA BANK (PAKISTAN) LIMITED</v>
          </cell>
          <cell r="J1175" t="str">
            <v>BANK</v>
          </cell>
          <cell r="K1175" t="str">
            <v xml:space="preserve">
HPA M/s. Al Baraka Bank (Pakistan) Limited 
Hpa M/S. Al Baraka Bank (Pakistan) Limited 
User: Muhammad   Umer</v>
          </cell>
          <cell r="L1175" t="str">
            <v>D</v>
          </cell>
          <cell r="M1175" t="str">
            <v>09000221</v>
          </cell>
          <cell r="N1175">
            <v>100</v>
          </cell>
          <cell r="O1175" t="str">
            <v>KARACHI</v>
          </cell>
          <cell r="P1175" t="str">
            <v>House No. 115/H Mohallah Chowk Nawab Sahib Andoon Motchi Gate Lahore</v>
          </cell>
          <cell r="Q1175" t="str">
            <v>11000003</v>
          </cell>
          <cell r="R1175" t="str">
            <v>TOYOTA COROLLA XLI 1.3</v>
          </cell>
          <cell r="S1175" t="str">
            <v>2015</v>
          </cell>
          <cell r="T1175" t="str">
            <v>LEA-15-9575</v>
          </cell>
          <cell r="U1175" t="str">
            <v>Z193794</v>
          </cell>
          <cell r="V1175" t="str">
            <v>NZE170R-4018849</v>
          </cell>
          <cell r="W1175" t="str">
            <v>05-mar-2026</v>
          </cell>
          <cell r="Y1175">
            <v>1650000</v>
          </cell>
          <cell r="Z1175">
            <v>35560</v>
          </cell>
          <cell r="AA1175">
            <v>41250</v>
          </cell>
        </row>
        <row r="1176">
          <cell r="B1176" t="str">
            <v>KHI/HO/D/MO/PC COMP/C/107407/178/02/2025</v>
          </cell>
          <cell r="D1176" t="str">
            <v>REN</v>
          </cell>
          <cell r="E1176" t="str">
            <v>17/02/25</v>
          </cell>
          <cell r="F1176" t="str">
            <v>26/02/2025</v>
          </cell>
          <cell r="G1176" t="str">
            <v>25/02/2026</v>
          </cell>
          <cell r="H1176" t="str">
            <v>08004499</v>
          </cell>
          <cell r="I1176" t="str">
            <v>AL BARAKA BANK (PAKISTAN) LIMITED</v>
          </cell>
          <cell r="J1176" t="str">
            <v>BANK</v>
          </cell>
          <cell r="K1176" t="str">
            <v xml:space="preserve">
HPA M/s. Al Baraka Bank (Pakistan) Limited 
Hpa M/S. Al Baraka Bank (Pakistan) Limited 
User: Husnain  Saddique</v>
          </cell>
          <cell r="L1176" t="str">
            <v>D</v>
          </cell>
          <cell r="M1176" t="str">
            <v>09000221</v>
          </cell>
          <cell r="N1176">
            <v>100</v>
          </cell>
          <cell r="O1176" t="str">
            <v>KARACHI</v>
          </cell>
          <cell r="P1176" t="str">
            <v>House No. 24/A Mohallah Kabir Street Urdu Bazar Lahore</v>
          </cell>
          <cell r="Q1176" t="str">
            <v>11000003</v>
          </cell>
          <cell r="R1176" t="str">
            <v>TOYOTA YARIS ATIV X CVT</v>
          </cell>
          <cell r="S1176" t="str">
            <v>2021</v>
          </cell>
          <cell r="T1176" t="str">
            <v>ACS-145</v>
          </cell>
          <cell r="U1176" t="str">
            <v>2A16587</v>
          </cell>
          <cell r="V1176" t="str">
            <v>R-9506716</v>
          </cell>
          <cell r="W1176" t="str">
            <v>05-mar-2026</v>
          </cell>
          <cell r="Y1176">
            <v>2244750</v>
          </cell>
          <cell r="Z1176">
            <v>48378</v>
          </cell>
          <cell r="AA1176">
            <v>56119</v>
          </cell>
        </row>
        <row r="1177">
          <cell r="B1177" t="str">
            <v>KHI/HO/D/MO/PC COMP/C/107407/179/02/2025</v>
          </cell>
          <cell r="D1177" t="str">
            <v>REN</v>
          </cell>
          <cell r="E1177" t="str">
            <v>17/02/25</v>
          </cell>
          <cell r="F1177" t="str">
            <v>26/02/2025</v>
          </cell>
          <cell r="G1177" t="str">
            <v>25/02/2026</v>
          </cell>
          <cell r="H1177" t="str">
            <v>08004499</v>
          </cell>
          <cell r="I1177" t="str">
            <v>AL BARAKA BANK (PAKISTAN) LIMITED</v>
          </cell>
          <cell r="J1177" t="str">
            <v>BANK</v>
          </cell>
          <cell r="K1177" t="str">
            <v xml:space="preserve">
HPA M/s. Al Baraka Bank (Pakistan) Limited 
Hpa M/S. Al Baraka Bank (Pakistan) Limited 
User: Numan   Nasir</v>
          </cell>
          <cell r="L1177" t="str">
            <v>D</v>
          </cell>
          <cell r="M1177" t="str">
            <v>09000221</v>
          </cell>
          <cell r="N1177">
            <v>100</v>
          </cell>
          <cell r="P1177" t="str">
            <v>House No. 183 Block D-1 China Scheme Gujjar Pura Lahore</v>
          </cell>
          <cell r="Q1177" t="str">
            <v>11000003</v>
          </cell>
          <cell r="R1177" t="str">
            <v>SUZUKI WAGON-R VXL E2</v>
          </cell>
          <cell r="S1177" t="str">
            <v>2018</v>
          </cell>
          <cell r="T1177" t="str">
            <v>LEB-18-599</v>
          </cell>
          <cell r="U1177" t="str">
            <v>152309</v>
          </cell>
          <cell r="V1177" t="str">
            <v>10052293</v>
          </cell>
          <cell r="W1177" t="str">
            <v>05-mar-2026</v>
          </cell>
          <cell r="Y1177">
            <v>1170000</v>
          </cell>
          <cell r="Z1177">
            <v>25216</v>
          </cell>
          <cell r="AA1177">
            <v>29250</v>
          </cell>
        </row>
        <row r="1178">
          <cell r="B1178" t="str">
            <v>KHI/HO/D/MO/PC COMP/C/107407/180/02/2025</v>
          </cell>
          <cell r="D1178" t="str">
            <v>REN</v>
          </cell>
          <cell r="E1178" t="str">
            <v>17/02/25</v>
          </cell>
          <cell r="F1178" t="str">
            <v>26/02/2025</v>
          </cell>
          <cell r="G1178" t="str">
            <v>25/02/2026</v>
          </cell>
          <cell r="H1178" t="str">
            <v>08004499</v>
          </cell>
          <cell r="I1178" t="str">
            <v>AL BARAKA BANK (PAKISTAN) LIMITED</v>
          </cell>
          <cell r="J1178" t="str">
            <v>BANK</v>
          </cell>
          <cell r="K1178" t="str">
            <v xml:space="preserve">
HPA M/s. Al Baraka Bank (Pakistan) Limited 
Hpa M/S. Al Baraka Bank (Pakistan) Limited 
User: Muhammad Mateen Ul Hassan</v>
          </cell>
          <cell r="L1178" t="str">
            <v>D</v>
          </cell>
          <cell r="M1178" t="str">
            <v>09000221</v>
          </cell>
          <cell r="N1178">
            <v>100</v>
          </cell>
          <cell r="O1178" t="str">
            <v>KARACHI</v>
          </cell>
          <cell r="P1178" t="str">
            <v>P-148 Street 01 Zulfiqar Colony Waris Pura Faisalabad</v>
          </cell>
          <cell r="Q1178" t="str">
            <v>11000003</v>
          </cell>
          <cell r="R1178" t="str">
            <v>HONDA CIVIC VTI  ORIEL PT</v>
          </cell>
          <cell r="S1178" t="str">
            <v>2018</v>
          </cell>
          <cell r="T1178" t="str">
            <v>AHE-958</v>
          </cell>
          <cell r="U1178" t="str">
            <v>R18Z12929908</v>
          </cell>
          <cell r="V1178" t="str">
            <v>NFBFC6661JR033337</v>
          </cell>
          <cell r="W1178" t="str">
            <v>05-mar-2026</v>
          </cell>
          <cell r="Y1178">
            <v>2793750</v>
          </cell>
          <cell r="Z1178">
            <v>36126</v>
          </cell>
          <cell r="AA1178">
            <v>41906</v>
          </cell>
        </row>
        <row r="1179">
          <cell r="B1179" t="str">
            <v>KHI/HO/D/MO/PC COMP/C/107407/181/02/2025</v>
          </cell>
          <cell r="D1179" t="str">
            <v>REN</v>
          </cell>
          <cell r="E1179" t="str">
            <v>17/02/25</v>
          </cell>
          <cell r="F1179" t="str">
            <v>26/02/2025</v>
          </cell>
          <cell r="G1179" t="str">
            <v>25/02/2026</v>
          </cell>
          <cell r="H1179" t="str">
            <v>08004499</v>
          </cell>
          <cell r="I1179" t="str">
            <v>AL BARAKA BANK (PAKISTAN) LIMITED</v>
          </cell>
          <cell r="J1179" t="str">
            <v>BANK</v>
          </cell>
          <cell r="K1179" t="str">
            <v xml:space="preserve">
HPA M/s. Al Baraka Bank (Pakistan) Limited 
Hpa M/S. Al Baraka Bank (Pakistan) Limited 
User: Shahrukh   Sheikh</v>
          </cell>
          <cell r="L1179" t="str">
            <v>D</v>
          </cell>
          <cell r="M1179" t="str">
            <v>09000221</v>
          </cell>
          <cell r="N1179">
            <v>100</v>
          </cell>
          <cell r="O1179" t="str">
            <v>KARACHI</v>
          </cell>
          <cell r="P1179" t="str">
            <v>65 Atta Turk Block New Garden Town Lahore</v>
          </cell>
          <cell r="Q1179" t="str">
            <v>11000003</v>
          </cell>
          <cell r="R1179" t="str">
            <v>HONDA CIVIC VTI  ORIEL PT</v>
          </cell>
          <cell r="S1179" t="str">
            <v>2017</v>
          </cell>
          <cell r="T1179" t="str">
            <v>LEA-17A-879</v>
          </cell>
          <cell r="U1179" t="str">
            <v>Z12919298</v>
          </cell>
          <cell r="V1179" t="str">
            <v>HR022689</v>
          </cell>
          <cell r="W1179" t="str">
            <v>05-mar-2026</v>
          </cell>
          <cell r="Y1179">
            <v>2475000</v>
          </cell>
          <cell r="Z1179">
            <v>53341</v>
          </cell>
          <cell r="AA1179">
            <v>61875</v>
          </cell>
        </row>
        <row r="1180">
          <cell r="B1180" t="str">
            <v>KHI/HO/D/MO/PC COMP/C/107407/182/02/2025</v>
          </cell>
          <cell r="D1180" t="str">
            <v>REN</v>
          </cell>
          <cell r="E1180" t="str">
            <v>17/02/25</v>
          </cell>
          <cell r="F1180" t="str">
            <v>26/02/2025</v>
          </cell>
          <cell r="G1180" t="str">
            <v>25/02/2026</v>
          </cell>
          <cell r="H1180" t="str">
            <v>08004499</v>
          </cell>
          <cell r="I1180" t="str">
            <v>AL BARAKA BANK (PAKISTAN) LIMITED</v>
          </cell>
          <cell r="J1180" t="str">
            <v>BANK</v>
          </cell>
          <cell r="K1180" t="str">
            <v xml:space="preserve">
HPA M/s. Al Baraka Bank (Pakistan) Limited 
Hpa M/S. Al Baraka Bank (Pakistan) Limited 
User: Farrukh   Bilal</v>
          </cell>
          <cell r="L1180" t="str">
            <v>D</v>
          </cell>
          <cell r="M1180" t="str">
            <v>09000221</v>
          </cell>
          <cell r="N1180">
            <v>100</v>
          </cell>
          <cell r="O1180" t="str">
            <v>KARACHI</v>
          </cell>
          <cell r="P1180" t="str">
            <v>56 Liaquat Park Marbel Market Lahore</v>
          </cell>
          <cell r="Q1180" t="str">
            <v>11000003</v>
          </cell>
          <cell r="R1180" t="str">
            <v>HONDA BRV I-VTEC S STD</v>
          </cell>
          <cell r="S1180" t="str">
            <v>2017</v>
          </cell>
          <cell r="T1180" t="str">
            <v>LED-18-798</v>
          </cell>
          <cell r="U1180" t="str">
            <v>Z13501378</v>
          </cell>
          <cell r="V1180" t="str">
            <v>HR001278</v>
          </cell>
          <cell r="W1180" t="str">
            <v>05-mar-2026</v>
          </cell>
          <cell r="Y1180">
            <v>2043750</v>
          </cell>
          <cell r="Z1180">
            <v>44047</v>
          </cell>
          <cell r="AA1180">
            <v>51094</v>
          </cell>
        </row>
        <row r="1181">
          <cell r="B1181" t="str">
            <v>KHI/HO/D/MO/PC COMP/C/107407/183/02/2025</v>
          </cell>
          <cell r="D1181" t="str">
            <v>REN</v>
          </cell>
          <cell r="E1181" t="str">
            <v>17/02/25</v>
          </cell>
          <cell r="F1181" t="str">
            <v>26/02/2025</v>
          </cell>
          <cell r="G1181" t="str">
            <v>25/02/2026</v>
          </cell>
          <cell r="H1181" t="str">
            <v>08004499</v>
          </cell>
          <cell r="I1181" t="str">
            <v>AL BARAKA BANK (PAKISTAN) LIMITED</v>
          </cell>
          <cell r="J1181" t="str">
            <v>BANK</v>
          </cell>
          <cell r="K1181" t="str">
            <v xml:space="preserve">
HPA M/s. Al Baraka Bank (Pakistan) Limited 
Hpa M/S. Al Baraka Bank (Pakistan) Limited 
User: Asim Sadiq Sheikh</v>
          </cell>
          <cell r="L1181" t="str">
            <v>D</v>
          </cell>
          <cell r="M1181" t="str">
            <v>09000221</v>
          </cell>
          <cell r="N1181">
            <v>100</v>
          </cell>
          <cell r="O1181" t="str">
            <v>KARACHI</v>
          </cell>
          <cell r="P1181" t="str">
            <v>Street 2 Kehkashan Street  Near Naka Chowk New Canal Road  Gasht Colony Multan</v>
          </cell>
          <cell r="Q1181" t="str">
            <v>11000003</v>
          </cell>
          <cell r="R1181" t="str">
            <v>TOYOTA VITZ</v>
          </cell>
          <cell r="S1181" t="str">
            <v>2017</v>
          </cell>
          <cell r="T1181" t="str">
            <v>ACB-147</v>
          </cell>
          <cell r="U1181" t="str">
            <v>18178431KR</v>
          </cell>
          <cell r="V1181" t="str">
            <v>2203349</v>
          </cell>
          <cell r="W1181" t="str">
            <v>05-mar-2026</v>
          </cell>
          <cell r="Y1181">
            <v>1912500</v>
          </cell>
          <cell r="Z1181">
            <v>41218</v>
          </cell>
          <cell r="AA1181">
            <v>47813</v>
          </cell>
        </row>
        <row r="1182">
          <cell r="B1182" t="str">
            <v>KHI/HO/D/MO/PC COMP/C/107407/184/02/2025</v>
          </cell>
          <cell r="D1182" t="str">
            <v>REN</v>
          </cell>
          <cell r="E1182" t="str">
            <v>17/02/25</v>
          </cell>
          <cell r="F1182" t="str">
            <v>09/02/2025</v>
          </cell>
          <cell r="G1182" t="str">
            <v>08/02/2026</v>
          </cell>
          <cell r="H1182" t="str">
            <v>08004499</v>
          </cell>
          <cell r="I1182" t="str">
            <v>AL BARAKA BANK (PAKISTAN) LIMITED</v>
          </cell>
          <cell r="J1182" t="str">
            <v>BANK</v>
          </cell>
          <cell r="K1182" t="str">
            <v xml:space="preserve">
HPA M/s. Al Baraka Bank (Pakistan) Limited 
Hpa M/S. Al Baraka Bank (Pakistan) Limited 
User: Mahmood  Ahmad</v>
          </cell>
          <cell r="L1182" t="str">
            <v>D</v>
          </cell>
          <cell r="M1182" t="str">
            <v>09000221</v>
          </cell>
          <cell r="N1182">
            <v>100</v>
          </cell>
          <cell r="P1182" t="str">
            <v>House No. 57 Street 5 Sector E-11/1 Islamabad</v>
          </cell>
          <cell r="Q1182" t="str">
            <v>11000003</v>
          </cell>
          <cell r="R1182" t="str">
            <v>SUZUKI BOLAN STD VX EURO</v>
          </cell>
          <cell r="S1182" t="str">
            <v>2021</v>
          </cell>
          <cell r="T1182" t="str">
            <v>ASU-920</v>
          </cell>
          <cell r="U1182" t="str">
            <v>1009049</v>
          </cell>
          <cell r="V1182" t="str">
            <v>01125555</v>
          </cell>
          <cell r="W1182" t="str">
            <v>05-feb-2026</v>
          </cell>
          <cell r="Y1182">
            <v>850500</v>
          </cell>
          <cell r="Z1182">
            <v>18330</v>
          </cell>
          <cell r="AA1182">
            <v>21263</v>
          </cell>
        </row>
        <row r="1183">
          <cell r="B1183" t="str">
            <v>KHI/HO/D/MO/PC COMP/C/107407/185/02/2025</v>
          </cell>
          <cell r="D1183" t="str">
            <v>REN</v>
          </cell>
          <cell r="E1183" t="str">
            <v>17/02/25</v>
          </cell>
          <cell r="F1183" t="str">
            <v>26/02/2025</v>
          </cell>
          <cell r="G1183" t="str">
            <v>25/02/2026</v>
          </cell>
          <cell r="H1183" t="str">
            <v>08004499</v>
          </cell>
          <cell r="I1183" t="str">
            <v>AL BARAKA BANK (PAKISTAN) LIMITED</v>
          </cell>
          <cell r="J1183" t="str">
            <v>BANK</v>
          </cell>
          <cell r="K1183" t="str">
            <v xml:space="preserve">
HPA M/s. Al Baraka Bank (Pakistan) Limited 
Hpa M/S. Al Baraka Bank (Pakistan) Limited 
User: Muhammad  Bilal</v>
          </cell>
          <cell r="L1183" t="str">
            <v>D</v>
          </cell>
          <cell r="M1183" t="str">
            <v>09000221</v>
          </cell>
          <cell r="N1183">
            <v>100</v>
          </cell>
          <cell r="O1183" t="str">
            <v>KARACHI</v>
          </cell>
          <cell r="P1183" t="str">
            <v>House No. 155-A Fazal Town Badami Bagh Lahore</v>
          </cell>
          <cell r="Q1183" t="str">
            <v>11000003</v>
          </cell>
          <cell r="R1183" t="str">
            <v>HONDA CITY I-VTEC (M/T)</v>
          </cell>
          <cell r="S1183" t="str">
            <v>2017</v>
          </cell>
          <cell r="T1183" t="str">
            <v>LEB-17-6947</v>
          </cell>
          <cell r="U1183" t="str">
            <v>L13Z17457633</v>
          </cell>
          <cell r="V1183" t="str">
            <v>NFBGM1651HR200222</v>
          </cell>
          <cell r="W1183" t="str">
            <v>05-mar-2026</v>
          </cell>
          <cell r="Y1183">
            <v>1575000</v>
          </cell>
          <cell r="Z1183">
            <v>33944</v>
          </cell>
          <cell r="AA1183">
            <v>39375</v>
          </cell>
        </row>
        <row r="1184">
          <cell r="B1184" t="str">
            <v>KHI/HO/D/MO/PC COMP/C/107407/186/02/2025</v>
          </cell>
          <cell r="D1184" t="str">
            <v>REN</v>
          </cell>
          <cell r="E1184" t="str">
            <v>17/02/25</v>
          </cell>
          <cell r="F1184" t="str">
            <v>26/02/2025</v>
          </cell>
          <cell r="G1184" t="str">
            <v>25/02/2026</v>
          </cell>
          <cell r="H1184" t="str">
            <v>08004499</v>
          </cell>
          <cell r="I1184" t="str">
            <v>AL BARAKA BANK (PAKISTAN) LIMITED</v>
          </cell>
          <cell r="J1184" t="str">
            <v>BANK</v>
          </cell>
          <cell r="K1184" t="str">
            <v xml:space="preserve">
HPA M/s. Al Baraka Bank (Pakistan) Limited 
Hpa M/S. Al Baraka Bank (Pakistan) Limited 
User: Malik Muhammad Rafiq</v>
          </cell>
          <cell r="L1184" t="str">
            <v>D</v>
          </cell>
          <cell r="M1184" t="str">
            <v>09000221</v>
          </cell>
          <cell r="N1184">
            <v>100</v>
          </cell>
          <cell r="O1184" t="str">
            <v>KARACHI</v>
          </cell>
          <cell r="P1184" t="str">
            <v>Chah Hakeem Wala PO Jhok Lashkar  Pur Rawah Tehsil Multan Sadar Dist Multan</v>
          </cell>
          <cell r="Q1184" t="str">
            <v>11000003</v>
          </cell>
          <cell r="R1184" t="str">
            <v>SUZUKI ALTO VXR E-2</v>
          </cell>
          <cell r="S1184" t="str">
            <v>2021</v>
          </cell>
          <cell r="T1184" t="str">
            <v>ACF-910</v>
          </cell>
          <cell r="U1184" t="str">
            <v>6R157890</v>
          </cell>
          <cell r="V1184" t="str">
            <v>1057865</v>
          </cell>
          <cell r="W1184" t="str">
            <v>05-mar-2026</v>
          </cell>
          <cell r="Y1184">
            <v>1074750</v>
          </cell>
          <cell r="Z1184">
            <v>23163</v>
          </cell>
          <cell r="AA1184">
            <v>26869</v>
          </cell>
        </row>
        <row r="1185">
          <cell r="B1185" t="str">
            <v>KHI/HO/D/MO/PC COMP/C/107407/187/02/2025</v>
          </cell>
          <cell r="D1185" t="str">
            <v>REN</v>
          </cell>
          <cell r="E1185" t="str">
            <v>17/02/25</v>
          </cell>
          <cell r="F1185" t="str">
            <v>26/02/2025</v>
          </cell>
          <cell r="G1185" t="str">
            <v>25/02/2026</v>
          </cell>
          <cell r="H1185" t="str">
            <v>08004499</v>
          </cell>
          <cell r="I1185" t="str">
            <v>AL BARAKA BANK (PAKISTAN) LIMITED</v>
          </cell>
          <cell r="J1185" t="str">
            <v>BANK</v>
          </cell>
          <cell r="K1185" t="str">
            <v xml:space="preserve">
HPA M/s. Al Baraka Bank (Pakistan) Limited 
Hpa M/S. Al Baraka Bank (Pakistan) Limited 
User: Mohsin  Shahzad</v>
          </cell>
          <cell r="L1185" t="str">
            <v>D</v>
          </cell>
          <cell r="M1185" t="str">
            <v>09000221</v>
          </cell>
          <cell r="N1185">
            <v>100</v>
          </cell>
          <cell r="P1185" t="str">
            <v>Qazi Park Street 7 Shahdra Town Lahore</v>
          </cell>
          <cell r="Q1185" t="str">
            <v>11000003</v>
          </cell>
          <cell r="R1185" t="str">
            <v>SUZUKI CULTUS VXL AGS</v>
          </cell>
          <cell r="S1185" t="str">
            <v>2018</v>
          </cell>
          <cell r="T1185" t="str">
            <v>LEE-18-9482</v>
          </cell>
          <cell r="U1185" t="str">
            <v>121973</v>
          </cell>
          <cell r="V1185" t="str">
            <v>10021913</v>
          </cell>
          <cell r="W1185" t="str">
            <v>05-mar-2026</v>
          </cell>
          <cell r="Y1185">
            <v>1312500</v>
          </cell>
          <cell r="Z1185">
            <v>28287</v>
          </cell>
          <cell r="AA1185">
            <v>32813</v>
          </cell>
        </row>
        <row r="1186">
          <cell r="B1186" t="str">
            <v>KHI/HO/D/MO/PC COMP/C/107407/188/02/2025</v>
          </cell>
          <cell r="D1186" t="str">
            <v>REN</v>
          </cell>
          <cell r="E1186" t="str">
            <v>17/02/25</v>
          </cell>
          <cell r="F1186" t="str">
            <v>26/02/2025</v>
          </cell>
          <cell r="G1186" t="str">
            <v>25/02/2026</v>
          </cell>
          <cell r="H1186" t="str">
            <v>08004499</v>
          </cell>
          <cell r="I1186" t="str">
            <v>AL BARAKA BANK (PAKISTAN) LIMITED</v>
          </cell>
          <cell r="J1186" t="str">
            <v>BANK</v>
          </cell>
          <cell r="K1186" t="str">
            <v xml:space="preserve">
HPA M/s. Al Baraka Bank (Pakistan) Limited 
Hpa M/S. Al Baraka Bank (Pakistan) Limited 
User: Mustansar  Waseem Abid</v>
          </cell>
          <cell r="L1186" t="str">
            <v>D</v>
          </cell>
          <cell r="M1186" t="str">
            <v>09000221</v>
          </cell>
          <cell r="N1186">
            <v>100</v>
          </cell>
          <cell r="P1186" t="str">
            <v>House  M-1246 Mohallah New Ammarpura Rawalpindi</v>
          </cell>
          <cell r="Q1186" t="str">
            <v>11000003</v>
          </cell>
          <cell r="R1186" t="str">
            <v>SUZUKI ALTO VXL AGS E-2</v>
          </cell>
          <cell r="S1186" t="str">
            <v>2021</v>
          </cell>
          <cell r="T1186" t="str">
            <v>ATJ-277</v>
          </cell>
          <cell r="U1186" t="str">
            <v>156483</v>
          </cell>
          <cell r="V1186" t="str">
            <v>1056473</v>
          </cell>
          <cell r="W1186" t="str">
            <v>05-mar-2026</v>
          </cell>
          <cell r="Y1186">
            <v>1224750</v>
          </cell>
          <cell r="Z1186">
            <v>26396</v>
          </cell>
          <cell r="AA1186">
            <v>30619</v>
          </cell>
        </row>
        <row r="1187">
          <cell r="B1187" t="str">
            <v>KHI/HO/D/MO/PC COMP/C/107407/189/02/2025</v>
          </cell>
          <cell r="D1187" t="str">
            <v>REN</v>
          </cell>
          <cell r="E1187" t="str">
            <v>17/02/25</v>
          </cell>
          <cell r="F1187" t="str">
            <v>26/02/2025</v>
          </cell>
          <cell r="G1187" t="str">
            <v>25/02/2026</v>
          </cell>
          <cell r="H1187" t="str">
            <v>08004499</v>
          </cell>
          <cell r="I1187" t="str">
            <v>AL BARAKA BANK (PAKISTAN) LIMITED</v>
          </cell>
          <cell r="J1187" t="str">
            <v>BANK</v>
          </cell>
          <cell r="K1187" t="str">
            <v xml:space="preserve">
HPA M/s. Al Baraka Bank (Pakistan) Limited 
Hpa M/S. Al Baraka Bank (Pakistan) Limited 
User: Sabaz Ali Khan</v>
          </cell>
          <cell r="L1187" t="str">
            <v>D</v>
          </cell>
          <cell r="M1187" t="str">
            <v>09000221</v>
          </cell>
          <cell r="N1187">
            <v>100</v>
          </cell>
          <cell r="P1187" t="str">
            <v>House No. DN-102- Sector 4-A Khayaban-e-Sir Syed Rawalpindi</v>
          </cell>
          <cell r="Q1187" t="str">
            <v>11000003</v>
          </cell>
          <cell r="R1187" t="str">
            <v>SUZUKI SWIFT DLX M/T NAV.</v>
          </cell>
          <cell r="S1187" t="str">
            <v>2021</v>
          </cell>
          <cell r="T1187" t="str">
            <v>ATC-640</v>
          </cell>
          <cell r="U1187" t="str">
            <v>13049930</v>
          </cell>
          <cell r="V1187" t="str">
            <v>10049943</v>
          </cell>
          <cell r="W1187" t="str">
            <v>05-mar-2026</v>
          </cell>
          <cell r="Y1187">
            <v>1522500</v>
          </cell>
          <cell r="Z1187">
            <v>32813</v>
          </cell>
          <cell r="AA1187">
            <v>38063</v>
          </cell>
        </row>
        <row r="1188">
          <cell r="B1188" t="str">
            <v>KHI/HO/D/MO/PC COMP/C/107407/190/02/2025</v>
          </cell>
          <cell r="D1188" t="str">
            <v>REN</v>
          </cell>
          <cell r="E1188" t="str">
            <v>17/02/25</v>
          </cell>
          <cell r="F1188" t="str">
            <v>26/02/2025</v>
          </cell>
          <cell r="G1188" t="str">
            <v>25/02/2026</v>
          </cell>
          <cell r="H1188" t="str">
            <v>08004499</v>
          </cell>
          <cell r="I1188" t="str">
            <v>AL BARAKA BANK (PAKISTAN) LIMITED</v>
          </cell>
          <cell r="J1188" t="str">
            <v>BANK</v>
          </cell>
          <cell r="K1188" t="str">
            <v xml:space="preserve">
HPA M/s. Al Baraka Bank (Pakistan) Limited 
Hpa M/S. Al Baraka Bank (Pakistan) Limited 
User: Muhammad Asif Munir</v>
          </cell>
          <cell r="L1188" t="str">
            <v>D</v>
          </cell>
          <cell r="M1188" t="str">
            <v>09000221</v>
          </cell>
          <cell r="N1188">
            <v>100</v>
          </cell>
          <cell r="P1188" t="str">
            <v>House No. 307 Street 11 Ghouri Town Phase 4-B Islamabad</v>
          </cell>
          <cell r="Q1188" t="str">
            <v>11000003</v>
          </cell>
          <cell r="R1188" t="str">
            <v>SUZUKI ALTO VXL AGS E-2</v>
          </cell>
          <cell r="S1188" t="str">
            <v>2021</v>
          </cell>
          <cell r="T1188" t="str">
            <v>ATA-756</v>
          </cell>
          <cell r="U1188" t="str">
            <v>156431</v>
          </cell>
          <cell r="V1188" t="str">
            <v>1056402</v>
          </cell>
          <cell r="W1188" t="str">
            <v>05-mar-2026</v>
          </cell>
          <cell r="Y1188">
            <v>1224750</v>
          </cell>
          <cell r="Z1188">
            <v>26396</v>
          </cell>
          <cell r="AA1188">
            <v>30619</v>
          </cell>
        </row>
        <row r="1189">
          <cell r="B1189" t="str">
            <v>KHI/HO/D/MO/PC COMP/C/107407/191/02/2025</v>
          </cell>
          <cell r="D1189" t="str">
            <v>REN</v>
          </cell>
          <cell r="E1189" t="str">
            <v>17/02/25</v>
          </cell>
          <cell r="F1189" t="str">
            <v>09/02/2025</v>
          </cell>
          <cell r="G1189" t="str">
            <v>08/02/2026</v>
          </cell>
          <cell r="H1189" t="str">
            <v>08004499</v>
          </cell>
          <cell r="I1189" t="str">
            <v>AL BARAKA BANK (PAKISTAN) LIMITED</v>
          </cell>
          <cell r="J1189" t="str">
            <v>BANK</v>
          </cell>
          <cell r="K1189" t="str">
            <v xml:space="preserve">
HPA M/s. Al Baraka Bank (Pakistan) Limited 
Hpa M/S. Al Baraka Bank (Pakistan) Limited 
User: Muhammad Saeed Khan</v>
          </cell>
          <cell r="L1189" t="str">
            <v>D</v>
          </cell>
          <cell r="M1189" t="str">
            <v>09000221</v>
          </cell>
          <cell r="N1189">
            <v>100</v>
          </cell>
          <cell r="P1189" t="str">
            <v>Sector II Street 02 Somarzar Colony Opp Shafqat Model School Rawalpindi</v>
          </cell>
          <cell r="Q1189" t="str">
            <v>11000003</v>
          </cell>
          <cell r="R1189" t="str">
            <v>SUZUKI CULTUS VXR EURO-II</v>
          </cell>
          <cell r="S1189" t="str">
            <v>2021</v>
          </cell>
          <cell r="T1189" t="str">
            <v>ASU-205</v>
          </cell>
          <cell r="U1189" t="str">
            <v>167853</v>
          </cell>
          <cell r="V1189" t="str">
            <v>10067861</v>
          </cell>
          <cell r="W1189" t="str">
            <v>05-feb-2026</v>
          </cell>
          <cell r="Y1189">
            <v>1335000</v>
          </cell>
          <cell r="Z1189">
            <v>28771</v>
          </cell>
          <cell r="AA1189">
            <v>33375</v>
          </cell>
        </row>
        <row r="1190">
          <cell r="B1190" t="str">
            <v>KHI/HO/D/MO/PC COMP/C/107407/192/02/2025</v>
          </cell>
          <cell r="D1190" t="str">
            <v>REN</v>
          </cell>
          <cell r="E1190" t="str">
            <v>17/02/25</v>
          </cell>
          <cell r="F1190" t="str">
            <v>10/02/2025</v>
          </cell>
          <cell r="G1190" t="str">
            <v>09/02/2026</v>
          </cell>
          <cell r="H1190" t="str">
            <v>08004499</v>
          </cell>
          <cell r="I1190" t="str">
            <v>AL BARAKA BANK (PAKISTAN) LIMITED</v>
          </cell>
          <cell r="J1190" t="str">
            <v>BANK</v>
          </cell>
          <cell r="K1190" t="str">
            <v xml:space="preserve">
HPA M/s. Al Baraka Bank (Pakistan) Limited 
Hpa M/S. Al Baraka Bank (Pakistan) Limited 
User: Abdur  Rehman</v>
          </cell>
          <cell r="L1190" t="str">
            <v>D</v>
          </cell>
          <cell r="M1190" t="str">
            <v>09000221</v>
          </cell>
          <cell r="N1190">
            <v>100</v>
          </cell>
          <cell r="P1190" t="str">
            <v>G Floor Noorabad Hostel University of Sialkot Sialkot</v>
          </cell>
          <cell r="Q1190" t="str">
            <v>11000003</v>
          </cell>
          <cell r="R1190" t="str">
            <v>SUZUKI ALTO VXR E-2</v>
          </cell>
          <cell r="S1190" t="str">
            <v>2021</v>
          </cell>
          <cell r="T1190" t="str">
            <v>ASX-873</v>
          </cell>
          <cell r="U1190" t="str">
            <v>154591</v>
          </cell>
          <cell r="V1190" t="str">
            <v>1054441</v>
          </cell>
          <cell r="W1190" t="str">
            <v>05-feb-2028</v>
          </cell>
          <cell r="Y1190">
            <v>1074750</v>
          </cell>
          <cell r="Z1190">
            <v>23163</v>
          </cell>
          <cell r="AA1190">
            <v>26869</v>
          </cell>
        </row>
        <row r="1191">
          <cell r="B1191" t="str">
            <v>KHI/HO/D/MO/PC COMP/C/107407/193/02/2025</v>
          </cell>
          <cell r="D1191" t="str">
            <v>REN</v>
          </cell>
          <cell r="E1191" t="str">
            <v>17/02/25</v>
          </cell>
          <cell r="F1191" t="str">
            <v>10/02/2025</v>
          </cell>
          <cell r="G1191" t="str">
            <v>09/02/2026</v>
          </cell>
          <cell r="H1191" t="str">
            <v>08004499</v>
          </cell>
          <cell r="I1191" t="str">
            <v>AL BARAKA BANK (PAKISTAN) LIMITED</v>
          </cell>
          <cell r="J1191" t="str">
            <v>BANK</v>
          </cell>
          <cell r="K1191" t="str">
            <v xml:space="preserve">
HPA M/s. Al Baraka Bank (Pakistan) Limited 
Hpa M/S. Al Baraka Bank (Pakistan) Limited 
User:  Mujahid  Mehmood Shahzad</v>
          </cell>
          <cell r="L1191" t="str">
            <v>D</v>
          </cell>
          <cell r="M1191" t="str">
            <v>09000221</v>
          </cell>
          <cell r="N1191">
            <v>100</v>
          </cell>
          <cell r="P1191" t="str">
            <v>House No. 282 Defence View Jaranwala</v>
          </cell>
          <cell r="Q1191" t="str">
            <v>11000003</v>
          </cell>
          <cell r="R1191" t="str">
            <v>SUZUKI ALTO VXR E-2</v>
          </cell>
          <cell r="S1191" t="str">
            <v>2021</v>
          </cell>
          <cell r="T1191" t="str">
            <v>ABW-927</v>
          </cell>
          <cell r="U1191" t="str">
            <v>153550</v>
          </cell>
          <cell r="V1191" t="str">
            <v>1053466</v>
          </cell>
          <cell r="W1191" t="str">
            <v>05-feb-2028</v>
          </cell>
          <cell r="Y1191">
            <v>1074750</v>
          </cell>
          <cell r="Z1191">
            <v>23163</v>
          </cell>
          <cell r="AA1191">
            <v>26869</v>
          </cell>
        </row>
        <row r="1192">
          <cell r="B1192" t="str">
            <v>KHI/HO/D/MO/PC COMP/C/107407/194/02/2025</v>
          </cell>
          <cell r="D1192" t="str">
            <v>REN</v>
          </cell>
          <cell r="E1192" t="str">
            <v>17/02/25</v>
          </cell>
          <cell r="F1192" t="str">
            <v>22/02/2025</v>
          </cell>
          <cell r="G1192" t="str">
            <v>21/02/2026</v>
          </cell>
          <cell r="H1192" t="str">
            <v>08004499</v>
          </cell>
          <cell r="I1192" t="str">
            <v>AL BARAKA BANK (PAKISTAN) LIMITED</v>
          </cell>
          <cell r="J1192" t="str">
            <v>BANK</v>
          </cell>
          <cell r="K1192" t="str">
            <v xml:space="preserve">
HPA M/s. Al Baraka Bank (Pakistan) Limited 
Hpa M/S. Al Baraka Bank (Pakistan) Limited 
User: Ghulam  Mustafa</v>
          </cell>
          <cell r="L1192" t="str">
            <v>D</v>
          </cell>
          <cell r="M1192" t="str">
            <v>09000221</v>
          </cell>
          <cell r="N1192">
            <v>100</v>
          </cell>
          <cell r="O1192" t="str">
            <v>KARACHI</v>
          </cell>
          <cell r="P1192" t="str">
            <v>House No.21 Street 2 Maqbool Pura Ichra Lahore</v>
          </cell>
          <cell r="Q1192" t="str">
            <v>11000003</v>
          </cell>
          <cell r="R1192" t="str">
            <v>TOYOTA COROLLA XLI 1.3</v>
          </cell>
          <cell r="S1192" t="str">
            <v>2020</v>
          </cell>
          <cell r="T1192" t="str">
            <v>LEA-20-7658</v>
          </cell>
          <cell r="U1192" t="str">
            <v>Z575130</v>
          </cell>
          <cell r="V1192" t="str">
            <v>4200669</v>
          </cell>
          <cell r="W1192" t="str">
            <v>05-mar-2027</v>
          </cell>
          <cell r="Y1192">
            <v>1857100</v>
          </cell>
          <cell r="Z1192">
            <v>48029</v>
          </cell>
          <cell r="AA1192">
            <v>55713</v>
          </cell>
        </row>
        <row r="1193">
          <cell r="B1193" t="str">
            <v>KHI/HO/D/MO/PC COMP/C/107407/195/02/2025</v>
          </cell>
          <cell r="D1193" t="str">
            <v>REN</v>
          </cell>
          <cell r="E1193" t="str">
            <v>17/02/25</v>
          </cell>
          <cell r="F1193" t="str">
            <v>25/02/2025</v>
          </cell>
          <cell r="G1193" t="str">
            <v>24/02/2026</v>
          </cell>
          <cell r="H1193" t="str">
            <v>08004499</v>
          </cell>
          <cell r="I1193" t="str">
            <v>AL BARAKA BANK (PAKISTAN) LIMITED</v>
          </cell>
          <cell r="J1193" t="str">
            <v>BANK</v>
          </cell>
          <cell r="K1193" t="str">
            <v xml:space="preserve">
HPA M/s. Al Baraka Bank (Pakistan) Limited 
Hpa M/S. Al Baraka Bank (Pakistan) Limited 
User: Muhammad  Asif</v>
          </cell>
          <cell r="L1193" t="str">
            <v>D</v>
          </cell>
          <cell r="M1193" t="str">
            <v>09000221</v>
          </cell>
          <cell r="N1193">
            <v>100</v>
          </cell>
          <cell r="O1193" t="str">
            <v>KARACHI</v>
          </cell>
          <cell r="P1193" t="str">
            <v>House No. 219 Block F2 Wapda Town Lahore</v>
          </cell>
          <cell r="Q1193" t="str">
            <v>11000003</v>
          </cell>
          <cell r="R1193" t="str">
            <v>TOYOTA COROLLA GLI M/T 1.</v>
          </cell>
          <cell r="S1193" t="str">
            <v>2020</v>
          </cell>
          <cell r="T1193" t="str">
            <v>AAQ-054</v>
          </cell>
          <cell r="U1193" t="str">
            <v>Z580141</v>
          </cell>
          <cell r="V1193" t="str">
            <v>NZE170R-4203605</v>
          </cell>
          <cell r="W1193" t="str">
            <v>05-mar-2026</v>
          </cell>
          <cell r="Y1193">
            <v>2032100</v>
          </cell>
          <cell r="Z1193">
            <v>48175</v>
          </cell>
          <cell r="AA1193">
            <v>55883</v>
          </cell>
        </row>
        <row r="1194">
          <cell r="B1194" t="str">
            <v>KHI/HO/D/MO/PC COMP/C/107407/196/02/2025</v>
          </cell>
          <cell r="D1194" t="str">
            <v>REN</v>
          </cell>
          <cell r="E1194" t="str">
            <v>17/02/25</v>
          </cell>
          <cell r="F1194" t="str">
            <v>28/02/2025</v>
          </cell>
          <cell r="G1194" t="str">
            <v>27/02/2026</v>
          </cell>
          <cell r="H1194" t="str">
            <v>08004499</v>
          </cell>
          <cell r="I1194" t="str">
            <v>AL BARAKA BANK (PAKISTAN) LIMITED</v>
          </cell>
          <cell r="J1194" t="str">
            <v>BANK</v>
          </cell>
          <cell r="K1194" t="str">
            <v xml:space="preserve">
HPA M/s. Al Baraka Bank (Pakistan) Limited 
Hpa M/S. Al Baraka Bank (Pakistan) Limited 
User: Moazzam  Zaib</v>
          </cell>
          <cell r="L1194" t="str">
            <v>D</v>
          </cell>
          <cell r="M1194" t="str">
            <v>09000221</v>
          </cell>
          <cell r="N1194">
            <v>100</v>
          </cell>
          <cell r="P1194" t="str">
            <v>1-C canal Garden Near Shah Kam Chowk Canal Road Lahore</v>
          </cell>
          <cell r="Q1194" t="str">
            <v>11000003</v>
          </cell>
          <cell r="R1194" t="str">
            <v>SUZUKI WAGON-R VXL E2</v>
          </cell>
          <cell r="S1194" t="str">
            <v>2020</v>
          </cell>
          <cell r="T1194" t="str">
            <v>LEA-20-9678</v>
          </cell>
          <cell r="U1194" t="str">
            <v>202028</v>
          </cell>
          <cell r="V1194" t="str">
            <v>10102016</v>
          </cell>
          <cell r="W1194" t="str">
            <v>05-mar-2026</v>
          </cell>
          <cell r="Y1194">
            <v>1186500</v>
          </cell>
          <cell r="Z1194">
            <v>38356</v>
          </cell>
          <cell r="AA1194">
            <v>44494</v>
          </cell>
        </row>
        <row r="1195">
          <cell r="B1195" t="str">
            <v>KHI/HO/D/MO/PC COMP/C/107407/197/02/2025</v>
          </cell>
          <cell r="D1195" t="str">
            <v>REN</v>
          </cell>
          <cell r="E1195" t="str">
            <v>17/02/25</v>
          </cell>
          <cell r="F1195" t="str">
            <v>28/02/2025</v>
          </cell>
          <cell r="G1195" t="str">
            <v>27/02/2026</v>
          </cell>
          <cell r="H1195" t="str">
            <v>08004499</v>
          </cell>
          <cell r="I1195" t="str">
            <v>AL BARAKA BANK (PAKISTAN) LIMITED</v>
          </cell>
          <cell r="J1195" t="str">
            <v>BANK</v>
          </cell>
          <cell r="K1195" t="str">
            <v xml:space="preserve">
HPA M/s. Al Baraka Bank (Pakistan) Limited 
Hpa M/S. Al Baraka Bank (Pakistan) Limited 
User: Muhammad   Haroon</v>
          </cell>
          <cell r="L1195" t="str">
            <v>D</v>
          </cell>
          <cell r="M1195" t="str">
            <v>09000221</v>
          </cell>
          <cell r="N1195">
            <v>100</v>
          </cell>
          <cell r="O1195" t="str">
            <v>KARACHI</v>
          </cell>
          <cell r="P1195" t="str">
            <v>House No.  MCB-3/150 Mohallah  Dhoke Bhattian Rawalpindi Road Chakwal</v>
          </cell>
          <cell r="Q1195" t="str">
            <v>11000003</v>
          </cell>
          <cell r="R1195" t="str">
            <v>DAIHATSU MIRA EIS</v>
          </cell>
          <cell r="S1195" t="str">
            <v>2015</v>
          </cell>
          <cell r="T1195" t="str">
            <v>AGU-760</v>
          </cell>
          <cell r="U1195" t="str">
            <v>G933517</v>
          </cell>
          <cell r="V1195" t="str">
            <v>1351046</v>
          </cell>
          <cell r="W1195" t="str">
            <v>05-mar-2026</v>
          </cell>
          <cell r="Y1195">
            <v>1015000</v>
          </cell>
          <cell r="Z1195">
            <v>30625</v>
          </cell>
          <cell r="AA1195">
            <v>35525</v>
          </cell>
        </row>
        <row r="1196">
          <cell r="B1196" t="str">
            <v>KHI/HO/D/MO/PC COMP/C/107407/198/02/2025</v>
          </cell>
          <cell r="D1196" t="str">
            <v>REN</v>
          </cell>
          <cell r="E1196" t="str">
            <v>17/02/25</v>
          </cell>
          <cell r="F1196" t="str">
            <v>28/02/2025</v>
          </cell>
          <cell r="G1196" t="str">
            <v>27/02/2026</v>
          </cell>
          <cell r="H1196" t="str">
            <v>08004499</v>
          </cell>
          <cell r="I1196" t="str">
            <v>AL BARAKA BANK (PAKISTAN) LIMITED</v>
          </cell>
          <cell r="J1196" t="str">
            <v>BANK</v>
          </cell>
          <cell r="K1196" t="str">
            <v xml:space="preserve">
HPA M/s. Al Baraka Bank (Pakistan) Limited 
Hpa M/S. Al Baraka Bank (Pakistan) Limited 
User: Rana Ahsaan Inayat</v>
          </cell>
          <cell r="L1196" t="str">
            <v>D</v>
          </cell>
          <cell r="M1196" t="str">
            <v>09000221</v>
          </cell>
          <cell r="N1196">
            <v>100</v>
          </cell>
          <cell r="P1196" t="str">
            <v>House No.36 Main Bazar Mian Mahmood Road Faisal Park Barkat Town  Stop Shahdra Lahore</v>
          </cell>
          <cell r="Q1196" t="str">
            <v>11000003</v>
          </cell>
          <cell r="R1196" t="str">
            <v>SUZUKI CULTUS VXL EURO II</v>
          </cell>
          <cell r="S1196" t="str">
            <v>2020</v>
          </cell>
          <cell r="T1196" t="str">
            <v>LEA-20-8379</v>
          </cell>
          <cell r="U1196" t="str">
            <v>157715</v>
          </cell>
          <cell r="V1196" t="str">
            <v>10057729</v>
          </cell>
          <cell r="W1196" t="str">
            <v>05-mar-2026</v>
          </cell>
          <cell r="Y1196">
            <v>1305500</v>
          </cell>
          <cell r="Z1196">
            <v>42203</v>
          </cell>
          <cell r="AA1196">
            <v>48956</v>
          </cell>
        </row>
        <row r="1197">
          <cell r="B1197" t="str">
            <v>KHI/HO/D/MO/PC COMP/C/107407/199/02/2025</v>
          </cell>
          <cell r="D1197" t="str">
            <v>REN</v>
          </cell>
          <cell r="E1197" t="str">
            <v>17/02/25</v>
          </cell>
          <cell r="F1197" t="str">
            <v>11/02/2025</v>
          </cell>
          <cell r="G1197" t="str">
            <v>10/02/2026</v>
          </cell>
          <cell r="H1197" t="str">
            <v>08004499</v>
          </cell>
          <cell r="I1197" t="str">
            <v>AL BARAKA BANK (PAKISTAN) LIMITED</v>
          </cell>
          <cell r="J1197" t="str">
            <v>BANK</v>
          </cell>
          <cell r="K1197" t="str">
            <v xml:space="preserve">
HPA M/s. Al Baraka Bank (Pakistan) Limited 
Hpa M/S. Al Baraka Bank (Pakistan) Limited 
User: Umair Sajid</v>
          </cell>
          <cell r="L1197" t="str">
            <v>D</v>
          </cell>
          <cell r="M1197" t="str">
            <v>09000221</v>
          </cell>
          <cell r="N1197">
            <v>100</v>
          </cell>
          <cell r="O1197" t="str">
            <v>KARACHI</v>
          </cell>
          <cell r="P1197" t="str">
            <v>St # 3 Abdullah Colony Samundary Road 
Faisalabad.</v>
          </cell>
          <cell r="Q1197" t="str">
            <v>11000003</v>
          </cell>
          <cell r="R1197" t="str">
            <v>TOYOTA COROLLA GLI</v>
          </cell>
          <cell r="S1197" t="str">
            <v>2020</v>
          </cell>
          <cell r="T1197" t="str">
            <v>LEE-20-175</v>
          </cell>
          <cell r="U1197" t="str">
            <v>Z576059</v>
          </cell>
          <cell r="V1197" t="str">
            <v>4201938</v>
          </cell>
          <cell r="W1197" t="str">
            <v>05-mar-2026</v>
          </cell>
          <cell r="Y1197">
            <v>1962100</v>
          </cell>
          <cell r="Z1197">
            <v>63430</v>
          </cell>
          <cell r="AA1197">
            <v>73579</v>
          </cell>
        </row>
        <row r="1198">
          <cell r="B1198" t="str">
            <v>KHI/HO/D/MO/PC COMP/C/107407/200/02/2025</v>
          </cell>
          <cell r="D1198" t="str">
            <v>REN</v>
          </cell>
          <cell r="E1198" t="str">
            <v>17/02/25</v>
          </cell>
          <cell r="F1198" t="str">
            <v>27/02/2025</v>
          </cell>
          <cell r="G1198" t="str">
            <v>26/02/2026</v>
          </cell>
          <cell r="H1198" t="str">
            <v>08004499</v>
          </cell>
          <cell r="I1198" t="str">
            <v>AL BARAKA BANK (PAKISTAN) LIMITED</v>
          </cell>
          <cell r="J1198" t="str">
            <v>BANK</v>
          </cell>
          <cell r="K1198" t="str">
            <v xml:space="preserve">
HPA M/s. Al Baraka Bank (Pakistan) Limited 
Hpa M/S. Al Baraka Bank (Pakistan) Limited 
User: Muhammad Qurban Saqib</v>
          </cell>
          <cell r="L1198" t="str">
            <v>D</v>
          </cell>
          <cell r="M1198" t="str">
            <v>09000221</v>
          </cell>
          <cell r="N1198">
            <v>100</v>
          </cell>
          <cell r="P1198" t="str">
            <v>Mujhaid Road Bank Stop Fazel-e-Haq Colony 17 Km Ferozepur Road Lahore</v>
          </cell>
          <cell r="Q1198" t="str">
            <v>11000003</v>
          </cell>
          <cell r="R1198" t="str">
            <v>HONDA CITY I-VTEC (M/T)</v>
          </cell>
          <cell r="S1198" t="str">
            <v>2019</v>
          </cell>
          <cell r="T1198" t="str">
            <v>LEC-19-5993</v>
          </cell>
          <cell r="U1198" t="str">
            <v>7527493</v>
          </cell>
          <cell r="V1198" t="str">
            <v>KR245283</v>
          </cell>
          <cell r="W1198" t="str">
            <v>05-mar-2026</v>
          </cell>
          <cell r="Y1198">
            <v>1299350</v>
          </cell>
          <cell r="Z1198">
            <v>36964</v>
          </cell>
          <cell r="AA1198">
            <v>42879</v>
          </cell>
        </row>
        <row r="1199">
          <cell r="B1199" t="str">
            <v>KHI/HO/D/MO/PC COMP/C/107407/201/02/2025</v>
          </cell>
          <cell r="D1199" t="str">
            <v>REN</v>
          </cell>
          <cell r="E1199" t="str">
            <v>17/02/25</v>
          </cell>
          <cell r="F1199" t="str">
            <v>27/02/2025</v>
          </cell>
          <cell r="G1199" t="str">
            <v>26/02/2026</v>
          </cell>
          <cell r="H1199" t="str">
            <v>08004499</v>
          </cell>
          <cell r="I1199" t="str">
            <v>AL BARAKA BANK (PAKISTAN) LIMITED</v>
          </cell>
          <cell r="J1199" t="str">
            <v>BANK</v>
          </cell>
          <cell r="K1199" t="str">
            <v xml:space="preserve">
HPA M/s. Al Baraka Bank (Pakistan) Limited 
Hpa M/S. Al Baraka Bank (Pakistan) Limited 
User: Faisal   Bhatti</v>
          </cell>
          <cell r="L1199" t="str">
            <v>D</v>
          </cell>
          <cell r="M1199" t="str">
            <v>09000221</v>
          </cell>
          <cell r="N1199">
            <v>100</v>
          </cell>
          <cell r="P1199" t="str">
            <v>Mohallah Sofia Abad Near Aik Minar Wali Masjid Nain Sukh Lahore</v>
          </cell>
          <cell r="Q1199" t="str">
            <v>11000003</v>
          </cell>
          <cell r="R1199" t="str">
            <v>SUZUKI BOLAN STV VX EURO</v>
          </cell>
          <cell r="S1199" t="str">
            <v>2019</v>
          </cell>
          <cell r="T1199" t="str">
            <v>LED-19-1681</v>
          </cell>
          <cell r="U1199" t="str">
            <v>993971</v>
          </cell>
          <cell r="V1199" t="str">
            <v>01110488</v>
          </cell>
          <cell r="W1199" t="str">
            <v>05-mar-2026</v>
          </cell>
          <cell r="Y1199">
            <v>555100</v>
          </cell>
          <cell r="Z1199">
            <v>17945</v>
          </cell>
          <cell r="AA1199">
            <v>20816</v>
          </cell>
        </row>
        <row r="1200">
          <cell r="B1200" t="str">
            <v>KHI/HO/D/MO/PC COMP/C/107407/202/02/2025</v>
          </cell>
          <cell r="D1200" t="str">
            <v>REN</v>
          </cell>
          <cell r="E1200" t="str">
            <v>17/02/25</v>
          </cell>
          <cell r="F1200" t="str">
            <v>28/02/2025</v>
          </cell>
          <cell r="G1200" t="str">
            <v>27/02/2026</v>
          </cell>
          <cell r="H1200" t="str">
            <v>08004499</v>
          </cell>
          <cell r="I1200" t="str">
            <v>AL BARAKA BANK (PAKISTAN) LIMITED</v>
          </cell>
          <cell r="J1200" t="str">
            <v>BANK</v>
          </cell>
          <cell r="K1200" t="str">
            <v xml:space="preserve">
HPA M/s. Al Baraka Bank (Pakistan) Limited 
Hpa M/S. Al Baraka Bank (Pakistan) Limited 
User: Muhammad Khalid Khan</v>
          </cell>
          <cell r="L1200" t="str">
            <v>D</v>
          </cell>
          <cell r="M1200" t="str">
            <v>09000221</v>
          </cell>
          <cell r="N1200">
            <v>100</v>
          </cell>
          <cell r="P1200" t="str">
            <v>3rd Floor Hill View Appartment House No. 11-A-32 Area KMCHS Karachi</v>
          </cell>
          <cell r="Q1200" t="str">
            <v>11000003</v>
          </cell>
          <cell r="R1200" t="str">
            <v>TOYOTA COROLLA ALTIS VVT-</v>
          </cell>
          <cell r="S1200" t="str">
            <v>2019</v>
          </cell>
          <cell r="T1200" t="str">
            <v>BQP-341</v>
          </cell>
          <cell r="U1200" t="str">
            <v>59197</v>
          </cell>
          <cell r="V1200" t="str">
            <v>6036603</v>
          </cell>
          <cell r="W1200" t="str">
            <v>05-mar-2027</v>
          </cell>
          <cell r="Y1200">
            <v>2560000</v>
          </cell>
          <cell r="Z1200">
            <v>55172</v>
          </cell>
          <cell r="AA1200">
            <v>64000</v>
          </cell>
        </row>
        <row r="1201">
          <cell r="B1201" t="str">
            <v>KHI/HO/D/MO/PC COMP/C/106977/23/02/2025</v>
          </cell>
          <cell r="D1201" t="str">
            <v>FRE</v>
          </cell>
          <cell r="E1201" t="str">
            <v>18/02/25</v>
          </cell>
          <cell r="F1201" t="str">
            <v>18/02/2025</v>
          </cell>
          <cell r="G1201" t="str">
            <v>17/02/2026</v>
          </cell>
          <cell r="H1201" t="str">
            <v>08004499</v>
          </cell>
          <cell r="I1201" t="str">
            <v>AL BARAKA BANK (PAKISTAN) LIMITED</v>
          </cell>
          <cell r="J1201" t="str">
            <v>BANK</v>
          </cell>
          <cell r="K1201" t="str">
            <v>Mr. 
HPA M/s. Al Baraka Bank (Pakistan) Limited 
Mr. Abu Bakar Azhar 
HPA M/s. Al Baraka Bank (Pakistan) Limited</v>
          </cell>
          <cell r="L1201" t="str">
            <v>D</v>
          </cell>
          <cell r="M1201" t="str">
            <v>09000221</v>
          </cell>
          <cell r="N1201">
            <v>100</v>
          </cell>
          <cell r="P1201" t="str">
            <v>Shop 12 Basement A W Plaza Near Awami Trade Center G-9 Markez Islamabad</v>
          </cell>
          <cell r="Q1201" t="str">
            <v>11000003</v>
          </cell>
          <cell r="R1201" t="str">
            <v>SUZUKI ALTO VXR E-2</v>
          </cell>
          <cell r="S1201" t="str">
            <v>2022</v>
          </cell>
          <cell r="T1201" t="str">
            <v>AZZ-289</v>
          </cell>
          <cell r="U1201" t="str">
            <v>238861</v>
          </cell>
          <cell r="V1201" t="str">
            <v>1138876</v>
          </cell>
          <cell r="Y1201">
            <v>2350000</v>
          </cell>
          <cell r="Z1201">
            <v>40517</v>
          </cell>
          <cell r="AA1201">
            <v>47000</v>
          </cell>
        </row>
        <row r="1202">
          <cell r="B1202" t="str">
            <v>KHI/HO/D/MO/PC COMP/C/106977/24/02/2025</v>
          </cell>
          <cell r="D1202" t="str">
            <v>FRE</v>
          </cell>
          <cell r="E1202" t="str">
            <v>18/02/25</v>
          </cell>
          <cell r="F1202" t="str">
            <v>18/02/2025</v>
          </cell>
          <cell r="G1202" t="str">
            <v>17/02/2026</v>
          </cell>
          <cell r="H1202" t="str">
            <v>08004499</v>
          </cell>
          <cell r="I1202" t="str">
            <v>AL BARAKA BANK (PAKISTAN) LIMITED</v>
          </cell>
          <cell r="J1202" t="str">
            <v>BANK</v>
          </cell>
          <cell r="K1202" t="str">
            <v>Mr. 
HPA M/s. Al Baraka Bank (Pakistan) Limited 
Mr. Muhammad Gohar
HPA M/s. Al Baraka Bank (Pakistan) Limited</v>
          </cell>
          <cell r="L1202" t="str">
            <v>D</v>
          </cell>
          <cell r="M1202" t="str">
            <v>09000221</v>
          </cell>
          <cell r="N1202">
            <v>100</v>
          </cell>
          <cell r="O1202" t="str">
            <v>LAHORE</v>
          </cell>
          <cell r="P1202" t="str">
            <v>H # 3 Street 11 Nabi Pura Lahore</v>
          </cell>
          <cell r="Q1202" t="str">
            <v>11000003</v>
          </cell>
          <cell r="R1202" t="str">
            <v>SUZUKI MEHRAN VXR EURO-II</v>
          </cell>
          <cell r="S1202" t="str">
            <v>2017</v>
          </cell>
          <cell r="T1202" t="str">
            <v>LEE-17-7453</v>
          </cell>
          <cell r="U1202" t="str">
            <v>PKB689219</v>
          </cell>
          <cell r="V1202" t="str">
            <v>SB308PK01227732</v>
          </cell>
          <cell r="X1202" t="str">
            <v>3</v>
          </cell>
          <cell r="Y1202">
            <v>1000000</v>
          </cell>
          <cell r="Z1202">
            <v>17242</v>
          </cell>
          <cell r="AA1202">
            <v>20000</v>
          </cell>
        </row>
        <row r="1203">
          <cell r="B1203" t="str">
            <v>KHI/HO/D/MO/PC COMP/C/106977/25/02/2025</v>
          </cell>
          <cell r="D1203" t="str">
            <v>FRE</v>
          </cell>
          <cell r="E1203" t="str">
            <v>18/02/25</v>
          </cell>
          <cell r="F1203" t="str">
            <v>18/02/2025</v>
          </cell>
          <cell r="G1203" t="str">
            <v>17/02/2026</v>
          </cell>
          <cell r="H1203" t="str">
            <v>08004499</v>
          </cell>
          <cell r="I1203" t="str">
            <v>AL BARAKA BANK (PAKISTAN) LIMITED</v>
          </cell>
          <cell r="J1203" t="str">
            <v>BANK</v>
          </cell>
          <cell r="K1203" t="str">
            <v>Mr. 
HPA M/s. Al Baraka Bank (Pakistan) Limited 
Mr. Muhammad Musa Sheikh
HPA M/s. Al Baraka Bank (Pakistan) Limited</v>
          </cell>
          <cell r="L1203" t="str">
            <v>D</v>
          </cell>
          <cell r="M1203" t="str">
            <v>09000221</v>
          </cell>
          <cell r="N1203">
            <v>100</v>
          </cell>
          <cell r="P1203" t="str">
            <v>H # 784 D Block Faisal Town Lahore</v>
          </cell>
          <cell r="Q1203" t="str">
            <v>11000003</v>
          </cell>
          <cell r="R1203" t="str">
            <v>TOYOTA COROLLA GLI M/T 1.</v>
          </cell>
          <cell r="S1203" t="str">
            <v>2018</v>
          </cell>
          <cell r="T1203" t="str">
            <v>LEB-18-4462</v>
          </cell>
          <cell r="U1203" t="str">
            <v>534337</v>
          </cell>
          <cell r="V1203" t="str">
            <v>4160461</v>
          </cell>
          <cell r="X1203" t="str">
            <v>3</v>
          </cell>
          <cell r="Y1203">
            <v>4000000</v>
          </cell>
          <cell r="Z1203">
            <v>51724</v>
          </cell>
          <cell r="AA1203">
            <v>60000</v>
          </cell>
        </row>
        <row r="1204">
          <cell r="B1204" t="str">
            <v>KHI/HO/D/MO/PC COMP/C/106977/26/02/2025</v>
          </cell>
          <cell r="D1204" t="str">
            <v>FRE</v>
          </cell>
          <cell r="E1204" t="str">
            <v>18/02/25</v>
          </cell>
          <cell r="F1204" t="str">
            <v>18/02/2025</v>
          </cell>
          <cell r="G1204" t="str">
            <v>17/02/2026</v>
          </cell>
          <cell r="H1204" t="str">
            <v>08004499</v>
          </cell>
          <cell r="I1204" t="str">
            <v>AL BARAKA BANK (PAKISTAN) LIMITED</v>
          </cell>
          <cell r="J1204" t="str">
            <v>BANK</v>
          </cell>
          <cell r="K1204" t="str">
            <v>Mr. 
HPA M/s. Al Baraka Bank (Pakistan) Limited 
Mr. Ali Raza 
HPA M/s. Al Baraka Bank (Pakistan) Limited</v>
          </cell>
          <cell r="L1204" t="str">
            <v>D</v>
          </cell>
          <cell r="M1204" t="str">
            <v>09000221</v>
          </cell>
          <cell r="N1204">
            <v>100</v>
          </cell>
          <cell r="O1204" t="str">
            <v>LAHORE</v>
          </cell>
          <cell r="P1204" t="str">
            <v>H # 194 Q Block EX Air Avenue DHA Phase 8 Lahore</v>
          </cell>
          <cell r="Q1204" t="str">
            <v>11000003</v>
          </cell>
          <cell r="R1204" t="str">
            <v>SUZUKI ALTO VXL AGS E-2</v>
          </cell>
          <cell r="S1204" t="str">
            <v>2025</v>
          </cell>
          <cell r="U1204" t="str">
            <v>R340852</v>
          </cell>
          <cell r="V1204" t="str">
            <v>H1240675</v>
          </cell>
          <cell r="X1204" t="str">
            <v>3</v>
          </cell>
          <cell r="Y1204">
            <v>3045000</v>
          </cell>
          <cell r="Z1204">
            <v>52500</v>
          </cell>
          <cell r="AA1204">
            <v>60900</v>
          </cell>
        </row>
        <row r="1205">
          <cell r="B1205" t="str">
            <v>KHI/HO/D/MO/PC COMP/C/106977/27/02/2025</v>
          </cell>
          <cell r="D1205" t="str">
            <v>FRE</v>
          </cell>
          <cell r="E1205" t="str">
            <v>18/02/25</v>
          </cell>
          <cell r="F1205" t="str">
            <v>18/02/2025</v>
          </cell>
          <cell r="G1205" t="str">
            <v>17/02/2026</v>
          </cell>
          <cell r="H1205" t="str">
            <v>08004499</v>
          </cell>
          <cell r="I1205" t="str">
            <v>AL BARAKA BANK (PAKISTAN) LIMITED</v>
          </cell>
          <cell r="J1205" t="str">
            <v>BANK</v>
          </cell>
          <cell r="K1205" t="str">
            <v>Mr. 
HPA M/s. Al Baraka Bank (Pakistan) Limited 
Mr. Usman Alam  
HPA M/s. Al Baraka Bank (Pakistan) Limited</v>
          </cell>
          <cell r="L1205" t="str">
            <v>D</v>
          </cell>
          <cell r="M1205" t="str">
            <v>09000221</v>
          </cell>
          <cell r="N1205">
            <v>100</v>
          </cell>
          <cell r="O1205" t="str">
            <v>LAHORE</v>
          </cell>
          <cell r="P1205" t="str">
            <v>H # 78 B Mohallah Arif Jan Road Lahore</v>
          </cell>
          <cell r="Q1205" t="str">
            <v>11000003</v>
          </cell>
          <cell r="R1205" t="str">
            <v>HONDA CITY ASPIRE CVT PT</v>
          </cell>
          <cell r="S1205" t="str">
            <v>2025</v>
          </cell>
          <cell r="U1205" t="str">
            <v>1017478</v>
          </cell>
          <cell r="V1205" t="str">
            <v>SR049269</v>
          </cell>
          <cell r="X1205" t="str">
            <v>3</v>
          </cell>
          <cell r="Y1205">
            <v>5909000</v>
          </cell>
          <cell r="Z1205">
            <v>76410</v>
          </cell>
          <cell r="AA1205">
            <v>88635</v>
          </cell>
        </row>
        <row r="1206">
          <cell r="B1206" t="str">
            <v>KHI/HO/D/MO/CV/C/107454/1/02/2025</v>
          </cell>
          <cell r="D1206" t="str">
            <v>REN</v>
          </cell>
          <cell r="E1206" t="str">
            <v>18/02/25</v>
          </cell>
          <cell r="F1206" t="str">
            <v>16/02/2025</v>
          </cell>
          <cell r="G1206" t="str">
            <v>15/02/2026</v>
          </cell>
          <cell r="H1206" t="str">
            <v>08004499</v>
          </cell>
          <cell r="I1206" t="str">
            <v>AL BARAKA BANK (PAKISTAN) LIMITED</v>
          </cell>
          <cell r="J1206" t="str">
            <v>BANK</v>
          </cell>
          <cell r="K1206" t="str">
            <v>HPA M/s. Al Baraka Bank Pakistan Limited
Mr. Muhammad Shafiq    
HPA M/s. Al Baraka Bank Pakistan Limited</v>
          </cell>
          <cell r="L1206" t="str">
            <v>D</v>
          </cell>
          <cell r="M1206" t="str">
            <v>09000221</v>
          </cell>
          <cell r="N1206">
            <v>100</v>
          </cell>
          <cell r="O1206" t="str">
            <v>ISLAMABAD</v>
          </cell>
          <cell r="P1206" t="str">
            <v>House No. 9 Street 2 Mohallah Usmania Saal Kharbooza Tarnol Islamabad</v>
          </cell>
          <cell r="Q1206" t="str">
            <v>11000003</v>
          </cell>
          <cell r="R1206" t="str">
            <v>SUZUKI RAVI VX EURO II</v>
          </cell>
          <cell r="S1206" t="str">
            <v>2021</v>
          </cell>
          <cell r="T1206" t="str">
            <v>TB-313</v>
          </cell>
          <cell r="U1206" t="str">
            <v>367410</v>
          </cell>
          <cell r="V1206" t="str">
            <v>472075</v>
          </cell>
          <cell r="X1206" t="str">
            <v>3</v>
          </cell>
          <cell r="Y1206">
            <v>775500</v>
          </cell>
          <cell r="Z1206">
            <v>16283</v>
          </cell>
          <cell r="AA1206">
            <v>19388</v>
          </cell>
        </row>
        <row r="1207">
          <cell r="B1207" t="str">
            <v>KHI/HO/D/MO/CV/C/107454/2/02/2025</v>
          </cell>
          <cell r="D1207" t="str">
            <v>REN</v>
          </cell>
          <cell r="E1207" t="str">
            <v>18/02/25</v>
          </cell>
          <cell r="F1207" t="str">
            <v>21/02/2025</v>
          </cell>
          <cell r="G1207" t="str">
            <v>20/02/2026</v>
          </cell>
          <cell r="H1207" t="str">
            <v>08004499</v>
          </cell>
          <cell r="I1207" t="str">
            <v>AL BARAKA BANK (PAKISTAN) LIMITED</v>
          </cell>
          <cell r="J1207" t="str">
            <v>BANK</v>
          </cell>
          <cell r="K1207" t="str">
            <v>HPA M/s. Al Baraka Bank Pakistan Limited
Mr. Shiraz Sharif     
HPA M/s. Al Baraka Bank Pakistan Limited</v>
          </cell>
          <cell r="L1207" t="str">
            <v>D</v>
          </cell>
          <cell r="M1207" t="str">
            <v>09000221</v>
          </cell>
          <cell r="N1207">
            <v>100</v>
          </cell>
          <cell r="O1207" t="str">
            <v>ISLAMABAD</v>
          </cell>
          <cell r="P1207" t="str">
            <v>House No. 10 Main Street  Mohallah Ghousia Kot Hatyal Bhara Kahu Islamabad</v>
          </cell>
          <cell r="Q1207" t="str">
            <v>11000003</v>
          </cell>
          <cell r="R1207" t="str">
            <v>SUZUKI RAVI VX EURO II</v>
          </cell>
          <cell r="S1207" t="str">
            <v>2021</v>
          </cell>
          <cell r="T1207" t="str">
            <v>TB-106</v>
          </cell>
          <cell r="U1207" t="str">
            <v>367941</v>
          </cell>
          <cell r="V1207" t="str">
            <v>472572</v>
          </cell>
          <cell r="X1207" t="str">
            <v>3</v>
          </cell>
          <cell r="Y1207">
            <v>775500</v>
          </cell>
          <cell r="Z1207">
            <v>16714</v>
          </cell>
          <cell r="AA1207">
            <v>19388</v>
          </cell>
        </row>
        <row r="1208">
          <cell r="B1208" t="str">
            <v>KHI/HO/D/MO/CV/C/107454/3/02/2025</v>
          </cell>
          <cell r="D1208" t="str">
            <v>REN</v>
          </cell>
          <cell r="E1208" t="str">
            <v>18/02/25</v>
          </cell>
          <cell r="F1208" t="str">
            <v>22/02/2025</v>
          </cell>
          <cell r="G1208" t="str">
            <v>21/02/2026</v>
          </cell>
          <cell r="H1208" t="str">
            <v>08004499</v>
          </cell>
          <cell r="I1208" t="str">
            <v>AL BARAKA BANK (PAKISTAN) LIMITED</v>
          </cell>
          <cell r="J1208" t="str">
            <v>BANK</v>
          </cell>
          <cell r="K1208" t="str">
            <v>HPA M/s. Al Baraka Bank Pakistan Limited
Mr. Muzafar Khan       
HPA M/s. Al Baraka Bank Pakistan Limited</v>
          </cell>
          <cell r="L1208" t="str">
            <v>D</v>
          </cell>
          <cell r="M1208" t="str">
            <v>09000221</v>
          </cell>
          <cell r="N1208">
            <v>100</v>
          </cell>
          <cell r="O1208" t="str">
            <v>RAWALPINDI</v>
          </cell>
          <cell r="P1208" t="str">
            <v>Bahria Town Phase 8 Awami Villas 6 Flat No. 101 A Rawalpindi</v>
          </cell>
          <cell r="Q1208" t="str">
            <v>11000003</v>
          </cell>
          <cell r="R1208" t="str">
            <v>SUZUKI RAVI VX EURO II</v>
          </cell>
          <cell r="S1208" t="str">
            <v>2021</v>
          </cell>
          <cell r="T1208" t="str">
            <v>AB-297</v>
          </cell>
          <cell r="U1208" t="str">
            <v>367394</v>
          </cell>
          <cell r="V1208" t="str">
            <v>472057</v>
          </cell>
          <cell r="Y1208">
            <v>775500</v>
          </cell>
          <cell r="Z1208">
            <v>16714</v>
          </cell>
          <cell r="AA1208">
            <v>19388</v>
          </cell>
        </row>
        <row r="1209">
          <cell r="B1209" t="str">
            <v>KHI/HO/D/MO/CV/C/107454/4/02/2025</v>
          </cell>
          <cell r="D1209" t="str">
            <v>REN</v>
          </cell>
          <cell r="E1209" t="str">
            <v>18/02/25</v>
          </cell>
          <cell r="F1209" t="str">
            <v>25/02/2025</v>
          </cell>
          <cell r="G1209" t="str">
            <v>24/02/2026</v>
          </cell>
          <cell r="H1209" t="str">
            <v>08004499</v>
          </cell>
          <cell r="I1209" t="str">
            <v>AL BARAKA BANK (PAKISTAN) LIMITED</v>
          </cell>
          <cell r="J1209" t="str">
            <v>BANK</v>
          </cell>
          <cell r="K1209" t="str">
            <v>HPA M/s. Al Baraka Bank Pakistan Limited
Mr. Muhammad Hassan 
HPA M/s. Al Baraka Bank Pakistan Limited</v>
          </cell>
          <cell r="L1209" t="str">
            <v>D</v>
          </cell>
          <cell r="M1209" t="str">
            <v>09000221</v>
          </cell>
          <cell r="N1209">
            <v>100</v>
          </cell>
          <cell r="O1209" t="str">
            <v>ISLAMABAD</v>
          </cell>
          <cell r="P1209" t="str">
            <v>Shop 02 Block B B-17 Near Al Bashir Masjid Plaza Sohrab Center Islamabad</v>
          </cell>
          <cell r="Q1209" t="str">
            <v>11000003</v>
          </cell>
          <cell r="R1209" t="str">
            <v>SUZUKI RAVI VX EURO II</v>
          </cell>
          <cell r="S1209" t="str">
            <v>2021</v>
          </cell>
          <cell r="T1209" t="str">
            <v>TB-766</v>
          </cell>
          <cell r="U1209" t="str">
            <v>367684</v>
          </cell>
          <cell r="V1209" t="str">
            <v>472343</v>
          </cell>
          <cell r="X1209" t="str">
            <v>3</v>
          </cell>
          <cell r="Y1209">
            <v>775500</v>
          </cell>
          <cell r="Z1209">
            <v>16714</v>
          </cell>
          <cell r="AA1209">
            <v>19388</v>
          </cell>
        </row>
        <row r="1210">
          <cell r="B1210" t="str">
            <v>KHI/HO/D/MO/CV/C/107453/1/02/2025</v>
          </cell>
          <cell r="D1210" t="str">
            <v>REN</v>
          </cell>
          <cell r="E1210" t="str">
            <v>18/02/25</v>
          </cell>
          <cell r="F1210" t="str">
            <v>26/02/2025</v>
          </cell>
          <cell r="G1210" t="str">
            <v>25/02/2026</v>
          </cell>
          <cell r="H1210" t="str">
            <v>08004499</v>
          </cell>
          <cell r="I1210" t="str">
            <v>AL BARAKA BANK (PAKISTAN) LIMITED</v>
          </cell>
          <cell r="J1210" t="str">
            <v>BANK</v>
          </cell>
          <cell r="K1210" t="str">
            <v>M/s. Al Baraka Bank (Pakistan) Limited
Mr. SAJJAD WASEEM RAJA
HPA M/s. Al Baraka Bank Pakistan Limited</v>
          </cell>
          <cell r="L1210" t="str">
            <v>D</v>
          </cell>
          <cell r="M1210" t="str">
            <v>09000221</v>
          </cell>
          <cell r="N1210">
            <v>100</v>
          </cell>
          <cell r="P1210" t="str">
            <v>House# 516 Block B Near Govt Degree College For Women Satellite Town</v>
          </cell>
          <cell r="Q1210" t="str">
            <v>11000003</v>
          </cell>
          <cell r="R1210" t="str">
            <v>SUZUKI RAVI PICK UP</v>
          </cell>
          <cell r="S1210" t="str">
            <v>2021</v>
          </cell>
          <cell r="T1210" t="str">
            <v>TB-284</v>
          </cell>
          <cell r="U1210" t="str">
            <v>367401</v>
          </cell>
          <cell r="V1210" t="str">
            <v>472407</v>
          </cell>
          <cell r="X1210" t="str">
            <v>5</v>
          </cell>
          <cell r="Y1210">
            <v>775500</v>
          </cell>
          <cell r="Z1210">
            <v>12940</v>
          </cell>
          <cell r="AA1210">
            <v>15510</v>
          </cell>
        </row>
        <row r="1211">
          <cell r="B1211" t="str">
            <v>KHI/HO/D/MO/CV/C/107453/2/02/2025</v>
          </cell>
          <cell r="D1211" t="str">
            <v>REN</v>
          </cell>
          <cell r="E1211" t="str">
            <v>18/02/25</v>
          </cell>
          <cell r="F1211" t="str">
            <v>11/02/2025</v>
          </cell>
          <cell r="G1211" t="str">
            <v>10/02/2026</v>
          </cell>
          <cell r="H1211" t="str">
            <v>08004499</v>
          </cell>
          <cell r="I1211" t="str">
            <v>AL BARAKA BANK (PAKISTAN) LIMITED</v>
          </cell>
          <cell r="J1211" t="str">
            <v>BANK</v>
          </cell>
          <cell r="K1211" t="str">
            <v>M/s. Al Baraka Bank (Pakistan) Limited
Mr. Muhammad Shahbaz Ahmad
HPA M/S Al Baraka Bank (Pakistan) Limited</v>
          </cell>
          <cell r="L1211" t="str">
            <v>D</v>
          </cell>
          <cell r="M1211" t="str">
            <v>09000221</v>
          </cell>
          <cell r="N1211">
            <v>100</v>
          </cell>
          <cell r="P1211" t="str">
            <v>Chak 63 MB Tehsil And Districe Khushab</v>
          </cell>
          <cell r="Q1211" t="str">
            <v>11000003</v>
          </cell>
          <cell r="R1211" t="str">
            <v>SUZUKI RAVI VX</v>
          </cell>
          <cell r="S1211" t="str">
            <v>2022</v>
          </cell>
          <cell r="U1211" t="str">
            <v>381124</v>
          </cell>
          <cell r="V1211" t="str">
            <v>485768</v>
          </cell>
          <cell r="Y1211">
            <v>893600</v>
          </cell>
          <cell r="Z1211">
            <v>19258</v>
          </cell>
          <cell r="AA1211">
            <v>22340</v>
          </cell>
        </row>
        <row r="1212">
          <cell r="B1212" t="str">
            <v>KHI/HO/D/MO/CV/C/107453/3/02/2025</v>
          </cell>
          <cell r="D1212" t="str">
            <v>REN</v>
          </cell>
          <cell r="E1212" t="str">
            <v>18/02/25</v>
          </cell>
          <cell r="F1212" t="str">
            <v>16/02/2025</v>
          </cell>
          <cell r="G1212" t="str">
            <v>15/02/2026</v>
          </cell>
          <cell r="H1212" t="str">
            <v>08004499</v>
          </cell>
          <cell r="I1212" t="str">
            <v>AL BARAKA BANK (PAKISTAN) LIMITED</v>
          </cell>
          <cell r="J1212" t="str">
            <v>BANK</v>
          </cell>
          <cell r="K1212" t="str">
            <v>M/s. Al Baraka Bank (Pakistan) Limited
Mr. Muhammad Waqas Ali    
HPA M/s.  Al Baraka Bank (Pakistan) Limited</v>
          </cell>
          <cell r="L1212" t="str">
            <v>D</v>
          </cell>
          <cell r="M1212" t="str">
            <v>09000221</v>
          </cell>
          <cell r="N1212">
            <v>100</v>
          </cell>
          <cell r="O1212" t="str">
            <v>ISLAMABAD</v>
          </cell>
          <cell r="P1212" t="str">
            <v>H # F-31 Street 24-B Block F Phase 2 Shaheen Town Islamabad</v>
          </cell>
          <cell r="Q1212" t="str">
            <v>11000003</v>
          </cell>
          <cell r="R1212" t="str">
            <v>SUZUKI RAVI VX EURO II</v>
          </cell>
          <cell r="S1212" t="str">
            <v>2022</v>
          </cell>
          <cell r="T1212" t="str">
            <v>TD-409</v>
          </cell>
          <cell r="U1212" t="str">
            <v>381381</v>
          </cell>
          <cell r="V1212" t="str">
            <v>486038</v>
          </cell>
          <cell r="X1212" t="str">
            <v>3</v>
          </cell>
          <cell r="Y1212">
            <v>893600</v>
          </cell>
          <cell r="Z1212">
            <v>19258</v>
          </cell>
          <cell r="AA1212">
            <v>22340</v>
          </cell>
        </row>
        <row r="1213">
          <cell r="B1213" t="str">
            <v>KHI/HO/D/MO/CV/C/107453/4/02/2025</v>
          </cell>
          <cell r="D1213" t="str">
            <v>REN</v>
          </cell>
          <cell r="E1213" t="str">
            <v>18/02/25</v>
          </cell>
          <cell r="F1213" t="str">
            <v>21/02/2025</v>
          </cell>
          <cell r="G1213" t="str">
            <v>20/02/2026</v>
          </cell>
          <cell r="H1213" t="str">
            <v>08004499</v>
          </cell>
          <cell r="I1213" t="str">
            <v>AL BARAKA BANK (PAKISTAN) LIMITED</v>
          </cell>
          <cell r="J1213" t="str">
            <v>BANK</v>
          </cell>
          <cell r="K1213" t="str">
            <v>M/s. Al Baraka Bank (Pakistan) Limited
Mr. Muhammad Habib     
HPA M/s.  Al Baraka Bank (Pakistan) Limited</v>
          </cell>
          <cell r="L1213" t="str">
            <v>D</v>
          </cell>
          <cell r="M1213" t="str">
            <v>09000221</v>
          </cell>
          <cell r="N1213">
            <v>100</v>
          </cell>
          <cell r="O1213" t="str">
            <v>KARACHI</v>
          </cell>
          <cell r="P1213" t="str">
            <v>H # 239 Street 3 Sector 11/1-2 Shah Wali Ullah Nagar Orangi Town Karachi</v>
          </cell>
          <cell r="Q1213" t="str">
            <v>11000003</v>
          </cell>
          <cell r="R1213" t="str">
            <v>SUZUKI RAVI VX EURO II</v>
          </cell>
          <cell r="S1213" t="str">
            <v>2022</v>
          </cell>
          <cell r="T1213" t="str">
            <v>LB-1941</v>
          </cell>
          <cell r="U1213" t="str">
            <v>377924</v>
          </cell>
          <cell r="V1213" t="str">
            <v>482592</v>
          </cell>
          <cell r="X1213" t="str">
            <v>3</v>
          </cell>
          <cell r="Y1213">
            <v>893600</v>
          </cell>
          <cell r="Z1213">
            <v>19258</v>
          </cell>
          <cell r="AA1213">
            <v>22340</v>
          </cell>
        </row>
        <row r="1214">
          <cell r="B1214" t="str">
            <v>KHI/HO/D/MO/CV/C/107453/5/02/2025</v>
          </cell>
          <cell r="D1214" t="str">
            <v>REN</v>
          </cell>
          <cell r="E1214" t="str">
            <v>18/02/25</v>
          </cell>
          <cell r="F1214" t="str">
            <v>22/02/2025</v>
          </cell>
          <cell r="G1214" t="str">
            <v>21/02/2026</v>
          </cell>
          <cell r="H1214" t="str">
            <v>08004499</v>
          </cell>
          <cell r="I1214" t="str">
            <v>AL BARAKA BANK (PAKISTAN) LIMITED</v>
          </cell>
          <cell r="J1214" t="str">
            <v>BANK</v>
          </cell>
          <cell r="K1214" t="str">
            <v>M/s. Al Baraka Bank (Pakistan) Limited
Mr. Humair Ahmed Nasir    
HPA M/s.  Al Baraka Bank (Pakistan) Limited</v>
          </cell>
          <cell r="L1214" t="str">
            <v>D</v>
          </cell>
          <cell r="M1214" t="str">
            <v>09000221</v>
          </cell>
          <cell r="N1214">
            <v>100</v>
          </cell>
          <cell r="O1214" t="str">
            <v>KARACHI</v>
          </cell>
          <cell r="P1214" t="str">
            <v>H # L-603 Sector 15-A/2 North Karachi Karachi</v>
          </cell>
          <cell r="Q1214" t="str">
            <v>11000003</v>
          </cell>
          <cell r="R1214" t="str">
            <v>MASTER FORLAND C-10</v>
          </cell>
          <cell r="S1214" t="str">
            <v>2022</v>
          </cell>
          <cell r="T1214" t="str">
            <v>LB-2169</v>
          </cell>
          <cell r="U1214" t="str">
            <v>09255767</v>
          </cell>
          <cell r="V1214" t="str">
            <v>004117</v>
          </cell>
          <cell r="X1214" t="str">
            <v>3</v>
          </cell>
          <cell r="Y1214">
            <v>1092000</v>
          </cell>
          <cell r="Z1214">
            <v>16474</v>
          </cell>
          <cell r="AA1214">
            <v>19110</v>
          </cell>
        </row>
        <row r="1215">
          <cell r="B1215" t="str">
            <v>KHI/HO/D/MO/CV/C/107453/6/02/2025</v>
          </cell>
          <cell r="D1215" t="str">
            <v>REN</v>
          </cell>
          <cell r="E1215" t="str">
            <v>18/02/25</v>
          </cell>
          <cell r="F1215" t="str">
            <v>28/02/2025</v>
          </cell>
          <cell r="G1215" t="str">
            <v>27/02/2026</v>
          </cell>
          <cell r="H1215" t="str">
            <v>08004499</v>
          </cell>
          <cell r="I1215" t="str">
            <v>AL BARAKA BANK (PAKISTAN) LIMITED</v>
          </cell>
          <cell r="J1215" t="str">
            <v>BANK</v>
          </cell>
          <cell r="K1215" t="str">
            <v>M/s. Al Baraka Bank (Pakistan) Limited
Mr. Muhammad Kamil Raza 
HPA M/S Al Baraka Bank (Pakistan) Limited</v>
          </cell>
          <cell r="L1215" t="str">
            <v>D</v>
          </cell>
          <cell r="M1215" t="str">
            <v>09000221</v>
          </cell>
          <cell r="N1215">
            <v>100</v>
          </cell>
          <cell r="O1215" t="str">
            <v>MULTAN</v>
          </cell>
          <cell r="P1215" t="str">
            <v>H # 490/12 Street 13 Moh Jan Muhammad Colony Multan</v>
          </cell>
          <cell r="Q1215" t="str">
            <v>11000003</v>
          </cell>
          <cell r="R1215" t="str">
            <v>SUZUKI RAVI VX EURO II</v>
          </cell>
          <cell r="S1215" t="str">
            <v>2022</v>
          </cell>
          <cell r="T1215" t="str">
            <v>CAJ-2933</v>
          </cell>
          <cell r="U1215" t="str">
            <v>381121</v>
          </cell>
          <cell r="V1215" t="str">
            <v>485766</v>
          </cell>
          <cell r="X1215" t="str">
            <v>3</v>
          </cell>
          <cell r="Y1215">
            <v>893600</v>
          </cell>
          <cell r="Z1215">
            <v>19258</v>
          </cell>
          <cell r="AA1215">
            <v>22340</v>
          </cell>
        </row>
        <row r="1216">
          <cell r="B1216" t="str">
            <v>KHI/HO/D/MO/CV/C/107453/7/02/2025</v>
          </cell>
          <cell r="D1216" t="str">
            <v>REN</v>
          </cell>
          <cell r="E1216" t="str">
            <v>18/02/25</v>
          </cell>
          <cell r="F1216" t="str">
            <v>01/03/2025</v>
          </cell>
          <cell r="G1216" t="str">
            <v>28/02/2026</v>
          </cell>
          <cell r="H1216" t="str">
            <v>08004499</v>
          </cell>
          <cell r="I1216" t="str">
            <v>AL BARAKA BANK (PAKISTAN) LIMITED</v>
          </cell>
          <cell r="J1216" t="str">
            <v>BANK</v>
          </cell>
          <cell r="K1216" t="str">
            <v>M/s. Al Baraka Bank (Pakistan) Limited
Mr. Syed Ghulam Mustafa Sherazi
HPA M/s. Al Baraka Bank (Pakistan) Limited</v>
          </cell>
          <cell r="L1216" t="str">
            <v>D</v>
          </cell>
          <cell r="M1216" t="str">
            <v>09000221</v>
          </cell>
          <cell r="N1216">
            <v>100</v>
          </cell>
          <cell r="P1216" t="str">
            <v>Flat No. 8 G/Floor Midcity Square Faisal Town Sector F-18 Islamabad</v>
          </cell>
          <cell r="Q1216" t="str">
            <v>11000003</v>
          </cell>
          <cell r="R1216" t="str">
            <v>SUZUKI RAVI VX EURO II</v>
          </cell>
          <cell r="S1216" t="str">
            <v>2021</v>
          </cell>
          <cell r="T1216" t="str">
            <v>TB-176</v>
          </cell>
          <cell r="U1216" t="str">
            <v>368162</v>
          </cell>
          <cell r="V1216" t="str">
            <v>472852</v>
          </cell>
          <cell r="X1216" t="str">
            <v>3</v>
          </cell>
          <cell r="Y1216">
            <v>775500</v>
          </cell>
          <cell r="Z1216">
            <v>16714</v>
          </cell>
          <cell r="AA1216">
            <v>19388</v>
          </cell>
        </row>
        <row r="1217">
          <cell r="B1217" t="str">
            <v>KHI/HO/D/MO/PC COMP/C/106977/28/02/2025</v>
          </cell>
          <cell r="D1217" t="str">
            <v>FRE</v>
          </cell>
          <cell r="E1217" t="str">
            <v>19/02/25</v>
          </cell>
          <cell r="F1217" t="str">
            <v>19/02/2025</v>
          </cell>
          <cell r="G1217" t="str">
            <v>18/02/2026</v>
          </cell>
          <cell r="H1217" t="str">
            <v>08004499</v>
          </cell>
          <cell r="I1217" t="str">
            <v>AL BARAKA BANK (PAKISTAN) LIMITED</v>
          </cell>
          <cell r="J1217" t="str">
            <v>BANK</v>
          </cell>
          <cell r="K1217" t="str">
            <v>Mr. 
HPA M/s. Al Baraka Bank (Pakistan) Limited 
Mr. Nadeem Sajjad 
HPA M/s. Al Baraka Bank (Pakistan) Limited</v>
          </cell>
          <cell r="L1217" t="str">
            <v>D</v>
          </cell>
          <cell r="M1217" t="str">
            <v>09000221</v>
          </cell>
          <cell r="N1217">
            <v>100</v>
          </cell>
          <cell r="O1217" t="str">
            <v>ISLAMABAD</v>
          </cell>
          <cell r="P1217" t="str">
            <v>H No 4 St No 49 Sec G-13 /2 Islamabad</v>
          </cell>
          <cell r="Q1217" t="str">
            <v>11000003</v>
          </cell>
          <cell r="R1217" t="str">
            <v>HONDA CITY</v>
          </cell>
          <cell r="S1217" t="str">
            <v>2019</v>
          </cell>
          <cell r="T1217" t="str">
            <v>APK-375</v>
          </cell>
          <cell r="U1217" t="str">
            <v>79797178</v>
          </cell>
          <cell r="V1217" t="str">
            <v>255879</v>
          </cell>
          <cell r="Y1217">
            <v>4200000</v>
          </cell>
          <cell r="Z1217">
            <v>54310</v>
          </cell>
          <cell r="AA1217">
            <v>63000</v>
          </cell>
        </row>
        <row r="1218">
          <cell r="B1218" t="str">
            <v>KHI/HO/D/MO/PC COMP/C/106977/29/02/2025</v>
          </cell>
          <cell r="D1218" t="str">
            <v>FRE</v>
          </cell>
          <cell r="E1218" t="str">
            <v>20/02/25</v>
          </cell>
          <cell r="F1218" t="str">
            <v>20/02/2025</v>
          </cell>
          <cell r="G1218" t="str">
            <v>19/02/2026</v>
          </cell>
          <cell r="H1218" t="str">
            <v>08004499</v>
          </cell>
          <cell r="I1218" t="str">
            <v>AL BARAKA BANK (PAKISTAN) LIMITED</v>
          </cell>
          <cell r="J1218" t="str">
            <v>BANK</v>
          </cell>
          <cell r="K1218" t="str">
            <v>Mr. 
HPA M/s. Al Baraka Bank (Pakistan) Limited 
Mr. Sakhawat Ali 
HPA M/s. Al Baraka Bank (Pakistan) Limited</v>
          </cell>
          <cell r="L1218" t="str">
            <v>D</v>
          </cell>
          <cell r="M1218" t="str">
            <v>09000221</v>
          </cell>
          <cell r="N1218">
            <v>100</v>
          </cell>
          <cell r="O1218" t="str">
            <v>FAISALABAD</v>
          </cell>
          <cell r="P1218" t="str">
            <v>Mohallah Bismillah Town Manj House Sidhu Pura Faisalabad</v>
          </cell>
          <cell r="Q1218" t="str">
            <v>11000003</v>
          </cell>
          <cell r="R1218" t="str">
            <v>HONDA CIVIC VTI  ORIEL PT</v>
          </cell>
          <cell r="S1218" t="str">
            <v>2021</v>
          </cell>
          <cell r="T1218" t="str">
            <v>ADD-317</v>
          </cell>
          <cell r="U1218" t="str">
            <v>R18Z16920969</v>
          </cell>
          <cell r="V1218" t="str">
            <v>NFBFC6665MR073246</v>
          </cell>
          <cell r="X1218" t="str">
            <v>3</v>
          </cell>
          <cell r="Y1218">
            <v>6200000</v>
          </cell>
          <cell r="Z1218">
            <v>80172</v>
          </cell>
          <cell r="AA1218">
            <v>93000</v>
          </cell>
        </row>
        <row r="1219">
          <cell r="B1219" t="str">
            <v>KHI/HO/D/MO/PC COMP/C/106977/30/02/2025</v>
          </cell>
          <cell r="D1219" t="str">
            <v>FRE</v>
          </cell>
          <cell r="E1219" t="str">
            <v>21/02/25</v>
          </cell>
          <cell r="F1219" t="str">
            <v>21/02/2025</v>
          </cell>
          <cell r="G1219" t="str">
            <v>20/02/2026</v>
          </cell>
          <cell r="H1219" t="str">
            <v>08004499</v>
          </cell>
          <cell r="I1219" t="str">
            <v>AL BARAKA BANK (PAKISTAN) LIMITED</v>
          </cell>
          <cell r="J1219" t="str">
            <v>BANK</v>
          </cell>
          <cell r="K1219" t="str">
            <v>Mr. 
HPA M/s. Al Baraka Bank (Pakistan) Limited 
Mr. Muhammad Irfan
HPA M/s. Al Baraka Bank (Pakistan) Limited</v>
          </cell>
          <cell r="L1219" t="str">
            <v>D</v>
          </cell>
          <cell r="M1219" t="str">
            <v>09000221</v>
          </cell>
          <cell r="N1219">
            <v>100</v>
          </cell>
          <cell r="P1219" t="str">
            <v>Moh Rehmanpura Mandranwala Daska Distr Sialkot</v>
          </cell>
          <cell r="Q1219" t="str">
            <v>11000003</v>
          </cell>
          <cell r="R1219" t="str">
            <v>TOYOTA COROLLA XLI 1.3</v>
          </cell>
          <cell r="S1219" t="str">
            <v>2019</v>
          </cell>
          <cell r="T1219" t="str">
            <v>LED-19-8931</v>
          </cell>
          <cell r="U1219" t="str">
            <v>Z549145</v>
          </cell>
          <cell r="V1219" t="str">
            <v>4174440</v>
          </cell>
          <cell r="X1219" t="str">
            <v>3</v>
          </cell>
          <cell r="Y1219">
            <v>3500000</v>
          </cell>
          <cell r="Z1219">
            <v>45258</v>
          </cell>
          <cell r="AA1219">
            <v>52500</v>
          </cell>
        </row>
        <row r="1220">
          <cell r="B1220" t="str">
            <v>KHI/HO/D/MO/PC COMP/C/106977/31/02/2025</v>
          </cell>
          <cell r="D1220" t="str">
            <v>FRE</v>
          </cell>
          <cell r="E1220" t="str">
            <v>21/02/25</v>
          </cell>
          <cell r="F1220" t="str">
            <v>21/02/2025</v>
          </cell>
          <cell r="G1220" t="str">
            <v>20/02/2026</v>
          </cell>
          <cell r="H1220" t="str">
            <v>08004499</v>
          </cell>
          <cell r="I1220" t="str">
            <v>AL BARAKA BANK (PAKISTAN) LIMITED</v>
          </cell>
          <cell r="J1220" t="str">
            <v>BANK</v>
          </cell>
          <cell r="K1220" t="str">
            <v>Mr. 
HPA M/s. Al Baraka Bank (Pakistan) Limited 
Mr. Ali Imtiaz
HPA M/s. Al Baraka Bank (Pakistan) Limited</v>
          </cell>
          <cell r="L1220" t="str">
            <v>D</v>
          </cell>
          <cell r="M1220" t="str">
            <v>09000221</v>
          </cell>
          <cell r="N1220">
            <v>100</v>
          </cell>
          <cell r="O1220" t="str">
            <v>LAHORE</v>
          </cell>
          <cell r="P1220" t="str">
            <v>H No 48 St No 29 DHA Phase 1 Lahore</v>
          </cell>
          <cell r="Q1220" t="str">
            <v>11000003</v>
          </cell>
          <cell r="R1220" t="str">
            <v>HONDA ACCORD CL9</v>
          </cell>
          <cell r="S1220" t="str">
            <v>2013</v>
          </cell>
          <cell r="T1220" t="str">
            <v>LEH-15-2525</v>
          </cell>
          <cell r="U1220" t="str">
            <v>1020306</v>
          </cell>
          <cell r="V1220" t="str">
            <v>CR61010293</v>
          </cell>
          <cell r="Y1220">
            <v>7800000</v>
          </cell>
          <cell r="Z1220">
            <v>100862</v>
          </cell>
          <cell r="AA1220">
            <v>117000</v>
          </cell>
        </row>
        <row r="1221">
          <cell r="B1221" t="str">
            <v>KHI/HO/D/MO/PC COMP/C/106977/32/02/2025</v>
          </cell>
          <cell r="D1221" t="str">
            <v>FRE</v>
          </cell>
          <cell r="E1221" t="str">
            <v>24/02/25</v>
          </cell>
          <cell r="F1221" t="str">
            <v>24/02/2025</v>
          </cell>
          <cell r="G1221" t="str">
            <v>23/02/2026</v>
          </cell>
          <cell r="H1221" t="str">
            <v>08004499</v>
          </cell>
          <cell r="I1221" t="str">
            <v>AL BARAKA BANK (PAKISTAN) LIMITED</v>
          </cell>
          <cell r="J1221" t="str">
            <v>BANK</v>
          </cell>
          <cell r="K1221" t="str">
            <v>Mr. 
HPA M/s. Al Baraka Bank (Pakistan) Limited 
Mr. JAMSHAID AKRM
HPA M/s. Al Baraka Bank (Pakistan) Limited</v>
          </cell>
          <cell r="L1221" t="str">
            <v>D</v>
          </cell>
          <cell r="M1221" t="str">
            <v>09000221</v>
          </cell>
          <cell r="N1221">
            <v>100</v>
          </cell>
          <cell r="O1221" t="str">
            <v>FAISALABAD</v>
          </cell>
          <cell r="P1221" t="str">
            <v>H No 166 A Phase 2 Sitara Gold Faisalabad</v>
          </cell>
          <cell r="Q1221" t="str">
            <v>11000003</v>
          </cell>
          <cell r="R1221" t="str">
            <v>KIA STONIC EX+</v>
          </cell>
          <cell r="S1221" t="str">
            <v>2021</v>
          </cell>
          <cell r="T1221" t="str">
            <v>AJF-270</v>
          </cell>
          <cell r="U1221" t="str">
            <v>G4LCMS814233</v>
          </cell>
          <cell r="V1221" t="str">
            <v>NNAYB54BZMT700069</v>
          </cell>
          <cell r="X1221" t="str">
            <v>3</v>
          </cell>
          <cell r="Y1221">
            <v>4500000</v>
          </cell>
          <cell r="Z1221">
            <v>58190</v>
          </cell>
          <cell r="AA1221">
            <v>67500</v>
          </cell>
        </row>
        <row r="1222">
          <cell r="B1222" t="str">
            <v>KHI/HO/D/MO/PC COMP/C/106977/33/02/2025</v>
          </cell>
          <cell r="D1222" t="str">
            <v>FRE</v>
          </cell>
          <cell r="E1222" t="str">
            <v>25/02/25</v>
          </cell>
          <cell r="F1222" t="str">
            <v>25/02/2025</v>
          </cell>
          <cell r="G1222" t="str">
            <v>24/02/2026</v>
          </cell>
          <cell r="H1222" t="str">
            <v>08004499</v>
          </cell>
          <cell r="I1222" t="str">
            <v>AL BARAKA BANK (PAKISTAN) LIMITED</v>
          </cell>
          <cell r="J1222" t="str">
            <v>BANK</v>
          </cell>
          <cell r="K1222" t="str">
            <v>Mr. 
HPA M/s. Al Baraka Bank (Pakistan) Limited 
Mr. Tauqeer Haider
HPA M/s. Al Baraka Bank (Pakistan) Limited</v>
          </cell>
          <cell r="L1222" t="str">
            <v>D</v>
          </cell>
          <cell r="M1222" t="str">
            <v>09000221</v>
          </cell>
          <cell r="N1222">
            <v>100</v>
          </cell>
          <cell r="P1222" t="str">
            <v>H No 37 Block B Shah Rukn E Alam Colony Multan</v>
          </cell>
          <cell r="Q1222" t="str">
            <v>11000003</v>
          </cell>
          <cell r="R1222" t="str">
            <v>HONDA CITY 1.2  LS CVT</v>
          </cell>
          <cell r="S1222" t="str">
            <v>2025</v>
          </cell>
          <cell r="U1222" t="str">
            <v>51031961</v>
          </cell>
          <cell r="V1222" t="str">
            <v>SR049488</v>
          </cell>
          <cell r="Y1222">
            <v>4719000</v>
          </cell>
          <cell r="Z1222">
            <v>61022</v>
          </cell>
          <cell r="AA1222">
            <v>70785</v>
          </cell>
        </row>
        <row r="1223">
          <cell r="B1223" t="str">
            <v>KHI/HO/D/MO/PC COMP/C/106977/34/02/2025</v>
          </cell>
          <cell r="D1223" t="str">
            <v>FRE</v>
          </cell>
          <cell r="E1223" t="str">
            <v>26/02/25</v>
          </cell>
          <cell r="F1223" t="str">
            <v>26/02/2025</v>
          </cell>
          <cell r="G1223" t="str">
            <v>25/02/2026</v>
          </cell>
          <cell r="H1223" t="str">
            <v>08004499</v>
          </cell>
          <cell r="I1223" t="str">
            <v>AL BARAKA BANK (PAKISTAN) LIMITED</v>
          </cell>
          <cell r="J1223" t="str">
            <v>BANK</v>
          </cell>
          <cell r="K1223" t="str">
            <v>Mr. 
HPA M/s. Al Baraka Bank (Pakistan) Limited 
Mr. Muhammad Shouzab Riaz 
HPA M/s. Al Baraka Bank (Pakistan) Limited</v>
          </cell>
          <cell r="L1223" t="str">
            <v>D</v>
          </cell>
          <cell r="M1223" t="str">
            <v>09000221</v>
          </cell>
          <cell r="N1223">
            <v>100</v>
          </cell>
          <cell r="P1223" t="str">
            <v>H # 7-B Canal Burg Society Lahore</v>
          </cell>
          <cell r="Q1223" t="str">
            <v>11000003</v>
          </cell>
          <cell r="R1223" t="str">
            <v>SUZUKI ALTO VXL AGS E-2</v>
          </cell>
          <cell r="S1223" t="str">
            <v>2019</v>
          </cell>
          <cell r="T1223" t="str">
            <v>LE-19A-6810</v>
          </cell>
          <cell r="U1223" t="str">
            <v>6R105107</v>
          </cell>
          <cell r="V1223" t="str">
            <v>1005078</v>
          </cell>
          <cell r="X1223" t="str">
            <v>3</v>
          </cell>
          <cell r="Y1223">
            <v>2400000</v>
          </cell>
          <cell r="Z1223">
            <v>41379</v>
          </cell>
          <cell r="AA1223">
            <v>48000</v>
          </cell>
        </row>
        <row r="1224">
          <cell r="B1224" t="str">
            <v>KHI/HO/D/MO/PC COMP/C/106977/35/02/2025</v>
          </cell>
          <cell r="D1224" t="str">
            <v>FRE</v>
          </cell>
          <cell r="E1224" t="str">
            <v>26/02/25</v>
          </cell>
          <cell r="F1224" t="str">
            <v>26/02/2025</v>
          </cell>
          <cell r="G1224" t="str">
            <v>25/02/2026</v>
          </cell>
          <cell r="H1224" t="str">
            <v>08004499</v>
          </cell>
          <cell r="I1224" t="str">
            <v>AL BARAKA BANK (PAKISTAN) LIMITED</v>
          </cell>
          <cell r="J1224" t="str">
            <v>BANK</v>
          </cell>
          <cell r="K1224" t="str">
            <v>Mr. 
HPA M/s. Al Baraka Bank (Pakistan) Limited 
Mr. Muhammad Arslan  
HPA M/s. Al Baraka Bank (Pakistan) Limited</v>
          </cell>
          <cell r="L1224" t="str">
            <v>D</v>
          </cell>
          <cell r="M1224" t="str">
            <v>09000221</v>
          </cell>
          <cell r="N1224">
            <v>100</v>
          </cell>
          <cell r="O1224" t="str">
            <v>LAHORE</v>
          </cell>
          <cell r="P1224" t="str">
            <v>Ghala Ihsan Wala Street Dr Waheed Wali Raiwind Road Lahore</v>
          </cell>
          <cell r="Q1224" t="str">
            <v>11000003</v>
          </cell>
          <cell r="R1224" t="str">
            <v>HONDA BRV I-VTEC S STD</v>
          </cell>
          <cell r="S1224" t="str">
            <v>2020</v>
          </cell>
          <cell r="T1224" t="str">
            <v>AAX-528</v>
          </cell>
          <cell r="U1224" t="str">
            <v>14802471</v>
          </cell>
          <cell r="V1224" t="str">
            <v>19156</v>
          </cell>
          <cell r="X1224" t="str">
            <v>3</v>
          </cell>
          <cell r="Y1224">
            <v>4000000</v>
          </cell>
          <cell r="Z1224">
            <v>51724</v>
          </cell>
          <cell r="AA1224">
            <v>60000</v>
          </cell>
        </row>
        <row r="1225">
          <cell r="B1225" t="str">
            <v>KHI/HO/D/MO/PC COMP/C/106977/36/02/2025</v>
          </cell>
          <cell r="D1225" t="str">
            <v>FRE</v>
          </cell>
          <cell r="E1225" t="str">
            <v>27/02/25</v>
          </cell>
          <cell r="F1225" t="str">
            <v>27/02/2025</v>
          </cell>
          <cell r="G1225" t="str">
            <v>26/02/2026</v>
          </cell>
          <cell r="H1225" t="str">
            <v>08004499</v>
          </cell>
          <cell r="I1225" t="str">
            <v>AL BARAKA BANK (PAKISTAN) LIMITED</v>
          </cell>
          <cell r="J1225" t="str">
            <v>BANK</v>
          </cell>
          <cell r="K1225" t="str">
            <v>Mr. 
HPA M/s. Al Baraka Bank (Pakistan) Limited 
Mr. Muhammad Iqbal Khan
HPA M/s. Al Baraka Bank (Pakistan) Limited</v>
          </cell>
          <cell r="L1225" t="str">
            <v>D</v>
          </cell>
          <cell r="M1225" t="str">
            <v>09000221</v>
          </cell>
          <cell r="N1225">
            <v>100</v>
          </cell>
          <cell r="O1225" t="str">
            <v>KARACHI</v>
          </cell>
          <cell r="P1225" t="str">
            <v>H # R-284 Sector Z-6 Gulshan-e-Maymar Karachi</v>
          </cell>
          <cell r="Q1225" t="str">
            <v>11000003</v>
          </cell>
          <cell r="R1225" t="str">
            <v>KIA PICANTO 1.0L A/T</v>
          </cell>
          <cell r="S1225" t="str">
            <v>2022</v>
          </cell>
          <cell r="T1225" t="str">
            <v>BVK-520</v>
          </cell>
          <cell r="U1225" t="str">
            <v>133143</v>
          </cell>
          <cell r="V1225" t="str">
            <v>708858</v>
          </cell>
          <cell r="X1225" t="str">
            <v>3</v>
          </cell>
          <cell r="Y1225">
            <v>3000000</v>
          </cell>
          <cell r="Z1225">
            <v>51724</v>
          </cell>
          <cell r="AA1225">
            <v>60000</v>
          </cell>
        </row>
        <row r="1226">
          <cell r="B1226" t="str">
            <v>KHI/HO/D/MO/PC COMP/C/106977/37/02/2025</v>
          </cell>
          <cell r="D1226" t="str">
            <v>FRE</v>
          </cell>
          <cell r="E1226" t="str">
            <v>27/02/25</v>
          </cell>
          <cell r="F1226" t="str">
            <v>27/02/2025</v>
          </cell>
          <cell r="G1226" t="str">
            <v>26/02/2026</v>
          </cell>
          <cell r="H1226" t="str">
            <v>08004499</v>
          </cell>
          <cell r="I1226" t="str">
            <v>AL BARAKA BANK (PAKISTAN) LIMITED</v>
          </cell>
          <cell r="J1226" t="str">
            <v>BANK</v>
          </cell>
          <cell r="K1226" t="str">
            <v>Mr. 
HPA M/s. Al Baraka Bank (Pakistan) Limited 
Mr. Rehan Aziz
HPA M/s. Al Baraka Bank (Pakistan) Limited</v>
          </cell>
          <cell r="L1226" t="str">
            <v>D</v>
          </cell>
          <cell r="M1226" t="str">
            <v>09000221</v>
          </cell>
          <cell r="N1226">
            <v>100</v>
          </cell>
          <cell r="O1226" t="str">
            <v>LAHORE</v>
          </cell>
          <cell r="P1226" t="str">
            <v>H No 479 M Block LDA Avenue 1 Lahore</v>
          </cell>
          <cell r="Q1226" t="str">
            <v>11000003</v>
          </cell>
          <cell r="R1226" t="str">
            <v>SUZUKI ALTO VXR</v>
          </cell>
          <cell r="S1226" t="str">
            <v>2025</v>
          </cell>
          <cell r="U1226" t="str">
            <v>337363</v>
          </cell>
          <cell r="V1226" t="str">
            <v>1237301</v>
          </cell>
          <cell r="Y1226">
            <v>2894000</v>
          </cell>
          <cell r="Z1226">
            <v>49897</v>
          </cell>
          <cell r="AA1226">
            <v>57880</v>
          </cell>
        </row>
        <row r="1227">
          <cell r="B1227" t="str">
            <v>KHI/HO/D/MO/PC COMP/C/106977/38/02/2025</v>
          </cell>
          <cell r="D1227" t="str">
            <v>FRE</v>
          </cell>
          <cell r="E1227" t="str">
            <v>27/02/25</v>
          </cell>
          <cell r="F1227" t="str">
            <v>27/02/2025</v>
          </cell>
          <cell r="G1227" t="str">
            <v>26/02/2026</v>
          </cell>
          <cell r="H1227" t="str">
            <v>08004499</v>
          </cell>
          <cell r="I1227" t="str">
            <v>AL BARAKA BANK (PAKISTAN) LIMITED</v>
          </cell>
          <cell r="J1227" t="str">
            <v>BANK</v>
          </cell>
          <cell r="K1227" t="str">
            <v>Mr. 
HPA M/s. Al Baraka Bank (Pakistan) Limited 
Mr. Muhammad Hanif 
HPA M/s. Al Baraka Bank (Pakistan) Limited</v>
          </cell>
          <cell r="L1227" t="str">
            <v>D</v>
          </cell>
          <cell r="M1227" t="str">
            <v>09000221</v>
          </cell>
          <cell r="N1227">
            <v>100</v>
          </cell>
          <cell r="P1227" t="str">
            <v>H # 234/1 Saqib Town Badian Road Lahore</v>
          </cell>
          <cell r="Q1227" t="str">
            <v>11000003</v>
          </cell>
          <cell r="R1227" t="str">
            <v>TOYOTA COROLLA GLI M/T 1.</v>
          </cell>
          <cell r="S1227" t="str">
            <v>2016</v>
          </cell>
          <cell r="T1227" t="str">
            <v>LEC-16-4686</v>
          </cell>
          <cell r="U1227" t="str">
            <v>149966</v>
          </cell>
          <cell r="V1227" t="str">
            <v>4070177</v>
          </cell>
          <cell r="X1227" t="str">
            <v>3</v>
          </cell>
          <cell r="Y1227">
            <v>2600000</v>
          </cell>
          <cell r="Z1227">
            <v>44828</v>
          </cell>
          <cell r="AA1227">
            <v>52000</v>
          </cell>
        </row>
        <row r="1228">
          <cell r="B1228" t="str">
            <v>KHI/HO/D/MO/PC COMP/C/106977/39/02/2025</v>
          </cell>
          <cell r="D1228" t="str">
            <v>FRE</v>
          </cell>
          <cell r="E1228" t="str">
            <v>27/02/25</v>
          </cell>
          <cell r="F1228" t="str">
            <v>27/02/2025</v>
          </cell>
          <cell r="G1228" t="str">
            <v>26/02/2026</v>
          </cell>
          <cell r="H1228" t="str">
            <v>08004499</v>
          </cell>
          <cell r="I1228" t="str">
            <v>AL BARAKA BANK (PAKISTAN) LIMITED</v>
          </cell>
          <cell r="J1228" t="str">
            <v>BANK</v>
          </cell>
          <cell r="K1228" t="str">
            <v>Mr. 
HPA M/s. Al Baraka Bank (Pakistan) Limited 
Mr. Muhammad Iqbal 
HPA M/s. Al Baraka Bank (Pakistan) Limited</v>
          </cell>
          <cell r="L1228" t="str">
            <v>D</v>
          </cell>
          <cell r="M1228" t="str">
            <v>09000221</v>
          </cell>
          <cell r="N1228">
            <v>100</v>
          </cell>
          <cell r="P1228" t="str">
            <v>H # 152 Lane 8 Askari 2 DHA Multan</v>
          </cell>
          <cell r="Q1228" t="str">
            <v>11000003</v>
          </cell>
          <cell r="R1228" t="str">
            <v>TOYOTA COROLLA ALTIS  1.6</v>
          </cell>
          <cell r="S1228" t="str">
            <v>2022</v>
          </cell>
          <cell r="T1228" t="str">
            <v>AJT-397</v>
          </cell>
          <cell r="U1228" t="str">
            <v>094051</v>
          </cell>
          <cell r="V1228" t="str">
            <v>6071517</v>
          </cell>
          <cell r="X1228" t="str">
            <v>3</v>
          </cell>
          <cell r="Y1228">
            <v>6000000</v>
          </cell>
          <cell r="Z1228">
            <v>77586</v>
          </cell>
          <cell r="AA1228">
            <v>90000</v>
          </cell>
        </row>
        <row r="1229">
          <cell r="B1229" t="str">
            <v>KHI/HO/D/MO/PC COMP/C/106977/40/02/2025</v>
          </cell>
          <cell r="D1229" t="str">
            <v>FRE</v>
          </cell>
          <cell r="E1229" t="str">
            <v>27/02/25</v>
          </cell>
          <cell r="F1229" t="str">
            <v>27/02/2025</v>
          </cell>
          <cell r="G1229" t="str">
            <v>26/02/2026</v>
          </cell>
          <cell r="H1229" t="str">
            <v>08004499</v>
          </cell>
          <cell r="I1229" t="str">
            <v>AL BARAKA BANK (PAKISTAN) LIMITED</v>
          </cell>
          <cell r="J1229" t="str">
            <v>BANK</v>
          </cell>
          <cell r="K1229" t="str">
            <v>Mr. 
HPA M/s. Al Baraka Bank (Pakistan) Limited 
Mr. Umar Tahir  
HPA M/s. Al Baraka Bank (Pakistan) Limited</v>
          </cell>
          <cell r="L1229" t="str">
            <v>D</v>
          </cell>
          <cell r="M1229" t="str">
            <v>09000221</v>
          </cell>
          <cell r="N1229">
            <v>100</v>
          </cell>
          <cell r="O1229" t="str">
            <v>LAHORE</v>
          </cell>
          <cell r="P1229" t="str">
            <v>H # 138-X Phase 3 DHA Lahore</v>
          </cell>
          <cell r="Q1229" t="str">
            <v>11000003</v>
          </cell>
          <cell r="R1229" t="str">
            <v>TOYOTA HILUX REVO ROCCO</v>
          </cell>
          <cell r="S1229" t="str">
            <v>2017</v>
          </cell>
          <cell r="T1229" t="str">
            <v>LED-17-567</v>
          </cell>
          <cell r="U1229" t="str">
            <v>U951480</v>
          </cell>
          <cell r="V1229" t="str">
            <v>R-0962306</v>
          </cell>
          <cell r="X1229" t="str">
            <v>3</v>
          </cell>
          <cell r="Y1229">
            <v>8500000</v>
          </cell>
          <cell r="Z1229">
            <v>109914</v>
          </cell>
          <cell r="AA1229">
            <v>127500</v>
          </cell>
        </row>
        <row r="1230">
          <cell r="B1230" t="str">
            <v>KHI/HO/D/MO/PC COMP/C/106977/41/02/2025</v>
          </cell>
          <cell r="D1230" t="str">
            <v>FRE</v>
          </cell>
          <cell r="E1230" t="str">
            <v>27/02/25</v>
          </cell>
          <cell r="F1230" t="str">
            <v>27/02/2025</v>
          </cell>
          <cell r="G1230" t="str">
            <v>26/02/2026</v>
          </cell>
          <cell r="H1230" t="str">
            <v>08004499</v>
          </cell>
          <cell r="I1230" t="str">
            <v>AL BARAKA BANK (PAKISTAN) LIMITED</v>
          </cell>
          <cell r="J1230" t="str">
            <v>BANK</v>
          </cell>
          <cell r="K1230" t="str">
            <v>Mr. 
HPA M/s. Al Baraka Bank (Pakistan) Limited 
Mr. Adnan Ismail 
HPA M/s. Al Baraka Bank (Pakistan) Limited</v>
          </cell>
          <cell r="L1230" t="str">
            <v>D</v>
          </cell>
          <cell r="M1230" t="str">
            <v>09000221</v>
          </cell>
          <cell r="N1230">
            <v>100</v>
          </cell>
          <cell r="O1230" t="str">
            <v>MULTAN</v>
          </cell>
          <cell r="P1230" t="str">
            <v>H No 603 E Block Wapda Town Ph 1 Multan</v>
          </cell>
          <cell r="Q1230" t="str">
            <v>11000003</v>
          </cell>
          <cell r="R1230" t="str">
            <v>TOYOTA COROLLA GLI 1.6 A/</v>
          </cell>
          <cell r="S1230" t="str">
            <v>2018</v>
          </cell>
          <cell r="T1230" t="str">
            <v>AJY-871</v>
          </cell>
          <cell r="U1230" t="str">
            <v>Z526375</v>
          </cell>
          <cell r="V1230" t="str">
            <v>4152100</v>
          </cell>
          <cell r="Y1230">
            <v>4300000</v>
          </cell>
          <cell r="Z1230">
            <v>55603</v>
          </cell>
          <cell r="AA1230">
            <v>64500</v>
          </cell>
        </row>
        <row r="1231">
          <cell r="B1231" t="str">
            <v>KHI/HO/D/MO/PC COMP/C/106977/42/02/2025</v>
          </cell>
          <cell r="D1231" t="str">
            <v>FRE</v>
          </cell>
          <cell r="E1231" t="str">
            <v>27/02/25</v>
          </cell>
          <cell r="F1231" t="str">
            <v>27/02/2025</v>
          </cell>
          <cell r="G1231" t="str">
            <v>26/02/2026</v>
          </cell>
          <cell r="H1231" t="str">
            <v>08004499</v>
          </cell>
          <cell r="I1231" t="str">
            <v>AL BARAKA BANK (PAKISTAN) LIMITED</v>
          </cell>
          <cell r="J1231" t="str">
            <v>BANK</v>
          </cell>
          <cell r="K1231" t="str">
            <v>Mr. 
HPA M/s. Al Baraka Bank (Pakistan) Limited 
Mr. Mian Faiz 
HPA M/s. Al Baraka Bank (Pakistan) Limited</v>
          </cell>
          <cell r="L1231" t="str">
            <v>D</v>
          </cell>
          <cell r="M1231" t="str">
            <v>09000221</v>
          </cell>
          <cell r="N1231">
            <v>100</v>
          </cell>
          <cell r="P1231" t="str">
            <v>H # 28-A Mohallah Al Hamd Garden Manawan Lahore</v>
          </cell>
          <cell r="Q1231" t="str">
            <v>11000003</v>
          </cell>
          <cell r="R1231" t="str">
            <v>HONDA CITY ASPIRE CVT PT</v>
          </cell>
          <cell r="S1231" t="str">
            <v>2021</v>
          </cell>
          <cell r="T1231" t="str">
            <v>ACW-107</v>
          </cell>
          <cell r="U1231" t="str">
            <v>800635</v>
          </cell>
          <cell r="V1231" t="str">
            <v>267626</v>
          </cell>
          <cell r="X1231" t="str">
            <v>3</v>
          </cell>
          <cell r="Y1231">
            <v>4200000</v>
          </cell>
          <cell r="Z1231">
            <v>54310</v>
          </cell>
          <cell r="AA1231">
            <v>63000</v>
          </cell>
        </row>
        <row r="1232">
          <cell r="B1232" t="str">
            <v>KHI/HO/D/MO/PC COMP/C/106977/43/02/2025</v>
          </cell>
          <cell r="D1232" t="str">
            <v>FRE</v>
          </cell>
          <cell r="E1232" t="str">
            <v>27/02/25</v>
          </cell>
          <cell r="F1232" t="str">
            <v>27/02/2025</v>
          </cell>
          <cell r="G1232" t="str">
            <v>26/02/2026</v>
          </cell>
          <cell r="H1232" t="str">
            <v>08004499</v>
          </cell>
          <cell r="I1232" t="str">
            <v>AL BARAKA BANK (PAKISTAN) LIMITED</v>
          </cell>
          <cell r="J1232" t="str">
            <v>BANK</v>
          </cell>
          <cell r="K1232" t="str">
            <v>Mr. 
HPA M/s. Al Baraka Bank (Pakistan) Limited 
Mr. Muhammad Mahboob  
HPA M/s. Al Baraka Bank (Pakistan) Limited</v>
          </cell>
          <cell r="L1232" t="str">
            <v>D</v>
          </cell>
          <cell r="M1232" t="str">
            <v>09000221</v>
          </cell>
          <cell r="N1232">
            <v>100</v>
          </cell>
          <cell r="O1232" t="str">
            <v>LAHORE</v>
          </cell>
          <cell r="P1232" t="str">
            <v>H # E-654 Moh Mahboob Colony 1 Chungi Ammar Sidhu Lahore</v>
          </cell>
          <cell r="Q1232" t="str">
            <v>11000003</v>
          </cell>
          <cell r="R1232" t="str">
            <v>HONDA CITY 1.2  LS CVT</v>
          </cell>
          <cell r="S1232" t="str">
            <v>2023</v>
          </cell>
          <cell r="T1232" t="str">
            <v>ANK-907</v>
          </cell>
          <cell r="U1232" t="str">
            <v>B1017284</v>
          </cell>
          <cell r="V1232" t="str">
            <v>R030662</v>
          </cell>
          <cell r="X1232" t="str">
            <v>3</v>
          </cell>
          <cell r="Y1232">
            <v>4500000</v>
          </cell>
          <cell r="Z1232">
            <v>58190</v>
          </cell>
          <cell r="AA1232">
            <v>67500</v>
          </cell>
        </row>
        <row r="1233">
          <cell r="B1233" t="str">
            <v>KHI/HO/D/MO/PC COMP/C/106977/44/02/2025</v>
          </cell>
          <cell r="D1233" t="str">
            <v>FRE</v>
          </cell>
          <cell r="E1233" t="str">
            <v>28/02/25</v>
          </cell>
          <cell r="F1233" t="str">
            <v>28/02/2025</v>
          </cell>
          <cell r="G1233" t="str">
            <v>27/02/2026</v>
          </cell>
          <cell r="H1233" t="str">
            <v>08004499</v>
          </cell>
          <cell r="I1233" t="str">
            <v>AL BARAKA BANK (PAKISTAN) LIMITED</v>
          </cell>
          <cell r="J1233" t="str">
            <v>BANK</v>
          </cell>
          <cell r="K1233" t="str">
            <v>Mr. 
HPA M/s. Al Baraka Bank (Pakistan) Limited 
Mr. Yasir 
HPA M/s. Al Baraka Bank (Pakistan) Limited</v>
          </cell>
          <cell r="L1233" t="str">
            <v>D</v>
          </cell>
          <cell r="M1233" t="str">
            <v>09000221</v>
          </cell>
          <cell r="N1233">
            <v>100</v>
          </cell>
          <cell r="O1233" t="str">
            <v>KARACHI</v>
          </cell>
          <cell r="P1233" t="str">
            <v>H # A-361 Ground Floor Block 4 Saadi Town Scheme 33 Karachi</v>
          </cell>
          <cell r="Q1233" t="str">
            <v>11000003</v>
          </cell>
          <cell r="R1233" t="str">
            <v>HONDA BRV I-VTEC S STD</v>
          </cell>
          <cell r="S1233" t="str">
            <v>2019</v>
          </cell>
          <cell r="T1233" t="str">
            <v>BH-3721</v>
          </cell>
          <cell r="U1233" t="str">
            <v>13516046</v>
          </cell>
          <cell r="V1233" t="str">
            <v>R016057</v>
          </cell>
          <cell r="X1233" t="str">
            <v>3</v>
          </cell>
          <cell r="Y1233">
            <v>3900000</v>
          </cell>
          <cell r="Z1233">
            <v>50431</v>
          </cell>
          <cell r="AA1233">
            <v>58500</v>
          </cell>
        </row>
        <row r="1234">
          <cell r="B1234" t="str">
            <v>KHI/HO/D/MO/PC COMP/C/106977/45/02/2025</v>
          </cell>
          <cell r="D1234" t="str">
            <v>FRE</v>
          </cell>
          <cell r="E1234" t="str">
            <v>28/02/25</v>
          </cell>
          <cell r="F1234" t="str">
            <v>28/02/2025</v>
          </cell>
          <cell r="G1234" t="str">
            <v>27/02/2026</v>
          </cell>
          <cell r="H1234" t="str">
            <v>08004499</v>
          </cell>
          <cell r="I1234" t="str">
            <v>AL BARAKA BANK (PAKISTAN) LIMITED</v>
          </cell>
          <cell r="J1234" t="str">
            <v>BANK</v>
          </cell>
          <cell r="K1234" t="str">
            <v>Mr. 
HPA M/s. Al Baraka Bank (Pakistan) Limited 
Mr. Rao Fawad Hussain 
HPA M/s. Al Baraka Bank (Pakistan) Limited</v>
          </cell>
          <cell r="L1234" t="str">
            <v>D</v>
          </cell>
          <cell r="M1234" t="str">
            <v>09000221</v>
          </cell>
          <cell r="N1234">
            <v>100</v>
          </cell>
          <cell r="O1234" t="str">
            <v>KARACHI</v>
          </cell>
          <cell r="P1234" t="str">
            <v>H # A-33 Bostan-e-Rafi Malir City Karachi</v>
          </cell>
          <cell r="Q1234" t="str">
            <v>11000003</v>
          </cell>
          <cell r="R1234" t="str">
            <v>SUZUKI ALTO VX EURO II</v>
          </cell>
          <cell r="S1234" t="str">
            <v>2025</v>
          </cell>
          <cell r="U1234" t="str">
            <v>R339769</v>
          </cell>
          <cell r="V1234" t="str">
            <v>1239801</v>
          </cell>
          <cell r="X1234" t="str">
            <v>3</v>
          </cell>
          <cell r="Y1234">
            <v>2331000</v>
          </cell>
          <cell r="Z1234">
            <v>40190</v>
          </cell>
          <cell r="AA1234">
            <v>46620</v>
          </cell>
        </row>
        <row r="1235">
          <cell r="B1235" t="str">
            <v>KHI/HO/D/MO/PC COMP/C/106977/46/02/2025</v>
          </cell>
          <cell r="D1235" t="str">
            <v>FRE</v>
          </cell>
          <cell r="E1235" t="str">
            <v>28/02/25</v>
          </cell>
          <cell r="F1235" t="str">
            <v>28/02/2025</v>
          </cell>
          <cell r="G1235" t="str">
            <v>27/02/2026</v>
          </cell>
          <cell r="H1235" t="str">
            <v>08004499</v>
          </cell>
          <cell r="I1235" t="str">
            <v>AL BARAKA BANK (PAKISTAN) LIMITED</v>
          </cell>
          <cell r="J1235" t="str">
            <v>BANK</v>
          </cell>
          <cell r="K1235" t="str">
            <v>Mr. 
HPA M/s. Al Baraka Bank (Pakistan) Limited 
Mr. Imran Khan
HPA M/s. Al Baraka Bank (Pakistan) Limited</v>
          </cell>
          <cell r="L1235" t="str">
            <v>D</v>
          </cell>
          <cell r="M1235" t="str">
            <v>09000221</v>
          </cell>
          <cell r="N1235">
            <v>100</v>
          </cell>
          <cell r="P1235" t="str">
            <v>H # 155 Block 517 Railway Power Housing Mughal Pura Lahore</v>
          </cell>
          <cell r="Q1235" t="str">
            <v>11000003</v>
          </cell>
          <cell r="R1235" t="str">
            <v>HONDA CITY 1.5 ASPIRE CVT</v>
          </cell>
          <cell r="S1235" t="str">
            <v>2025</v>
          </cell>
          <cell r="U1235" t="str">
            <v>1017356</v>
          </cell>
          <cell r="V1235" t="str">
            <v>SR048613</v>
          </cell>
          <cell r="X1235" t="str">
            <v>3</v>
          </cell>
          <cell r="Y1235">
            <v>5879000</v>
          </cell>
          <cell r="Z1235">
            <v>76022</v>
          </cell>
          <cell r="AA1235">
            <v>88185</v>
          </cell>
        </row>
        <row r="1236">
          <cell r="B1236" t="str">
            <v>KHI/HO/D/MO/PC COMP/C/106977/47/02/2025</v>
          </cell>
          <cell r="D1236" t="str">
            <v>FRE</v>
          </cell>
          <cell r="E1236" t="str">
            <v>28/02/25</v>
          </cell>
          <cell r="F1236" t="str">
            <v>28/02/2025</v>
          </cell>
          <cell r="G1236" t="str">
            <v>27/02/2026</v>
          </cell>
          <cell r="H1236" t="str">
            <v>08004499</v>
          </cell>
          <cell r="I1236" t="str">
            <v>AL BARAKA BANK (PAKISTAN) LIMITED</v>
          </cell>
          <cell r="J1236" t="str">
            <v>BANK</v>
          </cell>
          <cell r="K1236" t="str">
            <v>Mr. 
HPA M/s. Al Baraka Bank (Pakistan) Limited 
Mr. Arqam Javed Khan
HPA M/s. Al Baraka Bank (Pakistan) Limited</v>
          </cell>
          <cell r="L1236" t="str">
            <v>D</v>
          </cell>
          <cell r="M1236" t="str">
            <v>09000221</v>
          </cell>
          <cell r="N1236">
            <v>100</v>
          </cell>
          <cell r="O1236" t="str">
            <v>KARACHI</v>
          </cell>
          <cell r="P1236" t="str">
            <v>H No A206 Block 10 Gulistan e Johar Karachi</v>
          </cell>
          <cell r="Q1236" t="str">
            <v>11000003</v>
          </cell>
          <cell r="R1236" t="str">
            <v>KIA PICANTO 1.0L A/T</v>
          </cell>
          <cell r="S1236" t="str">
            <v>2021</v>
          </cell>
          <cell r="T1236" t="str">
            <v>BTZ-489</v>
          </cell>
          <cell r="U1236" t="str">
            <v>P050848</v>
          </cell>
          <cell r="V1236" t="str">
            <v>706341</v>
          </cell>
          <cell r="Y1236">
            <v>2590000</v>
          </cell>
          <cell r="Z1236">
            <v>44655</v>
          </cell>
          <cell r="AA1236">
            <v>51800</v>
          </cell>
        </row>
        <row r="1237">
          <cell r="B1237" t="str">
            <v>KHI/HO/D/MO/PC COMP/C/106977/48/02/2025</v>
          </cell>
          <cell r="D1237" t="str">
            <v>FRE</v>
          </cell>
          <cell r="E1237" t="str">
            <v>28/02/25</v>
          </cell>
          <cell r="F1237" t="str">
            <v>28/02/2025</v>
          </cell>
          <cell r="G1237" t="str">
            <v>27/02/2026</v>
          </cell>
          <cell r="H1237" t="str">
            <v>08004499</v>
          </cell>
          <cell r="I1237" t="str">
            <v>AL BARAKA BANK (PAKISTAN) LIMITED</v>
          </cell>
          <cell r="J1237" t="str">
            <v>BANK</v>
          </cell>
          <cell r="K1237" t="str">
            <v>Mr. 
HPA M/s. Al Baraka Bank (Pakistan) Limited 
Mr. Syed Abdul Qadir Shah  
HPA M/s. Al Baraka Bank (Pakistan) Limited</v>
          </cell>
          <cell r="L1237" t="str">
            <v>D</v>
          </cell>
          <cell r="M1237" t="str">
            <v>09000221</v>
          </cell>
          <cell r="N1237">
            <v>100</v>
          </cell>
          <cell r="P1237" t="str">
            <v>H # 90/3 Sector C Askari XI Lahore</v>
          </cell>
          <cell r="Q1237" t="str">
            <v>11000003</v>
          </cell>
          <cell r="R1237" t="str">
            <v>TOYOTA COROLLA ALTIS CVT</v>
          </cell>
          <cell r="S1237" t="str">
            <v>2020</v>
          </cell>
          <cell r="T1237" t="str">
            <v>ABE-835</v>
          </cell>
          <cell r="U1237" t="str">
            <v>Q346587</v>
          </cell>
          <cell r="V1237" t="str">
            <v>R7045777</v>
          </cell>
          <cell r="X1237" t="str">
            <v>3</v>
          </cell>
          <cell r="Y1237">
            <v>5000000</v>
          </cell>
          <cell r="Z1237">
            <v>64655</v>
          </cell>
          <cell r="AA1237">
            <v>75000</v>
          </cell>
        </row>
        <row r="1238">
          <cell r="B1238" t="str">
            <v>KHI/HO/D/MO/PC COMP/C/106977/49/02/2025</v>
          </cell>
          <cell r="D1238" t="str">
            <v>FRE</v>
          </cell>
          <cell r="E1238" t="str">
            <v>28/02/25</v>
          </cell>
          <cell r="F1238" t="str">
            <v>28/02/2025</v>
          </cell>
          <cell r="G1238" t="str">
            <v>27/02/2026</v>
          </cell>
          <cell r="H1238" t="str">
            <v>08004499</v>
          </cell>
          <cell r="I1238" t="str">
            <v>AL BARAKA BANK (PAKISTAN) LIMITED</v>
          </cell>
          <cell r="J1238" t="str">
            <v>BANK</v>
          </cell>
          <cell r="K1238" t="str">
            <v>Mr. 
HPA M/s. Al Baraka Bank (Pakistan) Limited 
Mr. Ayaz Ahmed
HPA M/s. Al Baraka Bank (Pakistan) Limited</v>
          </cell>
          <cell r="L1238" t="str">
            <v>D</v>
          </cell>
          <cell r="M1238" t="str">
            <v>09000221</v>
          </cell>
          <cell r="N1238">
            <v>100</v>
          </cell>
          <cell r="O1238" t="str">
            <v>KARACHI</v>
          </cell>
          <cell r="P1238" t="str">
            <v>H No A-424 Sector 11B North Karachi</v>
          </cell>
          <cell r="Q1238" t="str">
            <v>11000003</v>
          </cell>
          <cell r="R1238" t="str">
            <v>HONDA BRV - S</v>
          </cell>
          <cell r="S1238" t="str">
            <v>2022</v>
          </cell>
          <cell r="T1238" t="str">
            <v>BK-2488</v>
          </cell>
          <cell r="U1238" t="str">
            <v>14808316</v>
          </cell>
          <cell r="V1238" t="str">
            <v>R025001</v>
          </cell>
          <cell r="Y1238">
            <v>5200000</v>
          </cell>
          <cell r="Z1238">
            <v>67242</v>
          </cell>
          <cell r="AA1238">
            <v>78000</v>
          </cell>
        </row>
        <row r="1239">
          <cell r="B1239" t="str">
            <v>KHI/HO/D/MO/PC COMP/C/106977/50/02/2025</v>
          </cell>
          <cell r="D1239" t="str">
            <v>FRE</v>
          </cell>
          <cell r="E1239" t="str">
            <v>28/02/25</v>
          </cell>
          <cell r="F1239" t="str">
            <v>28/02/2025</v>
          </cell>
          <cell r="G1239" t="str">
            <v>27/02/2026</v>
          </cell>
          <cell r="H1239" t="str">
            <v>08004499</v>
          </cell>
          <cell r="I1239" t="str">
            <v>AL BARAKA BANK (PAKISTAN) LIMITED</v>
          </cell>
          <cell r="J1239" t="str">
            <v>BANK</v>
          </cell>
          <cell r="K1239" t="str">
            <v>Mr. 
HPA M/s. Al Baraka Bank (Pakistan) Limited 
Mr. Farhan Ali 
HPA M/s. Al Baraka Bank (Pakistan) Limited</v>
          </cell>
          <cell r="L1239" t="str">
            <v>D</v>
          </cell>
          <cell r="M1239" t="str">
            <v>09000221</v>
          </cell>
          <cell r="N1239">
            <v>100</v>
          </cell>
          <cell r="O1239" t="str">
            <v>LAHORE</v>
          </cell>
          <cell r="P1239" t="str">
            <v>H # 97-A Nawab Town Lahore</v>
          </cell>
          <cell r="Q1239" t="str">
            <v>11000003</v>
          </cell>
          <cell r="R1239" t="str">
            <v>HONDA CIVIC VTI ORIEL U.G</v>
          </cell>
          <cell r="S1239" t="str">
            <v>2017</v>
          </cell>
          <cell r="T1239" t="str">
            <v>LEE-17-6506</v>
          </cell>
          <cell r="U1239" t="str">
            <v>Z12915376</v>
          </cell>
          <cell r="V1239" t="str">
            <v>HR018753</v>
          </cell>
          <cell r="X1239" t="str">
            <v>3</v>
          </cell>
          <cell r="Y1239">
            <v>4900000</v>
          </cell>
          <cell r="Z1239">
            <v>63362</v>
          </cell>
          <cell r="AA1239">
            <v>73500</v>
          </cell>
        </row>
        <row r="1240">
          <cell r="B1240" t="str">
            <v>KHI/HO/D/MO/PC COMP/C/106977/51/02/2025</v>
          </cell>
          <cell r="D1240" t="str">
            <v>FRE</v>
          </cell>
          <cell r="E1240" t="str">
            <v>28/02/25</v>
          </cell>
          <cell r="F1240" t="str">
            <v>28/02/2025</v>
          </cell>
          <cell r="G1240" t="str">
            <v>27/02/2026</v>
          </cell>
          <cell r="H1240" t="str">
            <v>08004499</v>
          </cell>
          <cell r="I1240" t="str">
            <v>AL BARAKA BANK (PAKISTAN) LIMITED</v>
          </cell>
          <cell r="J1240" t="str">
            <v>BANK</v>
          </cell>
          <cell r="K1240" t="str">
            <v>Mr. 
HPA M/s. Al Baraka Bank (Pakistan) Limited 
Mr. Rana Muhammad Shahzad Naveed 
HPA M/s. Al Baraka Bank (Pakistan) Limited</v>
          </cell>
          <cell r="L1240" t="str">
            <v>D</v>
          </cell>
          <cell r="M1240" t="str">
            <v>09000221</v>
          </cell>
          <cell r="N1240">
            <v>100</v>
          </cell>
          <cell r="P1240" t="str">
            <v>HOUSE NO 100 MOHALLAH  UMER SALAR HERBANSPURA LAHORE</v>
          </cell>
          <cell r="Q1240" t="str">
            <v>11000003</v>
          </cell>
          <cell r="R1240" t="str">
            <v>HONDA CITY 1.2  LS CVT</v>
          </cell>
          <cell r="S1240" t="str">
            <v>2025</v>
          </cell>
          <cell r="U1240" t="str">
            <v>1032080</v>
          </cell>
          <cell r="V1240" t="str">
            <v>SR049609</v>
          </cell>
          <cell r="Y1240">
            <v>4719000</v>
          </cell>
          <cell r="Z1240">
            <v>61022</v>
          </cell>
          <cell r="AA1240">
            <v>70785</v>
          </cell>
        </row>
        <row r="1241">
          <cell r="B1241" t="str">
            <v>KHI/HO/D/MO/PC COMP/C/106977/52/02/2025</v>
          </cell>
          <cell r="D1241" t="str">
            <v>FRE</v>
          </cell>
          <cell r="E1241" t="str">
            <v>28/02/25</v>
          </cell>
          <cell r="F1241" t="str">
            <v>28/02/2025</v>
          </cell>
          <cell r="G1241" t="str">
            <v>27/02/2026</v>
          </cell>
          <cell r="H1241" t="str">
            <v>08004499</v>
          </cell>
          <cell r="I1241" t="str">
            <v>AL BARAKA BANK (PAKISTAN) LIMITED</v>
          </cell>
          <cell r="J1241" t="str">
            <v>BANK</v>
          </cell>
          <cell r="K1241" t="str">
            <v>Mr. 
HPA M/s. Al Baraka Bank (Pakistan) Limited 
Mr. Khalid Falak Sher 
HPA M/s. Al Baraka Bank (Pakistan) Limited</v>
          </cell>
          <cell r="L1241" t="str">
            <v>D</v>
          </cell>
          <cell r="M1241" t="str">
            <v>09000221</v>
          </cell>
          <cell r="N1241">
            <v>100</v>
          </cell>
          <cell r="P1241" t="str">
            <v>H # 235-C, ST # 7, MOHALLAH PUNJAB SOCIETY DHA LAHORE</v>
          </cell>
          <cell r="Q1241" t="str">
            <v>11000003</v>
          </cell>
          <cell r="R1241" t="str">
            <v>TOYOTA Yaris ATIV 1.3 (CV</v>
          </cell>
          <cell r="S1241" t="str">
            <v>2025</v>
          </cell>
          <cell r="U1241" t="str">
            <v>72954</v>
          </cell>
          <cell r="V1241" t="str">
            <v>7050077</v>
          </cell>
          <cell r="Y1241">
            <v>4760000</v>
          </cell>
          <cell r="Z1241">
            <v>61551</v>
          </cell>
          <cell r="AA1241">
            <v>71400</v>
          </cell>
        </row>
        <row r="1242">
          <cell r="B1242" t="str">
            <v>KHI/HO/D/MO/PC COMP/C/106977/53/02/2025</v>
          </cell>
          <cell r="D1242" t="str">
            <v>FRE</v>
          </cell>
          <cell r="E1242" t="str">
            <v>28/02/25</v>
          </cell>
          <cell r="F1242" t="str">
            <v>28/02/2025</v>
          </cell>
          <cell r="G1242" t="str">
            <v>27/02/2026</v>
          </cell>
          <cell r="H1242" t="str">
            <v>08004499</v>
          </cell>
          <cell r="I1242" t="str">
            <v>AL BARAKA BANK (PAKISTAN) LIMITED</v>
          </cell>
          <cell r="J1242" t="str">
            <v>BANK</v>
          </cell>
          <cell r="K1242" t="str">
            <v>Mr. 
HPA M/s. Al Baraka Bank (Pakistan) Limited 
Mr.  SALMAN BUTT
HPA M/s. Al Baraka Bank (Pakistan) Limited</v>
          </cell>
          <cell r="L1242" t="str">
            <v>D</v>
          </cell>
          <cell r="M1242" t="str">
            <v>09000221</v>
          </cell>
          <cell r="N1242">
            <v>100</v>
          </cell>
          <cell r="O1242" t="str">
            <v>FAISALABAD</v>
          </cell>
          <cell r="P1242" t="str">
            <v>195/B VIP Block Canal Park Canal Road Faisalabad</v>
          </cell>
          <cell r="Q1242" t="str">
            <v>11000003</v>
          </cell>
          <cell r="R1242" t="str">
            <v>HONDA CIVIC</v>
          </cell>
          <cell r="S1242" t="str">
            <v>2019</v>
          </cell>
          <cell r="T1242" t="str">
            <v>LEF-19-9696</v>
          </cell>
          <cell r="U1242" t="str">
            <v>R18Z12951501</v>
          </cell>
          <cell r="V1242" t="str">
            <v>NFBFC666KR054928</v>
          </cell>
          <cell r="X1242" t="str">
            <v>2</v>
          </cell>
          <cell r="Y1242">
            <v>5500000</v>
          </cell>
          <cell r="Z1242">
            <v>71121</v>
          </cell>
          <cell r="AA1242">
            <v>82500</v>
          </cell>
        </row>
        <row r="1243">
          <cell r="B1243" t="str">
            <v>KHI/HO/D/MO/PC COMP/C/106977/54/02/2025</v>
          </cell>
          <cell r="D1243" t="str">
            <v>FRE</v>
          </cell>
          <cell r="E1243" t="str">
            <v>28/02/25</v>
          </cell>
          <cell r="F1243" t="str">
            <v>28/02/2025</v>
          </cell>
          <cell r="G1243" t="str">
            <v>27/02/2026</v>
          </cell>
          <cell r="H1243" t="str">
            <v>08004499</v>
          </cell>
          <cell r="I1243" t="str">
            <v>AL BARAKA BANK (PAKISTAN) LIMITED</v>
          </cell>
          <cell r="J1243" t="str">
            <v>BANK</v>
          </cell>
          <cell r="K1243" t="str">
            <v>Mr. 
HPA M/s. Al Baraka Bank (Pakistan) Limited 
Mr. Muhammad Boota 
HPA M/s. Al Baraka Bank (Pakistan) Limited</v>
          </cell>
          <cell r="L1243" t="str">
            <v>D</v>
          </cell>
          <cell r="M1243" t="str">
            <v>09000221</v>
          </cell>
          <cell r="N1243">
            <v>100</v>
          </cell>
          <cell r="O1243" t="str">
            <v>LAHORE</v>
          </cell>
          <cell r="P1243" t="str">
            <v>Flat 12 F Askari 2 Bridge Colony Lahore</v>
          </cell>
          <cell r="Q1243" t="str">
            <v>11000003</v>
          </cell>
          <cell r="R1243" t="str">
            <v>KIA PICANTO 1.0L M/T</v>
          </cell>
          <cell r="S1243" t="str">
            <v>2020</v>
          </cell>
          <cell r="T1243" t="str">
            <v>AEL-535</v>
          </cell>
          <cell r="U1243" t="str">
            <v>131919</v>
          </cell>
          <cell r="V1243" t="str">
            <v>KP500158</v>
          </cell>
          <cell r="X1243" t="str">
            <v>3</v>
          </cell>
          <cell r="Y1243">
            <v>2500000</v>
          </cell>
          <cell r="Z1243">
            <v>43103</v>
          </cell>
          <cell r="AA1243">
            <v>50000</v>
          </cell>
        </row>
        <row r="1244">
          <cell r="B1244" t="str">
            <v>KHI/HO/D/MO/PC COMP/C/106977/55/02/2025</v>
          </cell>
          <cell r="D1244" t="str">
            <v>FRE</v>
          </cell>
          <cell r="E1244" t="str">
            <v>28/02/25</v>
          </cell>
          <cell r="F1244" t="str">
            <v>28/02/2025</v>
          </cell>
          <cell r="G1244" t="str">
            <v>27/02/2026</v>
          </cell>
          <cell r="H1244" t="str">
            <v>08004499</v>
          </cell>
          <cell r="I1244" t="str">
            <v>AL BARAKA BANK (PAKISTAN) LIMITED</v>
          </cell>
          <cell r="J1244" t="str">
            <v>BANK</v>
          </cell>
          <cell r="K1244" t="str">
            <v>Mr. 
HPA M/s. Al Baraka Bank (Pakistan) Limited 
Mr. Usman Rafiq Butt 
HPA M/s. Al Baraka Bank (Pakistan) Limited</v>
          </cell>
          <cell r="L1244" t="str">
            <v>D</v>
          </cell>
          <cell r="M1244" t="str">
            <v>09000221</v>
          </cell>
          <cell r="N1244">
            <v>100</v>
          </cell>
          <cell r="O1244" t="str">
            <v>LAHORE</v>
          </cell>
          <cell r="P1244" t="str">
            <v>H # 221 Sector J Phase 1 DHA Lahore</v>
          </cell>
          <cell r="Q1244" t="str">
            <v>11000003</v>
          </cell>
          <cell r="R1244" t="str">
            <v>TOYOTA LAND CRUISER PRADO</v>
          </cell>
          <cell r="S1244" t="str">
            <v>2013</v>
          </cell>
          <cell r="T1244" t="str">
            <v>AEW-582</v>
          </cell>
          <cell r="U1244" t="str">
            <v>1276191</v>
          </cell>
          <cell r="V1244" t="str">
            <v>TRJ150-0032757</v>
          </cell>
          <cell r="X1244" t="str">
            <v>3</v>
          </cell>
          <cell r="Y1244">
            <v>13000000</v>
          </cell>
          <cell r="Z1244">
            <v>168103</v>
          </cell>
          <cell r="AA1244">
            <v>195000</v>
          </cell>
        </row>
        <row r="1245">
          <cell r="B1245" t="str">
            <v>KHI/HO/D/MO/PC COMP/C/106977/56/02/2025</v>
          </cell>
          <cell r="D1245" t="str">
            <v>FRE</v>
          </cell>
          <cell r="E1245" t="str">
            <v>28/02/25</v>
          </cell>
          <cell r="F1245" t="str">
            <v>28/02/2025</v>
          </cell>
          <cell r="G1245" t="str">
            <v>27/02/2026</v>
          </cell>
          <cell r="H1245" t="str">
            <v>08004499</v>
          </cell>
          <cell r="I1245" t="str">
            <v>AL BARAKA BANK (PAKISTAN) LIMITED</v>
          </cell>
          <cell r="J1245" t="str">
            <v>BANK</v>
          </cell>
          <cell r="K1245" t="str">
            <v>Mr. 
HPA M/s. Al Baraka Bank (Pakistan) Limited 
Mr. Muhammad Yasir Nadeem
HPA M/s. Al Baraka Bank (Pakistan) Limited</v>
          </cell>
          <cell r="L1245" t="str">
            <v>D</v>
          </cell>
          <cell r="M1245" t="str">
            <v>09000221</v>
          </cell>
          <cell r="N1245">
            <v>100</v>
          </cell>
          <cell r="O1245" t="str">
            <v>FAISALABAD</v>
          </cell>
          <cell r="P1245" t="str">
            <v>H # 12 Street 11 E Block Madina Town Faisalabad</v>
          </cell>
          <cell r="Q1245" t="str">
            <v>11000003</v>
          </cell>
          <cell r="R1245" t="str">
            <v>SUZUKI WAGON-R VXL E2</v>
          </cell>
          <cell r="S1245" t="str">
            <v>2018</v>
          </cell>
          <cell r="T1245" t="str">
            <v>LEH-18-7186</v>
          </cell>
          <cell r="U1245" t="str">
            <v>PK10B164053</v>
          </cell>
          <cell r="V1245" t="str">
            <v>A1J310PK10064040</v>
          </cell>
          <cell r="X1245" t="str">
            <v>3</v>
          </cell>
          <cell r="Y1245">
            <v>2350000</v>
          </cell>
          <cell r="Z1245">
            <v>40517</v>
          </cell>
          <cell r="AA1245">
            <v>47000</v>
          </cell>
        </row>
        <row r="1246">
          <cell r="B1246" t="str">
            <v>KHI/HO/D/MO/PC COMP/C/106977/57/02/2025</v>
          </cell>
          <cell r="D1246" t="str">
            <v>FRE</v>
          </cell>
          <cell r="E1246" t="str">
            <v>28/02/25</v>
          </cell>
          <cell r="F1246" t="str">
            <v>28/02/2025</v>
          </cell>
          <cell r="G1246" t="str">
            <v>27/02/2026</v>
          </cell>
          <cell r="H1246" t="str">
            <v>08004499</v>
          </cell>
          <cell r="I1246" t="str">
            <v>AL BARAKA BANK (PAKISTAN) LIMITED</v>
          </cell>
          <cell r="J1246" t="str">
            <v>BANK</v>
          </cell>
          <cell r="K1246" t="str">
            <v>Mr. 
HPA M/s. Al Baraka Bank (Pakistan) Limited 
Mr. Noor Ul Ain 
HPA M/s. Al Baraka Bank (Pakistan) Limited</v>
          </cell>
          <cell r="L1246" t="str">
            <v>D</v>
          </cell>
          <cell r="M1246" t="str">
            <v>09000221</v>
          </cell>
          <cell r="N1246">
            <v>100</v>
          </cell>
          <cell r="O1246" t="str">
            <v>ISLAMABAD</v>
          </cell>
          <cell r="P1246" t="str">
            <v>H NO C-427 St No 07 G-10 /1 Area Islamabad</v>
          </cell>
          <cell r="Q1246" t="str">
            <v>11000003</v>
          </cell>
          <cell r="R1246" t="str">
            <v>SUZUKI CULTUS VXL</v>
          </cell>
          <cell r="S1246" t="str">
            <v>2021</v>
          </cell>
          <cell r="T1246" t="str">
            <v>AUH-762</v>
          </cell>
          <cell r="U1246" t="str">
            <v>173682</v>
          </cell>
          <cell r="V1246" t="str">
            <v>10073699</v>
          </cell>
          <cell r="Y1246">
            <v>3300000</v>
          </cell>
          <cell r="Z1246">
            <v>56897</v>
          </cell>
          <cell r="AA1246">
            <v>66000</v>
          </cell>
        </row>
        <row r="1247">
          <cell r="B1247" t="str">
            <v>KHI/HO/D/MO/PC COMP/C/106977/58/02/2025</v>
          </cell>
          <cell r="D1247" t="str">
            <v>FRE</v>
          </cell>
          <cell r="E1247" t="str">
            <v>28/02/25</v>
          </cell>
          <cell r="F1247" t="str">
            <v>28/02/2025</v>
          </cell>
          <cell r="G1247" t="str">
            <v>27/02/2026</v>
          </cell>
          <cell r="H1247" t="str">
            <v>08004499</v>
          </cell>
          <cell r="I1247" t="str">
            <v>AL BARAKA BANK (PAKISTAN) LIMITED</v>
          </cell>
          <cell r="J1247" t="str">
            <v>BANK</v>
          </cell>
          <cell r="K1247" t="str">
            <v>Mr. 
HPA M/s. Al Baraka Bank (Pakistan) Limited 
Mr. Abdul Munam Ali
HPA M/s. Al Baraka Bank (Pakistan) Limited</v>
          </cell>
          <cell r="L1247" t="str">
            <v>D</v>
          </cell>
          <cell r="M1247" t="str">
            <v>09000221</v>
          </cell>
          <cell r="N1247">
            <v>100</v>
          </cell>
          <cell r="O1247" t="str">
            <v>MULTAN</v>
          </cell>
          <cell r="P1247" t="str">
            <v>H No 50 Chungi 07 Mohallah Khan Colony LMQ Road Multan</v>
          </cell>
          <cell r="Q1247" t="str">
            <v>11000003</v>
          </cell>
          <cell r="R1247" t="str">
            <v>HONDA CITY 1.2  LS CVT</v>
          </cell>
          <cell r="S1247" t="str">
            <v>2025</v>
          </cell>
          <cell r="U1247" t="str">
            <v>51032249</v>
          </cell>
          <cell r="V1247" t="str">
            <v>049772</v>
          </cell>
          <cell r="Y1247">
            <v>4719000</v>
          </cell>
          <cell r="Z1247">
            <v>61022</v>
          </cell>
          <cell r="AA1247">
            <v>70785</v>
          </cell>
        </row>
        <row r="1248">
          <cell r="B1248" t="str">
            <v>KHI/HO/D/MO/PC COMP/C/106977/59/02/2025</v>
          </cell>
          <cell r="D1248" t="str">
            <v>FRE</v>
          </cell>
          <cell r="E1248" t="str">
            <v>28/02/25</v>
          </cell>
          <cell r="F1248" t="str">
            <v>28/02/2025</v>
          </cell>
          <cell r="G1248" t="str">
            <v>27/02/2026</v>
          </cell>
          <cell r="H1248" t="str">
            <v>08004499</v>
          </cell>
          <cell r="I1248" t="str">
            <v>AL BARAKA BANK (PAKISTAN) LIMITED</v>
          </cell>
          <cell r="J1248" t="str">
            <v>BANK</v>
          </cell>
          <cell r="K1248" t="str">
            <v>Mr. 
HPA M/s. Al Baraka Bank (Pakistan) Limited 
Mr. Muhammad Zahid Ali
HPA M/s. Al Baraka Bank (Pakistan) Limited</v>
          </cell>
          <cell r="L1248" t="str">
            <v>D</v>
          </cell>
          <cell r="M1248" t="str">
            <v>09000221</v>
          </cell>
          <cell r="N1248">
            <v>100</v>
          </cell>
          <cell r="P1248" t="str">
            <v>H No 10/541 A Liaqatabad No 10 Karachi</v>
          </cell>
          <cell r="Q1248" t="str">
            <v>11000003</v>
          </cell>
          <cell r="R1248" t="str">
            <v>SUZUKI ALTO</v>
          </cell>
          <cell r="S1248" t="str">
            <v>2024</v>
          </cell>
          <cell r="T1248" t="str">
            <v>CAN-410</v>
          </cell>
          <cell r="U1248" t="str">
            <v>R321421</v>
          </cell>
          <cell r="V1248" t="str">
            <v>H1221405</v>
          </cell>
          <cell r="Y1248">
            <v>3045000</v>
          </cell>
          <cell r="Z1248">
            <v>52500</v>
          </cell>
          <cell r="AA1248">
            <v>60900</v>
          </cell>
        </row>
        <row r="1249">
          <cell r="B1249" t="str">
            <v>KHI/HO/D/MO/PC COMP/C/107861/1/03/2025</v>
          </cell>
          <cell r="D1249" t="str">
            <v>FRE</v>
          </cell>
          <cell r="E1249" t="str">
            <v>04/03/25</v>
          </cell>
          <cell r="F1249" t="str">
            <v>04/03/2025</v>
          </cell>
          <cell r="G1249" t="str">
            <v>03/03/2026</v>
          </cell>
          <cell r="H1249" t="str">
            <v>08004499</v>
          </cell>
          <cell r="I1249" t="str">
            <v>AL BARAKA BANK (PAKISTAN) LIMITED</v>
          </cell>
          <cell r="J1249" t="str">
            <v>BANK</v>
          </cell>
          <cell r="K1249" t="str">
            <v>Mr. 
HPA M/s. Al Baraka Bank (Pakistan) Limited 
Mr. Asif Saleem 
HPA M/s. Al Baraka Bank (Pakistan) Limited</v>
          </cell>
          <cell r="L1249" t="str">
            <v>D</v>
          </cell>
          <cell r="M1249" t="str">
            <v>09000221</v>
          </cell>
          <cell r="N1249">
            <v>100</v>
          </cell>
          <cell r="O1249" t="str">
            <v>SARGODHA</v>
          </cell>
          <cell r="P1249" t="str">
            <v>H # 397 Street 1 Block 25 Sargodha</v>
          </cell>
          <cell r="Q1249" t="str">
            <v>11000003</v>
          </cell>
          <cell r="R1249" t="str">
            <v>SUZUKI ALTO VXR E-2</v>
          </cell>
          <cell r="S1249" t="str">
            <v>2023</v>
          </cell>
          <cell r="T1249" t="str">
            <v>AQG-765</v>
          </cell>
          <cell r="U1249" t="str">
            <v>6R283611</v>
          </cell>
          <cell r="V1249" t="str">
            <v>6H1183613</v>
          </cell>
          <cell r="X1249" t="str">
            <v>3</v>
          </cell>
          <cell r="Y1249">
            <v>2600000</v>
          </cell>
          <cell r="Z1249">
            <v>44397</v>
          </cell>
          <cell r="AA1249">
            <v>52000</v>
          </cell>
        </row>
        <row r="1250">
          <cell r="B1250" t="str">
            <v>KHI/HO/D/MO/PC COMP/C/107861/2/03/2025</v>
          </cell>
          <cell r="D1250" t="str">
            <v>FRE</v>
          </cell>
          <cell r="E1250" t="str">
            <v>04/03/25</v>
          </cell>
          <cell r="F1250" t="str">
            <v>04/03/2025</v>
          </cell>
          <cell r="G1250" t="str">
            <v>03/03/2026</v>
          </cell>
          <cell r="H1250" t="str">
            <v>08004499</v>
          </cell>
          <cell r="I1250" t="str">
            <v>AL BARAKA BANK (PAKISTAN) LIMITED</v>
          </cell>
          <cell r="J1250" t="str">
            <v>BANK</v>
          </cell>
          <cell r="K1250" t="str">
            <v>Mr. 
HPA M/s. Al Baraka Bank (Pakistan) Limited 
Mr. Muhammad Hassan Hanif 
HPA M/s. Al Baraka Bank (Pakistan) Limited</v>
          </cell>
          <cell r="L1250" t="str">
            <v>D</v>
          </cell>
          <cell r="M1250" t="str">
            <v>09000221</v>
          </cell>
          <cell r="N1250">
            <v>100</v>
          </cell>
          <cell r="P1250" t="str">
            <v>H-CB 294 Liaquat Road Lalzar Wah Cantt</v>
          </cell>
          <cell r="Q1250" t="str">
            <v>11000003</v>
          </cell>
          <cell r="R1250" t="str">
            <v>SUZUKI Swift GLX CVT</v>
          </cell>
          <cell r="S1250" t="str">
            <v>2022</v>
          </cell>
          <cell r="T1250" t="str">
            <v>AZT-406</v>
          </cell>
          <cell r="U1250" t="str">
            <v>1005056    2022</v>
          </cell>
          <cell r="V1250" t="str">
            <v>105076</v>
          </cell>
          <cell r="X1250" t="str">
            <v>3</v>
          </cell>
          <cell r="Y1250">
            <v>3900000</v>
          </cell>
          <cell r="Z1250">
            <v>50431</v>
          </cell>
          <cell r="AA1250">
            <v>58500</v>
          </cell>
        </row>
        <row r="1251">
          <cell r="B1251" t="str">
            <v>KHI/HO/D/MO/PC COMP/C/107861/3/03/2025</v>
          </cell>
          <cell r="D1251" t="str">
            <v>FRE</v>
          </cell>
          <cell r="E1251" t="str">
            <v>05/03/25</v>
          </cell>
          <cell r="F1251" t="str">
            <v>05/03/2025</v>
          </cell>
          <cell r="G1251" t="str">
            <v>04/03/2026</v>
          </cell>
          <cell r="H1251" t="str">
            <v>08004499</v>
          </cell>
          <cell r="I1251" t="str">
            <v>AL BARAKA BANK (PAKISTAN) LIMITED</v>
          </cell>
          <cell r="J1251" t="str">
            <v>BANK</v>
          </cell>
          <cell r="K1251" t="str">
            <v>Mr. 
HPA M/s. Al Baraka Bank (Pakistan) Limited 
Mr. Nawaz Ahmad
HPA M/s. Al Baraka Bank (Pakistan) Limited</v>
          </cell>
          <cell r="L1251" t="str">
            <v>D</v>
          </cell>
          <cell r="M1251" t="str">
            <v>09000221</v>
          </cell>
          <cell r="N1251">
            <v>100</v>
          </cell>
          <cell r="O1251" t="str">
            <v>GUJRANWALA</v>
          </cell>
          <cell r="P1251" t="str">
            <v>H # A-1 Bin Qasim Block Shalimar Town Gujranwala</v>
          </cell>
          <cell r="Q1251" t="str">
            <v>11000003</v>
          </cell>
          <cell r="R1251" t="str">
            <v>SUZUKI ALTO VXR E-2</v>
          </cell>
          <cell r="S1251" t="str">
            <v>2025</v>
          </cell>
          <cell r="U1251" t="str">
            <v>6R341732</v>
          </cell>
          <cell r="V1251" t="str">
            <v>NF1AET306H1241724</v>
          </cell>
          <cell r="X1251" t="str">
            <v>3</v>
          </cell>
          <cell r="Y1251">
            <v>2707000</v>
          </cell>
          <cell r="Z1251">
            <v>46672</v>
          </cell>
          <cell r="AA1251">
            <v>54140</v>
          </cell>
        </row>
        <row r="1252">
          <cell r="B1252" t="str">
            <v>KHI/HO/D/MO/CV/C/107868/1/03/2025</v>
          </cell>
          <cell r="D1252" t="str">
            <v>REN</v>
          </cell>
          <cell r="E1252" t="str">
            <v>05/03/25</v>
          </cell>
          <cell r="F1252" t="str">
            <v>14/03/2025</v>
          </cell>
          <cell r="G1252" t="str">
            <v>13/03/2026</v>
          </cell>
          <cell r="H1252" t="str">
            <v>08004499</v>
          </cell>
          <cell r="I1252" t="str">
            <v>AL BARAKA BANK (PAKISTAN) LIMITED</v>
          </cell>
          <cell r="J1252" t="str">
            <v>BANK</v>
          </cell>
          <cell r="K1252" t="str">
            <v>HPA Mr. 
M/S Al Baraka Bank ( Pakistan ) Limited
Mr. Ibrar Ahmed
HPA M/S Al Baraka Bank (Pakistan) Limited</v>
          </cell>
          <cell r="L1252" t="str">
            <v>D</v>
          </cell>
          <cell r="M1252" t="str">
            <v>09000221</v>
          </cell>
          <cell r="N1252">
            <v>100</v>
          </cell>
          <cell r="P1252" t="str">
            <v>H No 87 /17 St 03 Mohallah Farooqabad Seham Rawalpindi</v>
          </cell>
          <cell r="Q1252" t="str">
            <v>11000003</v>
          </cell>
          <cell r="R1252" t="str">
            <v>SUZUKI RAVI PICK UP</v>
          </cell>
          <cell r="S1252" t="str">
            <v>2022</v>
          </cell>
          <cell r="T1252" t="str">
            <v>TD-345</v>
          </cell>
          <cell r="U1252" t="str">
            <v>382189</v>
          </cell>
          <cell r="V1252" t="str">
            <v>486829</v>
          </cell>
          <cell r="X1252" t="str">
            <v>5</v>
          </cell>
          <cell r="Y1252">
            <v>893600</v>
          </cell>
          <cell r="Z1252">
            <v>18828</v>
          </cell>
          <cell r="AA1252">
            <v>22340</v>
          </cell>
        </row>
        <row r="1253">
          <cell r="B1253" t="str">
            <v>KHI/HO/D/MO/CV/C/107868/2/03/2025</v>
          </cell>
          <cell r="D1253" t="str">
            <v>REN</v>
          </cell>
          <cell r="E1253" t="str">
            <v>05/03/25</v>
          </cell>
          <cell r="F1253" t="str">
            <v>16/03/2025</v>
          </cell>
          <cell r="G1253" t="str">
            <v>15/03/2026</v>
          </cell>
          <cell r="H1253" t="str">
            <v>08004499</v>
          </cell>
          <cell r="I1253" t="str">
            <v>AL BARAKA BANK (PAKISTAN) LIMITED</v>
          </cell>
          <cell r="J1253" t="str">
            <v>BANK</v>
          </cell>
          <cell r="K1253" t="str">
            <v>HPA Mr. 
M/S Al Baraka Bank ( Pakistan ) Limited
Mr. Muhammad Raza
HPA M/S Al Baraka Bank ( Pakistan ) Limited</v>
          </cell>
          <cell r="L1253" t="str">
            <v>D</v>
          </cell>
          <cell r="M1253" t="str">
            <v>09000221</v>
          </cell>
          <cell r="N1253">
            <v>100</v>
          </cell>
          <cell r="P1253" t="str">
            <v>H No 207 1st Floor Block 8 Street No 25 Muhammad Road Shershah Karachi</v>
          </cell>
          <cell r="Q1253" t="str">
            <v>11000003</v>
          </cell>
          <cell r="R1253" t="str">
            <v>SUZUKI RAVI VX</v>
          </cell>
          <cell r="S1253" t="str">
            <v>2022</v>
          </cell>
          <cell r="T1253" t="str">
            <v>LB-3615</v>
          </cell>
          <cell r="U1253" t="str">
            <v>382374</v>
          </cell>
          <cell r="V1253" t="str">
            <v>487035</v>
          </cell>
          <cell r="Y1253">
            <v>893600</v>
          </cell>
          <cell r="Z1253">
            <v>19258</v>
          </cell>
          <cell r="AA1253">
            <v>22340</v>
          </cell>
        </row>
        <row r="1254">
          <cell r="B1254" t="str">
            <v>KHI/HO/D/MO/CV/C/107868/3/03/2025</v>
          </cell>
          <cell r="D1254" t="str">
            <v>REN</v>
          </cell>
          <cell r="E1254" t="str">
            <v>05/03/25</v>
          </cell>
          <cell r="F1254" t="str">
            <v>18/03/2025</v>
          </cell>
          <cell r="G1254" t="str">
            <v>17/03/2026</v>
          </cell>
          <cell r="H1254" t="str">
            <v>08004499</v>
          </cell>
          <cell r="I1254" t="str">
            <v>AL BARAKA BANK (PAKISTAN) LIMITED</v>
          </cell>
          <cell r="J1254" t="str">
            <v>BANK</v>
          </cell>
          <cell r="K1254" t="str">
            <v>HPA Mr. 
M/S Al Baraka Bank ( Pakistan ) Limited
Mr. Saad Abid
HPAM/S Al Baraka Bank ( Pakistan ) Limited</v>
          </cell>
          <cell r="L1254" t="str">
            <v>D</v>
          </cell>
          <cell r="M1254" t="str">
            <v>09000221</v>
          </cell>
          <cell r="N1254">
            <v>100</v>
          </cell>
          <cell r="Q1254" t="str">
            <v>11000003</v>
          </cell>
          <cell r="R1254" t="str">
            <v>SUZUKI RAVI PICK UP</v>
          </cell>
          <cell r="S1254" t="str">
            <v>2022</v>
          </cell>
          <cell r="T1254" t="str">
            <v>LB-3725</v>
          </cell>
          <cell r="U1254" t="str">
            <v>382259</v>
          </cell>
          <cell r="V1254" t="str">
            <v>486929</v>
          </cell>
          <cell r="Y1254">
            <v>893600</v>
          </cell>
          <cell r="Z1254">
            <v>19258</v>
          </cell>
          <cell r="AA1254">
            <v>22340</v>
          </cell>
        </row>
        <row r="1255">
          <cell r="B1255" t="str">
            <v>KHI/HO/D/MO/CV/C/107868/4/03/2025</v>
          </cell>
          <cell r="D1255" t="str">
            <v>REN</v>
          </cell>
          <cell r="E1255" t="str">
            <v>05/03/25</v>
          </cell>
          <cell r="F1255" t="str">
            <v>28/03/2025</v>
          </cell>
          <cell r="G1255" t="str">
            <v>27/03/2026</v>
          </cell>
          <cell r="H1255" t="str">
            <v>08004499</v>
          </cell>
          <cell r="I1255" t="str">
            <v>AL BARAKA BANK (PAKISTAN) LIMITED</v>
          </cell>
          <cell r="J1255" t="str">
            <v>BANK</v>
          </cell>
          <cell r="K1255" t="str">
            <v>HPA Mr. 
M/S Al Baraka Bank ( Pakistan ) Limited
Mr. Ijaz Ali 
HPA M/S Al Baraka Bank (Pakistan) Limited</v>
          </cell>
          <cell r="L1255" t="str">
            <v>D</v>
          </cell>
          <cell r="M1255" t="str">
            <v>09000221</v>
          </cell>
          <cell r="N1255">
            <v>100</v>
          </cell>
          <cell r="O1255" t="str">
            <v>LAHORE</v>
          </cell>
          <cell r="P1255" t="str">
            <v>H # 8 Street 114 Pakistani Bazar Baghbanpura Lahore</v>
          </cell>
          <cell r="Q1255" t="str">
            <v>11000003</v>
          </cell>
          <cell r="R1255" t="str">
            <v>SUZUKI RAVI VX EURO II</v>
          </cell>
          <cell r="S1255" t="str">
            <v>2022</v>
          </cell>
          <cell r="U1255" t="str">
            <v>PKT381544</v>
          </cell>
          <cell r="V1255" t="str">
            <v>SR308PK486204</v>
          </cell>
          <cell r="X1255" t="str">
            <v>3</v>
          </cell>
          <cell r="Y1255">
            <v>893600</v>
          </cell>
          <cell r="Z1255">
            <v>19258</v>
          </cell>
          <cell r="AA1255">
            <v>22340</v>
          </cell>
        </row>
        <row r="1256">
          <cell r="B1256" t="str">
            <v>KHI/HO/D/MO/CV/C/107869/1/03/2025</v>
          </cell>
          <cell r="D1256" t="str">
            <v>REN</v>
          </cell>
          <cell r="E1256" t="str">
            <v>05/03/25</v>
          </cell>
          <cell r="F1256" t="str">
            <v>28/03/2025</v>
          </cell>
          <cell r="G1256" t="str">
            <v>27/03/2026</v>
          </cell>
          <cell r="H1256" t="str">
            <v>08004499</v>
          </cell>
          <cell r="I1256" t="str">
            <v>AL BARAKA BANK (PAKISTAN) LIMITED</v>
          </cell>
          <cell r="J1256" t="str">
            <v>BANK</v>
          </cell>
          <cell r="K1256" t="str">
            <v>Mr.
HPA M/s. Al Baraka Bank Pakistan Limited
Mr. Muhammad Abid 
HPA M/s. Al Baraka Bank Pakistan Limited</v>
          </cell>
          <cell r="L1256" t="str">
            <v>D</v>
          </cell>
          <cell r="M1256" t="str">
            <v>09000221</v>
          </cell>
          <cell r="N1256">
            <v>100</v>
          </cell>
          <cell r="P1256" t="str">
            <v>H # 668 Block 4 Sector A-2 Township Lahore</v>
          </cell>
          <cell r="Q1256" t="str">
            <v>11000003</v>
          </cell>
          <cell r="R1256" t="str">
            <v>SUZUKI RAVI VX EURO II</v>
          </cell>
          <cell r="S1256" t="str">
            <v>2019</v>
          </cell>
          <cell r="T1256" t="str">
            <v>LES-19-9070</v>
          </cell>
          <cell r="U1256" t="str">
            <v>353875</v>
          </cell>
          <cell r="V1256" t="str">
            <v>458533</v>
          </cell>
          <cell r="X1256" t="str">
            <v>3</v>
          </cell>
          <cell r="Y1256">
            <v>1260000</v>
          </cell>
          <cell r="Z1256">
            <v>21293</v>
          </cell>
          <cell r="AA1256">
            <v>25200</v>
          </cell>
        </row>
        <row r="1257">
          <cell r="B1257" t="str">
            <v>KHI/HO/D/MO/PC COMP/C/107861/4/03/2025</v>
          </cell>
          <cell r="D1257" t="str">
            <v>FRE</v>
          </cell>
          <cell r="E1257" t="str">
            <v>05/03/25</v>
          </cell>
          <cell r="F1257" t="str">
            <v>05/03/2025</v>
          </cell>
          <cell r="G1257" t="str">
            <v>04/03/2026</v>
          </cell>
          <cell r="H1257" t="str">
            <v>08004499</v>
          </cell>
          <cell r="I1257" t="str">
            <v>AL BARAKA BANK (PAKISTAN) LIMITED</v>
          </cell>
          <cell r="J1257" t="str">
            <v>BANK</v>
          </cell>
          <cell r="K1257" t="str">
            <v>Mr. 
HPA M/s. Al Baraka Bank (Pakistan) Limited 
Mr. Kashif Tahir 
HPA M/s. Al Baraka Bank (Pakistan) Limited</v>
          </cell>
          <cell r="L1257" t="str">
            <v>D</v>
          </cell>
          <cell r="M1257" t="str">
            <v>09000221</v>
          </cell>
          <cell r="N1257">
            <v>100</v>
          </cell>
          <cell r="O1257" t="str">
            <v>LAHORE</v>
          </cell>
          <cell r="P1257" t="str">
            <v>H # 138-X Phase 3 DHA Lahore Cantt</v>
          </cell>
          <cell r="Q1257" t="str">
            <v>11000003</v>
          </cell>
          <cell r="R1257" t="str">
            <v>HONDA Civic CVT Oriel NAV</v>
          </cell>
          <cell r="S1257" t="str">
            <v>2022</v>
          </cell>
          <cell r="T1257" t="str">
            <v>AYV-466</v>
          </cell>
          <cell r="U1257" t="str">
            <v>7911654</v>
          </cell>
          <cell r="V1257" t="str">
            <v>NR001657</v>
          </cell>
          <cell r="X1257" t="str">
            <v>3</v>
          </cell>
          <cell r="Y1257">
            <v>7000000</v>
          </cell>
          <cell r="Z1257">
            <v>90517</v>
          </cell>
          <cell r="AA1257">
            <v>105000</v>
          </cell>
        </row>
        <row r="1258">
          <cell r="B1258" t="str">
            <v>KHI/HO/D/MO/PC COMP/C/107861/5/03/2025</v>
          </cell>
          <cell r="D1258" t="str">
            <v>FRE</v>
          </cell>
          <cell r="E1258" t="str">
            <v>05/03/25</v>
          </cell>
          <cell r="F1258" t="str">
            <v>05/03/2025</v>
          </cell>
          <cell r="G1258" t="str">
            <v>04/03/2026</v>
          </cell>
          <cell r="H1258" t="str">
            <v>08004499</v>
          </cell>
          <cell r="I1258" t="str">
            <v>AL BARAKA BANK (PAKISTAN) LIMITED</v>
          </cell>
          <cell r="J1258" t="str">
            <v>BANK</v>
          </cell>
          <cell r="K1258" t="str">
            <v>Mr. 
HPA M/s. Al Baraka Bank (Pakistan) Limited 
Mr. Muhammad Umer  
HPA M/s. Al Baraka Bank (Pakistan) Limited</v>
          </cell>
          <cell r="L1258" t="str">
            <v>D</v>
          </cell>
          <cell r="M1258" t="str">
            <v>09000221</v>
          </cell>
          <cell r="N1258">
            <v>100</v>
          </cell>
          <cell r="O1258" t="str">
            <v>LAHORE</v>
          </cell>
          <cell r="P1258" t="str">
            <v>H # 113 B Ghousia Colony Liaquatabad Kot Lakhpat Lahore</v>
          </cell>
          <cell r="Q1258" t="str">
            <v>11000003</v>
          </cell>
          <cell r="R1258" t="str">
            <v>SUZUKI ALTO VXL AGS E-2</v>
          </cell>
          <cell r="S1258" t="str">
            <v>2025</v>
          </cell>
          <cell r="U1258" t="str">
            <v>6R342269</v>
          </cell>
          <cell r="V1258" t="str">
            <v>6H1242307</v>
          </cell>
          <cell r="X1258" t="str">
            <v>3</v>
          </cell>
          <cell r="Y1258">
            <v>3045000</v>
          </cell>
          <cell r="Z1258">
            <v>52500</v>
          </cell>
          <cell r="AA1258">
            <v>60900</v>
          </cell>
        </row>
        <row r="1259">
          <cell r="B1259" t="str">
            <v>KHI/HO/D/MO/PC COMP/C/107861/6/03/2025</v>
          </cell>
          <cell r="D1259" t="str">
            <v>FRE</v>
          </cell>
          <cell r="E1259" t="str">
            <v>06/03/25</v>
          </cell>
          <cell r="F1259" t="str">
            <v>06/03/2025</v>
          </cell>
          <cell r="G1259" t="str">
            <v>05/03/2026</v>
          </cell>
          <cell r="H1259" t="str">
            <v>08004499</v>
          </cell>
          <cell r="I1259" t="str">
            <v>AL BARAKA BANK (PAKISTAN) LIMITED</v>
          </cell>
          <cell r="J1259" t="str">
            <v>BANK</v>
          </cell>
          <cell r="K1259" t="str">
            <v>Mr. 
HPA M/s. Al Baraka Bank (Pakistan) Limited 
Mr. Amir Raza
HPA M/s. Al Baraka Bank (Pakistan) Limited</v>
          </cell>
          <cell r="L1259" t="str">
            <v>D</v>
          </cell>
          <cell r="M1259" t="str">
            <v>09000221</v>
          </cell>
          <cell r="N1259">
            <v>100</v>
          </cell>
          <cell r="O1259" t="str">
            <v>MANSEHRA</v>
          </cell>
          <cell r="P1259" t="str">
            <v>H No 2 St 1 Marzi Pura Colony 3 Multan</v>
          </cell>
          <cell r="Q1259" t="str">
            <v>11000003</v>
          </cell>
          <cell r="R1259" t="str">
            <v>HONDA BRV - S</v>
          </cell>
          <cell r="S1259" t="str">
            <v>2025</v>
          </cell>
          <cell r="U1259" t="str">
            <v>14812336</v>
          </cell>
          <cell r="V1259" t="str">
            <v>029025</v>
          </cell>
          <cell r="Y1259">
            <v>6329000</v>
          </cell>
          <cell r="Z1259">
            <v>81841</v>
          </cell>
          <cell r="AA1259">
            <v>94935</v>
          </cell>
        </row>
        <row r="1260">
          <cell r="B1260" t="str">
            <v>KHI/HO/D/MO/PC COMP/C/107861/7/03/2025</v>
          </cell>
          <cell r="D1260" t="str">
            <v>FRE</v>
          </cell>
          <cell r="E1260" t="str">
            <v>06/03/25</v>
          </cell>
          <cell r="F1260" t="str">
            <v>06/03/2025</v>
          </cell>
          <cell r="G1260" t="str">
            <v>05/03/2026</v>
          </cell>
          <cell r="H1260" t="str">
            <v>08004499</v>
          </cell>
          <cell r="I1260" t="str">
            <v>AL BARAKA BANK (PAKISTAN) LIMITED</v>
          </cell>
          <cell r="J1260" t="str">
            <v>BANK</v>
          </cell>
          <cell r="K1260" t="str">
            <v>Mr. 
HPA M/s. Al Baraka Bank (Pakistan) Limited 
Mr. Abbas Ali 
HPA M/s. Al Baraka Bank (Pakistan) Limited</v>
          </cell>
          <cell r="L1260" t="str">
            <v>D</v>
          </cell>
          <cell r="M1260" t="str">
            <v>09000221</v>
          </cell>
          <cell r="N1260">
            <v>100</v>
          </cell>
          <cell r="O1260" t="str">
            <v>LAHORE</v>
          </cell>
          <cell r="P1260" t="str">
            <v>H # 11 Street 36 Muslimabad New pull Mughalpura Lahore</v>
          </cell>
          <cell r="Q1260" t="str">
            <v>11000003</v>
          </cell>
          <cell r="R1260" t="str">
            <v>KIA SPORTAGE FWD</v>
          </cell>
          <cell r="S1260" t="str">
            <v>2019</v>
          </cell>
          <cell r="T1260" t="str">
            <v>APS-213</v>
          </cell>
          <cell r="U1260" t="str">
            <v>33799</v>
          </cell>
          <cell r="V1260" t="str">
            <v>500867</v>
          </cell>
          <cell r="X1260" t="str">
            <v>3</v>
          </cell>
          <cell r="Y1260">
            <v>6600000</v>
          </cell>
          <cell r="Z1260">
            <v>85345</v>
          </cell>
          <cell r="AA1260">
            <v>99000</v>
          </cell>
        </row>
        <row r="1261">
          <cell r="B1261" t="str">
            <v>KHI/HO/D/MO/PC COMP/C/107861/8/03/2025</v>
          </cell>
          <cell r="D1261" t="str">
            <v>FRE</v>
          </cell>
          <cell r="E1261" t="str">
            <v>07/03/25</v>
          </cell>
          <cell r="F1261" t="str">
            <v>07/03/2025</v>
          </cell>
          <cell r="G1261" t="str">
            <v>06/03/2026</v>
          </cell>
          <cell r="H1261" t="str">
            <v>08004499</v>
          </cell>
          <cell r="I1261" t="str">
            <v>AL BARAKA BANK (PAKISTAN) LIMITED</v>
          </cell>
          <cell r="J1261" t="str">
            <v>BANK</v>
          </cell>
          <cell r="K1261" t="str">
            <v>Mr. 
HPA M/s. Al Baraka Bank (Pakistan) Limited 
Mr. Salman Abbas  
HPA M/s. Al Baraka Bank (Pakistan) Limited</v>
          </cell>
          <cell r="L1261" t="str">
            <v>D</v>
          </cell>
          <cell r="M1261" t="str">
            <v>09000221</v>
          </cell>
          <cell r="N1261">
            <v>100</v>
          </cell>
          <cell r="P1261" t="str">
            <v>H # 304 Jahanzeb Block Allama Iqbal Town Lahore</v>
          </cell>
          <cell r="Q1261" t="str">
            <v>11000003</v>
          </cell>
          <cell r="R1261" t="str">
            <v>SUZUKI ALTO VXL AGS E-2</v>
          </cell>
          <cell r="S1261" t="str">
            <v>2025</v>
          </cell>
          <cell r="U1261" t="str">
            <v>342447</v>
          </cell>
          <cell r="V1261" t="str">
            <v>H1242441</v>
          </cell>
          <cell r="X1261" t="str">
            <v>3</v>
          </cell>
          <cell r="Y1261">
            <v>3045000</v>
          </cell>
          <cell r="Z1261">
            <v>52500</v>
          </cell>
          <cell r="AA1261">
            <v>60900</v>
          </cell>
        </row>
        <row r="1262">
          <cell r="B1262" t="str">
            <v>KHI/HO/D/MO/PC COMP/C/107861/9/03/2025</v>
          </cell>
          <cell r="D1262" t="str">
            <v>FRE</v>
          </cell>
          <cell r="E1262" t="str">
            <v>11/03/25</v>
          </cell>
          <cell r="F1262" t="str">
            <v>11/03/2025</v>
          </cell>
          <cell r="G1262" t="str">
            <v>10/03/2026</v>
          </cell>
          <cell r="H1262" t="str">
            <v>08004499</v>
          </cell>
          <cell r="I1262" t="str">
            <v>AL BARAKA BANK (PAKISTAN) LIMITED</v>
          </cell>
          <cell r="J1262" t="str">
            <v>BANK</v>
          </cell>
          <cell r="K1262" t="str">
            <v>Mr. 
HPA M/s. Al Baraka Bank (Pakistan) Limited 
Mr. Muhammad Sheraz Anwar
HPA M/s. Al Baraka Bank (Pakistan) Limited</v>
          </cell>
          <cell r="L1262" t="str">
            <v>D</v>
          </cell>
          <cell r="M1262" t="str">
            <v>09000221</v>
          </cell>
          <cell r="N1262">
            <v>100</v>
          </cell>
          <cell r="O1262" t="str">
            <v>KARACHI</v>
          </cell>
          <cell r="P1262" t="str">
            <v>H No B-499 Nusrat Bhutto Colony Mustafaabad North Nazimabad Karachi</v>
          </cell>
          <cell r="Q1262" t="str">
            <v>11000003</v>
          </cell>
          <cell r="R1262" t="str">
            <v>SUZUKI ALTO</v>
          </cell>
          <cell r="S1262" t="str">
            <v>2025</v>
          </cell>
          <cell r="U1262" t="str">
            <v>6R342848</v>
          </cell>
          <cell r="V1262" t="str">
            <v>H1242877</v>
          </cell>
          <cell r="Y1262">
            <v>2707000</v>
          </cell>
          <cell r="Z1262">
            <v>46672</v>
          </cell>
          <cell r="AA1262">
            <v>54140</v>
          </cell>
        </row>
        <row r="1263">
          <cell r="B1263" t="str">
            <v>KHI/HO/D/MO/PC COMP/C/107861/10/03/2025</v>
          </cell>
          <cell r="D1263" t="str">
            <v>FRE</v>
          </cell>
          <cell r="E1263" t="str">
            <v>11/03/25</v>
          </cell>
          <cell r="F1263" t="str">
            <v>11/03/2025</v>
          </cell>
          <cell r="G1263" t="str">
            <v>10/03/2026</v>
          </cell>
          <cell r="H1263" t="str">
            <v>08004499</v>
          </cell>
          <cell r="I1263" t="str">
            <v>AL BARAKA BANK (PAKISTAN) LIMITED</v>
          </cell>
          <cell r="J1263" t="str">
            <v>BANK</v>
          </cell>
          <cell r="K1263" t="str">
            <v>Mr. 
HPA M/s. Al Baraka Bank (Pakistan) Limited 
Mr. Fahad Rasheed
HPA M/s. Al Baraka Bank (Pakistan) Limited</v>
          </cell>
          <cell r="L1263" t="str">
            <v>D</v>
          </cell>
          <cell r="M1263" t="str">
            <v>09000221</v>
          </cell>
          <cell r="N1263">
            <v>100</v>
          </cell>
          <cell r="O1263" t="str">
            <v>LAHORE</v>
          </cell>
          <cell r="P1263" t="str">
            <v>H No 96 Block B Park Arab Society Ferozpur Road Lahore</v>
          </cell>
          <cell r="Q1263" t="str">
            <v>11000003</v>
          </cell>
          <cell r="R1263" t="str">
            <v>HONDA CIVIC 1.8 I-VTEC OR</v>
          </cell>
          <cell r="S1263" t="str">
            <v>2017</v>
          </cell>
          <cell r="T1263" t="str">
            <v>LEA-17A-980</v>
          </cell>
          <cell r="U1263" t="str">
            <v>12921157</v>
          </cell>
          <cell r="V1263" t="str">
            <v>HR024509</v>
          </cell>
          <cell r="Y1263">
            <v>5000000</v>
          </cell>
          <cell r="Z1263">
            <v>64655</v>
          </cell>
          <cell r="AA1263">
            <v>75000</v>
          </cell>
        </row>
        <row r="1264">
          <cell r="B1264" t="str">
            <v>KHI/HO/D/MO/CV/C/108020/1/03/2025</v>
          </cell>
          <cell r="D1264" t="str">
            <v>FRE</v>
          </cell>
          <cell r="E1264" t="str">
            <v>12/03/25</v>
          </cell>
          <cell r="F1264" t="str">
            <v>12/03/2025</v>
          </cell>
          <cell r="G1264" t="str">
            <v>11/03/2026</v>
          </cell>
          <cell r="H1264" t="str">
            <v>08004499</v>
          </cell>
          <cell r="I1264" t="str">
            <v>AL BARAKA BANK (PAKISTAN) LIMITED</v>
          </cell>
          <cell r="J1264" t="str">
            <v>BANK</v>
          </cell>
          <cell r="K1264" t="str">
            <v>Mr. 
HPA M/s. Al Baraka Bank (Pakistan) Limited
Mr. Ali Ahmed 
HPA M/s. Al Baraka Bank (Pakistan) Limited</v>
          </cell>
          <cell r="L1264" t="str">
            <v>D</v>
          </cell>
          <cell r="M1264" t="str">
            <v>09000221</v>
          </cell>
          <cell r="N1264">
            <v>100</v>
          </cell>
          <cell r="P1264" t="str">
            <v>H # 3 Street 5 Paracha Chowk Tarlai Kalan Islamabad</v>
          </cell>
          <cell r="Q1264" t="str">
            <v>11000003</v>
          </cell>
          <cell r="R1264" t="str">
            <v>SUZUKI RAVI VX EURO II</v>
          </cell>
          <cell r="S1264" t="str">
            <v>2025</v>
          </cell>
          <cell r="U1264" t="str">
            <v>T396087</v>
          </cell>
          <cell r="V1264" t="str">
            <v>K500765</v>
          </cell>
          <cell r="X1264" t="str">
            <v>3</v>
          </cell>
          <cell r="Y1264">
            <v>1956000</v>
          </cell>
          <cell r="Z1264">
            <v>33293</v>
          </cell>
          <cell r="AA1264">
            <v>39120</v>
          </cell>
        </row>
        <row r="1265">
          <cell r="B1265" t="str">
            <v>KHI/HO/D/MO/PC COMP/C/107861/11/03/2025</v>
          </cell>
          <cell r="D1265" t="str">
            <v>FRE</v>
          </cell>
          <cell r="E1265" t="str">
            <v>12/03/25</v>
          </cell>
          <cell r="F1265" t="str">
            <v>12/03/2025</v>
          </cell>
          <cell r="G1265" t="str">
            <v>11/03/2026</v>
          </cell>
          <cell r="H1265" t="str">
            <v>08004499</v>
          </cell>
          <cell r="I1265" t="str">
            <v>AL BARAKA BANK (PAKISTAN) LIMITED</v>
          </cell>
          <cell r="J1265" t="str">
            <v>BANK</v>
          </cell>
          <cell r="K1265" t="str">
            <v>Mr. 
HPA M/s. Al Baraka Bank (Pakistan) Limited 
Mr. Iftikhar Ahmad 
HPA M/s. Al Baraka Bank (Pakistan) Limited</v>
          </cell>
          <cell r="L1265" t="str">
            <v>D</v>
          </cell>
          <cell r="M1265" t="str">
            <v>09000221</v>
          </cell>
          <cell r="N1265">
            <v>100</v>
          </cell>
          <cell r="P1265" t="str">
            <v>Dil Muhammad Colony Khana Kacha Flyover Lahore</v>
          </cell>
          <cell r="Q1265" t="str">
            <v>11000003</v>
          </cell>
          <cell r="R1265" t="str">
            <v>HONDA CITY 1.2  LS CVT</v>
          </cell>
          <cell r="S1265" t="str">
            <v>2025</v>
          </cell>
          <cell r="U1265" t="str">
            <v>1032753</v>
          </cell>
          <cell r="V1265" t="str">
            <v>50275</v>
          </cell>
          <cell r="X1265" t="str">
            <v>3</v>
          </cell>
          <cell r="Y1265">
            <v>4719000</v>
          </cell>
          <cell r="Z1265">
            <v>61022</v>
          </cell>
          <cell r="AA1265">
            <v>70785</v>
          </cell>
        </row>
        <row r="1266">
          <cell r="B1266" t="str">
            <v>KHI/HO/D/MO/PC COMP/C/107861/12/03/2025</v>
          </cell>
          <cell r="D1266" t="str">
            <v>FRE</v>
          </cell>
          <cell r="E1266" t="str">
            <v>12/03/25</v>
          </cell>
          <cell r="F1266" t="str">
            <v>12/03/2025</v>
          </cell>
          <cell r="G1266" t="str">
            <v>11/03/2026</v>
          </cell>
          <cell r="H1266" t="str">
            <v>08004499</v>
          </cell>
          <cell r="I1266" t="str">
            <v>AL BARAKA BANK (PAKISTAN) LIMITED</v>
          </cell>
          <cell r="J1266" t="str">
            <v>BANK</v>
          </cell>
          <cell r="K1266" t="str">
            <v>Mr. 
HPA M/s. Al Baraka Bank (Pakistan) Limited 
Mr. Asad Ullah 
HPA M/s. Al Baraka Bank (Pakistan) Limited</v>
          </cell>
          <cell r="L1266" t="str">
            <v>D</v>
          </cell>
          <cell r="M1266" t="str">
            <v>09000221</v>
          </cell>
          <cell r="N1266">
            <v>100</v>
          </cell>
          <cell r="P1266" t="str">
            <v>H No 460 St No 17 Raffi Block Bahria Phase VIII Rawalpindi</v>
          </cell>
          <cell r="Q1266" t="str">
            <v>11000003</v>
          </cell>
          <cell r="R1266" t="str">
            <v>SUZUKI ALTO VXL</v>
          </cell>
          <cell r="S1266" t="str">
            <v>2025</v>
          </cell>
          <cell r="U1266" t="str">
            <v>343757</v>
          </cell>
          <cell r="V1266" t="str">
            <v>1243681</v>
          </cell>
          <cell r="Y1266">
            <v>3045000</v>
          </cell>
          <cell r="Z1266">
            <v>52500</v>
          </cell>
          <cell r="AA1266">
            <v>60900</v>
          </cell>
        </row>
        <row r="1267">
          <cell r="B1267" t="str">
            <v>KHI/HO/D/MO/PC COMP/C/107861/13/03/2025</v>
          </cell>
          <cell r="D1267" t="str">
            <v>FRE</v>
          </cell>
          <cell r="E1267" t="str">
            <v>12/03/25</v>
          </cell>
          <cell r="F1267" t="str">
            <v>12/03/2025</v>
          </cell>
          <cell r="G1267" t="str">
            <v>11/03/2026</v>
          </cell>
          <cell r="H1267" t="str">
            <v>08004499</v>
          </cell>
          <cell r="I1267" t="str">
            <v>AL BARAKA BANK (PAKISTAN) LIMITED</v>
          </cell>
          <cell r="J1267" t="str">
            <v>BANK</v>
          </cell>
          <cell r="K1267" t="str">
            <v>Mr. 
HPA M/s. Al Baraka Bank (Pakistan) Limited 
Mr. Irfan Hussain
HPA M/s. Al Baraka Bank (Pakistan) Limited</v>
          </cell>
          <cell r="L1267" t="str">
            <v>D</v>
          </cell>
          <cell r="M1267" t="str">
            <v>09000221</v>
          </cell>
          <cell r="N1267">
            <v>100</v>
          </cell>
          <cell r="P1267" t="str">
            <v>Irfan Laj Dara Road Shumali Chungi Jampur District Rajan Pur</v>
          </cell>
          <cell r="Q1267" t="str">
            <v>11000003</v>
          </cell>
          <cell r="R1267" t="str">
            <v>SUZUKI Swift GLX CVT</v>
          </cell>
          <cell r="S1267" t="str">
            <v>2025</v>
          </cell>
          <cell r="U1267" t="str">
            <v>1026109</v>
          </cell>
          <cell r="V1267" t="str">
            <v>00208777</v>
          </cell>
          <cell r="X1267" t="str">
            <v>3</v>
          </cell>
          <cell r="Y1267">
            <v>4719000</v>
          </cell>
          <cell r="Z1267">
            <v>61022</v>
          </cell>
          <cell r="AA1267">
            <v>70785</v>
          </cell>
        </row>
        <row r="1268">
          <cell r="B1268" t="str">
            <v>KHI/HO/D/MO/PC COMP/C/107861/14/03/2025</v>
          </cell>
          <cell r="D1268" t="str">
            <v>FRE</v>
          </cell>
          <cell r="E1268" t="str">
            <v>12/03/25</v>
          </cell>
          <cell r="F1268" t="str">
            <v>12/03/2025</v>
          </cell>
          <cell r="G1268" t="str">
            <v>11/03/2026</v>
          </cell>
          <cell r="H1268" t="str">
            <v>08004499</v>
          </cell>
          <cell r="I1268" t="str">
            <v>AL BARAKA BANK (PAKISTAN) LIMITED</v>
          </cell>
          <cell r="J1268" t="str">
            <v>BANK</v>
          </cell>
          <cell r="K1268" t="str">
            <v>Mr. 
HPA M/s. Al Baraka Bank (Pakistan) Limited 
Mr. Umer Khayyam
HPA M/s. Al Baraka Bank (Pakistan) Limited</v>
          </cell>
          <cell r="L1268" t="str">
            <v>D</v>
          </cell>
          <cell r="M1268" t="str">
            <v>09000221</v>
          </cell>
          <cell r="N1268">
            <v>100</v>
          </cell>
          <cell r="O1268" t="str">
            <v>LAHORE</v>
          </cell>
          <cell r="P1268" t="str">
            <v>H # 35-C Mohallah Faisal Park Gulshan-e-Ravi Lahore</v>
          </cell>
          <cell r="Q1268" t="str">
            <v>11000003</v>
          </cell>
          <cell r="R1268" t="str">
            <v>HONDA CIVIC VTI  ORIEL PT</v>
          </cell>
          <cell r="S1268" t="str">
            <v>2017</v>
          </cell>
          <cell r="T1268" t="str">
            <v>LE-17A-1881</v>
          </cell>
          <cell r="U1268" t="str">
            <v>2921366</v>
          </cell>
          <cell r="V1268" t="str">
            <v>HR024836</v>
          </cell>
          <cell r="X1268" t="str">
            <v>3</v>
          </cell>
          <cell r="Y1268">
            <v>4000000</v>
          </cell>
          <cell r="Z1268">
            <v>51724</v>
          </cell>
          <cell r="AA1268">
            <v>60000</v>
          </cell>
        </row>
        <row r="1269">
          <cell r="B1269" t="str">
            <v>KHI/HO/D/MO/PC COMP/C/107861/15/03/2025</v>
          </cell>
          <cell r="D1269" t="str">
            <v>FRE</v>
          </cell>
          <cell r="E1269" t="str">
            <v>12/03/25</v>
          </cell>
          <cell r="F1269" t="str">
            <v>12/03/2025</v>
          </cell>
          <cell r="G1269" t="str">
            <v>11/03/2026</v>
          </cell>
          <cell r="H1269" t="str">
            <v>08004499</v>
          </cell>
          <cell r="I1269" t="str">
            <v>AL BARAKA BANK (PAKISTAN) LIMITED</v>
          </cell>
          <cell r="J1269" t="str">
            <v>BANK</v>
          </cell>
          <cell r="K1269" t="str">
            <v>Mr. 
HPA M/s. Al Baraka Bank (Pakistan) Limited 
Mr. Mudassar Fakhar 
HPA M/s. Al Baraka Bank (Pakistan) Limited</v>
          </cell>
          <cell r="L1269" t="str">
            <v>D</v>
          </cell>
          <cell r="M1269" t="str">
            <v>09000221</v>
          </cell>
          <cell r="N1269">
            <v>100</v>
          </cell>
          <cell r="O1269" t="str">
            <v>LAHORE</v>
          </cell>
          <cell r="P1269" t="str">
            <v>H # 3 Street 5 Shadi Pura Noor Colony Daroghanwala Lahore</v>
          </cell>
          <cell r="Q1269" t="str">
            <v>11000003</v>
          </cell>
          <cell r="R1269" t="str">
            <v>TOYOTA YARIS GLI CVT</v>
          </cell>
          <cell r="S1269" t="str">
            <v>2025</v>
          </cell>
          <cell r="U1269" t="str">
            <v>2A73560</v>
          </cell>
          <cell r="V1269" t="str">
            <v>7050617</v>
          </cell>
          <cell r="X1269" t="str">
            <v>3</v>
          </cell>
          <cell r="Y1269">
            <v>4760000</v>
          </cell>
          <cell r="Z1269">
            <v>61551</v>
          </cell>
          <cell r="AA1269">
            <v>71400</v>
          </cell>
        </row>
        <row r="1270">
          <cell r="B1270" t="str">
            <v>KHI/HO/D/MO/PC COMP/C/108043/1/03/2025</v>
          </cell>
          <cell r="D1270" t="str">
            <v>REN</v>
          </cell>
          <cell r="E1270" t="str">
            <v>13/03/25</v>
          </cell>
          <cell r="F1270" t="str">
            <v>04/03/2025</v>
          </cell>
          <cell r="G1270" t="str">
            <v>03/03/2026</v>
          </cell>
          <cell r="H1270" t="str">
            <v>08004499</v>
          </cell>
          <cell r="I1270" t="str">
            <v>AL BARAKA BANK (PAKISTAN) LIMITED</v>
          </cell>
          <cell r="J1270" t="str">
            <v>BANK</v>
          </cell>
          <cell r="K1270" t="str">
            <v>M/s. Al Baraka Bank (Pakistan) Limited 
M/S. Al Baraka Bank (Pakistan) Limited 
User: Sadrick Basharat Mall</v>
          </cell>
          <cell r="L1270" t="str">
            <v>D</v>
          </cell>
          <cell r="M1270" t="str">
            <v>09000221</v>
          </cell>
          <cell r="N1270">
            <v>100</v>
          </cell>
          <cell r="P1270" t="str">
            <v>H # 18 19 Street 2 Block D New Yohanabad Ferozepur Road Lahore</v>
          </cell>
          <cell r="Q1270" t="str">
            <v>11000003</v>
          </cell>
          <cell r="R1270" t="str">
            <v>HONDA CITY I-VTEC (M/T)</v>
          </cell>
          <cell r="S1270" t="str">
            <v>2015</v>
          </cell>
          <cell r="T1270" t="str">
            <v>LEH-15-5737</v>
          </cell>
          <cell r="U1270" t="str">
            <v>17435250</v>
          </cell>
          <cell r="V1270" t="str">
            <v>174479</v>
          </cell>
          <cell r="W1270" t="str">
            <v>05-mar-2027</v>
          </cell>
          <cell r="Y1270">
            <v>2340000</v>
          </cell>
          <cell r="Z1270">
            <v>39914</v>
          </cell>
          <cell r="AA1270">
            <v>46800</v>
          </cell>
        </row>
        <row r="1271">
          <cell r="B1271" t="str">
            <v>KHI/HO/D/MO/PC COMP/C/108043/2/03/2025</v>
          </cell>
          <cell r="D1271" t="str">
            <v>REN</v>
          </cell>
          <cell r="E1271" t="str">
            <v>13/03/25</v>
          </cell>
          <cell r="F1271" t="str">
            <v>13/03/2025</v>
          </cell>
          <cell r="G1271" t="str">
            <v>12/03/2026</v>
          </cell>
          <cell r="H1271" t="str">
            <v>08004499</v>
          </cell>
          <cell r="I1271" t="str">
            <v>AL BARAKA BANK (PAKISTAN) LIMITED</v>
          </cell>
          <cell r="J1271" t="str">
            <v>BANK</v>
          </cell>
          <cell r="K1271" t="str">
            <v>M/s. Al Baraka Bank (Pakistan) Limited 
M/S. Al Baraka Bank (Pakistan) Limited 
User: Muhammad   Alam</v>
          </cell>
          <cell r="L1271" t="str">
            <v>D</v>
          </cell>
          <cell r="M1271" t="str">
            <v>09000221</v>
          </cell>
          <cell r="N1271">
            <v>100</v>
          </cell>
          <cell r="P1271" t="str">
            <v>Hs 02 Street 46 Zikriya Town Bosan Road Multan</v>
          </cell>
          <cell r="Q1271" t="str">
            <v>11000003</v>
          </cell>
          <cell r="R1271" t="str">
            <v>SUZUKI WAGON R VXL</v>
          </cell>
          <cell r="S1271" t="str">
            <v>2020</v>
          </cell>
          <cell r="T1271" t="str">
            <v>LEB-20-5742</v>
          </cell>
          <cell r="U1271" t="str">
            <v>202455</v>
          </cell>
          <cell r="V1271" t="str">
            <v>10102416</v>
          </cell>
          <cell r="W1271" t="str">
            <v>05-apr-2029</v>
          </cell>
          <cell r="Y1271">
            <v>2385000</v>
          </cell>
          <cell r="Z1271">
            <v>41121</v>
          </cell>
          <cell r="AA1271">
            <v>47700</v>
          </cell>
        </row>
        <row r="1272">
          <cell r="B1272" t="str">
            <v>KHI/HO/D/MO/PC COMP/C/108043/3/03/2025</v>
          </cell>
          <cell r="D1272" t="str">
            <v>REN</v>
          </cell>
          <cell r="E1272" t="str">
            <v>13/03/25</v>
          </cell>
          <cell r="F1272" t="str">
            <v>14/03/2025</v>
          </cell>
          <cell r="G1272" t="str">
            <v>13/03/2026</v>
          </cell>
          <cell r="H1272" t="str">
            <v>08004499</v>
          </cell>
          <cell r="I1272" t="str">
            <v>AL BARAKA BANK (PAKISTAN) LIMITED</v>
          </cell>
          <cell r="J1272" t="str">
            <v>BANK</v>
          </cell>
          <cell r="K1272" t="str">
            <v>M/s. Al Baraka Bank (Pakistan) Limited 
M/S. Al Baraka Bank (Pakistan) Limited 
User: Anas  Amin</v>
          </cell>
          <cell r="L1272" t="str">
            <v>D</v>
          </cell>
          <cell r="M1272" t="str">
            <v>09000221</v>
          </cell>
          <cell r="N1272">
            <v>100</v>
          </cell>
          <cell r="P1272" t="str">
            <v>Street 9 Mohallah Qadeerabad Near Gultax Office Multan</v>
          </cell>
          <cell r="Q1272" t="str">
            <v>11000003</v>
          </cell>
          <cell r="R1272" t="str">
            <v>SUZUKI ALTO VXR E-2</v>
          </cell>
          <cell r="S1272" t="str">
            <v>2024</v>
          </cell>
          <cell r="T1272" t="str">
            <v>ARF-389</v>
          </cell>
          <cell r="U1272" t="str">
            <v>6R301326</v>
          </cell>
          <cell r="V1272" t="str">
            <v>1201256</v>
          </cell>
          <cell r="W1272" t="str">
            <v>05-apr-2029</v>
          </cell>
          <cell r="Y1272">
            <v>2436300</v>
          </cell>
          <cell r="Z1272">
            <v>42005</v>
          </cell>
          <cell r="AA1272">
            <v>48726</v>
          </cell>
        </row>
        <row r="1273">
          <cell r="B1273" t="str">
            <v>KHI/HO/D/MO/PC COMP/C/108043/4/03/2025</v>
          </cell>
          <cell r="D1273" t="str">
            <v>REN</v>
          </cell>
          <cell r="E1273" t="str">
            <v>13/03/25</v>
          </cell>
          <cell r="F1273" t="str">
            <v>14/03/2025</v>
          </cell>
          <cell r="G1273" t="str">
            <v>13/03/2026</v>
          </cell>
          <cell r="H1273" t="str">
            <v>08004499</v>
          </cell>
          <cell r="I1273" t="str">
            <v>AL BARAKA BANK (PAKISTAN) LIMITED</v>
          </cell>
          <cell r="J1273" t="str">
            <v>BANK</v>
          </cell>
          <cell r="K1273" t="str">
            <v>M/s. Al Baraka Bank (Pakistan) Limited 
M/S. Al Baraka Bank (Pakistan) Limited 
User: Farhana  Yasmin</v>
          </cell>
          <cell r="L1273" t="str">
            <v>D</v>
          </cell>
          <cell r="M1273" t="str">
            <v>09000221</v>
          </cell>
          <cell r="N1273">
            <v>100</v>
          </cell>
          <cell r="P1273" t="str">
            <v>H # A-62/4 Block 14 Gulistan-E-Johar Karachi</v>
          </cell>
          <cell r="Q1273" t="str">
            <v>11000003</v>
          </cell>
          <cell r="R1273" t="str">
            <v>HONDA CIVIC VTI  ORIEL PT</v>
          </cell>
          <cell r="S1273" t="str">
            <v>2018</v>
          </cell>
          <cell r="T1273" t="str">
            <v>BMR-843</v>
          </cell>
          <cell r="U1273" t="str">
            <v>R18Z1-2935327</v>
          </cell>
          <cell r="V1273" t="str">
            <v>R038759</v>
          </cell>
          <cell r="W1273" t="str">
            <v>05-apr-2027</v>
          </cell>
          <cell r="Y1273">
            <v>4770000</v>
          </cell>
          <cell r="Z1273">
            <v>61681</v>
          </cell>
          <cell r="AA1273">
            <v>71550</v>
          </cell>
        </row>
        <row r="1274">
          <cell r="B1274" t="str">
            <v>KHI/HO/D/MO/PC COMP/C/108043/5/03/2025</v>
          </cell>
          <cell r="D1274" t="str">
            <v>REN</v>
          </cell>
          <cell r="E1274" t="str">
            <v>13/03/25</v>
          </cell>
          <cell r="F1274" t="str">
            <v>15/03/2025</v>
          </cell>
          <cell r="G1274" t="str">
            <v>14/03/2026</v>
          </cell>
          <cell r="H1274" t="str">
            <v>08004499</v>
          </cell>
          <cell r="I1274" t="str">
            <v>AL BARAKA BANK (PAKISTAN) LIMITED</v>
          </cell>
          <cell r="J1274" t="str">
            <v>BANK</v>
          </cell>
          <cell r="K1274" t="str">
            <v>M/s. Al Baraka Bank (Pakistan) Limited 
M/S. Al Baraka Bank (Pakistan) Limited 
User: Syed Sohail Abbas Naqvi</v>
          </cell>
          <cell r="L1274" t="str">
            <v>D</v>
          </cell>
          <cell r="M1274" t="str">
            <v>09000221</v>
          </cell>
          <cell r="N1274">
            <v>100</v>
          </cell>
          <cell r="P1274" t="str">
            <v>Chak No 76 Gb Santok Garh Satianan Road Faisalabad</v>
          </cell>
          <cell r="Q1274" t="str">
            <v>11000003</v>
          </cell>
          <cell r="R1274" t="str">
            <v>TOYOTA YARIS ATIV X 1.5 A</v>
          </cell>
          <cell r="S1274" t="str">
            <v>2021</v>
          </cell>
          <cell r="T1274" t="str">
            <v>AGS-226</v>
          </cell>
          <cell r="U1274" t="str">
            <v>2A35770</v>
          </cell>
          <cell r="V1274" t="str">
            <v>NSP150R7022314</v>
          </cell>
          <cell r="W1274" t="str">
            <v>05-apr-2027</v>
          </cell>
          <cell r="Y1274">
            <v>3780000</v>
          </cell>
          <cell r="Z1274">
            <v>48879</v>
          </cell>
          <cell r="AA1274">
            <v>56700</v>
          </cell>
        </row>
        <row r="1275">
          <cell r="B1275" t="str">
            <v>KHI/HO/D/MO/PC COMP/C/108043/6/03/2025</v>
          </cell>
          <cell r="D1275" t="str">
            <v>REN</v>
          </cell>
          <cell r="E1275" t="str">
            <v>13/03/25</v>
          </cell>
          <cell r="F1275" t="str">
            <v>19/03/2025</v>
          </cell>
          <cell r="G1275" t="str">
            <v>18/03/2026</v>
          </cell>
          <cell r="H1275" t="str">
            <v>08004499</v>
          </cell>
          <cell r="I1275" t="str">
            <v>AL BARAKA BANK (PAKISTAN) LIMITED</v>
          </cell>
          <cell r="J1275" t="str">
            <v>BANK</v>
          </cell>
          <cell r="K1275" t="str">
            <v>M/s. Al Baraka Bank (Pakistan) Limited 
M/S. Al Baraka Bank (Pakistan) Limited 
User: Hafiz Abdul Raheem Mufti</v>
          </cell>
          <cell r="L1275" t="str">
            <v>D</v>
          </cell>
          <cell r="M1275" t="str">
            <v>09000221</v>
          </cell>
          <cell r="N1275">
            <v>100</v>
          </cell>
          <cell r="P1275" t="str">
            <v>H No 43 St 8-A Moh Rehman Pura Muhammad Pura Ichra Lahore</v>
          </cell>
          <cell r="Q1275" t="str">
            <v>11000003</v>
          </cell>
          <cell r="R1275" t="str">
            <v>SUZUKI ALTO VX</v>
          </cell>
          <cell r="S1275" t="str">
            <v>2024</v>
          </cell>
          <cell r="T1275" t="str">
            <v>ARC-356</v>
          </cell>
          <cell r="U1275" t="str">
            <v>6R297868</v>
          </cell>
          <cell r="V1275" t="str">
            <v>6H1198410</v>
          </cell>
          <cell r="W1275" t="str">
            <v>05-apr-2029</v>
          </cell>
          <cell r="Y1275">
            <v>2025900</v>
          </cell>
          <cell r="Z1275">
            <v>34930</v>
          </cell>
          <cell r="AA1275">
            <v>40518</v>
          </cell>
        </row>
        <row r="1276">
          <cell r="B1276" t="str">
            <v>KHI/HO/D/MO/PC COMP/C/108043/7/03/2025</v>
          </cell>
          <cell r="D1276" t="str">
            <v>REN</v>
          </cell>
          <cell r="E1276" t="str">
            <v>13/03/25</v>
          </cell>
          <cell r="F1276" t="str">
            <v>19/03/2025</v>
          </cell>
          <cell r="G1276" t="str">
            <v>18/03/2026</v>
          </cell>
          <cell r="H1276" t="str">
            <v>08004499</v>
          </cell>
          <cell r="I1276" t="str">
            <v>AL BARAKA BANK (PAKISTAN) LIMITED</v>
          </cell>
          <cell r="J1276" t="str">
            <v>BANK</v>
          </cell>
          <cell r="K1276" t="str">
            <v>M/s. Al Baraka Bank (Pakistan) Limited 
M/S. Al Baraka Bank (Pakistan) Limited 
User: Ali  Raza</v>
          </cell>
          <cell r="L1276" t="str">
            <v>D</v>
          </cell>
          <cell r="M1276" t="str">
            <v>09000221</v>
          </cell>
          <cell r="N1276">
            <v>100</v>
          </cell>
          <cell r="P1276" t="str">
            <v>H No 706 Street 02 Shahzad Town Islamabad</v>
          </cell>
          <cell r="Q1276" t="str">
            <v>11000003</v>
          </cell>
          <cell r="R1276" t="str">
            <v>SUZUKI MEHRAN VXR</v>
          </cell>
          <cell r="S1276" t="str">
            <v>2017</v>
          </cell>
          <cell r="T1276" t="str">
            <v>ADU-36</v>
          </cell>
          <cell r="U1276" t="str">
            <v>683775</v>
          </cell>
          <cell r="V1276" t="str">
            <v>1222288</v>
          </cell>
          <cell r="W1276" t="str">
            <v>05-apr-2029</v>
          </cell>
          <cell r="Y1276">
            <v>1170000</v>
          </cell>
          <cell r="Z1276">
            <v>20172</v>
          </cell>
          <cell r="AA1276">
            <v>23400</v>
          </cell>
        </row>
        <row r="1277">
          <cell r="B1277" t="str">
            <v>KHI/HO/D/MO/PC COMP/C/108043/8/03/2025</v>
          </cell>
          <cell r="D1277" t="str">
            <v>REN</v>
          </cell>
          <cell r="E1277" t="str">
            <v>13/03/25</v>
          </cell>
          <cell r="F1277" t="str">
            <v>21/03/2025</v>
          </cell>
          <cell r="G1277" t="str">
            <v>20/03/2026</v>
          </cell>
          <cell r="H1277" t="str">
            <v>08004499</v>
          </cell>
          <cell r="I1277" t="str">
            <v>AL BARAKA BANK (PAKISTAN) LIMITED</v>
          </cell>
          <cell r="J1277" t="str">
            <v>BANK</v>
          </cell>
          <cell r="K1277" t="str">
            <v>M/s. Al Baraka Bank (Pakistan) Limited 
M/S. Al Baraka Bank (Pakistan) Limited 
User: Muhammad  Arslan</v>
          </cell>
          <cell r="L1277" t="str">
            <v>D</v>
          </cell>
          <cell r="M1277" t="str">
            <v>09000221</v>
          </cell>
          <cell r="N1277">
            <v>100</v>
          </cell>
          <cell r="P1277" t="str">
            <v>Near Police Line No 2 New Shadab Colony Multan</v>
          </cell>
          <cell r="Q1277" t="str">
            <v>11000003</v>
          </cell>
          <cell r="R1277" t="str">
            <v>KIA PICANTO 1.0L A/T</v>
          </cell>
          <cell r="S1277" t="str">
            <v>2021</v>
          </cell>
          <cell r="T1277" t="str">
            <v>ADN-854</v>
          </cell>
          <cell r="U1277" t="str">
            <v>28145</v>
          </cell>
          <cell r="V1277" t="str">
            <v>501365</v>
          </cell>
          <cell r="W1277" t="str">
            <v>05-apr-2029</v>
          </cell>
          <cell r="Y1277">
            <v>2430000</v>
          </cell>
          <cell r="Z1277">
            <v>41897</v>
          </cell>
          <cell r="AA1277">
            <v>48600</v>
          </cell>
        </row>
        <row r="1278">
          <cell r="B1278" t="str">
            <v>KHI/HO/D/MO/PC COMP/C/108043/9/03/2025</v>
          </cell>
          <cell r="D1278" t="str">
            <v>REN</v>
          </cell>
          <cell r="E1278" t="str">
            <v>13/03/25</v>
          </cell>
          <cell r="F1278" t="str">
            <v>22/03/2025</v>
          </cell>
          <cell r="G1278" t="str">
            <v>21/03/2026</v>
          </cell>
          <cell r="H1278" t="str">
            <v>08004499</v>
          </cell>
          <cell r="I1278" t="str">
            <v>AL BARAKA BANK (PAKISTAN) LIMITED</v>
          </cell>
          <cell r="J1278" t="str">
            <v>BANK</v>
          </cell>
          <cell r="K1278" t="str">
            <v>M/s. Al Baraka Bank (Pakistan) Limited 
M/S. Al Baraka Bank (Pakistan) Limited 
User: Muhammad Mohsen Rafique</v>
          </cell>
          <cell r="L1278" t="str">
            <v>D</v>
          </cell>
          <cell r="M1278" t="str">
            <v>09000221</v>
          </cell>
          <cell r="N1278">
            <v>100</v>
          </cell>
          <cell r="P1278" t="str">
            <v>Shah Suri Road Shams Colony Po Khas Jhangi Syedan Islamabad</v>
          </cell>
          <cell r="Q1278" t="str">
            <v>11000003</v>
          </cell>
          <cell r="R1278" t="str">
            <v>SUZUKI CULTUS VXL AGS</v>
          </cell>
          <cell r="S1278" t="str">
            <v>2021</v>
          </cell>
          <cell r="T1278" t="str">
            <v>ASJ-302</v>
          </cell>
          <cell r="U1278" t="str">
            <v>172998</v>
          </cell>
          <cell r="V1278" t="str">
            <v>10072935</v>
          </cell>
          <cell r="W1278" t="str">
            <v>05-apr-2029</v>
          </cell>
          <cell r="Y1278">
            <v>2790000</v>
          </cell>
          <cell r="Z1278">
            <v>48103</v>
          </cell>
          <cell r="AA1278">
            <v>55800</v>
          </cell>
        </row>
        <row r="1279">
          <cell r="B1279" t="str">
            <v>KHI/HO/D/MO/PC COMP/C/108043/10/03/2025</v>
          </cell>
          <cell r="D1279" t="str">
            <v>REN</v>
          </cell>
          <cell r="E1279" t="str">
            <v>13/03/25</v>
          </cell>
          <cell r="F1279" t="str">
            <v>04/03/2025</v>
          </cell>
          <cell r="G1279" t="str">
            <v>03/03/2026</v>
          </cell>
          <cell r="H1279" t="str">
            <v>08004499</v>
          </cell>
          <cell r="I1279" t="str">
            <v>AL BARAKA BANK (PAKISTAN) LIMITED</v>
          </cell>
          <cell r="J1279" t="str">
            <v>BANK</v>
          </cell>
          <cell r="K1279" t="str">
            <v>M/s. Al Baraka Bank (Pakistan) Limited 
M/S. Al Baraka Bank (Pakistan) Limited 
User: Hareem  Chishti</v>
          </cell>
          <cell r="L1279" t="str">
            <v>D</v>
          </cell>
          <cell r="M1279" t="str">
            <v>09000221</v>
          </cell>
          <cell r="N1279">
            <v>100</v>
          </cell>
          <cell r="P1279" t="str">
            <v>H # 2 Street B Abad Colony Near Dewan Wali Pully Bhawalpur</v>
          </cell>
          <cell r="Q1279" t="str">
            <v>11000003</v>
          </cell>
          <cell r="R1279" t="str">
            <v>PRINCE PEARL</v>
          </cell>
          <cell r="S1279" t="str">
            <v>2020</v>
          </cell>
          <cell r="T1279" t="str">
            <v>ABY-045</v>
          </cell>
          <cell r="U1279" t="str">
            <v>L07606448W</v>
          </cell>
          <cell r="V1279" t="str">
            <v>M20J01391</v>
          </cell>
          <cell r="W1279" t="str">
            <v>05-mar-2029</v>
          </cell>
          <cell r="Y1279">
            <v>990000</v>
          </cell>
          <cell r="Z1279">
            <v>17069</v>
          </cell>
          <cell r="AA1279">
            <v>19800</v>
          </cell>
        </row>
        <row r="1280">
          <cell r="B1280" t="str">
            <v>KHI/HO/D/MO/PC COMP/C/108043/11/03/2025</v>
          </cell>
          <cell r="D1280" t="str">
            <v>REN</v>
          </cell>
          <cell r="E1280" t="str">
            <v>13/03/25</v>
          </cell>
          <cell r="F1280" t="str">
            <v>22/03/2025</v>
          </cell>
          <cell r="G1280" t="str">
            <v>21/03/2026</v>
          </cell>
          <cell r="H1280" t="str">
            <v>08004499</v>
          </cell>
          <cell r="I1280" t="str">
            <v>AL BARAKA BANK (PAKISTAN) LIMITED</v>
          </cell>
          <cell r="J1280" t="str">
            <v>BANK</v>
          </cell>
          <cell r="K1280" t="str">
            <v>M/s. Al Baraka Bank (Pakistan) Limited 
M/S. Al Baraka Bank (Pakistan) Limited 
User: Syed Shahwaiz Hussain Shah</v>
          </cell>
          <cell r="L1280" t="str">
            <v>D</v>
          </cell>
          <cell r="M1280" t="str">
            <v>09000221</v>
          </cell>
          <cell r="N1280">
            <v>100</v>
          </cell>
          <cell r="P1280" t="str">
            <v>Flat No 1  Block 19-D Pha Society Coprative Store Near Uet Lahore</v>
          </cell>
          <cell r="Q1280" t="str">
            <v>11000003</v>
          </cell>
          <cell r="R1280" t="str">
            <v>SUZUKI SWIFT DLX EURO II</v>
          </cell>
          <cell r="S1280" t="str">
            <v>2019</v>
          </cell>
          <cell r="T1280" t="str">
            <v>LEF-19-8747</v>
          </cell>
          <cell r="U1280" t="str">
            <v>13045391</v>
          </cell>
          <cell r="V1280" t="str">
            <v>PK10045388</v>
          </cell>
          <cell r="W1280" t="str">
            <v>05-apr-2028</v>
          </cell>
          <cell r="Y1280">
            <v>2565000</v>
          </cell>
          <cell r="Z1280">
            <v>44224</v>
          </cell>
          <cell r="AA1280">
            <v>51300</v>
          </cell>
        </row>
        <row r="1281">
          <cell r="B1281" t="str">
            <v>KHI/HO/D/MO/PC COMP/C/108043/12/03/2025</v>
          </cell>
          <cell r="D1281" t="str">
            <v>REN</v>
          </cell>
          <cell r="E1281" t="str">
            <v>13/03/25</v>
          </cell>
          <cell r="F1281" t="str">
            <v>25/03/2025</v>
          </cell>
          <cell r="G1281" t="str">
            <v>24/03/2026</v>
          </cell>
          <cell r="H1281" t="str">
            <v>08004499</v>
          </cell>
          <cell r="I1281" t="str">
            <v>AL BARAKA BANK (PAKISTAN) LIMITED</v>
          </cell>
          <cell r="J1281" t="str">
            <v>BANK</v>
          </cell>
          <cell r="K1281" t="str">
            <v>M/s. Al Baraka Bank (Pakistan) Limited 
M/S. Al Baraka Bank (Pakistan) Limited 
User: Khalid  Masih</v>
          </cell>
          <cell r="L1281" t="str">
            <v>D</v>
          </cell>
          <cell r="M1281" t="str">
            <v>09000221</v>
          </cell>
          <cell r="N1281">
            <v>100</v>
          </cell>
          <cell r="P1281" t="str">
            <v>Mohallah Nai Abadi Bedian Road Gohawa More Lahore Cantt</v>
          </cell>
          <cell r="Q1281" t="str">
            <v>11000003</v>
          </cell>
          <cell r="R1281" t="str">
            <v>SUZUKI BOLAN VX  EURO II</v>
          </cell>
          <cell r="S1281" t="str">
            <v>2023</v>
          </cell>
          <cell r="T1281" t="str">
            <v>ANK-421</v>
          </cell>
          <cell r="U1281" t="str">
            <v>1027754</v>
          </cell>
          <cell r="V1281" t="str">
            <v>1144264</v>
          </cell>
          <cell r="W1281" t="str">
            <v>05-apr-2029</v>
          </cell>
          <cell r="Y1281">
            <v>1620000</v>
          </cell>
          <cell r="Z1281">
            <v>27931</v>
          </cell>
          <cell r="AA1281">
            <v>32400</v>
          </cell>
        </row>
        <row r="1282">
          <cell r="B1282" t="str">
            <v>KHI/HO/D/MO/PC COMP/C/108043/13/03/2025</v>
          </cell>
          <cell r="D1282" t="str">
            <v>REN</v>
          </cell>
          <cell r="E1282" t="str">
            <v>13/03/25</v>
          </cell>
          <cell r="F1282" t="str">
            <v>26/03/2025</v>
          </cell>
          <cell r="G1282" t="str">
            <v>25/03/2026</v>
          </cell>
          <cell r="H1282" t="str">
            <v>08004499</v>
          </cell>
          <cell r="I1282" t="str">
            <v>AL BARAKA BANK (PAKISTAN) LIMITED</v>
          </cell>
          <cell r="J1282" t="str">
            <v>BANK</v>
          </cell>
          <cell r="K1282" t="str">
            <v>M/s. Al Baraka Bank (Pakistan) Limited 
M/S. Al Baraka Bank (Pakistan) Limited 
User: Faizan  Aijaz</v>
          </cell>
          <cell r="L1282" t="str">
            <v>D</v>
          </cell>
          <cell r="M1282" t="str">
            <v>09000221</v>
          </cell>
          <cell r="N1282">
            <v>100</v>
          </cell>
          <cell r="P1282" t="str">
            <v>H # 6 Hazrat Ali Street Shadab Colony Lahore</v>
          </cell>
          <cell r="Q1282" t="str">
            <v>11000003</v>
          </cell>
          <cell r="R1282" t="str">
            <v>SUZUKI CULTUS VXL EURO II</v>
          </cell>
          <cell r="S1282" t="str">
            <v>2019</v>
          </cell>
          <cell r="T1282" t="str">
            <v>LEE-19-1853</v>
          </cell>
          <cell r="U1282" t="str">
            <v>K142411</v>
          </cell>
          <cell r="V1282" t="str">
            <v>H10042458</v>
          </cell>
          <cell r="W1282" t="str">
            <v>05-apr-2029</v>
          </cell>
          <cell r="Y1282">
            <v>2430000</v>
          </cell>
          <cell r="Z1282">
            <v>41897</v>
          </cell>
          <cell r="AA1282">
            <v>48600</v>
          </cell>
        </row>
        <row r="1283">
          <cell r="B1283" t="str">
            <v>KHI/HO/D/MO/PC COMP/C/108043/14/03/2025</v>
          </cell>
          <cell r="D1283" t="str">
            <v>REN</v>
          </cell>
          <cell r="E1283" t="str">
            <v>13/03/25</v>
          </cell>
          <cell r="F1283" t="str">
            <v>26/03/2025</v>
          </cell>
          <cell r="G1283" t="str">
            <v>25/03/2026</v>
          </cell>
          <cell r="H1283" t="str">
            <v>08004499</v>
          </cell>
          <cell r="I1283" t="str">
            <v>AL BARAKA BANK (PAKISTAN) LIMITED</v>
          </cell>
          <cell r="J1283" t="str">
            <v>BANK</v>
          </cell>
          <cell r="K1283" t="str">
            <v>M/s. Al Baraka Bank (Pakistan) Limited 
M/S. Al Baraka Bank (Pakistan) Limited 
User: Khuram  Shahzad</v>
          </cell>
          <cell r="L1283" t="str">
            <v>D</v>
          </cell>
          <cell r="M1283" t="str">
            <v>09000221</v>
          </cell>
          <cell r="N1283">
            <v>100</v>
          </cell>
          <cell r="P1283" t="str">
            <v>H # 115 Block A Al Hamd Garden Phase 1Main Saggain Raod Lahore</v>
          </cell>
          <cell r="Q1283" t="str">
            <v>11000003</v>
          </cell>
          <cell r="R1283" t="str">
            <v>SUZUKI ALTO VXL</v>
          </cell>
          <cell r="S1283" t="str">
            <v>2019</v>
          </cell>
          <cell r="T1283" t="str">
            <v>LE-19A-3997</v>
          </cell>
          <cell r="U1283" t="str">
            <v>6R114594</v>
          </cell>
          <cell r="V1283" t="str">
            <v>H1014591</v>
          </cell>
          <cell r="W1283" t="str">
            <v>05-apr-2029</v>
          </cell>
          <cell r="Y1283">
            <v>1980000</v>
          </cell>
          <cell r="Z1283">
            <v>34138</v>
          </cell>
          <cell r="AA1283">
            <v>39600</v>
          </cell>
        </row>
        <row r="1284">
          <cell r="B1284" t="str">
            <v>KHI/HO/D/MO/PC COMP/C/108043/15/03/2025</v>
          </cell>
          <cell r="D1284" t="str">
            <v>REN</v>
          </cell>
          <cell r="E1284" t="str">
            <v>13/03/25</v>
          </cell>
          <cell r="F1284" t="str">
            <v>26/03/2025</v>
          </cell>
          <cell r="G1284" t="str">
            <v>25/03/2026</v>
          </cell>
          <cell r="H1284" t="str">
            <v>08004499</v>
          </cell>
          <cell r="I1284" t="str">
            <v>AL BARAKA BANK (PAKISTAN) LIMITED</v>
          </cell>
          <cell r="J1284" t="str">
            <v>BANK</v>
          </cell>
          <cell r="K1284" t="str">
            <v>M/s. Al Baraka Bank (Pakistan) Limited 
M/S. Al Baraka Bank (Pakistan) Limited 
User: Shahbaz  Ahmad</v>
          </cell>
          <cell r="L1284" t="str">
            <v>D</v>
          </cell>
          <cell r="M1284" t="str">
            <v>09000221</v>
          </cell>
          <cell r="N1284">
            <v>100</v>
          </cell>
          <cell r="P1284" t="str">
            <v>H # 41 B Gulfishan Colony Gulshan-E- Ravi Lahore</v>
          </cell>
          <cell r="Q1284" t="str">
            <v>11000003</v>
          </cell>
          <cell r="R1284" t="str">
            <v>SUZUKI ALTO VXR E-2</v>
          </cell>
          <cell r="S1284" t="str">
            <v>2024</v>
          </cell>
          <cell r="T1284" t="str">
            <v>ARJ-259</v>
          </cell>
          <cell r="U1284" t="str">
            <v>6R301464</v>
          </cell>
          <cell r="V1284" t="str">
            <v>H1201490</v>
          </cell>
          <cell r="W1284" t="str">
            <v>05-apr-2029</v>
          </cell>
          <cell r="Y1284">
            <v>2436300</v>
          </cell>
          <cell r="Z1284">
            <v>42005</v>
          </cell>
          <cell r="AA1284">
            <v>48726</v>
          </cell>
        </row>
        <row r="1285">
          <cell r="B1285" t="str">
            <v>KHI/HO/D/MO/PC COMP/C/108043/16/03/2025</v>
          </cell>
          <cell r="D1285" t="str">
            <v>REN</v>
          </cell>
          <cell r="E1285" t="str">
            <v>13/03/25</v>
          </cell>
          <cell r="F1285" t="str">
            <v>18/03/2025</v>
          </cell>
          <cell r="G1285" t="str">
            <v>17/03/2026</v>
          </cell>
          <cell r="H1285" t="str">
            <v>08004499</v>
          </cell>
          <cell r="I1285" t="str">
            <v>AL BARAKA BANK (PAKISTAN) LIMITED</v>
          </cell>
          <cell r="J1285" t="str">
            <v>BANK</v>
          </cell>
          <cell r="K1285" t="str">
            <v>M/s. Al Baraka Bank (Pakistan) Limited 
M/S. Al Baraka Bank (Pakistan) Limited 
User: Nasir  Mohayuddin</v>
          </cell>
          <cell r="L1285" t="str">
            <v>D</v>
          </cell>
          <cell r="M1285" t="str">
            <v>09000221</v>
          </cell>
          <cell r="N1285">
            <v>100</v>
          </cell>
          <cell r="P1285" t="str">
            <v>H # 67 Street 11 Askari H. Scheme 5 Gulberg Iii Walton Road Lahore</v>
          </cell>
          <cell r="Q1285" t="str">
            <v>11000003</v>
          </cell>
          <cell r="R1285" t="str">
            <v>SUZUKI ALTO VXR E-2</v>
          </cell>
          <cell r="S1285" t="str">
            <v>2024</v>
          </cell>
          <cell r="T1285" t="str">
            <v>ARJ-190</v>
          </cell>
          <cell r="U1285" t="str">
            <v>299472</v>
          </cell>
          <cell r="V1285" t="str">
            <v>1199266</v>
          </cell>
          <cell r="W1285" t="str">
            <v>05-apr-2027</v>
          </cell>
          <cell r="Y1285">
            <v>2436300</v>
          </cell>
          <cell r="Z1285">
            <v>42005</v>
          </cell>
          <cell r="AA1285">
            <v>48726</v>
          </cell>
        </row>
        <row r="1286">
          <cell r="B1286" t="str">
            <v>KHI/HO/D/MO/PC COMP/C/108043/17/03/2025</v>
          </cell>
          <cell r="D1286" t="str">
            <v>REN</v>
          </cell>
          <cell r="E1286" t="str">
            <v>13/03/25</v>
          </cell>
          <cell r="F1286" t="str">
            <v>27/03/2025</v>
          </cell>
          <cell r="G1286" t="str">
            <v>26/03/2026</v>
          </cell>
          <cell r="H1286" t="str">
            <v>08004499</v>
          </cell>
          <cell r="I1286" t="str">
            <v>AL BARAKA BANK (PAKISTAN) LIMITED</v>
          </cell>
          <cell r="J1286" t="str">
            <v>BANK</v>
          </cell>
          <cell r="K1286" t="str">
            <v>M/s. Al Baraka Bank (Pakistan) Limited 
M/S. Al Baraka Bank (Pakistan) Limited 
User: Arbaz Ali Khan</v>
          </cell>
          <cell r="L1286" t="str">
            <v>D</v>
          </cell>
          <cell r="M1286" t="str">
            <v>09000221</v>
          </cell>
          <cell r="N1286">
            <v>100</v>
          </cell>
          <cell r="P1286" t="str">
            <v>H # 183-E Street 7 Mohallah Tariq Garden Lahore</v>
          </cell>
          <cell r="Q1286" t="str">
            <v>11000003</v>
          </cell>
          <cell r="R1286" t="str">
            <v>SUZUKI ALTO VXR E-2</v>
          </cell>
          <cell r="S1286" t="str">
            <v>2024</v>
          </cell>
          <cell r="T1286" t="str">
            <v>ART-183</v>
          </cell>
          <cell r="U1286" t="str">
            <v>6R302191</v>
          </cell>
          <cell r="V1286" t="str">
            <v>NF1AET306H1202460</v>
          </cell>
          <cell r="W1286" t="str">
            <v>05-apr-2029</v>
          </cell>
          <cell r="Y1286">
            <v>2436300</v>
          </cell>
          <cell r="Z1286">
            <v>42005</v>
          </cell>
          <cell r="AA1286">
            <v>48726</v>
          </cell>
        </row>
        <row r="1287">
          <cell r="B1287" t="str">
            <v>KHI/HO/D/MO/PC COMP/C/108043/18/03/2025</v>
          </cell>
          <cell r="D1287" t="str">
            <v>REN</v>
          </cell>
          <cell r="E1287" t="str">
            <v>13/03/25</v>
          </cell>
          <cell r="F1287" t="str">
            <v>26/03/2025</v>
          </cell>
          <cell r="G1287" t="str">
            <v>25/03/2026</v>
          </cell>
          <cell r="H1287" t="str">
            <v>08004499</v>
          </cell>
          <cell r="I1287" t="str">
            <v>AL BARAKA BANK (PAKISTAN) LIMITED</v>
          </cell>
          <cell r="J1287" t="str">
            <v>BANK</v>
          </cell>
          <cell r="K1287" t="str">
            <v>M/s. Al Baraka Bank (Pakistan) Limited 
M/S. Al Baraka Bank (Pakistan) Limited 
User: Aqeel   Ahmed</v>
          </cell>
          <cell r="L1287" t="str">
            <v>D</v>
          </cell>
          <cell r="M1287" t="str">
            <v>09000221</v>
          </cell>
          <cell r="N1287">
            <v>100</v>
          </cell>
          <cell r="P1287" t="str">
            <v>H No 109 Street 116 D 12 /1/ Islamabad</v>
          </cell>
          <cell r="Q1287" t="str">
            <v>11000003</v>
          </cell>
          <cell r="R1287" t="str">
            <v>SUZUKI ALTO VXL</v>
          </cell>
          <cell r="S1287" t="str">
            <v>2024</v>
          </cell>
          <cell r="T1287" t="str">
            <v>BDJ-814</v>
          </cell>
          <cell r="U1287" t="str">
            <v>303315</v>
          </cell>
          <cell r="V1287" t="str">
            <v>1203322</v>
          </cell>
          <cell r="W1287" t="str">
            <v>05-apr-2029</v>
          </cell>
          <cell r="Y1287">
            <v>2740500</v>
          </cell>
          <cell r="Z1287">
            <v>47249</v>
          </cell>
          <cell r="AA1287">
            <v>54810</v>
          </cell>
        </row>
        <row r="1288">
          <cell r="B1288" t="str">
            <v>KHI/HO/D/MO/PC COMP/C/108043/19/03/2025</v>
          </cell>
          <cell r="D1288" t="str">
            <v>REN</v>
          </cell>
          <cell r="E1288" t="str">
            <v>13/03/25</v>
          </cell>
          <cell r="F1288" t="str">
            <v>27/03/2025</v>
          </cell>
          <cell r="G1288" t="str">
            <v>26/03/2026</v>
          </cell>
          <cell r="H1288" t="str">
            <v>08004499</v>
          </cell>
          <cell r="I1288" t="str">
            <v>AL BARAKA BANK (PAKISTAN) LIMITED</v>
          </cell>
          <cell r="J1288" t="str">
            <v>BANK</v>
          </cell>
          <cell r="K1288" t="str">
            <v>M/s. Al Baraka Bank (Pakistan) Limited 
M/S. Al Baraka Bank (Pakistan) Limited 
User: Amir  Dilshad</v>
          </cell>
          <cell r="L1288" t="str">
            <v>D</v>
          </cell>
          <cell r="M1288" t="str">
            <v>09000221</v>
          </cell>
          <cell r="N1288">
            <v>100</v>
          </cell>
          <cell r="P1288" t="str">
            <v>H No 246 St 5 Hajvery Housing Scheme Near Harbanspura Lahore</v>
          </cell>
          <cell r="Q1288" t="str">
            <v>11000003</v>
          </cell>
          <cell r="R1288" t="str">
            <v>TOYOTA COROLLA ALTIS</v>
          </cell>
          <cell r="S1288" t="str">
            <v>2019</v>
          </cell>
          <cell r="T1288" t="str">
            <v>LEA-19-801</v>
          </cell>
          <cell r="U1288" t="str">
            <v>Q054238</v>
          </cell>
          <cell r="V1288" t="str">
            <v>R6031734</v>
          </cell>
          <cell r="W1288" t="str">
            <v>05-apr-2027</v>
          </cell>
          <cell r="Y1288">
            <v>3933000</v>
          </cell>
          <cell r="Z1288">
            <v>50857</v>
          </cell>
          <cell r="AA1288">
            <v>58995</v>
          </cell>
        </row>
        <row r="1289">
          <cell r="B1289" t="str">
            <v>KHI/HO/D/MO/PC COMP/C/108043/20/03/2025</v>
          </cell>
          <cell r="D1289" t="str">
            <v>REN</v>
          </cell>
          <cell r="E1289" t="str">
            <v>13/03/25</v>
          </cell>
          <cell r="F1289" t="str">
            <v>28/03/2025</v>
          </cell>
          <cell r="G1289" t="str">
            <v>27/03/2026</v>
          </cell>
          <cell r="H1289" t="str">
            <v>08004499</v>
          </cell>
          <cell r="I1289" t="str">
            <v>AL BARAKA BANK (PAKISTAN) LIMITED</v>
          </cell>
          <cell r="J1289" t="str">
            <v>BANK</v>
          </cell>
          <cell r="K1289" t="str">
            <v>M/s. Al Baraka Bank (Pakistan) Limited 
M/S. Al Baraka Bank (Pakistan) Limited 
User: Muhammad  Ramzan</v>
          </cell>
          <cell r="L1289" t="str">
            <v>D</v>
          </cell>
          <cell r="M1289" t="str">
            <v>09000221</v>
          </cell>
          <cell r="N1289">
            <v>100</v>
          </cell>
          <cell r="P1289" t="str">
            <v>Chah Nawa Pandi Wah Raja Pur Sharqi Po Ladhran</v>
          </cell>
          <cell r="Q1289" t="str">
            <v>11000003</v>
          </cell>
          <cell r="R1289" t="str">
            <v>SUZUKI ALTO VXR E-2</v>
          </cell>
          <cell r="S1289" t="str">
            <v>2024</v>
          </cell>
          <cell r="T1289" t="str">
            <v>ARK-539</v>
          </cell>
          <cell r="U1289" t="str">
            <v>6R296319</v>
          </cell>
          <cell r="V1289" t="str">
            <v>6H1196367</v>
          </cell>
          <cell r="W1289" t="str">
            <v>05-apr-2029</v>
          </cell>
          <cell r="Y1289">
            <v>2350800</v>
          </cell>
          <cell r="Z1289">
            <v>40531</v>
          </cell>
          <cell r="AA1289">
            <v>47016</v>
          </cell>
        </row>
        <row r="1290">
          <cell r="B1290" t="str">
            <v>KHI/HO/D/MO/PC COMP/C/108043/21/03/2025</v>
          </cell>
          <cell r="D1290" t="str">
            <v>REN</v>
          </cell>
          <cell r="E1290" t="str">
            <v>13/03/25</v>
          </cell>
          <cell r="F1290" t="str">
            <v>28/03/2025</v>
          </cell>
          <cell r="G1290" t="str">
            <v>27/03/2026</v>
          </cell>
          <cell r="H1290" t="str">
            <v>08004499</v>
          </cell>
          <cell r="I1290" t="str">
            <v>AL BARAKA BANK (PAKISTAN) LIMITED</v>
          </cell>
          <cell r="J1290" t="str">
            <v>BANK</v>
          </cell>
          <cell r="K1290" t="str">
            <v>M/s. Al Baraka Bank (Pakistan) Limited 
M/S. Al Baraka Bank (Pakistan) Limited 
User: Ali  Raza</v>
          </cell>
          <cell r="L1290" t="str">
            <v>D</v>
          </cell>
          <cell r="M1290" t="str">
            <v>09000221</v>
          </cell>
          <cell r="N1290">
            <v>100</v>
          </cell>
          <cell r="P1290" t="str">
            <v>H No 110 G2 Wapda Town Phase 1 Lahore</v>
          </cell>
          <cell r="Q1290" t="str">
            <v>11000003</v>
          </cell>
          <cell r="R1290" t="str">
            <v>SUZUKI MEHRAN</v>
          </cell>
          <cell r="S1290" t="str">
            <v>2014</v>
          </cell>
          <cell r="T1290" t="str">
            <v>LE-14-2626</v>
          </cell>
          <cell r="U1290" t="str">
            <v>572107</v>
          </cell>
          <cell r="V1290" t="str">
            <v>1110624</v>
          </cell>
          <cell r="W1290" t="str">
            <v>05-apr-2028</v>
          </cell>
          <cell r="Y1290">
            <v>945000</v>
          </cell>
          <cell r="Z1290">
            <v>16293</v>
          </cell>
          <cell r="AA1290">
            <v>18900</v>
          </cell>
        </row>
        <row r="1291">
          <cell r="B1291" t="str">
            <v>KHI/HO/D/MO/PC COMP/C/108043/22/03/2025</v>
          </cell>
          <cell r="D1291" t="str">
            <v>REN</v>
          </cell>
          <cell r="E1291" t="str">
            <v>13/03/25</v>
          </cell>
          <cell r="F1291" t="str">
            <v>28/03/2025</v>
          </cell>
          <cell r="G1291" t="str">
            <v>27/03/2026</v>
          </cell>
          <cell r="H1291" t="str">
            <v>08004499</v>
          </cell>
          <cell r="I1291" t="str">
            <v>AL BARAKA BANK (PAKISTAN) LIMITED</v>
          </cell>
          <cell r="J1291" t="str">
            <v>BANK</v>
          </cell>
          <cell r="K1291" t="str">
            <v>M/s. Al Baraka Bank (Pakistan) Limited 
M/S. Al Baraka Bank (Pakistan) Limited 
User: Irshad  Ali</v>
          </cell>
          <cell r="L1291" t="str">
            <v>D</v>
          </cell>
          <cell r="M1291" t="str">
            <v>09000221</v>
          </cell>
          <cell r="N1291">
            <v>100</v>
          </cell>
          <cell r="P1291" t="str">
            <v>H No B-245 Block J North Naziamabad Karachi</v>
          </cell>
          <cell r="Q1291" t="str">
            <v>11000003</v>
          </cell>
          <cell r="R1291" t="str">
            <v>SUZUKI WAGON-R</v>
          </cell>
          <cell r="S1291" t="str">
            <v>2019</v>
          </cell>
          <cell r="T1291" t="str">
            <v>BPH-428</v>
          </cell>
          <cell r="U1291" t="str">
            <v>176465</v>
          </cell>
          <cell r="V1291" t="str">
            <v>10076455</v>
          </cell>
          <cell r="W1291" t="str">
            <v>05-apr-2027</v>
          </cell>
          <cell r="Y1291">
            <v>1980000</v>
          </cell>
          <cell r="Z1291">
            <v>34138</v>
          </cell>
          <cell r="AA1291">
            <v>39600</v>
          </cell>
        </row>
        <row r="1292">
          <cell r="B1292" t="str">
            <v>KHI/HO/D/MO/PC COMP/C/108043/23/03/2025</v>
          </cell>
          <cell r="D1292" t="str">
            <v>REN</v>
          </cell>
          <cell r="E1292" t="str">
            <v>13/03/25</v>
          </cell>
          <cell r="F1292" t="str">
            <v>29/03/2025</v>
          </cell>
          <cell r="G1292" t="str">
            <v>28/03/2026</v>
          </cell>
          <cell r="H1292" t="str">
            <v>08004499</v>
          </cell>
          <cell r="I1292" t="str">
            <v>AL BARAKA BANK (PAKISTAN) LIMITED</v>
          </cell>
          <cell r="J1292" t="str">
            <v>BANK</v>
          </cell>
          <cell r="K1292" t="str">
            <v>M/s. Al Baraka Bank (Pakistan) Limited 
M/S. Al Baraka Bank (Pakistan) Limited 
User: Uzair  Riaz</v>
          </cell>
          <cell r="L1292" t="str">
            <v>D</v>
          </cell>
          <cell r="M1292" t="str">
            <v>09000221</v>
          </cell>
          <cell r="N1292">
            <v>100</v>
          </cell>
          <cell r="P1292" t="str">
            <v>H # 4 Meraj Park Begum Kot Shahdra Lahore</v>
          </cell>
          <cell r="Q1292" t="str">
            <v>11000003</v>
          </cell>
          <cell r="R1292" t="str">
            <v>TOYOTA COROLLA GLI M/T 1.</v>
          </cell>
          <cell r="S1292" t="str">
            <v>2018</v>
          </cell>
          <cell r="T1292" t="str">
            <v>LEC-18A-1346</v>
          </cell>
          <cell r="U1292" t="str">
            <v>538374</v>
          </cell>
          <cell r="V1292" t="str">
            <v>4164798</v>
          </cell>
          <cell r="W1292" t="str">
            <v>05-apr-2028</v>
          </cell>
          <cell r="Y1292">
            <v>3510000</v>
          </cell>
          <cell r="Z1292">
            <v>45388</v>
          </cell>
          <cell r="AA1292">
            <v>52650</v>
          </cell>
        </row>
        <row r="1293">
          <cell r="B1293" t="str">
            <v>KHI/HO/D/MO/PC COMP/C/108043/24/03/2025</v>
          </cell>
          <cell r="D1293" t="str">
            <v>REN</v>
          </cell>
          <cell r="E1293" t="str">
            <v>13/03/25</v>
          </cell>
          <cell r="F1293" t="str">
            <v>29/03/2025</v>
          </cell>
          <cell r="G1293" t="str">
            <v>28/03/2026</v>
          </cell>
          <cell r="H1293" t="str">
            <v>08004499</v>
          </cell>
          <cell r="I1293" t="str">
            <v>AL BARAKA BANK (PAKISTAN) LIMITED</v>
          </cell>
          <cell r="J1293" t="str">
            <v>BANK</v>
          </cell>
          <cell r="K1293" t="str">
            <v>M/s. Al Baraka Bank (Pakistan) Limited 
M/S. Al Baraka Bank (Pakistan) Limited 
User: Muhammad  Soban</v>
          </cell>
          <cell r="L1293" t="str">
            <v>D</v>
          </cell>
          <cell r="M1293" t="str">
            <v>09000221</v>
          </cell>
          <cell r="N1293">
            <v>100</v>
          </cell>
          <cell r="P1293" t="str">
            <v>H No 422 St No 24 Rehmat Town Bara Gole Chowk Gm Abad Faisalabad</v>
          </cell>
          <cell r="Q1293" t="str">
            <v>11000003</v>
          </cell>
          <cell r="R1293" t="str">
            <v>SUZUKI WAGON R VXL</v>
          </cell>
          <cell r="S1293" t="str">
            <v>2019</v>
          </cell>
          <cell r="T1293" t="str">
            <v>LEA-19-5668</v>
          </cell>
          <cell r="U1293" t="str">
            <v>PK10B184166</v>
          </cell>
          <cell r="V1293" t="str">
            <v>A1J310PK10084155</v>
          </cell>
          <cell r="W1293" t="str">
            <v>05-apr-2027</v>
          </cell>
          <cell r="Y1293">
            <v>1800000</v>
          </cell>
          <cell r="Z1293">
            <v>31035</v>
          </cell>
          <cell r="AA1293">
            <v>36000</v>
          </cell>
        </row>
        <row r="1294">
          <cell r="B1294" t="str">
            <v>KHI/HO/D/MO/PC COMP/C/108043/25/03/2025</v>
          </cell>
          <cell r="D1294" t="str">
            <v>REN</v>
          </cell>
          <cell r="E1294" t="str">
            <v>13/03/25</v>
          </cell>
          <cell r="F1294" t="str">
            <v>29/03/2025</v>
          </cell>
          <cell r="G1294" t="str">
            <v>28/03/2026</v>
          </cell>
          <cell r="H1294" t="str">
            <v>08004499</v>
          </cell>
          <cell r="I1294" t="str">
            <v>AL BARAKA BANK (PAKISTAN) LIMITED</v>
          </cell>
          <cell r="J1294" t="str">
            <v>BANK</v>
          </cell>
          <cell r="K1294" t="str">
            <v>M/s. Al Baraka Bank (Pakistan) Limited 
M/S. Al Baraka Bank (Pakistan) Limited 
User: Muhammad Uzair Khan</v>
          </cell>
          <cell r="L1294" t="str">
            <v>D</v>
          </cell>
          <cell r="M1294" t="str">
            <v>09000221</v>
          </cell>
          <cell r="N1294">
            <v>100</v>
          </cell>
          <cell r="P1294" t="str">
            <v>303 G Block Shah Rukn E Alam Colony Multan</v>
          </cell>
          <cell r="Q1294" t="str">
            <v>11000003</v>
          </cell>
          <cell r="R1294" t="str">
            <v>SUZUKI ALTO VXR</v>
          </cell>
          <cell r="S1294" t="str">
            <v>2024</v>
          </cell>
          <cell r="T1294" t="str">
            <v>ARL-348</v>
          </cell>
          <cell r="U1294" t="str">
            <v>6R302817</v>
          </cell>
          <cell r="V1294" t="str">
            <v>1202820</v>
          </cell>
          <cell r="W1294" t="str">
            <v>05-apr-2029</v>
          </cell>
          <cell r="Y1294">
            <v>2436300</v>
          </cell>
          <cell r="Z1294">
            <v>42005</v>
          </cell>
          <cell r="AA1294">
            <v>48726</v>
          </cell>
        </row>
        <row r="1295">
          <cell r="B1295" t="str">
            <v>KHI/HO/D/MO/PC COMP/C/108043/26/03/2025</v>
          </cell>
          <cell r="D1295" t="str">
            <v>REN</v>
          </cell>
          <cell r="E1295" t="str">
            <v>13/03/25</v>
          </cell>
          <cell r="F1295" t="str">
            <v>29/03/2025</v>
          </cell>
          <cell r="G1295" t="str">
            <v>28/03/2026</v>
          </cell>
          <cell r="H1295" t="str">
            <v>08004499</v>
          </cell>
          <cell r="I1295" t="str">
            <v>AL BARAKA BANK (PAKISTAN) LIMITED</v>
          </cell>
          <cell r="J1295" t="str">
            <v>BANK</v>
          </cell>
          <cell r="K1295" t="str">
            <v>M/s. Al Baraka Bank (Pakistan) Limited 
M/S. Al Baraka Bank (Pakistan) Limited 
User: Saeed  Anwar</v>
          </cell>
          <cell r="L1295" t="str">
            <v>D</v>
          </cell>
          <cell r="M1295" t="str">
            <v>09000221</v>
          </cell>
          <cell r="N1295">
            <v>100</v>
          </cell>
          <cell r="P1295" t="str">
            <v>Block 19 Mohallah Qadeerabad Colony Dg Khan</v>
          </cell>
          <cell r="Q1295" t="str">
            <v>11000003</v>
          </cell>
          <cell r="R1295" t="str">
            <v>SUZUKI ALTO</v>
          </cell>
          <cell r="S1295" t="str">
            <v>2019</v>
          </cell>
          <cell r="T1295" t="str">
            <v>LEA-20-3963</v>
          </cell>
          <cell r="U1295" t="str">
            <v>124386</v>
          </cell>
          <cell r="V1295" t="str">
            <v>1024343</v>
          </cell>
          <cell r="W1295" t="str">
            <v>05-apr-2029</v>
          </cell>
          <cell r="Y1295">
            <v>1890000</v>
          </cell>
          <cell r="Z1295">
            <v>32586</v>
          </cell>
          <cell r="AA1295">
            <v>37800</v>
          </cell>
        </row>
        <row r="1296">
          <cell r="B1296" t="str">
            <v>KHI/HO/D/MO/PC COMP/C/108043/27/03/2025</v>
          </cell>
          <cell r="D1296" t="str">
            <v>REN</v>
          </cell>
          <cell r="E1296" t="str">
            <v>13/03/25</v>
          </cell>
          <cell r="F1296" t="str">
            <v>05/03/2025</v>
          </cell>
          <cell r="G1296" t="str">
            <v>04/03/2026</v>
          </cell>
          <cell r="H1296" t="str">
            <v>08004499</v>
          </cell>
          <cell r="I1296" t="str">
            <v>AL BARAKA BANK (PAKISTAN) LIMITED</v>
          </cell>
          <cell r="J1296" t="str">
            <v>BANK</v>
          </cell>
          <cell r="K1296" t="str">
            <v>M/s. Al Baraka Bank (Pakistan) Limited 
M/S. Al Baraka Bank (Pakistan) Limited 
User: Adnan Haider Butt</v>
          </cell>
          <cell r="L1296" t="str">
            <v>D</v>
          </cell>
          <cell r="M1296" t="str">
            <v>09000221</v>
          </cell>
          <cell r="N1296">
            <v>100</v>
          </cell>
          <cell r="P1296" t="str">
            <v>H No C2A Al Mumtaz Road Zubaida Park Samanabad Lahore</v>
          </cell>
          <cell r="Q1296" t="str">
            <v>11000003</v>
          </cell>
          <cell r="R1296" t="str">
            <v>TOYOTA COROLLA ALTIS GRAN</v>
          </cell>
          <cell r="S1296" t="str">
            <v>2021</v>
          </cell>
          <cell r="T1296" t="str">
            <v>AEB-911</v>
          </cell>
          <cell r="U1296" t="str">
            <v>349483</v>
          </cell>
          <cell r="V1296" t="str">
            <v>172R7048630</v>
          </cell>
          <cell r="W1296" t="str">
            <v>05-mar-2027</v>
          </cell>
          <cell r="Y1296">
            <v>5535000</v>
          </cell>
          <cell r="Z1296">
            <v>71573</v>
          </cell>
          <cell r="AA1296">
            <v>83025</v>
          </cell>
        </row>
        <row r="1297">
          <cell r="B1297" t="str">
            <v>KHI/HO/D/MO/PC COMP/C/108043/28/03/2025</v>
          </cell>
          <cell r="D1297" t="str">
            <v>REN</v>
          </cell>
          <cell r="E1297" t="str">
            <v>13/03/25</v>
          </cell>
          <cell r="F1297" t="str">
            <v>29/03/2025</v>
          </cell>
          <cell r="G1297" t="str">
            <v>28/03/2026</v>
          </cell>
          <cell r="H1297" t="str">
            <v>08004499</v>
          </cell>
          <cell r="I1297" t="str">
            <v>AL BARAKA BANK (PAKISTAN) LIMITED</v>
          </cell>
          <cell r="J1297" t="str">
            <v>BANK</v>
          </cell>
          <cell r="K1297" t="str">
            <v>M/s. Al Baraka Bank (Pakistan) Limited 
M/S. Al Baraka Bank (Pakistan) Limited 
User: Chudhary Zafar Iqbal</v>
          </cell>
          <cell r="L1297" t="str">
            <v>D</v>
          </cell>
          <cell r="M1297" t="str">
            <v>09000221</v>
          </cell>
          <cell r="N1297">
            <v>100</v>
          </cell>
          <cell r="P1297" t="str">
            <v>H No Cb-2476 Ch Zafar Street Mohallah Gaziabad Rawalpindi</v>
          </cell>
          <cell r="Q1297" t="str">
            <v>11000003</v>
          </cell>
          <cell r="R1297" t="str">
            <v>TOYOTA PASSO</v>
          </cell>
          <cell r="S1297" t="str">
            <v>2012</v>
          </cell>
          <cell r="T1297" t="str">
            <v>CE-791</v>
          </cell>
          <cell r="U1297" t="str">
            <v>1333476</v>
          </cell>
          <cell r="V1297" t="str">
            <v>0121459</v>
          </cell>
          <cell r="W1297" t="str">
            <v>05-apr-2028</v>
          </cell>
          <cell r="Y1297">
            <v>2520000</v>
          </cell>
          <cell r="Z1297">
            <v>43449</v>
          </cell>
          <cell r="AA1297">
            <v>50400</v>
          </cell>
        </row>
        <row r="1298">
          <cell r="B1298" t="str">
            <v>KHI/HO/D/MO/PC COMP/C/108043/29/03/2025</v>
          </cell>
          <cell r="D1298" t="str">
            <v>REN</v>
          </cell>
          <cell r="E1298" t="str">
            <v>13/03/25</v>
          </cell>
          <cell r="F1298" t="str">
            <v>29/03/2025</v>
          </cell>
          <cell r="G1298" t="str">
            <v>28/03/2026</v>
          </cell>
          <cell r="H1298" t="str">
            <v>08004499</v>
          </cell>
          <cell r="I1298" t="str">
            <v>AL BARAKA BANK (PAKISTAN) LIMITED</v>
          </cell>
          <cell r="J1298" t="str">
            <v>BANK</v>
          </cell>
          <cell r="K1298" t="str">
            <v>M/s. Al Baraka Bank (Pakistan) Limited 
M/S. Al Baraka Bank (Pakistan) Limited 
User: Muhammad  Usman</v>
          </cell>
          <cell r="L1298" t="str">
            <v>D</v>
          </cell>
          <cell r="M1298" t="str">
            <v>09000221</v>
          </cell>
          <cell r="N1298">
            <v>100</v>
          </cell>
          <cell r="P1298" t="str">
            <v>1St Floor H No 230 Noor Elahi Street Opposite Beacon House School Opposite Gulrez</v>
          </cell>
          <cell r="Q1298" t="str">
            <v>11000003</v>
          </cell>
          <cell r="R1298" t="str">
            <v>SUZUKI CULTUS VXL</v>
          </cell>
          <cell r="S1298" t="str">
            <v>2019</v>
          </cell>
          <cell r="T1298" t="str">
            <v>AMY-548</v>
          </cell>
          <cell r="U1298" t="str">
            <v>141328</v>
          </cell>
          <cell r="V1298" t="str">
            <v>10041335</v>
          </cell>
          <cell r="W1298" t="str">
            <v>05-apr-2029</v>
          </cell>
          <cell r="Y1298">
            <v>2430000</v>
          </cell>
          <cell r="Z1298">
            <v>41897</v>
          </cell>
          <cell r="AA1298">
            <v>48600</v>
          </cell>
        </row>
        <row r="1299">
          <cell r="B1299" t="str">
            <v>KHI/HO/D/MO/PC COMP/C/108043/30/03/2025</v>
          </cell>
          <cell r="D1299" t="str">
            <v>REN</v>
          </cell>
          <cell r="E1299" t="str">
            <v>13/03/25</v>
          </cell>
          <cell r="F1299" t="str">
            <v>29/03/2025</v>
          </cell>
          <cell r="G1299" t="str">
            <v>28/03/2026</v>
          </cell>
          <cell r="H1299" t="str">
            <v>08004499</v>
          </cell>
          <cell r="I1299" t="str">
            <v>AL BARAKA BANK (PAKISTAN) LIMITED</v>
          </cell>
          <cell r="J1299" t="str">
            <v>BANK</v>
          </cell>
          <cell r="K1299" t="str">
            <v>M/s. Al Baraka Bank (Pakistan) Limited 
M/S. Al Baraka Bank (Pakistan) Limited 
User: Imtiaz  Ahmad</v>
          </cell>
          <cell r="L1299" t="str">
            <v>D</v>
          </cell>
          <cell r="M1299" t="str">
            <v>09000221</v>
          </cell>
          <cell r="N1299">
            <v>100</v>
          </cell>
          <cell r="P1299" t="str">
            <v>H # 115 H-1 Wapda Town Lahore</v>
          </cell>
          <cell r="Q1299" t="str">
            <v>11000003</v>
          </cell>
          <cell r="R1299" t="str">
            <v>HONDA Civic CVT Oriel NAV</v>
          </cell>
          <cell r="S1299" t="str">
            <v>2018</v>
          </cell>
          <cell r="T1299" t="str">
            <v>LEB-18A-420</v>
          </cell>
          <cell r="U1299" t="str">
            <v>12937589</v>
          </cell>
          <cell r="V1299" t="str">
            <v>JR041016</v>
          </cell>
          <cell r="W1299" t="str">
            <v>05-apr-2027</v>
          </cell>
          <cell r="Y1299">
            <v>4140000</v>
          </cell>
          <cell r="Z1299">
            <v>53535</v>
          </cell>
          <cell r="AA1299">
            <v>62100</v>
          </cell>
        </row>
        <row r="1300">
          <cell r="B1300" t="str">
            <v>KHI/HO/D/MO/PC COMP/C/108043/31/03/2025</v>
          </cell>
          <cell r="D1300" t="str">
            <v>REN</v>
          </cell>
          <cell r="E1300" t="str">
            <v>13/03/25</v>
          </cell>
          <cell r="F1300" t="str">
            <v>29/03/2025</v>
          </cell>
          <cell r="G1300" t="str">
            <v>28/03/2026</v>
          </cell>
          <cell r="H1300" t="str">
            <v>08004499</v>
          </cell>
          <cell r="I1300" t="str">
            <v>AL BARAKA BANK (PAKISTAN) LIMITED</v>
          </cell>
          <cell r="J1300" t="str">
            <v>BANK</v>
          </cell>
          <cell r="K1300" t="str">
            <v>M/s. Al Baraka Bank (Pakistan) Limited 
M/S. Al Baraka Bank (Pakistan) Limited 
User: Farid Hassan Ali Hirani</v>
          </cell>
          <cell r="L1300" t="str">
            <v>D</v>
          </cell>
          <cell r="M1300" t="str">
            <v>09000221</v>
          </cell>
          <cell r="N1300">
            <v>100</v>
          </cell>
          <cell r="P1300" t="str">
            <v>Karachi</v>
          </cell>
          <cell r="Q1300" t="str">
            <v>11000003</v>
          </cell>
          <cell r="R1300" t="str">
            <v>TOYOTA FORTUNER A/T 2.7 L</v>
          </cell>
          <cell r="S1300" t="str">
            <v>2017</v>
          </cell>
          <cell r="T1300" t="str">
            <v>BG-3185</v>
          </cell>
          <cell r="U1300" t="str">
            <v>279753</v>
          </cell>
          <cell r="V1300" t="str">
            <v>0441104</v>
          </cell>
          <cell r="W1300" t="str">
            <v>05-apr-2028</v>
          </cell>
          <cell r="Y1300">
            <v>8100000</v>
          </cell>
          <cell r="Z1300">
            <v>104742</v>
          </cell>
          <cell r="AA1300">
            <v>121500</v>
          </cell>
        </row>
        <row r="1301">
          <cell r="B1301" t="str">
            <v>KHI/HO/D/MO/PC COMP/C/108043/32/03/2025</v>
          </cell>
          <cell r="D1301" t="str">
            <v>REN</v>
          </cell>
          <cell r="E1301" t="str">
            <v>13/03/25</v>
          </cell>
          <cell r="F1301" t="str">
            <v>29/03/2025</v>
          </cell>
          <cell r="G1301" t="str">
            <v>28/03/2026</v>
          </cell>
          <cell r="H1301" t="str">
            <v>08004499</v>
          </cell>
          <cell r="I1301" t="str">
            <v>AL BARAKA BANK (PAKISTAN) LIMITED</v>
          </cell>
          <cell r="J1301" t="str">
            <v>BANK</v>
          </cell>
          <cell r="K1301" t="str">
            <v>M/s. Al Baraka Bank (Pakistan) Limited 
M/S. Al Baraka Bank (Pakistan) Limited 
User: Fahad  Babar</v>
          </cell>
          <cell r="L1301" t="str">
            <v>D</v>
          </cell>
          <cell r="M1301" t="str">
            <v>09000221</v>
          </cell>
          <cell r="N1301">
            <v>100</v>
          </cell>
          <cell r="P1301" t="str">
            <v>H No  9 St No 37 Bastami Road Samnabad Lahore</v>
          </cell>
          <cell r="Q1301" t="str">
            <v>11000003</v>
          </cell>
          <cell r="R1301" t="str">
            <v>SUZUKI WAGON R VXL</v>
          </cell>
          <cell r="S1301" t="str">
            <v>2017</v>
          </cell>
          <cell r="T1301" t="str">
            <v>LEB-17A-1845</v>
          </cell>
          <cell r="U1301" t="str">
            <v>138843</v>
          </cell>
          <cell r="V1301" t="str">
            <v>10038835</v>
          </cell>
          <cell r="W1301" t="str">
            <v>05-apr-2028</v>
          </cell>
          <cell r="Y1301">
            <v>1818000</v>
          </cell>
          <cell r="Z1301">
            <v>31345</v>
          </cell>
          <cell r="AA1301">
            <v>36360</v>
          </cell>
        </row>
        <row r="1302">
          <cell r="B1302" t="str">
            <v>KHI/HO/D/MO/PC COMP/C/108043/33/03/2025</v>
          </cell>
          <cell r="D1302" t="str">
            <v>REN</v>
          </cell>
          <cell r="E1302" t="str">
            <v>13/03/25</v>
          </cell>
          <cell r="F1302" t="str">
            <v>29/03/2025</v>
          </cell>
          <cell r="G1302" t="str">
            <v>28/03/2026</v>
          </cell>
          <cell r="H1302" t="str">
            <v>08004499</v>
          </cell>
          <cell r="I1302" t="str">
            <v>AL BARAKA BANK (PAKISTAN) LIMITED</v>
          </cell>
          <cell r="J1302" t="str">
            <v>BANK</v>
          </cell>
          <cell r="K1302" t="str">
            <v>M/s. Al Baraka Bank (Pakistan) Limited 
M/S. Al Baraka Bank (Pakistan) Limited 
User: Rana Muhammad Ali Zaib</v>
          </cell>
          <cell r="L1302" t="str">
            <v>D</v>
          </cell>
          <cell r="M1302" t="str">
            <v>09000221</v>
          </cell>
          <cell r="N1302">
            <v>100</v>
          </cell>
          <cell r="P1302" t="str">
            <v>H No 370 Judicial Housing Society Phase 3 Lahore</v>
          </cell>
          <cell r="Q1302" t="str">
            <v>11000003</v>
          </cell>
          <cell r="R1302" t="str">
            <v>SUZUKI CULTUS VXR EURO-II</v>
          </cell>
          <cell r="S1302" t="str">
            <v>2016</v>
          </cell>
          <cell r="T1302" t="str">
            <v>LEF-16-7253</v>
          </cell>
          <cell r="U1302" t="str">
            <v>PKF624071</v>
          </cell>
          <cell r="V1302" t="str">
            <v>PK530944</v>
          </cell>
          <cell r="W1302" t="str">
            <v>05-apr-2028</v>
          </cell>
          <cell r="Y1302">
            <v>1350000</v>
          </cell>
          <cell r="Z1302">
            <v>23276</v>
          </cell>
          <cell r="AA1302">
            <v>27000</v>
          </cell>
        </row>
        <row r="1303">
          <cell r="B1303" t="str">
            <v>KHI/HO/D/MO/PC COMP/C/108043/34/03/2025</v>
          </cell>
          <cell r="D1303" t="str">
            <v>REN</v>
          </cell>
          <cell r="E1303" t="str">
            <v>13/03/25</v>
          </cell>
          <cell r="F1303" t="str">
            <v>29/03/2025</v>
          </cell>
          <cell r="G1303" t="str">
            <v>28/03/2026</v>
          </cell>
          <cell r="H1303" t="str">
            <v>08004499</v>
          </cell>
          <cell r="I1303" t="str">
            <v>AL BARAKA BANK (PAKISTAN) LIMITED</v>
          </cell>
          <cell r="J1303" t="str">
            <v>BANK</v>
          </cell>
          <cell r="K1303" t="str">
            <v>M/s. Al Baraka Bank (Pakistan) Limited 
M/S. Al Baraka Bank (Pakistan) Limited 
User: Muhammad  Idrees</v>
          </cell>
          <cell r="L1303" t="str">
            <v>D</v>
          </cell>
          <cell r="M1303" t="str">
            <v>09000221</v>
          </cell>
          <cell r="N1303">
            <v>100</v>
          </cell>
          <cell r="P1303" t="str">
            <v>H No 219 Street 7 Old Muzafarabad Colony Landhi Karachi</v>
          </cell>
          <cell r="Q1303" t="str">
            <v>11000003</v>
          </cell>
          <cell r="R1303" t="str">
            <v>TOYOTA COROLLA GLI</v>
          </cell>
          <cell r="S1303" t="str">
            <v>2015</v>
          </cell>
          <cell r="T1303" t="str">
            <v>BEW-012</v>
          </cell>
          <cell r="U1303" t="str">
            <v>331798</v>
          </cell>
          <cell r="V1303" t="str">
            <v>4048406</v>
          </cell>
          <cell r="W1303" t="str">
            <v>05-apr-2027</v>
          </cell>
          <cell r="Y1303">
            <v>2250000</v>
          </cell>
          <cell r="Z1303">
            <v>38793</v>
          </cell>
          <cell r="AA1303">
            <v>45000</v>
          </cell>
        </row>
        <row r="1304">
          <cell r="B1304" t="str">
            <v>KHI/HO/D/MO/PC COMP/C/108043/35/03/2025</v>
          </cell>
          <cell r="D1304" t="str">
            <v>REN</v>
          </cell>
          <cell r="E1304" t="str">
            <v>13/03/25</v>
          </cell>
          <cell r="F1304" t="str">
            <v>29/03/2025</v>
          </cell>
          <cell r="G1304" t="str">
            <v>28/03/2026</v>
          </cell>
          <cell r="H1304" t="str">
            <v>08004499</v>
          </cell>
          <cell r="I1304" t="str">
            <v>AL BARAKA BANK (PAKISTAN) LIMITED</v>
          </cell>
          <cell r="J1304" t="str">
            <v>BANK</v>
          </cell>
          <cell r="K1304" t="str">
            <v>M/s. Al Baraka Bank (Pakistan) Limited 
M/S. Al Baraka Bank (Pakistan) Limited 
User: Muhammad Waleed Shahzad</v>
          </cell>
          <cell r="L1304" t="str">
            <v>D</v>
          </cell>
          <cell r="M1304" t="str">
            <v>09000221</v>
          </cell>
          <cell r="N1304">
            <v>100</v>
          </cell>
          <cell r="P1304" t="str">
            <v>H No 109 St 10 Al Noor Garden Faisalabad</v>
          </cell>
          <cell r="Q1304" t="str">
            <v>11000003</v>
          </cell>
          <cell r="R1304" t="str">
            <v>SUZUKI WAGON-R</v>
          </cell>
          <cell r="S1304" t="str">
            <v>2022</v>
          </cell>
          <cell r="T1304" t="str">
            <v>AJE-051</v>
          </cell>
          <cell r="U1304" t="str">
            <v>PK10B232146</v>
          </cell>
          <cell r="V1304" t="str">
            <v>A1J310PK10132149</v>
          </cell>
          <cell r="W1304" t="str">
            <v>05-apr-2027</v>
          </cell>
          <cell r="Y1304">
            <v>2565000</v>
          </cell>
          <cell r="Z1304">
            <v>44224</v>
          </cell>
          <cell r="AA1304">
            <v>51300</v>
          </cell>
        </row>
        <row r="1305">
          <cell r="B1305" t="str">
            <v>KHI/HO/D/MO/PC COMP/C/108043/36/03/2025</v>
          </cell>
          <cell r="D1305" t="str">
            <v>REN</v>
          </cell>
          <cell r="E1305" t="str">
            <v>13/03/25</v>
          </cell>
          <cell r="F1305" t="str">
            <v>06/03/2025</v>
          </cell>
          <cell r="G1305" t="str">
            <v>05/03/2026</v>
          </cell>
          <cell r="H1305" t="str">
            <v>08004499</v>
          </cell>
          <cell r="I1305" t="str">
            <v>AL BARAKA BANK (PAKISTAN) LIMITED</v>
          </cell>
          <cell r="J1305" t="str">
            <v>BANK</v>
          </cell>
          <cell r="K1305" t="str">
            <v>M/s. Al Baraka Bank (Pakistan) Limited 
M/S. Al Baraka Bank (Pakistan) Limited 
User: Sharif  Ullah</v>
          </cell>
          <cell r="L1305" t="str">
            <v>D</v>
          </cell>
          <cell r="M1305" t="str">
            <v>09000221</v>
          </cell>
          <cell r="N1305">
            <v>100</v>
          </cell>
          <cell r="P1305" t="str">
            <v>H No A-2 Street 2 Awan Colony Korangi Industrial Area Karachi</v>
          </cell>
          <cell r="Q1305" t="str">
            <v>11000003</v>
          </cell>
          <cell r="R1305" t="str">
            <v>SUZUKI ALTO</v>
          </cell>
          <cell r="S1305" t="str">
            <v>2022</v>
          </cell>
          <cell r="T1305" t="str">
            <v>BXS-153</v>
          </cell>
          <cell r="U1305" t="str">
            <v>49085</v>
          </cell>
          <cell r="V1305" t="str">
            <v>149076</v>
          </cell>
          <cell r="W1305" t="str">
            <v>05-mar-2027</v>
          </cell>
          <cell r="Y1305">
            <v>2430000</v>
          </cell>
          <cell r="Z1305">
            <v>41897</v>
          </cell>
          <cell r="AA1305">
            <v>48600</v>
          </cell>
        </row>
        <row r="1306">
          <cell r="B1306" t="str">
            <v>KHI/HO/D/MO/PC COMP/C/108043/37/03/2025</v>
          </cell>
          <cell r="D1306" t="str">
            <v>REN</v>
          </cell>
          <cell r="E1306" t="str">
            <v>13/03/25</v>
          </cell>
          <cell r="F1306" t="str">
            <v>29/03/2025</v>
          </cell>
          <cell r="G1306" t="str">
            <v>28/03/2026</v>
          </cell>
          <cell r="H1306" t="str">
            <v>08004499</v>
          </cell>
          <cell r="I1306" t="str">
            <v>AL BARAKA BANK (PAKISTAN) LIMITED</v>
          </cell>
          <cell r="J1306" t="str">
            <v>BANK</v>
          </cell>
          <cell r="K1306" t="str">
            <v>M/s. Al Baraka Bank (Pakistan) Limited 
M/S. Al Baraka Bank (Pakistan) Limited 
User: Muhammad  Ali</v>
          </cell>
          <cell r="L1306" t="str">
            <v>D</v>
          </cell>
          <cell r="M1306" t="str">
            <v>09000221</v>
          </cell>
          <cell r="N1306">
            <v>100</v>
          </cell>
          <cell r="P1306" t="str">
            <v>H No 5 St 1 Gate 1 Bahria Town Lahore</v>
          </cell>
          <cell r="Q1306" t="str">
            <v>11000003</v>
          </cell>
          <cell r="R1306" t="str">
            <v>TOYOTA COROLLA ALTIS</v>
          </cell>
          <cell r="S1306" t="str">
            <v>2019</v>
          </cell>
          <cell r="T1306" t="str">
            <v>AAL-883</v>
          </cell>
          <cell r="U1306" t="str">
            <v>Q061097</v>
          </cell>
          <cell r="V1306" t="str">
            <v>6038578</v>
          </cell>
          <cell r="W1306" t="str">
            <v>05-apr-2027</v>
          </cell>
          <cell r="Y1306">
            <v>3600000</v>
          </cell>
          <cell r="Z1306">
            <v>46551</v>
          </cell>
          <cell r="AA1306">
            <v>54000</v>
          </cell>
        </row>
        <row r="1307">
          <cell r="B1307" t="str">
            <v>KHI/HO/D/MO/PC COMP/C/108043/38/03/2025</v>
          </cell>
          <cell r="D1307" t="str">
            <v>REN</v>
          </cell>
          <cell r="E1307" t="str">
            <v>13/03/25</v>
          </cell>
          <cell r="F1307" t="str">
            <v>29/03/2025</v>
          </cell>
          <cell r="G1307" t="str">
            <v>28/03/2026</v>
          </cell>
          <cell r="H1307" t="str">
            <v>08004499</v>
          </cell>
          <cell r="I1307" t="str">
            <v>AL BARAKA BANK (PAKISTAN) LIMITED</v>
          </cell>
          <cell r="J1307" t="str">
            <v>BANK</v>
          </cell>
          <cell r="K1307" t="str">
            <v>M/s. Al Baraka Bank (Pakistan) Limited 
M/S. Al Baraka Bank (Pakistan) Limited 
User: Ijaz  Ahmed</v>
          </cell>
          <cell r="L1307" t="str">
            <v>D</v>
          </cell>
          <cell r="M1307" t="str">
            <v>09000221</v>
          </cell>
          <cell r="N1307">
            <v>100</v>
          </cell>
          <cell r="P1307" t="str">
            <v>House No. B-58 Street B-05 Virk Road Phase 01 Shaheen Villa  Faisalabad Bypass Sheikhupura</v>
          </cell>
          <cell r="Q1307" t="str">
            <v>11000003</v>
          </cell>
          <cell r="R1307" t="str">
            <v>HONDA CITY CVT ASPIRE A/T</v>
          </cell>
          <cell r="S1307" t="str">
            <v>2018</v>
          </cell>
          <cell r="T1307" t="str">
            <v>LEC-18A-5385</v>
          </cell>
          <cell r="U1307" t="str">
            <v>17523032</v>
          </cell>
          <cell r="V1307" t="str">
            <v>239838</v>
          </cell>
          <cell r="W1307" t="str">
            <v>05-apr-2028</v>
          </cell>
          <cell r="Y1307">
            <v>3510000</v>
          </cell>
          <cell r="Z1307">
            <v>45388</v>
          </cell>
          <cell r="AA1307">
            <v>52650</v>
          </cell>
        </row>
        <row r="1308">
          <cell r="B1308" t="str">
            <v>KHI/HO/D/MO/PC COMP/C/108043/39/03/2025</v>
          </cell>
          <cell r="D1308" t="str">
            <v>REN</v>
          </cell>
          <cell r="E1308" t="str">
            <v>13/03/25</v>
          </cell>
          <cell r="F1308" t="str">
            <v>07/03/2025</v>
          </cell>
          <cell r="G1308" t="str">
            <v>06/03/2026</v>
          </cell>
          <cell r="H1308" t="str">
            <v>08004499</v>
          </cell>
          <cell r="I1308" t="str">
            <v>AL BARAKA BANK (PAKISTAN) LIMITED</v>
          </cell>
          <cell r="J1308" t="str">
            <v>BANK</v>
          </cell>
          <cell r="K1308" t="str">
            <v>M/s. Al Baraka Bank (Pakistan) Limited 
M/S. Al Baraka Bank (Pakistan) Limited 
User: Ahsan  Raza</v>
          </cell>
          <cell r="L1308" t="str">
            <v>D</v>
          </cell>
          <cell r="M1308" t="str">
            <v>09000221</v>
          </cell>
          <cell r="N1308">
            <v>100</v>
          </cell>
          <cell r="P1308" t="str">
            <v>Flat 643 Block C Model Town Lahore</v>
          </cell>
          <cell r="Q1308" t="str">
            <v>11000003</v>
          </cell>
          <cell r="R1308" t="str">
            <v>SUZUKI ALTO</v>
          </cell>
          <cell r="S1308" t="str">
            <v>2024</v>
          </cell>
          <cell r="T1308" t="str">
            <v>ARE-918</v>
          </cell>
          <cell r="U1308" t="str">
            <v>299818</v>
          </cell>
          <cell r="V1308" t="str">
            <v>1199597</v>
          </cell>
          <cell r="W1308" t="str">
            <v>05-mar-2029</v>
          </cell>
          <cell r="Y1308">
            <v>2436300</v>
          </cell>
          <cell r="Z1308">
            <v>42005</v>
          </cell>
          <cell r="AA1308">
            <v>48726</v>
          </cell>
        </row>
        <row r="1309">
          <cell r="B1309" t="str">
            <v>KHI/HO/D/MO/PC COMP/C/108043/40/03/2025</v>
          </cell>
          <cell r="D1309" t="str">
            <v>REN</v>
          </cell>
          <cell r="E1309" t="str">
            <v>13/03/25</v>
          </cell>
          <cell r="F1309" t="str">
            <v>11/03/2025</v>
          </cell>
          <cell r="G1309" t="str">
            <v>10/03/2026</v>
          </cell>
          <cell r="H1309" t="str">
            <v>08004499</v>
          </cell>
          <cell r="I1309" t="str">
            <v>AL BARAKA BANK (PAKISTAN) LIMITED</v>
          </cell>
          <cell r="J1309" t="str">
            <v>BANK</v>
          </cell>
          <cell r="K1309" t="str">
            <v>M/s. Al Baraka Bank (Pakistan) Limited 
M/S. Al Baraka Bank (Pakistan) Limited 
User: Usman  Shaukat</v>
          </cell>
          <cell r="L1309" t="str">
            <v>D</v>
          </cell>
          <cell r="M1309" t="str">
            <v>09000221</v>
          </cell>
          <cell r="N1309">
            <v>100</v>
          </cell>
          <cell r="P1309" t="str">
            <v>H No 182-A -1 St No 4 Cavlary Ground Lahore</v>
          </cell>
          <cell r="Q1309" t="str">
            <v>11000003</v>
          </cell>
          <cell r="R1309" t="str">
            <v>HONDA CIVIC</v>
          </cell>
          <cell r="S1309" t="str">
            <v>2022</v>
          </cell>
          <cell r="T1309" t="str">
            <v>AHM 736</v>
          </cell>
          <cell r="U1309" t="str">
            <v>Z16929954</v>
          </cell>
          <cell r="V1309" t="str">
            <v>MR082545</v>
          </cell>
          <cell r="W1309" t="str">
            <v>05-apr-2027</v>
          </cell>
          <cell r="Y1309">
            <v>5985000</v>
          </cell>
          <cell r="Z1309">
            <v>77392</v>
          </cell>
          <cell r="AA1309">
            <v>89775</v>
          </cell>
        </row>
        <row r="1310">
          <cell r="B1310" t="str">
            <v>KHI/HO/D/MO/PC COMP/C/108043/41/03/2025</v>
          </cell>
          <cell r="D1310" t="str">
            <v>REN</v>
          </cell>
          <cell r="E1310" t="str">
            <v>13/03/25</v>
          </cell>
          <cell r="F1310" t="str">
            <v>11/03/2025</v>
          </cell>
          <cell r="G1310" t="str">
            <v>10/03/2026</v>
          </cell>
          <cell r="H1310" t="str">
            <v>08004499</v>
          </cell>
          <cell r="I1310" t="str">
            <v>AL BARAKA BANK (PAKISTAN) LIMITED</v>
          </cell>
          <cell r="J1310" t="str">
            <v>BANK</v>
          </cell>
          <cell r="K1310" t="str">
            <v>M/s. Al Baraka Bank (Pakistan) Limited 
M/S. Al Baraka Bank (Pakistan) Limited 
User: Abdul  Hammad</v>
          </cell>
          <cell r="L1310" t="str">
            <v>D</v>
          </cell>
          <cell r="M1310" t="str">
            <v>09000221</v>
          </cell>
          <cell r="N1310">
            <v>100</v>
          </cell>
          <cell r="P1310" t="str">
            <v>H No 100 Gulshan E Ali Town Masjid Wali Street Khanewal</v>
          </cell>
          <cell r="Q1310" t="str">
            <v>11000003</v>
          </cell>
          <cell r="R1310" t="str">
            <v>SUZUKI ALTO VXR</v>
          </cell>
          <cell r="S1310" t="str">
            <v>2024</v>
          </cell>
          <cell r="T1310" t="str">
            <v>APL</v>
          </cell>
          <cell r="U1310" t="str">
            <v>301545</v>
          </cell>
          <cell r="V1310" t="str">
            <v>1201564</v>
          </cell>
          <cell r="W1310" t="str">
            <v>05-apr-2027</v>
          </cell>
          <cell r="Y1310">
            <v>2436300</v>
          </cell>
          <cell r="Z1310">
            <v>42005</v>
          </cell>
          <cell r="AA1310">
            <v>48726</v>
          </cell>
        </row>
        <row r="1311">
          <cell r="B1311" t="str">
            <v>KHI/HO/D/MO/PC COMP/C/108043/42/03/2025</v>
          </cell>
          <cell r="D1311" t="str">
            <v>REN</v>
          </cell>
          <cell r="E1311" t="str">
            <v>13/03/25</v>
          </cell>
          <cell r="F1311" t="str">
            <v>16/03/2025</v>
          </cell>
          <cell r="G1311" t="str">
            <v>15/03/2026</v>
          </cell>
          <cell r="H1311" t="str">
            <v>08004499</v>
          </cell>
          <cell r="I1311" t="str">
            <v>AL BARAKA BANK (PAKISTAN) LIMITED</v>
          </cell>
          <cell r="J1311" t="str">
            <v>BANK</v>
          </cell>
          <cell r="K1311" t="str">
            <v>M/s. Al Baraka Bank (Pakistan) Limited 
M/S. Al Baraka Bank (Pakistan) Limited 
User: Hassam Ahmed  Siddiqui</v>
          </cell>
          <cell r="L1311" t="str">
            <v>D</v>
          </cell>
          <cell r="M1311" t="str">
            <v>09000221</v>
          </cell>
          <cell r="N1311">
            <v>100</v>
          </cell>
          <cell r="P1311" t="str">
            <v>Flat No. 202 2Nd Floor Block 18 Bismillah Tower Gulistan-E-Johar Karachi</v>
          </cell>
          <cell r="Q1311" t="str">
            <v>11000003</v>
          </cell>
          <cell r="R1311" t="str">
            <v>KIA PICANTO 1.0L A/T</v>
          </cell>
          <cell r="S1311" t="str">
            <v>2020</v>
          </cell>
          <cell r="T1311" t="str">
            <v>BST-376</v>
          </cell>
          <cell r="U1311" t="str">
            <v>055479</v>
          </cell>
          <cell r="V1311" t="str">
            <v>702714</v>
          </cell>
          <cell r="W1311" t="str">
            <v>05-apr-2028</v>
          </cell>
          <cell r="Y1311">
            <v>2159000</v>
          </cell>
          <cell r="Z1311">
            <v>37224</v>
          </cell>
          <cell r="AA1311">
            <v>43180</v>
          </cell>
        </row>
        <row r="1312">
          <cell r="B1312" t="str">
            <v>KHI/HO/D/MO/PC COMP/C/108043/43/03/2025</v>
          </cell>
          <cell r="D1312" t="str">
            <v>REN</v>
          </cell>
          <cell r="E1312" t="str">
            <v>13/03/25</v>
          </cell>
          <cell r="F1312" t="str">
            <v>16/03/2025</v>
          </cell>
          <cell r="G1312" t="str">
            <v>15/03/2026</v>
          </cell>
          <cell r="H1312" t="str">
            <v>08004499</v>
          </cell>
          <cell r="I1312" t="str">
            <v>AL BARAKA BANK (PAKISTAN) LIMITED</v>
          </cell>
          <cell r="J1312" t="str">
            <v>BANK</v>
          </cell>
          <cell r="K1312" t="str">
            <v>M/s. Al Baraka Bank (Pakistan) Limited 
M/S. Al Baraka Bank (Pakistan) Limited 
User: Karim  Rafiq</v>
          </cell>
          <cell r="L1312" t="str">
            <v>D</v>
          </cell>
          <cell r="M1312" t="str">
            <v>09000221</v>
          </cell>
          <cell r="N1312">
            <v>100</v>
          </cell>
          <cell r="P1312" t="str">
            <v>Flat No 2/6 Tower 3B Phase Vi Navy Housing Scheme Shahrah E Faisal Karachi</v>
          </cell>
          <cell r="Q1312" t="str">
            <v>11000003</v>
          </cell>
          <cell r="R1312" t="str">
            <v>HONDA CIVIC VTI PT ORIEL</v>
          </cell>
          <cell r="S1312" t="str">
            <v>2022</v>
          </cell>
          <cell r="T1312" t="str">
            <v>BZN-999</v>
          </cell>
          <cell r="U1312" t="str">
            <v>7910949</v>
          </cell>
          <cell r="V1312" t="str">
            <v>R 000938</v>
          </cell>
          <cell r="W1312" t="str">
            <v>06-apr-2026</v>
          </cell>
          <cell r="Y1312">
            <v>7055000</v>
          </cell>
          <cell r="Z1312">
            <v>91229</v>
          </cell>
          <cell r="AA1312">
            <v>105825</v>
          </cell>
        </row>
        <row r="1313">
          <cell r="B1313" t="str">
            <v>KHI/HO/D/MO/PC COMP/C/108043/44/03/2025</v>
          </cell>
          <cell r="D1313" t="str">
            <v>REN</v>
          </cell>
          <cell r="E1313" t="str">
            <v>13/03/25</v>
          </cell>
          <cell r="F1313" t="str">
            <v>20/03/2025</v>
          </cell>
          <cell r="G1313" t="str">
            <v>19/03/2026</v>
          </cell>
          <cell r="H1313" t="str">
            <v>08004499</v>
          </cell>
          <cell r="I1313" t="str">
            <v>AL BARAKA BANK (PAKISTAN) LIMITED</v>
          </cell>
          <cell r="J1313" t="str">
            <v>BANK</v>
          </cell>
          <cell r="K1313" t="str">
            <v>M/s. Al Baraka Bank (Pakistan) Limited 
M/S. Al Baraka Bank (Pakistan) Limited 
User: Muhammad Abu  Bakar</v>
          </cell>
          <cell r="L1313" t="str">
            <v>D</v>
          </cell>
          <cell r="M1313" t="str">
            <v>09000221</v>
          </cell>
          <cell r="N1313">
            <v>100</v>
          </cell>
          <cell r="P1313" t="str">
            <v>H No 3 St 1 Hajaman Shariqpur Sharif Ferozwala Sheikhpura</v>
          </cell>
          <cell r="Q1313" t="str">
            <v>11000003</v>
          </cell>
          <cell r="R1313" t="str">
            <v>HONDA CITY</v>
          </cell>
          <cell r="S1313" t="str">
            <v>2020</v>
          </cell>
          <cell r="T1313" t="str">
            <v>LEA-20-8402</v>
          </cell>
          <cell r="U1313" t="str">
            <v>Z17537977</v>
          </cell>
          <cell r="V1313" t="str">
            <v>LR259354</v>
          </cell>
          <cell r="W1313" t="str">
            <v>06-apr-2026</v>
          </cell>
          <cell r="Y1313">
            <v>2890000</v>
          </cell>
          <cell r="Z1313">
            <v>49828</v>
          </cell>
          <cell r="AA1313">
            <v>57800</v>
          </cell>
        </row>
        <row r="1314">
          <cell r="B1314" t="str">
            <v>KHI/HO/D/MO/PC COMP/C/108043/45/03/2025</v>
          </cell>
          <cell r="D1314" t="str">
            <v>REN</v>
          </cell>
          <cell r="E1314" t="str">
            <v>13/03/25</v>
          </cell>
          <cell r="F1314" t="str">
            <v>22/03/2025</v>
          </cell>
          <cell r="G1314" t="str">
            <v>21/03/2026</v>
          </cell>
          <cell r="H1314" t="str">
            <v>08004499</v>
          </cell>
          <cell r="I1314" t="str">
            <v>AL BARAKA BANK (PAKISTAN) LIMITED</v>
          </cell>
          <cell r="J1314" t="str">
            <v>BANK</v>
          </cell>
          <cell r="K1314" t="str">
            <v>M/s. Al Baraka Bank (Pakistan) Limited 
M/S. Al Baraka Bank (Pakistan) Limited 
User: Muhammad Zia U Din</v>
          </cell>
          <cell r="L1314" t="str">
            <v>D</v>
          </cell>
          <cell r="M1314" t="str">
            <v>09000221</v>
          </cell>
          <cell r="N1314">
            <v>100</v>
          </cell>
          <cell r="P1314" t="str">
            <v>St No 05 New Green Town Near Gole Masjid Millat Road Faisalabad</v>
          </cell>
          <cell r="Q1314" t="str">
            <v>11000003</v>
          </cell>
          <cell r="R1314" t="str">
            <v>TOYOTA COROLLA ALTIS</v>
          </cell>
          <cell r="S1314" t="str">
            <v>2023</v>
          </cell>
          <cell r="T1314" t="str">
            <v>BBW-864</v>
          </cell>
          <cell r="U1314" t="str">
            <v>Q104158</v>
          </cell>
          <cell r="V1314" t="str">
            <v>6081654</v>
          </cell>
          <cell r="W1314" t="str">
            <v>06-apr-2026</v>
          </cell>
          <cell r="Y1314">
            <v>4987916.45</v>
          </cell>
          <cell r="Z1314">
            <v>64499</v>
          </cell>
          <cell r="AA1314">
            <v>74819</v>
          </cell>
        </row>
        <row r="1315">
          <cell r="B1315" t="str">
            <v>KHI/HO/D/MO/PC COMP/C/108043/46/03/2025</v>
          </cell>
          <cell r="D1315" t="str">
            <v>REN</v>
          </cell>
          <cell r="E1315" t="str">
            <v>13/03/25</v>
          </cell>
          <cell r="F1315" t="str">
            <v>27/03/2025</v>
          </cell>
          <cell r="G1315" t="str">
            <v>26/03/2026</v>
          </cell>
          <cell r="H1315" t="str">
            <v>08004499</v>
          </cell>
          <cell r="I1315" t="str">
            <v>AL BARAKA BANK (PAKISTAN) LIMITED</v>
          </cell>
          <cell r="J1315" t="str">
            <v>BANK</v>
          </cell>
          <cell r="K1315" t="str">
            <v>M/s. Al Baraka Bank (Pakistan) Limited 
M/S. Al Baraka Bank (Pakistan) Limited 
User: Ali  Muhammad</v>
          </cell>
          <cell r="L1315" t="str">
            <v>D</v>
          </cell>
          <cell r="M1315" t="str">
            <v>09000221</v>
          </cell>
          <cell r="N1315">
            <v>100</v>
          </cell>
          <cell r="P1315" t="str">
            <v>Leftside 2Nd House Masjid Farooq E Azam Street Baabra Wah Cantt</v>
          </cell>
          <cell r="Q1315" t="str">
            <v>11000003</v>
          </cell>
          <cell r="R1315" t="str">
            <v>SUZUKI MEHRAN VXR</v>
          </cell>
          <cell r="S1315" t="str">
            <v>2018</v>
          </cell>
          <cell r="T1315" t="str">
            <v>AMA-710</v>
          </cell>
          <cell r="U1315" t="str">
            <v>752295</v>
          </cell>
          <cell r="V1315" t="str">
            <v>01290721</v>
          </cell>
          <cell r="W1315" t="str">
            <v>05-apr-2028</v>
          </cell>
          <cell r="Y1315">
            <v>1020000</v>
          </cell>
          <cell r="Z1315">
            <v>17586</v>
          </cell>
          <cell r="AA1315">
            <v>20400</v>
          </cell>
        </row>
        <row r="1316">
          <cell r="B1316" t="str">
            <v>KHI/HO/D/MO/PC COMP/C/108043/47/03/2025</v>
          </cell>
          <cell r="D1316" t="str">
            <v>REN</v>
          </cell>
          <cell r="E1316" t="str">
            <v>13/03/25</v>
          </cell>
          <cell r="F1316" t="str">
            <v>28/03/2025</v>
          </cell>
          <cell r="G1316" t="str">
            <v>27/03/2026</v>
          </cell>
          <cell r="H1316" t="str">
            <v>08004499</v>
          </cell>
          <cell r="I1316" t="str">
            <v>AL BARAKA BANK (PAKISTAN) LIMITED</v>
          </cell>
          <cell r="J1316" t="str">
            <v>BANK</v>
          </cell>
          <cell r="K1316" t="str">
            <v>M/s. Al Baraka Bank (Pakistan) Limited 
M/S. Al Baraka Bank (Pakistan) Limited 
User: Majid  Ali</v>
          </cell>
          <cell r="L1316" t="str">
            <v>D</v>
          </cell>
          <cell r="M1316" t="str">
            <v>09000221</v>
          </cell>
          <cell r="N1316">
            <v>100</v>
          </cell>
          <cell r="P1316" t="str">
            <v>Near Govt High School Town Street No 2 Moh Abdullah Basti Depalpur District Okara</v>
          </cell>
          <cell r="Q1316" t="str">
            <v>11000003</v>
          </cell>
          <cell r="R1316" t="str">
            <v>SUZUKI ALTO VXR</v>
          </cell>
          <cell r="S1316" t="str">
            <v>2022</v>
          </cell>
          <cell r="T1316" t="str">
            <v>AKF-021</v>
          </cell>
          <cell r="U1316" t="str">
            <v>6R216713</v>
          </cell>
          <cell r="V1316" t="str">
            <v>6H1116725</v>
          </cell>
          <cell r="W1316" t="str">
            <v>05-apr-2028</v>
          </cell>
          <cell r="Y1316">
            <v>1912500</v>
          </cell>
          <cell r="Z1316">
            <v>32974</v>
          </cell>
          <cell r="AA1316">
            <v>38250</v>
          </cell>
        </row>
        <row r="1317">
          <cell r="B1317" t="str">
            <v>KHI/HO/D/MO/PC COMP/C/108043/48/03/2025</v>
          </cell>
          <cell r="D1317" t="str">
            <v>REN</v>
          </cell>
          <cell r="E1317" t="str">
            <v>13/03/25</v>
          </cell>
          <cell r="F1317" t="str">
            <v>06/03/2025</v>
          </cell>
          <cell r="G1317" t="str">
            <v>05/03/2026</v>
          </cell>
          <cell r="H1317" t="str">
            <v>08004499</v>
          </cell>
          <cell r="I1317" t="str">
            <v>AL BARAKA BANK (PAKISTAN) LIMITED</v>
          </cell>
          <cell r="J1317" t="str">
            <v>BANK</v>
          </cell>
          <cell r="K1317" t="str">
            <v>M/s. Al Baraka Bank (Pakistan) Limited 
M/S. Al Baraka Bank (Pakistan) Limited 
User: Hafiz Sajjad Mahmood</v>
          </cell>
          <cell r="L1317" t="str">
            <v>D</v>
          </cell>
          <cell r="M1317" t="str">
            <v>09000221</v>
          </cell>
          <cell r="N1317">
            <v>100</v>
          </cell>
          <cell r="P1317" t="str">
            <v>Dolay Wala Tehsil &amp;amp; District Lasur</v>
          </cell>
          <cell r="Q1317" t="str">
            <v>11000003</v>
          </cell>
          <cell r="R1317" t="str">
            <v>SUZUKI ALTO</v>
          </cell>
          <cell r="S1317" t="str">
            <v>2023</v>
          </cell>
          <cell r="T1317" t="str">
            <v>APL-199</v>
          </cell>
          <cell r="U1317" t="str">
            <v>6R269622</v>
          </cell>
          <cell r="V1317" t="str">
            <v>1169640</v>
          </cell>
          <cell r="W1317" t="str">
            <v>05-apr-2028</v>
          </cell>
          <cell r="Y1317">
            <v>1679600</v>
          </cell>
          <cell r="Z1317">
            <v>28958</v>
          </cell>
          <cell r="AA1317">
            <v>33592</v>
          </cell>
        </row>
        <row r="1318">
          <cell r="B1318" t="str">
            <v>KHI/HO/D/MO/PC COMP/C/108043/49/03/2025</v>
          </cell>
          <cell r="D1318" t="str">
            <v>REN</v>
          </cell>
          <cell r="E1318" t="str">
            <v>13/03/25</v>
          </cell>
          <cell r="F1318" t="str">
            <v>31/03/2025</v>
          </cell>
          <cell r="G1318" t="str">
            <v>30/03/2026</v>
          </cell>
          <cell r="H1318" t="str">
            <v>08004499</v>
          </cell>
          <cell r="I1318" t="str">
            <v>AL BARAKA BANK (PAKISTAN) LIMITED</v>
          </cell>
          <cell r="J1318" t="str">
            <v>BANK</v>
          </cell>
          <cell r="K1318" t="str">
            <v>M/s. Al Baraka Bank (Pakistan) Limited 
M/S. Al Baraka Bank (Pakistan) Limited 
User: Salah  Ud Din</v>
          </cell>
          <cell r="L1318" t="str">
            <v>D</v>
          </cell>
          <cell r="M1318" t="str">
            <v>09000221</v>
          </cell>
          <cell r="N1318">
            <v>100</v>
          </cell>
          <cell r="P1318" t="str">
            <v>H # 171 Lda Street 2 Railway Power Housing Mughalpura Lahore</v>
          </cell>
          <cell r="Q1318" t="str">
            <v>11000003</v>
          </cell>
          <cell r="R1318" t="str">
            <v>SUZUKI WAGON-R VXL E2</v>
          </cell>
          <cell r="S1318" t="str">
            <v>2021</v>
          </cell>
          <cell r="T1318" t="str">
            <v>AFG-453</v>
          </cell>
          <cell r="U1318" t="str">
            <v>B219212</v>
          </cell>
          <cell r="V1318" t="str">
            <v>PK10119190</v>
          </cell>
          <cell r="W1318" t="str">
            <v>05-apr-2028</v>
          </cell>
          <cell r="Y1318">
            <v>2295000</v>
          </cell>
          <cell r="Z1318">
            <v>39569</v>
          </cell>
          <cell r="AA1318">
            <v>45900</v>
          </cell>
        </row>
        <row r="1319">
          <cell r="B1319" t="str">
            <v>KHI/HO/D/MO/PC COMP/C/108043/50/03/2025</v>
          </cell>
          <cell r="D1319" t="str">
            <v>REN</v>
          </cell>
          <cell r="E1319" t="str">
            <v>13/03/25</v>
          </cell>
          <cell r="F1319" t="str">
            <v>31/03/2025</v>
          </cell>
          <cell r="G1319" t="str">
            <v>30/03/2026</v>
          </cell>
          <cell r="H1319" t="str">
            <v>08004499</v>
          </cell>
          <cell r="I1319" t="str">
            <v>AL BARAKA BANK (PAKISTAN) LIMITED</v>
          </cell>
          <cell r="J1319" t="str">
            <v>BANK</v>
          </cell>
          <cell r="K1319" t="str">
            <v>M/s. Al Baraka Bank (Pakistan) Limited 
M/S. Al Baraka Bank (Pakistan) Limited 
User: Rashid  Umar</v>
          </cell>
          <cell r="L1319" t="str">
            <v>D</v>
          </cell>
          <cell r="M1319" t="str">
            <v>09000221</v>
          </cell>
          <cell r="N1319">
            <v>100</v>
          </cell>
          <cell r="P1319" t="str">
            <v>H # 176 R Block Model Town Lahore</v>
          </cell>
          <cell r="Q1319" t="str">
            <v>11000003</v>
          </cell>
          <cell r="R1319" t="str">
            <v>HONDA CITY I-VTEC (M/T)</v>
          </cell>
          <cell r="S1319" t="str">
            <v>2016</v>
          </cell>
          <cell r="T1319" t="str">
            <v>LED-16-2296</v>
          </cell>
          <cell r="U1319" t="str">
            <v>Z17445049</v>
          </cell>
          <cell r="V1319" t="str">
            <v>GR185831</v>
          </cell>
          <cell r="W1319" t="str">
            <v>06-apr-2026</v>
          </cell>
          <cell r="Y1319">
            <v>2465000</v>
          </cell>
          <cell r="Z1319">
            <v>42500</v>
          </cell>
          <cell r="AA1319">
            <v>49300</v>
          </cell>
        </row>
        <row r="1320">
          <cell r="B1320" t="str">
            <v>KHI/HO/D/MO/PC COMP/C/108043/51/03/2025</v>
          </cell>
          <cell r="D1320" t="str">
            <v>REN</v>
          </cell>
          <cell r="E1320" t="str">
            <v>13/03/25</v>
          </cell>
          <cell r="F1320" t="str">
            <v>31/03/2025</v>
          </cell>
          <cell r="G1320" t="str">
            <v>30/03/2026</v>
          </cell>
          <cell r="H1320" t="str">
            <v>08004499</v>
          </cell>
          <cell r="I1320" t="str">
            <v>AL BARAKA BANK (PAKISTAN) LIMITED</v>
          </cell>
          <cell r="J1320" t="str">
            <v>BANK</v>
          </cell>
          <cell r="K1320" t="str">
            <v>M/s. Al Baraka Bank (Pakistan) Limited 
M/S. Al Baraka Bank (Pakistan) Limited 
User: Fawad  Jan</v>
          </cell>
          <cell r="L1320" t="str">
            <v>D</v>
          </cell>
          <cell r="M1320" t="str">
            <v>09000221</v>
          </cell>
          <cell r="N1320">
            <v>100</v>
          </cell>
          <cell r="P1320" t="str">
            <v>H No 137/4-117 Street No 17 - H Agra Taj Colony  Karachi</v>
          </cell>
          <cell r="Q1320" t="str">
            <v>11000003</v>
          </cell>
          <cell r="R1320" t="str">
            <v>TOYOTA YARIS GLI MT</v>
          </cell>
          <cell r="S1320" t="str">
            <v>2020</v>
          </cell>
          <cell r="T1320" t="str">
            <v>BVD-899</v>
          </cell>
          <cell r="U1320" t="str">
            <v>2A05142</v>
          </cell>
          <cell r="V1320" t="str">
            <v>7002717</v>
          </cell>
          <cell r="W1320" t="str">
            <v>06-apr-2026</v>
          </cell>
          <cell r="Y1320">
            <v>3442500</v>
          </cell>
          <cell r="Z1320">
            <v>44516</v>
          </cell>
          <cell r="AA1320">
            <v>51638</v>
          </cell>
        </row>
        <row r="1321">
          <cell r="B1321" t="str">
            <v>KHI/HO/D/MO/PC COMP/C/108043/52/03/2025</v>
          </cell>
          <cell r="D1321" t="str">
            <v>REN</v>
          </cell>
          <cell r="E1321" t="str">
            <v>13/03/25</v>
          </cell>
          <cell r="F1321" t="str">
            <v>31/03/2025</v>
          </cell>
          <cell r="G1321" t="str">
            <v>30/03/2026</v>
          </cell>
          <cell r="H1321" t="str">
            <v>08004499</v>
          </cell>
          <cell r="I1321" t="str">
            <v>AL BARAKA BANK (PAKISTAN) LIMITED</v>
          </cell>
          <cell r="J1321" t="str">
            <v>BANK</v>
          </cell>
          <cell r="K1321" t="str">
            <v>M/s. Al Baraka Bank (Pakistan) Limited 
M/S. Al Baraka Bank (Pakistan) Limited 
User: Anas  Tariq  Shamsi</v>
          </cell>
          <cell r="L1321" t="str">
            <v>D</v>
          </cell>
          <cell r="M1321" t="str">
            <v>09000221</v>
          </cell>
          <cell r="N1321">
            <v>100</v>
          </cell>
          <cell r="P1321" t="str">
            <v>Hno 112-B St No 03 Nfc Society Lahore</v>
          </cell>
          <cell r="Q1321" t="str">
            <v>11000003</v>
          </cell>
          <cell r="R1321" t="str">
            <v>KIA STONIC EX PLUS 1.368</v>
          </cell>
          <cell r="S1321" t="str">
            <v>2022</v>
          </cell>
          <cell r="T1321" t="str">
            <v>AJE-112</v>
          </cell>
          <cell r="U1321" t="str">
            <v>808543</v>
          </cell>
          <cell r="V1321" t="str">
            <v>700842</v>
          </cell>
          <cell r="W1321" t="str">
            <v>06-apr-2026</v>
          </cell>
          <cell r="Y1321">
            <v>4675000</v>
          </cell>
          <cell r="Z1321">
            <v>60452</v>
          </cell>
          <cell r="AA1321">
            <v>70125</v>
          </cell>
        </row>
        <row r="1322">
          <cell r="B1322" t="str">
            <v>KHI/HO/D/MO/PC COMP/C/108043/53/03/2025</v>
          </cell>
          <cell r="D1322" t="str">
            <v>REN</v>
          </cell>
          <cell r="E1322" t="str">
            <v>13/03/25</v>
          </cell>
          <cell r="F1322" t="str">
            <v>31/03/2025</v>
          </cell>
          <cell r="G1322" t="str">
            <v>30/03/2026</v>
          </cell>
          <cell r="H1322" t="str">
            <v>08004499</v>
          </cell>
          <cell r="I1322" t="str">
            <v>AL BARAKA BANK (PAKISTAN) LIMITED</v>
          </cell>
          <cell r="J1322" t="str">
            <v>BANK</v>
          </cell>
          <cell r="K1322" t="str">
            <v>M/s. Al Baraka Bank (Pakistan) Limited 
M/S. Al Baraka Bank (Pakistan) Limited 
User: Basit  Ali</v>
          </cell>
          <cell r="L1322" t="str">
            <v>D</v>
          </cell>
          <cell r="M1322" t="str">
            <v>09000221</v>
          </cell>
          <cell r="N1322">
            <v>100</v>
          </cell>
          <cell r="P1322" t="str">
            <v>H # 11/1 V Phase 2 Dha Lahore</v>
          </cell>
          <cell r="Q1322" t="str">
            <v>11000003</v>
          </cell>
          <cell r="R1322" t="str">
            <v>HONDA CIVIC VTI ORIEL I-V</v>
          </cell>
          <cell r="S1322" t="str">
            <v>2018</v>
          </cell>
          <cell r="T1322" t="str">
            <v>LEA-18A-41</v>
          </cell>
          <cell r="U1322" t="str">
            <v>937036</v>
          </cell>
          <cell r="V1322" t="str">
            <v>JR040461</v>
          </cell>
          <cell r="W1322" t="str">
            <v>06-apr-2026</v>
          </cell>
          <cell r="Y1322">
            <v>3825000</v>
          </cell>
          <cell r="Z1322">
            <v>49461</v>
          </cell>
          <cell r="AA1322">
            <v>57375</v>
          </cell>
        </row>
        <row r="1323">
          <cell r="B1323" t="str">
            <v>KHI/HO/D/MO/PC COMP/C/108043/54/03/2025</v>
          </cell>
          <cell r="D1323" t="str">
            <v>REN</v>
          </cell>
          <cell r="E1323" t="str">
            <v>13/03/25</v>
          </cell>
          <cell r="F1323" t="str">
            <v>31/03/2025</v>
          </cell>
          <cell r="G1323" t="str">
            <v>30/03/2026</v>
          </cell>
          <cell r="H1323" t="str">
            <v>08004499</v>
          </cell>
          <cell r="I1323" t="str">
            <v>AL BARAKA BANK (PAKISTAN) LIMITED</v>
          </cell>
          <cell r="J1323" t="str">
            <v>BANK</v>
          </cell>
          <cell r="K1323" t="str">
            <v>M/s. Al Baraka Bank (Pakistan) Limited 
M/S. Al Baraka Bank (Pakistan) Limited 
User: Nadeem  Akhtar</v>
          </cell>
          <cell r="L1323" t="str">
            <v>D</v>
          </cell>
          <cell r="M1323" t="str">
            <v>09000221</v>
          </cell>
          <cell r="N1323">
            <v>100</v>
          </cell>
          <cell r="P1323" t="str">
            <v>H No 46 Block C T&amp;amp;T Abpara Society Raiwind Road Lahore</v>
          </cell>
          <cell r="Q1323" t="str">
            <v>11000003</v>
          </cell>
          <cell r="R1323" t="str">
            <v>SUZUKI WAGON R VXL</v>
          </cell>
          <cell r="S1323" t="str">
            <v>2017</v>
          </cell>
          <cell r="T1323" t="str">
            <v>LEA-18-2286</v>
          </cell>
          <cell r="U1323" t="str">
            <v>B147063</v>
          </cell>
          <cell r="V1323" t="str">
            <v>PK10047060</v>
          </cell>
          <cell r="W1323" t="str">
            <v>05-apr-2028</v>
          </cell>
          <cell r="Y1323">
            <v>1445000</v>
          </cell>
          <cell r="Z1323">
            <v>24914</v>
          </cell>
          <cell r="AA1323">
            <v>28900</v>
          </cell>
        </row>
        <row r="1324">
          <cell r="B1324" t="str">
            <v>KHI/HO/D/MO/PC COMP/C/108043/55/03/2025</v>
          </cell>
          <cell r="D1324" t="str">
            <v>REN</v>
          </cell>
          <cell r="E1324" t="str">
            <v>13/03/25</v>
          </cell>
          <cell r="F1324" t="str">
            <v>31/03/2025</v>
          </cell>
          <cell r="G1324" t="str">
            <v>30/03/2026</v>
          </cell>
          <cell r="H1324" t="str">
            <v>08004499</v>
          </cell>
          <cell r="I1324" t="str">
            <v>AL BARAKA BANK (PAKISTAN) LIMITED</v>
          </cell>
          <cell r="J1324" t="str">
            <v>BANK</v>
          </cell>
          <cell r="K1324" t="str">
            <v>M/s. Al Baraka Bank (Pakistan) Limited 
M/S. Al Baraka Bank (Pakistan) Limited 
User: Tahir Ahmed Abid</v>
          </cell>
          <cell r="L1324" t="str">
            <v>D</v>
          </cell>
          <cell r="M1324" t="str">
            <v>09000221</v>
          </cell>
          <cell r="N1324">
            <v>100</v>
          </cell>
          <cell r="P1324" t="str">
            <v>H No 15 Block D Al Haram Garden Housing Scheme Lahore</v>
          </cell>
          <cell r="Q1324" t="str">
            <v>11000003</v>
          </cell>
          <cell r="R1324" t="str">
            <v>SUZUKI ALTO</v>
          </cell>
          <cell r="S1324" t="str">
            <v>2022</v>
          </cell>
          <cell r="T1324" t="str">
            <v>AKZ-593</v>
          </cell>
          <cell r="U1324" t="str">
            <v>6R238144</v>
          </cell>
          <cell r="V1324" t="str">
            <v>6H1138146</v>
          </cell>
          <cell r="W1324" t="str">
            <v>05-apr-2028</v>
          </cell>
          <cell r="Y1324">
            <v>2061250</v>
          </cell>
          <cell r="Z1324">
            <v>35539</v>
          </cell>
          <cell r="AA1324">
            <v>41225</v>
          </cell>
        </row>
        <row r="1325">
          <cell r="B1325" t="str">
            <v>KHI/HO/D/MO/PC COMP/C/108043/56/03/2025</v>
          </cell>
          <cell r="D1325" t="str">
            <v>REN</v>
          </cell>
          <cell r="E1325" t="str">
            <v>13/03/25</v>
          </cell>
          <cell r="F1325" t="str">
            <v>31/03/2025</v>
          </cell>
          <cell r="G1325" t="str">
            <v>30/03/2026</v>
          </cell>
          <cell r="H1325" t="str">
            <v>08004499</v>
          </cell>
          <cell r="I1325" t="str">
            <v>AL BARAKA BANK (PAKISTAN) LIMITED</v>
          </cell>
          <cell r="J1325" t="str">
            <v>BANK</v>
          </cell>
          <cell r="K1325" t="str">
            <v>M/s. Al Baraka Bank (Pakistan) Limited 
M/S. Al Baraka Bank (Pakistan) Limited 
User: Zain Ul Abideen</v>
          </cell>
          <cell r="L1325" t="str">
            <v>D</v>
          </cell>
          <cell r="M1325" t="str">
            <v>09000221</v>
          </cell>
          <cell r="N1325">
            <v>100</v>
          </cell>
          <cell r="P1325" t="str">
            <v>H No 656 W St No 05 Ph 3 Dha Lahore</v>
          </cell>
          <cell r="Q1325" t="str">
            <v>11000003</v>
          </cell>
          <cell r="R1325" t="str">
            <v>HONDA CIVIC</v>
          </cell>
          <cell r="S1325" t="str">
            <v>2017</v>
          </cell>
          <cell r="T1325" t="str">
            <v>BJL-001</v>
          </cell>
          <cell r="U1325" t="str">
            <v>Z12912178</v>
          </cell>
          <cell r="V1325" t="str">
            <v>HR015388</v>
          </cell>
          <cell r="W1325" t="str">
            <v>05-apr-2027</v>
          </cell>
          <cell r="Y1325">
            <v>4250000</v>
          </cell>
          <cell r="Z1325">
            <v>54956</v>
          </cell>
          <cell r="AA1325">
            <v>63750</v>
          </cell>
        </row>
        <row r="1326">
          <cell r="B1326" t="str">
            <v>KHI/HO/D/MO/PC COMP/C/108043/57/03/2025</v>
          </cell>
          <cell r="D1326" t="str">
            <v>REN</v>
          </cell>
          <cell r="E1326" t="str">
            <v>13/03/25</v>
          </cell>
          <cell r="F1326" t="str">
            <v>07/03/2025</v>
          </cell>
          <cell r="G1326" t="str">
            <v>06/03/2026</v>
          </cell>
          <cell r="H1326" t="str">
            <v>08004499</v>
          </cell>
          <cell r="I1326" t="str">
            <v>AL BARAKA BANK (PAKISTAN) LIMITED</v>
          </cell>
          <cell r="J1326" t="str">
            <v>BANK</v>
          </cell>
          <cell r="K1326" t="str">
            <v>M/s. Al Baraka Bank (Pakistan) Limited 
M/S. Al Baraka Bank (Pakistan) Limited 
User: Umer  Shahzad</v>
          </cell>
          <cell r="L1326" t="str">
            <v>D</v>
          </cell>
          <cell r="M1326" t="str">
            <v>09000221</v>
          </cell>
          <cell r="N1326">
            <v>100</v>
          </cell>
          <cell r="P1326" t="str">
            <v>P-190 Royal Block Air Avenue City Jhang Road Faisalabad</v>
          </cell>
          <cell r="Q1326" t="str">
            <v>11000003</v>
          </cell>
          <cell r="R1326" t="str">
            <v>SUZUKI ALTO</v>
          </cell>
          <cell r="S1326" t="str">
            <v>2020</v>
          </cell>
          <cell r="T1326" t="str">
            <v>BSP-366</v>
          </cell>
          <cell r="U1326" t="str">
            <v>6R141614</v>
          </cell>
          <cell r="V1326" t="str">
            <v>NF1AET306H1041574</v>
          </cell>
          <cell r="W1326" t="str">
            <v>06-mar-2028</v>
          </cell>
          <cell r="Y1326">
            <v>1785000</v>
          </cell>
          <cell r="Z1326">
            <v>30776</v>
          </cell>
          <cell r="AA1326">
            <v>35700</v>
          </cell>
        </row>
        <row r="1327">
          <cell r="B1327" t="str">
            <v>KHI/HO/D/MO/PC COMP/C/108043/58/03/2025</v>
          </cell>
          <cell r="D1327" t="str">
            <v>REN</v>
          </cell>
          <cell r="E1327" t="str">
            <v>13/03/25</v>
          </cell>
          <cell r="F1327" t="str">
            <v>31/03/2025</v>
          </cell>
          <cell r="G1327" t="str">
            <v>30/03/2026</v>
          </cell>
          <cell r="H1327" t="str">
            <v>08004499</v>
          </cell>
          <cell r="I1327" t="str">
            <v>AL BARAKA BANK (PAKISTAN) LIMITED</v>
          </cell>
          <cell r="J1327" t="str">
            <v>BANK</v>
          </cell>
          <cell r="K1327" t="str">
            <v>M/s. Al Baraka Bank (Pakistan) Limited 
M/S. Al Baraka Bank (Pakistan) Limited 
User: Haseeb Ahmed   Mufti</v>
          </cell>
          <cell r="L1327" t="str">
            <v>D</v>
          </cell>
          <cell r="M1327" t="str">
            <v>09000221</v>
          </cell>
          <cell r="N1327">
            <v>100</v>
          </cell>
          <cell r="P1327" t="str">
            <v>H No 167 Sd Sector A Askari 11 Dha Phase 5 Lahore</v>
          </cell>
          <cell r="Q1327" t="str">
            <v>11000003</v>
          </cell>
          <cell r="R1327" t="str">
            <v>TOYOTA YARIS ATIV X CVT</v>
          </cell>
          <cell r="S1327" t="str">
            <v>2021</v>
          </cell>
          <cell r="T1327" t="str">
            <v>AKX-746</v>
          </cell>
          <cell r="U1327" t="str">
            <v>2A31701</v>
          </cell>
          <cell r="V1327" t="str">
            <v>9512131</v>
          </cell>
          <cell r="W1327" t="str">
            <v>06-apr-2026</v>
          </cell>
          <cell r="Y1327">
            <v>3825000</v>
          </cell>
          <cell r="Z1327">
            <v>49461</v>
          </cell>
          <cell r="AA1327">
            <v>57375</v>
          </cell>
        </row>
        <row r="1328">
          <cell r="B1328" t="str">
            <v>KHI/HO/D/MO/PC COMP/C/108043/59/03/2025</v>
          </cell>
          <cell r="D1328" t="str">
            <v>REN</v>
          </cell>
          <cell r="E1328" t="str">
            <v>13/03/25</v>
          </cell>
          <cell r="F1328" t="str">
            <v>31/03/2025</v>
          </cell>
          <cell r="G1328" t="str">
            <v>30/03/2026</v>
          </cell>
          <cell r="H1328" t="str">
            <v>08004499</v>
          </cell>
          <cell r="I1328" t="str">
            <v>AL BARAKA BANK (PAKISTAN) LIMITED</v>
          </cell>
          <cell r="J1328" t="str">
            <v>BANK</v>
          </cell>
          <cell r="K1328" t="str">
            <v>M/s. Al Baraka Bank (Pakistan) Limited 
M/S. Al Baraka Bank (Pakistan) Limited 
User: Muhammad Waseem Saqib</v>
          </cell>
          <cell r="L1328" t="str">
            <v>D</v>
          </cell>
          <cell r="M1328" t="str">
            <v>09000221</v>
          </cell>
          <cell r="N1328">
            <v>100</v>
          </cell>
          <cell r="P1328" t="str">
            <v>H No 3 42/6 Main Qazafi St Mustafabad Dharampura Lahore</v>
          </cell>
          <cell r="Q1328" t="str">
            <v>11000003</v>
          </cell>
          <cell r="R1328" t="str">
            <v>SUZUKI ALTO</v>
          </cell>
          <cell r="S1328" t="str">
            <v>2021</v>
          </cell>
          <cell r="T1328" t="str">
            <v>AFC-906</v>
          </cell>
          <cell r="U1328" t="str">
            <v>6R186198</v>
          </cell>
          <cell r="V1328" t="str">
            <v>1086199</v>
          </cell>
          <cell r="W1328" t="str">
            <v>05-apr-2028</v>
          </cell>
          <cell r="Y1328">
            <v>1700000</v>
          </cell>
          <cell r="Z1328">
            <v>29310</v>
          </cell>
          <cell r="AA1328">
            <v>34000</v>
          </cell>
        </row>
        <row r="1329">
          <cell r="B1329" t="str">
            <v>KHI/HO/D/MO/PC COMP/C/108043/60/03/2025</v>
          </cell>
          <cell r="D1329" t="str">
            <v>REN</v>
          </cell>
          <cell r="E1329" t="str">
            <v>13/03/25</v>
          </cell>
          <cell r="F1329" t="str">
            <v>09/03/2025</v>
          </cell>
          <cell r="G1329" t="str">
            <v>08/03/2026</v>
          </cell>
          <cell r="H1329" t="str">
            <v>08004499</v>
          </cell>
          <cell r="I1329" t="str">
            <v>AL BARAKA BANK (PAKISTAN) LIMITED</v>
          </cell>
          <cell r="J1329" t="str">
            <v>BANK</v>
          </cell>
          <cell r="K1329" t="str">
            <v>M/s. Al Baraka Bank (Pakistan) Limited 
M/S. Al Baraka Bank (Pakistan) Limited 
User: Mian Babar Hasnain</v>
          </cell>
          <cell r="L1329" t="str">
            <v>D</v>
          </cell>
          <cell r="M1329" t="str">
            <v>09000221</v>
          </cell>
          <cell r="N1329">
            <v>100</v>
          </cell>
          <cell r="P1329" t="str">
            <v>H No 109 Lda St No 01 Mohalla Mandir Bhagat Ram Lahore</v>
          </cell>
          <cell r="Q1329" t="str">
            <v>11000003</v>
          </cell>
          <cell r="R1329" t="str">
            <v>SUZUKI WAGON R VXL</v>
          </cell>
          <cell r="S1329" t="str">
            <v>2018</v>
          </cell>
          <cell r="T1329" t="str">
            <v>LEH-18-3087</v>
          </cell>
          <cell r="U1329" t="str">
            <v>B162990</v>
          </cell>
          <cell r="V1329" t="str">
            <v>10062900</v>
          </cell>
          <cell r="W1329" t="str">
            <v>06-mar-2028</v>
          </cell>
          <cell r="Y1329">
            <v>1785000</v>
          </cell>
          <cell r="Z1329">
            <v>30776</v>
          </cell>
          <cell r="AA1329">
            <v>35700</v>
          </cell>
        </row>
        <row r="1330">
          <cell r="B1330" t="str">
            <v>KHI/HO/D/MO/PC COMP/C/108043/61/03/2025</v>
          </cell>
          <cell r="D1330" t="str">
            <v>REN</v>
          </cell>
          <cell r="E1330" t="str">
            <v>13/03/25</v>
          </cell>
          <cell r="F1330" t="str">
            <v>09/03/2025</v>
          </cell>
          <cell r="G1330" t="str">
            <v>08/03/2026</v>
          </cell>
          <cell r="H1330" t="str">
            <v>08004499</v>
          </cell>
          <cell r="I1330" t="str">
            <v>AL BARAKA BANK (PAKISTAN) LIMITED</v>
          </cell>
          <cell r="J1330" t="str">
            <v>BANK</v>
          </cell>
          <cell r="K1330" t="str">
            <v>M/s. Al Baraka Bank (Pakistan) Limited 
M/S. Al Baraka Bank (Pakistan) Limited 
User: Naeem  Qaswar</v>
          </cell>
          <cell r="L1330" t="str">
            <v>D</v>
          </cell>
          <cell r="M1330" t="str">
            <v>09000221</v>
          </cell>
          <cell r="N1330">
            <v>100</v>
          </cell>
          <cell r="P1330" t="str">
            <v>H No 209 Q Block Sabzazar Scheme Lahore</v>
          </cell>
          <cell r="Q1330" t="str">
            <v>11000003</v>
          </cell>
          <cell r="R1330" t="str">
            <v>TOYOTA COROLLA GLI</v>
          </cell>
          <cell r="S1330" t="str">
            <v>2015</v>
          </cell>
          <cell r="T1330" t="str">
            <v>LEH-15-3227</v>
          </cell>
          <cell r="U1330" t="str">
            <v>Q027018</v>
          </cell>
          <cell r="V1330" t="str">
            <v>6004502</v>
          </cell>
          <cell r="W1330" t="str">
            <v>06-apr-2026</v>
          </cell>
          <cell r="Y1330">
            <v>2550000</v>
          </cell>
          <cell r="Z1330">
            <v>43965</v>
          </cell>
          <cell r="AA1330">
            <v>51000</v>
          </cell>
        </row>
        <row r="1331">
          <cell r="B1331" t="str">
            <v>KHI/HO/D/MO/PC COMP/C/108043/62/03/2025</v>
          </cell>
          <cell r="D1331" t="str">
            <v>REN</v>
          </cell>
          <cell r="E1331" t="str">
            <v>13/03/25</v>
          </cell>
          <cell r="F1331" t="str">
            <v>10/03/2025</v>
          </cell>
          <cell r="G1331" t="str">
            <v>09/03/2026</v>
          </cell>
          <cell r="H1331" t="str">
            <v>08004499</v>
          </cell>
          <cell r="I1331" t="str">
            <v>AL BARAKA BANK (PAKISTAN) LIMITED</v>
          </cell>
          <cell r="J1331" t="str">
            <v>BANK</v>
          </cell>
          <cell r="K1331" t="str">
            <v>M/s. Al Baraka Bank (Pakistan) Limited 
M/S. Al Baraka Bank (Pakistan) Limited 
User: Daniyal  Mahroze</v>
          </cell>
          <cell r="L1331" t="str">
            <v>D</v>
          </cell>
          <cell r="M1331" t="str">
            <v>09000221</v>
          </cell>
          <cell r="N1331">
            <v>100</v>
          </cell>
          <cell r="P1331" t="str">
            <v>H No 2224/Xxiv Main Street Razia Iqbal Medical Center Behind Mall Of Multan Shalimar Co</v>
          </cell>
          <cell r="Q1331" t="str">
            <v>11000003</v>
          </cell>
          <cell r="R1331" t="str">
            <v>HONDA CIVIC</v>
          </cell>
          <cell r="S1331" t="str">
            <v>2016</v>
          </cell>
          <cell r="T1331" t="str">
            <v>ACK-787</v>
          </cell>
          <cell r="U1331" t="str">
            <v>904651</v>
          </cell>
          <cell r="V1331" t="str">
            <v>ROO6569</v>
          </cell>
          <cell r="W1331" t="str">
            <v>05-mar-2026</v>
          </cell>
          <cell r="Y1331">
            <v>3697500</v>
          </cell>
          <cell r="Z1331">
            <v>47813</v>
          </cell>
          <cell r="AA1331">
            <v>55463</v>
          </cell>
        </row>
        <row r="1332">
          <cell r="B1332" t="str">
            <v>KHI/HO/D/MO/PC COMP/C/108043/63/03/2025</v>
          </cell>
          <cell r="D1332" t="str">
            <v>REN</v>
          </cell>
          <cell r="E1332" t="str">
            <v>13/03/25</v>
          </cell>
          <cell r="F1332" t="str">
            <v>13/03/2025</v>
          </cell>
          <cell r="G1332" t="str">
            <v>12/03/2026</v>
          </cell>
          <cell r="H1332" t="str">
            <v>08004499</v>
          </cell>
          <cell r="I1332" t="str">
            <v>AL BARAKA BANK (PAKISTAN) LIMITED</v>
          </cell>
          <cell r="J1332" t="str">
            <v>BANK</v>
          </cell>
          <cell r="K1332" t="str">
            <v>M/s. Al Baraka Bank (Pakistan) Limited 
M/S. Al Baraka Bank (Pakistan) Limited 
User: Osama  Amir</v>
          </cell>
          <cell r="L1332" t="str">
            <v>D</v>
          </cell>
          <cell r="M1332" t="str">
            <v>09000221</v>
          </cell>
          <cell r="N1332">
            <v>100</v>
          </cell>
          <cell r="P1332" t="str">
            <v>Al Reman Manzil L Block Main Bazar Qaisar Town Shahdara Lahore</v>
          </cell>
          <cell r="Q1332" t="str">
            <v>11000003</v>
          </cell>
          <cell r="R1332" t="str">
            <v>SUZUKI ALTO</v>
          </cell>
          <cell r="S1332" t="str">
            <v>2021</v>
          </cell>
          <cell r="T1332" t="str">
            <v>AFL-629</v>
          </cell>
          <cell r="U1332" t="str">
            <v>6R159899</v>
          </cell>
          <cell r="V1332" t="str">
            <v>1059918</v>
          </cell>
          <cell r="W1332" t="str">
            <v>06-mar-2028</v>
          </cell>
          <cell r="Y1332">
            <v>1776500</v>
          </cell>
          <cell r="Z1332">
            <v>30630</v>
          </cell>
          <cell r="AA1332">
            <v>35530</v>
          </cell>
        </row>
        <row r="1333">
          <cell r="B1333" t="str">
            <v>KHI/HO/D/MO/PC COMP/C/108043/64/03/2025</v>
          </cell>
          <cell r="D1333" t="str">
            <v>REN</v>
          </cell>
          <cell r="E1333" t="str">
            <v>13/03/25</v>
          </cell>
          <cell r="F1333" t="str">
            <v>02/03/2025</v>
          </cell>
          <cell r="G1333" t="str">
            <v>01/03/2026</v>
          </cell>
          <cell r="H1333" t="str">
            <v>08004499</v>
          </cell>
          <cell r="I1333" t="str">
            <v>AL BARAKA BANK (PAKISTAN) LIMITED</v>
          </cell>
          <cell r="J1333" t="str">
            <v>BANK</v>
          </cell>
          <cell r="K1333" t="str">
            <v>M/s. Al Baraka Bank (Pakistan) Limited 
M/S. Al Baraka Bank (Pakistan) Limited 
User: Badi Uz Zaman</v>
          </cell>
          <cell r="L1333" t="str">
            <v>D</v>
          </cell>
          <cell r="M1333" t="str">
            <v>09000221</v>
          </cell>
          <cell r="N1333">
            <v>100</v>
          </cell>
          <cell r="P1333" t="str">
            <v>H No 988 Street No 51 Block C Sector B-17 Islamabad</v>
          </cell>
          <cell r="Q1333" t="str">
            <v>11000003</v>
          </cell>
          <cell r="R1333" t="str">
            <v>CHANGAN KARVAAN PLUS</v>
          </cell>
          <cell r="S1333" t="str">
            <v>2022</v>
          </cell>
          <cell r="T1333" t="str">
            <v>AXK-56</v>
          </cell>
          <cell r="U1333" t="str">
            <v>1012455</v>
          </cell>
          <cell r="V1333" t="str">
            <v>507980</v>
          </cell>
          <cell r="W1333" t="str">
            <v>05-apr-2027</v>
          </cell>
          <cell r="Y1333">
            <v>1451200</v>
          </cell>
          <cell r="Z1333">
            <v>21893</v>
          </cell>
          <cell r="AA1333">
            <v>25396</v>
          </cell>
        </row>
        <row r="1334">
          <cell r="B1334" t="str">
            <v>KHI/HO/D/MO/PC COMP/C/108043/65/03/2025</v>
          </cell>
          <cell r="D1334" t="str">
            <v>REN</v>
          </cell>
          <cell r="E1334" t="str">
            <v>13/03/25</v>
          </cell>
          <cell r="F1334" t="str">
            <v>04/03/2025</v>
          </cell>
          <cell r="G1334" t="str">
            <v>03/03/2026</v>
          </cell>
          <cell r="H1334" t="str">
            <v>08004499</v>
          </cell>
          <cell r="I1334" t="str">
            <v>AL BARAKA BANK (PAKISTAN) LIMITED</v>
          </cell>
          <cell r="J1334" t="str">
            <v>BANK</v>
          </cell>
          <cell r="K1334" t="str">
            <v>M/s. Al Baraka Bank (Pakistan) Limited 
M/S. Al Baraka Bank (Pakistan) Limited 
User: Muhammad  Aslam</v>
          </cell>
          <cell r="L1334" t="str">
            <v>D</v>
          </cell>
          <cell r="M1334" t="str">
            <v>09000221</v>
          </cell>
          <cell r="N1334">
            <v>100</v>
          </cell>
          <cell r="P1334" t="str">
            <v>H No 6 St No 2 Iqbal Town Umer Block Care High School S Pura Road Kot Abdul Malik Lahore</v>
          </cell>
          <cell r="Q1334" t="str">
            <v>11000003</v>
          </cell>
          <cell r="R1334" t="str">
            <v>SUZUKI WAGON R VXL</v>
          </cell>
          <cell r="S1334" t="str">
            <v>2022</v>
          </cell>
          <cell r="T1334" t="str">
            <v>AKC-977</v>
          </cell>
          <cell r="U1334" t="str">
            <v>230527</v>
          </cell>
          <cell r="V1334" t="str">
            <v>10130549</v>
          </cell>
          <cell r="W1334" t="str">
            <v>05-mar-2027</v>
          </cell>
          <cell r="Y1334">
            <v>1501600</v>
          </cell>
          <cell r="Z1334">
            <v>32362</v>
          </cell>
          <cell r="AA1334">
            <v>37540</v>
          </cell>
        </row>
        <row r="1335">
          <cell r="B1335" t="str">
            <v>KHI/HO/D/MO/PC COMP/C/108043/66/03/2025</v>
          </cell>
          <cell r="D1335" t="str">
            <v>REN</v>
          </cell>
          <cell r="E1335" t="str">
            <v>13/03/25</v>
          </cell>
          <cell r="F1335" t="str">
            <v>08/03/2025</v>
          </cell>
          <cell r="G1335" t="str">
            <v>07/03/2026</v>
          </cell>
          <cell r="H1335" t="str">
            <v>08004499</v>
          </cell>
          <cell r="I1335" t="str">
            <v>AL BARAKA BANK (PAKISTAN) LIMITED</v>
          </cell>
          <cell r="J1335" t="str">
            <v>BANK</v>
          </cell>
          <cell r="K1335" t="str">
            <v>M/s. Al Baraka Bank (Pakistan) Limited 
M/S. Al Baraka Bank (Pakistan) Limited 
User: Shahbaz   Ali</v>
          </cell>
          <cell r="L1335" t="str">
            <v>D</v>
          </cell>
          <cell r="M1335" t="str">
            <v>09000221</v>
          </cell>
          <cell r="N1335">
            <v>100</v>
          </cell>
          <cell r="P1335" t="str">
            <v>H # 101 B Block Nawab Town Raiwind Road Lahore</v>
          </cell>
          <cell r="Q1335" t="str">
            <v>11000003</v>
          </cell>
          <cell r="R1335" t="str">
            <v>HONDA CITY ASPIRE 1.5  I-</v>
          </cell>
          <cell r="S1335" t="str">
            <v>2018</v>
          </cell>
          <cell r="T1335" t="str">
            <v>LE-18A-1948</v>
          </cell>
          <cell r="U1335" t="str">
            <v>7513929</v>
          </cell>
          <cell r="V1335" t="str">
            <v>JR228203</v>
          </cell>
          <cell r="W1335" t="str">
            <v>05-mar-2027</v>
          </cell>
          <cell r="Y1335">
            <v>1600000</v>
          </cell>
          <cell r="Z1335">
            <v>34483</v>
          </cell>
          <cell r="AA1335">
            <v>40000</v>
          </cell>
        </row>
        <row r="1336">
          <cell r="B1336" t="str">
            <v>KHI/HO/D/MO/PC COMP/C/108043/67/03/2025</v>
          </cell>
          <cell r="D1336" t="str">
            <v>REN</v>
          </cell>
          <cell r="E1336" t="str">
            <v>13/03/25</v>
          </cell>
          <cell r="F1336" t="str">
            <v>09/03/2025</v>
          </cell>
          <cell r="G1336" t="str">
            <v>08/03/2026</v>
          </cell>
          <cell r="H1336" t="str">
            <v>08004499</v>
          </cell>
          <cell r="I1336" t="str">
            <v>AL BARAKA BANK (PAKISTAN) LIMITED</v>
          </cell>
          <cell r="J1336" t="str">
            <v>BANK</v>
          </cell>
          <cell r="K1336" t="str">
            <v>M/s. Al Baraka Bank (Pakistan) Limited 
M/S. Al Baraka Bank (Pakistan) Limited 
User: Hizar  Rehmat   Ali</v>
          </cell>
          <cell r="L1336" t="str">
            <v>D</v>
          </cell>
          <cell r="M1336" t="str">
            <v>09000221</v>
          </cell>
          <cell r="N1336">
            <v>100</v>
          </cell>
          <cell r="P1336" t="str">
            <v>H No 1 St No 18 Aliya Town Baghbanpura Lahore</v>
          </cell>
          <cell r="Q1336" t="str">
            <v>11000003</v>
          </cell>
          <cell r="R1336" t="str">
            <v>SUZUKI CULTUS VXL</v>
          </cell>
          <cell r="S1336" t="str">
            <v>2022</v>
          </cell>
          <cell r="T1336" t="str">
            <v>AJL-974</v>
          </cell>
          <cell r="U1336" t="str">
            <v>193759</v>
          </cell>
          <cell r="V1336" t="str">
            <v>10093772</v>
          </cell>
          <cell r="W1336" t="str">
            <v>05-mar-2027</v>
          </cell>
          <cell r="Y1336">
            <v>1937600</v>
          </cell>
          <cell r="Z1336">
            <v>41758</v>
          </cell>
          <cell r="AA1336">
            <v>48440</v>
          </cell>
        </row>
        <row r="1337">
          <cell r="B1337" t="str">
            <v>KHI/HO/D/MO/PC COMP/C/108043/68/03/2025</v>
          </cell>
          <cell r="D1337" t="str">
            <v>REN</v>
          </cell>
          <cell r="E1337" t="str">
            <v>13/03/25</v>
          </cell>
          <cell r="F1337" t="str">
            <v>09/03/2025</v>
          </cell>
          <cell r="G1337" t="str">
            <v>08/03/2026</v>
          </cell>
          <cell r="H1337" t="str">
            <v>08004499</v>
          </cell>
          <cell r="I1337" t="str">
            <v>AL BARAKA BANK (PAKISTAN) LIMITED</v>
          </cell>
          <cell r="J1337" t="str">
            <v>BANK</v>
          </cell>
          <cell r="K1337" t="str">
            <v>M/s. Al Baraka Bank (Pakistan) Limited 
M/S. Al Baraka Bank (Pakistan) Limited 
User: Muhammad  Asif</v>
          </cell>
          <cell r="L1337" t="str">
            <v>D</v>
          </cell>
          <cell r="M1337" t="str">
            <v>09000221</v>
          </cell>
          <cell r="N1337">
            <v>100</v>
          </cell>
          <cell r="P1337" t="str">
            <v>Gf Plot 225 Ghouri Vip Street No 4 Islamabad</v>
          </cell>
          <cell r="Q1337" t="str">
            <v>11000003</v>
          </cell>
          <cell r="R1337" t="str">
            <v>HONDA CITY A/T</v>
          </cell>
          <cell r="S1337" t="str">
            <v>2022</v>
          </cell>
          <cell r="T1337" t="str">
            <v>AXK-35</v>
          </cell>
          <cell r="U1337" t="str">
            <v>51009376</v>
          </cell>
          <cell r="V1337" t="str">
            <v>015364</v>
          </cell>
          <cell r="W1337" t="str">
            <v>05-mar-2027</v>
          </cell>
          <cell r="Y1337">
            <v>2183200</v>
          </cell>
          <cell r="Z1337">
            <v>32937</v>
          </cell>
          <cell r="AA1337">
            <v>38206</v>
          </cell>
        </row>
        <row r="1338">
          <cell r="B1338" t="str">
            <v>KHI/HO/D/MO/PC COMP/C/108043/69/03/2025</v>
          </cell>
          <cell r="D1338" t="str">
            <v>REN</v>
          </cell>
          <cell r="E1338" t="str">
            <v>13/03/25</v>
          </cell>
          <cell r="F1338" t="str">
            <v>10/03/2025</v>
          </cell>
          <cell r="G1338" t="str">
            <v>09/03/2026</v>
          </cell>
          <cell r="H1338" t="str">
            <v>08004499</v>
          </cell>
          <cell r="I1338" t="str">
            <v>AL BARAKA BANK (PAKISTAN) LIMITED</v>
          </cell>
          <cell r="J1338" t="str">
            <v>BANK</v>
          </cell>
          <cell r="K1338" t="str">
            <v>M/s. Al Baraka Bank (Pakistan) Limited 
M/S. Al Baraka Bank (Pakistan) Limited 
User: Bashir  Ahmad Saleem</v>
          </cell>
          <cell r="L1338" t="str">
            <v>D</v>
          </cell>
          <cell r="M1338" t="str">
            <v>09000221</v>
          </cell>
          <cell r="N1338">
            <v>100</v>
          </cell>
          <cell r="P1338" t="str">
            <v>247-X Block St No 14 Dha Phase 3 Lahore</v>
          </cell>
          <cell r="Q1338" t="str">
            <v>11000003</v>
          </cell>
          <cell r="R1338" t="str">
            <v>HONDA BRV - S</v>
          </cell>
          <cell r="S1338" t="str">
            <v>2017</v>
          </cell>
          <cell r="T1338" t="str">
            <v>AHA-886</v>
          </cell>
          <cell r="U1338" t="str">
            <v>13505420</v>
          </cell>
          <cell r="V1338" t="str">
            <v>5427</v>
          </cell>
          <cell r="W1338" t="str">
            <v>05-mar-2027</v>
          </cell>
          <cell r="Y1338">
            <v>2184000</v>
          </cell>
          <cell r="Z1338">
            <v>47069</v>
          </cell>
          <cell r="AA1338">
            <v>54600</v>
          </cell>
        </row>
        <row r="1339">
          <cell r="B1339" t="str">
            <v>KHI/HO/D/MO/PC COMP/C/108043/70/03/2025</v>
          </cell>
          <cell r="D1339" t="str">
            <v>REN</v>
          </cell>
          <cell r="E1339" t="str">
            <v>13/03/25</v>
          </cell>
          <cell r="F1339" t="str">
            <v>10/03/2025</v>
          </cell>
          <cell r="G1339" t="str">
            <v>09/03/2026</v>
          </cell>
          <cell r="H1339" t="str">
            <v>08004499</v>
          </cell>
          <cell r="I1339" t="str">
            <v>AL BARAKA BANK (PAKISTAN) LIMITED</v>
          </cell>
          <cell r="J1339" t="str">
            <v>BANK</v>
          </cell>
          <cell r="K1339" t="str">
            <v>M/s. Al Baraka Bank (Pakistan) Limited 
M/S. Al Baraka Bank (Pakistan) Limited 
User: Taimoor  Alam</v>
          </cell>
          <cell r="L1339" t="str">
            <v>D</v>
          </cell>
          <cell r="M1339" t="str">
            <v>09000221</v>
          </cell>
          <cell r="N1339">
            <v>100</v>
          </cell>
          <cell r="P1339" t="str">
            <v>H # 145-N Model Town Lahore</v>
          </cell>
          <cell r="Q1339" t="str">
            <v>11000003</v>
          </cell>
          <cell r="R1339" t="str">
            <v>TOYOTA COROLLA ALTIS VVT-</v>
          </cell>
          <cell r="S1339" t="str">
            <v>2022</v>
          </cell>
          <cell r="T1339" t="str">
            <v>AJK-407</v>
          </cell>
          <cell r="U1339" t="str">
            <v>Q089775</v>
          </cell>
          <cell r="V1339" t="str">
            <v>6067241</v>
          </cell>
          <cell r="W1339" t="str">
            <v>05-mar-2026</v>
          </cell>
          <cell r="Y1339">
            <v>2858400</v>
          </cell>
          <cell r="Z1339">
            <v>36962</v>
          </cell>
          <cell r="AA1339">
            <v>42876</v>
          </cell>
        </row>
        <row r="1340">
          <cell r="B1340" t="str">
            <v>KHI/HO/D/MO/PC COMP/C/108043/71/03/2025</v>
          </cell>
          <cell r="D1340" t="str">
            <v>REN</v>
          </cell>
          <cell r="E1340" t="str">
            <v>13/03/25</v>
          </cell>
          <cell r="F1340" t="str">
            <v>10/03/2025</v>
          </cell>
          <cell r="G1340" t="str">
            <v>09/03/2026</v>
          </cell>
          <cell r="H1340" t="str">
            <v>08004499</v>
          </cell>
          <cell r="I1340" t="str">
            <v>AL BARAKA BANK (PAKISTAN) LIMITED</v>
          </cell>
          <cell r="J1340" t="str">
            <v>BANK</v>
          </cell>
          <cell r="K1340" t="str">
            <v>M/s. Al Baraka Bank (Pakistan) Limited 
M/S. Al Baraka Bank (Pakistan) Limited 
User: Siddique  Khan</v>
          </cell>
          <cell r="L1340" t="str">
            <v>D</v>
          </cell>
          <cell r="M1340" t="str">
            <v>09000221</v>
          </cell>
          <cell r="N1340">
            <v>100</v>
          </cell>
          <cell r="P1340" t="str">
            <v>H No 40 C St No 07 Itehad Park Chungi Amar Sidhu Rerozpur Road Lahore</v>
          </cell>
          <cell r="Q1340" t="str">
            <v>11000003</v>
          </cell>
          <cell r="R1340" t="str">
            <v>HONDA BRV - S</v>
          </cell>
          <cell r="S1340" t="str">
            <v>2022</v>
          </cell>
          <cell r="T1340" t="str">
            <v>AJG-595</v>
          </cell>
          <cell r="U1340" t="str">
            <v>4808637</v>
          </cell>
          <cell r="V1340" t="str">
            <v>NR025308</v>
          </cell>
          <cell r="W1340" t="str">
            <v>05-apr-2027</v>
          </cell>
          <cell r="Y1340">
            <v>2956000</v>
          </cell>
          <cell r="Z1340">
            <v>38224</v>
          </cell>
          <cell r="AA1340">
            <v>44340</v>
          </cell>
        </row>
        <row r="1341">
          <cell r="B1341" t="str">
            <v>KHI/HO/D/MO/PC COMP/C/108043/72/03/2025</v>
          </cell>
          <cell r="D1341" t="str">
            <v>REN</v>
          </cell>
          <cell r="E1341" t="str">
            <v>13/03/25</v>
          </cell>
          <cell r="F1341" t="str">
            <v>02/03/2025</v>
          </cell>
          <cell r="G1341" t="str">
            <v>01/03/2026</v>
          </cell>
          <cell r="H1341" t="str">
            <v>08004499</v>
          </cell>
          <cell r="I1341" t="str">
            <v>AL BARAKA BANK (PAKISTAN) LIMITED</v>
          </cell>
          <cell r="J1341" t="str">
            <v>BANK</v>
          </cell>
          <cell r="K1341" t="str">
            <v>M/s. Al Baraka Bank (Pakistan) Limited 
M/S. Al Baraka Bank (Pakistan) Limited 
User: Aswar Hussain Shah</v>
          </cell>
          <cell r="L1341" t="str">
            <v>D</v>
          </cell>
          <cell r="M1341" t="str">
            <v>09000221</v>
          </cell>
          <cell r="N1341">
            <v>100</v>
          </cell>
          <cell r="P1341" t="str">
            <v>Harbanspura Road Tajbagh Gate No 2 Near Peso Petrol Pump Lahore</v>
          </cell>
          <cell r="Q1341" t="str">
            <v>11000003</v>
          </cell>
          <cell r="R1341" t="str">
            <v>SUZUKI WAGON R VXL</v>
          </cell>
          <cell r="S1341" t="str">
            <v>2022</v>
          </cell>
          <cell r="T1341" t="str">
            <v>AJJ-961</v>
          </cell>
          <cell r="U1341" t="str">
            <v>230398</v>
          </cell>
          <cell r="V1341" t="str">
            <v>10130382</v>
          </cell>
          <cell r="W1341" t="str">
            <v>05-mar-2027</v>
          </cell>
          <cell r="Y1341">
            <v>1501600</v>
          </cell>
          <cell r="Z1341">
            <v>32362</v>
          </cell>
          <cell r="AA1341">
            <v>37540</v>
          </cell>
        </row>
        <row r="1342">
          <cell r="B1342" t="str">
            <v>KHI/HO/D/MO/PC COMP/C/108043/73/03/2025</v>
          </cell>
          <cell r="D1342" t="str">
            <v>REN</v>
          </cell>
          <cell r="E1342" t="str">
            <v>13/03/25</v>
          </cell>
          <cell r="F1342" t="str">
            <v>10/03/2025</v>
          </cell>
          <cell r="G1342" t="str">
            <v>09/03/2026</v>
          </cell>
          <cell r="H1342" t="str">
            <v>08004499</v>
          </cell>
          <cell r="I1342" t="str">
            <v>AL BARAKA BANK (PAKISTAN) LIMITED</v>
          </cell>
          <cell r="J1342" t="str">
            <v>BANK</v>
          </cell>
          <cell r="K1342" t="str">
            <v>M/s. Al Baraka Bank (Pakistan) Limited 
M/S. Al Baraka Bank (Pakistan) Limited 
User: Liaqat   Ali</v>
          </cell>
          <cell r="L1342" t="str">
            <v>D</v>
          </cell>
          <cell r="M1342" t="str">
            <v>09000221</v>
          </cell>
          <cell r="N1342">
            <v>100</v>
          </cell>
          <cell r="P1342" t="str">
            <v>H # 42 J Block 5 Sector A-Ii Township Lahore</v>
          </cell>
          <cell r="Q1342" t="str">
            <v>11000003</v>
          </cell>
          <cell r="R1342" t="str">
            <v>HONDA BRV MTI I-VTEC 1.5L</v>
          </cell>
          <cell r="S1342" t="str">
            <v>2022</v>
          </cell>
          <cell r="T1342" t="str">
            <v>AJS-024</v>
          </cell>
          <cell r="U1342" t="str">
            <v>4808615</v>
          </cell>
          <cell r="V1342" t="str">
            <v>NR025285</v>
          </cell>
          <cell r="W1342" t="str">
            <v>05-apr-2027</v>
          </cell>
          <cell r="Y1342">
            <v>2956800</v>
          </cell>
          <cell r="Z1342">
            <v>38235</v>
          </cell>
          <cell r="AA1342">
            <v>44352</v>
          </cell>
        </row>
        <row r="1343">
          <cell r="B1343" t="str">
            <v>KHI/HO/D/MO/PC COMP/C/108043/74/03/2025</v>
          </cell>
          <cell r="D1343" t="str">
            <v>REN</v>
          </cell>
          <cell r="E1343" t="str">
            <v>13/03/25</v>
          </cell>
          <cell r="F1343" t="str">
            <v>11/03/2025</v>
          </cell>
          <cell r="G1343" t="str">
            <v>10/03/2026</v>
          </cell>
          <cell r="H1343" t="str">
            <v>08004499</v>
          </cell>
          <cell r="I1343" t="str">
            <v>AL BARAKA BANK (PAKISTAN) LIMITED</v>
          </cell>
          <cell r="J1343" t="str">
            <v>BANK</v>
          </cell>
          <cell r="K1343" t="str">
            <v>M/s. Al Baraka Bank (Pakistan) Limited 
M/S. Al Baraka Bank (Pakistan) Limited 
User: Zaid  Ali</v>
          </cell>
          <cell r="L1343" t="str">
            <v>D</v>
          </cell>
          <cell r="M1343" t="str">
            <v>09000221</v>
          </cell>
          <cell r="N1343">
            <v>100</v>
          </cell>
          <cell r="P1343" t="str">
            <v>H No 19-H Muhallah P&amp;amp;T Colony Multan Road Lahore</v>
          </cell>
          <cell r="Q1343" t="str">
            <v>11000003</v>
          </cell>
          <cell r="R1343" t="str">
            <v>CHANGAN KARVAAN VAN</v>
          </cell>
          <cell r="S1343" t="str">
            <v>2022</v>
          </cell>
          <cell r="T1343" t="str">
            <v>AJA-213</v>
          </cell>
          <cell r="U1343" t="str">
            <v>507754</v>
          </cell>
          <cell r="V1343" t="str">
            <v>1012589</v>
          </cell>
          <cell r="W1343" t="str">
            <v>05-apr-2027</v>
          </cell>
          <cell r="Y1343">
            <v>1555200</v>
          </cell>
          <cell r="Z1343">
            <v>23462</v>
          </cell>
          <cell r="AA1343">
            <v>27216</v>
          </cell>
        </row>
        <row r="1344">
          <cell r="B1344" t="str">
            <v>KHI/HO/D/MO/PC COMP/C/108043/75/03/2025</v>
          </cell>
          <cell r="D1344" t="str">
            <v>REN</v>
          </cell>
          <cell r="E1344" t="str">
            <v>13/03/25</v>
          </cell>
          <cell r="F1344" t="str">
            <v>11/03/2025</v>
          </cell>
          <cell r="G1344" t="str">
            <v>10/03/2026</v>
          </cell>
          <cell r="H1344" t="str">
            <v>08004499</v>
          </cell>
          <cell r="I1344" t="str">
            <v>AL BARAKA BANK (PAKISTAN) LIMITED</v>
          </cell>
          <cell r="J1344" t="str">
            <v>BANK</v>
          </cell>
          <cell r="K1344" t="str">
            <v>M/s. Al Baraka Bank (Pakistan) Limited 
M/S. Al Baraka Bank (Pakistan) Limited 
User: Nasir  Mehmood</v>
          </cell>
          <cell r="L1344" t="str">
            <v>D</v>
          </cell>
          <cell r="M1344" t="str">
            <v>09000221</v>
          </cell>
          <cell r="N1344">
            <v>100</v>
          </cell>
          <cell r="P1344" t="str">
            <v>H No 427 St No 8 Phase 4 Sector Cc Dha Lahore</v>
          </cell>
          <cell r="Q1344" t="str">
            <v>11000003</v>
          </cell>
          <cell r="R1344" t="str">
            <v>HONDA CITY 1.2  LS CVT</v>
          </cell>
          <cell r="S1344" t="str">
            <v>2021</v>
          </cell>
          <cell r="T1344" t="str">
            <v>AHQ-585</v>
          </cell>
          <cell r="U1344" t="str">
            <v>51005709</v>
          </cell>
          <cell r="V1344" t="str">
            <v>MR008953</v>
          </cell>
          <cell r="W1344" t="str">
            <v>05-mar-2027</v>
          </cell>
          <cell r="Y1344">
            <v>2360000</v>
          </cell>
          <cell r="Z1344">
            <v>50862</v>
          </cell>
          <cell r="AA1344">
            <v>59000</v>
          </cell>
        </row>
        <row r="1345">
          <cell r="B1345" t="str">
            <v>KHI/HO/D/MO/PC COMP/C/108043/76/03/2025</v>
          </cell>
          <cell r="D1345" t="str">
            <v>REN</v>
          </cell>
          <cell r="E1345" t="str">
            <v>13/03/25</v>
          </cell>
          <cell r="F1345" t="str">
            <v>15/03/2025</v>
          </cell>
          <cell r="G1345" t="str">
            <v>14/03/2026</v>
          </cell>
          <cell r="H1345" t="str">
            <v>08004499</v>
          </cell>
          <cell r="I1345" t="str">
            <v>AL BARAKA BANK (PAKISTAN) LIMITED</v>
          </cell>
          <cell r="J1345" t="str">
            <v>BANK</v>
          </cell>
          <cell r="K1345" t="str">
            <v>M/s. Al Baraka Bank (Pakistan) Limited 
M/S. Al Baraka Bank (Pakistan) Limited 
User: Afaq Bin Faisal</v>
          </cell>
          <cell r="L1345" t="str">
            <v>D</v>
          </cell>
          <cell r="M1345" t="str">
            <v>09000221</v>
          </cell>
          <cell r="N1345">
            <v>100</v>
          </cell>
          <cell r="P1345" t="str">
            <v>La Mustafa Colony Opp Al Bilal Motors Khanewal Road Multan</v>
          </cell>
          <cell r="Q1345" t="str">
            <v>11000003</v>
          </cell>
          <cell r="R1345" t="str">
            <v>SUZUKI CULTUS VXR</v>
          </cell>
          <cell r="S1345" t="str">
            <v>2020</v>
          </cell>
          <cell r="T1345" t="str">
            <v>BSA-436</v>
          </cell>
          <cell r="U1345" t="str">
            <v>160702</v>
          </cell>
          <cell r="V1345" t="str">
            <v>10060647</v>
          </cell>
          <cell r="W1345" t="str">
            <v>05-apr-2027</v>
          </cell>
          <cell r="Y1345">
            <v>1500000</v>
          </cell>
          <cell r="Z1345">
            <v>22630</v>
          </cell>
          <cell r="AA1345">
            <v>26250</v>
          </cell>
        </row>
        <row r="1346">
          <cell r="B1346" t="str">
            <v>KHI/HO/D/MO/PC COMP/C/108043/77/03/2025</v>
          </cell>
          <cell r="D1346" t="str">
            <v>REN</v>
          </cell>
          <cell r="E1346" t="str">
            <v>13/03/25</v>
          </cell>
          <cell r="F1346" t="str">
            <v>15/03/2025</v>
          </cell>
          <cell r="G1346" t="str">
            <v>14/03/2026</v>
          </cell>
          <cell r="H1346" t="str">
            <v>08004499</v>
          </cell>
          <cell r="I1346" t="str">
            <v>AL BARAKA BANK (PAKISTAN) LIMITED</v>
          </cell>
          <cell r="J1346" t="str">
            <v>BANK</v>
          </cell>
          <cell r="K1346" t="str">
            <v>M/s. Al Baraka Bank (Pakistan) Limited 
M/S. Al Baraka Bank (Pakistan) Limited 
User: Nasir   Ali</v>
          </cell>
          <cell r="L1346" t="str">
            <v>D</v>
          </cell>
          <cell r="M1346" t="str">
            <v>09000221</v>
          </cell>
          <cell r="N1346">
            <v>100</v>
          </cell>
          <cell r="P1346" t="str">
            <v>H No 8 Rajba Road Zaitoon Colony Mufti Street Lahore</v>
          </cell>
          <cell r="Q1346" t="str">
            <v>11000003</v>
          </cell>
          <cell r="R1346" t="str">
            <v>SUZUKI ALTO VXR</v>
          </cell>
          <cell r="S1346" t="str">
            <v>2022</v>
          </cell>
          <cell r="T1346" t="str">
            <v>AJF-859</v>
          </cell>
          <cell r="U1346" t="str">
            <v>220011</v>
          </cell>
          <cell r="V1346" t="str">
            <v>1120026</v>
          </cell>
          <cell r="W1346" t="str">
            <v>05-apr-2027</v>
          </cell>
          <cell r="Y1346">
            <v>1236800</v>
          </cell>
          <cell r="Z1346">
            <v>26655</v>
          </cell>
          <cell r="AA1346">
            <v>30920</v>
          </cell>
        </row>
        <row r="1347">
          <cell r="B1347" t="str">
            <v>KHI/HO/D/MO/PC COMP/C/108043/78/03/2025</v>
          </cell>
          <cell r="D1347" t="str">
            <v>REN</v>
          </cell>
          <cell r="E1347" t="str">
            <v>13/03/25</v>
          </cell>
          <cell r="F1347" t="str">
            <v>15/03/2025</v>
          </cell>
          <cell r="G1347" t="str">
            <v>14/03/2026</v>
          </cell>
          <cell r="H1347" t="str">
            <v>08004499</v>
          </cell>
          <cell r="I1347" t="str">
            <v>AL BARAKA BANK (PAKISTAN) LIMITED</v>
          </cell>
          <cell r="J1347" t="str">
            <v>BANK</v>
          </cell>
          <cell r="K1347" t="str">
            <v>M/s. Al Baraka Bank (Pakistan) Limited 
M/S. Al Baraka Bank (Pakistan) Limited 
User: Syed Montzer Mehdi</v>
          </cell>
          <cell r="L1347" t="str">
            <v>D</v>
          </cell>
          <cell r="M1347" t="str">
            <v>09000221</v>
          </cell>
          <cell r="N1347">
            <v>100</v>
          </cell>
          <cell r="P1347" t="str">
            <v>H No 156 Uet Housing Society Lahore</v>
          </cell>
          <cell r="Q1347" t="str">
            <v>11000003</v>
          </cell>
          <cell r="R1347" t="str">
            <v>SUZUKI CULTUS</v>
          </cell>
          <cell r="S1347" t="str">
            <v>2022</v>
          </cell>
          <cell r="T1347" t="str">
            <v>AHX-224</v>
          </cell>
          <cell r="U1347" t="str">
            <v>194438</v>
          </cell>
          <cell r="V1347" t="str">
            <v>10094439</v>
          </cell>
          <cell r="W1347" t="str">
            <v>06-apr-2026</v>
          </cell>
          <cell r="Y1347">
            <v>1937600</v>
          </cell>
          <cell r="Z1347">
            <v>29231</v>
          </cell>
          <cell r="AA1347">
            <v>33908</v>
          </cell>
        </row>
        <row r="1348">
          <cell r="B1348" t="str">
            <v>KHI/HO/D/MO/PC COMP/C/108043/79/03/2025</v>
          </cell>
          <cell r="D1348" t="str">
            <v>REN</v>
          </cell>
          <cell r="E1348" t="str">
            <v>13/03/25</v>
          </cell>
          <cell r="F1348" t="str">
            <v>15/03/2025</v>
          </cell>
          <cell r="G1348" t="str">
            <v>14/03/2026</v>
          </cell>
          <cell r="H1348" t="str">
            <v>08004499</v>
          </cell>
          <cell r="I1348" t="str">
            <v>AL BARAKA BANK (PAKISTAN) LIMITED</v>
          </cell>
          <cell r="J1348" t="str">
            <v>BANK</v>
          </cell>
          <cell r="K1348" t="str">
            <v>M/s. Al Baraka Bank (Pakistan) Limited 
M/S. Al Baraka Bank (Pakistan) Limited 
User: Muhammad  Azam</v>
          </cell>
          <cell r="L1348" t="str">
            <v>D</v>
          </cell>
          <cell r="M1348" t="str">
            <v>09000221</v>
          </cell>
          <cell r="N1348">
            <v>100</v>
          </cell>
          <cell r="P1348" t="str">
            <v>H No 107 City Garden Near Jhangi Wala Road Bahawalpur</v>
          </cell>
          <cell r="Q1348" t="str">
            <v>11000003</v>
          </cell>
          <cell r="R1348" t="str">
            <v>SUZUKI ALTO VXR</v>
          </cell>
          <cell r="S1348" t="str">
            <v>2021</v>
          </cell>
          <cell r="T1348" t="str">
            <v>AJC-759</v>
          </cell>
          <cell r="U1348" t="str">
            <v>217102</v>
          </cell>
          <cell r="V1348" t="str">
            <v>1117107</v>
          </cell>
          <cell r="W1348" t="str">
            <v>05-may-2027</v>
          </cell>
          <cell r="Y1348">
            <v>1236800</v>
          </cell>
          <cell r="Z1348">
            <v>18658</v>
          </cell>
          <cell r="AA1348">
            <v>21644</v>
          </cell>
        </row>
        <row r="1349">
          <cell r="B1349" t="str">
            <v>KHI/HO/D/MO/PC COMP/C/108043/80/03/2025</v>
          </cell>
          <cell r="D1349" t="str">
            <v>REN</v>
          </cell>
          <cell r="E1349" t="str">
            <v>13/03/25</v>
          </cell>
          <cell r="F1349" t="str">
            <v>16/03/2025</v>
          </cell>
          <cell r="G1349" t="str">
            <v>15/03/2026</v>
          </cell>
          <cell r="H1349" t="str">
            <v>08004499</v>
          </cell>
          <cell r="I1349" t="str">
            <v>AL BARAKA BANK (PAKISTAN) LIMITED</v>
          </cell>
          <cell r="J1349" t="str">
            <v>BANK</v>
          </cell>
          <cell r="K1349" t="str">
            <v>M/s. Al Baraka Bank (Pakistan) Limited 
M/S. Al Baraka Bank (Pakistan) Limited 
User: Zamir   Abbas</v>
          </cell>
          <cell r="L1349" t="str">
            <v>D</v>
          </cell>
          <cell r="M1349" t="str">
            <v>09000221</v>
          </cell>
          <cell r="N1349">
            <v>100</v>
          </cell>
          <cell r="P1349" t="str">
            <v>H No 30 A Block D A.W.T Housing Society Phase 01 Lahore</v>
          </cell>
          <cell r="Q1349" t="str">
            <v>11000003</v>
          </cell>
          <cell r="R1349" t="str">
            <v>SUZUKI WAGON R VXL</v>
          </cell>
          <cell r="S1349" t="str">
            <v>2022</v>
          </cell>
          <cell r="T1349" t="str">
            <v>AJH-211</v>
          </cell>
          <cell r="U1349" t="str">
            <v>229758</v>
          </cell>
          <cell r="V1349" t="str">
            <v>129750</v>
          </cell>
          <cell r="W1349" t="str">
            <v>05-apr-2027</v>
          </cell>
          <cell r="Y1349">
            <v>1501600</v>
          </cell>
          <cell r="Z1349">
            <v>32362</v>
          </cell>
          <cell r="AA1349">
            <v>37540</v>
          </cell>
        </row>
        <row r="1350">
          <cell r="B1350" t="str">
            <v>KHI/HO/D/MO/PC COMP/C/108043/81/03/2025</v>
          </cell>
          <cell r="D1350" t="str">
            <v>REN</v>
          </cell>
          <cell r="E1350" t="str">
            <v>13/03/25</v>
          </cell>
          <cell r="F1350" t="str">
            <v>16/03/2025</v>
          </cell>
          <cell r="G1350" t="str">
            <v>15/03/2026</v>
          </cell>
          <cell r="H1350" t="str">
            <v>08004499</v>
          </cell>
          <cell r="I1350" t="str">
            <v>AL BARAKA BANK (PAKISTAN) LIMITED</v>
          </cell>
          <cell r="J1350" t="str">
            <v>BANK</v>
          </cell>
          <cell r="K1350" t="str">
            <v>M/s. Al Baraka Bank (Pakistan) Limited 
M/S. Al Baraka Bank (Pakistan) Limited 
User: Khurram Dilawer Khan</v>
          </cell>
          <cell r="L1350" t="str">
            <v>D</v>
          </cell>
          <cell r="M1350" t="str">
            <v>09000221</v>
          </cell>
          <cell r="N1350">
            <v>100</v>
          </cell>
          <cell r="P1350" t="str">
            <v>Near Av Girls High School Millat Road Sanda Lahore</v>
          </cell>
          <cell r="Q1350" t="str">
            <v>11000003</v>
          </cell>
          <cell r="R1350" t="str">
            <v>SUZUKI ALTO AGS A/T</v>
          </cell>
          <cell r="S1350" t="str">
            <v>2022</v>
          </cell>
          <cell r="T1350" t="str">
            <v>AJA-642</v>
          </cell>
          <cell r="U1350" t="str">
            <v>6R215282</v>
          </cell>
          <cell r="V1350" t="str">
            <v>H1115295</v>
          </cell>
          <cell r="W1350" t="str">
            <v>05-apr-2027</v>
          </cell>
          <cell r="Y1350">
            <v>1216800</v>
          </cell>
          <cell r="Z1350">
            <v>26224</v>
          </cell>
          <cell r="AA1350">
            <v>30420</v>
          </cell>
        </row>
        <row r="1351">
          <cell r="B1351" t="str">
            <v>KHI/HO/D/MO/PC COMP/C/108043/82/03/2025</v>
          </cell>
          <cell r="D1351" t="str">
            <v>REN</v>
          </cell>
          <cell r="E1351" t="str">
            <v>13/03/25</v>
          </cell>
          <cell r="F1351" t="str">
            <v>16/03/2025</v>
          </cell>
          <cell r="G1351" t="str">
            <v>15/03/2026</v>
          </cell>
          <cell r="H1351" t="str">
            <v>08004499</v>
          </cell>
          <cell r="I1351" t="str">
            <v>AL BARAKA BANK (PAKISTAN) LIMITED</v>
          </cell>
          <cell r="J1351" t="str">
            <v>BANK</v>
          </cell>
          <cell r="K1351" t="str">
            <v>M/s. Al Baraka Bank (Pakistan) Limited 
M/S. Al Baraka Bank (Pakistan) Limited 
User: Muhammad Awais Rafique Butt</v>
          </cell>
          <cell r="L1351" t="str">
            <v>D</v>
          </cell>
          <cell r="M1351" t="str">
            <v>09000221</v>
          </cell>
          <cell r="N1351">
            <v>100</v>
          </cell>
          <cell r="P1351" t="str">
            <v>H No 07 St 11 Khhursheed Street Kot Kambo Bund Road Lahore</v>
          </cell>
          <cell r="Q1351" t="str">
            <v>11000003</v>
          </cell>
          <cell r="R1351" t="str">
            <v>CHANGAN ALSVIN</v>
          </cell>
          <cell r="S1351" t="str">
            <v>2022</v>
          </cell>
          <cell r="T1351" t="str">
            <v>AJK-474</v>
          </cell>
          <cell r="U1351" t="str">
            <v>528017</v>
          </cell>
          <cell r="V1351" t="str">
            <v>1006434</v>
          </cell>
          <cell r="W1351" t="str">
            <v>05-apr-2027</v>
          </cell>
          <cell r="Y1351">
            <v>2351200</v>
          </cell>
          <cell r="Z1351">
            <v>50672</v>
          </cell>
          <cell r="AA1351">
            <v>58780</v>
          </cell>
        </row>
        <row r="1352">
          <cell r="B1352" t="str">
            <v>KHI/HO/D/MO/PC COMP/C/108043/83/03/2025</v>
          </cell>
          <cell r="D1352" t="str">
            <v>REN</v>
          </cell>
          <cell r="E1352" t="str">
            <v>13/03/25</v>
          </cell>
          <cell r="F1352" t="str">
            <v>17/03/2025</v>
          </cell>
          <cell r="G1352" t="str">
            <v>16/03/2026</v>
          </cell>
          <cell r="H1352" t="str">
            <v>08004499</v>
          </cell>
          <cell r="I1352" t="str">
            <v>AL BARAKA BANK (PAKISTAN) LIMITED</v>
          </cell>
          <cell r="J1352" t="str">
            <v>BANK</v>
          </cell>
          <cell r="K1352" t="str">
            <v>M/s. Al Baraka Bank (Pakistan) Limited 
M/S. Al Baraka Bank (Pakistan) Limited 
User: Abdul   Maajid</v>
          </cell>
          <cell r="L1352" t="str">
            <v>D</v>
          </cell>
          <cell r="M1352" t="str">
            <v>09000221</v>
          </cell>
          <cell r="N1352">
            <v>100</v>
          </cell>
          <cell r="P1352" t="str">
            <v>G-55 Tnt Colony Satiana Road Faisalabad</v>
          </cell>
          <cell r="Q1352" t="str">
            <v>11000003</v>
          </cell>
          <cell r="R1352" t="str">
            <v>SUZUKI ALTO VXR</v>
          </cell>
          <cell r="S1352" t="str">
            <v>2022</v>
          </cell>
          <cell r="T1352" t="str">
            <v>AJG-652</v>
          </cell>
          <cell r="U1352" t="str">
            <v>219942</v>
          </cell>
          <cell r="V1352" t="str">
            <v>NF1AET306H1119832</v>
          </cell>
          <cell r="W1352" t="str">
            <v>05-apr-2027</v>
          </cell>
          <cell r="Y1352">
            <v>1236800</v>
          </cell>
          <cell r="Z1352">
            <v>26655</v>
          </cell>
          <cell r="AA1352">
            <v>30920</v>
          </cell>
        </row>
        <row r="1353">
          <cell r="B1353" t="str">
            <v>KHI/HO/D/MO/PC COMP/C/108043/84/03/2025</v>
          </cell>
          <cell r="D1353" t="str">
            <v>REN</v>
          </cell>
          <cell r="E1353" t="str">
            <v>13/03/25</v>
          </cell>
          <cell r="F1353" t="str">
            <v>18/03/2025</v>
          </cell>
          <cell r="G1353" t="str">
            <v>17/03/2026</v>
          </cell>
          <cell r="H1353" t="str">
            <v>08004499</v>
          </cell>
          <cell r="I1353" t="str">
            <v>AL BARAKA BANK (PAKISTAN) LIMITED</v>
          </cell>
          <cell r="J1353" t="str">
            <v>BANK</v>
          </cell>
          <cell r="K1353" t="str">
            <v>M/s. Al Baraka Bank (Pakistan) Limited 
M/S. Al Baraka Bank (Pakistan) Limited 
User: Abdul   Latif</v>
          </cell>
          <cell r="L1353" t="str">
            <v>D</v>
          </cell>
          <cell r="M1353" t="str">
            <v>09000221</v>
          </cell>
          <cell r="N1353">
            <v>100</v>
          </cell>
          <cell r="P1353" t="str">
            <v>H No B-140 Sector I Khayaban E Sir Syed Rawalpindi</v>
          </cell>
          <cell r="Q1353" t="str">
            <v>11000003</v>
          </cell>
          <cell r="R1353" t="str">
            <v>SUZUKI ALTO VXR</v>
          </cell>
          <cell r="S1353" t="str">
            <v>2022</v>
          </cell>
          <cell r="T1353" t="str">
            <v>AXX-614</v>
          </cell>
          <cell r="U1353" t="str">
            <v>195422</v>
          </cell>
          <cell r="V1353" t="str">
            <v>1095420</v>
          </cell>
          <cell r="W1353" t="str">
            <v>05-may-2026</v>
          </cell>
          <cell r="Y1353">
            <v>1236800</v>
          </cell>
          <cell r="Z1353">
            <v>18658</v>
          </cell>
          <cell r="AA1353">
            <v>21644</v>
          </cell>
        </row>
        <row r="1354">
          <cell r="B1354" t="str">
            <v>KHI/HO/D/MO/PC COMP/C/108043/85/03/2025</v>
          </cell>
          <cell r="D1354" t="str">
            <v>REN</v>
          </cell>
          <cell r="E1354" t="str">
            <v>13/03/25</v>
          </cell>
          <cell r="F1354" t="str">
            <v>17/03/2025</v>
          </cell>
          <cell r="G1354" t="str">
            <v>16/03/2026</v>
          </cell>
          <cell r="H1354" t="str">
            <v>08004499</v>
          </cell>
          <cell r="I1354" t="str">
            <v>AL BARAKA BANK (PAKISTAN) LIMITED</v>
          </cell>
          <cell r="J1354" t="str">
            <v>BANK</v>
          </cell>
          <cell r="K1354" t="str">
            <v>M/s. Al Baraka Bank (Pakistan) Limited 
M/S. Al Baraka Bank (Pakistan) Limited 
User: Muhammad   Umar</v>
          </cell>
          <cell r="L1354" t="str">
            <v>D</v>
          </cell>
          <cell r="M1354" t="str">
            <v>09000221</v>
          </cell>
          <cell r="N1354">
            <v>100</v>
          </cell>
          <cell r="P1354" t="str">
            <v>H No 5 St 3 Chohan Road Qureshi Street Islampura Lahore</v>
          </cell>
          <cell r="Q1354" t="str">
            <v>11000003</v>
          </cell>
          <cell r="R1354" t="str">
            <v>SUZUKI WAGON R VXL</v>
          </cell>
          <cell r="S1354" t="str">
            <v>2022</v>
          </cell>
          <cell r="T1354" t="str">
            <v>AJY-250</v>
          </cell>
          <cell r="U1354" t="str">
            <v>231481</v>
          </cell>
          <cell r="V1354" t="str">
            <v>10131483</v>
          </cell>
          <cell r="W1354" t="str">
            <v>05-apr-2027</v>
          </cell>
          <cell r="Y1354">
            <v>1386400</v>
          </cell>
          <cell r="Z1354">
            <v>20916</v>
          </cell>
          <cell r="AA1354">
            <v>24262</v>
          </cell>
        </row>
        <row r="1355">
          <cell r="B1355" t="str">
            <v>KHI/HO/D/MO/PC COMP/C/108043/86/03/2025</v>
          </cell>
          <cell r="D1355" t="str">
            <v>REN</v>
          </cell>
          <cell r="E1355" t="str">
            <v>13/03/25</v>
          </cell>
          <cell r="F1355" t="str">
            <v>17/03/2025</v>
          </cell>
          <cell r="G1355" t="str">
            <v>16/03/2026</v>
          </cell>
          <cell r="H1355" t="str">
            <v>08004499</v>
          </cell>
          <cell r="I1355" t="str">
            <v>AL BARAKA BANK (PAKISTAN) LIMITED</v>
          </cell>
          <cell r="J1355" t="str">
            <v>BANK</v>
          </cell>
          <cell r="K1355" t="str">
            <v>M/s. Al Baraka Bank (Pakistan) Limited 
M/S. Al Baraka Bank (Pakistan) Limited 
User: Muhammad  Danyal  Nasir</v>
          </cell>
          <cell r="L1355" t="str">
            <v>D</v>
          </cell>
          <cell r="M1355" t="str">
            <v>09000221</v>
          </cell>
          <cell r="N1355">
            <v>100</v>
          </cell>
          <cell r="P1355" t="str">
            <v>H No 37 -C Dha 8 Lahore</v>
          </cell>
          <cell r="Q1355" t="str">
            <v>11000003</v>
          </cell>
          <cell r="R1355" t="str">
            <v>HONDA CIVIC</v>
          </cell>
          <cell r="S1355" t="str">
            <v>2017</v>
          </cell>
          <cell r="T1355" t="str">
            <v>LEA-17A-2000</v>
          </cell>
          <cell r="U1355" t="str">
            <v>R18Z12921955</v>
          </cell>
          <cell r="V1355" t="str">
            <v>HR025317</v>
          </cell>
          <cell r="W1355" t="str">
            <v>05-apr-2027</v>
          </cell>
          <cell r="Y1355">
            <v>2700000</v>
          </cell>
          <cell r="Z1355">
            <v>58190</v>
          </cell>
          <cell r="AA1355">
            <v>67500</v>
          </cell>
        </row>
        <row r="1356">
          <cell r="B1356" t="str">
            <v>KHI/HO/D/MO/PC COMP/C/108043/87/03/2025</v>
          </cell>
          <cell r="D1356" t="str">
            <v>REN</v>
          </cell>
          <cell r="E1356" t="str">
            <v>13/03/25</v>
          </cell>
          <cell r="F1356" t="str">
            <v>18/03/2025</v>
          </cell>
          <cell r="G1356" t="str">
            <v>17/03/2026</v>
          </cell>
          <cell r="H1356" t="str">
            <v>08004499</v>
          </cell>
          <cell r="I1356" t="str">
            <v>AL BARAKA BANK (PAKISTAN) LIMITED</v>
          </cell>
          <cell r="J1356" t="str">
            <v>BANK</v>
          </cell>
          <cell r="K1356" t="str">
            <v>M/s. Al Baraka Bank (Pakistan) Limited 
M/S. Al Baraka Bank (Pakistan) Limited 
User: Muhammad Waqas Ali</v>
          </cell>
          <cell r="L1356" t="str">
            <v>D</v>
          </cell>
          <cell r="M1356" t="str">
            <v>09000221</v>
          </cell>
          <cell r="N1356">
            <v>100</v>
          </cell>
          <cell r="P1356" t="str">
            <v>13-A Waqas Block Rizwan Garden Lahore</v>
          </cell>
          <cell r="Q1356" t="str">
            <v>11000003</v>
          </cell>
          <cell r="R1356" t="str">
            <v>SUZUKI ALTO</v>
          </cell>
          <cell r="S1356" t="str">
            <v>2022</v>
          </cell>
          <cell r="T1356" t="str">
            <v>AKR-309</v>
          </cell>
          <cell r="U1356" t="str">
            <v>6R220362</v>
          </cell>
          <cell r="V1356" t="str">
            <v>H1120382</v>
          </cell>
          <cell r="W1356" t="str">
            <v>05-apr-2029</v>
          </cell>
          <cell r="Y1356">
            <v>1236800</v>
          </cell>
          <cell r="Z1356">
            <v>26655</v>
          </cell>
          <cell r="AA1356">
            <v>30920</v>
          </cell>
        </row>
        <row r="1357">
          <cell r="B1357" t="str">
            <v>KHI/HO/D/MO/PC COMP/C/108043/88/03/2025</v>
          </cell>
          <cell r="D1357" t="str">
            <v>REN</v>
          </cell>
          <cell r="E1357" t="str">
            <v>13/03/25</v>
          </cell>
          <cell r="F1357" t="str">
            <v>18/03/2025</v>
          </cell>
          <cell r="G1357" t="str">
            <v>17/03/2026</v>
          </cell>
          <cell r="H1357" t="str">
            <v>08004499</v>
          </cell>
          <cell r="I1357" t="str">
            <v>AL BARAKA BANK (PAKISTAN) LIMITED</v>
          </cell>
          <cell r="J1357" t="str">
            <v>BANK</v>
          </cell>
          <cell r="K1357" t="str">
            <v>M/s. Al Baraka Bank (Pakistan) Limited 
M/S. Al Baraka Bank (Pakistan) Limited 
User: Muhammad   Asghar</v>
          </cell>
          <cell r="L1357" t="str">
            <v>D</v>
          </cell>
          <cell r="M1357" t="str">
            <v>09000221</v>
          </cell>
          <cell r="N1357">
            <v>100</v>
          </cell>
          <cell r="P1357" t="str">
            <v>H No 144 B Block Sj Garden Badian Road Lahore</v>
          </cell>
          <cell r="Q1357" t="str">
            <v>11000003</v>
          </cell>
          <cell r="R1357" t="str">
            <v>HONDA BRV I-VTEC S STD</v>
          </cell>
          <cell r="S1357" t="str">
            <v>2022</v>
          </cell>
          <cell r="T1357" t="str">
            <v>AJC-210</v>
          </cell>
          <cell r="U1357" t="str">
            <v>4808751</v>
          </cell>
          <cell r="V1357" t="str">
            <v>NR025418</v>
          </cell>
          <cell r="W1357" t="str">
            <v>05-apr-2027</v>
          </cell>
          <cell r="Y1357">
            <v>2956000</v>
          </cell>
          <cell r="Z1357">
            <v>38224</v>
          </cell>
          <cell r="AA1357">
            <v>44340</v>
          </cell>
        </row>
        <row r="1358">
          <cell r="B1358" t="str">
            <v>KHI/HO/D/MO/PC COMP/C/108043/89/03/2025</v>
          </cell>
          <cell r="D1358" t="str">
            <v>REN</v>
          </cell>
          <cell r="E1358" t="str">
            <v>13/03/25</v>
          </cell>
          <cell r="F1358" t="str">
            <v>02/03/2025</v>
          </cell>
          <cell r="G1358" t="str">
            <v>01/03/2026</v>
          </cell>
          <cell r="H1358" t="str">
            <v>08004499</v>
          </cell>
          <cell r="I1358" t="str">
            <v>AL BARAKA BANK (PAKISTAN) LIMITED</v>
          </cell>
          <cell r="J1358" t="str">
            <v>BANK</v>
          </cell>
          <cell r="K1358" t="str">
            <v>M/s. Al Baraka Bank (Pakistan) Limited 
M/S. Al Baraka Bank (Pakistan) Limited 
User: Shahid  Razzaq</v>
          </cell>
          <cell r="L1358" t="str">
            <v>D</v>
          </cell>
          <cell r="M1358" t="str">
            <v>09000221</v>
          </cell>
          <cell r="N1358">
            <v>100</v>
          </cell>
          <cell r="P1358" t="str">
            <v>H No 872 Street No 14 Sector G-11 /1 Islamabad</v>
          </cell>
          <cell r="Q1358" t="str">
            <v>11000003</v>
          </cell>
          <cell r="R1358" t="str">
            <v>SUZUKI ALTO VXR</v>
          </cell>
          <cell r="S1358" t="str">
            <v>2022</v>
          </cell>
          <cell r="T1358" t="str">
            <v>AXS-761</v>
          </cell>
          <cell r="U1358" t="str">
            <v>216704</v>
          </cell>
          <cell r="V1358" t="str">
            <v>1116691</v>
          </cell>
          <cell r="W1358" t="str">
            <v>05-mar-2027</v>
          </cell>
          <cell r="Y1358">
            <v>1068000</v>
          </cell>
          <cell r="Z1358">
            <v>23017</v>
          </cell>
          <cell r="AA1358">
            <v>26700</v>
          </cell>
        </row>
        <row r="1359">
          <cell r="B1359" t="str">
            <v>KHI/HO/D/MO/PC COMP/C/108043/90/03/2025</v>
          </cell>
          <cell r="D1359" t="str">
            <v>REN</v>
          </cell>
          <cell r="E1359" t="str">
            <v>13/03/25</v>
          </cell>
          <cell r="F1359" t="str">
            <v>18/03/2025</v>
          </cell>
          <cell r="G1359" t="str">
            <v>17/03/2026</v>
          </cell>
          <cell r="H1359" t="str">
            <v>08004499</v>
          </cell>
          <cell r="I1359" t="str">
            <v>AL BARAKA BANK (PAKISTAN) LIMITED</v>
          </cell>
          <cell r="J1359" t="str">
            <v>BANK</v>
          </cell>
          <cell r="K1359" t="str">
            <v>M/s. Al Baraka Bank (Pakistan) Limited 
M/S. Al Baraka Bank (Pakistan) Limited 
User: Abdul  Haseeb</v>
          </cell>
          <cell r="L1359" t="str">
            <v>D</v>
          </cell>
          <cell r="M1359" t="str">
            <v>09000221</v>
          </cell>
          <cell r="N1359">
            <v>100</v>
          </cell>
          <cell r="P1359" t="str">
            <v>H No 110 Ahmed Block Near Peer Bazar Awan Town Lahore</v>
          </cell>
          <cell r="Q1359" t="str">
            <v>11000003</v>
          </cell>
          <cell r="R1359" t="str">
            <v>SUZUKI MEHRAN</v>
          </cell>
          <cell r="S1359" t="str">
            <v>2017</v>
          </cell>
          <cell r="T1359" t="str">
            <v>LEH-17-694</v>
          </cell>
          <cell r="U1359" t="str">
            <v>693953</v>
          </cell>
          <cell r="V1359" t="str">
            <v>1232450</v>
          </cell>
          <cell r="W1359" t="str">
            <v>05-apr-2027</v>
          </cell>
          <cell r="Y1359">
            <v>768000</v>
          </cell>
          <cell r="Z1359">
            <v>16551</v>
          </cell>
          <cell r="AA1359">
            <v>19200</v>
          </cell>
        </row>
        <row r="1360">
          <cell r="B1360" t="str">
            <v>KHI/HO/D/MO/PC COMP/C/108043/91/03/2025</v>
          </cell>
          <cell r="D1360" t="str">
            <v>REN</v>
          </cell>
          <cell r="E1360" t="str">
            <v>13/03/25</v>
          </cell>
          <cell r="F1360" t="str">
            <v>18/03/2025</v>
          </cell>
          <cell r="G1360" t="str">
            <v>17/03/2026</v>
          </cell>
          <cell r="H1360" t="str">
            <v>08004499</v>
          </cell>
          <cell r="I1360" t="str">
            <v>AL BARAKA BANK (PAKISTAN) LIMITED</v>
          </cell>
          <cell r="J1360" t="str">
            <v>BANK</v>
          </cell>
          <cell r="K1360" t="str">
            <v>M/s. Al Baraka Bank (Pakistan) Limited 
M/S. Al Baraka Bank (Pakistan) Limited 
User: Muhammad   Ramzan</v>
          </cell>
          <cell r="L1360" t="str">
            <v>D</v>
          </cell>
          <cell r="M1360" t="str">
            <v>09000221</v>
          </cell>
          <cell r="N1360">
            <v>100</v>
          </cell>
          <cell r="P1360" t="str">
            <v>P/O Ghid Pur Dhakoo The Chunian Disct Kasur</v>
          </cell>
          <cell r="Q1360" t="str">
            <v>11000003</v>
          </cell>
          <cell r="R1360" t="str">
            <v>SUZUKI WAGON R VXL</v>
          </cell>
          <cell r="S1360" t="str">
            <v>2022</v>
          </cell>
          <cell r="T1360" t="str">
            <v>AJG-876</v>
          </cell>
          <cell r="U1360" t="str">
            <v>231736</v>
          </cell>
          <cell r="V1360" t="str">
            <v>10131745</v>
          </cell>
          <cell r="W1360" t="str">
            <v>05-apr-2027</v>
          </cell>
          <cell r="Y1360">
            <v>1501600</v>
          </cell>
          <cell r="Z1360">
            <v>32362</v>
          </cell>
          <cell r="AA1360">
            <v>37540</v>
          </cell>
        </row>
        <row r="1361">
          <cell r="B1361" t="str">
            <v>KHI/HO/D/MO/PC COMP/C/108043/92/03/2025</v>
          </cell>
          <cell r="D1361" t="str">
            <v>REN</v>
          </cell>
          <cell r="E1361" t="str">
            <v>13/03/25</v>
          </cell>
          <cell r="F1361" t="str">
            <v>21/03/2025</v>
          </cell>
          <cell r="G1361" t="str">
            <v>20/03/2026</v>
          </cell>
          <cell r="H1361" t="str">
            <v>08004499</v>
          </cell>
          <cell r="I1361" t="str">
            <v>AL BARAKA BANK (PAKISTAN) LIMITED</v>
          </cell>
          <cell r="J1361" t="str">
            <v>BANK</v>
          </cell>
          <cell r="K1361" t="str">
            <v>M/s. Al Baraka Bank (Pakistan) Limited 
M/S. Al Baraka Bank (Pakistan) Limited 
User: Khalid  Sardar</v>
          </cell>
          <cell r="L1361" t="str">
            <v>D</v>
          </cell>
          <cell r="M1361" t="str">
            <v>09000221</v>
          </cell>
          <cell r="N1361">
            <v>100</v>
          </cell>
          <cell r="P1361" t="str">
            <v>H # 64-A Mohallah Jahangir Town Rajgarh Sanda Road Lahore</v>
          </cell>
          <cell r="Q1361" t="str">
            <v>11000003</v>
          </cell>
          <cell r="R1361" t="str">
            <v>HONDA CITY I-VTEC A/T PT</v>
          </cell>
          <cell r="S1361" t="str">
            <v>2022</v>
          </cell>
          <cell r="T1361" t="str">
            <v>AJD-855</v>
          </cell>
          <cell r="U1361" t="str">
            <v>1009614</v>
          </cell>
          <cell r="V1361" t="str">
            <v>NR015804</v>
          </cell>
          <cell r="W1361" t="str">
            <v>05-apr-2027</v>
          </cell>
          <cell r="Y1361">
            <v>2364000</v>
          </cell>
          <cell r="Z1361">
            <v>35663</v>
          </cell>
          <cell r="AA1361">
            <v>41370</v>
          </cell>
        </row>
        <row r="1362">
          <cell r="B1362" t="str">
            <v>KHI/HO/D/MO/PC COMP/C/108043/93/03/2025</v>
          </cell>
          <cell r="D1362" t="str">
            <v>REN</v>
          </cell>
          <cell r="E1362" t="str">
            <v>13/03/25</v>
          </cell>
          <cell r="F1362" t="str">
            <v>21/03/2025</v>
          </cell>
          <cell r="G1362" t="str">
            <v>20/03/2026</v>
          </cell>
          <cell r="H1362" t="str">
            <v>08004499</v>
          </cell>
          <cell r="I1362" t="str">
            <v>AL BARAKA BANK (PAKISTAN) LIMITED</v>
          </cell>
          <cell r="J1362" t="str">
            <v>BANK</v>
          </cell>
          <cell r="K1362" t="str">
            <v>M/s. Al Baraka Bank (Pakistan) Limited 
M/S. Al Baraka Bank (Pakistan) Limited 
User: Faheem  Asim</v>
          </cell>
          <cell r="L1362" t="str">
            <v>D</v>
          </cell>
          <cell r="M1362" t="str">
            <v>09000221</v>
          </cell>
          <cell r="N1362">
            <v>100</v>
          </cell>
          <cell r="P1362" t="str">
            <v>H No 1 Fine City Canal Road Near Dewan Wali Puri Bahawalpur</v>
          </cell>
          <cell r="Q1362" t="str">
            <v>11000003</v>
          </cell>
          <cell r="R1362" t="str">
            <v>SUZUKI CULTUS VXR</v>
          </cell>
          <cell r="S1362" t="str">
            <v>2022</v>
          </cell>
          <cell r="T1362" t="str">
            <v>AJV-809</v>
          </cell>
          <cell r="U1362" t="str">
            <v>192596</v>
          </cell>
          <cell r="V1362" t="str">
            <v>10092590</v>
          </cell>
          <cell r="W1362" t="str">
            <v>05-apr-2027</v>
          </cell>
          <cell r="Y1362">
            <v>1424800</v>
          </cell>
          <cell r="Z1362">
            <v>30707</v>
          </cell>
          <cell r="AA1362">
            <v>35620</v>
          </cell>
        </row>
        <row r="1363">
          <cell r="B1363" t="str">
            <v>KHI/HO/D/MO/PC COMP/C/108043/94/03/2025</v>
          </cell>
          <cell r="D1363" t="str">
            <v>REN</v>
          </cell>
          <cell r="E1363" t="str">
            <v>13/03/25</v>
          </cell>
          <cell r="F1363" t="str">
            <v>22/03/2025</v>
          </cell>
          <cell r="G1363" t="str">
            <v>21/03/2026</v>
          </cell>
          <cell r="H1363" t="str">
            <v>08004499</v>
          </cell>
          <cell r="I1363" t="str">
            <v>AL BARAKA BANK (PAKISTAN) LIMITED</v>
          </cell>
          <cell r="J1363" t="str">
            <v>BANK</v>
          </cell>
          <cell r="K1363" t="str">
            <v>M/s. Al Baraka Bank (Pakistan) Limited 
M/S. Al Baraka Bank (Pakistan) Limited 
User: Adil  Usman</v>
          </cell>
          <cell r="L1363" t="str">
            <v>D</v>
          </cell>
          <cell r="M1363" t="str">
            <v>09000221</v>
          </cell>
          <cell r="N1363">
            <v>100</v>
          </cell>
          <cell r="P1363" t="str">
            <v>Jaranawla Road Faisalabad</v>
          </cell>
          <cell r="Q1363" t="str">
            <v>11000003</v>
          </cell>
          <cell r="R1363" t="str">
            <v>SUZUKI CULTUS VXR</v>
          </cell>
          <cell r="S1363" t="str">
            <v>2022</v>
          </cell>
          <cell r="T1363" t="str">
            <v>AJD-145</v>
          </cell>
          <cell r="U1363" t="str">
            <v>193915</v>
          </cell>
          <cell r="V1363" t="str">
            <v>10093892</v>
          </cell>
          <cell r="W1363" t="str">
            <v>05-apr-2027</v>
          </cell>
          <cell r="Y1363">
            <v>1937600</v>
          </cell>
          <cell r="Z1363">
            <v>41758</v>
          </cell>
          <cell r="AA1363">
            <v>48440</v>
          </cell>
        </row>
        <row r="1364">
          <cell r="B1364" t="str">
            <v>KHI/HO/D/MO/PC COMP/C/108043/95/03/2025</v>
          </cell>
          <cell r="D1364" t="str">
            <v>REN</v>
          </cell>
          <cell r="E1364" t="str">
            <v>13/03/25</v>
          </cell>
          <cell r="F1364" t="str">
            <v>21/03/2025</v>
          </cell>
          <cell r="G1364" t="str">
            <v>20/03/2026</v>
          </cell>
          <cell r="H1364" t="str">
            <v>08004499</v>
          </cell>
          <cell r="I1364" t="str">
            <v>AL BARAKA BANK (PAKISTAN) LIMITED</v>
          </cell>
          <cell r="J1364" t="str">
            <v>BANK</v>
          </cell>
          <cell r="K1364" t="str">
            <v>M/s. Al Baraka Bank (Pakistan) Limited 
M/S. Al Baraka Bank (Pakistan) Limited 
User: Shakil  Ahmad</v>
          </cell>
          <cell r="L1364" t="str">
            <v>D</v>
          </cell>
          <cell r="M1364" t="str">
            <v>09000221</v>
          </cell>
          <cell r="N1364">
            <v>100</v>
          </cell>
          <cell r="P1364" t="str">
            <v>H No 136 C State Lite Rahimyar Khan</v>
          </cell>
          <cell r="Q1364" t="str">
            <v>11000003</v>
          </cell>
          <cell r="R1364" t="str">
            <v>SUZUKI ALTO</v>
          </cell>
          <cell r="S1364" t="str">
            <v>2022</v>
          </cell>
          <cell r="T1364" t="str">
            <v>AEK-112</v>
          </cell>
          <cell r="U1364" t="str">
            <v>219660</v>
          </cell>
          <cell r="V1364" t="str">
            <v>1119682</v>
          </cell>
          <cell r="W1364" t="str">
            <v>05-aug-2027</v>
          </cell>
          <cell r="Y1364">
            <v>1397600</v>
          </cell>
          <cell r="Z1364">
            <v>30121</v>
          </cell>
          <cell r="AA1364">
            <v>34940</v>
          </cell>
        </row>
        <row r="1365">
          <cell r="B1365" t="str">
            <v>KHI/HO/D/MO/PC COMP/C/108043/96/03/2025</v>
          </cell>
          <cell r="D1365" t="str">
            <v>REN</v>
          </cell>
          <cell r="E1365" t="str">
            <v>13/03/25</v>
          </cell>
          <cell r="F1365" t="str">
            <v>24/03/2025</v>
          </cell>
          <cell r="G1365" t="str">
            <v>23/03/2026</v>
          </cell>
          <cell r="H1365" t="str">
            <v>08004499</v>
          </cell>
          <cell r="I1365" t="str">
            <v>AL BARAKA BANK (PAKISTAN) LIMITED</v>
          </cell>
          <cell r="J1365" t="str">
            <v>BANK</v>
          </cell>
          <cell r="K1365" t="str">
            <v>M/s. Al Baraka Bank (Pakistan) Limited 
M/S. Al Baraka Bank (Pakistan) Limited 
User: Awais  Aslam</v>
          </cell>
          <cell r="L1365" t="str">
            <v>D</v>
          </cell>
          <cell r="M1365" t="str">
            <v>09000221</v>
          </cell>
          <cell r="N1365">
            <v>100</v>
          </cell>
          <cell r="O1365" t="str">
            <v>KARACHI</v>
          </cell>
          <cell r="P1365" t="str">
            <v>91-N Sabzazar Scheme Multan Road Lahore</v>
          </cell>
          <cell r="Q1365" t="str">
            <v>11000003</v>
          </cell>
          <cell r="R1365" t="str">
            <v>KIA PICANTO 1.0L A/T</v>
          </cell>
          <cell r="S1365" t="str">
            <v>2022</v>
          </cell>
          <cell r="T1365" t="str">
            <v>AMJ-889</v>
          </cell>
          <cell r="U1365" t="str">
            <v>170011</v>
          </cell>
          <cell r="V1365" t="str">
            <v>709496</v>
          </cell>
          <cell r="W1365" t="str">
            <v>05-apr-2027</v>
          </cell>
          <cell r="Y1365">
            <v>1937600</v>
          </cell>
          <cell r="Z1365">
            <v>41758</v>
          </cell>
          <cell r="AA1365">
            <v>48440</v>
          </cell>
        </row>
        <row r="1366">
          <cell r="B1366" t="str">
            <v>KHI/HO/D/MO/PC COMP/C/108043/97/03/2025</v>
          </cell>
          <cell r="D1366" t="str">
            <v>REN</v>
          </cell>
          <cell r="E1366" t="str">
            <v>13/03/25</v>
          </cell>
          <cell r="F1366" t="str">
            <v>02/03/2025</v>
          </cell>
          <cell r="G1366" t="str">
            <v>01/03/2026</v>
          </cell>
          <cell r="H1366" t="str">
            <v>08004499</v>
          </cell>
          <cell r="I1366" t="str">
            <v>AL BARAKA BANK (PAKISTAN) LIMITED</v>
          </cell>
          <cell r="J1366" t="str">
            <v>BANK</v>
          </cell>
          <cell r="K1366" t="str">
            <v>M/s. Al Baraka Bank (Pakistan) Limited 
M/S. Al Baraka Bank (Pakistan) Limited 
User: Qaiser  Abbas</v>
          </cell>
          <cell r="L1366" t="str">
            <v>D</v>
          </cell>
          <cell r="M1366" t="str">
            <v>09000221</v>
          </cell>
          <cell r="N1366">
            <v>100</v>
          </cell>
          <cell r="P1366" t="str">
            <v>H No 527 St No 05 Phase 1 Khayaban E Ali Housing Scheme  Bahawalpur</v>
          </cell>
          <cell r="Q1366" t="str">
            <v>11000003</v>
          </cell>
          <cell r="R1366" t="str">
            <v>SUZUKI ALTO VXR</v>
          </cell>
          <cell r="S1366" t="str">
            <v>2021</v>
          </cell>
          <cell r="T1366" t="str">
            <v>AJC-762</v>
          </cell>
          <cell r="U1366" t="str">
            <v>197933</v>
          </cell>
          <cell r="V1366" t="str">
            <v>1097943</v>
          </cell>
          <cell r="W1366" t="str">
            <v>05-apr-2027</v>
          </cell>
          <cell r="Y1366">
            <v>1098400</v>
          </cell>
          <cell r="Z1366">
            <v>23672</v>
          </cell>
          <cell r="AA1366">
            <v>27460</v>
          </cell>
        </row>
        <row r="1367">
          <cell r="B1367" t="str">
            <v>KHI/HO/D/MO/PC COMP/C/108043/98/03/2025</v>
          </cell>
          <cell r="D1367" t="str">
            <v>REN</v>
          </cell>
          <cell r="E1367" t="str">
            <v>13/03/25</v>
          </cell>
          <cell r="F1367" t="str">
            <v>24/03/2025</v>
          </cell>
          <cell r="G1367" t="str">
            <v>23/03/2026</v>
          </cell>
          <cell r="H1367" t="str">
            <v>08004499</v>
          </cell>
          <cell r="I1367" t="str">
            <v>AL BARAKA BANK (PAKISTAN) LIMITED</v>
          </cell>
          <cell r="J1367" t="str">
            <v>BANK</v>
          </cell>
          <cell r="K1367" t="str">
            <v>M/s. Al Baraka Bank (Pakistan) Limited 
M/S. Al Baraka Bank (Pakistan) Limited 
User: Sajid  Mehmood</v>
          </cell>
          <cell r="L1367" t="str">
            <v>D</v>
          </cell>
          <cell r="M1367" t="str">
            <v>09000221</v>
          </cell>
          <cell r="N1367">
            <v>100</v>
          </cell>
          <cell r="P1367" t="str">
            <v>H No 85 Bin Qasi Block Shalimar Town Gujranwala</v>
          </cell>
          <cell r="Q1367" t="str">
            <v>11000003</v>
          </cell>
          <cell r="R1367" t="str">
            <v>PRINCE GLORY 580 PRO TURB</v>
          </cell>
          <cell r="S1367" t="str">
            <v>2022</v>
          </cell>
          <cell r="T1367" t="str">
            <v>AKY-117</v>
          </cell>
          <cell r="U1367" t="str">
            <v>21764421</v>
          </cell>
          <cell r="V1367" t="str">
            <v>22B3290</v>
          </cell>
          <cell r="W1367" t="str">
            <v>05-jul-2027</v>
          </cell>
          <cell r="Y1367">
            <v>4032000</v>
          </cell>
          <cell r="Z1367">
            <v>52138</v>
          </cell>
          <cell r="AA1367">
            <v>60480</v>
          </cell>
        </row>
        <row r="1368">
          <cell r="B1368" t="str">
            <v>KHI/HO/D/MO/PC COMP/C/108043/99/03/2025</v>
          </cell>
          <cell r="D1368" t="str">
            <v>REN</v>
          </cell>
          <cell r="E1368" t="str">
            <v>13/03/25</v>
          </cell>
          <cell r="F1368" t="str">
            <v>24/03/2025</v>
          </cell>
          <cell r="G1368" t="str">
            <v>23/03/2026</v>
          </cell>
          <cell r="H1368" t="str">
            <v>08004499</v>
          </cell>
          <cell r="I1368" t="str">
            <v>AL BARAKA BANK (PAKISTAN) LIMITED</v>
          </cell>
          <cell r="J1368" t="str">
            <v>BANK</v>
          </cell>
          <cell r="K1368" t="str">
            <v>M/s. Al Baraka Bank (Pakistan) Limited 
M/S. Al Baraka Bank (Pakistan) Limited 
User: Muhammad Azeem Qadri</v>
          </cell>
          <cell r="L1368" t="str">
            <v>D</v>
          </cell>
          <cell r="M1368" t="str">
            <v>09000221</v>
          </cell>
          <cell r="N1368">
            <v>100</v>
          </cell>
          <cell r="P1368" t="str">
            <v>H # 103 1St Floor A-1 Heights Garden West Karachi</v>
          </cell>
          <cell r="Q1368" t="str">
            <v>11000003</v>
          </cell>
          <cell r="R1368" t="str">
            <v>CHANGAN KARVAAN PLUS</v>
          </cell>
          <cell r="S1368" t="str">
            <v>2022</v>
          </cell>
          <cell r="T1368" t="str">
            <v>CZ-8362</v>
          </cell>
          <cell r="U1368" t="str">
            <v>508310</v>
          </cell>
          <cell r="V1368" t="str">
            <v>1012832</v>
          </cell>
          <cell r="W1368" t="str">
            <v>05-apr-2027</v>
          </cell>
          <cell r="Y1368">
            <v>1335200</v>
          </cell>
          <cell r="Z1368">
            <v>28776</v>
          </cell>
          <cell r="AA1368">
            <v>33380</v>
          </cell>
        </row>
        <row r="1369">
          <cell r="B1369" t="str">
            <v>KHI/HO/D/MO/PC COMP/C/108043/100/03/2025</v>
          </cell>
          <cell r="D1369" t="str">
            <v>REN</v>
          </cell>
          <cell r="E1369" t="str">
            <v>13/03/25</v>
          </cell>
          <cell r="F1369" t="str">
            <v>24/03/2025</v>
          </cell>
          <cell r="G1369" t="str">
            <v>23/03/2026</v>
          </cell>
          <cell r="H1369" t="str">
            <v>08004499</v>
          </cell>
          <cell r="I1369" t="str">
            <v>AL BARAKA BANK (PAKISTAN) LIMITED</v>
          </cell>
          <cell r="J1369" t="str">
            <v>BANK</v>
          </cell>
          <cell r="K1369" t="str">
            <v>M/s. Al Baraka Bank (Pakistan) Limited 
M/S. Al Baraka Bank (Pakistan) Limited 
User: Parveen  Akhtar</v>
          </cell>
          <cell r="L1369" t="str">
            <v>D</v>
          </cell>
          <cell r="M1369" t="str">
            <v>09000221</v>
          </cell>
          <cell r="N1369">
            <v>100</v>
          </cell>
          <cell r="P1369" t="str">
            <v>H No 648 Block C Phase 6 Dha Lahore</v>
          </cell>
          <cell r="Q1369" t="str">
            <v>11000003</v>
          </cell>
          <cell r="R1369" t="str">
            <v>HONDA CITY ASPIRE M/T</v>
          </cell>
          <cell r="S1369" t="str">
            <v>2022</v>
          </cell>
          <cell r="T1369" t="str">
            <v>AJJ-580</v>
          </cell>
          <cell r="U1369" t="str">
            <v>14326</v>
          </cell>
          <cell r="V1369" t="str">
            <v>1005418</v>
          </cell>
          <cell r="W1369" t="str">
            <v>05-apr-2027</v>
          </cell>
          <cell r="Y1369">
            <v>2768000</v>
          </cell>
          <cell r="Z1369">
            <v>59655</v>
          </cell>
          <cell r="AA1369">
            <v>69200</v>
          </cell>
        </row>
        <row r="1370">
          <cell r="B1370" t="str">
            <v>KHI/HO/D/MO/PC COMP/C/108043/101/03/2025</v>
          </cell>
          <cell r="D1370" t="str">
            <v>REN</v>
          </cell>
          <cell r="E1370" t="str">
            <v>13/03/25</v>
          </cell>
          <cell r="F1370" t="str">
            <v>25/03/2025</v>
          </cell>
          <cell r="G1370" t="str">
            <v>24/03/2026</v>
          </cell>
          <cell r="H1370" t="str">
            <v>08004499</v>
          </cell>
          <cell r="I1370" t="str">
            <v>AL BARAKA BANK (PAKISTAN) LIMITED</v>
          </cell>
          <cell r="J1370" t="str">
            <v>BANK</v>
          </cell>
          <cell r="K1370" t="str">
            <v>M/s. Al Baraka Bank (Pakistan) Limited 
M/S. Al Baraka Bank (Pakistan) Limited 
User: Muhammad   Shafique</v>
          </cell>
          <cell r="L1370" t="str">
            <v>D</v>
          </cell>
          <cell r="M1370" t="str">
            <v>09000221</v>
          </cell>
          <cell r="N1370">
            <v>100</v>
          </cell>
          <cell r="P1370" t="str">
            <v>H # 1114 Block B Civil Quarters Faisalabad</v>
          </cell>
          <cell r="Q1370" t="str">
            <v>11000003</v>
          </cell>
          <cell r="R1370" t="str">
            <v>SUZUKI WAGON-R VXR</v>
          </cell>
          <cell r="S1370" t="str">
            <v>2022</v>
          </cell>
          <cell r="T1370" t="str">
            <v>AJG-771</v>
          </cell>
          <cell r="U1370" t="str">
            <v>231806</v>
          </cell>
          <cell r="V1370" t="str">
            <v>10131879</v>
          </cell>
          <cell r="W1370" t="str">
            <v>05-apr-2027</v>
          </cell>
          <cell r="Y1370">
            <v>1501600</v>
          </cell>
          <cell r="Z1370">
            <v>32362</v>
          </cell>
          <cell r="AA1370">
            <v>37540</v>
          </cell>
        </row>
        <row r="1371">
          <cell r="B1371" t="str">
            <v>KHI/HO/D/MO/PC COMP/C/108043/102/03/2025</v>
          </cell>
          <cell r="D1371" t="str">
            <v>REN</v>
          </cell>
          <cell r="E1371" t="str">
            <v>13/03/25</v>
          </cell>
          <cell r="F1371" t="str">
            <v>25/03/2025</v>
          </cell>
          <cell r="G1371" t="str">
            <v>24/03/2026</v>
          </cell>
          <cell r="H1371" t="str">
            <v>08004499</v>
          </cell>
          <cell r="I1371" t="str">
            <v>AL BARAKA BANK (PAKISTAN) LIMITED</v>
          </cell>
          <cell r="J1371" t="str">
            <v>BANK</v>
          </cell>
          <cell r="K1371" t="str">
            <v>M/s. Al Baraka Bank (Pakistan) Limited 
M/S. Al Baraka Bank (Pakistan) Limited 
User: Tayyab   Ali</v>
          </cell>
          <cell r="L1371" t="str">
            <v>D</v>
          </cell>
          <cell r="M1371" t="str">
            <v>09000221</v>
          </cell>
          <cell r="N1371">
            <v>100</v>
          </cell>
          <cell r="P1371" t="str">
            <v>H No 1248 St 3 Dhok Farman Ali Near Pak Base Chowk Rawaplindi</v>
          </cell>
          <cell r="Q1371" t="str">
            <v>11000003</v>
          </cell>
          <cell r="R1371" t="str">
            <v>TOYOTA COROLLA GLI M/T 1.</v>
          </cell>
          <cell r="S1371" t="str">
            <v>2017</v>
          </cell>
          <cell r="T1371" t="str">
            <v>AEE-031</v>
          </cell>
          <cell r="U1371" t="str">
            <v>498774</v>
          </cell>
          <cell r="V1371" t="str">
            <v>4124451</v>
          </cell>
          <cell r="W1371" t="str">
            <v>05-apr-2027</v>
          </cell>
          <cell r="Y1371">
            <v>2160000</v>
          </cell>
          <cell r="Z1371">
            <v>46551</v>
          </cell>
          <cell r="AA1371">
            <v>54000</v>
          </cell>
        </row>
        <row r="1372">
          <cell r="B1372" t="str">
            <v>KHI/HO/D/MO/PC COMP/C/108043/103/03/2025</v>
          </cell>
          <cell r="D1372" t="str">
            <v>REN</v>
          </cell>
          <cell r="E1372" t="str">
            <v>13/03/25</v>
          </cell>
          <cell r="F1372" t="str">
            <v>28/03/2025</v>
          </cell>
          <cell r="G1372" t="str">
            <v>27/03/2026</v>
          </cell>
          <cell r="H1372" t="str">
            <v>08004499</v>
          </cell>
          <cell r="I1372" t="str">
            <v>AL BARAKA BANK (PAKISTAN) LIMITED</v>
          </cell>
          <cell r="J1372" t="str">
            <v>BANK</v>
          </cell>
          <cell r="K1372" t="str">
            <v>M/s. Al Baraka Bank (Pakistan) Limited 
M/S. Al Baraka Bank (Pakistan) Limited 
User: Naeem  Aslam</v>
          </cell>
          <cell r="L1372" t="str">
            <v>D</v>
          </cell>
          <cell r="M1372" t="str">
            <v>09000221</v>
          </cell>
          <cell r="N1372">
            <v>100</v>
          </cell>
          <cell r="P1372" t="str">
            <v>H No 239 St 4 Qureshio Wala Rehman Pura Sargodha</v>
          </cell>
          <cell r="Q1372" t="str">
            <v>11000003</v>
          </cell>
          <cell r="R1372" t="str">
            <v>CHANGAN KARVAAN PLUS</v>
          </cell>
          <cell r="S1372" t="str">
            <v>2022</v>
          </cell>
          <cell r="T1372" t="str">
            <v>AYT-431</v>
          </cell>
          <cell r="U1372" t="str">
            <v>507964</v>
          </cell>
          <cell r="V1372" t="str">
            <v>1012797</v>
          </cell>
          <cell r="W1372" t="str">
            <v>05-apr-2027</v>
          </cell>
          <cell r="Y1372">
            <v>1335200</v>
          </cell>
          <cell r="Z1372">
            <v>28776</v>
          </cell>
          <cell r="AA1372">
            <v>33380</v>
          </cell>
        </row>
        <row r="1373">
          <cell r="B1373" t="str">
            <v>KHI/HO/D/MO/PC COMP/C/108043/104/03/2025</v>
          </cell>
          <cell r="D1373" t="str">
            <v>REN</v>
          </cell>
          <cell r="E1373" t="str">
            <v>13/03/25</v>
          </cell>
          <cell r="F1373" t="str">
            <v>02/03/2025</v>
          </cell>
          <cell r="G1373" t="str">
            <v>01/03/2026</v>
          </cell>
          <cell r="H1373" t="str">
            <v>08004499</v>
          </cell>
          <cell r="I1373" t="str">
            <v>AL BARAKA BANK (PAKISTAN) LIMITED</v>
          </cell>
          <cell r="J1373" t="str">
            <v>BANK</v>
          </cell>
          <cell r="K1373" t="str">
            <v>M/s. Al Baraka Bank (Pakistan) Limited 
M/S. Al Baraka Bank (Pakistan) Limited 
User: Farhat  Tahira</v>
          </cell>
          <cell r="L1373" t="str">
            <v>D</v>
          </cell>
          <cell r="M1373" t="str">
            <v>09000221</v>
          </cell>
          <cell r="N1373">
            <v>100</v>
          </cell>
          <cell r="P1373" t="str">
            <v>H No 87 D Khayaban E Ali Housing Society Bahawalpur</v>
          </cell>
          <cell r="Q1373" t="str">
            <v>11000003</v>
          </cell>
          <cell r="R1373" t="str">
            <v>SUZUKI ALTO VXR</v>
          </cell>
          <cell r="S1373" t="str">
            <v>2021</v>
          </cell>
          <cell r="T1373" t="str">
            <v>AJF-203</v>
          </cell>
          <cell r="U1373" t="str">
            <v>213092</v>
          </cell>
          <cell r="V1373" t="str">
            <v>1113129</v>
          </cell>
          <cell r="W1373" t="str">
            <v>05-may-2029</v>
          </cell>
          <cell r="Y1373">
            <v>1236800</v>
          </cell>
          <cell r="Z1373">
            <v>18658</v>
          </cell>
          <cell r="AA1373">
            <v>21644</v>
          </cell>
        </row>
        <row r="1374">
          <cell r="B1374" t="str">
            <v>KHI/HO/D/MO/PC COMP/C/108043/105/03/2025</v>
          </cell>
          <cell r="D1374" t="str">
            <v>REN</v>
          </cell>
          <cell r="E1374" t="str">
            <v>13/03/25</v>
          </cell>
          <cell r="F1374" t="str">
            <v>28/03/2025</v>
          </cell>
          <cell r="G1374" t="str">
            <v>27/03/2026</v>
          </cell>
          <cell r="H1374" t="str">
            <v>08004499</v>
          </cell>
          <cell r="I1374" t="str">
            <v>AL BARAKA BANK (PAKISTAN) LIMITED</v>
          </cell>
          <cell r="J1374" t="str">
            <v>BANK</v>
          </cell>
          <cell r="K1374" t="str">
            <v>M/s. Al Baraka Bank (Pakistan) Limited 
M/S. Al Baraka Bank (Pakistan) Limited 
User: Mazhar   Abbas</v>
          </cell>
          <cell r="L1374" t="str">
            <v>D</v>
          </cell>
          <cell r="M1374" t="str">
            <v>09000221</v>
          </cell>
          <cell r="N1374">
            <v>100</v>
          </cell>
          <cell r="P1374" t="str">
            <v>P/O Ghid Pur Dhakoo The Chunian Disct Kasur</v>
          </cell>
          <cell r="Q1374" t="str">
            <v>11000003</v>
          </cell>
          <cell r="R1374" t="str">
            <v>SUZUKI WAGON-R VXR</v>
          </cell>
          <cell r="S1374" t="str">
            <v>2022</v>
          </cell>
          <cell r="T1374" t="str">
            <v>AJW-545</v>
          </cell>
          <cell r="U1374" t="str">
            <v>219650</v>
          </cell>
          <cell r="V1374" t="str">
            <v>10131703</v>
          </cell>
          <cell r="W1374" t="str">
            <v>05-apr-2027</v>
          </cell>
          <cell r="Y1374">
            <v>1615200</v>
          </cell>
          <cell r="Z1374">
            <v>34810</v>
          </cell>
          <cell r="AA1374">
            <v>40380</v>
          </cell>
        </row>
        <row r="1375">
          <cell r="B1375" t="str">
            <v>KHI/HO/D/MO/PC COMP/C/108043/106/03/2025</v>
          </cell>
          <cell r="D1375" t="str">
            <v>REN</v>
          </cell>
          <cell r="E1375" t="str">
            <v>13/03/25</v>
          </cell>
          <cell r="F1375" t="str">
            <v>28/03/2025</v>
          </cell>
          <cell r="G1375" t="str">
            <v>27/03/2026</v>
          </cell>
          <cell r="H1375" t="str">
            <v>08004499</v>
          </cell>
          <cell r="I1375" t="str">
            <v>AL BARAKA BANK (PAKISTAN) LIMITED</v>
          </cell>
          <cell r="J1375" t="str">
            <v>BANK</v>
          </cell>
          <cell r="K1375" t="str">
            <v>M/s. Al Baraka Bank (Pakistan) Limited 
M/S. Al Baraka Bank (Pakistan) Limited 
User: Agha  Mehsin Munir  Jan Azri</v>
          </cell>
          <cell r="L1375" t="str">
            <v>D</v>
          </cell>
          <cell r="M1375" t="str">
            <v>09000221</v>
          </cell>
          <cell r="N1375">
            <v>100</v>
          </cell>
          <cell r="P1375" t="str">
            <v>H No 166 A G -Iii Johar Town Lahore</v>
          </cell>
          <cell r="Q1375" t="str">
            <v>11000003</v>
          </cell>
          <cell r="R1375" t="str">
            <v>HONDA CITY A/T</v>
          </cell>
          <cell r="S1375" t="str">
            <v>2022</v>
          </cell>
          <cell r="T1375" t="str">
            <v>AJU-009</v>
          </cell>
          <cell r="U1375" t="str">
            <v>1009562</v>
          </cell>
          <cell r="V1375" t="str">
            <v>NR015788</v>
          </cell>
          <cell r="W1375" t="str">
            <v>05-apr-2027</v>
          </cell>
          <cell r="Y1375">
            <v>2364000</v>
          </cell>
          <cell r="Z1375">
            <v>35663</v>
          </cell>
          <cell r="AA1375">
            <v>41370</v>
          </cell>
        </row>
        <row r="1376">
          <cell r="B1376" t="str">
            <v>KHI/HO/D/MO/PC COMP/C/108043/107/03/2025</v>
          </cell>
          <cell r="D1376" t="str">
            <v>REN</v>
          </cell>
          <cell r="E1376" t="str">
            <v>13/03/25</v>
          </cell>
          <cell r="F1376" t="str">
            <v>28/03/2025</v>
          </cell>
          <cell r="G1376" t="str">
            <v>27/03/2026</v>
          </cell>
          <cell r="H1376" t="str">
            <v>08004499</v>
          </cell>
          <cell r="I1376" t="str">
            <v>AL BARAKA BANK (PAKISTAN) LIMITED</v>
          </cell>
          <cell r="J1376" t="str">
            <v>BANK</v>
          </cell>
          <cell r="K1376" t="str">
            <v>M/s. Al Baraka Bank (Pakistan) Limited 
M/S. Al Baraka Bank (Pakistan) Limited 
User: Ali  Hassan</v>
          </cell>
          <cell r="L1376" t="str">
            <v>D</v>
          </cell>
          <cell r="M1376" t="str">
            <v>09000221</v>
          </cell>
          <cell r="N1376">
            <v>100</v>
          </cell>
          <cell r="P1376" t="str">
            <v>H # 269 A Safari Block Bahria Town Lahore</v>
          </cell>
          <cell r="Q1376" t="str">
            <v>11000003</v>
          </cell>
          <cell r="R1376" t="str">
            <v>HONDA CIVIC VTI  ORIEL PT</v>
          </cell>
          <cell r="S1376" t="str">
            <v>2021</v>
          </cell>
          <cell r="T1376" t="str">
            <v>AEF-016</v>
          </cell>
          <cell r="U1376" t="str">
            <v>6922082</v>
          </cell>
          <cell r="V1376" t="str">
            <v>R-074431</v>
          </cell>
          <cell r="W1376" t="str">
            <v>05-apr-2027</v>
          </cell>
          <cell r="Y1376">
            <v>3424000</v>
          </cell>
          <cell r="Z1376">
            <v>44276</v>
          </cell>
          <cell r="AA1376">
            <v>51360</v>
          </cell>
        </row>
        <row r="1377">
          <cell r="B1377" t="str">
            <v>KHI/HO/D/MO/PC COMP/C/108043/108/03/2025</v>
          </cell>
          <cell r="D1377" t="str">
            <v>REN</v>
          </cell>
          <cell r="E1377" t="str">
            <v>13/03/25</v>
          </cell>
          <cell r="F1377" t="str">
            <v>28/03/2025</v>
          </cell>
          <cell r="G1377" t="str">
            <v>27/03/2026</v>
          </cell>
          <cell r="H1377" t="str">
            <v>08004499</v>
          </cell>
          <cell r="I1377" t="str">
            <v>AL BARAKA BANK (PAKISTAN) LIMITED</v>
          </cell>
          <cell r="J1377" t="str">
            <v>BANK</v>
          </cell>
          <cell r="K1377" t="str">
            <v>M/s. Al Baraka Bank (Pakistan) Limited 
M/S. Al Baraka Bank (Pakistan) Limited 
User: Muhammad   Adeel</v>
          </cell>
          <cell r="L1377" t="str">
            <v>D</v>
          </cell>
          <cell r="M1377" t="str">
            <v>09000221</v>
          </cell>
          <cell r="N1377">
            <v>100</v>
          </cell>
          <cell r="P1377" t="str">
            <v>H No 349 A St 1 Block D 1 Ittehad St Gujjar Pura Lahore</v>
          </cell>
          <cell r="Q1377" t="str">
            <v>11000003</v>
          </cell>
          <cell r="R1377" t="str">
            <v>SUZUKI BOLAN STD</v>
          </cell>
          <cell r="S1377" t="str">
            <v>2022</v>
          </cell>
          <cell r="T1377" t="str">
            <v>AJK-809</v>
          </cell>
          <cell r="U1377" t="str">
            <v>1021381</v>
          </cell>
          <cell r="V1377" t="str">
            <v>K01137917</v>
          </cell>
          <cell r="W1377" t="str">
            <v>05-apr-2027</v>
          </cell>
          <cell r="Y1377">
            <v>942400</v>
          </cell>
          <cell r="Z1377">
            <v>20310</v>
          </cell>
          <cell r="AA1377">
            <v>23560</v>
          </cell>
        </row>
        <row r="1378">
          <cell r="B1378" t="str">
            <v>KHI/HO/D/MO/PC COMP/C/108043/109/03/2025</v>
          </cell>
          <cell r="D1378" t="str">
            <v>REN</v>
          </cell>
          <cell r="E1378" t="str">
            <v>13/03/25</v>
          </cell>
          <cell r="F1378" t="str">
            <v>29/03/2025</v>
          </cell>
          <cell r="G1378" t="str">
            <v>28/03/2026</v>
          </cell>
          <cell r="H1378" t="str">
            <v>08004499</v>
          </cell>
          <cell r="I1378" t="str">
            <v>AL BARAKA BANK (PAKISTAN) LIMITED</v>
          </cell>
          <cell r="J1378" t="str">
            <v>BANK</v>
          </cell>
          <cell r="K1378" t="str">
            <v>M/s. Al Baraka Bank (Pakistan) Limited 
M/S. Al Baraka Bank (Pakistan) Limited 
User: Muhammad  Talha</v>
          </cell>
          <cell r="L1378" t="str">
            <v>D</v>
          </cell>
          <cell r="M1378" t="str">
            <v>09000221</v>
          </cell>
          <cell r="N1378">
            <v>100</v>
          </cell>
          <cell r="P1378" t="str">
            <v>H # 307 Street U Block A Gulshan-E-Ravi Lahore</v>
          </cell>
          <cell r="Q1378" t="str">
            <v>11000003</v>
          </cell>
          <cell r="R1378" t="str">
            <v>CHANGAN ALSVIN LUMEIRE</v>
          </cell>
          <cell r="S1378" t="str">
            <v>2022</v>
          </cell>
          <cell r="T1378" t="str">
            <v>AJJ-799</v>
          </cell>
          <cell r="U1378" t="str">
            <v>AD533337</v>
          </cell>
          <cell r="V1378" t="str">
            <v>N1007367</v>
          </cell>
          <cell r="W1378" t="str">
            <v>05-apr-2027</v>
          </cell>
          <cell r="Y1378">
            <v>2351200</v>
          </cell>
          <cell r="Z1378">
            <v>50672</v>
          </cell>
          <cell r="AA1378">
            <v>58780</v>
          </cell>
        </row>
        <row r="1379">
          <cell r="B1379" t="str">
            <v>KHI/HO/D/MO/PC COMP/C/108043/110/03/2025</v>
          </cell>
          <cell r="D1379" t="str">
            <v>REN</v>
          </cell>
          <cell r="E1379" t="str">
            <v>13/03/25</v>
          </cell>
          <cell r="F1379" t="str">
            <v>29/03/2025</v>
          </cell>
          <cell r="G1379" t="str">
            <v>28/03/2026</v>
          </cell>
          <cell r="H1379" t="str">
            <v>08004499</v>
          </cell>
          <cell r="I1379" t="str">
            <v>AL BARAKA BANK (PAKISTAN) LIMITED</v>
          </cell>
          <cell r="J1379" t="str">
            <v>BANK</v>
          </cell>
          <cell r="K1379" t="str">
            <v>M/s. Al Baraka Bank (Pakistan) Limited 
M/S. Al Baraka Bank (Pakistan) Limited 
User: Ali  Hamza</v>
          </cell>
          <cell r="L1379" t="str">
            <v>D</v>
          </cell>
          <cell r="M1379" t="str">
            <v>09000221</v>
          </cell>
          <cell r="N1379">
            <v>100</v>
          </cell>
          <cell r="P1379" t="str">
            <v>H No 1420 St No 09 Gali Sheikh Fazal Elahi Near Old Bakar Mandi Multan</v>
          </cell>
          <cell r="Q1379" t="str">
            <v>11000003</v>
          </cell>
          <cell r="R1379" t="str">
            <v>SUZUKI WAGON R VXL</v>
          </cell>
          <cell r="S1379" t="str">
            <v>2022</v>
          </cell>
          <cell r="T1379" t="str">
            <v>AKN-059</v>
          </cell>
          <cell r="U1379" t="str">
            <v>229902</v>
          </cell>
          <cell r="V1379" t="str">
            <v>10129900</v>
          </cell>
          <cell r="W1379" t="str">
            <v>05-aug-2027</v>
          </cell>
          <cell r="Y1379">
            <v>1667200</v>
          </cell>
          <cell r="Z1379">
            <v>35931</v>
          </cell>
          <cell r="AA1379">
            <v>41680</v>
          </cell>
        </row>
        <row r="1380">
          <cell r="B1380" t="str">
            <v>KHI/HO/D/MO/PC COMP/C/108043/111/03/2025</v>
          </cell>
          <cell r="D1380" t="str">
            <v>REN</v>
          </cell>
          <cell r="E1380" t="str">
            <v>13/03/25</v>
          </cell>
          <cell r="F1380" t="str">
            <v>29/03/2025</v>
          </cell>
          <cell r="G1380" t="str">
            <v>28/03/2026</v>
          </cell>
          <cell r="H1380" t="str">
            <v>08004499</v>
          </cell>
          <cell r="I1380" t="str">
            <v>AL BARAKA BANK (PAKISTAN) LIMITED</v>
          </cell>
          <cell r="J1380" t="str">
            <v>BANK</v>
          </cell>
          <cell r="K1380" t="str">
            <v>M/s. Al Baraka Bank (Pakistan) Limited 
M/S. Al Baraka Bank (Pakistan) Limited 
User: Waheed  Anwar</v>
          </cell>
          <cell r="L1380" t="str">
            <v>D</v>
          </cell>
          <cell r="M1380" t="str">
            <v>09000221</v>
          </cell>
          <cell r="N1380">
            <v>100</v>
          </cell>
          <cell r="P1380" t="str">
            <v>H # 1073 D Block Phase 6 Dha Lahore</v>
          </cell>
          <cell r="Q1380" t="str">
            <v>11000003</v>
          </cell>
          <cell r="R1380" t="str">
            <v>HONDA CITY ASPIRE 1.5  I-</v>
          </cell>
          <cell r="S1380" t="str">
            <v>2018</v>
          </cell>
          <cell r="T1380" t="str">
            <v>LEC-18A-4896</v>
          </cell>
          <cell r="U1380" t="str">
            <v>79792199</v>
          </cell>
          <cell r="V1380" t="str">
            <v>JR233983</v>
          </cell>
          <cell r="W1380" t="str">
            <v>06-apr-2026</v>
          </cell>
          <cell r="Y1380">
            <v>2000000</v>
          </cell>
          <cell r="Z1380">
            <v>43103</v>
          </cell>
          <cell r="AA1380">
            <v>50000</v>
          </cell>
        </row>
        <row r="1381">
          <cell r="B1381" t="str">
            <v>KHI/HO/D/MO/PC COMP/C/108043/112/03/2025</v>
          </cell>
          <cell r="D1381" t="str">
            <v>REN</v>
          </cell>
          <cell r="E1381" t="str">
            <v>13/03/25</v>
          </cell>
          <cell r="F1381" t="str">
            <v>29/03/2025</v>
          </cell>
          <cell r="G1381" t="str">
            <v>28/03/2026</v>
          </cell>
          <cell r="H1381" t="str">
            <v>08004499</v>
          </cell>
          <cell r="I1381" t="str">
            <v>AL BARAKA BANK (PAKISTAN) LIMITED</v>
          </cell>
          <cell r="J1381" t="str">
            <v>BANK</v>
          </cell>
          <cell r="K1381" t="str">
            <v>M/s. Al Baraka Bank (Pakistan) Limited 
M/S. Al Baraka Bank (Pakistan) Limited 
User: Muhammad  Arshad</v>
          </cell>
          <cell r="L1381" t="str">
            <v>D</v>
          </cell>
          <cell r="M1381" t="str">
            <v>09000221</v>
          </cell>
          <cell r="N1381">
            <v>100</v>
          </cell>
          <cell r="P1381" t="str">
            <v>H # 80-C Satellite Town Bahawalpur</v>
          </cell>
          <cell r="Q1381" t="str">
            <v>11000003</v>
          </cell>
          <cell r="R1381" t="str">
            <v>TOYOTA YARIS ATIV X CVT</v>
          </cell>
          <cell r="S1381" t="str">
            <v>2022</v>
          </cell>
          <cell r="T1381" t="str">
            <v>AJP-552</v>
          </cell>
          <cell r="U1381" t="str">
            <v>2A48657</v>
          </cell>
          <cell r="V1381" t="str">
            <v>7030403</v>
          </cell>
          <cell r="W1381" t="str">
            <v>05-apr-2027</v>
          </cell>
          <cell r="Y1381">
            <v>2360000</v>
          </cell>
          <cell r="Z1381">
            <v>35603</v>
          </cell>
          <cell r="AA1381">
            <v>41300</v>
          </cell>
        </row>
        <row r="1382">
          <cell r="B1382" t="str">
            <v>KHI/HO/D/MO/PC COMP/C/108043/113/03/2025</v>
          </cell>
          <cell r="D1382" t="str">
            <v>REN</v>
          </cell>
          <cell r="E1382" t="str">
            <v>13/03/25</v>
          </cell>
          <cell r="F1382" t="str">
            <v>29/03/2025</v>
          </cell>
          <cell r="G1382" t="str">
            <v>28/03/2026</v>
          </cell>
          <cell r="H1382" t="str">
            <v>08004499</v>
          </cell>
          <cell r="I1382" t="str">
            <v>AL BARAKA BANK (PAKISTAN) LIMITED</v>
          </cell>
          <cell r="J1382" t="str">
            <v>BANK</v>
          </cell>
          <cell r="K1382" t="str">
            <v>M/s. Al Baraka Bank (Pakistan) Limited 
M/S. Al Baraka Bank (Pakistan) Limited 
User: Muhammad  Aslam</v>
          </cell>
          <cell r="L1382" t="str">
            <v>D</v>
          </cell>
          <cell r="M1382" t="str">
            <v>09000221</v>
          </cell>
          <cell r="N1382">
            <v>100</v>
          </cell>
          <cell r="P1382" t="str">
            <v>H No 4/ A S Sharqi Colony Vehari</v>
          </cell>
          <cell r="Q1382" t="str">
            <v>11000003</v>
          </cell>
          <cell r="R1382" t="str">
            <v>HONDA CITY 1.2 LS MT</v>
          </cell>
          <cell r="S1382" t="str">
            <v>2021</v>
          </cell>
          <cell r="T1382" t="str">
            <v>AHG-417</v>
          </cell>
          <cell r="U1382" t="str">
            <v>51001933</v>
          </cell>
          <cell r="V1382" t="str">
            <v>MR002656</v>
          </cell>
          <cell r="W1382" t="str">
            <v>06-apr-2026</v>
          </cell>
          <cell r="Y1382">
            <v>2280000</v>
          </cell>
          <cell r="Z1382">
            <v>49138</v>
          </cell>
          <cell r="AA1382">
            <v>57000</v>
          </cell>
        </row>
        <row r="1383">
          <cell r="B1383" t="str">
            <v>KHI/HO/D/MO/PC COMP/C/108043/114/03/2025</v>
          </cell>
          <cell r="D1383" t="str">
            <v>REN</v>
          </cell>
          <cell r="E1383" t="str">
            <v>13/03/25</v>
          </cell>
          <cell r="F1383" t="str">
            <v>29/03/2025</v>
          </cell>
          <cell r="G1383" t="str">
            <v>28/03/2026</v>
          </cell>
          <cell r="H1383" t="str">
            <v>08004499</v>
          </cell>
          <cell r="I1383" t="str">
            <v>AL BARAKA BANK (PAKISTAN) LIMITED</v>
          </cell>
          <cell r="J1383" t="str">
            <v>BANK</v>
          </cell>
          <cell r="K1383" t="str">
            <v>M/s. Al Baraka Bank (Pakistan) Limited 
M/S. Al Baraka Bank (Pakistan) Limited 
User: Muhammad   Shahbaz</v>
          </cell>
          <cell r="L1383" t="str">
            <v>D</v>
          </cell>
          <cell r="M1383" t="str">
            <v>09000221</v>
          </cell>
          <cell r="N1383">
            <v>100</v>
          </cell>
          <cell r="P1383" t="str">
            <v>H # 8 Street 8 Amin Park Bilal Gunj Lahore</v>
          </cell>
          <cell r="Q1383" t="str">
            <v>11000003</v>
          </cell>
          <cell r="R1383" t="str">
            <v>SUZUKI MEHRAN VXR EURO-II</v>
          </cell>
          <cell r="S1383" t="str">
            <v>2017</v>
          </cell>
          <cell r="T1383" t="str">
            <v>LEC-17-3795</v>
          </cell>
          <cell r="U1383" t="str">
            <v>PKB678001</v>
          </cell>
          <cell r="V1383" t="str">
            <v>PK01216553</v>
          </cell>
          <cell r="W1383" t="str">
            <v>05-apr-2027</v>
          </cell>
          <cell r="Y1383">
            <v>692000</v>
          </cell>
          <cell r="Z1383">
            <v>14914</v>
          </cell>
          <cell r="AA1383">
            <v>17300</v>
          </cell>
        </row>
        <row r="1384">
          <cell r="B1384" t="str">
            <v>KHI/HO/D/MO/PC COMP/C/108043/115/03/2025</v>
          </cell>
          <cell r="D1384" t="str">
            <v>REN</v>
          </cell>
          <cell r="E1384" t="str">
            <v>13/03/25</v>
          </cell>
          <cell r="F1384" t="str">
            <v>30/03/2025</v>
          </cell>
          <cell r="G1384" t="str">
            <v>29/03/2026</v>
          </cell>
          <cell r="H1384" t="str">
            <v>08004499</v>
          </cell>
          <cell r="I1384" t="str">
            <v>AL BARAKA BANK (PAKISTAN) LIMITED</v>
          </cell>
          <cell r="J1384" t="str">
            <v>BANK</v>
          </cell>
          <cell r="K1384" t="str">
            <v>M/s. Al Baraka Bank (Pakistan) Limited 
M/S. Al Baraka Bank (Pakistan) Limited 
User: Muhammad  Shabbir</v>
          </cell>
          <cell r="L1384" t="str">
            <v>D</v>
          </cell>
          <cell r="M1384" t="str">
            <v>09000221</v>
          </cell>
          <cell r="N1384">
            <v>100</v>
          </cell>
          <cell r="P1384" t="str">
            <v>H # 12-A/3 Block A Satellite Town Upper Portion Rawalpindi</v>
          </cell>
          <cell r="Q1384" t="str">
            <v>11000003</v>
          </cell>
          <cell r="R1384" t="str">
            <v>SUZUKI ALTO VXR E-2</v>
          </cell>
          <cell r="S1384" t="str">
            <v>2022</v>
          </cell>
          <cell r="T1384" t="str">
            <v>AYA-286</v>
          </cell>
          <cell r="U1384" t="str">
            <v>220719</v>
          </cell>
          <cell r="V1384" t="str">
            <v>1120721</v>
          </cell>
          <cell r="W1384" t="str">
            <v>05-may-2027</v>
          </cell>
          <cell r="Y1384">
            <v>1206400</v>
          </cell>
          <cell r="Z1384">
            <v>18200</v>
          </cell>
          <cell r="AA1384">
            <v>21112</v>
          </cell>
        </row>
        <row r="1385">
          <cell r="B1385" t="str">
            <v>KHI/HO/D/MO/PC COMP/C/108043/116/03/2025</v>
          </cell>
          <cell r="D1385" t="str">
            <v>REN</v>
          </cell>
          <cell r="E1385" t="str">
            <v>13/03/25</v>
          </cell>
          <cell r="F1385" t="str">
            <v>30/03/2025</v>
          </cell>
          <cell r="G1385" t="str">
            <v>29/03/2026</v>
          </cell>
          <cell r="H1385" t="str">
            <v>08004499</v>
          </cell>
          <cell r="I1385" t="str">
            <v>AL BARAKA BANK (PAKISTAN) LIMITED</v>
          </cell>
          <cell r="J1385" t="str">
            <v>BANK</v>
          </cell>
          <cell r="K1385" t="str">
            <v>M/s. Al Baraka Bank (Pakistan) Limited 
M/S. Al Baraka Bank (Pakistan) Limited 
User: Nisar  Ahmad</v>
          </cell>
          <cell r="L1385" t="str">
            <v>D</v>
          </cell>
          <cell r="M1385" t="str">
            <v>09000221</v>
          </cell>
          <cell r="N1385">
            <v>100</v>
          </cell>
          <cell r="P1385" t="str">
            <v>Shamsani Khoi New Campus Johar Town Lahore</v>
          </cell>
          <cell r="Q1385" t="str">
            <v>11000003</v>
          </cell>
          <cell r="R1385" t="str">
            <v>TOYOTA COROLLA ALTIS VVT-</v>
          </cell>
          <cell r="S1385" t="str">
            <v>2022</v>
          </cell>
          <cell r="T1385" t="str">
            <v>AJJ-465</v>
          </cell>
          <cell r="U1385" t="str">
            <v>Q092417</v>
          </cell>
          <cell r="V1385" t="str">
            <v>6069954</v>
          </cell>
          <cell r="W1385" t="str">
            <v>05-apr-2027</v>
          </cell>
          <cell r="Y1385">
            <v>3144800</v>
          </cell>
          <cell r="Z1385">
            <v>40665</v>
          </cell>
          <cell r="AA1385">
            <v>47172</v>
          </cell>
        </row>
        <row r="1386">
          <cell r="B1386" t="str">
            <v>KHI/HO/D/MO/PC COMP/C/108043/117/03/2025</v>
          </cell>
          <cell r="D1386" t="str">
            <v>REN</v>
          </cell>
          <cell r="E1386" t="str">
            <v>13/03/25</v>
          </cell>
          <cell r="F1386" t="str">
            <v>30/03/2025</v>
          </cell>
          <cell r="G1386" t="str">
            <v>29/03/2026</v>
          </cell>
          <cell r="H1386" t="str">
            <v>08004499</v>
          </cell>
          <cell r="I1386" t="str">
            <v>AL BARAKA BANK (PAKISTAN) LIMITED</v>
          </cell>
          <cell r="J1386" t="str">
            <v>BANK</v>
          </cell>
          <cell r="K1386" t="str">
            <v>M/s. Al Baraka Bank (Pakistan) Limited 
M/S. Al Baraka Bank (Pakistan) Limited 
User: Khurram Saeed Malik</v>
          </cell>
          <cell r="L1386" t="str">
            <v>D</v>
          </cell>
          <cell r="M1386" t="str">
            <v>09000221</v>
          </cell>
          <cell r="N1386">
            <v>100</v>
          </cell>
          <cell r="P1386" t="str">
            <v>18-Abrar Street Education Town Extension Wahadat Road Lahore</v>
          </cell>
          <cell r="Q1386" t="str">
            <v>11000003</v>
          </cell>
          <cell r="R1386" t="str">
            <v>SUZUKI BOLAN</v>
          </cell>
          <cell r="S1386" t="str">
            <v>2022</v>
          </cell>
          <cell r="T1386" t="str">
            <v>AJX-753</v>
          </cell>
          <cell r="U1386" t="str">
            <v>PKT1022168</v>
          </cell>
          <cell r="V1386" t="str">
            <v>PK01138677</v>
          </cell>
          <cell r="W1386" t="str">
            <v>05-jun-2027</v>
          </cell>
          <cell r="Y1386">
            <v>1026400</v>
          </cell>
          <cell r="Z1386">
            <v>22121</v>
          </cell>
          <cell r="AA1386">
            <v>25660</v>
          </cell>
        </row>
        <row r="1387">
          <cell r="B1387" t="str">
            <v>KHI/HO/D/MO/PC COMP/C/108043/118/03/2025</v>
          </cell>
          <cell r="D1387" t="str">
            <v>REN</v>
          </cell>
          <cell r="E1387" t="str">
            <v>13/03/25</v>
          </cell>
          <cell r="F1387" t="str">
            <v>30/03/2025</v>
          </cell>
          <cell r="G1387" t="str">
            <v>29/03/2026</v>
          </cell>
          <cell r="H1387" t="str">
            <v>08004499</v>
          </cell>
          <cell r="I1387" t="str">
            <v>AL BARAKA BANK (PAKISTAN) LIMITED</v>
          </cell>
          <cell r="J1387" t="str">
            <v>BANK</v>
          </cell>
          <cell r="K1387" t="str">
            <v>M/s. Al Baraka Bank (Pakistan) Limited 
M/S. Al Baraka Bank (Pakistan) Limited 
User: Muhammad  Ibrahim</v>
          </cell>
          <cell r="L1387" t="str">
            <v>D</v>
          </cell>
          <cell r="M1387" t="str">
            <v>09000221</v>
          </cell>
          <cell r="N1387">
            <v>100</v>
          </cell>
          <cell r="P1387" t="str">
            <v>H No 3 Zaheer Town Marala Multan Road Lahore</v>
          </cell>
          <cell r="Q1387" t="str">
            <v>11000003</v>
          </cell>
          <cell r="R1387" t="str">
            <v>SUZUKI WAGON R VXL</v>
          </cell>
          <cell r="S1387" t="str">
            <v>2021</v>
          </cell>
          <cell r="T1387" t="str">
            <v>LEB-18-3639</v>
          </cell>
          <cell r="U1387" t="str">
            <v>148211</v>
          </cell>
          <cell r="V1387" t="str">
            <v>10048219</v>
          </cell>
          <cell r="W1387" t="str">
            <v>05-apr-2027</v>
          </cell>
          <cell r="Y1387">
            <v>1460000</v>
          </cell>
          <cell r="Z1387">
            <v>31465</v>
          </cell>
          <cell r="AA1387">
            <v>36500</v>
          </cell>
        </row>
        <row r="1388">
          <cell r="B1388" t="str">
            <v>KHI/HO/D/MO/PC COMP/C/108043/119/03/2025</v>
          </cell>
          <cell r="D1388" t="str">
            <v>REN</v>
          </cell>
          <cell r="E1388" t="str">
            <v>13/03/25</v>
          </cell>
          <cell r="F1388" t="str">
            <v>30/03/2025</v>
          </cell>
          <cell r="G1388" t="str">
            <v>29/03/2026</v>
          </cell>
          <cell r="H1388" t="str">
            <v>08004499</v>
          </cell>
          <cell r="I1388" t="str">
            <v>AL BARAKA BANK (PAKISTAN) LIMITED</v>
          </cell>
          <cell r="J1388" t="str">
            <v>BANK</v>
          </cell>
          <cell r="K1388" t="str">
            <v>M/s. Al Baraka Bank (Pakistan) Limited 
M/S. Al Baraka Bank (Pakistan) Limited 
User: Imtiaz  Ahmed</v>
          </cell>
          <cell r="L1388" t="str">
            <v>D</v>
          </cell>
          <cell r="M1388" t="str">
            <v>09000221</v>
          </cell>
          <cell r="N1388">
            <v>100</v>
          </cell>
          <cell r="P1388" t="str">
            <v>H # B-8 Sector 4-F Mominabad Zia Colony Orangi Town Karachi</v>
          </cell>
          <cell r="Q1388" t="str">
            <v>11000003</v>
          </cell>
          <cell r="R1388" t="str">
            <v>TOYOTA HILUX REVO G DC A/</v>
          </cell>
          <cell r="S1388" t="str">
            <v>2019</v>
          </cell>
          <cell r="T1388" t="str">
            <v>LA-1792</v>
          </cell>
          <cell r="U1388" t="str">
            <v>667744</v>
          </cell>
          <cell r="V1388" t="str">
            <v>5536163</v>
          </cell>
          <cell r="W1388" t="str">
            <v>06-apr-2026</v>
          </cell>
          <cell r="Y1388">
            <v>5360000</v>
          </cell>
          <cell r="Z1388">
            <v>69310</v>
          </cell>
          <cell r="AA1388">
            <v>80400</v>
          </cell>
        </row>
        <row r="1389">
          <cell r="B1389" t="str">
            <v>KHI/HO/D/MO/PC COMP/C/108043/120/03/2025</v>
          </cell>
          <cell r="D1389" t="str">
            <v>REN</v>
          </cell>
          <cell r="E1389" t="str">
            <v>13/03/25</v>
          </cell>
          <cell r="F1389" t="str">
            <v>31/03/2025</v>
          </cell>
          <cell r="G1389" t="str">
            <v>30/03/2026</v>
          </cell>
          <cell r="H1389" t="str">
            <v>08004499</v>
          </cell>
          <cell r="I1389" t="str">
            <v>AL BARAKA BANK (PAKISTAN) LIMITED</v>
          </cell>
          <cell r="J1389" t="str">
            <v>BANK</v>
          </cell>
          <cell r="K1389" t="str">
            <v>M/s. Al Baraka Bank (Pakistan) Limited 
M/S. Al Baraka Bank (Pakistan) Limited 
User: Qamar  Rizwan</v>
          </cell>
          <cell r="L1389" t="str">
            <v>D</v>
          </cell>
          <cell r="M1389" t="str">
            <v>09000221</v>
          </cell>
          <cell r="N1389">
            <v>100</v>
          </cell>
          <cell r="P1389" t="str">
            <v>P-212 Street 6 Al Masoom Town Faisalabad</v>
          </cell>
          <cell r="Q1389" t="str">
            <v>11000003</v>
          </cell>
          <cell r="R1389" t="str">
            <v>TOYOTA COROLLA ALTIS VVT-</v>
          </cell>
          <cell r="S1389" t="str">
            <v>2021</v>
          </cell>
          <cell r="T1389" t="str">
            <v>AJD-473</v>
          </cell>
          <cell r="U1389" t="str">
            <v>Q091893</v>
          </cell>
          <cell r="V1389" t="str">
            <v>6069421</v>
          </cell>
          <cell r="W1389" t="str">
            <v>05-apr-2027</v>
          </cell>
          <cell r="Y1389">
            <v>3144800</v>
          </cell>
          <cell r="Z1389">
            <v>40665</v>
          </cell>
          <cell r="AA1389">
            <v>47172</v>
          </cell>
        </row>
        <row r="1390">
          <cell r="B1390" t="str">
            <v>KHI/HO/D/MO/PC COMP/C/108043/121/03/2025</v>
          </cell>
          <cell r="D1390" t="str">
            <v>REN</v>
          </cell>
          <cell r="E1390" t="str">
            <v>13/03/25</v>
          </cell>
          <cell r="F1390" t="str">
            <v>31/03/2025</v>
          </cell>
          <cell r="G1390" t="str">
            <v>30/03/2026</v>
          </cell>
          <cell r="H1390" t="str">
            <v>08004499</v>
          </cell>
          <cell r="I1390" t="str">
            <v>AL BARAKA BANK (PAKISTAN) LIMITED</v>
          </cell>
          <cell r="J1390" t="str">
            <v>BANK</v>
          </cell>
          <cell r="K1390" t="str">
            <v>M/s. Al Baraka Bank (Pakistan) Limited 
M/S. Al Baraka Bank (Pakistan) Limited 
User: Syed  Malik  Shah</v>
          </cell>
          <cell r="L1390" t="str">
            <v>D</v>
          </cell>
          <cell r="M1390" t="str">
            <v>09000221</v>
          </cell>
          <cell r="N1390">
            <v>100</v>
          </cell>
          <cell r="P1390" t="str">
            <v>H # 101/11 G Floor Near Jahangir Masjid Jamshed Town Karachi</v>
          </cell>
          <cell r="Q1390" t="str">
            <v>11000003</v>
          </cell>
          <cell r="R1390" t="str">
            <v>TOYOTA COROLLA GLI M/T 1.</v>
          </cell>
          <cell r="S1390" t="str">
            <v>2018</v>
          </cell>
          <cell r="T1390" t="str">
            <v>BPD-806</v>
          </cell>
          <cell r="U1390" t="str">
            <v>524058</v>
          </cell>
          <cell r="V1390" t="str">
            <v>4149842</v>
          </cell>
          <cell r="W1390" t="str">
            <v>05-apr-2027</v>
          </cell>
          <cell r="Y1390">
            <v>2240000</v>
          </cell>
          <cell r="Z1390">
            <v>48276</v>
          </cell>
          <cell r="AA1390">
            <v>56000</v>
          </cell>
        </row>
        <row r="1391">
          <cell r="B1391" t="str">
            <v>KHI/HO/D/MO/PC COMP/C/108043/122/03/2025</v>
          </cell>
          <cell r="D1391" t="str">
            <v>REN</v>
          </cell>
          <cell r="E1391" t="str">
            <v>13/03/25</v>
          </cell>
          <cell r="F1391" t="str">
            <v>03/03/2025</v>
          </cell>
          <cell r="G1391" t="str">
            <v>02/03/2026</v>
          </cell>
          <cell r="H1391" t="str">
            <v>08004499</v>
          </cell>
          <cell r="I1391" t="str">
            <v>AL BARAKA BANK (PAKISTAN) LIMITED</v>
          </cell>
          <cell r="J1391" t="str">
            <v>BANK</v>
          </cell>
          <cell r="K1391" t="str">
            <v>M/s. Al Baraka Bank (Pakistan) Limited 
M/S. Al Baraka Bank (Pakistan) Limited 
User: Abdul  Raheem Sheikh</v>
          </cell>
          <cell r="L1391" t="str">
            <v>D</v>
          </cell>
          <cell r="M1391" t="str">
            <v>09000221</v>
          </cell>
          <cell r="N1391">
            <v>100</v>
          </cell>
          <cell r="P1391" t="str">
            <v>H # 86-C Khayaban-E-Jami Commercial Lane 2 Phase 7 Dha Karachi</v>
          </cell>
          <cell r="Q1391" t="str">
            <v>11000003</v>
          </cell>
          <cell r="R1391" t="str">
            <v>SUZUKI ALTO VXL AGS</v>
          </cell>
          <cell r="S1391" t="str">
            <v>2022</v>
          </cell>
          <cell r="T1391" t="str">
            <v>BDW-576</v>
          </cell>
          <cell r="U1391" t="str">
            <v>216010</v>
          </cell>
          <cell r="V1391" t="str">
            <v>1116020</v>
          </cell>
          <cell r="W1391" t="str">
            <v>05-mar-2027</v>
          </cell>
          <cell r="Y1391">
            <v>1251200</v>
          </cell>
          <cell r="Z1391">
            <v>26965</v>
          </cell>
          <cell r="AA1391">
            <v>31280</v>
          </cell>
        </row>
        <row r="1392">
          <cell r="B1392" t="str">
            <v>KHI/HO/D/MO/PC COMP/C/108043/123/03/2025</v>
          </cell>
          <cell r="D1392" t="str">
            <v>REN</v>
          </cell>
          <cell r="E1392" t="str">
            <v>13/03/25</v>
          </cell>
          <cell r="F1392" t="str">
            <v>31/03/2025</v>
          </cell>
          <cell r="G1392" t="str">
            <v>30/03/2026</v>
          </cell>
          <cell r="H1392" t="str">
            <v>08004499</v>
          </cell>
          <cell r="I1392" t="str">
            <v>AL BARAKA BANK (PAKISTAN) LIMITED</v>
          </cell>
          <cell r="J1392" t="str">
            <v>BANK</v>
          </cell>
          <cell r="K1392" t="str">
            <v>M/s. Al Baraka Bank (Pakistan) Limited 
M/S. Al Baraka Bank (Pakistan) Limited 
User: Amjad Manzoor Hussain</v>
          </cell>
          <cell r="L1392" t="str">
            <v>D</v>
          </cell>
          <cell r="M1392" t="str">
            <v>09000221</v>
          </cell>
          <cell r="N1392">
            <v>100</v>
          </cell>
          <cell r="P1392" t="str">
            <v>H # 3 Block Y Phase 3 Dha Lahore</v>
          </cell>
          <cell r="Q1392" t="str">
            <v>11000003</v>
          </cell>
          <cell r="R1392" t="str">
            <v>CHANGAN KARVAAN PLUS</v>
          </cell>
          <cell r="S1392" t="str">
            <v>2022</v>
          </cell>
          <cell r="T1392" t="str">
            <v>AJJ-073</v>
          </cell>
          <cell r="U1392" t="str">
            <v>506625</v>
          </cell>
          <cell r="V1392" t="str">
            <v>1013025</v>
          </cell>
          <cell r="W1392" t="str">
            <v>05-apr-2027</v>
          </cell>
          <cell r="Y1392">
            <v>1555200</v>
          </cell>
          <cell r="Z1392">
            <v>33517</v>
          </cell>
          <cell r="AA1392">
            <v>38880</v>
          </cell>
        </row>
        <row r="1393">
          <cell r="B1393" t="str">
            <v>KHI/HO/D/MO/PC COMP/C/108043/124/03/2025</v>
          </cell>
          <cell r="D1393" t="str">
            <v>REN</v>
          </cell>
          <cell r="E1393" t="str">
            <v>13/03/25</v>
          </cell>
          <cell r="F1393" t="str">
            <v>31/03/2025</v>
          </cell>
          <cell r="G1393" t="str">
            <v>30/03/2026</v>
          </cell>
          <cell r="H1393" t="str">
            <v>08004499</v>
          </cell>
          <cell r="I1393" t="str">
            <v>AL BARAKA BANK (PAKISTAN) LIMITED</v>
          </cell>
          <cell r="J1393" t="str">
            <v>BANK</v>
          </cell>
          <cell r="K1393" t="str">
            <v>M/s. Al Baraka Bank (Pakistan) Limited 
M/S. Al Baraka Bank (Pakistan) Limited 
User: Zeeshan   Shakeel</v>
          </cell>
          <cell r="L1393" t="str">
            <v>D</v>
          </cell>
          <cell r="M1393" t="str">
            <v>09000221</v>
          </cell>
          <cell r="N1393">
            <v>100</v>
          </cell>
          <cell r="P1393" t="str">
            <v>H # 29 Block C Kohsar Ph 2 Latifabad Hyderabad</v>
          </cell>
          <cell r="Q1393" t="str">
            <v>11000003</v>
          </cell>
          <cell r="R1393" t="str">
            <v>SUZUKI MEHRAN VXR EURO-II</v>
          </cell>
          <cell r="S1393" t="str">
            <v>2019</v>
          </cell>
          <cell r="T1393" t="str">
            <v>BRN-160</v>
          </cell>
          <cell r="U1393" t="str">
            <v>769524</v>
          </cell>
          <cell r="V1393" t="str">
            <v>1308061</v>
          </cell>
          <cell r="W1393" t="str">
            <v>05-apr-2027</v>
          </cell>
          <cell r="Y1393">
            <v>848000</v>
          </cell>
          <cell r="Z1393">
            <v>18276</v>
          </cell>
          <cell r="AA1393">
            <v>21200</v>
          </cell>
        </row>
        <row r="1394">
          <cell r="B1394" t="str">
            <v>KHI/HO/D/MO/PC COMP/C/108043/125/03/2025</v>
          </cell>
          <cell r="D1394" t="str">
            <v>REN</v>
          </cell>
          <cell r="E1394" t="str">
            <v>13/03/25</v>
          </cell>
          <cell r="F1394" t="str">
            <v>31/03/2025</v>
          </cell>
          <cell r="G1394" t="str">
            <v>30/03/2026</v>
          </cell>
          <cell r="H1394" t="str">
            <v>08004499</v>
          </cell>
          <cell r="I1394" t="str">
            <v>AL BARAKA BANK (PAKISTAN) LIMITED</v>
          </cell>
          <cell r="J1394" t="str">
            <v>BANK</v>
          </cell>
          <cell r="K1394" t="str">
            <v>M/s. Al Baraka Bank (Pakistan) Limited 
M/S. Al Baraka Bank (Pakistan) Limited 
User: Abrar  Hussain</v>
          </cell>
          <cell r="L1394" t="str">
            <v>D</v>
          </cell>
          <cell r="M1394" t="str">
            <v>09000221</v>
          </cell>
          <cell r="N1394">
            <v>100</v>
          </cell>
          <cell r="P1394" t="str">
            <v>Kalan Po Depalpur Chak 42/D Tehsil Okara</v>
          </cell>
          <cell r="Q1394" t="str">
            <v>11000003</v>
          </cell>
          <cell r="R1394" t="str">
            <v>SUZUKI CULTUS</v>
          </cell>
          <cell r="S1394" t="str">
            <v>2018</v>
          </cell>
          <cell r="T1394" t="str">
            <v>LEF-18-3340</v>
          </cell>
          <cell r="U1394" t="str">
            <v>121270</v>
          </cell>
          <cell r="V1394" t="str">
            <v>10021255</v>
          </cell>
          <cell r="W1394" t="str">
            <v>05-apr-2027</v>
          </cell>
          <cell r="Y1394">
            <v>1600000</v>
          </cell>
          <cell r="Z1394">
            <v>34483</v>
          </cell>
          <cell r="AA1394">
            <v>40000</v>
          </cell>
        </row>
        <row r="1395">
          <cell r="B1395" t="str">
            <v>KHI/HO/D/MO/PC COMP/C/108043/126/03/2025</v>
          </cell>
          <cell r="D1395" t="str">
            <v>REN</v>
          </cell>
          <cell r="E1395" t="str">
            <v>13/03/25</v>
          </cell>
          <cell r="F1395" t="str">
            <v>31/03/2025</v>
          </cell>
          <cell r="G1395" t="str">
            <v>30/03/2026</v>
          </cell>
          <cell r="H1395" t="str">
            <v>08004499</v>
          </cell>
          <cell r="I1395" t="str">
            <v>AL BARAKA BANK (PAKISTAN) LIMITED</v>
          </cell>
          <cell r="J1395" t="str">
            <v>BANK</v>
          </cell>
          <cell r="K1395" t="str">
            <v>M/s. Al Baraka Bank (Pakistan) Limited 
M/S. Al Baraka Bank (Pakistan) Limited 
User: Muhammad  Umair  Shoukat</v>
          </cell>
          <cell r="L1395" t="str">
            <v>D</v>
          </cell>
          <cell r="M1395" t="str">
            <v>09000221</v>
          </cell>
          <cell r="N1395">
            <v>100</v>
          </cell>
          <cell r="P1395" t="str">
            <v>H # P-13 Street 2 Aziz Park Gojra Distr Toba Tek Singh</v>
          </cell>
          <cell r="Q1395" t="str">
            <v>11000003</v>
          </cell>
          <cell r="R1395" t="str">
            <v>SUZUKI ALTO VXR E-2</v>
          </cell>
          <cell r="S1395" t="str">
            <v>2022</v>
          </cell>
          <cell r="T1395" t="str">
            <v>AJV-162</v>
          </cell>
          <cell r="U1395" t="str">
            <v>222501</v>
          </cell>
          <cell r="V1395" t="str">
            <v>1122504</v>
          </cell>
          <cell r="W1395" t="str">
            <v>05-apr-2027</v>
          </cell>
          <cell r="Y1395">
            <v>1236800</v>
          </cell>
          <cell r="Z1395">
            <v>26655</v>
          </cell>
          <cell r="AA1395">
            <v>30920</v>
          </cell>
        </row>
        <row r="1396">
          <cell r="B1396" t="str">
            <v>KHI/HO/D/MO/PC COMP/C/108043/127/03/2025</v>
          </cell>
          <cell r="D1396" t="str">
            <v>REN</v>
          </cell>
          <cell r="E1396" t="str">
            <v>13/03/25</v>
          </cell>
          <cell r="F1396" t="str">
            <v>31/03/2025</v>
          </cell>
          <cell r="G1396" t="str">
            <v>30/03/2026</v>
          </cell>
          <cell r="H1396" t="str">
            <v>08004499</v>
          </cell>
          <cell r="I1396" t="str">
            <v>AL BARAKA BANK (PAKISTAN) LIMITED</v>
          </cell>
          <cell r="J1396" t="str">
            <v>BANK</v>
          </cell>
          <cell r="K1396" t="str">
            <v>M/s. Al Baraka Bank (Pakistan) Limited 
M/S. Al Baraka Bank (Pakistan) Limited 
User: Tahir  Mehmood</v>
          </cell>
          <cell r="L1396" t="str">
            <v>D</v>
          </cell>
          <cell r="M1396" t="str">
            <v>09000221</v>
          </cell>
          <cell r="N1396">
            <v>100</v>
          </cell>
          <cell r="P1396" t="str">
            <v>H # 1 , Block-A1 Wapda Town Lhr</v>
          </cell>
          <cell r="Q1396" t="str">
            <v>11000003</v>
          </cell>
          <cell r="R1396" t="str">
            <v>TOYOTA COROLLA XLI A/T 1.</v>
          </cell>
          <cell r="S1396" t="str">
            <v>2019</v>
          </cell>
          <cell r="T1396" t="str">
            <v>LEF-9-5794</v>
          </cell>
          <cell r="U1396" t="str">
            <v>Z560254</v>
          </cell>
          <cell r="V1396" t="str">
            <v>4186056</v>
          </cell>
          <cell r="W1396" t="str">
            <v>06-apr-2026</v>
          </cell>
          <cell r="Y1396">
            <v>2200000</v>
          </cell>
          <cell r="Z1396">
            <v>47414</v>
          </cell>
          <cell r="AA1396">
            <v>55000</v>
          </cell>
        </row>
        <row r="1397">
          <cell r="B1397" t="str">
            <v>KHI/HO/D/MO/PC COMP/C/108043/128/03/2025</v>
          </cell>
          <cell r="D1397" t="str">
            <v>REN</v>
          </cell>
          <cell r="E1397" t="str">
            <v>13/03/25</v>
          </cell>
          <cell r="F1397" t="str">
            <v>31/03/2025</v>
          </cell>
          <cell r="G1397" t="str">
            <v>30/03/2026</v>
          </cell>
          <cell r="H1397" t="str">
            <v>08004499</v>
          </cell>
          <cell r="I1397" t="str">
            <v>AL BARAKA BANK (PAKISTAN) LIMITED</v>
          </cell>
          <cell r="J1397" t="str">
            <v>BANK</v>
          </cell>
          <cell r="K1397" t="str">
            <v>M/s. Al Baraka Bank (Pakistan) Limited 
M/S. Al Baraka Bank (Pakistan) Limited 
User: Ilyas  Khan</v>
          </cell>
          <cell r="L1397" t="str">
            <v>D</v>
          </cell>
          <cell r="M1397" t="str">
            <v>09000221</v>
          </cell>
          <cell r="N1397">
            <v>100</v>
          </cell>
          <cell r="P1397" t="str">
            <v>Appartment 117 1St Floor Block D Paradise Villa D-17/2 Mvhs Islamabad</v>
          </cell>
          <cell r="Q1397" t="str">
            <v>11000003</v>
          </cell>
          <cell r="R1397" t="str">
            <v>SUZUKI CULTUS VXL EURO II</v>
          </cell>
          <cell r="S1397" t="str">
            <v>2021</v>
          </cell>
          <cell r="T1397" t="str">
            <v>ARK-558</v>
          </cell>
          <cell r="U1397" t="str">
            <v>181014</v>
          </cell>
          <cell r="V1397" t="str">
            <v>10081014</v>
          </cell>
          <cell r="W1397" t="str">
            <v>05-apr-2027</v>
          </cell>
          <cell r="Y1397">
            <v>1800000</v>
          </cell>
          <cell r="Z1397">
            <v>38793</v>
          </cell>
          <cell r="AA1397">
            <v>45000</v>
          </cell>
        </row>
        <row r="1398">
          <cell r="B1398" t="str">
            <v>KHI/HO/D/MO/PC COMP/C/108043/129/03/2025</v>
          </cell>
          <cell r="D1398" t="str">
            <v>REN</v>
          </cell>
          <cell r="E1398" t="str">
            <v>13/03/25</v>
          </cell>
          <cell r="F1398" t="str">
            <v>31/03/2025</v>
          </cell>
          <cell r="G1398" t="str">
            <v>30/03/2026</v>
          </cell>
          <cell r="H1398" t="str">
            <v>08004499</v>
          </cell>
          <cell r="I1398" t="str">
            <v>AL BARAKA BANK (PAKISTAN) LIMITED</v>
          </cell>
          <cell r="J1398" t="str">
            <v>BANK</v>
          </cell>
          <cell r="K1398" t="str">
            <v>M/s. Al Baraka Bank (Pakistan) Limited 
M/S. Al Baraka Bank (Pakistan) Limited 
User: Shagufta   Abbas</v>
          </cell>
          <cell r="L1398" t="str">
            <v>D</v>
          </cell>
          <cell r="M1398" t="str">
            <v>09000221</v>
          </cell>
          <cell r="N1398">
            <v>100</v>
          </cell>
          <cell r="P1398" t="str">
            <v>H # P-18 Street 1 Satiyana Road Rehman Town Faisalabad</v>
          </cell>
          <cell r="Q1398" t="str">
            <v>11000003</v>
          </cell>
          <cell r="R1398" t="str">
            <v>TOYOTA COROLLA ALTIS VVT-</v>
          </cell>
          <cell r="S1398" t="str">
            <v>2019</v>
          </cell>
          <cell r="T1398" t="str">
            <v>LEF-19-211</v>
          </cell>
          <cell r="U1398" t="str">
            <v>Q059780</v>
          </cell>
          <cell r="V1398" t="str">
            <v>ZRE17R-6037279</v>
          </cell>
          <cell r="W1398" t="str">
            <v>05-apr-2027</v>
          </cell>
          <cell r="Y1398">
            <v>2880000</v>
          </cell>
          <cell r="Z1398">
            <v>37242</v>
          </cell>
          <cell r="AA1398">
            <v>43200</v>
          </cell>
        </row>
        <row r="1399">
          <cell r="B1399" t="str">
            <v>KHI/HO/D/MO/PC COMP/C/108043/130/03/2025</v>
          </cell>
          <cell r="D1399" t="str">
            <v>REN</v>
          </cell>
          <cell r="E1399" t="str">
            <v>13/03/25</v>
          </cell>
          <cell r="F1399" t="str">
            <v>04/03/2025</v>
          </cell>
          <cell r="G1399" t="str">
            <v>03/03/2026</v>
          </cell>
          <cell r="H1399" t="str">
            <v>08004499</v>
          </cell>
          <cell r="I1399" t="str">
            <v>AL BARAKA BANK (PAKISTAN) LIMITED</v>
          </cell>
          <cell r="J1399" t="str">
            <v>BANK</v>
          </cell>
          <cell r="K1399" t="str">
            <v>M/s. Al Baraka Bank (Pakistan) Limited 
M/S. Al Baraka Bank (Pakistan) Limited 
User: Umar  Faraz</v>
          </cell>
          <cell r="L1399" t="str">
            <v>D</v>
          </cell>
          <cell r="M1399" t="str">
            <v>09000221</v>
          </cell>
          <cell r="N1399">
            <v>100</v>
          </cell>
          <cell r="P1399" t="str">
            <v>Moh Sharif Abad Tali Chowk Tarlai Islamabad</v>
          </cell>
          <cell r="Q1399" t="str">
            <v>11000003</v>
          </cell>
          <cell r="R1399" t="str">
            <v>SUZUKI WAGON R VXL</v>
          </cell>
          <cell r="S1399" t="str">
            <v>2022</v>
          </cell>
          <cell r="T1399" t="str">
            <v>LEB17-2720</v>
          </cell>
          <cell r="U1399" t="str">
            <v>13126650</v>
          </cell>
          <cell r="V1399" t="str">
            <v>10026661</v>
          </cell>
          <cell r="W1399" t="str">
            <v>05-apr-2027</v>
          </cell>
          <cell r="Y1399">
            <v>1040000</v>
          </cell>
          <cell r="Z1399">
            <v>22414</v>
          </cell>
          <cell r="AA1399">
            <v>26000</v>
          </cell>
        </row>
        <row r="1400">
          <cell r="B1400" t="str">
            <v>KHI/HO/D/MO/PC COMP/C/108043/131/03/2025</v>
          </cell>
          <cell r="D1400" t="str">
            <v>REN</v>
          </cell>
          <cell r="E1400" t="str">
            <v>13/03/25</v>
          </cell>
          <cell r="F1400" t="str">
            <v>31/03/2025</v>
          </cell>
          <cell r="G1400" t="str">
            <v>30/03/2026</v>
          </cell>
          <cell r="H1400" t="str">
            <v>08004499</v>
          </cell>
          <cell r="I1400" t="str">
            <v>AL BARAKA BANK (PAKISTAN) LIMITED</v>
          </cell>
          <cell r="J1400" t="str">
            <v>BANK</v>
          </cell>
          <cell r="K1400" t="str">
            <v>M/s. Al Baraka Bank (Pakistan) Limited 
M/S. Al Baraka Bank (Pakistan) Limited 
User: Muhammad Ikram Khan</v>
          </cell>
          <cell r="L1400" t="str">
            <v>D</v>
          </cell>
          <cell r="M1400" t="str">
            <v>09000221</v>
          </cell>
          <cell r="N1400">
            <v>100</v>
          </cell>
          <cell r="P1400" t="str">
            <v>H # 13-A Waqas Block Rizwan Garden Harbanspura Lahore</v>
          </cell>
          <cell r="Q1400" t="str">
            <v>11000003</v>
          </cell>
          <cell r="R1400" t="str">
            <v>SUZUKI ALTO VX EURO II</v>
          </cell>
          <cell r="S1400" t="str">
            <v>2021</v>
          </cell>
          <cell r="T1400" t="str">
            <v>AEF-326</v>
          </cell>
          <cell r="U1400" t="str">
            <v>6R167452</v>
          </cell>
          <cell r="V1400" t="str">
            <v>H1067473</v>
          </cell>
          <cell r="W1400" t="str">
            <v>05-apr-2027</v>
          </cell>
          <cell r="Y1400">
            <v>1040000</v>
          </cell>
          <cell r="Z1400">
            <v>22414</v>
          </cell>
          <cell r="AA1400">
            <v>26000</v>
          </cell>
        </row>
        <row r="1401">
          <cell r="B1401" t="str">
            <v>KHI/HO/D/MO/PC COMP/C/108043/132/03/2025</v>
          </cell>
          <cell r="D1401" t="str">
            <v>REN</v>
          </cell>
          <cell r="E1401" t="str">
            <v>13/03/25</v>
          </cell>
          <cell r="F1401" t="str">
            <v>31/03/2025</v>
          </cell>
          <cell r="G1401" t="str">
            <v>30/03/2026</v>
          </cell>
          <cell r="H1401" t="str">
            <v>08004499</v>
          </cell>
          <cell r="I1401" t="str">
            <v>AL BARAKA BANK (PAKISTAN) LIMITED</v>
          </cell>
          <cell r="J1401" t="str">
            <v>BANK</v>
          </cell>
          <cell r="K1401" t="str">
            <v>M/s. Al Baraka Bank (Pakistan) Limited 
M/S. Al Baraka Bank (Pakistan) Limited 
User: Atta Ur Rehman</v>
          </cell>
          <cell r="L1401" t="str">
            <v>D</v>
          </cell>
          <cell r="M1401" t="str">
            <v>09000221</v>
          </cell>
          <cell r="N1401">
            <v>100</v>
          </cell>
          <cell r="P1401" t="str">
            <v>H# S2/266 Saudabad Malir Karachi</v>
          </cell>
          <cell r="Q1401" t="str">
            <v>11000003</v>
          </cell>
          <cell r="R1401" t="str">
            <v>SUZUKI ALTO VXL AGS E-2</v>
          </cell>
          <cell r="S1401" t="str">
            <v>2022</v>
          </cell>
          <cell r="T1401" t="str">
            <v>BWD-919</v>
          </cell>
          <cell r="U1401" t="str">
            <v>220773</v>
          </cell>
          <cell r="V1401" t="str">
            <v>1120828</v>
          </cell>
          <cell r="W1401" t="str">
            <v>05-apr-2027</v>
          </cell>
          <cell r="Y1401">
            <v>1397600</v>
          </cell>
          <cell r="Z1401">
            <v>21084</v>
          </cell>
          <cell r="AA1401">
            <v>24458</v>
          </cell>
        </row>
        <row r="1402">
          <cell r="B1402" t="str">
            <v>KHI/HO/D/MO/PC COMP/C/108043/133/03/2025</v>
          </cell>
          <cell r="D1402" t="str">
            <v>REN</v>
          </cell>
          <cell r="E1402" t="str">
            <v>13/03/25</v>
          </cell>
          <cell r="F1402" t="str">
            <v>31/03/2025</v>
          </cell>
          <cell r="G1402" t="str">
            <v>30/03/2026</v>
          </cell>
          <cell r="H1402" t="str">
            <v>08004499</v>
          </cell>
          <cell r="I1402" t="str">
            <v>AL BARAKA BANK (PAKISTAN) LIMITED</v>
          </cell>
          <cell r="J1402" t="str">
            <v>BANK</v>
          </cell>
          <cell r="K1402" t="str">
            <v>M/s. Al Baraka Bank (Pakistan) Limited 
M/S. Al Baraka Bank (Pakistan) Limited 
User: Rehan  Zarar</v>
          </cell>
          <cell r="L1402" t="str">
            <v>D</v>
          </cell>
          <cell r="M1402" t="str">
            <v>09000221</v>
          </cell>
          <cell r="N1402">
            <v>100</v>
          </cell>
          <cell r="P1402" t="str">
            <v>House No. 335 M-7 A Lake City, Lahore.</v>
          </cell>
          <cell r="Q1402" t="str">
            <v>11000003</v>
          </cell>
          <cell r="R1402" t="str">
            <v>TOYOTA COROLLA ALTIS 1.6</v>
          </cell>
          <cell r="S1402" t="str">
            <v>2022</v>
          </cell>
          <cell r="T1402" t="str">
            <v>AJX-780</v>
          </cell>
          <cell r="U1402" t="str">
            <v>Q092474</v>
          </cell>
          <cell r="V1402" t="str">
            <v>6069935</v>
          </cell>
          <cell r="W1402" t="str">
            <v>05-apr-2027</v>
          </cell>
          <cell r="Y1402">
            <v>3144800</v>
          </cell>
          <cell r="Z1402">
            <v>40665</v>
          </cell>
          <cell r="AA1402">
            <v>47172</v>
          </cell>
        </row>
        <row r="1403">
          <cell r="B1403" t="str">
            <v>KHI/HO/D/MO/PC COMP/C/108043/134/03/2025</v>
          </cell>
          <cell r="D1403" t="str">
            <v>REN</v>
          </cell>
          <cell r="E1403" t="str">
            <v>13/03/25</v>
          </cell>
          <cell r="F1403" t="str">
            <v>31/03/2025</v>
          </cell>
          <cell r="G1403" t="str">
            <v>30/03/2026</v>
          </cell>
          <cell r="H1403" t="str">
            <v>08004499</v>
          </cell>
          <cell r="I1403" t="str">
            <v>AL BARAKA BANK (PAKISTAN) LIMITED</v>
          </cell>
          <cell r="J1403" t="str">
            <v>BANK</v>
          </cell>
          <cell r="K1403" t="str">
            <v>M/s. Al Baraka Bank (Pakistan) Limited 
M/S. Al Baraka Bank (Pakistan) Limited 
User: Raja  Rashid Mahmood Qasim</v>
          </cell>
          <cell r="L1403" t="str">
            <v>D</v>
          </cell>
          <cell r="M1403" t="str">
            <v>09000221</v>
          </cell>
          <cell r="N1403">
            <v>100</v>
          </cell>
          <cell r="P1403" t="str">
            <v>House No. 56-C, Tech Town, Satana Road, Faisalabad.</v>
          </cell>
          <cell r="Q1403" t="str">
            <v>11000003</v>
          </cell>
          <cell r="R1403" t="str">
            <v>TOYOTA YARIS 1.5 CVT X</v>
          </cell>
          <cell r="S1403" t="str">
            <v>2020</v>
          </cell>
          <cell r="T1403" t="str">
            <v>AAF-267</v>
          </cell>
          <cell r="U1403" t="str">
            <v>ZA04992</v>
          </cell>
          <cell r="V1403" t="str">
            <v>NSP150R-7002623</v>
          </cell>
          <cell r="W1403" t="str">
            <v>05-apr-2027</v>
          </cell>
          <cell r="Y1403">
            <v>2280000</v>
          </cell>
          <cell r="Z1403">
            <v>49138</v>
          </cell>
          <cell r="AA1403">
            <v>57000</v>
          </cell>
        </row>
        <row r="1404">
          <cell r="B1404" t="str">
            <v>KHI/HO/D/MO/PC COMP/C/108043/135/03/2025</v>
          </cell>
          <cell r="D1404" t="str">
            <v>REN</v>
          </cell>
          <cell r="E1404" t="str">
            <v>13/03/25</v>
          </cell>
          <cell r="F1404" t="str">
            <v>01/04/2025</v>
          </cell>
          <cell r="G1404" t="str">
            <v>31/03/2026</v>
          </cell>
          <cell r="H1404" t="str">
            <v>08004499</v>
          </cell>
          <cell r="I1404" t="str">
            <v>AL BARAKA BANK (PAKISTAN) LIMITED</v>
          </cell>
          <cell r="J1404" t="str">
            <v>BANK</v>
          </cell>
          <cell r="K1404" t="str">
            <v>M/s. Al Baraka Bank (Pakistan) Limited 
M/S. Al Baraka Bank (Pakistan) Limited 
User: Muhammad  Usman</v>
          </cell>
          <cell r="L1404" t="str">
            <v>D</v>
          </cell>
          <cell r="M1404" t="str">
            <v>09000221</v>
          </cell>
          <cell r="N1404">
            <v>100</v>
          </cell>
          <cell r="P1404" t="str">
            <v>H # 98 Street 16-B Rustam Park Gulgasht Colony More Samanabad Multan Road Lahore E</v>
          </cell>
          <cell r="Q1404" t="str">
            <v>11000003</v>
          </cell>
          <cell r="R1404" t="str">
            <v>SUZUKI WAGON-R VXL E2</v>
          </cell>
          <cell r="S1404" t="str">
            <v>2020</v>
          </cell>
          <cell r="T1404" t="str">
            <v>LEB-20-2081</v>
          </cell>
          <cell r="U1404" t="str">
            <v>198746</v>
          </cell>
          <cell r="V1404" t="str">
            <v>10098753</v>
          </cell>
          <cell r="W1404" t="str">
            <v>05-apr-2027</v>
          </cell>
          <cell r="Y1404">
            <v>1320000</v>
          </cell>
          <cell r="Z1404">
            <v>28449</v>
          </cell>
          <cell r="AA1404">
            <v>33000</v>
          </cell>
        </row>
        <row r="1405">
          <cell r="B1405" t="str">
            <v>KHI/HO/D/MO/PC COMP/C/108043/136/03/2025</v>
          </cell>
          <cell r="D1405" t="str">
            <v>REN</v>
          </cell>
          <cell r="E1405" t="str">
            <v>13/03/25</v>
          </cell>
          <cell r="F1405" t="str">
            <v>02/03/2025</v>
          </cell>
          <cell r="G1405" t="str">
            <v>01/03/2026</v>
          </cell>
          <cell r="H1405" t="str">
            <v>08004499</v>
          </cell>
          <cell r="I1405" t="str">
            <v>AL BARAKA BANK (PAKISTAN) LIMITED</v>
          </cell>
          <cell r="J1405" t="str">
            <v>BANK</v>
          </cell>
          <cell r="K1405" t="str">
            <v>M/s. Al Baraka Bank (Pakistan) Limited 
M/S. Al Baraka Bank (Pakistan) Limited 
User: Majid  Saeed</v>
          </cell>
          <cell r="L1405" t="str">
            <v>D</v>
          </cell>
          <cell r="M1405" t="str">
            <v>09000221</v>
          </cell>
          <cell r="N1405">
            <v>100</v>
          </cell>
          <cell r="P1405" t="str">
            <v>House No./ 26 Faisal Street Ahata Molchand Ichra Lahore</v>
          </cell>
          <cell r="Q1405" t="str">
            <v>11000003</v>
          </cell>
          <cell r="R1405" t="str">
            <v>SUZUKI ALTO VXL AGS E-2</v>
          </cell>
          <cell r="S1405" t="str">
            <v>2021</v>
          </cell>
          <cell r="T1405" t="str">
            <v>ADJ-911</v>
          </cell>
          <cell r="U1405" t="str">
            <v>6R156012</v>
          </cell>
          <cell r="V1405" t="str">
            <v>H1055988</v>
          </cell>
          <cell r="W1405" t="str">
            <v>06-mar-2028</v>
          </cell>
          <cell r="Y1405">
            <v>1224750</v>
          </cell>
          <cell r="Z1405">
            <v>26396</v>
          </cell>
          <cell r="AA1405">
            <v>30619</v>
          </cell>
        </row>
        <row r="1406">
          <cell r="B1406" t="str">
            <v>KHI/HO/D/MO/PC COMP/C/108043/137/03/2025</v>
          </cell>
          <cell r="D1406" t="str">
            <v>REN</v>
          </cell>
          <cell r="E1406" t="str">
            <v>13/03/25</v>
          </cell>
          <cell r="F1406" t="str">
            <v>11/03/2025</v>
          </cell>
          <cell r="G1406" t="str">
            <v>10/03/2026</v>
          </cell>
          <cell r="H1406" t="str">
            <v>08004499</v>
          </cell>
          <cell r="I1406" t="str">
            <v>AL BARAKA BANK (PAKISTAN) LIMITED</v>
          </cell>
          <cell r="J1406" t="str">
            <v>BANK</v>
          </cell>
          <cell r="K1406" t="str">
            <v>M/s. Al Baraka Bank (Pakistan) Limited 
M/S. Al Baraka Bank (Pakistan) Limited 
User: Mohsin  -</v>
          </cell>
          <cell r="L1406" t="str">
            <v>D</v>
          </cell>
          <cell r="M1406" t="str">
            <v>09000221</v>
          </cell>
          <cell r="N1406">
            <v>100</v>
          </cell>
          <cell r="P1406" t="str">
            <v>Sanda No. 4-T Near Lal Factory Band Road Lahore</v>
          </cell>
          <cell r="Q1406" t="str">
            <v>11000003</v>
          </cell>
          <cell r="R1406" t="str">
            <v>SUZUKI WAGON-R VXL E2</v>
          </cell>
          <cell r="S1406" t="str">
            <v>2021</v>
          </cell>
          <cell r="T1406" t="str">
            <v>ACM-620</v>
          </cell>
          <cell r="U1406" t="str">
            <v>210990</v>
          </cell>
          <cell r="V1406" t="str">
            <v>10110991</v>
          </cell>
          <cell r="W1406" t="str">
            <v>06-apr-2026</v>
          </cell>
          <cell r="Y1406">
            <v>1297500</v>
          </cell>
          <cell r="Z1406">
            <v>27963</v>
          </cell>
          <cell r="AA1406">
            <v>32438</v>
          </cell>
        </row>
        <row r="1407">
          <cell r="B1407" t="str">
            <v>KHI/HO/D/MO/PC COMP/C/108043/138/03/2025</v>
          </cell>
          <cell r="D1407" t="str">
            <v>REN</v>
          </cell>
          <cell r="E1407" t="str">
            <v>13/03/25</v>
          </cell>
          <cell r="F1407" t="str">
            <v>15/03/2025</v>
          </cell>
          <cell r="G1407" t="str">
            <v>14/03/2026</v>
          </cell>
          <cell r="H1407" t="str">
            <v>08004499</v>
          </cell>
          <cell r="I1407" t="str">
            <v>AL BARAKA BANK (PAKISTAN) LIMITED</v>
          </cell>
          <cell r="J1407" t="str">
            <v>BANK</v>
          </cell>
          <cell r="K1407" t="str">
            <v>M/s. Al Baraka Bank (Pakistan) Limited 
M/S. Al Baraka Bank (Pakistan) Limited 
User: Dawood  Ahmed</v>
          </cell>
          <cell r="L1407" t="str">
            <v>D</v>
          </cell>
          <cell r="M1407" t="str">
            <v>09000221</v>
          </cell>
          <cell r="N1407">
            <v>100</v>
          </cell>
          <cell r="P1407" t="str">
            <v>Tariq Colony Begum Kot Shahdra Lahore</v>
          </cell>
          <cell r="Q1407" t="str">
            <v>11000003</v>
          </cell>
          <cell r="R1407" t="str">
            <v>SUZUKI WAGON-R VXL E2</v>
          </cell>
          <cell r="S1407" t="str">
            <v>2021</v>
          </cell>
          <cell r="T1407" t="str">
            <v>ACL-370</v>
          </cell>
          <cell r="U1407" t="str">
            <v>211140</v>
          </cell>
          <cell r="V1407" t="str">
            <v>10111104</v>
          </cell>
          <cell r="W1407" t="str">
            <v>06-apr-2026</v>
          </cell>
          <cell r="Y1407">
            <v>1297500</v>
          </cell>
          <cell r="Z1407">
            <v>27963</v>
          </cell>
          <cell r="AA1407">
            <v>32438</v>
          </cell>
        </row>
        <row r="1408">
          <cell r="B1408" t="str">
            <v>KHI/HO/D/MO/PC COMP/C/108043/139/03/2025</v>
          </cell>
          <cell r="D1408" t="str">
            <v>REN</v>
          </cell>
          <cell r="E1408" t="str">
            <v>13/03/25</v>
          </cell>
          <cell r="F1408" t="str">
            <v>16/03/2025</v>
          </cell>
          <cell r="G1408" t="str">
            <v>15/03/2026</v>
          </cell>
          <cell r="H1408" t="str">
            <v>08004499</v>
          </cell>
          <cell r="I1408" t="str">
            <v>AL BARAKA BANK (PAKISTAN) LIMITED</v>
          </cell>
          <cell r="J1408" t="str">
            <v>BANK</v>
          </cell>
          <cell r="K1408" t="str">
            <v>M/s. Al Baraka Bank (Pakistan) Limited 
M/S. Al Baraka Bank (Pakistan) Limited 
User: Javaid  Gulzar</v>
          </cell>
          <cell r="L1408" t="str">
            <v>D</v>
          </cell>
          <cell r="M1408" t="str">
            <v>09000221</v>
          </cell>
          <cell r="N1408">
            <v>100</v>
          </cell>
          <cell r="P1408" t="str">
            <v>House No. 495 Street 07 Afohs Complex Karachi</v>
          </cell>
          <cell r="Q1408" t="str">
            <v>11000003</v>
          </cell>
          <cell r="R1408" t="str">
            <v>SUZUKI ALTO VXL AGS E-2</v>
          </cell>
          <cell r="S1408" t="str">
            <v>2021</v>
          </cell>
          <cell r="T1408" t="str">
            <v>BTL-034</v>
          </cell>
          <cell r="U1408" t="str">
            <v>157202</v>
          </cell>
          <cell r="V1408" t="str">
            <v>1057189</v>
          </cell>
          <cell r="W1408" t="str">
            <v>06-apr-2026</v>
          </cell>
          <cell r="Y1408">
            <v>1224750</v>
          </cell>
          <cell r="Z1408">
            <v>26396</v>
          </cell>
          <cell r="AA1408">
            <v>30619</v>
          </cell>
        </row>
        <row r="1409">
          <cell r="B1409" t="str">
            <v>KHI/HO/D/MO/PC COMP/C/108043/140/03/2025</v>
          </cell>
          <cell r="D1409" t="str">
            <v>REN</v>
          </cell>
          <cell r="E1409" t="str">
            <v>13/03/25</v>
          </cell>
          <cell r="F1409" t="str">
            <v>19/03/2025</v>
          </cell>
          <cell r="G1409" t="str">
            <v>18/03/2026</v>
          </cell>
          <cell r="H1409" t="str">
            <v>08004499</v>
          </cell>
          <cell r="I1409" t="str">
            <v>AL BARAKA BANK (PAKISTAN) LIMITED</v>
          </cell>
          <cell r="J1409" t="str">
            <v>BANK</v>
          </cell>
          <cell r="K1409" t="str">
            <v>M/s. Al Baraka Bank (Pakistan) Limited 
M/S. Al Baraka Bank (Pakistan) Limited 
User: Muhammad Naveed Shaukat</v>
          </cell>
          <cell r="L1409" t="str">
            <v>D</v>
          </cell>
          <cell r="M1409" t="str">
            <v>09000221</v>
          </cell>
          <cell r="N1409">
            <v>100</v>
          </cell>
          <cell r="P1409" t="str">
            <v>House No. 16 Street 02 Sector G Dha Phase 2 Islamabad</v>
          </cell>
          <cell r="Q1409" t="str">
            <v>11000003</v>
          </cell>
          <cell r="R1409" t="str">
            <v>SUZUKI WAGON-R VXR</v>
          </cell>
          <cell r="S1409" t="str">
            <v>2021</v>
          </cell>
          <cell r="T1409" t="str">
            <v>ATH-411</v>
          </cell>
          <cell r="U1409" t="str">
            <v>211147</v>
          </cell>
          <cell r="V1409" t="str">
            <v>10111140</v>
          </cell>
          <cell r="W1409" t="str">
            <v>06-apr-2026</v>
          </cell>
          <cell r="Y1409">
            <v>1417500</v>
          </cell>
          <cell r="Z1409">
            <v>30549</v>
          </cell>
          <cell r="AA1409">
            <v>35438</v>
          </cell>
        </row>
        <row r="1410">
          <cell r="B1410" t="str">
            <v>KHI/HO/D/MO/PC COMP/C/108043/141/03/2025</v>
          </cell>
          <cell r="D1410" t="str">
            <v>REN</v>
          </cell>
          <cell r="E1410" t="str">
            <v>13/03/25</v>
          </cell>
          <cell r="F1410" t="str">
            <v>24/03/2025</v>
          </cell>
          <cell r="G1410" t="str">
            <v>23/03/2026</v>
          </cell>
          <cell r="H1410" t="str">
            <v>08004499</v>
          </cell>
          <cell r="I1410" t="str">
            <v>AL BARAKA BANK (PAKISTAN) LIMITED</v>
          </cell>
          <cell r="J1410" t="str">
            <v>BANK</v>
          </cell>
          <cell r="K1410" t="str">
            <v>M/s. Al Baraka Bank (Pakistan) Limited 
M/S. Al Baraka Bank (Pakistan) Limited 
User: Muhammad Ahsan Latif</v>
          </cell>
          <cell r="L1410" t="str">
            <v>D</v>
          </cell>
          <cell r="M1410" t="str">
            <v>09000221</v>
          </cell>
          <cell r="N1410">
            <v>100</v>
          </cell>
          <cell r="P1410" t="str">
            <v>Chowk Fawarah House No. 59 Hasilpur</v>
          </cell>
          <cell r="Q1410" t="str">
            <v>11000003</v>
          </cell>
          <cell r="R1410" t="str">
            <v>SUZUKI WAGON-R VXL E2</v>
          </cell>
          <cell r="S1410" t="str">
            <v>2021</v>
          </cell>
          <cell r="T1410" t="str">
            <v>ACK-356</v>
          </cell>
          <cell r="U1410" t="str">
            <v>B211264</v>
          </cell>
          <cell r="V1410" t="str">
            <v>PK10111253</v>
          </cell>
          <cell r="W1410" t="str">
            <v>06-apr-2026</v>
          </cell>
          <cell r="Y1410">
            <v>1297500</v>
          </cell>
          <cell r="Z1410">
            <v>27963</v>
          </cell>
          <cell r="AA1410">
            <v>32438</v>
          </cell>
        </row>
        <row r="1411">
          <cell r="B1411" t="str">
            <v>KHI/HO/D/MO/PC COMP/C/108043/142/03/2025</v>
          </cell>
          <cell r="D1411" t="str">
            <v>REN</v>
          </cell>
          <cell r="E1411" t="str">
            <v>13/03/25</v>
          </cell>
          <cell r="F1411" t="str">
            <v>25/03/2025</v>
          </cell>
          <cell r="G1411" t="str">
            <v>24/03/2026</v>
          </cell>
          <cell r="H1411" t="str">
            <v>08004499</v>
          </cell>
          <cell r="I1411" t="str">
            <v>AL BARAKA BANK (PAKISTAN) LIMITED</v>
          </cell>
          <cell r="J1411" t="str">
            <v>BANK</v>
          </cell>
          <cell r="K1411" t="str">
            <v>M/s. Al Baraka Bank (Pakistan) Limited 
M/S. Al Baraka Bank (Pakistan) Limited 
User: Iftikhar  Ahmad</v>
          </cell>
          <cell r="L1411" t="str">
            <v>D</v>
          </cell>
          <cell r="M1411" t="str">
            <v>09000221</v>
          </cell>
          <cell r="N1411">
            <v>100</v>
          </cell>
          <cell r="P1411" t="str">
            <v>Ward No.24 Street 1 Moh Ghalla Mandi Lodhran</v>
          </cell>
          <cell r="Q1411" t="str">
            <v>11000003</v>
          </cell>
          <cell r="R1411" t="str">
            <v>SUZUKI ALTO VXR E-2</v>
          </cell>
          <cell r="S1411" t="str">
            <v>2021</v>
          </cell>
          <cell r="T1411" t="str">
            <v>ACX-202</v>
          </cell>
          <cell r="U1411" t="str">
            <v>160459</v>
          </cell>
          <cell r="V1411" t="str">
            <v>1060520</v>
          </cell>
          <cell r="W1411" t="str">
            <v>06-apr-2026</v>
          </cell>
          <cell r="Y1411">
            <v>1074750</v>
          </cell>
          <cell r="Z1411">
            <v>23163</v>
          </cell>
          <cell r="AA1411">
            <v>26869</v>
          </cell>
        </row>
        <row r="1412">
          <cell r="B1412" t="str">
            <v>KHI/HO/D/MO/PC COMP/C/108043/143/03/2025</v>
          </cell>
          <cell r="D1412" t="str">
            <v>REN</v>
          </cell>
          <cell r="E1412" t="str">
            <v>13/03/25</v>
          </cell>
          <cell r="F1412" t="str">
            <v>25/03/2025</v>
          </cell>
          <cell r="G1412" t="str">
            <v>24/03/2026</v>
          </cell>
          <cell r="H1412" t="str">
            <v>08004499</v>
          </cell>
          <cell r="I1412" t="str">
            <v>AL BARAKA BANK (PAKISTAN) LIMITED</v>
          </cell>
          <cell r="J1412" t="str">
            <v>BANK</v>
          </cell>
          <cell r="K1412" t="str">
            <v>M/s. Al Baraka Bank (Pakistan) Limited 
M/S. Al Baraka Bank (Pakistan) Limited 
User: Zeeshan  Mehmood</v>
          </cell>
          <cell r="L1412" t="str">
            <v>D</v>
          </cell>
          <cell r="M1412" t="str">
            <v>09000221</v>
          </cell>
          <cell r="N1412">
            <v>100</v>
          </cell>
          <cell r="P1412" t="str">
            <v>Chak No. 473 Gb Beja Pur Samundari</v>
          </cell>
          <cell r="Q1412" t="str">
            <v>11000003</v>
          </cell>
          <cell r="R1412" t="str">
            <v>HONDA CIVIC VTI  ORIEL PT</v>
          </cell>
          <cell r="S1412" t="str">
            <v>2021</v>
          </cell>
          <cell r="T1412" t="str">
            <v>ATH--705</v>
          </cell>
          <cell r="U1412" t="str">
            <v>6918856</v>
          </cell>
          <cell r="V1412" t="str">
            <v>MR071076</v>
          </cell>
          <cell r="W1412" t="str">
            <v>06-apr-2026</v>
          </cell>
          <cell r="Y1412">
            <v>3095250</v>
          </cell>
          <cell r="Z1412">
            <v>40025</v>
          </cell>
          <cell r="AA1412">
            <v>46429</v>
          </cell>
        </row>
        <row r="1413">
          <cell r="B1413" t="str">
            <v>KHI/HO/D/MO/PC COMP/C/108043/144/03/2025</v>
          </cell>
          <cell r="D1413" t="str">
            <v>REN</v>
          </cell>
          <cell r="E1413" t="str">
            <v>13/03/25</v>
          </cell>
          <cell r="F1413" t="str">
            <v>25/03/2025</v>
          </cell>
          <cell r="G1413" t="str">
            <v>24/03/2026</v>
          </cell>
          <cell r="H1413" t="str">
            <v>08004499</v>
          </cell>
          <cell r="I1413" t="str">
            <v>AL BARAKA BANK (PAKISTAN) LIMITED</v>
          </cell>
          <cell r="J1413" t="str">
            <v>BANK</v>
          </cell>
          <cell r="K1413" t="str">
            <v>M/s. Al Baraka Bank (Pakistan) Limited 
M/S. Al Baraka Bank (Pakistan) Limited 
User: Mian Ahsan Arif</v>
          </cell>
          <cell r="L1413" t="str">
            <v>D</v>
          </cell>
          <cell r="M1413" t="str">
            <v>09000221</v>
          </cell>
          <cell r="N1413">
            <v>100</v>
          </cell>
          <cell r="P1413" t="str">
            <v>48-J Architect Society Johar Town Lahore</v>
          </cell>
          <cell r="Q1413" t="str">
            <v>11000003</v>
          </cell>
          <cell r="R1413" t="str">
            <v>SUZUKI ALTO VXR E-2</v>
          </cell>
          <cell r="S1413" t="str">
            <v>2021</v>
          </cell>
          <cell r="T1413" t="str">
            <v>ACM-706</v>
          </cell>
          <cell r="U1413" t="str">
            <v>6R160918</v>
          </cell>
          <cell r="V1413" t="str">
            <v>1060938</v>
          </cell>
          <cell r="W1413" t="str">
            <v>06-apr-2026</v>
          </cell>
          <cell r="Y1413">
            <v>1074750</v>
          </cell>
          <cell r="Z1413">
            <v>23163</v>
          </cell>
          <cell r="AA1413">
            <v>26869</v>
          </cell>
        </row>
        <row r="1414">
          <cell r="B1414" t="str">
            <v>KHI/HO/D/MO/PC COMP/C/108043/145/03/2025</v>
          </cell>
          <cell r="D1414" t="str">
            <v>REN</v>
          </cell>
          <cell r="E1414" t="str">
            <v>13/03/25</v>
          </cell>
          <cell r="F1414" t="str">
            <v>29/03/2025</v>
          </cell>
          <cell r="G1414" t="str">
            <v>28/03/2026</v>
          </cell>
          <cell r="H1414" t="str">
            <v>08004499</v>
          </cell>
          <cell r="I1414" t="str">
            <v>AL BARAKA BANK (PAKISTAN) LIMITED</v>
          </cell>
          <cell r="J1414" t="str">
            <v>BANK</v>
          </cell>
          <cell r="K1414" t="str">
            <v>M/s. Al Baraka Bank (Pakistan) Limited 
M/S. Al Baraka Bank (Pakistan) Limited 
User: Zia Ur  Rehman</v>
          </cell>
          <cell r="L1414" t="str">
            <v>D</v>
          </cell>
          <cell r="M1414" t="str">
            <v>09000221</v>
          </cell>
          <cell r="N1414">
            <v>100</v>
          </cell>
          <cell r="P1414" t="str">
            <v>House No. 89 Madina Park Near B Block Sabzazar Lahore</v>
          </cell>
          <cell r="Q1414" t="str">
            <v>11000003</v>
          </cell>
          <cell r="R1414" t="str">
            <v>TOYOTA YARIS ATIV CVT</v>
          </cell>
          <cell r="S1414" t="str">
            <v>2020</v>
          </cell>
          <cell r="T1414" t="str">
            <v>ACS-635</v>
          </cell>
          <cell r="U1414" t="str">
            <v>2A14529</v>
          </cell>
          <cell r="V1414" t="str">
            <v>R-7008589</v>
          </cell>
          <cell r="W1414" t="str">
            <v>05-apr-2028</v>
          </cell>
          <cell r="Y1414">
            <v>2051250</v>
          </cell>
          <cell r="Z1414">
            <v>44208</v>
          </cell>
          <cell r="AA1414">
            <v>51281</v>
          </cell>
        </row>
        <row r="1415">
          <cell r="B1415" t="str">
            <v>KHI/HO/D/MO/PC COMP/C/108043/146/03/2025</v>
          </cell>
          <cell r="D1415" t="str">
            <v>REN</v>
          </cell>
          <cell r="E1415" t="str">
            <v>13/03/25</v>
          </cell>
          <cell r="F1415" t="str">
            <v>29/03/2025</v>
          </cell>
          <cell r="G1415" t="str">
            <v>28/03/2026</v>
          </cell>
          <cell r="H1415" t="str">
            <v>08004499</v>
          </cell>
          <cell r="I1415" t="str">
            <v>AL BARAKA BANK (PAKISTAN) LIMITED</v>
          </cell>
          <cell r="J1415" t="str">
            <v>BANK</v>
          </cell>
          <cell r="K1415" t="str">
            <v>M/s. Al Baraka Bank (Pakistan) Limited 
M/S. Al Baraka Bank (Pakistan) Limited 
User: Haider  Ali</v>
          </cell>
          <cell r="L1415" t="str">
            <v>D</v>
          </cell>
          <cell r="M1415" t="str">
            <v>09000221</v>
          </cell>
          <cell r="N1415">
            <v>100</v>
          </cell>
          <cell r="P1415" t="str">
            <v>House No. 114/R-1 Mohallah Aziz Road Chowk Misri Shah Lahore</v>
          </cell>
          <cell r="Q1415" t="str">
            <v>11000003</v>
          </cell>
          <cell r="R1415" t="str">
            <v>SUZUKI CULTUS VXL EURO II</v>
          </cell>
          <cell r="S1415" t="str">
            <v>2018</v>
          </cell>
          <cell r="T1415" t="str">
            <v>LEC-18-931</v>
          </cell>
          <cell r="U1415" t="str">
            <v>PK10K116313</v>
          </cell>
          <cell r="V1415" t="str">
            <v>H10016256</v>
          </cell>
          <cell r="W1415" t="str">
            <v>06-apr-2026</v>
          </cell>
          <cell r="Y1415">
            <v>1200000</v>
          </cell>
          <cell r="Z1415">
            <v>25862</v>
          </cell>
          <cell r="AA1415">
            <v>30000</v>
          </cell>
        </row>
        <row r="1416">
          <cell r="B1416" t="str">
            <v>KHI/HO/D/MO/PC COMP/C/108043/147/03/2025</v>
          </cell>
          <cell r="D1416" t="str">
            <v>REN</v>
          </cell>
          <cell r="E1416" t="str">
            <v>13/03/25</v>
          </cell>
          <cell r="F1416" t="str">
            <v>03/03/2025</v>
          </cell>
          <cell r="G1416" t="str">
            <v>02/03/2026</v>
          </cell>
          <cell r="H1416" t="str">
            <v>08004499</v>
          </cell>
          <cell r="I1416" t="str">
            <v>AL BARAKA BANK (PAKISTAN) LIMITED</v>
          </cell>
          <cell r="J1416" t="str">
            <v>BANK</v>
          </cell>
          <cell r="K1416" t="str">
            <v>M/s. Al Baraka Bank (Pakistan) Limited 
M/S. Al Baraka Bank (Pakistan) Limited 
User: Rashif  Nawaz</v>
          </cell>
          <cell r="L1416" t="str">
            <v>D</v>
          </cell>
          <cell r="M1416" t="str">
            <v>09000221</v>
          </cell>
          <cell r="N1416">
            <v>100</v>
          </cell>
          <cell r="P1416" t="str">
            <v>House No. 829 Ex Qadar Steet Vehari Road Chowk Shahbaz Multan</v>
          </cell>
          <cell r="Q1416" t="str">
            <v>11000003</v>
          </cell>
          <cell r="R1416" t="str">
            <v>HONDA CIVIC VTI  ORIEL PT</v>
          </cell>
          <cell r="S1416" t="str">
            <v>2021</v>
          </cell>
          <cell r="T1416" t="str">
            <v>ATB-804</v>
          </cell>
          <cell r="U1416" t="str">
            <v>6918466</v>
          </cell>
          <cell r="V1416" t="str">
            <v>R070633</v>
          </cell>
          <cell r="W1416" t="str">
            <v>05-mar-2026</v>
          </cell>
          <cell r="Y1416">
            <v>3100875</v>
          </cell>
          <cell r="Z1416">
            <v>40097</v>
          </cell>
          <cell r="AA1416">
            <v>46513</v>
          </cell>
        </row>
        <row r="1417">
          <cell r="B1417" t="str">
            <v>KHI/HO/D/MO/PC COMP/C/108043/148/03/2025</v>
          </cell>
          <cell r="D1417" t="str">
            <v>REN</v>
          </cell>
          <cell r="E1417" t="str">
            <v>13/03/25</v>
          </cell>
          <cell r="F1417" t="str">
            <v>30/03/2025</v>
          </cell>
          <cell r="G1417" t="str">
            <v>29/03/2026</v>
          </cell>
          <cell r="H1417" t="str">
            <v>08004499</v>
          </cell>
          <cell r="I1417" t="str">
            <v>AL BARAKA BANK (PAKISTAN) LIMITED</v>
          </cell>
          <cell r="J1417" t="str">
            <v>BANK</v>
          </cell>
          <cell r="K1417" t="str">
            <v>M/s. Al Baraka Bank (Pakistan) Limited 
M/S. Al Baraka Bank (Pakistan) Limited 
User: Abbas Ali Bhatti</v>
          </cell>
          <cell r="L1417" t="str">
            <v>D</v>
          </cell>
          <cell r="M1417" t="str">
            <v>09000221</v>
          </cell>
          <cell r="N1417">
            <v>100</v>
          </cell>
          <cell r="P1417" t="str">
            <v>Chand Rai Road Chungi Ammar Sidhu Street 04 Lahore Cantt Lahore</v>
          </cell>
          <cell r="Q1417" t="str">
            <v>11000003</v>
          </cell>
          <cell r="R1417" t="str">
            <v>SUZUKI ALTO VXR E-2</v>
          </cell>
          <cell r="S1417" t="str">
            <v>2021</v>
          </cell>
          <cell r="T1417" t="str">
            <v>ACR-597</v>
          </cell>
          <cell r="U1417" t="str">
            <v>160985</v>
          </cell>
          <cell r="V1417" t="str">
            <v>1060985</v>
          </cell>
          <cell r="W1417" t="str">
            <v>06-apr-2026</v>
          </cell>
          <cell r="Y1417">
            <v>1074750</v>
          </cell>
          <cell r="Z1417">
            <v>23163</v>
          </cell>
          <cell r="AA1417">
            <v>26869</v>
          </cell>
        </row>
        <row r="1418">
          <cell r="B1418" t="str">
            <v>KHI/HO/D/MO/PC COMP/C/108043/149/03/2025</v>
          </cell>
          <cell r="D1418" t="str">
            <v>REN</v>
          </cell>
          <cell r="E1418" t="str">
            <v>13/03/25</v>
          </cell>
          <cell r="F1418" t="str">
            <v>30/03/2025</v>
          </cell>
          <cell r="G1418" t="str">
            <v>29/03/2026</v>
          </cell>
          <cell r="H1418" t="str">
            <v>08004499</v>
          </cell>
          <cell r="I1418" t="str">
            <v>AL BARAKA BANK (PAKISTAN) LIMITED</v>
          </cell>
          <cell r="J1418" t="str">
            <v>BANK</v>
          </cell>
          <cell r="K1418" t="str">
            <v>M/s. Al Baraka Bank (Pakistan) Limited 
M/S. Al Baraka Bank (Pakistan) Limited 
User: Maqsood  Ahmed</v>
          </cell>
          <cell r="L1418" t="str">
            <v>D</v>
          </cell>
          <cell r="M1418" t="str">
            <v>09000221</v>
          </cell>
          <cell r="N1418">
            <v>100</v>
          </cell>
          <cell r="P1418" t="str">
            <v>Moh Tariq Abad  Kot Memon</v>
          </cell>
          <cell r="Q1418" t="str">
            <v>11000003</v>
          </cell>
          <cell r="R1418" t="str">
            <v>TOYOTA YARIS ATIV CVT</v>
          </cell>
          <cell r="S1418" t="str">
            <v>2021</v>
          </cell>
          <cell r="T1418" t="str">
            <v>ACL-956</v>
          </cell>
          <cell r="U1418" t="str">
            <v>2A23251</v>
          </cell>
          <cell r="V1418" t="str">
            <v>7013876</v>
          </cell>
          <cell r="W1418" t="str">
            <v>06-apr-2026</v>
          </cell>
          <cell r="Y1418">
            <v>2102250</v>
          </cell>
          <cell r="Z1418">
            <v>45307</v>
          </cell>
          <cell r="AA1418">
            <v>52556</v>
          </cell>
        </row>
        <row r="1419">
          <cell r="B1419" t="str">
            <v>KHI/HO/D/MO/PC COMP/C/108043/150/03/2025</v>
          </cell>
          <cell r="D1419" t="str">
            <v>REN</v>
          </cell>
          <cell r="E1419" t="str">
            <v>13/03/25</v>
          </cell>
          <cell r="F1419" t="str">
            <v>31/03/2025</v>
          </cell>
          <cell r="G1419" t="str">
            <v>30/03/2026</v>
          </cell>
          <cell r="H1419" t="str">
            <v>08004499</v>
          </cell>
          <cell r="I1419" t="str">
            <v>AL BARAKA BANK (PAKISTAN) LIMITED</v>
          </cell>
          <cell r="J1419" t="str">
            <v>BANK</v>
          </cell>
          <cell r="K1419" t="str">
            <v>M/s. Al Baraka Bank (Pakistan) Limited 
M/S. Al Baraka Bank (Pakistan) Limited 
User: Fahad  Shahzad</v>
          </cell>
          <cell r="L1419" t="str">
            <v>D</v>
          </cell>
          <cell r="M1419" t="str">
            <v>09000221</v>
          </cell>
          <cell r="N1419">
            <v>100</v>
          </cell>
          <cell r="P1419" t="str">
            <v>House No. 149/1 13Th Street Khaban-E-Bukhari Phase   Dha Karachi</v>
          </cell>
          <cell r="Q1419" t="str">
            <v>11000003</v>
          </cell>
          <cell r="R1419" t="str">
            <v>TOYOTA YARIS ATIV X CVT</v>
          </cell>
          <cell r="S1419" t="str">
            <v>2021</v>
          </cell>
          <cell r="T1419" t="str">
            <v>BTJ-118</v>
          </cell>
          <cell r="U1419" t="str">
            <v>2A23160</v>
          </cell>
          <cell r="V1419" t="str">
            <v>9509263</v>
          </cell>
          <cell r="W1419" t="str">
            <v>06-apr-2026</v>
          </cell>
          <cell r="Y1419">
            <v>2253750</v>
          </cell>
          <cell r="Z1419">
            <v>48572</v>
          </cell>
          <cell r="AA1419">
            <v>56344</v>
          </cell>
        </row>
        <row r="1420">
          <cell r="B1420" t="str">
            <v>KHI/HO/D/MO/PC COMP/C/108043/151/03/2025</v>
          </cell>
          <cell r="D1420" t="str">
            <v>REN</v>
          </cell>
          <cell r="E1420" t="str">
            <v>13/03/25</v>
          </cell>
          <cell r="F1420" t="str">
            <v>31/03/2025</v>
          </cell>
          <cell r="G1420" t="str">
            <v>30/03/2026</v>
          </cell>
          <cell r="H1420" t="str">
            <v>08004499</v>
          </cell>
          <cell r="I1420" t="str">
            <v>AL BARAKA BANK (PAKISTAN) LIMITED</v>
          </cell>
          <cell r="J1420" t="str">
            <v>BANK</v>
          </cell>
          <cell r="K1420" t="str">
            <v>M/s. Al Baraka Bank (Pakistan) Limited 
M/S. Al Baraka Bank (Pakistan) Limited 
User: Abdullah  Sharif</v>
          </cell>
          <cell r="L1420" t="str">
            <v>D</v>
          </cell>
          <cell r="M1420" t="str">
            <v>09000221</v>
          </cell>
          <cell r="N1420">
            <v>100</v>
          </cell>
          <cell r="P1420" t="str">
            <v>House No. 03 Street 03 Main Colony  Begum Kot Shahdra Sheikhupura Lahore</v>
          </cell>
          <cell r="Q1420" t="str">
            <v>11000003</v>
          </cell>
          <cell r="R1420" t="str">
            <v>SUZUKI WAGON-R VXL E2</v>
          </cell>
          <cell r="S1420" t="str">
            <v>2019</v>
          </cell>
          <cell r="T1420" t="str">
            <v>LEF-19-1723</v>
          </cell>
          <cell r="U1420" t="str">
            <v>B192996</v>
          </cell>
          <cell r="V1420" t="str">
            <v>K10092998</v>
          </cell>
          <cell r="W1420" t="str">
            <v>05-apr-2028</v>
          </cell>
          <cell r="Y1420">
            <v>1237500</v>
          </cell>
          <cell r="Z1420">
            <v>26670</v>
          </cell>
          <cell r="AA1420">
            <v>30938</v>
          </cell>
        </row>
        <row r="1421">
          <cell r="B1421" t="str">
            <v>KHI/HO/D/MO/PC COMP/C/108043/152/03/2025</v>
          </cell>
          <cell r="D1421" t="str">
            <v>REN</v>
          </cell>
          <cell r="E1421" t="str">
            <v>13/03/25</v>
          </cell>
          <cell r="F1421" t="str">
            <v>31/03/2025</v>
          </cell>
          <cell r="G1421" t="str">
            <v>30/03/2026</v>
          </cell>
          <cell r="H1421" t="str">
            <v>08004499</v>
          </cell>
          <cell r="I1421" t="str">
            <v>AL BARAKA BANK (PAKISTAN) LIMITED</v>
          </cell>
          <cell r="J1421" t="str">
            <v>BANK</v>
          </cell>
          <cell r="K1421" t="str">
            <v>M/s. Al Baraka Bank (Pakistan) Limited 
M/S. Al Baraka Bank (Pakistan) Limited 
User: Javed  Ahmad</v>
          </cell>
          <cell r="L1421" t="str">
            <v>D</v>
          </cell>
          <cell r="M1421" t="str">
            <v>09000221</v>
          </cell>
          <cell r="N1421">
            <v>100</v>
          </cell>
          <cell r="P1421" t="str">
            <v>House No. 16 Hanood Gujjar Po Bata Pur Lahore</v>
          </cell>
          <cell r="Q1421" t="str">
            <v>11000003</v>
          </cell>
          <cell r="R1421" t="str">
            <v>HONDA CITY CVT ASPIRE A/T</v>
          </cell>
          <cell r="S1421" t="str">
            <v>2021</v>
          </cell>
          <cell r="T1421" t="str">
            <v>ACU-956</v>
          </cell>
          <cell r="U1421" t="str">
            <v>A79801052</v>
          </cell>
          <cell r="V1421" t="str">
            <v>MR269655</v>
          </cell>
          <cell r="W1421" t="str">
            <v>06-apr-2026</v>
          </cell>
          <cell r="Y1421">
            <v>2148750</v>
          </cell>
          <cell r="Z1421">
            <v>46310</v>
          </cell>
          <cell r="AA1421">
            <v>53719</v>
          </cell>
        </row>
        <row r="1422">
          <cell r="B1422" t="str">
            <v>KHI/HO/D/MO/PC COMP/C/108043/153/03/2025</v>
          </cell>
          <cell r="D1422" t="str">
            <v>REN</v>
          </cell>
          <cell r="E1422" t="str">
            <v>13/03/25</v>
          </cell>
          <cell r="F1422" t="str">
            <v>31/03/2025</v>
          </cell>
          <cell r="G1422" t="str">
            <v>30/03/2026</v>
          </cell>
          <cell r="H1422" t="str">
            <v>08004499</v>
          </cell>
          <cell r="I1422" t="str">
            <v>AL BARAKA BANK (PAKISTAN) LIMITED</v>
          </cell>
          <cell r="J1422" t="str">
            <v>BANK</v>
          </cell>
          <cell r="K1422" t="str">
            <v>M/s. Al Baraka Bank (Pakistan) Limited 
M/S. Al Baraka Bank (Pakistan) Limited 
User: Imtiaz  Fareed</v>
          </cell>
          <cell r="L1422" t="str">
            <v>D</v>
          </cell>
          <cell r="M1422" t="str">
            <v>09000221</v>
          </cell>
          <cell r="N1422">
            <v>100</v>
          </cell>
          <cell r="P1422" t="str">
            <v>House No. 112 Block B Margzar Colony Sabzazar Lahore</v>
          </cell>
          <cell r="Q1422" t="str">
            <v>11000003</v>
          </cell>
          <cell r="R1422" t="str">
            <v>HONDA CITY I-VTEC (M/T)</v>
          </cell>
          <cell r="S1422" t="str">
            <v>2016</v>
          </cell>
          <cell r="T1422" t="str">
            <v>LE-17-3434</v>
          </cell>
          <cell r="U1422" t="str">
            <v>L13Z17454301</v>
          </cell>
          <cell r="V1422" t="str">
            <v>R196603</v>
          </cell>
          <cell r="W1422" t="str">
            <v>06-apr-2026</v>
          </cell>
          <cell r="Y1422">
            <v>1500000</v>
          </cell>
          <cell r="Z1422">
            <v>32328</v>
          </cell>
          <cell r="AA1422">
            <v>37500</v>
          </cell>
        </row>
        <row r="1423">
          <cell r="B1423" t="str">
            <v>KHI/HO/D/MO/PC COMP/C/108043/154/03/2025</v>
          </cell>
          <cell r="D1423" t="str">
            <v>REN</v>
          </cell>
          <cell r="E1423" t="str">
            <v>13/03/25</v>
          </cell>
          <cell r="F1423" t="str">
            <v>31/03/2025</v>
          </cell>
          <cell r="G1423" t="str">
            <v>30/03/2026</v>
          </cell>
          <cell r="H1423" t="str">
            <v>08004499</v>
          </cell>
          <cell r="I1423" t="str">
            <v>AL BARAKA BANK (PAKISTAN) LIMITED</v>
          </cell>
          <cell r="J1423" t="str">
            <v>BANK</v>
          </cell>
          <cell r="K1423" t="str">
            <v>M/s. Al Baraka Bank (Pakistan) Limited 
M/S. Al Baraka Bank (Pakistan) Limited 
User: Muhammad Arsalan Haider</v>
          </cell>
          <cell r="L1423" t="str">
            <v>D</v>
          </cell>
          <cell r="M1423" t="str">
            <v>09000221</v>
          </cell>
          <cell r="N1423">
            <v>100</v>
          </cell>
          <cell r="P1423" t="str">
            <v>House No. 18-A-3 Street 85/A Mohallah Saraj Park Shalamar Town Lahore</v>
          </cell>
          <cell r="Q1423" t="str">
            <v>11000003</v>
          </cell>
          <cell r="R1423" t="str">
            <v>SUZUKI BOLAN STD VX EURO</v>
          </cell>
          <cell r="S1423" t="str">
            <v>2021</v>
          </cell>
          <cell r="T1423" t="str">
            <v>ACY-475</v>
          </cell>
          <cell r="U1423" t="str">
            <v>1009629</v>
          </cell>
          <cell r="V1423" t="str">
            <v>1126111</v>
          </cell>
          <cell r="W1423" t="str">
            <v>06-apr-2026</v>
          </cell>
          <cell r="Y1423">
            <v>850500</v>
          </cell>
          <cell r="Z1423">
            <v>18330</v>
          </cell>
          <cell r="AA1423">
            <v>21263</v>
          </cell>
        </row>
        <row r="1424">
          <cell r="B1424" t="str">
            <v>KHI/HO/D/MO/PC COMP/C/108043/155/03/2025</v>
          </cell>
          <cell r="D1424" t="str">
            <v>REN</v>
          </cell>
          <cell r="E1424" t="str">
            <v>13/03/25</v>
          </cell>
          <cell r="F1424" t="str">
            <v>31/03/2025</v>
          </cell>
          <cell r="G1424" t="str">
            <v>30/03/2026</v>
          </cell>
          <cell r="H1424" t="str">
            <v>08004499</v>
          </cell>
          <cell r="I1424" t="str">
            <v>AL BARAKA BANK (PAKISTAN) LIMITED</v>
          </cell>
          <cell r="J1424" t="str">
            <v>BANK</v>
          </cell>
          <cell r="K1424" t="str">
            <v>M/s. Al Baraka Bank (Pakistan) Limited 
M/S. Al Baraka Bank (Pakistan) Limited 
User: Qamar   Abbas</v>
          </cell>
          <cell r="L1424" t="str">
            <v>D</v>
          </cell>
          <cell r="M1424" t="str">
            <v>09000221</v>
          </cell>
          <cell r="N1424">
            <v>100</v>
          </cell>
          <cell r="P1424" t="str">
            <v>House No. 29 Street 02 Waris Colony  Wahdat Colony Lahore</v>
          </cell>
          <cell r="Q1424" t="str">
            <v>11000003</v>
          </cell>
          <cell r="R1424" t="str">
            <v>TOYOTA YARIS ATIV X CVT</v>
          </cell>
          <cell r="S1424" t="str">
            <v>2021</v>
          </cell>
          <cell r="T1424" t="str">
            <v>ADB-853</v>
          </cell>
          <cell r="U1424" t="str">
            <v>2A20706</v>
          </cell>
          <cell r="V1424" t="str">
            <v>R 9508355</v>
          </cell>
          <cell r="W1424" t="str">
            <v>06-apr-2026</v>
          </cell>
          <cell r="Y1424">
            <v>2244750</v>
          </cell>
          <cell r="Z1424">
            <v>48378</v>
          </cell>
          <cell r="AA1424">
            <v>56119</v>
          </cell>
        </row>
        <row r="1425">
          <cell r="B1425" t="str">
            <v>KHI/HO/D/MO/PC COMP/C/108043/156/03/2025</v>
          </cell>
          <cell r="D1425" t="str">
            <v>REN</v>
          </cell>
          <cell r="E1425" t="str">
            <v>13/03/25</v>
          </cell>
          <cell r="F1425" t="str">
            <v>03/03/2025</v>
          </cell>
          <cell r="G1425" t="str">
            <v>02/03/2026</v>
          </cell>
          <cell r="H1425" t="str">
            <v>08004499</v>
          </cell>
          <cell r="I1425" t="str">
            <v>AL BARAKA BANK (PAKISTAN) LIMITED</v>
          </cell>
          <cell r="J1425" t="str">
            <v>BANK</v>
          </cell>
          <cell r="K1425" t="str">
            <v>M/s. Al Baraka Bank (Pakistan) Limited 
M/S. Al Baraka Bank (Pakistan) Limited 
User: Abdul Qudoos Sajjad</v>
          </cell>
          <cell r="L1425" t="str">
            <v>D</v>
          </cell>
          <cell r="M1425" t="str">
            <v>09000221</v>
          </cell>
          <cell r="N1425">
            <v>100</v>
          </cell>
          <cell r="P1425" t="str">
            <v>House No. 16 M Valancia Town Lahore</v>
          </cell>
          <cell r="Q1425" t="str">
            <v>11000003</v>
          </cell>
          <cell r="R1425" t="str">
            <v>TOYOTA YARIS ATIV X CVT</v>
          </cell>
          <cell r="S1425" t="str">
            <v>2021</v>
          </cell>
          <cell r="T1425" t="str">
            <v>ACN-390</v>
          </cell>
          <cell r="U1425" t="str">
            <v>2A05959</v>
          </cell>
          <cell r="V1425" t="str">
            <v>9502647</v>
          </cell>
          <cell r="W1425" t="str">
            <v>05-mar-2026</v>
          </cell>
          <cell r="Y1425">
            <v>2244750</v>
          </cell>
          <cell r="Z1425">
            <v>48378</v>
          </cell>
          <cell r="AA1425">
            <v>56119</v>
          </cell>
        </row>
        <row r="1426">
          <cell r="B1426" t="str">
            <v>KHI/HO/D/MO/PC COMP/C/108043/157/03/2025</v>
          </cell>
          <cell r="D1426" t="str">
            <v>REN</v>
          </cell>
          <cell r="E1426" t="str">
            <v>13/03/25</v>
          </cell>
          <cell r="F1426" t="str">
            <v>31/03/2025</v>
          </cell>
          <cell r="G1426" t="str">
            <v>30/03/2026</v>
          </cell>
          <cell r="H1426" t="str">
            <v>08004499</v>
          </cell>
          <cell r="I1426" t="str">
            <v>AL BARAKA BANK (PAKISTAN) LIMITED</v>
          </cell>
          <cell r="J1426" t="str">
            <v>BANK</v>
          </cell>
          <cell r="K1426" t="str">
            <v>M/s. Al Baraka Bank (Pakistan) Limited 
M/S. Al Baraka Bank (Pakistan) Limited 
User: Syed  Asad Ali Kiramnie</v>
          </cell>
          <cell r="L1426" t="str">
            <v>D</v>
          </cell>
          <cell r="M1426" t="str">
            <v>09000221</v>
          </cell>
          <cell r="N1426">
            <v>100</v>
          </cell>
          <cell r="P1426" t="str">
            <v>Flat No. J-33 4Th Floor Zahid Square Block 16 Fb Area Karachi</v>
          </cell>
          <cell r="Q1426" t="str">
            <v>11000003</v>
          </cell>
          <cell r="R1426" t="str">
            <v>DAIHATSU MIRA EIS</v>
          </cell>
          <cell r="S1426" t="str">
            <v>2017</v>
          </cell>
          <cell r="T1426" t="str">
            <v>BRL-419</v>
          </cell>
          <cell r="U1426" t="str">
            <v>531939</v>
          </cell>
          <cell r="V1426" t="str">
            <v>0026631</v>
          </cell>
          <cell r="W1426" t="str">
            <v>06-apr-2026</v>
          </cell>
          <cell r="Y1426">
            <v>1331250</v>
          </cell>
          <cell r="Z1426">
            <v>28690</v>
          </cell>
          <cell r="AA1426">
            <v>33281</v>
          </cell>
        </row>
        <row r="1427">
          <cell r="B1427" t="str">
            <v>KHI/HO/D/MO/PC COMP/C/108043/158/03/2025</v>
          </cell>
          <cell r="D1427" t="str">
            <v>REN</v>
          </cell>
          <cell r="E1427" t="str">
            <v>13/03/25</v>
          </cell>
          <cell r="F1427" t="str">
            <v>31/03/2025</v>
          </cell>
          <cell r="G1427" t="str">
            <v>30/03/2026</v>
          </cell>
          <cell r="H1427" t="str">
            <v>08004499</v>
          </cell>
          <cell r="I1427" t="str">
            <v>AL BARAKA BANK (PAKISTAN) LIMITED</v>
          </cell>
          <cell r="J1427" t="str">
            <v>BANK</v>
          </cell>
          <cell r="K1427" t="str">
            <v>M/s. Al Baraka Bank (Pakistan) Limited 
M/S. Al Baraka Bank (Pakistan) Limited 
User: Syed Niaz Bukhari</v>
          </cell>
          <cell r="L1427" t="str">
            <v>D</v>
          </cell>
          <cell r="M1427" t="str">
            <v>09000221</v>
          </cell>
          <cell r="N1427">
            <v>100</v>
          </cell>
          <cell r="P1427" t="str">
            <v>Street 05 Vehari Road Main Street Beside The Galaxy Public School Bhutta Colony Multan</v>
          </cell>
          <cell r="Q1427" t="str">
            <v>11000003</v>
          </cell>
          <cell r="R1427" t="str">
            <v>HONDA CIVIC VTI  ORIEL PT</v>
          </cell>
          <cell r="S1427" t="str">
            <v>2016</v>
          </cell>
          <cell r="T1427" t="str">
            <v>ABX-737</v>
          </cell>
          <cell r="U1427" t="str">
            <v>902979</v>
          </cell>
          <cell r="V1427" t="str">
            <v>R003769</v>
          </cell>
          <cell r="W1427" t="str">
            <v>06-apr-2026</v>
          </cell>
          <cell r="Y1427">
            <v>2475000</v>
          </cell>
          <cell r="Z1427">
            <v>53341</v>
          </cell>
          <cell r="AA1427">
            <v>61875</v>
          </cell>
        </row>
        <row r="1428">
          <cell r="B1428" t="str">
            <v>KHI/HO/D/MO/PC COMP/C/108043/159/03/2025</v>
          </cell>
          <cell r="D1428" t="str">
            <v>REN</v>
          </cell>
          <cell r="E1428" t="str">
            <v>13/03/25</v>
          </cell>
          <cell r="F1428" t="str">
            <v>31/03/2025</v>
          </cell>
          <cell r="G1428" t="str">
            <v>30/03/2026</v>
          </cell>
          <cell r="H1428" t="str">
            <v>08004499</v>
          </cell>
          <cell r="I1428" t="str">
            <v>AL BARAKA BANK (PAKISTAN) LIMITED</v>
          </cell>
          <cell r="J1428" t="str">
            <v>BANK</v>
          </cell>
          <cell r="K1428" t="str">
            <v>M/s. Al Baraka Bank (Pakistan) Limited 
M/S. Al Baraka Bank (Pakistan) Limited 
User: Tanveer  Ahmad</v>
          </cell>
          <cell r="L1428" t="str">
            <v>D</v>
          </cell>
          <cell r="M1428" t="str">
            <v>09000221</v>
          </cell>
          <cell r="N1428">
            <v>100</v>
          </cell>
          <cell r="P1428" t="str">
            <v>House No. 980 Block G Mohallah Gulistan Colony 1 Near Akber Chowk Faisalabad</v>
          </cell>
          <cell r="Q1428" t="str">
            <v>11000003</v>
          </cell>
          <cell r="R1428" t="str">
            <v>HONDA CITY I-VTEC (M/T)</v>
          </cell>
          <cell r="S1428" t="str">
            <v>2018</v>
          </cell>
          <cell r="T1428" t="str">
            <v>AHU-293</v>
          </cell>
          <cell r="U1428" t="str">
            <v>L13Z17510728</v>
          </cell>
          <cell r="V1428" t="str">
            <v>NFBGM1641JR223660</v>
          </cell>
          <cell r="W1428" t="str">
            <v>06-apr-2026</v>
          </cell>
          <cell r="Y1428">
            <v>1875000</v>
          </cell>
          <cell r="Z1428">
            <v>40410</v>
          </cell>
          <cell r="AA1428">
            <v>46875</v>
          </cell>
        </row>
        <row r="1429">
          <cell r="B1429" t="str">
            <v>KHI/HO/D/MO/PC COMP/C/108043/160/03/2025</v>
          </cell>
          <cell r="D1429" t="str">
            <v>REN</v>
          </cell>
          <cell r="E1429" t="str">
            <v>13/03/25</v>
          </cell>
          <cell r="F1429" t="str">
            <v>31/03/2025</v>
          </cell>
          <cell r="G1429" t="str">
            <v>30/03/2026</v>
          </cell>
          <cell r="H1429" t="str">
            <v>08004499</v>
          </cell>
          <cell r="I1429" t="str">
            <v>AL BARAKA BANK (PAKISTAN) LIMITED</v>
          </cell>
          <cell r="J1429" t="str">
            <v>BANK</v>
          </cell>
          <cell r="K1429" t="str">
            <v>M/s. Al Baraka Bank (Pakistan) Limited 
M/S. Al Baraka Bank (Pakistan) Limited 
User: Atif  Zaman</v>
          </cell>
          <cell r="L1429" t="str">
            <v>D</v>
          </cell>
          <cell r="M1429" t="str">
            <v>09000221</v>
          </cell>
          <cell r="N1429">
            <v>100</v>
          </cell>
          <cell r="P1429" t="str">
            <v>House No. 24 Kacha Ferozepur Road Lahore</v>
          </cell>
          <cell r="Q1429" t="str">
            <v>11000003</v>
          </cell>
          <cell r="R1429" t="str">
            <v>SUZUKI ALTO VXL AGS E-2</v>
          </cell>
          <cell r="S1429" t="str">
            <v>2021</v>
          </cell>
          <cell r="T1429" t="str">
            <v>ASC-087</v>
          </cell>
          <cell r="U1429" t="str">
            <v>158609</v>
          </cell>
          <cell r="V1429" t="str">
            <v>1058561</v>
          </cell>
          <cell r="W1429" t="str">
            <v>05-apr-2027</v>
          </cell>
          <cell r="Y1429">
            <v>1224750</v>
          </cell>
          <cell r="Z1429">
            <v>26396</v>
          </cell>
          <cell r="AA1429">
            <v>30619</v>
          </cell>
        </row>
        <row r="1430">
          <cell r="B1430" t="str">
            <v>KHI/HO/D/MO/PC COMP/C/108043/161/03/2025</v>
          </cell>
          <cell r="D1430" t="str">
            <v>REN</v>
          </cell>
          <cell r="E1430" t="str">
            <v>13/03/25</v>
          </cell>
          <cell r="F1430" t="str">
            <v>31/03/2025</v>
          </cell>
          <cell r="G1430" t="str">
            <v>30/03/2026</v>
          </cell>
          <cell r="H1430" t="str">
            <v>08004499</v>
          </cell>
          <cell r="I1430" t="str">
            <v>AL BARAKA BANK (PAKISTAN) LIMITED</v>
          </cell>
          <cell r="J1430" t="str">
            <v>BANK</v>
          </cell>
          <cell r="K1430" t="str">
            <v>M/s. Al Baraka Bank (Pakistan) Limited 
M/S. Al Baraka Bank (Pakistan) Limited 
User: Zarak   Khan</v>
          </cell>
          <cell r="L1430" t="str">
            <v>D</v>
          </cell>
          <cell r="M1430" t="str">
            <v>09000221</v>
          </cell>
          <cell r="N1430">
            <v>100</v>
          </cell>
          <cell r="P1430" t="str">
            <v>House No. 01 Ch Colony  Matches Factory  Shahpara Lahore</v>
          </cell>
          <cell r="Q1430" t="str">
            <v>11000003</v>
          </cell>
          <cell r="R1430" t="str">
            <v>TOYOTA VITZ</v>
          </cell>
          <cell r="S1430" t="str">
            <v>2017</v>
          </cell>
          <cell r="T1430" t="str">
            <v>ACL-735</v>
          </cell>
          <cell r="U1430" t="str">
            <v>1KR-183298</v>
          </cell>
          <cell r="V1430" t="str">
            <v>KSP130-2204944</v>
          </cell>
          <cell r="W1430" t="str">
            <v>06-apr-2026</v>
          </cell>
          <cell r="Y1430">
            <v>1875000</v>
          </cell>
          <cell r="Z1430">
            <v>40410</v>
          </cell>
          <cell r="AA1430">
            <v>46875</v>
          </cell>
        </row>
        <row r="1431">
          <cell r="B1431" t="str">
            <v>KHI/HO/D/MO/PC COMP/C/108043/162/03/2025</v>
          </cell>
          <cell r="D1431" t="str">
            <v>REN</v>
          </cell>
          <cell r="E1431" t="str">
            <v>13/03/25</v>
          </cell>
          <cell r="F1431" t="str">
            <v>03/03/2025</v>
          </cell>
          <cell r="G1431" t="str">
            <v>02/03/2026</v>
          </cell>
          <cell r="H1431" t="str">
            <v>08004499</v>
          </cell>
          <cell r="I1431" t="str">
            <v>AL BARAKA BANK (PAKISTAN) LIMITED</v>
          </cell>
          <cell r="J1431" t="str">
            <v>BANK</v>
          </cell>
          <cell r="K1431" t="str">
            <v>M/s. Al Baraka Bank (Pakistan) Limited 
M/S. Al Baraka Bank (Pakistan) Limited 
User: Rana  Makhmoor</v>
          </cell>
          <cell r="L1431" t="str">
            <v>D</v>
          </cell>
          <cell r="M1431" t="str">
            <v>09000221</v>
          </cell>
          <cell r="N1431">
            <v>100</v>
          </cell>
          <cell r="P1431" t="str">
            <v>House No. 671 Mohallah Kamran Block Allama Iqbal Town Lahore</v>
          </cell>
          <cell r="Q1431" t="str">
            <v>11000003</v>
          </cell>
          <cell r="R1431" t="str">
            <v>SUZUKI ALTO VXL AGS E-2</v>
          </cell>
          <cell r="S1431" t="str">
            <v>2021</v>
          </cell>
          <cell r="T1431" t="str">
            <v>ACJ-372</v>
          </cell>
          <cell r="U1431" t="str">
            <v>151931</v>
          </cell>
          <cell r="V1431" t="str">
            <v>1051933</v>
          </cell>
          <cell r="W1431" t="str">
            <v>05-mar-2026</v>
          </cell>
          <cell r="Y1431">
            <v>1224750</v>
          </cell>
          <cell r="Z1431">
            <v>26396</v>
          </cell>
          <cell r="AA1431">
            <v>30619</v>
          </cell>
        </row>
        <row r="1432">
          <cell r="B1432" t="str">
            <v>KHI/HO/D/MO/PC COMP/C/108043/163/03/2025</v>
          </cell>
          <cell r="D1432" t="str">
            <v>REN</v>
          </cell>
          <cell r="E1432" t="str">
            <v>13/03/25</v>
          </cell>
          <cell r="F1432" t="str">
            <v>04/03/2025</v>
          </cell>
          <cell r="G1432" t="str">
            <v>03/03/2026</v>
          </cell>
          <cell r="H1432" t="str">
            <v>08004499</v>
          </cell>
          <cell r="I1432" t="str">
            <v>AL BARAKA BANK (PAKISTAN) LIMITED</v>
          </cell>
          <cell r="J1432" t="str">
            <v>BANK</v>
          </cell>
          <cell r="K1432" t="str">
            <v>M/s. Al Baraka Bank (Pakistan) Limited 
M/S. Al Baraka Bank (Pakistan) Limited 
User: Ghulam  Rasool</v>
          </cell>
          <cell r="L1432" t="str">
            <v>D</v>
          </cell>
          <cell r="M1432" t="str">
            <v>09000221</v>
          </cell>
          <cell r="N1432">
            <v>100</v>
          </cell>
          <cell r="P1432" t="str">
            <v>Moh Islam Pura Sharqi Deepalpur Dist. Okara</v>
          </cell>
          <cell r="Q1432" t="str">
            <v>11000003</v>
          </cell>
          <cell r="R1432" t="str">
            <v>CHANGAN KARVAAN VAN</v>
          </cell>
          <cell r="S1432" t="str">
            <v>2021</v>
          </cell>
          <cell r="T1432" t="str">
            <v>AEL-994</v>
          </cell>
          <cell r="U1432" t="str">
            <v>502546</v>
          </cell>
          <cell r="V1432" t="str">
            <v>1004486</v>
          </cell>
          <cell r="W1432" t="str">
            <v>05-mar-2026</v>
          </cell>
          <cell r="Y1432">
            <v>1076250</v>
          </cell>
          <cell r="Z1432">
            <v>23195</v>
          </cell>
          <cell r="AA1432">
            <v>26906</v>
          </cell>
        </row>
        <row r="1433">
          <cell r="B1433" t="str">
            <v>KHI/HO/D/MO/PC COMP/C/108043/164/03/2025</v>
          </cell>
          <cell r="D1433" t="str">
            <v>REN</v>
          </cell>
          <cell r="E1433" t="str">
            <v>13/03/25</v>
          </cell>
          <cell r="F1433" t="str">
            <v>04/03/2025</v>
          </cell>
          <cell r="G1433" t="str">
            <v>03/03/2026</v>
          </cell>
          <cell r="H1433" t="str">
            <v>08004499</v>
          </cell>
          <cell r="I1433" t="str">
            <v>AL BARAKA BANK (PAKISTAN) LIMITED</v>
          </cell>
          <cell r="J1433" t="str">
            <v>BANK</v>
          </cell>
          <cell r="K1433" t="str">
            <v>M/s. Al Baraka Bank (Pakistan) Limited 
M/S. Al Baraka Bank (Pakistan) Limited 
User: Israr Ul Hussnain Qadri</v>
          </cell>
          <cell r="L1433" t="str">
            <v>D</v>
          </cell>
          <cell r="M1433" t="str">
            <v>09000221</v>
          </cell>
          <cell r="N1433">
            <v>100</v>
          </cell>
          <cell r="P1433" t="str">
            <v>House No. 54 Street 21 Gunj Mughal Pura Lahore</v>
          </cell>
          <cell r="Q1433" t="str">
            <v>11000003</v>
          </cell>
          <cell r="R1433" t="str">
            <v>SUZUKI ALTO VXR E-2</v>
          </cell>
          <cell r="T1433" t="str">
            <v>ADL-877</v>
          </cell>
          <cell r="U1433" t="str">
            <v>157864</v>
          </cell>
          <cell r="V1433" t="str">
            <v>1057831</v>
          </cell>
          <cell r="W1433" t="str">
            <v>05-mar-2026</v>
          </cell>
          <cell r="Y1433">
            <v>1074750</v>
          </cell>
          <cell r="Z1433">
            <v>23163</v>
          </cell>
          <cell r="AA1433">
            <v>26869</v>
          </cell>
        </row>
        <row r="1434">
          <cell r="B1434" t="str">
            <v>KHI/HO/D/MO/PC COMP/C/108043/165/03/2025</v>
          </cell>
          <cell r="D1434" t="str">
            <v>REN</v>
          </cell>
          <cell r="E1434" t="str">
            <v>13/03/25</v>
          </cell>
          <cell r="F1434" t="str">
            <v>04/03/2025</v>
          </cell>
          <cell r="G1434" t="str">
            <v>03/03/2026</v>
          </cell>
          <cell r="H1434" t="str">
            <v>08004499</v>
          </cell>
          <cell r="I1434" t="str">
            <v>AL BARAKA BANK (PAKISTAN) LIMITED</v>
          </cell>
          <cell r="J1434" t="str">
            <v>BANK</v>
          </cell>
          <cell r="K1434" t="str">
            <v>M/s. Al Baraka Bank (Pakistan) Limited 
M/S. Al Baraka Bank (Pakistan) Limited 
User: Mian  Usman Ikram</v>
          </cell>
          <cell r="L1434" t="str">
            <v>D</v>
          </cell>
          <cell r="M1434" t="str">
            <v>09000221</v>
          </cell>
          <cell r="N1434">
            <v>100</v>
          </cell>
          <cell r="P1434" t="str">
            <v>Po Khas Faizpur  Khurd Saggian  Kalan Paar Ferozewala Sheikhupura Road Lahore</v>
          </cell>
          <cell r="Q1434" t="str">
            <v>11000003</v>
          </cell>
          <cell r="R1434" t="str">
            <v>HYUNDAI TUCSON 6A/T</v>
          </cell>
          <cell r="S1434" t="str">
            <v>2021</v>
          </cell>
          <cell r="T1434" t="str">
            <v>ACR-792</v>
          </cell>
          <cell r="U1434" t="str">
            <v>LU064614</v>
          </cell>
          <cell r="V1434" t="str">
            <v>MN202199</v>
          </cell>
          <cell r="W1434" t="str">
            <v>06-mar-2028</v>
          </cell>
          <cell r="Y1434">
            <v>4208850</v>
          </cell>
          <cell r="Z1434">
            <v>54425</v>
          </cell>
          <cell r="AA1434">
            <v>63133</v>
          </cell>
        </row>
        <row r="1435">
          <cell r="B1435" t="str">
            <v>KHI/HO/D/MO/PC COMP/C/108043/166/03/2025</v>
          </cell>
          <cell r="D1435" t="str">
            <v>REN</v>
          </cell>
          <cell r="E1435" t="str">
            <v>13/03/25</v>
          </cell>
          <cell r="F1435" t="str">
            <v>05/03/2025</v>
          </cell>
          <cell r="G1435" t="str">
            <v>04/03/2026</v>
          </cell>
          <cell r="H1435" t="str">
            <v>08004499</v>
          </cell>
          <cell r="I1435" t="str">
            <v>AL BARAKA BANK (PAKISTAN) LIMITED</v>
          </cell>
          <cell r="J1435" t="str">
            <v>BANK</v>
          </cell>
          <cell r="K1435" t="str">
            <v>M/s. Al Baraka Bank (Pakistan) Limited 
M/S. Al Baraka Bank (Pakistan) Limited 
User: Tanveer  Hussain</v>
          </cell>
          <cell r="L1435" t="str">
            <v>D</v>
          </cell>
          <cell r="M1435" t="str">
            <v>09000221</v>
          </cell>
          <cell r="N1435">
            <v>100</v>
          </cell>
          <cell r="P1435" t="str">
            <v>House No 01 Main Bazar Mehar Pura Ragra Chowk Baradari Road Begumkot Shahdra Lahore</v>
          </cell>
          <cell r="Q1435" t="str">
            <v>11000003</v>
          </cell>
          <cell r="R1435" t="str">
            <v>SUZUKI WAGON-R VXL E2</v>
          </cell>
          <cell r="S1435" t="str">
            <v>2021</v>
          </cell>
          <cell r="T1435" t="str">
            <v>ACM-297</v>
          </cell>
          <cell r="U1435" t="str">
            <v>210685</v>
          </cell>
          <cell r="V1435" t="str">
            <v>10110700</v>
          </cell>
          <cell r="W1435" t="str">
            <v>06-apr-2026</v>
          </cell>
          <cell r="Y1435">
            <v>1297500</v>
          </cell>
          <cell r="Z1435">
            <v>27963</v>
          </cell>
          <cell r="AA1435">
            <v>32438</v>
          </cell>
        </row>
        <row r="1436">
          <cell r="B1436" t="str">
            <v>KHI/HO/D/MO/PC COMP/C/108043/167/03/2025</v>
          </cell>
          <cell r="D1436" t="str">
            <v>REN</v>
          </cell>
          <cell r="E1436" t="str">
            <v>13/03/25</v>
          </cell>
          <cell r="F1436" t="str">
            <v>28/03/2025</v>
          </cell>
          <cell r="G1436" t="str">
            <v>27/03/2026</v>
          </cell>
          <cell r="H1436" t="str">
            <v>08004499</v>
          </cell>
          <cell r="I1436" t="str">
            <v>AL BARAKA BANK (PAKISTAN) LIMITED</v>
          </cell>
          <cell r="J1436" t="str">
            <v>BANK</v>
          </cell>
          <cell r="K1436" t="str">
            <v>M/s. Al Baraka Bank (Pakistan) Limited 
M/S. Al Baraka Bank (Pakistan) Limited 
User: Muhammad Subtain Amir</v>
          </cell>
          <cell r="L1436" t="str">
            <v>D</v>
          </cell>
          <cell r="M1436" t="str">
            <v>09000221</v>
          </cell>
          <cell r="N1436">
            <v>100</v>
          </cell>
          <cell r="P1436" t="str">
            <v>St# 03, Dere Abdul Hakeem Harbanspuralahore.</v>
          </cell>
          <cell r="Q1436" t="str">
            <v>11000003</v>
          </cell>
          <cell r="R1436" t="str">
            <v>SUZUKI MEHRAN VXR</v>
          </cell>
          <cell r="S1436" t="str">
            <v>2019</v>
          </cell>
          <cell r="T1436" t="str">
            <v>LED-19-4689</v>
          </cell>
          <cell r="U1436" t="str">
            <v>767730</v>
          </cell>
          <cell r="V1436" t="str">
            <v>1306573</v>
          </cell>
          <cell r="W1436" t="str">
            <v>05-may-2026</v>
          </cell>
          <cell r="Y1436">
            <v>559000</v>
          </cell>
          <cell r="Z1436">
            <v>18071</v>
          </cell>
          <cell r="AA1436">
            <v>20963</v>
          </cell>
        </row>
        <row r="1437">
          <cell r="B1437" t="str">
            <v>KHI/HO/D/MO/PC COMP/C/108043/168/03/2025</v>
          </cell>
          <cell r="D1437" t="str">
            <v>REN</v>
          </cell>
          <cell r="E1437" t="str">
            <v>13/03/25</v>
          </cell>
          <cell r="F1437" t="str">
            <v>28/03/2025</v>
          </cell>
          <cell r="G1437" t="str">
            <v>27/03/2026</v>
          </cell>
          <cell r="H1437" t="str">
            <v>08004499</v>
          </cell>
          <cell r="I1437" t="str">
            <v>AL BARAKA BANK (PAKISTAN) LIMITED</v>
          </cell>
          <cell r="J1437" t="str">
            <v>BANK</v>
          </cell>
          <cell r="K1437" t="str">
            <v>M/s. Al Baraka Bank (Pakistan) Limited 
M/S. Al Baraka Bank (Pakistan) Limited 
User: Sabir  Ahmed</v>
          </cell>
          <cell r="L1437" t="str">
            <v>D</v>
          </cell>
          <cell r="M1437" t="str">
            <v>09000221</v>
          </cell>
          <cell r="N1437">
            <v>100</v>
          </cell>
          <cell r="P1437" t="str">
            <v>378-C, Green City Barki Road, Lahore.</v>
          </cell>
          <cell r="Q1437" t="str">
            <v>11000003</v>
          </cell>
          <cell r="R1437" t="str">
            <v>HONDA CITY M/T</v>
          </cell>
          <cell r="S1437" t="str">
            <v>2019</v>
          </cell>
          <cell r="T1437" t="str">
            <v>LED-19-3521</v>
          </cell>
          <cell r="U1437" t="str">
            <v>7526217</v>
          </cell>
          <cell r="V1437" t="str">
            <v>R243645</v>
          </cell>
          <cell r="W1437" t="str">
            <v>06-apr-2026</v>
          </cell>
          <cell r="Y1437">
            <v>1208350</v>
          </cell>
          <cell r="Z1437">
            <v>34376</v>
          </cell>
          <cell r="AA1437">
            <v>39876</v>
          </cell>
        </row>
        <row r="1438">
          <cell r="B1438" t="str">
            <v>KHI/HO/D/MO/CV/C/107869/2/03/2025</v>
          </cell>
          <cell r="D1438" t="str">
            <v>REN</v>
          </cell>
          <cell r="E1438" t="str">
            <v>13/03/25</v>
          </cell>
          <cell r="F1438" t="str">
            <v>02/03/2025</v>
          </cell>
          <cell r="G1438" t="str">
            <v>01/03/2026</v>
          </cell>
          <cell r="H1438" t="str">
            <v>08004499</v>
          </cell>
          <cell r="I1438" t="str">
            <v>AL BARAKA BANK (PAKISTAN) LIMITED</v>
          </cell>
          <cell r="J1438" t="str">
            <v>BANK</v>
          </cell>
          <cell r="K1438" t="str">
            <v>Mr.
HPA M/s. Al Baraka Bank Pakistan Limited
Mr. Atif Khan
HPA M/s. Al Baraka Bank (Pakistan) Limited</v>
          </cell>
          <cell r="L1438" t="str">
            <v>D</v>
          </cell>
          <cell r="M1438" t="str">
            <v>09000221</v>
          </cell>
          <cell r="N1438">
            <v>100</v>
          </cell>
          <cell r="O1438" t="str">
            <v>KARACHI</v>
          </cell>
          <cell r="P1438" t="str">
            <v>House No. C-38 Block H North Nazimabad Karachi</v>
          </cell>
          <cell r="Q1438" t="str">
            <v>11000003</v>
          </cell>
          <cell r="R1438" t="str">
            <v>JAC JAC X200 EURO II AC</v>
          </cell>
          <cell r="S1438" t="str">
            <v>2021</v>
          </cell>
          <cell r="T1438" t="str">
            <v>KZ-7066</v>
          </cell>
          <cell r="U1438" t="str">
            <v>L4018839</v>
          </cell>
          <cell r="V1438" t="str">
            <v>L1803436</v>
          </cell>
          <cell r="X1438" t="str">
            <v>3</v>
          </cell>
          <cell r="Y1438">
            <v>1811250</v>
          </cell>
          <cell r="Z1438">
            <v>39036</v>
          </cell>
          <cell r="AA1438">
            <v>45281</v>
          </cell>
        </row>
        <row r="1439">
          <cell r="B1439" t="str">
            <v>KHI/HO/D/MO/PC COMP/C/108053/1/03/2025</v>
          </cell>
          <cell r="D1439" t="str">
            <v>REN</v>
          </cell>
          <cell r="E1439" t="str">
            <v>13/03/25</v>
          </cell>
          <cell r="F1439" t="str">
            <v>27/05/2024</v>
          </cell>
          <cell r="G1439" t="str">
            <v>26/05/2025</v>
          </cell>
          <cell r="H1439" t="str">
            <v>08004499</v>
          </cell>
          <cell r="I1439" t="str">
            <v>AL BARAKA BANK (PAKISTAN) LIMITED</v>
          </cell>
          <cell r="J1439" t="str">
            <v>BANK</v>
          </cell>
          <cell r="K1439" t="str">
            <v>M/s. Al Baraka Bank Pakistan Limited
Mr. Rana Adeel Farooq Shabbir
HPA M/s. Al Baraka Bank Pakistan Limited</v>
          </cell>
          <cell r="L1439" t="str">
            <v>D</v>
          </cell>
          <cell r="M1439" t="str">
            <v>09000221</v>
          </cell>
          <cell r="N1439">
            <v>100</v>
          </cell>
          <cell r="P1439" t="str">
            <v>Rana House Near Railway Phatak Mumtazabad Multan</v>
          </cell>
          <cell r="Q1439" t="str">
            <v>11000003</v>
          </cell>
          <cell r="R1439" t="str">
            <v>TOYOTA COROLLA ALTIS CVT</v>
          </cell>
          <cell r="S1439" t="str">
            <v>2022</v>
          </cell>
          <cell r="T1439" t="str">
            <v>AKS-539</v>
          </cell>
          <cell r="U1439" t="str">
            <v>Q095597</v>
          </cell>
          <cell r="V1439" t="str">
            <v>6073080</v>
          </cell>
          <cell r="X1439" t="str">
            <v>3</v>
          </cell>
          <cell r="Y1439">
            <v>3033650</v>
          </cell>
          <cell r="Z1439">
            <v>64950</v>
          </cell>
          <cell r="AA1439">
            <v>75841</v>
          </cell>
        </row>
        <row r="1440">
          <cell r="B1440" t="str">
            <v>KHI/HO/D/MO/PC COMP/C/107861/16/03/2025</v>
          </cell>
          <cell r="D1440" t="str">
            <v>FRE</v>
          </cell>
          <cell r="E1440" t="str">
            <v>13/03/25</v>
          </cell>
          <cell r="F1440" t="str">
            <v>13/03/2025</v>
          </cell>
          <cell r="G1440" t="str">
            <v>12/03/2026</v>
          </cell>
          <cell r="H1440" t="str">
            <v>08004499</v>
          </cell>
          <cell r="I1440" t="str">
            <v>AL BARAKA BANK (PAKISTAN) LIMITED</v>
          </cell>
          <cell r="J1440" t="str">
            <v>BANK</v>
          </cell>
          <cell r="K1440" t="str">
            <v>Mr. 
HPA M/s. Al Baraka Bank (Pakistan) Limited 
Mr. Ghulam Zohra
HPA M/s. Al Baraka Bank (Pakistan) Limited</v>
          </cell>
          <cell r="L1440" t="str">
            <v>D</v>
          </cell>
          <cell r="M1440" t="str">
            <v>09000221</v>
          </cell>
          <cell r="N1440">
            <v>100</v>
          </cell>
          <cell r="O1440" t="str">
            <v>LAHORE</v>
          </cell>
          <cell r="P1440" t="str">
            <v>1st Floor H No 10 Lytton Road Mozang Chowk Lahore</v>
          </cell>
          <cell r="Q1440" t="str">
            <v>11000003</v>
          </cell>
          <cell r="R1440" t="str">
            <v>HONDA CITY A/T</v>
          </cell>
          <cell r="S1440" t="str">
            <v>2021</v>
          </cell>
          <cell r="T1440" t="str">
            <v>ACZ-195</v>
          </cell>
          <cell r="U1440" t="str">
            <v>17546409</v>
          </cell>
          <cell r="V1440" t="str">
            <v>R271335</v>
          </cell>
          <cell r="Y1440">
            <v>4000000</v>
          </cell>
          <cell r="Z1440">
            <v>51724</v>
          </cell>
          <cell r="AA1440">
            <v>60000</v>
          </cell>
        </row>
        <row r="1441">
          <cell r="B1441" t="str">
            <v>KHI/HO/D/MO/PC COMP/C/107861/17/03/2025</v>
          </cell>
          <cell r="D1441" t="str">
            <v>FRE</v>
          </cell>
          <cell r="E1441" t="str">
            <v>14/03/25</v>
          </cell>
          <cell r="F1441" t="str">
            <v>14/03/2025</v>
          </cell>
          <cell r="G1441" t="str">
            <v>13/03/2026</v>
          </cell>
          <cell r="H1441" t="str">
            <v>08004499</v>
          </cell>
          <cell r="I1441" t="str">
            <v>AL BARAKA BANK (PAKISTAN) LIMITED</v>
          </cell>
          <cell r="J1441" t="str">
            <v>BANK</v>
          </cell>
          <cell r="K1441" t="str">
            <v>Mr. 
HPA M/s. Al Baraka Bank (Pakistan) Limited 
Mr. MUHAMMAD IRFAN
HPA M/s. Al Baraka Bank (Pakistan) Limited</v>
          </cell>
          <cell r="L1441" t="str">
            <v>D</v>
          </cell>
          <cell r="M1441" t="str">
            <v>09000221</v>
          </cell>
          <cell r="N1441">
            <v>100</v>
          </cell>
          <cell r="O1441" t="str">
            <v>LAHORE</v>
          </cell>
          <cell r="P1441" t="str">
            <v>H # 80-D, ST # 3, CHUNGI AMAR SADHU HAMDANI PARK, LAHORE</v>
          </cell>
          <cell r="Q1441" t="str">
            <v>11000003</v>
          </cell>
          <cell r="R1441" t="str">
            <v>SUZUKI WAGON-R</v>
          </cell>
          <cell r="S1441" t="str">
            <v>2025</v>
          </cell>
          <cell r="U1441" t="str">
            <v>249550</v>
          </cell>
          <cell r="V1441" t="str">
            <v>149548</v>
          </cell>
          <cell r="Y1441">
            <v>3412000</v>
          </cell>
          <cell r="Z1441">
            <v>58828</v>
          </cell>
          <cell r="AA1441">
            <v>68240</v>
          </cell>
        </row>
        <row r="1442">
          <cell r="B1442" t="str">
            <v>KHI/HO/D/MO/PC COMP/C/107861/18/03/2025</v>
          </cell>
          <cell r="D1442" t="str">
            <v>FRE</v>
          </cell>
          <cell r="E1442" t="str">
            <v>14/03/25</v>
          </cell>
          <cell r="F1442" t="str">
            <v>14/03/2025</v>
          </cell>
          <cell r="G1442" t="str">
            <v>13/03/2026</v>
          </cell>
          <cell r="H1442" t="str">
            <v>08004499</v>
          </cell>
          <cell r="I1442" t="str">
            <v>AL BARAKA BANK (PAKISTAN) LIMITED</v>
          </cell>
          <cell r="J1442" t="str">
            <v>BANK</v>
          </cell>
          <cell r="K1442" t="str">
            <v>Mr. 
HPA M/s. Al Baraka Bank (Pakistan) Limited 
Mr. SANA AYAZ
HPA M/s. Al Baraka Bank (Pakistan) Limited</v>
          </cell>
          <cell r="L1442" t="str">
            <v>D</v>
          </cell>
          <cell r="M1442" t="str">
            <v>09000221</v>
          </cell>
          <cell r="N1442">
            <v>100</v>
          </cell>
          <cell r="O1442" t="str">
            <v>LAHORE</v>
          </cell>
          <cell r="P1442" t="str">
            <v>H # 186-, SECTOR EME DHA PHASE 12 MULTAN ROAD LAHORE</v>
          </cell>
          <cell r="Q1442" t="str">
            <v>11000003</v>
          </cell>
          <cell r="R1442" t="str">
            <v>KIA PICANTO A/T</v>
          </cell>
          <cell r="S1442" t="str">
            <v>2021</v>
          </cell>
          <cell r="T1442" t="str">
            <v>AEH-877</v>
          </cell>
          <cell r="U1442" t="str">
            <v>P007289</v>
          </cell>
          <cell r="V1442" t="str">
            <v>705651</v>
          </cell>
          <cell r="Y1442">
            <v>2800000</v>
          </cell>
          <cell r="Z1442">
            <v>48276</v>
          </cell>
          <cell r="AA1442">
            <v>56000</v>
          </cell>
        </row>
        <row r="1443">
          <cell r="B1443" t="str">
            <v>KHI/HO/D/MO/PC COMP/C/107861/19/03/2025</v>
          </cell>
          <cell r="D1443" t="str">
            <v>FRE</v>
          </cell>
          <cell r="E1443" t="str">
            <v>14/03/25</v>
          </cell>
          <cell r="F1443" t="str">
            <v>14/03/2025</v>
          </cell>
          <cell r="G1443" t="str">
            <v>13/03/2026</v>
          </cell>
          <cell r="H1443" t="str">
            <v>08004499</v>
          </cell>
          <cell r="I1443" t="str">
            <v>AL BARAKA BANK (PAKISTAN) LIMITED</v>
          </cell>
          <cell r="J1443" t="str">
            <v>BANK</v>
          </cell>
          <cell r="K1443" t="str">
            <v>Mr. 
HPA M/s. Al Baraka Bank (Pakistan) Limited 
Mr. HINA ANEES
HPA M/s. Al Baraka Bank (Pakistan) Limited</v>
          </cell>
          <cell r="L1443" t="str">
            <v>D</v>
          </cell>
          <cell r="M1443" t="str">
            <v>09000221</v>
          </cell>
          <cell r="N1443">
            <v>100</v>
          </cell>
          <cell r="O1443" t="str">
            <v>LAHORE</v>
          </cell>
          <cell r="P1443" t="str">
            <v>H-799-B RAVI BLOCK ALLAMA IQBAL  TOWN LAHORE</v>
          </cell>
          <cell r="Q1443" t="str">
            <v>11000003</v>
          </cell>
          <cell r="R1443" t="str">
            <v>TOYOTA YARIS 1.5 A/T</v>
          </cell>
          <cell r="S1443" t="str">
            <v>2025</v>
          </cell>
          <cell r="U1443" t="str">
            <v>2A73711</v>
          </cell>
          <cell r="V1443" t="str">
            <v>NSP150R-7050797</v>
          </cell>
          <cell r="Y1443">
            <v>4730000</v>
          </cell>
          <cell r="Z1443">
            <v>61163</v>
          </cell>
          <cell r="AA1443">
            <v>70950</v>
          </cell>
        </row>
        <row r="1444">
          <cell r="B1444" t="str">
            <v>KHI/HO/D/MO/PC COMP/C/107861/20/03/2025</v>
          </cell>
          <cell r="D1444" t="str">
            <v>FRE</v>
          </cell>
          <cell r="E1444" t="str">
            <v>14/03/25</v>
          </cell>
          <cell r="F1444" t="str">
            <v>14/03/2025</v>
          </cell>
          <cell r="G1444" t="str">
            <v>13/03/2026</v>
          </cell>
          <cell r="H1444" t="str">
            <v>08004499</v>
          </cell>
          <cell r="I1444" t="str">
            <v>AL BARAKA BANK (PAKISTAN) LIMITED</v>
          </cell>
          <cell r="J1444" t="str">
            <v>BANK</v>
          </cell>
          <cell r="K1444" t="str">
            <v>Mr. 
HPA M/s. Al Baraka Bank (Pakistan) Limited 
Mr. ABDUL HAMEED
HPA M/s. Al Baraka Bank (Pakistan) Limited</v>
          </cell>
          <cell r="L1444" t="str">
            <v>D</v>
          </cell>
          <cell r="M1444" t="str">
            <v>09000221</v>
          </cell>
          <cell r="N1444">
            <v>100</v>
          </cell>
          <cell r="O1444" t="str">
            <v>SADIQABAD</v>
          </cell>
          <cell r="P1444" t="str">
            <v>ST A3 MOH RAHEED ABAD SADIQABAD</v>
          </cell>
          <cell r="Q1444" t="str">
            <v>11000003</v>
          </cell>
          <cell r="R1444" t="str">
            <v>SUZUKI Swift GL CVT</v>
          </cell>
          <cell r="S1444" t="str">
            <v>2025</v>
          </cell>
          <cell r="U1444" t="str">
            <v>1021836</v>
          </cell>
          <cell r="V1444" t="str">
            <v>S00204493</v>
          </cell>
          <cell r="Y1444">
            <v>4560000</v>
          </cell>
          <cell r="Z1444">
            <v>58965</v>
          </cell>
          <cell r="AA1444">
            <v>68400</v>
          </cell>
        </row>
        <row r="1445">
          <cell r="B1445" t="str">
            <v>KHI/HO/D/MO/PC COMP/C/107861/21/03/2025</v>
          </cell>
          <cell r="D1445" t="str">
            <v>FRE</v>
          </cell>
          <cell r="E1445" t="str">
            <v>17/03/25</v>
          </cell>
          <cell r="F1445" t="str">
            <v>17/03/2025</v>
          </cell>
          <cell r="G1445" t="str">
            <v>16/03/2026</v>
          </cell>
          <cell r="H1445" t="str">
            <v>08004499</v>
          </cell>
          <cell r="I1445" t="str">
            <v>AL BARAKA BANK (PAKISTAN) LIMITED</v>
          </cell>
          <cell r="J1445" t="str">
            <v>BANK</v>
          </cell>
          <cell r="K1445" t="str">
            <v>Mr. 
HPA M/s. Al Baraka Bank (Pakistan) Limited 
Mr. Shahroz
HPA M/s. Al Baraka Bank (Pakistan) Limited</v>
          </cell>
          <cell r="L1445" t="str">
            <v>D</v>
          </cell>
          <cell r="M1445" t="str">
            <v>09000221</v>
          </cell>
          <cell r="N1445">
            <v>100</v>
          </cell>
          <cell r="O1445" t="str">
            <v>FAISALABAD</v>
          </cell>
          <cell r="P1445" t="str">
            <v>H # C-12 Muhammad Ali H. Scheme Nisar Colony Faisalabad</v>
          </cell>
          <cell r="Q1445" t="str">
            <v>11000003</v>
          </cell>
          <cell r="R1445" t="str">
            <v>SUZUKI ALTO VXL AGS E-2</v>
          </cell>
          <cell r="S1445" t="str">
            <v>2025</v>
          </cell>
          <cell r="U1445" t="str">
            <v>6R339044</v>
          </cell>
          <cell r="V1445" t="str">
            <v>NF1AET306H1239061</v>
          </cell>
          <cell r="X1445" t="str">
            <v>3</v>
          </cell>
          <cell r="Y1445">
            <v>3045000</v>
          </cell>
          <cell r="Z1445">
            <v>52500</v>
          </cell>
          <cell r="AA1445">
            <v>60900</v>
          </cell>
        </row>
        <row r="1446">
          <cell r="B1446" t="str">
            <v>KHI/HO/D/MO/PC COMP/C/107861/22/03/2025</v>
          </cell>
          <cell r="D1446" t="str">
            <v>FRE</v>
          </cell>
          <cell r="E1446" t="str">
            <v>17/03/25</v>
          </cell>
          <cell r="F1446" t="str">
            <v>17/03/2025</v>
          </cell>
          <cell r="G1446" t="str">
            <v>16/03/2026</v>
          </cell>
          <cell r="H1446" t="str">
            <v>08004499</v>
          </cell>
          <cell r="I1446" t="str">
            <v>AL BARAKA BANK (PAKISTAN) LIMITED</v>
          </cell>
          <cell r="J1446" t="str">
            <v>BANK</v>
          </cell>
          <cell r="K1446" t="str">
            <v>Mr. 
HPA M/s. Al Baraka Bank (Pakistan) Limited 
Mr. Haider Ali Shah 
HPA M/s. Al Baraka Bank (Pakistan) Limited</v>
          </cell>
          <cell r="L1446" t="str">
            <v>D</v>
          </cell>
          <cell r="M1446" t="str">
            <v>09000221</v>
          </cell>
          <cell r="N1446">
            <v>100</v>
          </cell>
          <cell r="O1446" t="str">
            <v>LAHORE</v>
          </cell>
          <cell r="P1446" t="str">
            <v>Building D Appartment 103 Defence View Appartment Shanghai Road Lahore</v>
          </cell>
          <cell r="Q1446" t="str">
            <v>11000003</v>
          </cell>
          <cell r="R1446" t="str">
            <v>CHANGAN ALSVIN LUMEIRE</v>
          </cell>
          <cell r="S1446" t="str">
            <v>2021</v>
          </cell>
          <cell r="T1446" t="str">
            <v>AFS-829</v>
          </cell>
          <cell r="U1446" t="str">
            <v>521202</v>
          </cell>
          <cell r="V1446" t="str">
            <v>1004099</v>
          </cell>
          <cell r="X1446" t="str">
            <v>3</v>
          </cell>
          <cell r="Y1446">
            <v>3450000</v>
          </cell>
          <cell r="Z1446">
            <v>44612</v>
          </cell>
          <cell r="AA1446">
            <v>51750</v>
          </cell>
        </row>
        <row r="1447">
          <cell r="B1447" t="str">
            <v>KHI/HO/D/MO/PC COMP/C/107861/23/03/2025</v>
          </cell>
          <cell r="D1447" t="str">
            <v>FRE</v>
          </cell>
          <cell r="E1447" t="str">
            <v>17/03/25</v>
          </cell>
          <cell r="F1447" t="str">
            <v>17/03/2025</v>
          </cell>
          <cell r="G1447" t="str">
            <v>16/03/2026</v>
          </cell>
          <cell r="H1447" t="str">
            <v>08004499</v>
          </cell>
          <cell r="I1447" t="str">
            <v>AL BARAKA BANK (PAKISTAN) LIMITED</v>
          </cell>
          <cell r="J1447" t="str">
            <v>BANK</v>
          </cell>
          <cell r="K1447" t="str">
            <v>Mr. 
HPA M/s. Al Baraka Bank (Pakistan) Limited 
Mr. Umar Abbas 
HPA M/s. Al Baraka Bank (Pakistan) Limited</v>
          </cell>
          <cell r="L1447" t="str">
            <v>D</v>
          </cell>
          <cell r="M1447" t="str">
            <v>09000221</v>
          </cell>
          <cell r="N1447">
            <v>100</v>
          </cell>
          <cell r="O1447" t="str">
            <v>LAHORE</v>
          </cell>
          <cell r="P1447" t="str">
            <v>H # 3 Street 01 Bhatta Gadiya Wala  Salamat Pura Lahore</v>
          </cell>
          <cell r="Q1447" t="str">
            <v>11000003</v>
          </cell>
          <cell r="R1447" t="str">
            <v>SUZUKI Swift GLX CVT</v>
          </cell>
          <cell r="S1447" t="str">
            <v>2025</v>
          </cell>
          <cell r="U1447" t="str">
            <v>1026369</v>
          </cell>
          <cell r="V1447" t="str">
            <v>63500209029</v>
          </cell>
          <cell r="X1447" t="str">
            <v>3</v>
          </cell>
          <cell r="Y1447">
            <v>4719000</v>
          </cell>
          <cell r="Z1447">
            <v>61022</v>
          </cell>
          <cell r="AA1447">
            <v>70785</v>
          </cell>
        </row>
        <row r="1448">
          <cell r="B1448" t="str">
            <v>KHI/HO/D/MO/PC COMP/C/107861/24/03/2025</v>
          </cell>
          <cell r="D1448" t="str">
            <v>FRE</v>
          </cell>
          <cell r="E1448" t="str">
            <v>17/03/25</v>
          </cell>
          <cell r="F1448" t="str">
            <v>17/03/2025</v>
          </cell>
          <cell r="G1448" t="str">
            <v>16/03/2026</v>
          </cell>
          <cell r="H1448" t="str">
            <v>08004499</v>
          </cell>
          <cell r="I1448" t="str">
            <v>AL BARAKA BANK (PAKISTAN) LIMITED</v>
          </cell>
          <cell r="J1448" t="str">
            <v>BANK</v>
          </cell>
          <cell r="K1448" t="str">
            <v>Mr. 
HPA M/s. Al Baraka Bank (Pakistan) Limited 
Mr. Nadeem Iqbal 
HPA M/s. Al Baraka Bank (Pakistan) Limited</v>
          </cell>
          <cell r="L1448" t="str">
            <v>D</v>
          </cell>
          <cell r="M1448" t="str">
            <v>09000221</v>
          </cell>
          <cell r="N1448">
            <v>100</v>
          </cell>
          <cell r="O1448" t="str">
            <v>LAHORE</v>
          </cell>
          <cell r="P1448" t="str">
            <v>H # 309 Block PECO Road Marghzar Colony Lahore</v>
          </cell>
          <cell r="Q1448" t="str">
            <v>11000003</v>
          </cell>
          <cell r="R1448" t="str">
            <v>HONDA CITY 1.2 LS MT</v>
          </cell>
          <cell r="S1448" t="str">
            <v>2022</v>
          </cell>
          <cell r="U1448" t="str">
            <v>B51009227</v>
          </cell>
          <cell r="V1448" t="str">
            <v>R015413</v>
          </cell>
          <cell r="X1448" t="str">
            <v>3</v>
          </cell>
          <cell r="Y1448">
            <v>4100000</v>
          </cell>
          <cell r="Z1448">
            <v>53017</v>
          </cell>
          <cell r="AA1448">
            <v>61500</v>
          </cell>
        </row>
        <row r="1449">
          <cell r="B1449" t="str">
            <v>KHI/HO/D/MO/PC COMP/C/107861/25/03/2025</v>
          </cell>
          <cell r="D1449" t="str">
            <v>FRE</v>
          </cell>
          <cell r="E1449" t="str">
            <v>17/03/25</v>
          </cell>
          <cell r="F1449" t="str">
            <v>17/03/2025</v>
          </cell>
          <cell r="G1449" t="str">
            <v>16/03/2026</v>
          </cell>
          <cell r="H1449" t="str">
            <v>08004499</v>
          </cell>
          <cell r="I1449" t="str">
            <v>AL BARAKA BANK (PAKISTAN) LIMITED</v>
          </cell>
          <cell r="J1449" t="str">
            <v>BANK</v>
          </cell>
          <cell r="K1449" t="str">
            <v>Mr. 
HPA M/s. Al Baraka Bank (Pakistan) Limited 
Mr. Waleed Tariq  
HPA M/s. Al Baraka Bank (Pakistan) Limited</v>
          </cell>
          <cell r="L1449" t="str">
            <v>D</v>
          </cell>
          <cell r="M1449" t="str">
            <v>09000221</v>
          </cell>
          <cell r="N1449">
            <v>100</v>
          </cell>
          <cell r="O1449" t="str">
            <v>FAISALABAD</v>
          </cell>
          <cell r="P1449" t="str">
            <v>83-Y 103 Madina Town Faisalabad</v>
          </cell>
          <cell r="Q1449" t="str">
            <v>11000003</v>
          </cell>
          <cell r="R1449" t="str">
            <v>SUZUKI CULTUS VXL EURO II</v>
          </cell>
          <cell r="S1449" t="str">
            <v>2019</v>
          </cell>
          <cell r="T1449" t="str">
            <v>LEE-19-8308</v>
          </cell>
          <cell r="U1449" t="str">
            <v>PK10K143256</v>
          </cell>
          <cell r="V1449" t="str">
            <v>NF1AVK31H10043257</v>
          </cell>
          <cell r="X1449" t="str">
            <v>3</v>
          </cell>
          <cell r="Y1449">
            <v>2650000</v>
          </cell>
          <cell r="Z1449">
            <v>45690</v>
          </cell>
          <cell r="AA1449">
            <v>53000</v>
          </cell>
        </row>
        <row r="1450">
          <cell r="B1450" t="str">
            <v>KHI/HO/D/MO/PC COMP/C/107861/26/03/2025</v>
          </cell>
          <cell r="D1450" t="str">
            <v>FRE</v>
          </cell>
          <cell r="E1450" t="str">
            <v>18/03/25</v>
          </cell>
          <cell r="F1450" t="str">
            <v>18/03/2025</v>
          </cell>
          <cell r="G1450" t="str">
            <v>17/03/2026</v>
          </cell>
          <cell r="H1450" t="str">
            <v>08004499</v>
          </cell>
          <cell r="I1450" t="str">
            <v>AL BARAKA BANK (PAKISTAN) LIMITED</v>
          </cell>
          <cell r="J1450" t="str">
            <v>BANK</v>
          </cell>
          <cell r="K1450" t="str">
            <v>Mr. 
HPA M/s. Al Baraka Bank (Pakistan) Limited 
Mr. Kamran Khatri
HPA M/s. Al Baraka Bank (Pakistan) Limited</v>
          </cell>
          <cell r="L1450" t="str">
            <v>D</v>
          </cell>
          <cell r="M1450" t="str">
            <v>09000221</v>
          </cell>
          <cell r="N1450">
            <v>100</v>
          </cell>
          <cell r="P1450" t="str">
            <v>Flat 301 Saba Opp Garden Super Market Terrace Karachi</v>
          </cell>
          <cell r="Q1450" t="str">
            <v>11000003</v>
          </cell>
          <cell r="R1450" t="str">
            <v>SUZUKI ALTO VXL AGS E-2</v>
          </cell>
          <cell r="S1450" t="str">
            <v>2020</v>
          </cell>
          <cell r="T1450" t="str">
            <v>BRQ-038</v>
          </cell>
          <cell r="U1450" t="str">
            <v>125924</v>
          </cell>
          <cell r="V1450" t="str">
            <v>1025943</v>
          </cell>
          <cell r="X1450" t="str">
            <v>3</v>
          </cell>
          <cell r="Y1450">
            <v>2550000</v>
          </cell>
          <cell r="Z1450">
            <v>43965</v>
          </cell>
          <cell r="AA1450">
            <v>51000</v>
          </cell>
        </row>
        <row r="1451">
          <cell r="B1451" t="str">
            <v>KHI/HO/D/MO/PC COMP/C/107861/27/03/2025</v>
          </cell>
          <cell r="D1451" t="str">
            <v>FRE</v>
          </cell>
          <cell r="E1451" t="str">
            <v>18/03/25</v>
          </cell>
          <cell r="F1451" t="str">
            <v>18/03/2025</v>
          </cell>
          <cell r="G1451" t="str">
            <v>17/03/2026</v>
          </cell>
          <cell r="H1451" t="str">
            <v>08004499</v>
          </cell>
          <cell r="I1451" t="str">
            <v>AL BARAKA BANK (PAKISTAN) LIMITED</v>
          </cell>
          <cell r="J1451" t="str">
            <v>BANK</v>
          </cell>
          <cell r="K1451" t="str">
            <v>Mr. 
HPA M/s. Al Baraka Bank (Pakistan) Limited 
Mr. Qayyum Khan
HPA M/s. Al Baraka Bank (Pakistan) Limited</v>
          </cell>
          <cell r="L1451" t="str">
            <v>D</v>
          </cell>
          <cell r="M1451" t="str">
            <v>09000221</v>
          </cell>
          <cell r="N1451">
            <v>100</v>
          </cell>
          <cell r="P1451" t="str">
            <v>129/3A 8S NR People Play Ground Off Shahwali Ullah Road Karachi</v>
          </cell>
          <cell r="Q1451" t="str">
            <v>11000003</v>
          </cell>
          <cell r="R1451" t="str">
            <v>TOYOTA COROLLA ALTIS  1.6</v>
          </cell>
          <cell r="S1451" t="str">
            <v>2020</v>
          </cell>
          <cell r="T1451" t="str">
            <v>BRT-356</v>
          </cell>
          <cell r="U1451" t="str">
            <v>Q064750</v>
          </cell>
          <cell r="V1451" t="str">
            <v>6042219</v>
          </cell>
          <cell r="X1451" t="str">
            <v>3</v>
          </cell>
          <cell r="Y1451">
            <v>4250000</v>
          </cell>
          <cell r="Z1451">
            <v>54956</v>
          </cell>
          <cell r="AA1451">
            <v>63750</v>
          </cell>
        </row>
        <row r="1452">
          <cell r="B1452" t="str">
            <v>KHI/HO/D/MO/PC COMP/C/107861/28/03/2025</v>
          </cell>
          <cell r="D1452" t="str">
            <v>FRE</v>
          </cell>
          <cell r="E1452" t="str">
            <v>18/03/25</v>
          </cell>
          <cell r="F1452" t="str">
            <v>18/03/2025</v>
          </cell>
          <cell r="G1452" t="str">
            <v>17/03/2026</v>
          </cell>
          <cell r="H1452" t="str">
            <v>08004499</v>
          </cell>
          <cell r="I1452" t="str">
            <v>AL BARAKA BANK (PAKISTAN) LIMITED</v>
          </cell>
          <cell r="J1452" t="str">
            <v>BANK</v>
          </cell>
          <cell r="K1452" t="str">
            <v>Mr. 
HPA M/s. Al Baraka Bank (Pakistan) Limited 
Mr. Umer Farooq 
HPA M/s. Al Baraka Bank (Pakistan) Limited</v>
          </cell>
          <cell r="L1452" t="str">
            <v>D</v>
          </cell>
          <cell r="M1452" t="str">
            <v>09000221</v>
          </cell>
          <cell r="N1452">
            <v>100</v>
          </cell>
          <cell r="O1452" t="str">
            <v>LAHORE</v>
          </cell>
          <cell r="P1452" t="str">
            <v>H # 169 Block B Phase 8 Ex Park View Cantt Lahore</v>
          </cell>
          <cell r="Q1452" t="str">
            <v>11000003</v>
          </cell>
          <cell r="R1452" t="str">
            <v>SUZUKI ALTO VXR E-2</v>
          </cell>
          <cell r="S1452" t="str">
            <v>2025</v>
          </cell>
          <cell r="U1452" t="str">
            <v>6R341726</v>
          </cell>
          <cell r="V1452" t="str">
            <v>6H1241757</v>
          </cell>
          <cell r="X1452" t="str">
            <v>3</v>
          </cell>
          <cell r="Y1452">
            <v>2707000</v>
          </cell>
          <cell r="Z1452">
            <v>46672</v>
          </cell>
          <cell r="AA1452">
            <v>54140</v>
          </cell>
        </row>
        <row r="1453">
          <cell r="B1453" t="str">
            <v>KHI/HO/D/MO/CV/C/108020/2/03/2025</v>
          </cell>
          <cell r="D1453" t="str">
            <v>FRE</v>
          </cell>
          <cell r="E1453" t="str">
            <v>19/03/25</v>
          </cell>
          <cell r="F1453" t="str">
            <v>19/03/2025</v>
          </cell>
          <cell r="G1453" t="str">
            <v>18/03/2026</v>
          </cell>
          <cell r="H1453" t="str">
            <v>08004499</v>
          </cell>
          <cell r="I1453" t="str">
            <v>AL BARAKA BANK (PAKISTAN) LIMITED</v>
          </cell>
          <cell r="J1453" t="str">
            <v>BANK</v>
          </cell>
          <cell r="K1453" t="str">
            <v>Mr. 
HPA M/s. Al Baraka Bank (Pakistan) Limited
Mr. Afsar Khan  
HPA M/s. Al Baraka Bank (Pakistan) Limited</v>
          </cell>
          <cell r="L1453" t="str">
            <v>D</v>
          </cell>
          <cell r="M1453" t="str">
            <v>09000221</v>
          </cell>
          <cell r="N1453">
            <v>100</v>
          </cell>
          <cell r="O1453" t="str">
            <v>KARACHI</v>
          </cell>
          <cell r="P1453" t="str">
            <v>H # 1529 Sector F-21 Sultanabad Orangi Town Karachi</v>
          </cell>
          <cell r="Q1453" t="str">
            <v>11000003</v>
          </cell>
          <cell r="R1453" t="str">
            <v>SUZUKI RAVI VX EURO II</v>
          </cell>
          <cell r="S1453" t="str">
            <v>2025</v>
          </cell>
          <cell r="U1453" t="str">
            <v>396373</v>
          </cell>
          <cell r="V1453" t="str">
            <v>501021</v>
          </cell>
          <cell r="X1453" t="str">
            <v>3</v>
          </cell>
          <cell r="Y1453">
            <v>1856000</v>
          </cell>
          <cell r="Z1453">
            <v>32000</v>
          </cell>
          <cell r="AA1453">
            <v>37120</v>
          </cell>
        </row>
        <row r="1454">
          <cell r="B1454" t="str">
            <v>KHI/HO/D/MO/PC COMP/C/107861/29/03/2025</v>
          </cell>
          <cell r="D1454" t="str">
            <v>FRE</v>
          </cell>
          <cell r="E1454" t="str">
            <v>20/03/25</v>
          </cell>
          <cell r="F1454" t="str">
            <v>20/03/2025</v>
          </cell>
          <cell r="G1454" t="str">
            <v>19/03/2026</v>
          </cell>
          <cell r="H1454" t="str">
            <v>08004499</v>
          </cell>
          <cell r="I1454" t="str">
            <v>AL BARAKA BANK (PAKISTAN) LIMITED</v>
          </cell>
          <cell r="J1454" t="str">
            <v>BANK</v>
          </cell>
          <cell r="K1454" t="str">
            <v>Mr. 
HPA M/s. Al Baraka Bank (Pakistan) Limited 
Mr. Muhammad Umar Farooq Shah
HPA M/s. Al Baraka Bank (Pakistan) Limited</v>
          </cell>
          <cell r="L1454" t="str">
            <v>D</v>
          </cell>
          <cell r="M1454" t="str">
            <v>09000221</v>
          </cell>
          <cell r="N1454">
            <v>100</v>
          </cell>
          <cell r="O1454" t="str">
            <v>KARACHI</v>
          </cell>
          <cell r="P1454" t="str">
            <v>GAB 529 Ghareebabad Mohallah Bakht Muhammad Salman Gadap Malir Karachi</v>
          </cell>
          <cell r="Q1454" t="str">
            <v>11000003</v>
          </cell>
          <cell r="R1454" t="str">
            <v>SUZUKI ALTO VXR E-2</v>
          </cell>
          <cell r="S1454" t="str">
            <v>2025</v>
          </cell>
          <cell r="U1454" t="str">
            <v>6R344244</v>
          </cell>
          <cell r="V1454" t="str">
            <v>1244040</v>
          </cell>
          <cell r="X1454" t="str">
            <v>3</v>
          </cell>
          <cell r="Y1454">
            <v>2707000</v>
          </cell>
          <cell r="Z1454">
            <v>46672</v>
          </cell>
          <cell r="AA1454">
            <v>54140</v>
          </cell>
        </row>
        <row r="1455">
          <cell r="B1455" t="str">
            <v>KHI/HO/D/MO/PC COMP/C/107861/30/03/2025</v>
          </cell>
          <cell r="D1455" t="str">
            <v>FRE</v>
          </cell>
          <cell r="E1455" t="str">
            <v>20/03/25</v>
          </cell>
          <cell r="F1455" t="str">
            <v>20/03/2025</v>
          </cell>
          <cell r="G1455" t="str">
            <v>19/03/2026</v>
          </cell>
          <cell r="H1455" t="str">
            <v>08004499</v>
          </cell>
          <cell r="I1455" t="str">
            <v>AL BARAKA BANK (PAKISTAN) LIMITED</v>
          </cell>
          <cell r="J1455" t="str">
            <v>BANK</v>
          </cell>
          <cell r="K1455" t="str">
            <v>Mr. 
HPA M/s. Al Baraka Bank (Pakistan) Limited 
Mr. Muhreed Khan 
HPA M/s. Al Baraka Bank (Pakistan) Limited</v>
          </cell>
          <cell r="L1455" t="str">
            <v>D</v>
          </cell>
          <cell r="M1455" t="str">
            <v>09000221</v>
          </cell>
          <cell r="N1455">
            <v>100</v>
          </cell>
          <cell r="O1455" t="str">
            <v>KARACHI</v>
          </cell>
          <cell r="P1455" t="str">
            <v>H # J-181 J Area Korangi No. 5 Karachi</v>
          </cell>
          <cell r="Q1455" t="str">
            <v>11000003</v>
          </cell>
          <cell r="R1455" t="str">
            <v>TOYOTA Yaris ATIV X 1.5 (</v>
          </cell>
          <cell r="S1455" t="str">
            <v>2020</v>
          </cell>
          <cell r="T1455" t="str">
            <v>BSE-234</v>
          </cell>
          <cell r="U1455" t="str">
            <v>2A07322</v>
          </cell>
          <cell r="V1455" t="str">
            <v>R-9503191</v>
          </cell>
          <cell r="X1455" t="str">
            <v>3</v>
          </cell>
          <cell r="Y1455">
            <v>4200000</v>
          </cell>
          <cell r="Z1455">
            <v>54310</v>
          </cell>
          <cell r="AA1455">
            <v>63000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80"/>
  <sheetViews>
    <sheetView topLeftCell="AH55" workbookViewId="0">
      <selection activeCell="AJ2" sqref="AJ2:AJ77"/>
    </sheetView>
  </sheetViews>
  <sheetFormatPr defaultRowHeight="12.75" x14ac:dyDescent="0.2"/>
  <cols>
    <col min="1" max="1" width="0" style="2" hidden="1" customWidth="1"/>
    <col min="2" max="2" width="6.5703125" hidden="1" customWidth="1"/>
    <col min="3" max="3" width="12.28515625" hidden="1" customWidth="1"/>
    <col min="4" max="4" width="14.42578125" hidden="1" customWidth="1"/>
    <col min="5" max="5" width="21" hidden="1" customWidth="1"/>
    <col min="6" max="7" width="0" hidden="1" customWidth="1"/>
    <col min="8" max="8" width="16.42578125" hidden="1" customWidth="1"/>
    <col min="9" max="9" width="0" hidden="1" customWidth="1"/>
    <col min="10" max="10" width="10.85546875" hidden="1" customWidth="1"/>
    <col min="11" max="25" width="0" hidden="1" customWidth="1"/>
    <col min="26" max="26" width="16.140625" hidden="1" customWidth="1"/>
    <col min="27" max="30" width="0" hidden="1" customWidth="1"/>
    <col min="31" max="31" width="9.28515625" hidden="1" customWidth="1"/>
    <col min="32" max="32" width="15.140625" hidden="1" customWidth="1"/>
    <col min="33" max="33" width="0" hidden="1" customWidth="1"/>
    <col min="34" max="34" width="40.28515625" bestFit="1" customWidth="1"/>
    <col min="35" max="35" width="42.28515625" bestFit="1" customWidth="1"/>
    <col min="36" max="36" width="12.42578125" bestFit="1" customWidth="1"/>
    <col min="37" max="37" width="16.28515625" bestFit="1" customWidth="1"/>
  </cols>
  <sheetData>
    <row r="1" spans="1:37" x14ac:dyDescent="0.2">
      <c r="A1" s="8" t="s">
        <v>2095</v>
      </c>
      <c r="B1" s="8" t="s">
        <v>0</v>
      </c>
      <c r="C1" s="8" t="s">
        <v>1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9</v>
      </c>
      <c r="L1" s="8" t="s">
        <v>10</v>
      </c>
      <c r="M1" s="8" t="s">
        <v>11</v>
      </c>
      <c r="N1" s="8" t="s">
        <v>12</v>
      </c>
      <c r="O1" s="8" t="s">
        <v>1</v>
      </c>
      <c r="P1" s="8" t="s">
        <v>13</v>
      </c>
      <c r="Q1" s="8" t="s">
        <v>14</v>
      </c>
      <c r="R1" s="8" t="s">
        <v>15</v>
      </c>
      <c r="S1" s="8" t="s">
        <v>16</v>
      </c>
      <c r="T1" s="8" t="s">
        <v>17</v>
      </c>
      <c r="U1" s="8" t="s">
        <v>18</v>
      </c>
      <c r="V1" s="8" t="s">
        <v>19</v>
      </c>
      <c r="W1" s="8" t="s">
        <v>20</v>
      </c>
      <c r="X1" s="8" t="s">
        <v>21</v>
      </c>
      <c r="Y1" s="8" t="s">
        <v>22</v>
      </c>
      <c r="Z1" s="8" t="s">
        <v>23</v>
      </c>
      <c r="AA1" s="8" t="s">
        <v>24</v>
      </c>
      <c r="AB1" s="8" t="s">
        <v>25</v>
      </c>
      <c r="AC1" s="8" t="s">
        <v>26</v>
      </c>
      <c r="AD1" s="8" t="s">
        <v>27</v>
      </c>
      <c r="AE1" s="8" t="s">
        <v>28</v>
      </c>
      <c r="AF1" s="8" t="s">
        <v>29</v>
      </c>
      <c r="AG1" s="8" t="s">
        <v>30</v>
      </c>
      <c r="AH1" s="8" t="s">
        <v>606</v>
      </c>
      <c r="AI1" s="8" t="s">
        <v>609</v>
      </c>
      <c r="AJ1" s="8" t="s">
        <v>607</v>
      </c>
      <c r="AK1" s="8" t="s">
        <v>608</v>
      </c>
    </row>
    <row r="2" spans="1:37" x14ac:dyDescent="0.2">
      <c r="A2" s="9">
        <v>1</v>
      </c>
      <c r="B2" s="4" t="s">
        <v>0</v>
      </c>
      <c r="C2" s="4" t="s">
        <v>70</v>
      </c>
      <c r="D2" s="4">
        <v>45689</v>
      </c>
      <c r="E2" s="4" t="s">
        <v>31</v>
      </c>
      <c r="F2" s="4" t="s">
        <v>71</v>
      </c>
      <c r="G2" s="4">
        <v>45715</v>
      </c>
      <c r="H2" s="4">
        <v>46079</v>
      </c>
      <c r="I2" s="4" t="s">
        <v>72</v>
      </c>
      <c r="J2" s="4">
        <v>3410151526927</v>
      </c>
      <c r="K2" s="4" t="s">
        <v>73</v>
      </c>
      <c r="L2" s="4" t="s">
        <v>74</v>
      </c>
      <c r="M2" s="4" t="s">
        <v>75</v>
      </c>
      <c r="N2" s="4" t="s">
        <v>76</v>
      </c>
      <c r="O2" s="4" t="s">
        <v>70</v>
      </c>
      <c r="P2" s="4" t="s">
        <v>33</v>
      </c>
      <c r="Q2" s="4" t="s">
        <v>39</v>
      </c>
      <c r="R2" s="4" t="s">
        <v>77</v>
      </c>
      <c r="S2" s="4">
        <v>45721</v>
      </c>
      <c r="T2" s="4">
        <v>46818</v>
      </c>
      <c r="U2" s="4">
        <v>8500000</v>
      </c>
      <c r="V2" s="4"/>
      <c r="W2" s="4"/>
      <c r="X2" s="4">
        <v>8500000</v>
      </c>
      <c r="Y2" s="4">
        <v>1.5</v>
      </c>
      <c r="Z2" s="6">
        <v>127500</v>
      </c>
      <c r="AA2" s="4"/>
      <c r="AB2" s="4"/>
      <c r="AC2" s="4" t="s">
        <v>78</v>
      </c>
      <c r="AD2" s="4">
        <v>1141072987</v>
      </c>
      <c r="AE2" s="4">
        <v>45734</v>
      </c>
      <c r="AF2" s="4" t="s">
        <v>35</v>
      </c>
      <c r="AG2" s="4">
        <v>0</v>
      </c>
      <c r="AH2" s="4" t="s">
        <v>71</v>
      </c>
      <c r="AI2" s="4"/>
      <c r="AJ2" s="6">
        <v>127500</v>
      </c>
      <c r="AK2" s="4">
        <v>0</v>
      </c>
    </row>
    <row r="3" spans="1:37" x14ac:dyDescent="0.2">
      <c r="A3" s="9">
        <v>2</v>
      </c>
      <c r="B3" s="4" t="s">
        <v>0</v>
      </c>
      <c r="C3" s="4" t="s">
        <v>79</v>
      </c>
      <c r="D3" s="4">
        <v>45689</v>
      </c>
      <c r="E3" s="4" t="s">
        <v>31</v>
      </c>
      <c r="F3" s="4" t="s">
        <v>80</v>
      </c>
      <c r="G3" s="4">
        <v>45716</v>
      </c>
      <c r="H3" s="4">
        <v>46080</v>
      </c>
      <c r="I3" s="4" t="s">
        <v>81</v>
      </c>
      <c r="J3" s="4">
        <v>4220162927733</v>
      </c>
      <c r="K3" s="4" t="s">
        <v>57</v>
      </c>
      <c r="L3" s="4" t="s">
        <v>82</v>
      </c>
      <c r="M3" s="4" t="s">
        <v>83</v>
      </c>
      <c r="N3" s="4" t="s">
        <v>84</v>
      </c>
      <c r="O3" s="4" t="s">
        <v>79</v>
      </c>
      <c r="P3" s="4" t="s">
        <v>44</v>
      </c>
      <c r="Q3" s="4" t="s">
        <v>45</v>
      </c>
      <c r="R3" s="4" t="s">
        <v>85</v>
      </c>
      <c r="S3" s="4">
        <v>45720</v>
      </c>
      <c r="T3" s="4">
        <v>46818</v>
      </c>
      <c r="U3" s="4">
        <v>3900000</v>
      </c>
      <c r="V3" s="4"/>
      <c r="W3" s="4"/>
      <c r="X3" s="4">
        <v>3900000</v>
      </c>
      <c r="Y3" s="4">
        <v>1.5</v>
      </c>
      <c r="Z3" s="6">
        <v>58500</v>
      </c>
      <c r="AA3" s="4"/>
      <c r="AB3" s="4"/>
      <c r="AC3" s="4" t="s">
        <v>78</v>
      </c>
      <c r="AD3" s="4">
        <v>1141072987</v>
      </c>
      <c r="AE3" s="4">
        <v>45734</v>
      </c>
      <c r="AF3" s="4" t="s">
        <v>35</v>
      </c>
      <c r="AG3" s="4">
        <v>0</v>
      </c>
      <c r="AH3" s="4" t="s">
        <v>80</v>
      </c>
      <c r="AI3" s="4"/>
      <c r="AJ3" s="6">
        <v>58500</v>
      </c>
      <c r="AK3" s="4">
        <v>0</v>
      </c>
    </row>
    <row r="4" spans="1:37" x14ac:dyDescent="0.2">
      <c r="A4" s="9">
        <v>3</v>
      </c>
      <c r="B4" s="4" t="s">
        <v>0</v>
      </c>
      <c r="C4" s="4" t="s">
        <v>86</v>
      </c>
      <c r="D4" s="4">
        <v>45689</v>
      </c>
      <c r="E4" s="4" t="s">
        <v>31</v>
      </c>
      <c r="F4" s="4" t="s">
        <v>87</v>
      </c>
      <c r="G4" s="4">
        <v>45701</v>
      </c>
      <c r="H4" s="4">
        <v>46065</v>
      </c>
      <c r="I4" s="4" t="s">
        <v>88</v>
      </c>
      <c r="J4" s="4">
        <v>3630203898882</v>
      </c>
      <c r="K4" s="4" t="s">
        <v>89</v>
      </c>
      <c r="L4" s="4"/>
      <c r="M4" s="4" t="s">
        <v>90</v>
      </c>
      <c r="N4" s="4" t="s">
        <v>91</v>
      </c>
      <c r="O4" s="4" t="s">
        <v>86</v>
      </c>
      <c r="P4" s="4" t="s">
        <v>33</v>
      </c>
      <c r="Q4" s="4" t="s">
        <v>54</v>
      </c>
      <c r="R4" s="4" t="s">
        <v>92</v>
      </c>
      <c r="S4" s="4">
        <v>45723</v>
      </c>
      <c r="T4" s="4">
        <v>46818</v>
      </c>
      <c r="U4" s="4">
        <v>3904000</v>
      </c>
      <c r="V4" s="4"/>
      <c r="W4" s="4"/>
      <c r="X4" s="4">
        <v>3904000</v>
      </c>
      <c r="Y4" s="4">
        <v>1.5</v>
      </c>
      <c r="Z4" s="6">
        <v>58560</v>
      </c>
      <c r="AA4" s="4"/>
      <c r="AB4" s="4"/>
      <c r="AC4" s="4" t="s">
        <v>78</v>
      </c>
      <c r="AD4" s="4">
        <v>1141072987</v>
      </c>
      <c r="AE4" s="4">
        <v>45734</v>
      </c>
      <c r="AF4" s="4" t="s">
        <v>35</v>
      </c>
      <c r="AG4" s="4">
        <v>0</v>
      </c>
      <c r="AH4" s="4" t="s">
        <v>87</v>
      </c>
      <c r="AI4" s="4"/>
      <c r="AJ4" s="6">
        <v>58560</v>
      </c>
      <c r="AK4" s="4">
        <v>0</v>
      </c>
    </row>
    <row r="5" spans="1:37" x14ac:dyDescent="0.2">
      <c r="A5" s="9">
        <v>4</v>
      </c>
      <c r="B5" s="4" t="s">
        <v>0</v>
      </c>
      <c r="C5" s="4" t="s">
        <v>93</v>
      </c>
      <c r="D5" s="4">
        <v>45689</v>
      </c>
      <c r="E5" s="4" t="s">
        <v>31</v>
      </c>
      <c r="F5" s="4" t="s">
        <v>94</v>
      </c>
      <c r="G5" s="4">
        <v>45708</v>
      </c>
      <c r="H5" s="4">
        <v>46072</v>
      </c>
      <c r="I5" s="4" t="s">
        <v>95</v>
      </c>
      <c r="J5" s="4">
        <v>3540353957655</v>
      </c>
      <c r="K5" s="4" t="s">
        <v>56</v>
      </c>
      <c r="L5" s="4" t="s">
        <v>96</v>
      </c>
      <c r="M5" s="4" t="s">
        <v>97</v>
      </c>
      <c r="N5" s="4" t="s">
        <v>98</v>
      </c>
      <c r="O5" s="4" t="s">
        <v>93</v>
      </c>
      <c r="P5" s="4" t="s">
        <v>33</v>
      </c>
      <c r="Q5" s="4" t="s">
        <v>46</v>
      </c>
      <c r="R5" s="4" t="s">
        <v>99</v>
      </c>
      <c r="S5" s="4">
        <v>45723</v>
      </c>
      <c r="T5" s="4">
        <v>46451</v>
      </c>
      <c r="U5" s="4">
        <v>6200000</v>
      </c>
      <c r="V5" s="4"/>
      <c r="W5" s="4"/>
      <c r="X5" s="4">
        <v>6200000</v>
      </c>
      <c r="Y5" s="4">
        <v>1.5</v>
      </c>
      <c r="Z5" s="6">
        <v>93000</v>
      </c>
      <c r="AA5" s="4"/>
      <c r="AB5" s="4"/>
      <c r="AC5" s="4" t="s">
        <v>78</v>
      </c>
      <c r="AD5" s="4">
        <v>1141072987</v>
      </c>
      <c r="AE5" s="4">
        <v>45734</v>
      </c>
      <c r="AF5" s="4" t="s">
        <v>35</v>
      </c>
      <c r="AG5" s="4">
        <v>0</v>
      </c>
      <c r="AH5" s="4" t="s">
        <v>94</v>
      </c>
      <c r="AI5" s="4"/>
      <c r="AJ5" s="6">
        <v>93000</v>
      </c>
      <c r="AK5" s="4">
        <v>0</v>
      </c>
    </row>
    <row r="6" spans="1:37" x14ac:dyDescent="0.2">
      <c r="A6" s="9">
        <v>5</v>
      </c>
      <c r="B6" s="4" t="s">
        <v>0</v>
      </c>
      <c r="C6" s="4" t="s">
        <v>100</v>
      </c>
      <c r="D6" s="4">
        <v>45689</v>
      </c>
      <c r="E6" s="4" t="s">
        <v>31</v>
      </c>
      <c r="F6" s="4" t="s">
        <v>101</v>
      </c>
      <c r="G6" s="4">
        <v>45712</v>
      </c>
      <c r="H6" s="4">
        <v>46076</v>
      </c>
      <c r="I6" s="4" t="s">
        <v>102</v>
      </c>
      <c r="J6" s="4">
        <v>3310095613267</v>
      </c>
      <c r="K6" s="4" t="s">
        <v>103</v>
      </c>
      <c r="L6" s="4" t="s">
        <v>104</v>
      </c>
      <c r="M6" s="4" t="s">
        <v>105</v>
      </c>
      <c r="N6" s="4" t="s">
        <v>106</v>
      </c>
      <c r="O6" s="4" t="s">
        <v>100</v>
      </c>
      <c r="P6" s="4" t="s">
        <v>33</v>
      </c>
      <c r="Q6" s="4" t="s">
        <v>46</v>
      </c>
      <c r="R6" s="4" t="s">
        <v>107</v>
      </c>
      <c r="S6" s="4">
        <v>45722</v>
      </c>
      <c r="T6" s="4">
        <v>46818</v>
      </c>
      <c r="U6" s="4">
        <v>4500000</v>
      </c>
      <c r="V6" s="4"/>
      <c r="W6" s="4"/>
      <c r="X6" s="4">
        <v>4500000</v>
      </c>
      <c r="Y6" s="4">
        <v>1.5</v>
      </c>
      <c r="Z6" s="6">
        <v>67500</v>
      </c>
      <c r="AA6" s="4"/>
      <c r="AB6" s="4"/>
      <c r="AC6" s="4" t="s">
        <v>78</v>
      </c>
      <c r="AD6" s="4">
        <v>1141072987</v>
      </c>
      <c r="AE6" s="4">
        <v>45734</v>
      </c>
      <c r="AF6" s="4" t="s">
        <v>35</v>
      </c>
      <c r="AG6" s="4">
        <v>0</v>
      </c>
      <c r="AH6" s="4" t="s">
        <v>101</v>
      </c>
      <c r="AI6" s="4"/>
      <c r="AJ6" s="6">
        <v>67500</v>
      </c>
      <c r="AK6" s="4">
        <v>0</v>
      </c>
    </row>
    <row r="7" spans="1:37" x14ac:dyDescent="0.2">
      <c r="A7" s="9">
        <v>6</v>
      </c>
      <c r="B7" s="4" t="s">
        <v>0</v>
      </c>
      <c r="C7" s="4" t="s">
        <v>108</v>
      </c>
      <c r="D7" s="4">
        <v>45689</v>
      </c>
      <c r="E7" s="4" t="s">
        <v>31</v>
      </c>
      <c r="F7" s="4" t="s">
        <v>109</v>
      </c>
      <c r="G7" s="4">
        <v>45714</v>
      </c>
      <c r="H7" s="4">
        <v>46078</v>
      </c>
      <c r="I7" s="4" t="s">
        <v>110</v>
      </c>
      <c r="J7" s="4">
        <v>3520229418759</v>
      </c>
      <c r="K7" s="4" t="s">
        <v>57</v>
      </c>
      <c r="L7" s="4" t="s">
        <v>111</v>
      </c>
      <c r="M7" s="4" t="s">
        <v>112</v>
      </c>
      <c r="N7" s="4" t="s">
        <v>113</v>
      </c>
      <c r="O7" s="4" t="s">
        <v>108</v>
      </c>
      <c r="P7" s="4" t="s">
        <v>33</v>
      </c>
      <c r="Q7" s="4" t="s">
        <v>39</v>
      </c>
      <c r="R7" s="4" t="s">
        <v>114</v>
      </c>
      <c r="S7" s="4">
        <v>45720</v>
      </c>
      <c r="T7" s="4">
        <v>47182</v>
      </c>
      <c r="U7" s="4">
        <v>4000000</v>
      </c>
      <c r="V7" s="4"/>
      <c r="W7" s="4"/>
      <c r="X7" s="4">
        <v>4000000</v>
      </c>
      <c r="Y7" s="4">
        <v>1.5</v>
      </c>
      <c r="Z7" s="6">
        <v>60000</v>
      </c>
      <c r="AA7" s="4"/>
      <c r="AB7" s="4"/>
      <c r="AC7" s="4" t="s">
        <v>78</v>
      </c>
      <c r="AD7" s="4">
        <v>1141072987</v>
      </c>
      <c r="AE7" s="4">
        <v>45734</v>
      </c>
      <c r="AF7" s="4" t="s">
        <v>35</v>
      </c>
      <c r="AG7" s="4">
        <v>0</v>
      </c>
      <c r="AH7" s="4" t="s">
        <v>109</v>
      </c>
      <c r="AI7" s="4"/>
      <c r="AJ7" s="6">
        <v>60000</v>
      </c>
      <c r="AK7" s="4">
        <v>0</v>
      </c>
    </row>
    <row r="8" spans="1:37" x14ac:dyDescent="0.2">
      <c r="A8" s="9">
        <v>7</v>
      </c>
      <c r="B8" s="4" t="s">
        <v>0</v>
      </c>
      <c r="C8" s="4" t="s">
        <v>115</v>
      </c>
      <c r="D8" s="4">
        <v>45689</v>
      </c>
      <c r="E8" s="4" t="s">
        <v>31</v>
      </c>
      <c r="F8" s="4" t="s">
        <v>116</v>
      </c>
      <c r="G8" s="4">
        <v>45715</v>
      </c>
      <c r="H8" s="4">
        <v>46079</v>
      </c>
      <c r="I8" s="4" t="s">
        <v>117</v>
      </c>
      <c r="J8" s="4">
        <v>4240190406687</v>
      </c>
      <c r="K8" s="4" t="s">
        <v>89</v>
      </c>
      <c r="L8" s="4" t="s">
        <v>118</v>
      </c>
      <c r="M8" s="4" t="s">
        <v>119</v>
      </c>
      <c r="N8" s="4" t="s">
        <v>120</v>
      </c>
      <c r="O8" s="4" t="s">
        <v>115</v>
      </c>
      <c r="P8" s="4" t="s">
        <v>44</v>
      </c>
      <c r="Q8" s="4" t="s">
        <v>45</v>
      </c>
      <c r="R8" s="4" t="s">
        <v>121</v>
      </c>
      <c r="S8" s="4">
        <v>45722</v>
      </c>
      <c r="T8" s="4">
        <v>47547</v>
      </c>
      <c r="U8" s="4">
        <v>3000000</v>
      </c>
      <c r="V8" s="4"/>
      <c r="W8" s="4"/>
      <c r="X8" s="4">
        <v>3000000</v>
      </c>
      <c r="Y8" s="4">
        <v>2</v>
      </c>
      <c r="Z8" s="6">
        <v>60000</v>
      </c>
      <c r="AA8" s="4"/>
      <c r="AB8" s="4"/>
      <c r="AC8" s="4" t="s">
        <v>78</v>
      </c>
      <c r="AD8" s="4">
        <v>1141072987</v>
      </c>
      <c r="AE8" s="4">
        <v>45734</v>
      </c>
      <c r="AF8" s="4" t="s">
        <v>35</v>
      </c>
      <c r="AG8" s="4">
        <v>0</v>
      </c>
      <c r="AH8" s="4" t="s">
        <v>116</v>
      </c>
      <c r="AI8" s="4"/>
      <c r="AJ8" s="6">
        <v>60000</v>
      </c>
      <c r="AK8" s="4">
        <v>0</v>
      </c>
    </row>
    <row r="9" spans="1:37" x14ac:dyDescent="0.2">
      <c r="A9" s="9">
        <v>8</v>
      </c>
      <c r="B9" s="4" t="s">
        <v>0</v>
      </c>
      <c r="C9" s="4" t="s">
        <v>122</v>
      </c>
      <c r="D9" s="4">
        <v>45689</v>
      </c>
      <c r="E9" s="4" t="s">
        <v>31</v>
      </c>
      <c r="F9" s="4" t="s">
        <v>123</v>
      </c>
      <c r="G9" s="4">
        <v>45715</v>
      </c>
      <c r="H9" s="4">
        <v>46079</v>
      </c>
      <c r="I9" s="4" t="s">
        <v>124</v>
      </c>
      <c r="J9" s="4">
        <v>3520126687579</v>
      </c>
      <c r="K9" s="4" t="s">
        <v>40</v>
      </c>
      <c r="L9" s="4" t="s">
        <v>125</v>
      </c>
      <c r="M9" s="4" t="s">
        <v>126</v>
      </c>
      <c r="N9" s="4" t="s">
        <v>127</v>
      </c>
      <c r="O9" s="4" t="s">
        <v>122</v>
      </c>
      <c r="P9" s="4" t="s">
        <v>33</v>
      </c>
      <c r="Q9" s="4" t="s">
        <v>39</v>
      </c>
      <c r="R9" s="4" t="s">
        <v>128</v>
      </c>
      <c r="S9" s="4">
        <v>45722</v>
      </c>
      <c r="T9" s="4">
        <v>46818</v>
      </c>
      <c r="U9" s="4">
        <v>4500000</v>
      </c>
      <c r="V9" s="4"/>
      <c r="W9" s="4"/>
      <c r="X9" s="4">
        <v>4500000</v>
      </c>
      <c r="Y9" s="4">
        <v>1.5</v>
      </c>
      <c r="Z9" s="6">
        <v>67500</v>
      </c>
      <c r="AA9" s="4"/>
      <c r="AB9" s="4"/>
      <c r="AC9" s="4" t="s">
        <v>78</v>
      </c>
      <c r="AD9" s="4">
        <v>1141072987</v>
      </c>
      <c r="AE9" s="4">
        <v>45734</v>
      </c>
      <c r="AF9" s="4" t="s">
        <v>35</v>
      </c>
      <c r="AG9" s="4">
        <v>0</v>
      </c>
      <c r="AH9" s="4" t="s">
        <v>123</v>
      </c>
      <c r="AI9" s="4"/>
      <c r="AJ9" s="6">
        <v>67500</v>
      </c>
      <c r="AK9" s="4">
        <v>0</v>
      </c>
    </row>
    <row r="10" spans="1:37" x14ac:dyDescent="0.2">
      <c r="A10" s="9">
        <v>9</v>
      </c>
      <c r="B10" s="4" t="s">
        <v>0</v>
      </c>
      <c r="C10" s="4" t="s">
        <v>129</v>
      </c>
      <c r="D10" s="4">
        <v>45689</v>
      </c>
      <c r="E10" s="4" t="s">
        <v>31</v>
      </c>
      <c r="F10" s="4" t="s">
        <v>130</v>
      </c>
      <c r="G10" s="4">
        <v>45716</v>
      </c>
      <c r="H10" s="4">
        <v>46080</v>
      </c>
      <c r="I10" s="4" t="s">
        <v>131</v>
      </c>
      <c r="J10" s="4">
        <v>3230350183367</v>
      </c>
      <c r="K10" s="4" t="s">
        <v>132</v>
      </c>
      <c r="L10" s="4" t="s">
        <v>133</v>
      </c>
      <c r="M10" s="4" t="s">
        <v>134</v>
      </c>
      <c r="N10" s="4" t="s">
        <v>135</v>
      </c>
      <c r="O10" s="4" t="s">
        <v>129</v>
      </c>
      <c r="P10" s="4" t="s">
        <v>33</v>
      </c>
      <c r="Q10" s="4" t="s">
        <v>39</v>
      </c>
      <c r="R10" s="4" t="s">
        <v>136</v>
      </c>
      <c r="S10" s="4">
        <v>45722</v>
      </c>
      <c r="T10" s="4">
        <v>46818</v>
      </c>
      <c r="U10" s="4">
        <v>5000000</v>
      </c>
      <c r="V10" s="4"/>
      <c r="W10" s="4"/>
      <c r="X10" s="4">
        <v>5000000</v>
      </c>
      <c r="Y10" s="4">
        <v>1.5</v>
      </c>
      <c r="Z10" s="6">
        <v>75000</v>
      </c>
      <c r="AA10" s="4"/>
      <c r="AB10" s="4"/>
      <c r="AC10" s="4" t="s">
        <v>78</v>
      </c>
      <c r="AD10" s="4">
        <v>1141072987</v>
      </c>
      <c r="AE10" s="4">
        <v>45734</v>
      </c>
      <c r="AF10" s="4" t="s">
        <v>35</v>
      </c>
      <c r="AG10" s="4">
        <v>0</v>
      </c>
      <c r="AH10" s="4" t="s">
        <v>130</v>
      </c>
      <c r="AI10" s="4"/>
      <c r="AJ10" s="6">
        <v>75000</v>
      </c>
      <c r="AK10" s="4">
        <v>0</v>
      </c>
    </row>
    <row r="11" spans="1:37" x14ac:dyDescent="0.2">
      <c r="A11" s="9">
        <v>10</v>
      </c>
      <c r="B11" s="4" t="s">
        <v>0</v>
      </c>
      <c r="C11" s="4" t="s">
        <v>137</v>
      </c>
      <c r="D11" s="4">
        <v>45689</v>
      </c>
      <c r="E11" s="4" t="s">
        <v>31</v>
      </c>
      <c r="F11" s="4" t="s">
        <v>138</v>
      </c>
      <c r="G11" s="4">
        <v>45716</v>
      </c>
      <c r="H11" s="4">
        <v>46080</v>
      </c>
      <c r="I11" s="4" t="s">
        <v>139</v>
      </c>
      <c r="J11" s="4">
        <v>4210157438373</v>
      </c>
      <c r="K11" s="4" t="s">
        <v>140</v>
      </c>
      <c r="L11" s="4" t="s">
        <v>141</v>
      </c>
      <c r="M11" s="4" t="s">
        <v>142</v>
      </c>
      <c r="N11" s="4" t="s">
        <v>143</v>
      </c>
      <c r="O11" s="4" t="s">
        <v>137</v>
      </c>
      <c r="P11" s="4" t="s">
        <v>44</v>
      </c>
      <c r="Q11" s="4" t="s">
        <v>45</v>
      </c>
      <c r="R11" s="4" t="s">
        <v>144</v>
      </c>
      <c r="S11" s="4">
        <v>45721</v>
      </c>
      <c r="T11" s="4">
        <v>46818</v>
      </c>
      <c r="U11" s="4">
        <v>5200000</v>
      </c>
      <c r="V11" s="4"/>
      <c r="W11" s="4"/>
      <c r="X11" s="4">
        <v>5200000</v>
      </c>
      <c r="Y11" s="4">
        <v>1.5</v>
      </c>
      <c r="Z11" s="6">
        <v>78000</v>
      </c>
      <c r="AA11" s="4"/>
      <c r="AB11" s="4"/>
      <c r="AC11" s="4" t="s">
        <v>78</v>
      </c>
      <c r="AD11" s="4">
        <v>1141072987</v>
      </c>
      <c r="AE11" s="4">
        <v>45734</v>
      </c>
      <c r="AF11" s="4" t="s">
        <v>35</v>
      </c>
      <c r="AG11" s="4">
        <v>0</v>
      </c>
      <c r="AH11" s="4" t="s">
        <v>138</v>
      </c>
      <c r="AI11" s="4"/>
      <c r="AJ11" s="6">
        <v>78000</v>
      </c>
      <c r="AK11" s="4">
        <v>0</v>
      </c>
    </row>
    <row r="12" spans="1:37" x14ac:dyDescent="0.2">
      <c r="A12" s="9">
        <v>11</v>
      </c>
      <c r="B12" s="4" t="s">
        <v>0</v>
      </c>
      <c r="C12" s="4" t="s">
        <v>145</v>
      </c>
      <c r="D12" s="4">
        <v>45689</v>
      </c>
      <c r="E12" s="4" t="s">
        <v>31</v>
      </c>
      <c r="F12" s="4" t="s">
        <v>146</v>
      </c>
      <c r="G12" s="4">
        <v>45716</v>
      </c>
      <c r="H12" s="4">
        <v>46080</v>
      </c>
      <c r="I12" s="4" t="s">
        <v>147</v>
      </c>
      <c r="J12" s="4">
        <v>3220362614579</v>
      </c>
      <c r="K12" s="4" t="s">
        <v>148</v>
      </c>
      <c r="L12" s="4" t="s">
        <v>149</v>
      </c>
      <c r="M12" s="4" t="s">
        <v>150</v>
      </c>
      <c r="N12" s="4" t="s">
        <v>151</v>
      </c>
      <c r="O12" s="4" t="s">
        <v>145</v>
      </c>
      <c r="P12" s="4" t="s">
        <v>33</v>
      </c>
      <c r="Q12" s="4" t="s">
        <v>39</v>
      </c>
      <c r="R12" s="4" t="s">
        <v>152</v>
      </c>
      <c r="S12" s="4">
        <v>45722</v>
      </c>
      <c r="T12" s="4">
        <v>46818</v>
      </c>
      <c r="U12" s="4">
        <v>4900000</v>
      </c>
      <c r="V12" s="4"/>
      <c r="W12" s="4"/>
      <c r="X12" s="4">
        <v>4900000</v>
      </c>
      <c r="Y12" s="4">
        <v>1.5</v>
      </c>
      <c r="Z12" s="6">
        <v>73500</v>
      </c>
      <c r="AA12" s="4"/>
      <c r="AB12" s="4"/>
      <c r="AC12" s="4" t="s">
        <v>78</v>
      </c>
      <c r="AD12" s="4">
        <v>1141072987</v>
      </c>
      <c r="AE12" s="4">
        <v>45734</v>
      </c>
      <c r="AF12" s="4" t="s">
        <v>35</v>
      </c>
      <c r="AG12" s="4">
        <v>0</v>
      </c>
      <c r="AH12" s="4" t="s">
        <v>146</v>
      </c>
      <c r="AI12" s="4"/>
      <c r="AJ12" s="6">
        <v>73500</v>
      </c>
      <c r="AK12" s="4">
        <v>0</v>
      </c>
    </row>
    <row r="13" spans="1:37" x14ac:dyDescent="0.2">
      <c r="A13" s="9">
        <v>12</v>
      </c>
      <c r="B13" s="4" t="s">
        <v>0</v>
      </c>
      <c r="C13" s="4" t="s">
        <v>153</v>
      </c>
      <c r="D13" s="4">
        <v>45689</v>
      </c>
      <c r="E13" s="4" t="s">
        <v>31</v>
      </c>
      <c r="F13" s="4" t="s">
        <v>154</v>
      </c>
      <c r="G13" s="4">
        <v>45716</v>
      </c>
      <c r="H13" s="4">
        <v>46080</v>
      </c>
      <c r="I13" s="4" t="s">
        <v>155</v>
      </c>
      <c r="J13" s="4">
        <v>3520257939209</v>
      </c>
      <c r="K13" s="4" t="s">
        <v>40</v>
      </c>
      <c r="L13" s="4"/>
      <c r="M13" s="4" t="s">
        <v>156</v>
      </c>
      <c r="N13" s="4" t="s">
        <v>157</v>
      </c>
      <c r="O13" s="4" t="s">
        <v>153</v>
      </c>
      <c r="P13" s="4" t="s">
        <v>33</v>
      </c>
      <c r="Q13" s="4" t="s">
        <v>39</v>
      </c>
      <c r="R13" s="4" t="s">
        <v>158</v>
      </c>
      <c r="S13" s="4">
        <v>45720</v>
      </c>
      <c r="T13" s="4">
        <v>46818</v>
      </c>
      <c r="U13" s="4">
        <v>4719000</v>
      </c>
      <c r="V13" s="4"/>
      <c r="W13" s="4"/>
      <c r="X13" s="4">
        <v>4719000</v>
      </c>
      <c r="Y13" s="4">
        <v>1.5</v>
      </c>
      <c r="Z13" s="6">
        <v>70785</v>
      </c>
      <c r="AA13" s="4"/>
      <c r="AB13" s="4"/>
      <c r="AC13" s="4" t="s">
        <v>78</v>
      </c>
      <c r="AD13" s="4">
        <v>1141072987</v>
      </c>
      <c r="AE13" s="4">
        <v>45734</v>
      </c>
      <c r="AF13" s="4" t="s">
        <v>35</v>
      </c>
      <c r="AG13" s="4">
        <v>0</v>
      </c>
      <c r="AH13" s="4" t="s">
        <v>154</v>
      </c>
      <c r="AI13" s="4"/>
      <c r="AJ13" s="6">
        <v>70785</v>
      </c>
      <c r="AK13" s="4">
        <v>0</v>
      </c>
    </row>
    <row r="14" spans="1:37" x14ac:dyDescent="0.2">
      <c r="A14" s="9">
        <v>13</v>
      </c>
      <c r="B14" s="4" t="s">
        <v>0</v>
      </c>
      <c r="C14" s="4" t="s">
        <v>159</v>
      </c>
      <c r="D14" s="4">
        <v>45689</v>
      </c>
      <c r="E14" s="4" t="s">
        <v>31</v>
      </c>
      <c r="F14" s="4" t="s">
        <v>160</v>
      </c>
      <c r="G14" s="4">
        <v>45716</v>
      </c>
      <c r="H14" s="4">
        <v>46080</v>
      </c>
      <c r="I14" s="4" t="s">
        <v>161</v>
      </c>
      <c r="J14" s="4">
        <v>3520186524535</v>
      </c>
      <c r="K14" s="4" t="s">
        <v>162</v>
      </c>
      <c r="L14" s="4"/>
      <c r="M14" s="4" t="s">
        <v>163</v>
      </c>
      <c r="N14" s="4" t="s">
        <v>164</v>
      </c>
      <c r="O14" s="4" t="s">
        <v>159</v>
      </c>
      <c r="P14" s="4" t="s">
        <v>33</v>
      </c>
      <c r="Q14" s="4" t="s">
        <v>39</v>
      </c>
      <c r="R14" s="4" t="s">
        <v>165</v>
      </c>
      <c r="S14" s="4">
        <v>45723</v>
      </c>
      <c r="T14" s="4">
        <v>46818</v>
      </c>
      <c r="U14" s="4">
        <v>4760000</v>
      </c>
      <c r="V14" s="4"/>
      <c r="W14" s="4"/>
      <c r="X14" s="4">
        <v>4760000</v>
      </c>
      <c r="Y14" s="4">
        <v>1.5</v>
      </c>
      <c r="Z14" s="6">
        <v>71400</v>
      </c>
      <c r="AA14" s="4"/>
      <c r="AB14" s="4"/>
      <c r="AC14" s="4" t="s">
        <v>78</v>
      </c>
      <c r="AD14" s="4">
        <v>1141072987</v>
      </c>
      <c r="AE14" s="4">
        <v>45734</v>
      </c>
      <c r="AF14" s="4" t="s">
        <v>35</v>
      </c>
      <c r="AG14" s="4">
        <v>0</v>
      </c>
      <c r="AH14" s="4" t="s">
        <v>160</v>
      </c>
      <c r="AI14" s="4"/>
      <c r="AJ14" s="6">
        <v>71400</v>
      </c>
      <c r="AK14" s="4">
        <v>0</v>
      </c>
    </row>
    <row r="15" spans="1:37" x14ac:dyDescent="0.2">
      <c r="A15" s="9">
        <v>14</v>
      </c>
      <c r="B15" s="4" t="s">
        <v>0</v>
      </c>
      <c r="C15" s="4" t="s">
        <v>166</v>
      </c>
      <c r="D15" s="4">
        <v>45689</v>
      </c>
      <c r="E15" s="4" t="s">
        <v>31</v>
      </c>
      <c r="F15" s="4" t="s">
        <v>167</v>
      </c>
      <c r="G15" s="4">
        <v>45716</v>
      </c>
      <c r="H15" s="4">
        <v>46080</v>
      </c>
      <c r="I15" s="4" t="s">
        <v>168</v>
      </c>
      <c r="J15" s="4">
        <v>4230173268933</v>
      </c>
      <c r="K15" s="4" t="s">
        <v>89</v>
      </c>
      <c r="L15" s="4" t="s">
        <v>169</v>
      </c>
      <c r="M15" s="4" t="s">
        <v>170</v>
      </c>
      <c r="N15" s="4" t="s">
        <v>171</v>
      </c>
      <c r="O15" s="4" t="s">
        <v>166</v>
      </c>
      <c r="P15" s="4" t="s">
        <v>44</v>
      </c>
      <c r="Q15" s="4" t="s">
        <v>45</v>
      </c>
      <c r="R15" s="4" t="s">
        <v>172</v>
      </c>
      <c r="S15" s="4">
        <v>45722</v>
      </c>
      <c r="T15" s="4">
        <v>46818</v>
      </c>
      <c r="U15" s="4">
        <v>2590000</v>
      </c>
      <c r="V15" s="4"/>
      <c r="W15" s="4"/>
      <c r="X15" s="4">
        <v>2590000</v>
      </c>
      <c r="Y15" s="4">
        <v>2</v>
      </c>
      <c r="Z15" s="6">
        <v>51800</v>
      </c>
      <c r="AA15" s="4"/>
      <c r="AB15" s="4"/>
      <c r="AC15" s="4" t="s">
        <v>78</v>
      </c>
      <c r="AD15" s="4">
        <v>1141072987</v>
      </c>
      <c r="AE15" s="4">
        <v>45734</v>
      </c>
      <c r="AF15" s="4" t="s">
        <v>35</v>
      </c>
      <c r="AG15" s="4">
        <v>0</v>
      </c>
      <c r="AH15" s="4" t="s">
        <v>167</v>
      </c>
      <c r="AI15" s="4"/>
      <c r="AJ15" s="6">
        <v>51800</v>
      </c>
      <c r="AK15" s="4">
        <v>0</v>
      </c>
    </row>
    <row r="16" spans="1:37" x14ac:dyDescent="0.2">
      <c r="A16" s="9">
        <v>15</v>
      </c>
      <c r="B16" s="4" t="s">
        <v>0</v>
      </c>
      <c r="C16" s="4" t="s">
        <v>173</v>
      </c>
      <c r="D16" s="4">
        <v>45689</v>
      </c>
      <c r="E16" s="4" t="s">
        <v>31</v>
      </c>
      <c r="F16" s="4" t="s">
        <v>174</v>
      </c>
      <c r="G16" s="4">
        <v>45716</v>
      </c>
      <c r="H16" s="4">
        <v>46080</v>
      </c>
      <c r="I16" s="4" t="s">
        <v>175</v>
      </c>
      <c r="J16" s="4">
        <v>3520236916405</v>
      </c>
      <c r="K16" s="4" t="s">
        <v>176</v>
      </c>
      <c r="L16" s="4" t="s">
        <v>177</v>
      </c>
      <c r="M16" s="4" t="s">
        <v>178</v>
      </c>
      <c r="N16" s="4" t="s">
        <v>179</v>
      </c>
      <c r="O16" s="4" t="s">
        <v>180</v>
      </c>
      <c r="P16" s="4" t="s">
        <v>33</v>
      </c>
      <c r="Q16" s="4" t="s">
        <v>39</v>
      </c>
      <c r="R16" s="4" t="s">
        <v>181</v>
      </c>
      <c r="S16" s="4">
        <v>45720</v>
      </c>
      <c r="T16" s="4">
        <v>46818</v>
      </c>
      <c r="U16" s="4">
        <v>2500000</v>
      </c>
      <c r="V16" s="4"/>
      <c r="W16" s="4"/>
      <c r="X16" s="4">
        <v>2500000</v>
      </c>
      <c r="Y16" s="4">
        <v>2</v>
      </c>
      <c r="Z16" s="6">
        <v>50000</v>
      </c>
      <c r="AA16" s="4"/>
      <c r="AB16" s="4"/>
      <c r="AC16" s="4" t="s">
        <v>78</v>
      </c>
      <c r="AD16" s="4">
        <v>1141072987</v>
      </c>
      <c r="AE16" s="4">
        <v>45734</v>
      </c>
      <c r="AF16" s="4" t="s">
        <v>35</v>
      </c>
      <c r="AG16" s="4">
        <v>0</v>
      </c>
      <c r="AH16" s="4" t="s">
        <v>174</v>
      </c>
      <c r="AI16" s="4"/>
      <c r="AJ16" s="6">
        <v>50000</v>
      </c>
      <c r="AK16" s="4">
        <v>0</v>
      </c>
    </row>
    <row r="17" spans="1:37" x14ac:dyDescent="0.2">
      <c r="A17" s="9">
        <v>16</v>
      </c>
      <c r="B17" s="4" t="s">
        <v>0</v>
      </c>
      <c r="C17" s="4" t="s">
        <v>182</v>
      </c>
      <c r="D17" s="4">
        <v>45689</v>
      </c>
      <c r="E17" s="4" t="s">
        <v>31</v>
      </c>
      <c r="F17" s="4" t="s">
        <v>183</v>
      </c>
      <c r="G17" s="4">
        <v>45691</v>
      </c>
      <c r="H17" s="4">
        <v>46055</v>
      </c>
      <c r="I17" s="4" t="s">
        <v>184</v>
      </c>
      <c r="J17" s="4">
        <v>3520216589140</v>
      </c>
      <c r="K17" s="4" t="s">
        <v>40</v>
      </c>
      <c r="L17" s="4"/>
      <c r="M17" s="4" t="s">
        <v>185</v>
      </c>
      <c r="N17" s="4" t="s">
        <v>186</v>
      </c>
      <c r="O17" s="4" t="s">
        <v>182</v>
      </c>
      <c r="P17" s="4" t="s">
        <v>33</v>
      </c>
      <c r="Q17" s="4" t="s">
        <v>39</v>
      </c>
      <c r="R17" s="4" t="s">
        <v>187</v>
      </c>
      <c r="S17" s="4">
        <v>45694</v>
      </c>
      <c r="T17" s="4">
        <v>46788</v>
      </c>
      <c r="U17" s="4">
        <v>4719000</v>
      </c>
      <c r="V17" s="4"/>
      <c r="W17" s="4"/>
      <c r="X17" s="4">
        <v>4719000</v>
      </c>
      <c r="Y17" s="4">
        <v>1.5</v>
      </c>
      <c r="Z17" s="6">
        <v>70785</v>
      </c>
      <c r="AA17" s="4"/>
      <c r="AB17" s="4"/>
      <c r="AC17" s="4" t="s">
        <v>78</v>
      </c>
      <c r="AD17" s="4">
        <v>1141072987</v>
      </c>
      <c r="AE17" s="4">
        <v>45734</v>
      </c>
      <c r="AF17" s="4" t="s">
        <v>35</v>
      </c>
      <c r="AG17" s="4">
        <v>0</v>
      </c>
      <c r="AH17" s="4" t="s">
        <v>183</v>
      </c>
      <c r="AI17" s="4"/>
      <c r="AJ17" s="6">
        <v>70785</v>
      </c>
      <c r="AK17" s="4">
        <v>0</v>
      </c>
    </row>
    <row r="18" spans="1:37" x14ac:dyDescent="0.2">
      <c r="A18" s="9">
        <v>17</v>
      </c>
      <c r="B18" s="4" t="s">
        <v>0</v>
      </c>
      <c r="C18" s="4" t="s">
        <v>188</v>
      </c>
      <c r="D18" s="4">
        <v>45689</v>
      </c>
      <c r="E18" s="4" t="s">
        <v>31</v>
      </c>
      <c r="F18" s="4" t="s">
        <v>189</v>
      </c>
      <c r="G18" s="4">
        <v>45700</v>
      </c>
      <c r="H18" s="4">
        <v>46064</v>
      </c>
      <c r="I18" s="4" t="s">
        <v>190</v>
      </c>
      <c r="J18" s="4">
        <v>3540350484943</v>
      </c>
      <c r="K18" s="4" t="s">
        <v>43</v>
      </c>
      <c r="L18" s="4"/>
      <c r="M18" s="4" t="s">
        <v>191</v>
      </c>
      <c r="N18" s="4" t="s">
        <v>192</v>
      </c>
      <c r="O18" s="4" t="s">
        <v>188</v>
      </c>
      <c r="P18" s="4" t="s">
        <v>33</v>
      </c>
      <c r="Q18" s="4" t="s">
        <v>34</v>
      </c>
      <c r="R18" s="4" t="s">
        <v>193</v>
      </c>
      <c r="S18" s="4">
        <v>45692</v>
      </c>
      <c r="T18" s="4">
        <v>47519</v>
      </c>
      <c r="U18" s="4">
        <v>2707000</v>
      </c>
      <c r="V18" s="4"/>
      <c r="W18" s="4"/>
      <c r="X18" s="4">
        <v>2707000</v>
      </c>
      <c r="Y18" s="4">
        <v>2</v>
      </c>
      <c r="Z18" s="6">
        <v>54140</v>
      </c>
      <c r="AA18" s="4"/>
      <c r="AB18" s="4"/>
      <c r="AC18" s="4" t="s">
        <v>78</v>
      </c>
      <c r="AD18" s="4">
        <v>1141072987</v>
      </c>
      <c r="AE18" s="4">
        <v>45734</v>
      </c>
      <c r="AF18" s="4" t="s">
        <v>35</v>
      </c>
      <c r="AG18" s="4">
        <v>5</v>
      </c>
      <c r="AH18" s="4" t="s">
        <v>189</v>
      </c>
      <c r="AI18" s="4"/>
      <c r="AJ18" s="6">
        <v>54140</v>
      </c>
      <c r="AK18" s="4">
        <v>0</v>
      </c>
    </row>
    <row r="19" spans="1:37" x14ac:dyDescent="0.2">
      <c r="A19" s="9">
        <v>18</v>
      </c>
      <c r="B19" s="4" t="s">
        <v>0</v>
      </c>
      <c r="C19" s="4" t="s">
        <v>194</v>
      </c>
      <c r="D19" s="4">
        <v>45689</v>
      </c>
      <c r="E19" s="4" t="s">
        <v>31</v>
      </c>
      <c r="F19" s="4" t="s">
        <v>195</v>
      </c>
      <c r="G19" s="4">
        <v>45700</v>
      </c>
      <c r="H19" s="4">
        <v>46064</v>
      </c>
      <c r="I19" s="4" t="s">
        <v>196</v>
      </c>
      <c r="J19" s="4">
        <v>3520250540159</v>
      </c>
      <c r="K19" s="4" t="s">
        <v>197</v>
      </c>
      <c r="L19" s="4"/>
      <c r="M19" s="4" t="s">
        <v>198</v>
      </c>
      <c r="N19" s="4" t="s">
        <v>199</v>
      </c>
      <c r="O19" s="4" t="s">
        <v>194</v>
      </c>
      <c r="P19" s="4" t="s">
        <v>33</v>
      </c>
      <c r="Q19" s="4" t="s">
        <v>39</v>
      </c>
      <c r="R19" s="4" t="s">
        <v>200</v>
      </c>
      <c r="S19" s="4">
        <v>45702</v>
      </c>
      <c r="T19" s="4">
        <v>46788</v>
      </c>
      <c r="U19" s="4">
        <v>4574000</v>
      </c>
      <c r="V19" s="4"/>
      <c r="W19" s="4"/>
      <c r="X19" s="4">
        <v>4574000</v>
      </c>
      <c r="Y19" s="4">
        <v>1.5</v>
      </c>
      <c r="Z19" s="6">
        <v>68610</v>
      </c>
      <c r="AA19" s="4"/>
      <c r="AB19" s="4"/>
      <c r="AC19" s="4" t="s">
        <v>78</v>
      </c>
      <c r="AD19" s="4">
        <v>1141072987</v>
      </c>
      <c r="AE19" s="4">
        <v>45734</v>
      </c>
      <c r="AF19" s="4" t="s">
        <v>35</v>
      </c>
      <c r="AG19" s="4">
        <v>5</v>
      </c>
      <c r="AH19" s="4" t="s">
        <v>195</v>
      </c>
      <c r="AI19" s="4"/>
      <c r="AJ19" s="6">
        <v>68610</v>
      </c>
      <c r="AK19" s="4">
        <v>0</v>
      </c>
    </row>
    <row r="20" spans="1:37" x14ac:dyDescent="0.2">
      <c r="A20" s="9">
        <v>19</v>
      </c>
      <c r="B20" s="4" t="s">
        <v>0</v>
      </c>
      <c r="C20" s="4" t="s">
        <v>201</v>
      </c>
      <c r="D20" s="4">
        <v>45689</v>
      </c>
      <c r="E20" s="4" t="s">
        <v>31</v>
      </c>
      <c r="F20" s="4" t="s">
        <v>202</v>
      </c>
      <c r="G20" s="4">
        <v>45700</v>
      </c>
      <c r="H20" s="4">
        <v>46064</v>
      </c>
      <c r="I20" s="4" t="s">
        <v>203</v>
      </c>
      <c r="J20" s="4">
        <v>3720347873091</v>
      </c>
      <c r="K20" s="4" t="s">
        <v>32</v>
      </c>
      <c r="L20" s="4" t="s">
        <v>204</v>
      </c>
      <c r="M20" s="4" t="s">
        <v>205</v>
      </c>
      <c r="N20" s="4" t="s">
        <v>206</v>
      </c>
      <c r="O20" s="4" t="s">
        <v>201</v>
      </c>
      <c r="P20" s="4" t="s">
        <v>33</v>
      </c>
      <c r="Q20" s="4" t="s">
        <v>207</v>
      </c>
      <c r="R20" s="4" t="s">
        <v>208</v>
      </c>
      <c r="S20" s="4">
        <v>45716</v>
      </c>
      <c r="T20" s="4">
        <v>46818</v>
      </c>
      <c r="U20" s="4">
        <v>2850000</v>
      </c>
      <c r="V20" s="4"/>
      <c r="W20" s="4"/>
      <c r="X20" s="4">
        <v>2850000</v>
      </c>
      <c r="Y20" s="4">
        <v>2</v>
      </c>
      <c r="Z20" s="6">
        <v>57000</v>
      </c>
      <c r="AA20" s="4"/>
      <c r="AB20" s="4"/>
      <c r="AC20" s="4" t="s">
        <v>78</v>
      </c>
      <c r="AD20" s="4">
        <v>1141072987</v>
      </c>
      <c r="AE20" s="4">
        <v>45734</v>
      </c>
      <c r="AF20" s="4" t="s">
        <v>35</v>
      </c>
      <c r="AG20" s="4">
        <v>0</v>
      </c>
      <c r="AH20" s="4" t="s">
        <v>202</v>
      </c>
      <c r="AI20" s="4"/>
      <c r="AJ20" s="6">
        <v>57000</v>
      </c>
      <c r="AK20" s="4">
        <v>0</v>
      </c>
    </row>
    <row r="21" spans="1:37" x14ac:dyDescent="0.2">
      <c r="A21" s="9">
        <v>20</v>
      </c>
      <c r="B21" s="4" t="s">
        <v>0</v>
      </c>
      <c r="C21" s="4" t="s">
        <v>209</v>
      </c>
      <c r="D21" s="4">
        <v>45689</v>
      </c>
      <c r="E21" s="4" t="s">
        <v>31</v>
      </c>
      <c r="F21" s="4" t="s">
        <v>210</v>
      </c>
      <c r="G21" s="4">
        <v>45700</v>
      </c>
      <c r="H21" s="4">
        <v>46064</v>
      </c>
      <c r="I21" s="4" t="s">
        <v>211</v>
      </c>
      <c r="J21" s="4">
        <v>4210192923245</v>
      </c>
      <c r="K21" s="4" t="s">
        <v>41</v>
      </c>
      <c r="L21" s="4" t="s">
        <v>212</v>
      </c>
      <c r="M21" s="4" t="s">
        <v>213</v>
      </c>
      <c r="N21" s="4" t="s">
        <v>214</v>
      </c>
      <c r="O21" s="4" t="s">
        <v>209</v>
      </c>
      <c r="P21" s="4" t="s">
        <v>44</v>
      </c>
      <c r="Q21" s="4" t="s">
        <v>45</v>
      </c>
      <c r="R21" s="4" t="s">
        <v>215</v>
      </c>
      <c r="S21" s="4">
        <v>45705</v>
      </c>
      <c r="T21" s="4">
        <v>47547</v>
      </c>
      <c r="U21" s="4">
        <v>2700000</v>
      </c>
      <c r="V21" s="4"/>
      <c r="W21" s="4"/>
      <c r="X21" s="4">
        <v>2700000</v>
      </c>
      <c r="Y21" s="4">
        <v>2</v>
      </c>
      <c r="Z21" s="6">
        <v>54000</v>
      </c>
      <c r="AA21" s="4"/>
      <c r="AB21" s="4"/>
      <c r="AC21" s="4" t="s">
        <v>78</v>
      </c>
      <c r="AD21" s="4">
        <v>1141072987</v>
      </c>
      <c r="AE21" s="4">
        <v>45734</v>
      </c>
      <c r="AF21" s="4" t="s">
        <v>35</v>
      </c>
      <c r="AG21" s="4">
        <v>0</v>
      </c>
      <c r="AH21" s="4" t="s">
        <v>210</v>
      </c>
      <c r="AI21" s="4"/>
      <c r="AJ21" s="6">
        <v>54000</v>
      </c>
      <c r="AK21" s="4">
        <v>0</v>
      </c>
    </row>
    <row r="22" spans="1:37" x14ac:dyDescent="0.2">
      <c r="A22" s="9">
        <v>21</v>
      </c>
      <c r="B22" s="4" t="s">
        <v>0</v>
      </c>
      <c r="C22" s="4" t="s">
        <v>216</v>
      </c>
      <c r="D22" s="4">
        <v>45689</v>
      </c>
      <c r="E22" s="4" t="s">
        <v>31</v>
      </c>
      <c r="F22" s="4" t="s">
        <v>217</v>
      </c>
      <c r="G22" s="4">
        <v>45700</v>
      </c>
      <c r="H22" s="4">
        <v>46064</v>
      </c>
      <c r="I22" s="4" t="s">
        <v>218</v>
      </c>
      <c r="J22" s="4">
        <v>3520207475449</v>
      </c>
      <c r="K22" s="4" t="s">
        <v>40</v>
      </c>
      <c r="L22" s="4"/>
      <c r="M22" s="4" t="s">
        <v>219</v>
      </c>
      <c r="N22" s="4" t="s">
        <v>220</v>
      </c>
      <c r="O22" s="4" t="s">
        <v>216</v>
      </c>
      <c r="P22" s="4" t="s">
        <v>33</v>
      </c>
      <c r="Q22" s="4" t="s">
        <v>39</v>
      </c>
      <c r="R22" s="4" t="s">
        <v>221</v>
      </c>
      <c r="S22" s="4">
        <v>45706</v>
      </c>
      <c r="T22" s="4">
        <v>46818</v>
      </c>
      <c r="U22" s="4">
        <v>4719000</v>
      </c>
      <c r="V22" s="4"/>
      <c r="W22" s="4"/>
      <c r="X22" s="4">
        <v>4719000</v>
      </c>
      <c r="Y22" s="4">
        <v>1.5</v>
      </c>
      <c r="Z22" s="6">
        <v>70785</v>
      </c>
      <c r="AA22" s="4"/>
      <c r="AB22" s="4"/>
      <c r="AC22" s="4" t="s">
        <v>78</v>
      </c>
      <c r="AD22" s="4">
        <v>1141072987</v>
      </c>
      <c r="AE22" s="4">
        <v>45734</v>
      </c>
      <c r="AF22" s="4" t="s">
        <v>35</v>
      </c>
      <c r="AG22" s="4">
        <v>0</v>
      </c>
      <c r="AH22" s="4" t="s">
        <v>217</v>
      </c>
      <c r="AI22" s="4"/>
      <c r="AJ22" s="6">
        <v>70785</v>
      </c>
      <c r="AK22" s="4">
        <v>0</v>
      </c>
    </row>
    <row r="23" spans="1:37" x14ac:dyDescent="0.2">
      <c r="A23" s="9">
        <v>22</v>
      </c>
      <c r="B23" s="4" t="s">
        <v>0</v>
      </c>
      <c r="C23" s="4" t="s">
        <v>222</v>
      </c>
      <c r="D23" s="4">
        <v>45689</v>
      </c>
      <c r="E23" s="4" t="s">
        <v>31</v>
      </c>
      <c r="F23" s="4" t="s">
        <v>223</v>
      </c>
      <c r="G23" s="4">
        <v>45701</v>
      </c>
      <c r="H23" s="4">
        <v>46065</v>
      </c>
      <c r="I23" s="4" t="s">
        <v>224</v>
      </c>
      <c r="J23" s="4">
        <v>3310299917639</v>
      </c>
      <c r="K23" s="4" t="s">
        <v>225</v>
      </c>
      <c r="L23" s="4" t="s">
        <v>226</v>
      </c>
      <c r="M23" s="4" t="s">
        <v>227</v>
      </c>
      <c r="N23" s="4" t="s">
        <v>228</v>
      </c>
      <c r="O23" s="4" t="s">
        <v>222</v>
      </c>
      <c r="P23" s="4" t="s">
        <v>33</v>
      </c>
      <c r="Q23" s="4" t="s">
        <v>46</v>
      </c>
      <c r="R23" s="4" t="s">
        <v>229</v>
      </c>
      <c r="S23" s="4">
        <v>45706</v>
      </c>
      <c r="T23" s="4">
        <v>46818</v>
      </c>
      <c r="U23" s="4">
        <v>3700000</v>
      </c>
      <c r="V23" s="4"/>
      <c r="W23" s="4"/>
      <c r="X23" s="4">
        <v>3700000</v>
      </c>
      <c r="Y23" s="4">
        <v>1.5</v>
      </c>
      <c r="Z23" s="6">
        <v>55500</v>
      </c>
      <c r="AA23" s="4"/>
      <c r="AB23" s="4"/>
      <c r="AC23" s="4" t="s">
        <v>78</v>
      </c>
      <c r="AD23" s="4">
        <v>1141072987</v>
      </c>
      <c r="AE23" s="4">
        <v>45734</v>
      </c>
      <c r="AF23" s="4" t="s">
        <v>35</v>
      </c>
      <c r="AG23" s="4">
        <v>0</v>
      </c>
      <c r="AH23" s="4" t="s">
        <v>223</v>
      </c>
      <c r="AI23" s="4"/>
      <c r="AJ23" s="6">
        <v>55500</v>
      </c>
      <c r="AK23" s="4">
        <v>0</v>
      </c>
    </row>
    <row r="24" spans="1:37" x14ac:dyDescent="0.2">
      <c r="A24" s="9">
        <v>23</v>
      </c>
      <c r="B24" s="4" t="s">
        <v>0</v>
      </c>
      <c r="C24" s="4" t="s">
        <v>230</v>
      </c>
      <c r="D24" s="4">
        <v>45689</v>
      </c>
      <c r="E24" s="4" t="s">
        <v>31</v>
      </c>
      <c r="F24" s="4" t="s">
        <v>231</v>
      </c>
      <c r="G24" s="4">
        <v>45701</v>
      </c>
      <c r="H24" s="4">
        <v>46065</v>
      </c>
      <c r="I24" s="4" t="s">
        <v>232</v>
      </c>
      <c r="J24" s="4">
        <v>4240118951749</v>
      </c>
      <c r="K24" s="4" t="s">
        <v>43</v>
      </c>
      <c r="L24" s="4" t="s">
        <v>233</v>
      </c>
      <c r="M24" s="4" t="s">
        <v>234</v>
      </c>
      <c r="N24" s="4" t="s">
        <v>235</v>
      </c>
      <c r="O24" s="4" t="s">
        <v>230</v>
      </c>
      <c r="P24" s="4" t="s">
        <v>44</v>
      </c>
      <c r="Q24" s="4" t="s">
        <v>45</v>
      </c>
      <c r="R24" s="4" t="s">
        <v>236</v>
      </c>
      <c r="S24" s="4">
        <v>45705</v>
      </c>
      <c r="T24" s="4">
        <v>46818</v>
      </c>
      <c r="U24" s="4">
        <v>2600000</v>
      </c>
      <c r="V24" s="4"/>
      <c r="W24" s="4"/>
      <c r="X24" s="4">
        <v>2600000</v>
      </c>
      <c r="Y24" s="4">
        <v>2</v>
      </c>
      <c r="Z24" s="6">
        <v>52000</v>
      </c>
      <c r="AA24" s="4"/>
      <c r="AB24" s="4"/>
      <c r="AC24" s="4" t="s">
        <v>78</v>
      </c>
      <c r="AD24" s="4">
        <v>1141072987</v>
      </c>
      <c r="AE24" s="4">
        <v>45734</v>
      </c>
      <c r="AF24" s="4" t="s">
        <v>35</v>
      </c>
      <c r="AG24" s="4">
        <v>0</v>
      </c>
      <c r="AH24" s="4" t="s">
        <v>231</v>
      </c>
      <c r="AI24" s="4"/>
      <c r="AJ24" s="6">
        <v>52000</v>
      </c>
      <c r="AK24" s="4">
        <v>0</v>
      </c>
    </row>
    <row r="25" spans="1:37" x14ac:dyDescent="0.2">
      <c r="A25" s="9">
        <v>24</v>
      </c>
      <c r="B25" s="4" t="s">
        <v>0</v>
      </c>
      <c r="C25" s="4" t="s">
        <v>237</v>
      </c>
      <c r="D25" s="4">
        <v>45689</v>
      </c>
      <c r="E25" s="4" t="s">
        <v>31</v>
      </c>
      <c r="F25" s="4" t="s">
        <v>238</v>
      </c>
      <c r="G25" s="4">
        <v>45702</v>
      </c>
      <c r="H25" s="4">
        <v>46066</v>
      </c>
      <c r="I25" s="4" t="s">
        <v>239</v>
      </c>
      <c r="J25" s="4">
        <v>3630260508395</v>
      </c>
      <c r="K25" s="4" t="s">
        <v>43</v>
      </c>
      <c r="L25" s="4" t="s">
        <v>240</v>
      </c>
      <c r="M25" s="4" t="s">
        <v>241</v>
      </c>
      <c r="N25" s="4" t="s">
        <v>242</v>
      </c>
      <c r="O25" s="4" t="s">
        <v>237</v>
      </c>
      <c r="P25" s="4" t="s">
        <v>33</v>
      </c>
      <c r="Q25" s="4" t="s">
        <v>54</v>
      </c>
      <c r="R25" s="4" t="s">
        <v>243</v>
      </c>
      <c r="S25" s="4">
        <v>45709</v>
      </c>
      <c r="T25" s="4">
        <v>47182</v>
      </c>
      <c r="U25" s="4">
        <v>2400000</v>
      </c>
      <c r="V25" s="4"/>
      <c r="W25" s="4"/>
      <c r="X25" s="4">
        <v>2400000</v>
      </c>
      <c r="Y25" s="4">
        <v>2</v>
      </c>
      <c r="Z25" s="6">
        <v>48000</v>
      </c>
      <c r="AA25" s="4"/>
      <c r="AB25" s="4"/>
      <c r="AC25" s="4" t="s">
        <v>78</v>
      </c>
      <c r="AD25" s="4">
        <v>1141072987</v>
      </c>
      <c r="AE25" s="4">
        <v>45734</v>
      </c>
      <c r="AF25" s="4" t="s">
        <v>35</v>
      </c>
      <c r="AG25" s="4">
        <v>0</v>
      </c>
      <c r="AH25" s="4" t="s">
        <v>238</v>
      </c>
      <c r="AI25" s="4"/>
      <c r="AJ25" s="6">
        <v>48000</v>
      </c>
      <c r="AK25" s="4">
        <v>0</v>
      </c>
    </row>
    <row r="26" spans="1:37" x14ac:dyDescent="0.2">
      <c r="A26" s="9">
        <v>25</v>
      </c>
      <c r="B26" s="4" t="s">
        <v>0</v>
      </c>
      <c r="C26" s="4" t="s">
        <v>244</v>
      </c>
      <c r="D26" s="4">
        <v>45689</v>
      </c>
      <c r="E26" s="4" t="s">
        <v>31</v>
      </c>
      <c r="F26" s="4" t="s">
        <v>245</v>
      </c>
      <c r="G26" s="4">
        <v>45702</v>
      </c>
      <c r="H26" s="4">
        <v>46066</v>
      </c>
      <c r="I26" s="4" t="s">
        <v>246</v>
      </c>
      <c r="J26" s="4">
        <v>4220143043563</v>
      </c>
      <c r="K26" s="4" t="s">
        <v>38</v>
      </c>
      <c r="L26" s="4"/>
      <c r="M26" s="4" t="s">
        <v>247</v>
      </c>
      <c r="N26" s="4" t="s">
        <v>248</v>
      </c>
      <c r="O26" s="4" t="s">
        <v>244</v>
      </c>
      <c r="P26" s="4" t="s">
        <v>44</v>
      </c>
      <c r="Q26" s="4" t="s">
        <v>45</v>
      </c>
      <c r="R26" s="4" t="s">
        <v>249</v>
      </c>
      <c r="S26" s="4">
        <v>45706</v>
      </c>
      <c r="T26" s="4">
        <v>46818</v>
      </c>
      <c r="U26" s="4">
        <v>4719000</v>
      </c>
      <c r="V26" s="4"/>
      <c r="W26" s="4"/>
      <c r="X26" s="4">
        <v>4719000</v>
      </c>
      <c r="Y26" s="4">
        <v>1.5</v>
      </c>
      <c r="Z26" s="6">
        <v>70785</v>
      </c>
      <c r="AA26" s="4"/>
      <c r="AB26" s="4"/>
      <c r="AC26" s="4" t="s">
        <v>78</v>
      </c>
      <c r="AD26" s="4">
        <v>1141072987</v>
      </c>
      <c r="AE26" s="4">
        <v>45734</v>
      </c>
      <c r="AF26" s="4" t="s">
        <v>35</v>
      </c>
      <c r="AG26" s="4">
        <v>0</v>
      </c>
      <c r="AH26" s="4" t="s">
        <v>245</v>
      </c>
      <c r="AI26" s="4"/>
      <c r="AJ26" s="6">
        <v>70785</v>
      </c>
      <c r="AK26" s="4">
        <v>0</v>
      </c>
    </row>
    <row r="27" spans="1:37" x14ac:dyDescent="0.2">
      <c r="A27" s="9">
        <v>26</v>
      </c>
      <c r="B27" s="4" t="s">
        <v>0</v>
      </c>
      <c r="C27" s="4" t="s">
        <v>250</v>
      </c>
      <c r="D27" s="4">
        <v>45689</v>
      </c>
      <c r="E27" s="4" t="s">
        <v>31</v>
      </c>
      <c r="F27" s="4" t="s">
        <v>251</v>
      </c>
      <c r="G27" s="4">
        <v>45705</v>
      </c>
      <c r="H27" s="4">
        <v>46069</v>
      </c>
      <c r="I27" s="4" t="s">
        <v>252</v>
      </c>
      <c r="J27" s="4">
        <v>3310029013595</v>
      </c>
      <c r="K27" s="4" t="s">
        <v>41</v>
      </c>
      <c r="L27" s="4"/>
      <c r="M27" s="4" t="s">
        <v>253</v>
      </c>
      <c r="N27" s="4" t="s">
        <v>254</v>
      </c>
      <c r="O27" s="4" t="s">
        <v>250</v>
      </c>
      <c r="P27" s="4" t="s">
        <v>33</v>
      </c>
      <c r="Q27" s="4" t="s">
        <v>46</v>
      </c>
      <c r="R27" s="4" t="s">
        <v>255</v>
      </c>
      <c r="S27" s="4">
        <v>45707</v>
      </c>
      <c r="T27" s="4">
        <v>47547</v>
      </c>
      <c r="U27" s="4">
        <v>3045000</v>
      </c>
      <c r="V27" s="4"/>
      <c r="W27" s="4"/>
      <c r="X27" s="4">
        <v>3045000</v>
      </c>
      <c r="Y27" s="4">
        <v>2</v>
      </c>
      <c r="Z27" s="6">
        <v>60900</v>
      </c>
      <c r="AA27" s="4"/>
      <c r="AB27" s="4"/>
      <c r="AC27" s="4" t="s">
        <v>78</v>
      </c>
      <c r="AD27" s="4">
        <v>1141072987</v>
      </c>
      <c r="AE27" s="4">
        <v>45734</v>
      </c>
      <c r="AF27" s="4" t="s">
        <v>35</v>
      </c>
      <c r="AG27" s="4">
        <v>0</v>
      </c>
      <c r="AH27" s="4" t="s">
        <v>251</v>
      </c>
      <c r="AI27" s="4"/>
      <c r="AJ27" s="6">
        <v>60900</v>
      </c>
      <c r="AK27" s="4">
        <v>0</v>
      </c>
    </row>
    <row r="28" spans="1:37" x14ac:dyDescent="0.2">
      <c r="A28" s="9">
        <v>27</v>
      </c>
      <c r="B28" s="4" t="s">
        <v>0</v>
      </c>
      <c r="C28" s="4" t="s">
        <v>256</v>
      </c>
      <c r="D28" s="4">
        <v>45689</v>
      </c>
      <c r="E28" s="4" t="s">
        <v>31</v>
      </c>
      <c r="F28" s="4" t="s">
        <v>257</v>
      </c>
      <c r="G28" s="4">
        <v>45705</v>
      </c>
      <c r="H28" s="4">
        <v>46069</v>
      </c>
      <c r="I28" s="4" t="s">
        <v>258</v>
      </c>
      <c r="J28" s="4">
        <v>3520123221974</v>
      </c>
      <c r="K28" s="4" t="s">
        <v>49</v>
      </c>
      <c r="L28" s="4" t="s">
        <v>259</v>
      </c>
      <c r="M28" s="4" t="s">
        <v>260</v>
      </c>
      <c r="N28" s="4" t="s">
        <v>261</v>
      </c>
      <c r="O28" s="4" t="s">
        <v>256</v>
      </c>
      <c r="P28" s="4" t="s">
        <v>33</v>
      </c>
      <c r="Q28" s="4" t="s">
        <v>39</v>
      </c>
      <c r="R28" s="4" t="s">
        <v>262</v>
      </c>
      <c r="S28" s="4">
        <v>45706</v>
      </c>
      <c r="T28" s="4">
        <v>46818</v>
      </c>
      <c r="U28" s="4">
        <v>4000000</v>
      </c>
      <c r="V28" s="4"/>
      <c r="W28" s="4"/>
      <c r="X28" s="4">
        <v>4000000</v>
      </c>
      <c r="Y28" s="4">
        <v>1.5</v>
      </c>
      <c r="Z28" s="6">
        <v>60000</v>
      </c>
      <c r="AA28" s="4"/>
      <c r="AB28" s="4"/>
      <c r="AC28" s="4" t="s">
        <v>78</v>
      </c>
      <c r="AD28" s="4">
        <v>1141072987</v>
      </c>
      <c r="AE28" s="4">
        <v>45734</v>
      </c>
      <c r="AF28" s="4" t="s">
        <v>35</v>
      </c>
      <c r="AG28" s="4">
        <v>0</v>
      </c>
      <c r="AH28" s="4" t="s">
        <v>257</v>
      </c>
      <c r="AI28" s="4"/>
      <c r="AJ28" s="6">
        <v>60000</v>
      </c>
      <c r="AK28" s="4">
        <v>0</v>
      </c>
    </row>
    <row r="29" spans="1:37" x14ac:dyDescent="0.2">
      <c r="A29" s="9">
        <v>28</v>
      </c>
      <c r="B29" s="4" t="s">
        <v>0</v>
      </c>
      <c r="C29" s="4" t="s">
        <v>263</v>
      </c>
      <c r="D29" s="4">
        <v>45689</v>
      </c>
      <c r="E29" s="4" t="s">
        <v>31</v>
      </c>
      <c r="F29" s="4" t="s">
        <v>264</v>
      </c>
      <c r="G29" s="4">
        <v>45706</v>
      </c>
      <c r="H29" s="4">
        <v>46070</v>
      </c>
      <c r="I29" s="4" t="s">
        <v>265</v>
      </c>
      <c r="J29" s="4">
        <v>3430294983403</v>
      </c>
      <c r="K29" s="4" t="s">
        <v>43</v>
      </c>
      <c r="L29" s="4" t="s">
        <v>266</v>
      </c>
      <c r="M29" s="4" t="s">
        <v>267</v>
      </c>
      <c r="N29" s="4" t="s">
        <v>268</v>
      </c>
      <c r="O29" s="4" t="s">
        <v>263</v>
      </c>
      <c r="P29" s="4" t="s">
        <v>33</v>
      </c>
      <c r="Q29" s="4" t="s">
        <v>34</v>
      </c>
      <c r="R29" s="4" t="s">
        <v>269</v>
      </c>
      <c r="S29" s="4">
        <v>45709</v>
      </c>
      <c r="T29" s="4">
        <v>47547</v>
      </c>
      <c r="U29" s="4">
        <v>2350000</v>
      </c>
      <c r="V29" s="4"/>
      <c r="W29" s="4"/>
      <c r="X29" s="4">
        <v>2350000</v>
      </c>
      <c r="Y29" s="4">
        <v>2</v>
      </c>
      <c r="Z29" s="6">
        <v>47000</v>
      </c>
      <c r="AA29" s="4"/>
      <c r="AB29" s="4"/>
      <c r="AC29" s="4" t="s">
        <v>78</v>
      </c>
      <c r="AD29" s="4">
        <v>1141072987</v>
      </c>
      <c r="AE29" s="4">
        <v>45734</v>
      </c>
      <c r="AF29" s="4" t="s">
        <v>35</v>
      </c>
      <c r="AG29" s="4">
        <v>0</v>
      </c>
      <c r="AH29" s="4" t="s">
        <v>264</v>
      </c>
      <c r="AI29" s="4"/>
      <c r="AJ29" s="6">
        <v>47000</v>
      </c>
      <c r="AK29" s="4">
        <v>0</v>
      </c>
    </row>
    <row r="30" spans="1:37" x14ac:dyDescent="0.2">
      <c r="A30" s="9">
        <v>29</v>
      </c>
      <c r="B30" s="4" t="s">
        <v>0</v>
      </c>
      <c r="C30" s="4" t="s">
        <v>270</v>
      </c>
      <c r="D30" s="4">
        <v>45689</v>
      </c>
      <c r="E30" s="4" t="s">
        <v>31</v>
      </c>
      <c r="F30" s="4" t="s">
        <v>271</v>
      </c>
      <c r="G30" s="4">
        <v>45706</v>
      </c>
      <c r="H30" s="4">
        <v>46070</v>
      </c>
      <c r="I30" s="4" t="s">
        <v>272</v>
      </c>
      <c r="J30" s="4">
        <v>3520116452163</v>
      </c>
      <c r="K30" s="4" t="s">
        <v>273</v>
      </c>
      <c r="L30" s="4" t="s">
        <v>274</v>
      </c>
      <c r="M30" s="4" t="s">
        <v>275</v>
      </c>
      <c r="N30" s="4" t="s">
        <v>276</v>
      </c>
      <c r="O30" s="4" t="s">
        <v>270</v>
      </c>
      <c r="P30" s="4" t="s">
        <v>33</v>
      </c>
      <c r="Q30" s="4" t="s">
        <v>39</v>
      </c>
      <c r="R30" s="4" t="s">
        <v>277</v>
      </c>
      <c r="S30" s="4">
        <v>45708</v>
      </c>
      <c r="T30" s="4">
        <v>46818</v>
      </c>
      <c r="U30" s="4">
        <v>1000000</v>
      </c>
      <c r="V30" s="4"/>
      <c r="W30" s="4"/>
      <c r="X30" s="4">
        <v>1000000</v>
      </c>
      <c r="Y30" s="4">
        <v>2</v>
      </c>
      <c r="Z30" s="6">
        <v>20000</v>
      </c>
      <c r="AA30" s="4"/>
      <c r="AB30" s="4"/>
      <c r="AC30" s="4" t="s">
        <v>78</v>
      </c>
      <c r="AD30" s="4">
        <v>1141072987</v>
      </c>
      <c r="AE30" s="4">
        <v>45734</v>
      </c>
      <c r="AF30" s="4" t="s">
        <v>35</v>
      </c>
      <c r="AG30" s="4">
        <v>0</v>
      </c>
      <c r="AH30" s="4" t="s">
        <v>271</v>
      </c>
      <c r="AI30" s="4"/>
      <c r="AJ30" s="6">
        <v>20000</v>
      </c>
      <c r="AK30" s="4">
        <v>0</v>
      </c>
    </row>
    <row r="31" spans="1:37" x14ac:dyDescent="0.2">
      <c r="A31" s="9">
        <v>30</v>
      </c>
      <c r="B31" s="4" t="s">
        <v>0</v>
      </c>
      <c r="C31" s="4" t="s">
        <v>278</v>
      </c>
      <c r="D31" s="4">
        <v>45689</v>
      </c>
      <c r="E31" s="4" t="s">
        <v>31</v>
      </c>
      <c r="F31" s="4" t="s">
        <v>279</v>
      </c>
      <c r="G31" s="4">
        <v>45706</v>
      </c>
      <c r="H31" s="4">
        <v>46070</v>
      </c>
      <c r="I31" s="4" t="s">
        <v>280</v>
      </c>
      <c r="J31" s="4">
        <v>3520273033169</v>
      </c>
      <c r="K31" s="4" t="s">
        <v>60</v>
      </c>
      <c r="L31" s="4" t="s">
        <v>281</v>
      </c>
      <c r="M31" s="4" t="s">
        <v>282</v>
      </c>
      <c r="N31" s="4" t="s">
        <v>283</v>
      </c>
      <c r="O31" s="4" t="s">
        <v>278</v>
      </c>
      <c r="P31" s="4" t="s">
        <v>33</v>
      </c>
      <c r="Q31" s="4" t="s">
        <v>39</v>
      </c>
      <c r="R31" s="4" t="s">
        <v>284</v>
      </c>
      <c r="S31" s="4">
        <v>45709</v>
      </c>
      <c r="T31" s="4">
        <v>46818</v>
      </c>
      <c r="U31" s="4">
        <v>4000000</v>
      </c>
      <c r="V31" s="4"/>
      <c r="W31" s="4"/>
      <c r="X31" s="4">
        <v>4000000</v>
      </c>
      <c r="Y31" s="4">
        <v>1.5</v>
      </c>
      <c r="Z31" s="6">
        <v>60000</v>
      </c>
      <c r="AA31" s="4"/>
      <c r="AB31" s="4"/>
      <c r="AC31" s="4" t="s">
        <v>78</v>
      </c>
      <c r="AD31" s="4">
        <v>1141072987</v>
      </c>
      <c r="AE31" s="4">
        <v>45734</v>
      </c>
      <c r="AF31" s="4" t="s">
        <v>35</v>
      </c>
      <c r="AG31" s="4">
        <v>0</v>
      </c>
      <c r="AH31" s="4" t="s">
        <v>279</v>
      </c>
      <c r="AI31" s="4"/>
      <c r="AJ31" s="6">
        <v>60000</v>
      </c>
      <c r="AK31" s="4">
        <v>0</v>
      </c>
    </row>
    <row r="32" spans="1:37" x14ac:dyDescent="0.2">
      <c r="A32" s="9">
        <v>31</v>
      </c>
      <c r="B32" s="4" t="s">
        <v>0</v>
      </c>
      <c r="C32" s="4" t="s">
        <v>285</v>
      </c>
      <c r="D32" s="4">
        <v>45689</v>
      </c>
      <c r="E32" s="4" t="s">
        <v>31</v>
      </c>
      <c r="F32" s="4" t="s">
        <v>286</v>
      </c>
      <c r="G32" s="4">
        <v>45706</v>
      </c>
      <c r="H32" s="4">
        <v>46070</v>
      </c>
      <c r="I32" s="4" t="s">
        <v>287</v>
      </c>
      <c r="J32" s="4">
        <v>3520168402605</v>
      </c>
      <c r="K32" s="4" t="s">
        <v>41</v>
      </c>
      <c r="L32" s="4"/>
      <c r="M32" s="4" t="s">
        <v>288</v>
      </c>
      <c r="N32" s="4" t="s">
        <v>289</v>
      </c>
      <c r="O32" s="4" t="s">
        <v>285</v>
      </c>
      <c r="P32" s="4" t="s">
        <v>33</v>
      </c>
      <c r="Q32" s="4" t="s">
        <v>39</v>
      </c>
      <c r="R32" s="4" t="s">
        <v>290</v>
      </c>
      <c r="S32" s="4">
        <v>45708</v>
      </c>
      <c r="T32" s="4">
        <v>46086</v>
      </c>
      <c r="U32" s="4">
        <v>3045000</v>
      </c>
      <c r="V32" s="4"/>
      <c r="W32" s="4"/>
      <c r="X32" s="4">
        <v>3045000</v>
      </c>
      <c r="Y32" s="4">
        <v>2</v>
      </c>
      <c r="Z32" s="6">
        <v>60900</v>
      </c>
      <c r="AA32" s="4"/>
      <c r="AB32" s="4"/>
      <c r="AC32" s="4" t="s">
        <v>78</v>
      </c>
      <c r="AD32" s="4">
        <v>1141072987</v>
      </c>
      <c r="AE32" s="4">
        <v>45734</v>
      </c>
      <c r="AF32" s="4" t="s">
        <v>35</v>
      </c>
      <c r="AG32" s="4">
        <v>0</v>
      </c>
      <c r="AH32" s="4" t="s">
        <v>286</v>
      </c>
      <c r="AI32" s="4"/>
      <c r="AJ32" s="6">
        <v>60900</v>
      </c>
      <c r="AK32" s="4">
        <v>0</v>
      </c>
    </row>
    <row r="33" spans="1:37" x14ac:dyDescent="0.2">
      <c r="A33" s="9">
        <v>32</v>
      </c>
      <c r="B33" s="4" t="s">
        <v>0</v>
      </c>
      <c r="C33" s="4" t="s">
        <v>291</v>
      </c>
      <c r="D33" s="4">
        <v>45689</v>
      </c>
      <c r="E33" s="4" t="s">
        <v>31</v>
      </c>
      <c r="F33" s="4" t="s">
        <v>292</v>
      </c>
      <c r="G33" s="4">
        <v>45706</v>
      </c>
      <c r="H33" s="4">
        <v>46070</v>
      </c>
      <c r="I33" s="4" t="s">
        <v>293</v>
      </c>
      <c r="J33" s="4">
        <v>3520181809805</v>
      </c>
      <c r="K33" s="4" t="s">
        <v>294</v>
      </c>
      <c r="L33" s="4"/>
      <c r="M33" s="4" t="s">
        <v>295</v>
      </c>
      <c r="N33" s="4" t="s">
        <v>296</v>
      </c>
      <c r="O33" s="4" t="s">
        <v>291</v>
      </c>
      <c r="P33" s="4" t="s">
        <v>33</v>
      </c>
      <c r="Q33" s="4" t="s">
        <v>39</v>
      </c>
      <c r="R33" s="4" t="s">
        <v>297</v>
      </c>
      <c r="S33" s="4">
        <v>45709</v>
      </c>
      <c r="T33" s="4">
        <v>46818</v>
      </c>
      <c r="U33" s="4">
        <v>5909000</v>
      </c>
      <c r="V33" s="4"/>
      <c r="W33" s="4"/>
      <c r="X33" s="4">
        <v>5909000</v>
      </c>
      <c r="Y33" s="4">
        <v>1.5</v>
      </c>
      <c r="Z33" s="6">
        <v>88635</v>
      </c>
      <c r="AA33" s="4"/>
      <c r="AB33" s="4"/>
      <c r="AC33" s="4" t="s">
        <v>78</v>
      </c>
      <c r="AD33" s="4">
        <v>1141072987</v>
      </c>
      <c r="AE33" s="4">
        <v>45734</v>
      </c>
      <c r="AF33" s="4" t="s">
        <v>35</v>
      </c>
      <c r="AG33" s="4">
        <v>0</v>
      </c>
      <c r="AH33" s="4" t="s">
        <v>292</v>
      </c>
      <c r="AI33" s="4"/>
      <c r="AJ33" s="6">
        <v>88635</v>
      </c>
      <c r="AK33" s="4">
        <v>0</v>
      </c>
    </row>
    <row r="34" spans="1:37" x14ac:dyDescent="0.2">
      <c r="A34" s="9">
        <v>33</v>
      </c>
      <c r="B34" s="4" t="s">
        <v>0</v>
      </c>
      <c r="C34" s="4" t="s">
        <v>298</v>
      </c>
      <c r="D34" s="4">
        <v>45689</v>
      </c>
      <c r="E34" s="4" t="s">
        <v>31</v>
      </c>
      <c r="F34" s="4" t="s">
        <v>299</v>
      </c>
      <c r="G34" s="4">
        <v>45707</v>
      </c>
      <c r="H34" s="4">
        <v>46071</v>
      </c>
      <c r="I34" s="4" t="s">
        <v>300</v>
      </c>
      <c r="J34" s="4">
        <v>3130297437981</v>
      </c>
      <c r="K34" s="4" t="s">
        <v>301</v>
      </c>
      <c r="L34" s="4" t="s">
        <v>302</v>
      </c>
      <c r="M34" s="4" t="s">
        <v>303</v>
      </c>
      <c r="N34" s="4" t="s">
        <v>304</v>
      </c>
      <c r="O34" s="4" t="s">
        <v>298</v>
      </c>
      <c r="P34" s="4" t="s">
        <v>33</v>
      </c>
      <c r="Q34" s="4" t="s">
        <v>34</v>
      </c>
      <c r="R34" s="4" t="s">
        <v>305</v>
      </c>
      <c r="S34" s="4">
        <v>45712</v>
      </c>
      <c r="T34" s="4">
        <v>46818</v>
      </c>
      <c r="U34" s="4">
        <v>4200000</v>
      </c>
      <c r="V34" s="4"/>
      <c r="W34" s="4"/>
      <c r="X34" s="4">
        <v>4200000</v>
      </c>
      <c r="Y34" s="4">
        <v>1.5</v>
      </c>
      <c r="Z34" s="6">
        <v>63000</v>
      </c>
      <c r="AA34" s="4"/>
      <c r="AB34" s="4"/>
      <c r="AC34" s="4" t="s">
        <v>78</v>
      </c>
      <c r="AD34" s="4">
        <v>1141072987</v>
      </c>
      <c r="AE34" s="4">
        <v>45734</v>
      </c>
      <c r="AF34" s="4" t="s">
        <v>35</v>
      </c>
      <c r="AG34" s="4">
        <v>0</v>
      </c>
      <c r="AH34" s="4" t="s">
        <v>299</v>
      </c>
      <c r="AI34" s="4"/>
      <c r="AJ34" s="6">
        <v>63000</v>
      </c>
      <c r="AK34" s="4">
        <v>0</v>
      </c>
    </row>
    <row r="35" spans="1:37" x14ac:dyDescent="0.2">
      <c r="A35" s="9">
        <v>34</v>
      </c>
      <c r="B35" s="4" t="s">
        <v>0</v>
      </c>
      <c r="C35" s="4" t="s">
        <v>306</v>
      </c>
      <c r="D35" s="4">
        <v>45689</v>
      </c>
      <c r="E35" s="4" t="s">
        <v>31</v>
      </c>
      <c r="F35" s="4" t="s">
        <v>307</v>
      </c>
      <c r="G35" s="4">
        <v>45692</v>
      </c>
      <c r="H35" s="4">
        <v>46056</v>
      </c>
      <c r="I35" s="4" t="s">
        <v>308</v>
      </c>
      <c r="J35" s="4">
        <v>3520219524034</v>
      </c>
      <c r="K35" s="4" t="s">
        <v>43</v>
      </c>
      <c r="L35" s="4" t="s">
        <v>309</v>
      </c>
      <c r="M35" s="4" t="s">
        <v>310</v>
      </c>
      <c r="N35" s="4" t="s">
        <v>311</v>
      </c>
      <c r="O35" s="4" t="s">
        <v>306</v>
      </c>
      <c r="P35" s="4" t="s">
        <v>33</v>
      </c>
      <c r="Q35" s="4" t="s">
        <v>39</v>
      </c>
      <c r="R35" s="4" t="s">
        <v>312</v>
      </c>
      <c r="S35" s="4">
        <v>45699</v>
      </c>
      <c r="T35" s="4">
        <v>47519</v>
      </c>
      <c r="U35" s="4">
        <v>2300000</v>
      </c>
      <c r="V35" s="4"/>
      <c r="W35" s="4"/>
      <c r="X35" s="4">
        <v>2300000</v>
      </c>
      <c r="Y35" s="4">
        <v>2</v>
      </c>
      <c r="Z35" s="6">
        <v>46000</v>
      </c>
      <c r="AA35" s="4"/>
      <c r="AB35" s="4"/>
      <c r="AC35" s="4" t="s">
        <v>78</v>
      </c>
      <c r="AD35" s="4">
        <v>1141072987</v>
      </c>
      <c r="AE35" s="4">
        <v>45734</v>
      </c>
      <c r="AF35" s="4" t="s">
        <v>35</v>
      </c>
      <c r="AG35" s="4">
        <v>5</v>
      </c>
      <c r="AH35" s="4" t="s">
        <v>307</v>
      </c>
      <c r="AI35" s="4"/>
      <c r="AJ35" s="6">
        <v>46000</v>
      </c>
      <c r="AK35" s="4">
        <v>0</v>
      </c>
    </row>
    <row r="36" spans="1:37" x14ac:dyDescent="0.2">
      <c r="A36" s="9">
        <v>35</v>
      </c>
      <c r="B36" s="4" t="s">
        <v>0</v>
      </c>
      <c r="C36" s="4" t="s">
        <v>313</v>
      </c>
      <c r="D36" s="4">
        <v>45689</v>
      </c>
      <c r="E36" s="4" t="s">
        <v>31</v>
      </c>
      <c r="F36" s="4" t="s">
        <v>314</v>
      </c>
      <c r="G36" s="4">
        <v>45709</v>
      </c>
      <c r="H36" s="4">
        <v>46073</v>
      </c>
      <c r="I36" s="4" t="s">
        <v>315</v>
      </c>
      <c r="J36" s="4">
        <v>3460152811367</v>
      </c>
      <c r="K36" s="4" t="s">
        <v>316</v>
      </c>
      <c r="L36" s="4" t="s">
        <v>317</v>
      </c>
      <c r="M36" s="4" t="s">
        <v>318</v>
      </c>
      <c r="N36" s="4" t="s">
        <v>319</v>
      </c>
      <c r="O36" s="4" t="s">
        <v>313</v>
      </c>
      <c r="P36" s="4" t="s">
        <v>33</v>
      </c>
      <c r="Q36" s="4" t="s">
        <v>320</v>
      </c>
      <c r="R36" s="4" t="s">
        <v>321</v>
      </c>
      <c r="S36" s="4">
        <v>45712</v>
      </c>
      <c r="T36" s="4">
        <v>46818</v>
      </c>
      <c r="U36" s="4">
        <v>3500000</v>
      </c>
      <c r="V36" s="4"/>
      <c r="W36" s="4"/>
      <c r="X36" s="4">
        <v>3500000</v>
      </c>
      <c r="Y36" s="4">
        <v>1.5</v>
      </c>
      <c r="Z36" s="6">
        <v>52500</v>
      </c>
      <c r="AA36" s="4"/>
      <c r="AB36" s="4"/>
      <c r="AC36" s="4" t="s">
        <v>78</v>
      </c>
      <c r="AD36" s="4">
        <v>1141072987</v>
      </c>
      <c r="AE36" s="4">
        <v>45734</v>
      </c>
      <c r="AF36" s="4" t="s">
        <v>35</v>
      </c>
      <c r="AG36" s="4">
        <v>0</v>
      </c>
      <c r="AH36" s="4" t="s">
        <v>314</v>
      </c>
      <c r="AI36" s="4"/>
      <c r="AJ36" s="6">
        <v>52500</v>
      </c>
      <c r="AK36" s="4">
        <v>0</v>
      </c>
    </row>
    <row r="37" spans="1:37" x14ac:dyDescent="0.2">
      <c r="A37" s="9">
        <v>36</v>
      </c>
      <c r="B37" s="4" t="s">
        <v>0</v>
      </c>
      <c r="C37" s="4" t="s">
        <v>322</v>
      </c>
      <c r="D37" s="4">
        <v>45689</v>
      </c>
      <c r="E37" s="4" t="s">
        <v>31</v>
      </c>
      <c r="F37" s="4" t="s">
        <v>323</v>
      </c>
      <c r="G37" s="4">
        <v>45709</v>
      </c>
      <c r="H37" s="4">
        <v>46073</v>
      </c>
      <c r="I37" s="4" t="s">
        <v>324</v>
      </c>
      <c r="J37" s="4">
        <v>3520156141573</v>
      </c>
      <c r="K37" s="4" t="s">
        <v>325</v>
      </c>
      <c r="L37" s="4" t="s">
        <v>326</v>
      </c>
      <c r="M37" s="4" t="s">
        <v>327</v>
      </c>
      <c r="N37" s="4" t="s">
        <v>328</v>
      </c>
      <c r="O37" s="4" t="s">
        <v>322</v>
      </c>
      <c r="P37" s="4" t="s">
        <v>33</v>
      </c>
      <c r="Q37" s="4" t="s">
        <v>39</v>
      </c>
      <c r="R37" s="4" t="s">
        <v>329</v>
      </c>
      <c r="S37" s="4">
        <v>45709</v>
      </c>
      <c r="T37" s="4">
        <v>47182</v>
      </c>
      <c r="U37" s="4">
        <v>7800000</v>
      </c>
      <c r="V37" s="4"/>
      <c r="W37" s="4"/>
      <c r="X37" s="4">
        <v>7800000</v>
      </c>
      <c r="Y37" s="4">
        <v>1.5</v>
      </c>
      <c r="Z37" s="6">
        <v>117000</v>
      </c>
      <c r="AA37" s="4"/>
      <c r="AB37" s="4"/>
      <c r="AC37" s="4" t="s">
        <v>78</v>
      </c>
      <c r="AD37" s="4">
        <v>1141072987</v>
      </c>
      <c r="AE37" s="4">
        <v>45734</v>
      </c>
      <c r="AF37" s="4" t="s">
        <v>35</v>
      </c>
      <c r="AG37" s="4">
        <v>0</v>
      </c>
      <c r="AH37" s="4" t="s">
        <v>323</v>
      </c>
      <c r="AI37" s="4"/>
      <c r="AJ37" s="6">
        <v>117000</v>
      </c>
      <c r="AK37" s="4">
        <v>0</v>
      </c>
    </row>
    <row r="38" spans="1:37" x14ac:dyDescent="0.2">
      <c r="A38" s="9">
        <v>37</v>
      </c>
      <c r="B38" s="4" t="s">
        <v>0</v>
      </c>
      <c r="C38" s="4" t="s">
        <v>330</v>
      </c>
      <c r="D38" s="4">
        <v>45689</v>
      </c>
      <c r="E38" s="4" t="s">
        <v>31</v>
      </c>
      <c r="F38" s="4" t="s">
        <v>331</v>
      </c>
      <c r="G38" s="4">
        <v>45713</v>
      </c>
      <c r="H38" s="4">
        <v>46077</v>
      </c>
      <c r="I38" s="4" t="s">
        <v>332</v>
      </c>
      <c r="J38" s="4">
        <v>3460390555085</v>
      </c>
      <c r="K38" s="4" t="s">
        <v>40</v>
      </c>
      <c r="L38" s="4"/>
      <c r="M38" s="4" t="s">
        <v>333</v>
      </c>
      <c r="N38" s="4" t="s">
        <v>334</v>
      </c>
      <c r="O38" s="4" t="s">
        <v>330</v>
      </c>
      <c r="P38" s="4" t="s">
        <v>33</v>
      </c>
      <c r="Q38" s="4" t="s">
        <v>54</v>
      </c>
      <c r="R38" s="4" t="s">
        <v>335</v>
      </c>
      <c r="S38" s="4">
        <v>45716</v>
      </c>
      <c r="T38" s="4">
        <v>46818</v>
      </c>
      <c r="U38" s="4">
        <v>4719000</v>
      </c>
      <c r="V38" s="4"/>
      <c r="W38" s="4"/>
      <c r="X38" s="4">
        <v>4719000</v>
      </c>
      <c r="Y38" s="4">
        <v>1.5</v>
      </c>
      <c r="Z38" s="6">
        <v>70785</v>
      </c>
      <c r="AA38" s="4"/>
      <c r="AB38" s="4"/>
      <c r="AC38" s="4" t="s">
        <v>78</v>
      </c>
      <c r="AD38" s="4">
        <v>1141072987</v>
      </c>
      <c r="AE38" s="4">
        <v>45734</v>
      </c>
      <c r="AF38" s="4" t="s">
        <v>35</v>
      </c>
      <c r="AG38" s="4">
        <v>0</v>
      </c>
      <c r="AH38" s="4" t="s">
        <v>331</v>
      </c>
      <c r="AI38" s="4"/>
      <c r="AJ38" s="6">
        <v>70785</v>
      </c>
      <c r="AK38" s="4">
        <v>0</v>
      </c>
    </row>
    <row r="39" spans="1:37" x14ac:dyDescent="0.2">
      <c r="A39" s="9">
        <v>38</v>
      </c>
      <c r="B39" s="4" t="s">
        <v>0</v>
      </c>
      <c r="C39" s="4" t="s">
        <v>336</v>
      </c>
      <c r="D39" s="4">
        <v>45689</v>
      </c>
      <c r="E39" s="4" t="s">
        <v>31</v>
      </c>
      <c r="F39" s="4" t="s">
        <v>337</v>
      </c>
      <c r="G39" s="4">
        <v>45714</v>
      </c>
      <c r="H39" s="4">
        <v>46078</v>
      </c>
      <c r="I39" s="4" t="s">
        <v>338</v>
      </c>
      <c r="J39" s="4">
        <v>3520290358317</v>
      </c>
      <c r="K39" s="4" t="s">
        <v>41</v>
      </c>
      <c r="L39" s="4" t="s">
        <v>339</v>
      </c>
      <c r="M39" s="4" t="s">
        <v>340</v>
      </c>
      <c r="N39" s="4" t="s">
        <v>341</v>
      </c>
      <c r="O39" s="4" t="s">
        <v>336</v>
      </c>
      <c r="P39" s="4" t="s">
        <v>33</v>
      </c>
      <c r="Q39" s="4" t="s">
        <v>39</v>
      </c>
      <c r="R39" s="4" t="s">
        <v>342</v>
      </c>
      <c r="S39" s="4">
        <v>45716</v>
      </c>
      <c r="T39" s="4">
        <v>47547</v>
      </c>
      <c r="U39" s="4">
        <v>2400000</v>
      </c>
      <c r="V39" s="4"/>
      <c r="W39" s="4"/>
      <c r="X39" s="4">
        <v>2400000</v>
      </c>
      <c r="Y39" s="4">
        <v>2</v>
      </c>
      <c r="Z39" s="6">
        <v>48000</v>
      </c>
      <c r="AA39" s="4"/>
      <c r="AB39" s="4"/>
      <c r="AC39" s="4" t="s">
        <v>78</v>
      </c>
      <c r="AD39" s="4">
        <v>1141072987</v>
      </c>
      <c r="AE39" s="4">
        <v>45734</v>
      </c>
      <c r="AF39" s="4" t="s">
        <v>35</v>
      </c>
      <c r="AG39" s="4">
        <v>0</v>
      </c>
      <c r="AH39" s="4" t="s">
        <v>337</v>
      </c>
      <c r="AI39" s="4"/>
      <c r="AJ39" s="6">
        <v>48000</v>
      </c>
      <c r="AK39" s="4">
        <v>0</v>
      </c>
    </row>
    <row r="40" spans="1:37" x14ac:dyDescent="0.2">
      <c r="A40" s="9">
        <v>39</v>
      </c>
      <c r="B40" s="4" t="s">
        <v>0</v>
      </c>
      <c r="C40" s="4" t="s">
        <v>343</v>
      </c>
      <c r="D40" s="4">
        <v>45689</v>
      </c>
      <c r="E40" s="4" t="s">
        <v>31</v>
      </c>
      <c r="F40" s="4" t="s">
        <v>344</v>
      </c>
      <c r="G40" s="4">
        <v>45715</v>
      </c>
      <c r="H40" s="4">
        <v>46079</v>
      </c>
      <c r="I40" s="4" t="s">
        <v>345</v>
      </c>
      <c r="J40" s="4">
        <v>3320212040041</v>
      </c>
      <c r="K40" s="4" t="s">
        <v>68</v>
      </c>
      <c r="L40" s="4"/>
      <c r="M40" s="4" t="s">
        <v>346</v>
      </c>
      <c r="N40" s="4" t="s">
        <v>347</v>
      </c>
      <c r="O40" s="4" t="s">
        <v>343</v>
      </c>
      <c r="P40" s="4" t="s">
        <v>33</v>
      </c>
      <c r="Q40" s="4" t="s">
        <v>39</v>
      </c>
      <c r="R40" s="4" t="s">
        <v>348</v>
      </c>
      <c r="S40" s="4">
        <v>45716</v>
      </c>
      <c r="T40" s="4">
        <v>47547</v>
      </c>
      <c r="U40" s="4">
        <v>2894000</v>
      </c>
      <c r="V40" s="4"/>
      <c r="W40" s="4"/>
      <c r="X40" s="4">
        <v>2894000</v>
      </c>
      <c r="Y40" s="4">
        <v>2</v>
      </c>
      <c r="Z40" s="6">
        <v>57880</v>
      </c>
      <c r="AA40" s="4"/>
      <c r="AB40" s="4"/>
      <c r="AC40" s="4" t="s">
        <v>78</v>
      </c>
      <c r="AD40" s="4">
        <v>1141072987</v>
      </c>
      <c r="AE40" s="4">
        <v>45734</v>
      </c>
      <c r="AF40" s="4" t="s">
        <v>35</v>
      </c>
      <c r="AG40" s="4">
        <v>0</v>
      </c>
      <c r="AH40" s="4" t="s">
        <v>344</v>
      </c>
      <c r="AI40" s="4"/>
      <c r="AJ40" s="6">
        <v>57880</v>
      </c>
      <c r="AK40" s="4">
        <v>0</v>
      </c>
    </row>
    <row r="41" spans="1:37" x14ac:dyDescent="0.2">
      <c r="A41" s="9">
        <v>40</v>
      </c>
      <c r="B41" s="4" t="s">
        <v>0</v>
      </c>
      <c r="C41" s="4" t="s">
        <v>349</v>
      </c>
      <c r="D41" s="4">
        <v>45689</v>
      </c>
      <c r="E41" s="4" t="s">
        <v>31</v>
      </c>
      <c r="F41" s="4" t="s">
        <v>350</v>
      </c>
      <c r="G41" s="4">
        <v>45715</v>
      </c>
      <c r="H41" s="4">
        <v>46079</v>
      </c>
      <c r="I41" s="4" t="s">
        <v>351</v>
      </c>
      <c r="J41" s="4">
        <v>3510207141055</v>
      </c>
      <c r="K41" s="4" t="s">
        <v>60</v>
      </c>
      <c r="L41" s="4" t="s">
        <v>352</v>
      </c>
      <c r="M41" s="4" t="s">
        <v>353</v>
      </c>
      <c r="N41" s="4" t="s">
        <v>354</v>
      </c>
      <c r="O41" s="4" t="s">
        <v>349</v>
      </c>
      <c r="P41" s="4" t="s">
        <v>33</v>
      </c>
      <c r="Q41" s="4" t="s">
        <v>39</v>
      </c>
      <c r="R41" s="4" t="s">
        <v>355</v>
      </c>
      <c r="S41" s="4">
        <v>45716</v>
      </c>
      <c r="T41" s="4">
        <v>46818</v>
      </c>
      <c r="U41" s="4">
        <v>2600000</v>
      </c>
      <c r="V41" s="4"/>
      <c r="W41" s="4"/>
      <c r="X41" s="4">
        <v>2600000</v>
      </c>
      <c r="Y41" s="4">
        <v>2</v>
      </c>
      <c r="Z41" s="6">
        <v>52000</v>
      </c>
      <c r="AA41" s="4"/>
      <c r="AB41" s="4"/>
      <c r="AC41" s="4" t="s">
        <v>78</v>
      </c>
      <c r="AD41" s="4">
        <v>1141072987</v>
      </c>
      <c r="AE41" s="4">
        <v>45734</v>
      </c>
      <c r="AF41" s="4" t="s">
        <v>35</v>
      </c>
      <c r="AG41" s="4">
        <v>0</v>
      </c>
      <c r="AH41" s="4" t="s">
        <v>350</v>
      </c>
      <c r="AI41" s="4"/>
      <c r="AJ41" s="6">
        <v>52000</v>
      </c>
      <c r="AK41" s="4">
        <v>0</v>
      </c>
    </row>
    <row r="42" spans="1:37" x14ac:dyDescent="0.2">
      <c r="A42" s="9">
        <v>41</v>
      </c>
      <c r="B42" s="4" t="s">
        <v>0</v>
      </c>
      <c r="C42" s="4" t="s">
        <v>356</v>
      </c>
      <c r="D42" s="4">
        <v>45689</v>
      </c>
      <c r="E42" s="4" t="s">
        <v>31</v>
      </c>
      <c r="F42" s="4" t="s">
        <v>357</v>
      </c>
      <c r="G42" s="4">
        <v>45715</v>
      </c>
      <c r="H42" s="4">
        <v>46079</v>
      </c>
      <c r="I42" s="4" t="s">
        <v>358</v>
      </c>
      <c r="J42" s="4">
        <v>3610253022667</v>
      </c>
      <c r="K42" s="4" t="s">
        <v>359</v>
      </c>
      <c r="L42" s="4" t="s">
        <v>360</v>
      </c>
      <c r="M42" s="4" t="s">
        <v>361</v>
      </c>
      <c r="N42" s="4" t="s">
        <v>362</v>
      </c>
      <c r="O42" s="4" t="s">
        <v>356</v>
      </c>
      <c r="P42" s="4" t="s">
        <v>33</v>
      </c>
      <c r="Q42" s="4" t="s">
        <v>54</v>
      </c>
      <c r="R42" s="4" t="s">
        <v>363</v>
      </c>
      <c r="S42" s="4">
        <v>45716</v>
      </c>
      <c r="T42" s="4">
        <v>46818</v>
      </c>
      <c r="U42" s="4">
        <v>6000000</v>
      </c>
      <c r="V42" s="4"/>
      <c r="W42" s="4"/>
      <c r="X42" s="4">
        <v>6000000</v>
      </c>
      <c r="Y42" s="4">
        <v>1.5</v>
      </c>
      <c r="Z42" s="6">
        <v>90000</v>
      </c>
      <c r="AA42" s="4"/>
      <c r="AB42" s="4"/>
      <c r="AC42" s="4" t="s">
        <v>78</v>
      </c>
      <c r="AD42" s="4">
        <v>1141072987</v>
      </c>
      <c r="AE42" s="4">
        <v>45734</v>
      </c>
      <c r="AF42" s="4" t="s">
        <v>35</v>
      </c>
      <c r="AG42" s="4">
        <v>0</v>
      </c>
      <c r="AH42" s="4" t="s">
        <v>357</v>
      </c>
      <c r="AI42" s="4"/>
      <c r="AJ42" s="6">
        <v>90000</v>
      </c>
      <c r="AK42" s="4">
        <v>0</v>
      </c>
    </row>
    <row r="43" spans="1:37" x14ac:dyDescent="0.2">
      <c r="A43" s="9">
        <v>42</v>
      </c>
      <c r="B43" s="4" t="s">
        <v>0</v>
      </c>
      <c r="C43" s="4" t="s">
        <v>364</v>
      </c>
      <c r="D43" s="4">
        <v>45689</v>
      </c>
      <c r="E43" s="4" t="s">
        <v>31</v>
      </c>
      <c r="F43" s="4" t="s">
        <v>365</v>
      </c>
      <c r="G43" s="4">
        <v>45694</v>
      </c>
      <c r="H43" s="4">
        <v>46058</v>
      </c>
      <c r="I43" s="4" t="s">
        <v>366</v>
      </c>
      <c r="J43" s="4">
        <v>3530160141979</v>
      </c>
      <c r="K43" s="4" t="s">
        <v>367</v>
      </c>
      <c r="L43" s="4" t="s">
        <v>368</v>
      </c>
      <c r="M43" s="4" t="s">
        <v>369</v>
      </c>
      <c r="N43" s="4" t="s">
        <v>370</v>
      </c>
      <c r="O43" s="4" t="s">
        <v>364</v>
      </c>
      <c r="P43" s="4" t="s">
        <v>33</v>
      </c>
      <c r="Q43" s="4" t="s">
        <v>39</v>
      </c>
      <c r="R43" s="4" t="s">
        <v>371</v>
      </c>
      <c r="S43" s="4">
        <v>45695</v>
      </c>
      <c r="T43" s="4">
        <v>47154</v>
      </c>
      <c r="U43" s="4">
        <v>6000000</v>
      </c>
      <c r="V43" s="4"/>
      <c r="W43" s="4"/>
      <c r="X43" s="4">
        <v>6000000</v>
      </c>
      <c r="Y43" s="4">
        <v>1.5</v>
      </c>
      <c r="Z43" s="6">
        <v>90000</v>
      </c>
      <c r="AA43" s="4"/>
      <c r="AB43" s="4"/>
      <c r="AC43" s="4" t="s">
        <v>78</v>
      </c>
      <c r="AD43" s="4">
        <v>1141072987</v>
      </c>
      <c r="AE43" s="4">
        <v>45734</v>
      </c>
      <c r="AF43" s="4" t="s">
        <v>35</v>
      </c>
      <c r="AG43" s="4">
        <v>5</v>
      </c>
      <c r="AH43" s="4" t="s">
        <v>365</v>
      </c>
      <c r="AI43" s="4"/>
      <c r="AJ43" s="6">
        <v>90000</v>
      </c>
      <c r="AK43" s="4">
        <v>0</v>
      </c>
    </row>
    <row r="44" spans="1:37" x14ac:dyDescent="0.2">
      <c r="A44" s="9">
        <v>43</v>
      </c>
      <c r="B44" s="4" t="s">
        <v>0</v>
      </c>
      <c r="C44" s="4" t="s">
        <v>372</v>
      </c>
      <c r="D44" s="4">
        <v>45689</v>
      </c>
      <c r="E44" s="4" t="s">
        <v>31</v>
      </c>
      <c r="F44" s="4" t="s">
        <v>373</v>
      </c>
      <c r="G44" s="4">
        <v>45715</v>
      </c>
      <c r="H44" s="4">
        <v>46079</v>
      </c>
      <c r="I44" s="4" t="s">
        <v>374</v>
      </c>
      <c r="J44" s="4">
        <v>3630263570635</v>
      </c>
      <c r="K44" s="4" t="s">
        <v>375</v>
      </c>
      <c r="L44" s="4" t="s">
        <v>376</v>
      </c>
      <c r="M44" s="4" t="s">
        <v>377</v>
      </c>
      <c r="N44" s="4" t="s">
        <v>378</v>
      </c>
      <c r="O44" s="4" t="s">
        <v>372</v>
      </c>
      <c r="P44" s="4" t="s">
        <v>33</v>
      </c>
      <c r="Q44" s="4" t="s">
        <v>54</v>
      </c>
      <c r="R44" s="4" t="s">
        <v>379</v>
      </c>
      <c r="S44" s="4">
        <v>45716</v>
      </c>
      <c r="T44" s="4">
        <v>46818</v>
      </c>
      <c r="U44" s="4">
        <v>4300000</v>
      </c>
      <c r="V44" s="4"/>
      <c r="W44" s="4"/>
      <c r="X44" s="4">
        <v>4300000</v>
      </c>
      <c r="Y44" s="4">
        <v>1.5</v>
      </c>
      <c r="Z44" s="6">
        <v>64500</v>
      </c>
      <c r="AA44" s="4"/>
      <c r="AB44" s="4"/>
      <c r="AC44" s="4" t="s">
        <v>78</v>
      </c>
      <c r="AD44" s="4">
        <v>1141072987</v>
      </c>
      <c r="AE44" s="4">
        <v>45734</v>
      </c>
      <c r="AF44" s="4" t="s">
        <v>35</v>
      </c>
      <c r="AG44" s="4">
        <v>0</v>
      </c>
      <c r="AH44" s="4" t="s">
        <v>373</v>
      </c>
      <c r="AI44" s="4"/>
      <c r="AJ44" s="6">
        <v>64500</v>
      </c>
      <c r="AK44" s="4">
        <v>0</v>
      </c>
    </row>
    <row r="45" spans="1:37" x14ac:dyDescent="0.2">
      <c r="A45" s="9">
        <v>44</v>
      </c>
      <c r="B45" s="4" t="s">
        <v>0</v>
      </c>
      <c r="C45" s="4" t="s">
        <v>380</v>
      </c>
      <c r="D45" s="4">
        <v>45689</v>
      </c>
      <c r="E45" s="4" t="s">
        <v>31</v>
      </c>
      <c r="F45" s="4" t="s">
        <v>381</v>
      </c>
      <c r="G45" s="4">
        <v>45715</v>
      </c>
      <c r="H45" s="4">
        <v>46079</v>
      </c>
      <c r="I45" s="4" t="s">
        <v>382</v>
      </c>
      <c r="J45" s="4">
        <v>3520138402433</v>
      </c>
      <c r="K45" s="4" t="s">
        <v>294</v>
      </c>
      <c r="L45" s="4" t="s">
        <v>383</v>
      </c>
      <c r="M45" s="4" t="s">
        <v>384</v>
      </c>
      <c r="N45" s="4" t="s">
        <v>385</v>
      </c>
      <c r="O45" s="4" t="s">
        <v>380</v>
      </c>
      <c r="P45" s="4" t="s">
        <v>33</v>
      </c>
      <c r="Q45" s="4" t="s">
        <v>39</v>
      </c>
      <c r="R45" s="4" t="s">
        <v>386</v>
      </c>
      <c r="S45" s="4">
        <v>45716</v>
      </c>
      <c r="T45" s="4">
        <v>46818</v>
      </c>
      <c r="U45" s="4">
        <v>4200000</v>
      </c>
      <c r="V45" s="4"/>
      <c r="W45" s="4"/>
      <c r="X45" s="4">
        <v>4200000</v>
      </c>
      <c r="Y45" s="4">
        <v>1.5</v>
      </c>
      <c r="Z45" s="6">
        <v>63000</v>
      </c>
      <c r="AA45" s="4"/>
      <c r="AB45" s="4"/>
      <c r="AC45" s="4" t="s">
        <v>78</v>
      </c>
      <c r="AD45" s="4">
        <v>1141072987</v>
      </c>
      <c r="AE45" s="4">
        <v>45734</v>
      </c>
      <c r="AF45" s="4" t="s">
        <v>35</v>
      </c>
      <c r="AG45" s="4">
        <v>0</v>
      </c>
      <c r="AH45" s="4" t="s">
        <v>381</v>
      </c>
      <c r="AI45" s="4"/>
      <c r="AJ45" s="6">
        <v>63000</v>
      </c>
      <c r="AK45" s="4">
        <v>0</v>
      </c>
    </row>
    <row r="46" spans="1:37" x14ac:dyDescent="0.2">
      <c r="A46" s="9">
        <v>45</v>
      </c>
      <c r="B46" s="4" t="s">
        <v>0</v>
      </c>
      <c r="C46" s="4" t="s">
        <v>387</v>
      </c>
      <c r="D46" s="4">
        <v>45689</v>
      </c>
      <c r="E46" s="4" t="s">
        <v>31</v>
      </c>
      <c r="F46" s="4" t="s">
        <v>388</v>
      </c>
      <c r="G46" s="4">
        <v>45716</v>
      </c>
      <c r="H46" s="4">
        <v>46080</v>
      </c>
      <c r="I46" s="4" t="s">
        <v>389</v>
      </c>
      <c r="J46" s="4">
        <v>4220180469421</v>
      </c>
      <c r="K46" s="4" t="s">
        <v>390</v>
      </c>
      <c r="L46" s="4"/>
      <c r="M46" s="4" t="s">
        <v>391</v>
      </c>
      <c r="N46" s="4" t="s">
        <v>392</v>
      </c>
      <c r="O46" s="4" t="s">
        <v>387</v>
      </c>
      <c r="P46" s="4" t="s">
        <v>44</v>
      </c>
      <c r="Q46" s="4" t="s">
        <v>45</v>
      </c>
      <c r="R46" s="4" t="s">
        <v>393</v>
      </c>
      <c r="S46" s="4">
        <v>45716</v>
      </c>
      <c r="T46" s="4">
        <v>46818</v>
      </c>
      <c r="U46" s="4">
        <v>2331000</v>
      </c>
      <c r="V46" s="4"/>
      <c r="W46" s="4"/>
      <c r="X46" s="4">
        <v>2331000</v>
      </c>
      <c r="Y46" s="4">
        <v>2</v>
      </c>
      <c r="Z46" s="6">
        <v>46620</v>
      </c>
      <c r="AA46" s="4"/>
      <c r="AB46" s="4"/>
      <c r="AC46" s="4" t="s">
        <v>78</v>
      </c>
      <c r="AD46" s="4">
        <v>1141072987</v>
      </c>
      <c r="AE46" s="4">
        <v>45734</v>
      </c>
      <c r="AF46" s="4" t="s">
        <v>35</v>
      </c>
      <c r="AG46" s="4">
        <v>0</v>
      </c>
      <c r="AH46" s="4" t="s">
        <v>388</v>
      </c>
      <c r="AI46" s="4"/>
      <c r="AJ46" s="6">
        <v>46620</v>
      </c>
      <c r="AK46" s="4">
        <v>0</v>
      </c>
    </row>
    <row r="47" spans="1:37" x14ac:dyDescent="0.2">
      <c r="A47" s="9">
        <v>46</v>
      </c>
      <c r="B47" s="4" t="s">
        <v>0</v>
      </c>
      <c r="C47" s="4" t="s">
        <v>394</v>
      </c>
      <c r="D47" s="4">
        <v>45689</v>
      </c>
      <c r="E47" s="4" t="s">
        <v>31</v>
      </c>
      <c r="F47" s="4" t="s">
        <v>395</v>
      </c>
      <c r="G47" s="4">
        <v>45716</v>
      </c>
      <c r="H47" s="4">
        <v>46080</v>
      </c>
      <c r="I47" s="4" t="s">
        <v>396</v>
      </c>
      <c r="J47" s="4">
        <v>3520113354509</v>
      </c>
      <c r="K47" s="4" t="s">
        <v>59</v>
      </c>
      <c r="L47" s="4"/>
      <c r="M47" s="4" t="s">
        <v>397</v>
      </c>
      <c r="N47" s="4" t="s">
        <v>398</v>
      </c>
      <c r="O47" s="4" t="s">
        <v>394</v>
      </c>
      <c r="P47" s="4" t="s">
        <v>33</v>
      </c>
      <c r="Q47" s="4" t="s">
        <v>39</v>
      </c>
      <c r="R47" s="4" t="s">
        <v>399</v>
      </c>
      <c r="S47" s="4">
        <v>45716</v>
      </c>
      <c r="T47" s="4">
        <v>46818</v>
      </c>
      <c r="U47" s="4">
        <v>5879000</v>
      </c>
      <c r="V47" s="4"/>
      <c r="W47" s="4"/>
      <c r="X47" s="4">
        <v>5879000</v>
      </c>
      <c r="Y47" s="4">
        <v>1.5</v>
      </c>
      <c r="Z47" s="6">
        <v>88185</v>
      </c>
      <c r="AA47" s="4"/>
      <c r="AB47" s="4"/>
      <c r="AC47" s="4" t="s">
        <v>78</v>
      </c>
      <c r="AD47" s="4">
        <v>1141072987</v>
      </c>
      <c r="AE47" s="4">
        <v>45734</v>
      </c>
      <c r="AF47" s="4" t="s">
        <v>35</v>
      </c>
      <c r="AG47" s="4">
        <v>0</v>
      </c>
      <c r="AH47" s="4" t="s">
        <v>395</v>
      </c>
      <c r="AI47" s="4"/>
      <c r="AJ47" s="6">
        <v>88185</v>
      </c>
      <c r="AK47" s="4">
        <v>0</v>
      </c>
    </row>
    <row r="48" spans="1:37" x14ac:dyDescent="0.2">
      <c r="A48" s="9">
        <v>47</v>
      </c>
      <c r="B48" s="4" t="s">
        <v>0</v>
      </c>
      <c r="C48" s="4" t="s">
        <v>400</v>
      </c>
      <c r="D48" s="4">
        <v>45689</v>
      </c>
      <c r="E48" s="4" t="s">
        <v>31</v>
      </c>
      <c r="F48" s="4" t="s">
        <v>401</v>
      </c>
      <c r="G48" s="4">
        <v>45694</v>
      </c>
      <c r="H48" s="4">
        <v>46058</v>
      </c>
      <c r="I48" s="4" t="s">
        <v>402</v>
      </c>
      <c r="J48" s="4">
        <v>3630333900009</v>
      </c>
      <c r="K48" s="4" t="s">
        <v>43</v>
      </c>
      <c r="L48" s="4" t="s">
        <v>403</v>
      </c>
      <c r="M48" s="4" t="s">
        <v>404</v>
      </c>
      <c r="N48" s="4" t="s">
        <v>405</v>
      </c>
      <c r="O48" s="4" t="s">
        <v>400</v>
      </c>
      <c r="P48" s="4" t="s">
        <v>33</v>
      </c>
      <c r="Q48" s="4" t="s">
        <v>46</v>
      </c>
      <c r="R48" s="4" t="s">
        <v>406</v>
      </c>
      <c r="S48" s="4">
        <v>45698</v>
      </c>
      <c r="T48" s="4">
        <v>47519</v>
      </c>
      <c r="U48" s="4">
        <v>2300000</v>
      </c>
      <c r="V48" s="4"/>
      <c r="W48" s="4"/>
      <c r="X48" s="4">
        <v>2300000</v>
      </c>
      <c r="Y48" s="4">
        <v>2</v>
      </c>
      <c r="Z48" s="6">
        <v>46000</v>
      </c>
      <c r="AA48" s="4"/>
      <c r="AB48" s="4"/>
      <c r="AC48" s="4" t="s">
        <v>78</v>
      </c>
      <c r="AD48" s="4">
        <v>1141072987</v>
      </c>
      <c r="AE48" s="4">
        <v>45734</v>
      </c>
      <c r="AF48" s="4" t="s">
        <v>35</v>
      </c>
      <c r="AG48" s="4">
        <v>5</v>
      </c>
      <c r="AH48" s="4" t="s">
        <v>401</v>
      </c>
      <c r="AI48" s="4"/>
      <c r="AJ48" s="6">
        <v>46000</v>
      </c>
      <c r="AK48" s="4">
        <v>0</v>
      </c>
    </row>
    <row r="49" spans="1:37" x14ac:dyDescent="0.2">
      <c r="A49" s="9">
        <v>48</v>
      </c>
      <c r="B49" s="4" t="s">
        <v>0</v>
      </c>
      <c r="C49" s="4" t="s">
        <v>407</v>
      </c>
      <c r="D49" s="4">
        <v>45689</v>
      </c>
      <c r="E49" s="4" t="s">
        <v>31</v>
      </c>
      <c r="F49" s="4" t="s">
        <v>408</v>
      </c>
      <c r="G49" s="4">
        <v>45695</v>
      </c>
      <c r="H49" s="4">
        <v>46059</v>
      </c>
      <c r="I49" s="4" t="s">
        <v>409</v>
      </c>
      <c r="J49" s="4">
        <v>3520158634513</v>
      </c>
      <c r="K49" s="4" t="s">
        <v>68</v>
      </c>
      <c r="L49" s="4" t="s">
        <v>410</v>
      </c>
      <c r="M49" s="4" t="s">
        <v>411</v>
      </c>
      <c r="N49" s="4" t="s">
        <v>412</v>
      </c>
      <c r="O49" s="4" t="s">
        <v>407</v>
      </c>
      <c r="P49" s="4" t="s">
        <v>33</v>
      </c>
      <c r="Q49" s="4" t="s">
        <v>39</v>
      </c>
      <c r="R49" s="4" t="s">
        <v>413</v>
      </c>
      <c r="S49" s="4">
        <v>45695</v>
      </c>
      <c r="T49" s="4">
        <v>47519</v>
      </c>
      <c r="U49" s="4">
        <v>2707000</v>
      </c>
      <c r="V49" s="4"/>
      <c r="W49" s="4"/>
      <c r="X49" s="4">
        <v>2707000</v>
      </c>
      <c r="Y49" s="4">
        <v>2</v>
      </c>
      <c r="Z49" s="6">
        <v>54140</v>
      </c>
      <c r="AA49" s="4"/>
      <c r="AB49" s="4"/>
      <c r="AC49" s="4" t="s">
        <v>78</v>
      </c>
      <c r="AD49" s="4">
        <v>1141072987</v>
      </c>
      <c r="AE49" s="4">
        <v>45734</v>
      </c>
      <c r="AF49" s="4" t="s">
        <v>35</v>
      </c>
      <c r="AG49" s="4">
        <v>0</v>
      </c>
      <c r="AH49" s="4" t="s">
        <v>408</v>
      </c>
      <c r="AI49" s="4"/>
      <c r="AJ49" s="6">
        <v>54140</v>
      </c>
      <c r="AK49" s="4">
        <v>0</v>
      </c>
    </row>
    <row r="50" spans="1:37" x14ac:dyDescent="0.2">
      <c r="A50" s="9">
        <v>49</v>
      </c>
      <c r="B50" s="4" t="s">
        <v>0</v>
      </c>
      <c r="C50" s="4" t="s">
        <v>414</v>
      </c>
      <c r="D50" s="4">
        <v>45689</v>
      </c>
      <c r="E50" s="4" t="s">
        <v>31</v>
      </c>
      <c r="F50" s="4" t="s">
        <v>415</v>
      </c>
      <c r="G50" s="4">
        <v>45695</v>
      </c>
      <c r="H50" s="4">
        <v>46059</v>
      </c>
      <c r="I50" s="4" t="s">
        <v>416</v>
      </c>
      <c r="J50" s="4">
        <v>3450146225249</v>
      </c>
      <c r="K50" s="4" t="s">
        <v>417</v>
      </c>
      <c r="L50" s="4" t="s">
        <v>418</v>
      </c>
      <c r="M50" s="4" t="s">
        <v>419</v>
      </c>
      <c r="N50" s="4" t="s">
        <v>420</v>
      </c>
      <c r="O50" s="4" t="s">
        <v>414</v>
      </c>
      <c r="P50" s="4" t="s">
        <v>33</v>
      </c>
      <c r="Q50" s="4" t="s">
        <v>34</v>
      </c>
      <c r="R50" s="4" t="s">
        <v>421</v>
      </c>
      <c r="S50" s="4">
        <v>45699</v>
      </c>
      <c r="T50" s="4">
        <v>46788</v>
      </c>
      <c r="U50" s="4">
        <v>4500000</v>
      </c>
      <c r="V50" s="4"/>
      <c r="W50" s="4"/>
      <c r="X50" s="4">
        <v>4500000</v>
      </c>
      <c r="Y50" s="4">
        <v>1.5</v>
      </c>
      <c r="Z50" s="6">
        <v>67500</v>
      </c>
      <c r="AA50" s="4"/>
      <c r="AB50" s="4"/>
      <c r="AC50" s="4" t="s">
        <v>78</v>
      </c>
      <c r="AD50" s="4">
        <v>1141072987</v>
      </c>
      <c r="AE50" s="4">
        <v>45734</v>
      </c>
      <c r="AF50" s="4" t="s">
        <v>35</v>
      </c>
      <c r="AG50" s="4">
        <v>5</v>
      </c>
      <c r="AH50" s="4" t="s">
        <v>415</v>
      </c>
      <c r="AI50" s="4"/>
      <c r="AJ50" s="6">
        <v>67500</v>
      </c>
      <c r="AK50" s="4">
        <v>0</v>
      </c>
    </row>
    <row r="51" spans="1:37" x14ac:dyDescent="0.2">
      <c r="A51" s="9">
        <v>50</v>
      </c>
      <c r="B51" s="4" t="s">
        <v>0</v>
      </c>
      <c r="C51" s="4" t="s">
        <v>422</v>
      </c>
      <c r="D51" s="4">
        <v>45689</v>
      </c>
      <c r="E51" s="4" t="s">
        <v>31</v>
      </c>
      <c r="F51" s="4" t="s">
        <v>423</v>
      </c>
      <c r="G51" s="4">
        <v>45698</v>
      </c>
      <c r="H51" s="4">
        <v>46062</v>
      </c>
      <c r="I51" s="4" t="s">
        <v>424</v>
      </c>
      <c r="J51" s="4">
        <v>3520270617529</v>
      </c>
      <c r="K51" s="4" t="s">
        <v>40</v>
      </c>
      <c r="L51" s="4"/>
      <c r="M51" s="4" t="s">
        <v>425</v>
      </c>
      <c r="N51" s="4" t="s">
        <v>426</v>
      </c>
      <c r="O51" s="4" t="s">
        <v>422</v>
      </c>
      <c r="P51" s="4" t="s">
        <v>33</v>
      </c>
      <c r="Q51" s="4" t="s">
        <v>39</v>
      </c>
      <c r="R51" s="4" t="s">
        <v>427</v>
      </c>
      <c r="S51" s="4">
        <v>45701</v>
      </c>
      <c r="T51" s="4">
        <v>46788</v>
      </c>
      <c r="U51" s="4">
        <v>4719000</v>
      </c>
      <c r="V51" s="4"/>
      <c r="W51" s="4"/>
      <c r="X51" s="4">
        <v>4719000</v>
      </c>
      <c r="Y51" s="4">
        <v>1.25</v>
      </c>
      <c r="Z51" s="6">
        <v>58987.5</v>
      </c>
      <c r="AA51" s="4"/>
      <c r="AB51" s="4"/>
      <c r="AC51" s="4" t="s">
        <v>78</v>
      </c>
      <c r="AD51" s="4">
        <v>1141072987</v>
      </c>
      <c r="AE51" s="4">
        <v>45734</v>
      </c>
      <c r="AF51" s="4" t="s">
        <v>35</v>
      </c>
      <c r="AG51" s="4">
        <v>0</v>
      </c>
      <c r="AH51" s="4" t="s">
        <v>423</v>
      </c>
      <c r="AI51" s="4"/>
      <c r="AJ51" s="6">
        <v>58988</v>
      </c>
      <c r="AK51" s="4">
        <v>0.5</v>
      </c>
    </row>
    <row r="52" spans="1:37" x14ac:dyDescent="0.2">
      <c r="A52" s="9">
        <v>51</v>
      </c>
      <c r="B52" s="4" t="s">
        <v>0</v>
      </c>
      <c r="C52" s="4" t="s">
        <v>428</v>
      </c>
      <c r="D52" s="4">
        <v>45689</v>
      </c>
      <c r="E52" s="4" t="s">
        <v>31</v>
      </c>
      <c r="F52" s="4" t="s">
        <v>429</v>
      </c>
      <c r="G52" s="4">
        <v>45698</v>
      </c>
      <c r="H52" s="4">
        <v>46062</v>
      </c>
      <c r="I52" s="4" t="s">
        <v>430</v>
      </c>
      <c r="J52" s="4">
        <v>3740504766705</v>
      </c>
      <c r="K52" s="4" t="s">
        <v>68</v>
      </c>
      <c r="L52" s="4"/>
      <c r="M52" s="4" t="s">
        <v>431</v>
      </c>
      <c r="N52" s="4" t="s">
        <v>432</v>
      </c>
      <c r="O52" s="4" t="s">
        <v>428</v>
      </c>
      <c r="P52" s="4" t="s">
        <v>33</v>
      </c>
      <c r="Q52" s="4" t="s">
        <v>39</v>
      </c>
      <c r="R52" s="4" t="s">
        <v>433</v>
      </c>
      <c r="S52" s="4">
        <v>45701</v>
      </c>
      <c r="T52" s="4">
        <v>47519</v>
      </c>
      <c r="U52" s="4">
        <v>2707000</v>
      </c>
      <c r="V52" s="4"/>
      <c r="W52" s="4"/>
      <c r="X52" s="4">
        <v>2707000</v>
      </c>
      <c r="Y52" s="4">
        <v>2</v>
      </c>
      <c r="Z52" s="6">
        <v>54140</v>
      </c>
      <c r="AA52" s="4"/>
      <c r="AB52" s="4"/>
      <c r="AC52" s="4" t="s">
        <v>78</v>
      </c>
      <c r="AD52" s="4">
        <v>1141072987</v>
      </c>
      <c r="AE52" s="4">
        <v>45734</v>
      </c>
      <c r="AF52" s="4" t="s">
        <v>35</v>
      </c>
      <c r="AG52" s="4">
        <v>0</v>
      </c>
      <c r="AH52" s="4" t="s">
        <v>429</v>
      </c>
      <c r="AI52" s="4"/>
      <c r="AJ52" s="6">
        <v>54140</v>
      </c>
      <c r="AK52" s="4">
        <v>0</v>
      </c>
    </row>
    <row r="53" spans="1:37" x14ac:dyDescent="0.2">
      <c r="A53" s="9">
        <v>52</v>
      </c>
      <c r="B53" s="4" t="s">
        <v>0</v>
      </c>
      <c r="C53" s="4" t="s">
        <v>434</v>
      </c>
      <c r="D53" s="4">
        <v>45689</v>
      </c>
      <c r="E53" s="4" t="s">
        <v>31</v>
      </c>
      <c r="F53" s="4" t="s">
        <v>435</v>
      </c>
      <c r="G53" s="4">
        <v>45699</v>
      </c>
      <c r="H53" s="4">
        <v>46063</v>
      </c>
      <c r="I53" s="4" t="s">
        <v>436</v>
      </c>
      <c r="J53" s="4">
        <v>3740619143489</v>
      </c>
      <c r="K53" s="4" t="s">
        <v>437</v>
      </c>
      <c r="L53" s="4"/>
      <c r="M53" s="4" t="s">
        <v>438</v>
      </c>
      <c r="N53" s="4" t="s">
        <v>439</v>
      </c>
      <c r="O53" s="4" t="s">
        <v>434</v>
      </c>
      <c r="P53" s="4" t="s">
        <v>33</v>
      </c>
      <c r="Q53" s="4" t="s">
        <v>34</v>
      </c>
      <c r="R53" s="4" t="s">
        <v>440</v>
      </c>
      <c r="S53" s="4">
        <v>45712</v>
      </c>
      <c r="T53" s="4">
        <v>46818</v>
      </c>
      <c r="U53" s="4">
        <v>1856000</v>
      </c>
      <c r="V53" s="4"/>
      <c r="W53" s="4"/>
      <c r="X53" s="4">
        <v>1856000</v>
      </c>
      <c r="Y53" s="4">
        <v>2</v>
      </c>
      <c r="Z53" s="6">
        <v>37120</v>
      </c>
      <c r="AA53" s="4"/>
      <c r="AB53" s="4"/>
      <c r="AC53" s="4" t="s">
        <v>78</v>
      </c>
      <c r="AD53" s="4">
        <v>1141072987</v>
      </c>
      <c r="AE53" s="4">
        <v>45734</v>
      </c>
      <c r="AF53" s="4" t="s">
        <v>35</v>
      </c>
      <c r="AG53" s="4">
        <v>0</v>
      </c>
      <c r="AH53" s="4" t="s">
        <v>435</v>
      </c>
      <c r="AI53" s="4"/>
      <c r="AJ53" s="6">
        <v>37120</v>
      </c>
      <c r="AK53" s="4">
        <v>0</v>
      </c>
    </row>
    <row r="54" spans="1:37" x14ac:dyDescent="0.2">
      <c r="A54" s="9">
        <v>53</v>
      </c>
      <c r="B54" s="4" t="s">
        <v>0</v>
      </c>
      <c r="C54" s="4" t="s">
        <v>441</v>
      </c>
      <c r="D54" s="4">
        <v>45689</v>
      </c>
      <c r="E54" s="4" t="s">
        <v>31</v>
      </c>
      <c r="F54" s="4" t="s">
        <v>442</v>
      </c>
      <c r="G54" s="4">
        <v>45716</v>
      </c>
      <c r="H54" s="4">
        <v>46080</v>
      </c>
      <c r="I54" s="4" t="s">
        <v>443</v>
      </c>
      <c r="J54" s="4">
        <v>3310001504401</v>
      </c>
      <c r="K54" s="4" t="s">
        <v>67</v>
      </c>
      <c r="L54" s="4" t="s">
        <v>444</v>
      </c>
      <c r="M54" s="4" t="s">
        <v>445</v>
      </c>
      <c r="N54" s="4" t="s">
        <v>446</v>
      </c>
      <c r="O54" s="4" t="s">
        <v>441</v>
      </c>
      <c r="P54" s="4" t="s">
        <v>33</v>
      </c>
      <c r="Q54" s="4" t="s">
        <v>46</v>
      </c>
      <c r="R54" s="4" t="s">
        <v>447</v>
      </c>
      <c r="S54" s="4">
        <v>45716</v>
      </c>
      <c r="T54" s="4">
        <v>46451</v>
      </c>
      <c r="U54" s="4">
        <v>5500000</v>
      </c>
      <c r="V54" s="4"/>
      <c r="W54" s="4"/>
      <c r="X54" s="4">
        <v>5500000</v>
      </c>
      <c r="Y54" s="4">
        <v>1.5</v>
      </c>
      <c r="Z54" s="6">
        <v>82500</v>
      </c>
      <c r="AA54" s="4"/>
      <c r="AB54" s="4"/>
      <c r="AC54" s="4" t="s">
        <v>78</v>
      </c>
      <c r="AD54" s="4">
        <v>1141072987</v>
      </c>
      <c r="AE54" s="4">
        <v>45734</v>
      </c>
      <c r="AF54" s="4" t="s">
        <v>35</v>
      </c>
      <c r="AG54" s="4">
        <v>0</v>
      </c>
      <c r="AH54" s="4" t="s">
        <v>442</v>
      </c>
      <c r="AI54" s="4"/>
      <c r="AJ54" s="6">
        <v>82500</v>
      </c>
      <c r="AK54" s="4">
        <v>0</v>
      </c>
    </row>
    <row r="55" spans="1:37" x14ac:dyDescent="0.2">
      <c r="A55" s="9">
        <v>54</v>
      </c>
      <c r="B55" s="4" t="s">
        <v>0</v>
      </c>
      <c r="C55" s="4" t="s">
        <v>448</v>
      </c>
      <c r="D55" s="4">
        <v>45627</v>
      </c>
      <c r="E55" s="4" t="s">
        <v>31</v>
      </c>
      <c r="F55" s="4" t="s">
        <v>449</v>
      </c>
      <c r="G55" s="4">
        <v>45652</v>
      </c>
      <c r="H55" s="4">
        <v>46016</v>
      </c>
      <c r="I55" s="4" t="s">
        <v>450</v>
      </c>
      <c r="J55" s="4">
        <v>6110127817107</v>
      </c>
      <c r="K55" s="4" t="s">
        <v>43</v>
      </c>
      <c r="L55" s="4" t="s">
        <v>451</v>
      </c>
      <c r="M55" s="4" t="s">
        <v>452</v>
      </c>
      <c r="N55" s="4" t="s">
        <v>453</v>
      </c>
      <c r="O55" s="4" t="s">
        <v>448</v>
      </c>
      <c r="P55" s="4" t="s">
        <v>33</v>
      </c>
      <c r="Q55" s="4" t="s">
        <v>34</v>
      </c>
      <c r="R55" s="4" t="s">
        <v>454</v>
      </c>
      <c r="S55" s="4">
        <v>45656</v>
      </c>
      <c r="T55" s="4">
        <v>47488</v>
      </c>
      <c r="U55" s="4">
        <v>1950000</v>
      </c>
      <c r="V55" s="4"/>
      <c r="W55" s="4"/>
      <c r="X55" s="4">
        <v>1950000</v>
      </c>
      <c r="Y55" s="4">
        <v>1</v>
      </c>
      <c r="Z55" s="6">
        <v>19500</v>
      </c>
      <c r="AA55" s="4"/>
      <c r="AB55" s="4"/>
      <c r="AC55" s="4" t="s">
        <v>78</v>
      </c>
      <c r="AD55" s="4">
        <v>1141072987</v>
      </c>
      <c r="AE55" s="4">
        <v>45734</v>
      </c>
      <c r="AF55" s="4" t="s">
        <v>35</v>
      </c>
      <c r="AG55" s="4">
        <v>5</v>
      </c>
      <c r="AH55" s="4" t="s">
        <v>449</v>
      </c>
      <c r="AI55" s="1" t="s">
        <v>2096</v>
      </c>
      <c r="AJ55" s="6">
        <v>39000</v>
      </c>
      <c r="AK55" s="4">
        <v>19500</v>
      </c>
    </row>
    <row r="56" spans="1:37" x14ac:dyDescent="0.2">
      <c r="A56" s="9">
        <v>55</v>
      </c>
      <c r="B56" s="4" t="s">
        <v>0</v>
      </c>
      <c r="C56" s="4" t="s">
        <v>455</v>
      </c>
      <c r="D56" s="4">
        <v>45627</v>
      </c>
      <c r="E56" s="4" t="s">
        <v>31</v>
      </c>
      <c r="F56" s="4" t="s">
        <v>456</v>
      </c>
      <c r="G56" s="4">
        <v>45652</v>
      </c>
      <c r="H56" s="4">
        <v>46016</v>
      </c>
      <c r="I56" s="4" t="s">
        <v>457</v>
      </c>
      <c r="J56" s="4">
        <v>3520294652023</v>
      </c>
      <c r="K56" s="4" t="s">
        <v>59</v>
      </c>
      <c r="L56" s="4"/>
      <c r="M56" s="4" t="s">
        <v>458</v>
      </c>
      <c r="N56" s="4" t="s">
        <v>459</v>
      </c>
      <c r="O56" s="4" t="s">
        <v>455</v>
      </c>
      <c r="P56" s="4" t="s">
        <v>33</v>
      </c>
      <c r="Q56" s="4" t="s">
        <v>39</v>
      </c>
      <c r="R56" s="4" t="s">
        <v>460</v>
      </c>
      <c r="S56" s="4">
        <v>45656</v>
      </c>
      <c r="T56" s="4">
        <v>46757</v>
      </c>
      <c r="U56" s="4">
        <v>4719000</v>
      </c>
      <c r="V56" s="4"/>
      <c r="W56" s="4"/>
      <c r="X56" s="4">
        <v>4719000</v>
      </c>
      <c r="Y56" s="4">
        <v>1.5</v>
      </c>
      <c r="Z56" s="6">
        <v>70785</v>
      </c>
      <c r="AA56" s="4"/>
      <c r="AB56" s="4"/>
      <c r="AC56" s="4" t="s">
        <v>78</v>
      </c>
      <c r="AD56" s="4">
        <v>1141072987</v>
      </c>
      <c r="AE56" s="4">
        <v>45734</v>
      </c>
      <c r="AF56" s="4" t="s">
        <v>35</v>
      </c>
      <c r="AG56" s="4">
        <v>5</v>
      </c>
      <c r="AH56" s="4" t="s">
        <v>456</v>
      </c>
      <c r="AI56" s="4"/>
      <c r="AJ56" s="6">
        <v>70785</v>
      </c>
      <c r="AK56" s="4">
        <v>0</v>
      </c>
    </row>
    <row r="57" spans="1:37" x14ac:dyDescent="0.2">
      <c r="A57" s="9">
        <v>56</v>
      </c>
      <c r="B57" s="4" t="s">
        <v>0</v>
      </c>
      <c r="C57" s="4" t="s">
        <v>461</v>
      </c>
      <c r="D57" s="4">
        <v>45627</v>
      </c>
      <c r="E57" s="4" t="s">
        <v>31</v>
      </c>
      <c r="F57" s="4" t="s">
        <v>462</v>
      </c>
      <c r="G57" s="4">
        <v>45653</v>
      </c>
      <c r="H57" s="4">
        <v>46017</v>
      </c>
      <c r="I57" s="4" t="s">
        <v>463</v>
      </c>
      <c r="J57" s="4">
        <v>3630279378525</v>
      </c>
      <c r="K57" s="4" t="s">
        <v>68</v>
      </c>
      <c r="L57" s="4" t="s">
        <v>464</v>
      </c>
      <c r="M57" s="4" t="s">
        <v>465</v>
      </c>
      <c r="N57" s="4" t="s">
        <v>466</v>
      </c>
      <c r="O57" s="4" t="s">
        <v>461</v>
      </c>
      <c r="P57" s="4" t="s">
        <v>33</v>
      </c>
      <c r="Q57" s="4" t="s">
        <v>54</v>
      </c>
      <c r="R57" s="4" t="s">
        <v>467</v>
      </c>
      <c r="S57" s="4">
        <v>45657</v>
      </c>
      <c r="T57" s="4">
        <v>47123</v>
      </c>
      <c r="U57" s="4">
        <v>2200000</v>
      </c>
      <c r="V57" s="4"/>
      <c r="W57" s="4"/>
      <c r="X57" s="4">
        <v>2200000</v>
      </c>
      <c r="Y57" s="4">
        <v>2</v>
      </c>
      <c r="Z57" s="6">
        <v>44000</v>
      </c>
      <c r="AA57" s="4"/>
      <c r="AB57" s="4"/>
      <c r="AC57" s="4" t="s">
        <v>78</v>
      </c>
      <c r="AD57" s="4">
        <v>1141072987</v>
      </c>
      <c r="AE57" s="4">
        <v>45734</v>
      </c>
      <c r="AF57" s="4" t="s">
        <v>35</v>
      </c>
      <c r="AG57" s="4">
        <v>5</v>
      </c>
      <c r="AH57" s="4" t="s">
        <v>462</v>
      </c>
      <c r="AI57" s="4"/>
      <c r="AJ57" s="6">
        <v>44000</v>
      </c>
      <c r="AK57" s="4">
        <v>0</v>
      </c>
    </row>
    <row r="58" spans="1:37" x14ac:dyDescent="0.2">
      <c r="A58" s="9">
        <v>57</v>
      </c>
      <c r="B58" s="4" t="s">
        <v>0</v>
      </c>
      <c r="C58" s="4" t="s">
        <v>468</v>
      </c>
      <c r="D58" s="4">
        <v>45627</v>
      </c>
      <c r="E58" s="4" t="s">
        <v>31</v>
      </c>
      <c r="F58" s="4" t="s">
        <v>469</v>
      </c>
      <c r="G58" s="4">
        <v>45653</v>
      </c>
      <c r="H58" s="4">
        <v>46017</v>
      </c>
      <c r="I58" s="4" t="s">
        <v>470</v>
      </c>
      <c r="J58" s="4">
        <v>5440039294751</v>
      </c>
      <c r="K58" s="4" t="s">
        <v>471</v>
      </c>
      <c r="L58" s="4" t="s">
        <v>472</v>
      </c>
      <c r="M58" s="4" t="s">
        <v>473</v>
      </c>
      <c r="N58" s="4" t="s">
        <v>474</v>
      </c>
      <c r="O58" s="4" t="s">
        <v>468</v>
      </c>
      <c r="P58" s="4" t="s">
        <v>33</v>
      </c>
      <c r="Q58" s="4" t="s">
        <v>39</v>
      </c>
      <c r="R58" s="4" t="s">
        <v>475</v>
      </c>
      <c r="S58" s="4">
        <v>45657</v>
      </c>
      <c r="T58" s="4">
        <v>47123</v>
      </c>
      <c r="U58" s="4">
        <v>6000000</v>
      </c>
      <c r="V58" s="4"/>
      <c r="W58" s="4"/>
      <c r="X58" s="4">
        <v>6000000</v>
      </c>
      <c r="Y58" s="4">
        <v>1.5</v>
      </c>
      <c r="Z58" s="6">
        <v>90000</v>
      </c>
      <c r="AA58" s="4"/>
      <c r="AB58" s="4"/>
      <c r="AC58" s="4" t="s">
        <v>78</v>
      </c>
      <c r="AD58" s="4">
        <v>1141072987</v>
      </c>
      <c r="AE58" s="4">
        <v>45734</v>
      </c>
      <c r="AF58" s="4" t="s">
        <v>35</v>
      </c>
      <c r="AG58" s="4">
        <v>0</v>
      </c>
      <c r="AH58" s="4" t="s">
        <v>469</v>
      </c>
      <c r="AI58" s="4"/>
      <c r="AJ58" s="6">
        <v>90000</v>
      </c>
      <c r="AK58" s="4">
        <v>0</v>
      </c>
    </row>
    <row r="59" spans="1:37" x14ac:dyDescent="0.2">
      <c r="A59" s="9">
        <v>58</v>
      </c>
      <c r="B59" s="4" t="s">
        <v>0</v>
      </c>
      <c r="C59" s="4" t="s">
        <v>476</v>
      </c>
      <c r="D59" s="4">
        <v>45627</v>
      </c>
      <c r="E59" s="4" t="s">
        <v>31</v>
      </c>
      <c r="F59" s="4" t="s">
        <v>477</v>
      </c>
      <c r="G59" s="4">
        <v>45653</v>
      </c>
      <c r="H59" s="4">
        <v>46017</v>
      </c>
      <c r="I59" s="4" t="s">
        <v>478</v>
      </c>
      <c r="J59" s="4">
        <v>3310262624257</v>
      </c>
      <c r="K59" s="4" t="s">
        <v>41</v>
      </c>
      <c r="L59" s="4" t="s">
        <v>479</v>
      </c>
      <c r="M59" s="4" t="s">
        <v>480</v>
      </c>
      <c r="N59" s="4" t="s">
        <v>481</v>
      </c>
      <c r="O59" s="4" t="s">
        <v>476</v>
      </c>
      <c r="P59" s="4" t="s">
        <v>33</v>
      </c>
      <c r="Q59" s="4" t="s">
        <v>46</v>
      </c>
      <c r="R59" s="4" t="s">
        <v>482</v>
      </c>
      <c r="S59" s="4">
        <v>45657</v>
      </c>
      <c r="T59" s="4">
        <v>47488</v>
      </c>
      <c r="U59" s="4">
        <v>2350000</v>
      </c>
      <c r="V59" s="4"/>
      <c r="W59" s="4"/>
      <c r="X59" s="4">
        <v>2350000</v>
      </c>
      <c r="Y59" s="4">
        <v>2</v>
      </c>
      <c r="Z59" s="6">
        <v>47000</v>
      </c>
      <c r="AA59" s="4"/>
      <c r="AB59" s="4"/>
      <c r="AC59" s="4" t="s">
        <v>78</v>
      </c>
      <c r="AD59" s="4">
        <v>1141072987</v>
      </c>
      <c r="AE59" s="4">
        <v>45734</v>
      </c>
      <c r="AF59" s="4" t="s">
        <v>35</v>
      </c>
      <c r="AG59" s="4">
        <v>5</v>
      </c>
      <c r="AH59" s="4" t="s">
        <v>477</v>
      </c>
      <c r="AI59" s="4"/>
      <c r="AJ59" s="6">
        <v>47000</v>
      </c>
      <c r="AK59" s="4">
        <v>0</v>
      </c>
    </row>
    <row r="60" spans="1:37" x14ac:dyDescent="0.2">
      <c r="A60" s="9">
        <v>59</v>
      </c>
      <c r="B60" s="4" t="s">
        <v>0</v>
      </c>
      <c r="C60" s="4" t="s">
        <v>483</v>
      </c>
      <c r="D60" s="4">
        <v>45627</v>
      </c>
      <c r="E60" s="4" t="s">
        <v>31</v>
      </c>
      <c r="F60" s="4" t="s">
        <v>484</v>
      </c>
      <c r="G60" s="4">
        <v>45656</v>
      </c>
      <c r="H60" s="4">
        <v>46020</v>
      </c>
      <c r="I60" s="4" t="s">
        <v>485</v>
      </c>
      <c r="J60" s="4">
        <v>3310568414283</v>
      </c>
      <c r="K60" s="4" t="s">
        <v>43</v>
      </c>
      <c r="L60" s="4"/>
      <c r="M60" s="4" t="s">
        <v>486</v>
      </c>
      <c r="N60" s="4" t="s">
        <v>487</v>
      </c>
      <c r="O60" s="4" t="s">
        <v>483</v>
      </c>
      <c r="P60" s="4" t="s">
        <v>33</v>
      </c>
      <c r="Q60" s="4" t="s">
        <v>39</v>
      </c>
      <c r="R60" s="4" t="s">
        <v>488</v>
      </c>
      <c r="S60" s="4">
        <v>45660</v>
      </c>
      <c r="T60" s="4">
        <v>47123</v>
      </c>
      <c r="U60" s="4">
        <v>2707000</v>
      </c>
      <c r="V60" s="4"/>
      <c r="W60" s="4"/>
      <c r="X60" s="4">
        <v>2707000</v>
      </c>
      <c r="Y60" s="4">
        <v>2</v>
      </c>
      <c r="Z60" s="6">
        <v>54140</v>
      </c>
      <c r="AA60" s="4"/>
      <c r="AB60" s="4"/>
      <c r="AC60" s="4" t="s">
        <v>78</v>
      </c>
      <c r="AD60" s="4">
        <v>1141072987</v>
      </c>
      <c r="AE60" s="4">
        <v>45734</v>
      </c>
      <c r="AF60" s="4" t="s">
        <v>35</v>
      </c>
      <c r="AG60" s="4">
        <v>5</v>
      </c>
      <c r="AH60" s="4" t="s">
        <v>484</v>
      </c>
      <c r="AI60" s="4"/>
      <c r="AJ60" s="6">
        <v>54140</v>
      </c>
      <c r="AK60" s="4">
        <v>0</v>
      </c>
    </row>
    <row r="61" spans="1:37" x14ac:dyDescent="0.2">
      <c r="A61" s="9">
        <v>60</v>
      </c>
      <c r="B61" s="4" t="s">
        <v>0</v>
      </c>
      <c r="C61" s="4" t="s">
        <v>489</v>
      </c>
      <c r="D61" s="4">
        <v>45627</v>
      </c>
      <c r="E61" s="4" t="s">
        <v>31</v>
      </c>
      <c r="F61" s="4" t="s">
        <v>490</v>
      </c>
      <c r="G61" s="4">
        <v>45656</v>
      </c>
      <c r="H61" s="4">
        <v>46020</v>
      </c>
      <c r="I61" s="4" t="s">
        <v>491</v>
      </c>
      <c r="J61" s="4">
        <v>3520205568531</v>
      </c>
      <c r="K61" s="4" t="s">
        <v>64</v>
      </c>
      <c r="L61" s="4" t="s">
        <v>492</v>
      </c>
      <c r="M61" s="4" t="s">
        <v>493</v>
      </c>
      <c r="N61" s="4" t="s">
        <v>494</v>
      </c>
      <c r="O61" s="4" t="s">
        <v>489</v>
      </c>
      <c r="P61" s="4" t="s">
        <v>33</v>
      </c>
      <c r="Q61" s="4" t="s">
        <v>39</v>
      </c>
      <c r="R61" s="4" t="s">
        <v>495</v>
      </c>
      <c r="S61" s="4">
        <v>45657</v>
      </c>
      <c r="T61" s="4">
        <v>47488</v>
      </c>
      <c r="U61" s="4">
        <v>2600000</v>
      </c>
      <c r="V61" s="4"/>
      <c r="W61" s="4"/>
      <c r="X61" s="4">
        <v>2600000</v>
      </c>
      <c r="Y61" s="4">
        <v>2</v>
      </c>
      <c r="Z61" s="6">
        <v>52000</v>
      </c>
      <c r="AA61" s="4"/>
      <c r="AB61" s="4"/>
      <c r="AC61" s="4" t="s">
        <v>78</v>
      </c>
      <c r="AD61" s="4">
        <v>1141072987</v>
      </c>
      <c r="AE61" s="4">
        <v>45734</v>
      </c>
      <c r="AF61" s="4" t="s">
        <v>35</v>
      </c>
      <c r="AG61" s="4">
        <v>5</v>
      </c>
      <c r="AH61" s="4" t="s">
        <v>490</v>
      </c>
      <c r="AI61" s="4"/>
      <c r="AJ61" s="6">
        <v>52000</v>
      </c>
      <c r="AK61" s="4">
        <v>0</v>
      </c>
    </row>
    <row r="62" spans="1:37" x14ac:dyDescent="0.2">
      <c r="A62" s="9">
        <v>61</v>
      </c>
      <c r="B62" s="4" t="s">
        <v>0</v>
      </c>
      <c r="C62" s="4" t="s">
        <v>496</v>
      </c>
      <c r="D62" s="4">
        <v>45627</v>
      </c>
      <c r="E62" s="4" t="s">
        <v>31</v>
      </c>
      <c r="F62" s="4" t="s">
        <v>497</v>
      </c>
      <c r="G62" s="4">
        <v>45657</v>
      </c>
      <c r="H62" s="4">
        <v>46021</v>
      </c>
      <c r="I62" s="4" t="s">
        <v>498</v>
      </c>
      <c r="J62" s="4">
        <v>4240153927809</v>
      </c>
      <c r="K62" s="4" t="s">
        <v>38</v>
      </c>
      <c r="L62" s="4" t="s">
        <v>499</v>
      </c>
      <c r="M62" s="4" t="s">
        <v>500</v>
      </c>
      <c r="N62" s="4" t="s">
        <v>501</v>
      </c>
      <c r="O62" s="4" t="s">
        <v>496</v>
      </c>
      <c r="P62" s="4" t="s">
        <v>44</v>
      </c>
      <c r="Q62" s="4" t="s">
        <v>45</v>
      </c>
      <c r="R62" s="4" t="s">
        <v>502</v>
      </c>
      <c r="S62" s="4">
        <v>45657</v>
      </c>
      <c r="T62" s="4">
        <v>46757</v>
      </c>
      <c r="U62" s="4">
        <v>4050000</v>
      </c>
      <c r="V62" s="4"/>
      <c r="W62" s="4"/>
      <c r="X62" s="4">
        <v>4050000</v>
      </c>
      <c r="Y62" s="4">
        <v>1.5</v>
      </c>
      <c r="Z62" s="6">
        <v>60750</v>
      </c>
      <c r="AA62" s="4"/>
      <c r="AB62" s="4"/>
      <c r="AC62" s="4" t="s">
        <v>78</v>
      </c>
      <c r="AD62" s="4">
        <v>1141072987</v>
      </c>
      <c r="AE62" s="4">
        <v>45734</v>
      </c>
      <c r="AF62" s="4" t="s">
        <v>35</v>
      </c>
      <c r="AG62" s="4">
        <v>0</v>
      </c>
      <c r="AH62" s="4" t="s">
        <v>497</v>
      </c>
      <c r="AI62" s="4"/>
      <c r="AJ62" s="6">
        <v>60750</v>
      </c>
      <c r="AK62" s="4">
        <v>0</v>
      </c>
    </row>
    <row r="63" spans="1:37" x14ac:dyDescent="0.2">
      <c r="A63" s="9">
        <v>62</v>
      </c>
      <c r="B63" s="4" t="s">
        <v>0</v>
      </c>
      <c r="C63" s="4" t="s">
        <v>503</v>
      </c>
      <c r="D63" s="4">
        <v>45627</v>
      </c>
      <c r="E63" s="4" t="s">
        <v>31</v>
      </c>
      <c r="F63" s="4" t="s">
        <v>504</v>
      </c>
      <c r="G63" s="4">
        <v>45657</v>
      </c>
      <c r="H63" s="4">
        <v>46021</v>
      </c>
      <c r="I63" s="4" t="s">
        <v>505</v>
      </c>
      <c r="J63" s="4">
        <v>4230189888283</v>
      </c>
      <c r="K63" s="4" t="s">
        <v>506</v>
      </c>
      <c r="L63" s="4"/>
      <c r="M63" s="4" t="s">
        <v>507</v>
      </c>
      <c r="N63" s="4" t="s">
        <v>508</v>
      </c>
      <c r="O63" s="4" t="s">
        <v>503</v>
      </c>
      <c r="P63" s="4" t="s">
        <v>33</v>
      </c>
      <c r="Q63" s="4" t="s">
        <v>39</v>
      </c>
      <c r="R63" s="4" t="s">
        <v>509</v>
      </c>
      <c r="S63" s="4">
        <v>45657</v>
      </c>
      <c r="T63" s="4">
        <v>46757</v>
      </c>
      <c r="U63" s="4">
        <v>3800000</v>
      </c>
      <c r="V63" s="4"/>
      <c r="W63" s="4"/>
      <c r="X63" s="4">
        <v>3800000</v>
      </c>
      <c r="Y63" s="4">
        <v>1.5</v>
      </c>
      <c r="Z63" s="6">
        <v>57000</v>
      </c>
      <c r="AA63" s="4"/>
      <c r="AB63" s="4"/>
      <c r="AC63" s="4" t="s">
        <v>78</v>
      </c>
      <c r="AD63" s="4">
        <v>1141072987</v>
      </c>
      <c r="AE63" s="4">
        <v>45734</v>
      </c>
      <c r="AF63" s="4" t="s">
        <v>35</v>
      </c>
      <c r="AG63" s="4">
        <v>5</v>
      </c>
      <c r="AH63" s="4" t="s">
        <v>504</v>
      </c>
      <c r="AI63" s="4"/>
      <c r="AJ63" s="6">
        <v>57000</v>
      </c>
      <c r="AK63" s="4">
        <v>0</v>
      </c>
    </row>
    <row r="64" spans="1:37" x14ac:dyDescent="0.2">
      <c r="A64" s="9">
        <v>63</v>
      </c>
      <c r="B64" s="4" t="s">
        <v>0</v>
      </c>
      <c r="C64" s="4" t="s">
        <v>510</v>
      </c>
      <c r="D64" s="4">
        <v>45627</v>
      </c>
      <c r="E64" s="4" t="s">
        <v>31</v>
      </c>
      <c r="F64" s="4" t="s">
        <v>511</v>
      </c>
      <c r="G64" s="4">
        <v>45657</v>
      </c>
      <c r="H64" s="4">
        <v>46021</v>
      </c>
      <c r="I64" s="4" t="s">
        <v>512</v>
      </c>
      <c r="J64" s="4">
        <v>3520163760799</v>
      </c>
      <c r="K64" s="4" t="s">
        <v>68</v>
      </c>
      <c r="L64" s="4" t="s">
        <v>513</v>
      </c>
      <c r="M64" s="4" t="s">
        <v>514</v>
      </c>
      <c r="N64" s="4" t="s">
        <v>515</v>
      </c>
      <c r="O64" s="4" t="s">
        <v>510</v>
      </c>
      <c r="P64" s="4" t="s">
        <v>33</v>
      </c>
      <c r="Q64" s="4" t="s">
        <v>39</v>
      </c>
      <c r="R64" s="4" t="s">
        <v>516</v>
      </c>
      <c r="S64" s="4">
        <v>45657</v>
      </c>
      <c r="T64" s="4">
        <v>47488</v>
      </c>
      <c r="U64" s="4">
        <v>2200000</v>
      </c>
      <c r="V64" s="4"/>
      <c r="W64" s="4"/>
      <c r="X64" s="4">
        <v>2200000</v>
      </c>
      <c r="Y64" s="4">
        <v>2</v>
      </c>
      <c r="Z64" s="6">
        <v>44000</v>
      </c>
      <c r="AA64" s="4"/>
      <c r="AB64" s="4"/>
      <c r="AC64" s="4" t="s">
        <v>78</v>
      </c>
      <c r="AD64" s="4">
        <v>1141072987</v>
      </c>
      <c r="AE64" s="4">
        <v>45734</v>
      </c>
      <c r="AF64" s="4" t="s">
        <v>35</v>
      </c>
      <c r="AG64" s="4">
        <v>5</v>
      </c>
      <c r="AH64" s="4" t="s">
        <v>511</v>
      </c>
      <c r="AI64" s="4"/>
      <c r="AJ64" s="6">
        <v>44000</v>
      </c>
      <c r="AK64" s="4">
        <v>0</v>
      </c>
    </row>
    <row r="65" spans="1:37" x14ac:dyDescent="0.2">
      <c r="A65" s="9">
        <v>64</v>
      </c>
      <c r="B65" s="4" t="s">
        <v>0</v>
      </c>
      <c r="C65" s="4" t="s">
        <v>517</v>
      </c>
      <c r="D65" s="4">
        <v>45627</v>
      </c>
      <c r="E65" s="4" t="s">
        <v>31</v>
      </c>
      <c r="F65" s="4" t="s">
        <v>518</v>
      </c>
      <c r="G65" s="4">
        <v>45657</v>
      </c>
      <c r="H65" s="4">
        <v>46021</v>
      </c>
      <c r="I65" s="4" t="s">
        <v>519</v>
      </c>
      <c r="J65" s="4">
        <v>3630286339624</v>
      </c>
      <c r="K65" s="4" t="s">
        <v>367</v>
      </c>
      <c r="L65" s="4" t="s">
        <v>520</v>
      </c>
      <c r="M65" s="4" t="s">
        <v>521</v>
      </c>
      <c r="N65" s="4" t="s">
        <v>522</v>
      </c>
      <c r="O65" s="4" t="s">
        <v>517</v>
      </c>
      <c r="P65" s="4" t="s">
        <v>33</v>
      </c>
      <c r="Q65" s="4" t="s">
        <v>39</v>
      </c>
      <c r="R65" s="4" t="s">
        <v>523</v>
      </c>
      <c r="S65" s="4">
        <v>45657</v>
      </c>
      <c r="T65" s="4">
        <v>46757</v>
      </c>
      <c r="U65" s="4">
        <v>5500000</v>
      </c>
      <c r="V65" s="4"/>
      <c r="W65" s="4"/>
      <c r="X65" s="4">
        <v>5500000</v>
      </c>
      <c r="Y65" s="4">
        <v>1.5</v>
      </c>
      <c r="Z65" s="6">
        <v>82500</v>
      </c>
      <c r="AA65" s="4"/>
      <c r="AB65" s="4"/>
      <c r="AC65" s="4" t="s">
        <v>78</v>
      </c>
      <c r="AD65" s="4">
        <v>1141072987</v>
      </c>
      <c r="AE65" s="4">
        <v>45734</v>
      </c>
      <c r="AF65" s="4" t="s">
        <v>35</v>
      </c>
      <c r="AG65" s="4">
        <v>5</v>
      </c>
      <c r="AH65" s="4" t="s">
        <v>518</v>
      </c>
      <c r="AI65" s="4"/>
      <c r="AJ65" s="6">
        <v>82500</v>
      </c>
      <c r="AK65" s="4">
        <v>0</v>
      </c>
    </row>
    <row r="66" spans="1:37" x14ac:dyDescent="0.2">
      <c r="A66" s="9">
        <v>65</v>
      </c>
      <c r="B66" s="4" t="s">
        <v>0</v>
      </c>
      <c r="C66" s="4" t="s">
        <v>524</v>
      </c>
      <c r="D66" s="4">
        <v>45627</v>
      </c>
      <c r="E66" s="4" t="s">
        <v>31</v>
      </c>
      <c r="F66" s="4" t="s">
        <v>525</v>
      </c>
      <c r="G66" s="4">
        <v>45657</v>
      </c>
      <c r="H66" s="4">
        <v>46021</v>
      </c>
      <c r="I66" s="4" t="s">
        <v>526</v>
      </c>
      <c r="J66" s="4">
        <v>3520101418029</v>
      </c>
      <c r="K66" s="4" t="s">
        <v>359</v>
      </c>
      <c r="L66" s="4" t="s">
        <v>527</v>
      </c>
      <c r="M66" s="4" t="s">
        <v>528</v>
      </c>
      <c r="N66" s="4" t="s">
        <v>529</v>
      </c>
      <c r="O66" s="4" t="s">
        <v>524</v>
      </c>
      <c r="P66" s="4" t="s">
        <v>33</v>
      </c>
      <c r="Q66" s="4" t="s">
        <v>39</v>
      </c>
      <c r="R66" s="4" t="s">
        <v>530</v>
      </c>
      <c r="S66" s="4">
        <v>45657</v>
      </c>
      <c r="T66" s="4">
        <v>47123</v>
      </c>
      <c r="U66" s="4">
        <v>4600000</v>
      </c>
      <c r="V66" s="4"/>
      <c r="W66" s="4"/>
      <c r="X66" s="4">
        <v>4600000</v>
      </c>
      <c r="Y66" s="4">
        <v>1.5</v>
      </c>
      <c r="Z66" s="6">
        <v>69000</v>
      </c>
      <c r="AA66" s="4"/>
      <c r="AB66" s="4"/>
      <c r="AC66" s="4" t="s">
        <v>78</v>
      </c>
      <c r="AD66" s="4">
        <v>1141072987</v>
      </c>
      <c r="AE66" s="4">
        <v>45734</v>
      </c>
      <c r="AF66" s="4" t="s">
        <v>35</v>
      </c>
      <c r="AG66" s="4">
        <v>5</v>
      </c>
      <c r="AH66" s="4" t="s">
        <v>525</v>
      </c>
      <c r="AI66" s="4"/>
      <c r="AJ66" s="6">
        <v>69000</v>
      </c>
      <c r="AK66" s="4">
        <v>0</v>
      </c>
    </row>
    <row r="67" spans="1:37" x14ac:dyDescent="0.2">
      <c r="A67" s="9">
        <v>66</v>
      </c>
      <c r="B67" s="4" t="s">
        <v>0</v>
      </c>
      <c r="C67" s="4" t="s">
        <v>531</v>
      </c>
      <c r="D67" s="4">
        <v>45627</v>
      </c>
      <c r="E67" s="4" t="s">
        <v>31</v>
      </c>
      <c r="F67" s="4" t="s">
        <v>532</v>
      </c>
      <c r="G67" s="4">
        <v>45657</v>
      </c>
      <c r="H67" s="4">
        <v>46021</v>
      </c>
      <c r="I67" s="4" t="s">
        <v>533</v>
      </c>
      <c r="J67" s="4">
        <v>3740506002707</v>
      </c>
      <c r="K67" s="4" t="s">
        <v>68</v>
      </c>
      <c r="L67" s="4" t="s">
        <v>534</v>
      </c>
      <c r="M67" s="4" t="s">
        <v>535</v>
      </c>
      <c r="N67" s="4" t="s">
        <v>536</v>
      </c>
      <c r="O67" s="4" t="s">
        <v>531</v>
      </c>
      <c r="P67" s="4" t="s">
        <v>33</v>
      </c>
      <c r="Q67" s="4" t="s">
        <v>34</v>
      </c>
      <c r="R67" s="4" t="s">
        <v>537</v>
      </c>
      <c r="S67" s="4">
        <v>45657</v>
      </c>
      <c r="T67" s="4">
        <v>47123</v>
      </c>
      <c r="U67" s="4">
        <v>1800000</v>
      </c>
      <c r="V67" s="4"/>
      <c r="W67" s="4"/>
      <c r="X67" s="4">
        <v>1800000</v>
      </c>
      <c r="Y67" s="4">
        <v>2</v>
      </c>
      <c r="Z67" s="6">
        <v>36000</v>
      </c>
      <c r="AA67" s="4"/>
      <c r="AB67" s="4"/>
      <c r="AC67" s="4" t="s">
        <v>78</v>
      </c>
      <c r="AD67" s="4">
        <v>1141072987</v>
      </c>
      <c r="AE67" s="4">
        <v>45734</v>
      </c>
      <c r="AF67" s="4" t="s">
        <v>35</v>
      </c>
      <c r="AG67" s="4">
        <v>0</v>
      </c>
      <c r="AH67" s="4" t="s">
        <v>532</v>
      </c>
      <c r="AI67" s="4"/>
      <c r="AJ67" s="6">
        <v>36000</v>
      </c>
      <c r="AK67" s="4">
        <v>0</v>
      </c>
    </row>
    <row r="68" spans="1:37" x14ac:dyDescent="0.2">
      <c r="A68" s="9">
        <v>67</v>
      </c>
      <c r="B68" s="4" t="s">
        <v>0</v>
      </c>
      <c r="C68" s="4" t="s">
        <v>538</v>
      </c>
      <c r="D68" s="4">
        <v>45627</v>
      </c>
      <c r="E68" s="4" t="s">
        <v>31</v>
      </c>
      <c r="F68" s="4" t="s">
        <v>539</v>
      </c>
      <c r="G68" s="4">
        <v>45657</v>
      </c>
      <c r="H68" s="4">
        <v>46021</v>
      </c>
      <c r="I68" s="4" t="s">
        <v>540</v>
      </c>
      <c r="J68" s="4">
        <v>3520262514344</v>
      </c>
      <c r="K68" s="4" t="s">
        <v>56</v>
      </c>
      <c r="L68" s="4" t="s">
        <v>541</v>
      </c>
      <c r="M68" s="4" t="s">
        <v>542</v>
      </c>
      <c r="N68" s="4" t="s">
        <v>543</v>
      </c>
      <c r="O68" s="4" t="s">
        <v>538</v>
      </c>
      <c r="P68" s="4" t="s">
        <v>33</v>
      </c>
      <c r="Q68" s="4" t="s">
        <v>39</v>
      </c>
      <c r="R68" s="4" t="s">
        <v>544</v>
      </c>
      <c r="S68" s="4">
        <v>45657</v>
      </c>
      <c r="T68" s="4">
        <v>46757</v>
      </c>
      <c r="U68" s="4">
        <v>4500000</v>
      </c>
      <c r="V68" s="4"/>
      <c r="W68" s="4"/>
      <c r="X68" s="4">
        <v>4500000</v>
      </c>
      <c r="Y68" s="4">
        <v>1.5</v>
      </c>
      <c r="Z68" s="6">
        <v>67500</v>
      </c>
      <c r="AA68" s="4"/>
      <c r="AB68" s="4"/>
      <c r="AC68" s="4" t="s">
        <v>78</v>
      </c>
      <c r="AD68" s="4">
        <v>1141072987</v>
      </c>
      <c r="AE68" s="4">
        <v>45734</v>
      </c>
      <c r="AF68" s="4" t="s">
        <v>35</v>
      </c>
      <c r="AG68" s="4">
        <v>0</v>
      </c>
      <c r="AH68" s="4" t="s">
        <v>539</v>
      </c>
      <c r="AI68" s="4"/>
      <c r="AJ68" s="6">
        <v>67500</v>
      </c>
      <c r="AK68" s="4">
        <v>0</v>
      </c>
    </row>
    <row r="69" spans="1:37" x14ac:dyDescent="0.2">
      <c r="A69" s="9">
        <v>68</v>
      </c>
      <c r="B69" s="4" t="s">
        <v>0</v>
      </c>
      <c r="C69" s="4" t="s">
        <v>545</v>
      </c>
      <c r="D69" s="4">
        <v>45627</v>
      </c>
      <c r="E69" s="4" t="s">
        <v>31</v>
      </c>
      <c r="F69" s="4" t="s">
        <v>546</v>
      </c>
      <c r="G69" s="4">
        <v>45657</v>
      </c>
      <c r="H69" s="4">
        <v>46021</v>
      </c>
      <c r="I69" s="4" t="s">
        <v>547</v>
      </c>
      <c r="J69" s="4">
        <v>3310024205155</v>
      </c>
      <c r="K69" s="4" t="s">
        <v>56</v>
      </c>
      <c r="L69" s="4" t="s">
        <v>548</v>
      </c>
      <c r="M69" s="4" t="s">
        <v>549</v>
      </c>
      <c r="N69" s="4" t="s">
        <v>550</v>
      </c>
      <c r="O69" s="4" t="s">
        <v>545</v>
      </c>
      <c r="P69" s="4" t="s">
        <v>33</v>
      </c>
      <c r="Q69" s="4" t="s">
        <v>46</v>
      </c>
      <c r="R69" s="4" t="s">
        <v>551</v>
      </c>
      <c r="S69" s="4">
        <v>45657</v>
      </c>
      <c r="T69" s="4">
        <v>46392</v>
      </c>
      <c r="U69" s="4">
        <v>5300000</v>
      </c>
      <c r="V69" s="4"/>
      <c r="W69" s="4"/>
      <c r="X69" s="4">
        <v>5300000</v>
      </c>
      <c r="Y69" s="4">
        <v>1.5</v>
      </c>
      <c r="Z69" s="6">
        <v>79500</v>
      </c>
      <c r="AA69" s="4"/>
      <c r="AB69" s="4"/>
      <c r="AC69" s="4" t="s">
        <v>78</v>
      </c>
      <c r="AD69" s="4">
        <v>1141072987</v>
      </c>
      <c r="AE69" s="4">
        <v>45734</v>
      </c>
      <c r="AF69" s="4" t="s">
        <v>35</v>
      </c>
      <c r="AG69" s="4">
        <v>5</v>
      </c>
      <c r="AH69" s="4" t="s">
        <v>546</v>
      </c>
      <c r="AI69" s="4"/>
      <c r="AJ69" s="6">
        <v>79500</v>
      </c>
      <c r="AK69" s="4">
        <v>0</v>
      </c>
    </row>
    <row r="70" spans="1:37" x14ac:dyDescent="0.2">
      <c r="A70" s="9">
        <v>69</v>
      </c>
      <c r="B70" s="4" t="s">
        <v>0</v>
      </c>
      <c r="C70" s="4" t="s">
        <v>552</v>
      </c>
      <c r="D70" s="4">
        <v>45627</v>
      </c>
      <c r="E70" s="4" t="s">
        <v>31</v>
      </c>
      <c r="F70" s="4" t="s">
        <v>553</v>
      </c>
      <c r="G70" s="4">
        <v>45657</v>
      </c>
      <c r="H70" s="4">
        <v>46021</v>
      </c>
      <c r="I70" s="4" t="s">
        <v>554</v>
      </c>
      <c r="J70" s="4">
        <v>3310289873933</v>
      </c>
      <c r="K70" s="4" t="s">
        <v>32</v>
      </c>
      <c r="L70" s="4" t="s">
        <v>555</v>
      </c>
      <c r="M70" s="4" t="s">
        <v>556</v>
      </c>
      <c r="N70" s="4" t="s">
        <v>557</v>
      </c>
      <c r="O70" s="4" t="s">
        <v>552</v>
      </c>
      <c r="P70" s="4" t="s">
        <v>33</v>
      </c>
      <c r="Q70" s="4" t="s">
        <v>46</v>
      </c>
      <c r="R70" s="4" t="s">
        <v>558</v>
      </c>
      <c r="S70" s="4">
        <v>45657</v>
      </c>
      <c r="T70" s="4">
        <v>47123</v>
      </c>
      <c r="U70" s="4">
        <v>2100000</v>
      </c>
      <c r="V70" s="4"/>
      <c r="W70" s="4"/>
      <c r="X70" s="4">
        <v>2100000</v>
      </c>
      <c r="Y70" s="4">
        <v>2</v>
      </c>
      <c r="Z70" s="6">
        <v>42000</v>
      </c>
      <c r="AA70" s="4"/>
      <c r="AB70" s="4"/>
      <c r="AC70" s="4" t="s">
        <v>78</v>
      </c>
      <c r="AD70" s="4">
        <v>1141072987</v>
      </c>
      <c r="AE70" s="4">
        <v>45734</v>
      </c>
      <c r="AF70" s="4" t="s">
        <v>35</v>
      </c>
      <c r="AG70" s="4">
        <v>5</v>
      </c>
      <c r="AH70" s="4" t="s">
        <v>553</v>
      </c>
      <c r="AI70" s="4"/>
      <c r="AJ70" s="6">
        <v>42000</v>
      </c>
      <c r="AK70" s="4">
        <v>0</v>
      </c>
    </row>
    <row r="71" spans="1:37" x14ac:dyDescent="0.2">
      <c r="A71" s="9">
        <v>70</v>
      </c>
      <c r="B71" s="4" t="s">
        <v>0</v>
      </c>
      <c r="C71" s="4" t="s">
        <v>559</v>
      </c>
      <c r="D71" s="4">
        <v>45627</v>
      </c>
      <c r="E71" s="4" t="s">
        <v>31</v>
      </c>
      <c r="F71" s="4" t="s">
        <v>560</v>
      </c>
      <c r="G71" s="4">
        <v>45657</v>
      </c>
      <c r="H71" s="4">
        <v>46021</v>
      </c>
      <c r="I71" s="4" t="s">
        <v>561</v>
      </c>
      <c r="J71" s="4">
        <v>6110174447453</v>
      </c>
      <c r="K71" s="4" t="s">
        <v>38</v>
      </c>
      <c r="L71" s="4" t="s">
        <v>562</v>
      </c>
      <c r="M71" s="4" t="s">
        <v>563</v>
      </c>
      <c r="N71" s="4" t="s">
        <v>564</v>
      </c>
      <c r="O71" s="4" t="s">
        <v>559</v>
      </c>
      <c r="P71" s="4" t="s">
        <v>33</v>
      </c>
      <c r="Q71" s="4" t="s">
        <v>565</v>
      </c>
      <c r="R71" s="4" t="s">
        <v>566</v>
      </c>
      <c r="S71" s="4">
        <v>45659</v>
      </c>
      <c r="T71" s="4">
        <v>46757</v>
      </c>
      <c r="U71" s="4">
        <v>4500000</v>
      </c>
      <c r="V71" s="4"/>
      <c r="W71" s="4"/>
      <c r="X71" s="4">
        <v>4500000</v>
      </c>
      <c r="Y71" s="4">
        <v>1.5</v>
      </c>
      <c r="Z71" s="6">
        <v>67500</v>
      </c>
      <c r="AA71" s="4"/>
      <c r="AB71" s="4"/>
      <c r="AC71" s="4" t="s">
        <v>78</v>
      </c>
      <c r="AD71" s="4">
        <v>1141072987</v>
      </c>
      <c r="AE71" s="4">
        <v>45734</v>
      </c>
      <c r="AF71" s="4" t="s">
        <v>35</v>
      </c>
      <c r="AG71" s="4">
        <v>0</v>
      </c>
      <c r="AH71" s="4" t="s">
        <v>560</v>
      </c>
      <c r="AI71" s="4"/>
      <c r="AJ71" s="6">
        <v>67500</v>
      </c>
      <c r="AK71" s="4">
        <v>0</v>
      </c>
    </row>
    <row r="72" spans="1:37" x14ac:dyDescent="0.2">
      <c r="A72" s="9">
        <v>71</v>
      </c>
      <c r="B72" s="4" t="s">
        <v>0</v>
      </c>
      <c r="C72" s="4" t="s">
        <v>567</v>
      </c>
      <c r="D72" s="4">
        <v>45627</v>
      </c>
      <c r="E72" s="4" t="s">
        <v>31</v>
      </c>
      <c r="F72" s="4" t="s">
        <v>568</v>
      </c>
      <c r="G72" s="4">
        <v>45657</v>
      </c>
      <c r="H72" s="4">
        <v>46021</v>
      </c>
      <c r="I72" s="4" t="s">
        <v>569</v>
      </c>
      <c r="J72" s="4">
        <v>3740252975197</v>
      </c>
      <c r="K72" s="4" t="s">
        <v>68</v>
      </c>
      <c r="L72" s="4"/>
      <c r="M72" s="4" t="s">
        <v>570</v>
      </c>
      <c r="N72" s="4" t="s">
        <v>571</v>
      </c>
      <c r="O72" s="4" t="s">
        <v>567</v>
      </c>
      <c r="P72" s="4" t="s">
        <v>33</v>
      </c>
      <c r="Q72" s="4" t="s">
        <v>34</v>
      </c>
      <c r="R72" s="4" t="s">
        <v>572</v>
      </c>
      <c r="S72" s="4">
        <v>45663</v>
      </c>
      <c r="T72" s="4">
        <v>47488</v>
      </c>
      <c r="U72" s="4">
        <v>2707000</v>
      </c>
      <c r="V72" s="4"/>
      <c r="W72" s="4"/>
      <c r="X72" s="4">
        <v>2707000</v>
      </c>
      <c r="Y72" s="4">
        <v>2</v>
      </c>
      <c r="Z72" s="6">
        <v>54140</v>
      </c>
      <c r="AA72" s="4"/>
      <c r="AB72" s="4"/>
      <c r="AC72" s="4" t="s">
        <v>78</v>
      </c>
      <c r="AD72" s="4">
        <v>1141072987</v>
      </c>
      <c r="AE72" s="4">
        <v>45734</v>
      </c>
      <c r="AF72" s="4" t="s">
        <v>35</v>
      </c>
      <c r="AG72" s="4">
        <v>5</v>
      </c>
      <c r="AH72" s="4" t="s">
        <v>568</v>
      </c>
      <c r="AI72" s="4"/>
      <c r="AJ72" s="6">
        <v>54140</v>
      </c>
      <c r="AK72" s="4">
        <v>0</v>
      </c>
    </row>
    <row r="73" spans="1:37" x14ac:dyDescent="0.2">
      <c r="A73" s="9">
        <v>72</v>
      </c>
      <c r="B73" s="4" t="s">
        <v>0</v>
      </c>
      <c r="C73" s="4" t="s">
        <v>573</v>
      </c>
      <c r="D73" s="4">
        <v>45627</v>
      </c>
      <c r="E73" s="4" t="s">
        <v>31</v>
      </c>
      <c r="F73" s="4" t="s">
        <v>574</v>
      </c>
      <c r="G73" s="4">
        <v>45657</v>
      </c>
      <c r="H73" s="4">
        <v>46021</v>
      </c>
      <c r="I73" s="4" t="s">
        <v>575</v>
      </c>
      <c r="J73" s="4">
        <v>3310036055107</v>
      </c>
      <c r="K73" s="4" t="s">
        <v>52</v>
      </c>
      <c r="L73" s="4" t="s">
        <v>576</v>
      </c>
      <c r="M73" s="4" t="s">
        <v>577</v>
      </c>
      <c r="N73" s="4" t="s">
        <v>578</v>
      </c>
      <c r="O73" s="4" t="s">
        <v>573</v>
      </c>
      <c r="P73" s="4" t="s">
        <v>33</v>
      </c>
      <c r="Q73" s="4" t="s">
        <v>46</v>
      </c>
      <c r="R73" s="4" t="s">
        <v>579</v>
      </c>
      <c r="S73" s="4">
        <v>45657</v>
      </c>
      <c r="T73" s="4">
        <v>47488</v>
      </c>
      <c r="U73" s="4">
        <v>3300000</v>
      </c>
      <c r="V73" s="4"/>
      <c r="W73" s="4"/>
      <c r="X73" s="4">
        <v>3300000</v>
      </c>
      <c r="Y73" s="4">
        <v>2</v>
      </c>
      <c r="Z73" s="6">
        <v>66000</v>
      </c>
      <c r="AA73" s="4"/>
      <c r="AB73" s="4"/>
      <c r="AC73" s="4" t="s">
        <v>78</v>
      </c>
      <c r="AD73" s="4">
        <v>1141072987</v>
      </c>
      <c r="AE73" s="4">
        <v>45734</v>
      </c>
      <c r="AF73" s="4" t="s">
        <v>35</v>
      </c>
      <c r="AG73" s="4">
        <v>0</v>
      </c>
      <c r="AH73" s="4" t="s">
        <v>574</v>
      </c>
      <c r="AI73" s="4"/>
      <c r="AJ73" s="6">
        <v>66000</v>
      </c>
      <c r="AK73" s="4">
        <v>0</v>
      </c>
    </row>
    <row r="74" spans="1:37" x14ac:dyDescent="0.2">
      <c r="A74" s="9">
        <v>73</v>
      </c>
      <c r="B74" s="4" t="s">
        <v>0</v>
      </c>
      <c r="C74" s="4" t="s">
        <v>580</v>
      </c>
      <c r="D74" s="4">
        <v>45627</v>
      </c>
      <c r="E74" s="4" t="s">
        <v>31</v>
      </c>
      <c r="F74" s="4" t="s">
        <v>581</v>
      </c>
      <c r="G74" s="4">
        <v>45657</v>
      </c>
      <c r="H74" s="4">
        <v>46021</v>
      </c>
      <c r="I74" s="4" t="s">
        <v>582</v>
      </c>
      <c r="J74" s="4">
        <v>3520109588897</v>
      </c>
      <c r="K74" s="4" t="s">
        <v>68</v>
      </c>
      <c r="L74" s="4" t="s">
        <v>583</v>
      </c>
      <c r="M74" s="4" t="s">
        <v>584</v>
      </c>
      <c r="N74" s="4" t="s">
        <v>585</v>
      </c>
      <c r="O74" s="4" t="s">
        <v>580</v>
      </c>
      <c r="P74" s="4" t="s">
        <v>33</v>
      </c>
      <c r="Q74" s="4" t="s">
        <v>39</v>
      </c>
      <c r="R74" s="4" t="s">
        <v>586</v>
      </c>
      <c r="S74" s="4">
        <v>45657</v>
      </c>
      <c r="T74" s="4">
        <v>47488</v>
      </c>
      <c r="U74" s="4">
        <v>2215000</v>
      </c>
      <c r="V74" s="4"/>
      <c r="W74" s="4"/>
      <c r="X74" s="4">
        <v>2215000</v>
      </c>
      <c r="Y74" s="4">
        <v>2</v>
      </c>
      <c r="Z74" s="6">
        <v>44300</v>
      </c>
      <c r="AA74" s="4"/>
      <c r="AB74" s="4"/>
      <c r="AC74" s="4" t="s">
        <v>78</v>
      </c>
      <c r="AD74" s="4">
        <v>1141072987</v>
      </c>
      <c r="AE74" s="4">
        <v>45734</v>
      </c>
      <c r="AF74" s="4" t="s">
        <v>35</v>
      </c>
      <c r="AG74" s="4">
        <v>5</v>
      </c>
      <c r="AH74" s="4" t="s">
        <v>581</v>
      </c>
      <c r="AI74" s="4"/>
      <c r="AJ74" s="6">
        <v>44300</v>
      </c>
      <c r="AK74" s="4">
        <v>0</v>
      </c>
    </row>
    <row r="75" spans="1:37" x14ac:dyDescent="0.2">
      <c r="A75" s="9">
        <v>74</v>
      </c>
      <c r="B75" s="4" t="s">
        <v>0</v>
      </c>
      <c r="C75" s="4" t="s">
        <v>587</v>
      </c>
      <c r="D75" s="4">
        <v>45627</v>
      </c>
      <c r="E75" s="4" t="s">
        <v>31</v>
      </c>
      <c r="F75" s="4" t="s">
        <v>588</v>
      </c>
      <c r="G75" s="4">
        <v>45657</v>
      </c>
      <c r="H75" s="4">
        <v>46021</v>
      </c>
      <c r="I75" s="4" t="s">
        <v>589</v>
      </c>
      <c r="J75" s="4">
        <v>3520298983415</v>
      </c>
      <c r="K75" s="4" t="s">
        <v>38</v>
      </c>
      <c r="L75" s="4" t="s">
        <v>590</v>
      </c>
      <c r="M75" s="4" t="s">
        <v>591</v>
      </c>
      <c r="N75" s="4" t="s">
        <v>592</v>
      </c>
      <c r="O75" s="4" t="s">
        <v>587</v>
      </c>
      <c r="P75" s="4" t="s">
        <v>33</v>
      </c>
      <c r="Q75" s="4" t="s">
        <v>39</v>
      </c>
      <c r="R75" s="4" t="s">
        <v>593</v>
      </c>
      <c r="S75" s="4">
        <v>45657</v>
      </c>
      <c r="T75" s="4">
        <v>46392</v>
      </c>
      <c r="U75" s="4">
        <v>4450000</v>
      </c>
      <c r="V75" s="4"/>
      <c r="W75" s="4"/>
      <c r="X75" s="4">
        <v>4450000</v>
      </c>
      <c r="Y75" s="4">
        <v>1.5</v>
      </c>
      <c r="Z75" s="6">
        <v>66750</v>
      </c>
      <c r="AA75" s="4"/>
      <c r="AB75" s="4"/>
      <c r="AC75" s="4" t="s">
        <v>78</v>
      </c>
      <c r="AD75" s="4">
        <v>1141072987</v>
      </c>
      <c r="AE75" s="4">
        <v>45734</v>
      </c>
      <c r="AF75" s="4" t="s">
        <v>35</v>
      </c>
      <c r="AG75" s="4">
        <v>5</v>
      </c>
      <c r="AH75" s="4" t="s">
        <v>588</v>
      </c>
      <c r="AI75" s="4"/>
      <c r="AJ75" s="6">
        <v>66750</v>
      </c>
      <c r="AK75" s="4">
        <v>0</v>
      </c>
    </row>
    <row r="76" spans="1:37" x14ac:dyDescent="0.2">
      <c r="A76" s="9">
        <v>75</v>
      </c>
      <c r="B76" s="4" t="s">
        <v>0</v>
      </c>
      <c r="C76" s="4" t="s">
        <v>594</v>
      </c>
      <c r="D76" s="4">
        <v>45627</v>
      </c>
      <c r="E76" s="4" t="s">
        <v>31</v>
      </c>
      <c r="F76" s="4" t="s">
        <v>595</v>
      </c>
      <c r="G76" s="4">
        <v>45644</v>
      </c>
      <c r="H76" s="4">
        <v>46008</v>
      </c>
      <c r="I76" s="4" t="s">
        <v>596</v>
      </c>
      <c r="J76" s="4">
        <v>1620134003501</v>
      </c>
      <c r="K76" s="4" t="s">
        <v>69</v>
      </c>
      <c r="L76" s="4"/>
      <c r="M76" s="4" t="s">
        <v>597</v>
      </c>
      <c r="N76" s="4" t="s">
        <v>598</v>
      </c>
      <c r="O76" s="4" t="s">
        <v>594</v>
      </c>
      <c r="P76" s="4" t="s">
        <v>33</v>
      </c>
      <c r="Q76" s="4" t="s">
        <v>34</v>
      </c>
      <c r="R76" s="4" t="s">
        <v>599</v>
      </c>
      <c r="S76" s="4">
        <v>45649</v>
      </c>
      <c r="T76" s="4">
        <v>46757</v>
      </c>
      <c r="U76" s="4">
        <v>1856000</v>
      </c>
      <c r="V76" s="4"/>
      <c r="W76" s="4"/>
      <c r="X76" s="4">
        <v>1856000</v>
      </c>
      <c r="Y76" s="4">
        <v>2</v>
      </c>
      <c r="Z76" s="6">
        <v>37120</v>
      </c>
      <c r="AA76" s="4"/>
      <c r="AB76" s="4"/>
      <c r="AC76" s="4" t="s">
        <v>78</v>
      </c>
      <c r="AD76" s="4">
        <v>1141072987</v>
      </c>
      <c r="AE76" s="4">
        <v>45734</v>
      </c>
      <c r="AF76" s="4" t="s">
        <v>35</v>
      </c>
      <c r="AG76" s="4">
        <v>0</v>
      </c>
      <c r="AH76" s="4" t="s">
        <v>595</v>
      </c>
      <c r="AI76" s="4"/>
      <c r="AJ76" s="6">
        <v>37120</v>
      </c>
      <c r="AK76" s="4">
        <v>0</v>
      </c>
    </row>
    <row r="77" spans="1:37" x14ac:dyDescent="0.2">
      <c r="A77" s="9">
        <v>76</v>
      </c>
      <c r="B77" s="4" t="s">
        <v>0</v>
      </c>
      <c r="C77" s="4" t="s">
        <v>600</v>
      </c>
      <c r="D77" s="4">
        <v>45658</v>
      </c>
      <c r="E77" s="4" t="s">
        <v>31</v>
      </c>
      <c r="F77" s="4" t="s">
        <v>601</v>
      </c>
      <c r="G77" s="4">
        <v>45687</v>
      </c>
      <c r="H77" s="4">
        <v>46051</v>
      </c>
      <c r="I77" s="4" t="s">
        <v>602</v>
      </c>
      <c r="J77" s="4">
        <v>3310062842555</v>
      </c>
      <c r="K77" s="4" t="s">
        <v>43</v>
      </c>
      <c r="L77" s="4"/>
      <c r="M77" s="4" t="s">
        <v>603</v>
      </c>
      <c r="N77" s="4" t="s">
        <v>604</v>
      </c>
      <c r="O77" s="4" t="s">
        <v>600</v>
      </c>
      <c r="P77" s="4" t="s">
        <v>33</v>
      </c>
      <c r="Q77" s="4" t="s">
        <v>46</v>
      </c>
      <c r="R77" s="4" t="s">
        <v>605</v>
      </c>
      <c r="S77" s="4">
        <v>45722</v>
      </c>
      <c r="T77" s="4">
        <v>46818</v>
      </c>
      <c r="U77" s="4">
        <v>2707000</v>
      </c>
      <c r="V77" s="4"/>
      <c r="W77" s="4"/>
      <c r="X77" s="4">
        <v>2707000</v>
      </c>
      <c r="Y77" s="4">
        <v>2</v>
      </c>
      <c r="Z77" s="6">
        <v>54140</v>
      </c>
      <c r="AA77" s="4"/>
      <c r="AB77" s="4"/>
      <c r="AC77" s="4" t="s">
        <v>78</v>
      </c>
      <c r="AD77" s="4">
        <v>1141072987</v>
      </c>
      <c r="AE77" s="4">
        <v>45734</v>
      </c>
      <c r="AF77" s="4" t="s">
        <v>35</v>
      </c>
      <c r="AG77" s="4">
        <v>0</v>
      </c>
      <c r="AH77" s="4" t="s">
        <v>601</v>
      </c>
      <c r="AI77" s="4"/>
      <c r="AJ77" s="6">
        <v>54140</v>
      </c>
      <c r="AK77" s="4">
        <v>0</v>
      </c>
    </row>
    <row r="78" spans="1:37" x14ac:dyDescent="0.2">
      <c r="A78" s="9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11">
        <f>SUM(Z2:Z77)</f>
        <v>4717567.5</v>
      </c>
      <c r="AA78" s="4"/>
      <c r="AB78" s="4"/>
      <c r="AC78" s="4"/>
      <c r="AD78" s="4"/>
      <c r="AE78" s="4"/>
      <c r="AF78" s="4"/>
      <c r="AG78" s="4"/>
      <c r="AH78" s="4"/>
      <c r="AI78" s="4"/>
      <c r="AJ78" s="10">
        <f>SUM(AJ2:AJ77)</f>
        <v>4737068</v>
      </c>
      <c r="AK78" s="4"/>
    </row>
    <row r="80" spans="1:37" x14ac:dyDescent="0.2">
      <c r="AE80" s="3"/>
    </row>
  </sheetData>
  <conditionalFormatting sqref="C1">
    <cfRule type="duplicateValues" dxfId="48" priority="26"/>
    <cfRule type="duplicateValues" dxfId="47" priority="29"/>
    <cfRule type="duplicateValues" dxfId="46" priority="32"/>
    <cfRule type="duplicateValues" dxfId="45" priority="33"/>
    <cfRule type="duplicateValues" dxfId="44" priority="34"/>
  </conditionalFormatting>
  <conditionalFormatting sqref="C2:C18">
    <cfRule type="duplicateValues" dxfId="43" priority="21"/>
    <cfRule type="duplicateValues" dxfId="42" priority="22"/>
  </conditionalFormatting>
  <conditionalFormatting sqref="C19:C70">
    <cfRule type="duplicateValues" dxfId="41" priority="16"/>
    <cfRule type="duplicateValues" dxfId="40" priority="18"/>
  </conditionalFormatting>
  <conditionalFormatting sqref="C71:C74">
    <cfRule type="duplicateValues" dxfId="39" priority="11"/>
    <cfRule type="duplicateValues" dxfId="38" priority="12"/>
  </conditionalFormatting>
  <conditionalFormatting sqref="C75 C77">
    <cfRule type="duplicateValues" dxfId="37" priority="6"/>
    <cfRule type="duplicateValues" dxfId="36" priority="7"/>
  </conditionalFormatting>
  <conditionalFormatting sqref="C76">
    <cfRule type="duplicateValues" dxfId="35" priority="1"/>
    <cfRule type="duplicateValues" dxfId="34" priority="2"/>
  </conditionalFormatting>
  <conditionalFormatting sqref="I1">
    <cfRule type="duplicateValues" dxfId="33" priority="35"/>
  </conditionalFormatting>
  <conditionalFormatting sqref="J1">
    <cfRule type="duplicateValues" dxfId="32" priority="40"/>
    <cfRule type="duplicateValues" dxfId="31" priority="41"/>
  </conditionalFormatting>
  <conditionalFormatting sqref="J19:J70">
    <cfRule type="duplicateValues" dxfId="30" priority="20"/>
  </conditionalFormatting>
  <conditionalFormatting sqref="M2:N18">
    <cfRule type="duplicateValues" dxfId="29" priority="24" stopIfTrue="1"/>
  </conditionalFormatting>
  <conditionalFormatting sqref="M19:N70">
    <cfRule type="duplicateValues" dxfId="28" priority="19" stopIfTrue="1"/>
  </conditionalFormatting>
  <conditionalFormatting sqref="M71:N74">
    <cfRule type="duplicateValues" dxfId="27" priority="14" stopIfTrue="1"/>
  </conditionalFormatting>
  <conditionalFormatting sqref="M75:N75 M77:N77">
    <cfRule type="duplicateValues" dxfId="26" priority="9" stopIfTrue="1"/>
  </conditionalFormatting>
  <conditionalFormatting sqref="M76:N76">
    <cfRule type="duplicateValues" dxfId="25" priority="4" stopIfTrue="1"/>
  </conditionalFormatting>
  <conditionalFormatting sqref="N1">
    <cfRule type="duplicateValues" dxfId="24" priority="36"/>
    <cfRule type="duplicateValues" dxfId="23" priority="39"/>
  </conditionalFormatting>
  <conditionalFormatting sqref="O1">
    <cfRule type="duplicateValues" dxfId="22" priority="27"/>
    <cfRule type="duplicateValues" dxfId="21" priority="28"/>
    <cfRule type="duplicateValues" dxfId="20" priority="30"/>
    <cfRule type="duplicateValues" dxfId="19" priority="31"/>
    <cfRule type="duplicateValues" dxfId="18" priority="37"/>
    <cfRule type="duplicateValues" dxfId="17" priority="38"/>
  </conditionalFormatting>
  <conditionalFormatting sqref="O2:O18">
    <cfRule type="duplicateValues" dxfId="16" priority="23"/>
    <cfRule type="duplicateValues" dxfId="15" priority="25"/>
  </conditionalFormatting>
  <conditionalFormatting sqref="O19:O70">
    <cfRule type="duplicateValues" dxfId="14" priority="17"/>
  </conditionalFormatting>
  <conditionalFormatting sqref="O71:O74">
    <cfRule type="duplicateValues" dxfId="13" priority="13"/>
    <cfRule type="duplicateValues" dxfId="12" priority="15"/>
  </conditionalFormatting>
  <conditionalFormatting sqref="O75 O77">
    <cfRule type="duplicateValues" dxfId="11" priority="8"/>
    <cfRule type="duplicateValues" dxfId="10" priority="10"/>
  </conditionalFormatting>
  <conditionalFormatting sqref="O76">
    <cfRule type="duplicateValues" dxfId="9" priority="3"/>
    <cfRule type="duplicateValues" dxfId="8" priority="5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AF32A-B69D-4E48-AA09-3E48D8922E5D}">
  <dimension ref="A1:H79"/>
  <sheetViews>
    <sheetView topLeftCell="G1" workbookViewId="0">
      <selection sqref="A1:H2"/>
    </sheetView>
  </sheetViews>
  <sheetFormatPr defaultRowHeight="12.75" x14ac:dyDescent="0.2"/>
  <cols>
    <col min="1" max="1" width="41.140625" bestFit="1" customWidth="1"/>
    <col min="2" max="3" width="13.5703125" bestFit="1" customWidth="1"/>
    <col min="4" max="4" width="9.5703125" bestFit="1" customWidth="1"/>
    <col min="5" max="5" width="13.7109375" bestFit="1" customWidth="1"/>
    <col min="6" max="6" width="95" customWidth="1"/>
    <col min="7" max="7" width="87.28515625" customWidth="1"/>
    <col min="8" max="8" width="79.28515625" customWidth="1"/>
  </cols>
  <sheetData>
    <row r="1" spans="1:8" ht="15" x14ac:dyDescent="0.25">
      <c r="A1" s="14" t="s">
        <v>2235</v>
      </c>
      <c r="B1" s="12" t="s">
        <v>2236</v>
      </c>
      <c r="C1" s="12"/>
      <c r="D1" s="15" t="s">
        <v>2237</v>
      </c>
      <c r="E1" s="20" t="s">
        <v>2238</v>
      </c>
      <c r="F1" s="12"/>
      <c r="G1" s="12"/>
      <c r="H1" s="12"/>
    </row>
    <row r="2" spans="1:8" ht="112.5" customHeight="1" x14ac:dyDescent="0.2">
      <c r="A2" s="4" t="s">
        <v>71</v>
      </c>
      <c r="B2" t="str">
        <f>VLOOKUP(A2,policy!B:C,2,0)</f>
        <v>070000177695</v>
      </c>
      <c r="C2" s="6">
        <v>127500</v>
      </c>
      <c r="D2" s="16">
        <f>ROUND(C2,0)</f>
        <v>127500</v>
      </c>
      <c r="E2" s="20" t="s">
        <v>2238</v>
      </c>
      <c r="F2" s="17" t="str">
        <f t="shared" ref="F2:F65" si="0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2" s="18" t="str">
        <f>"('"&amp;E2&amp;"','"&amp;B2&amp;"','"&amp;D2&amp;"',(select max(to_number(i.premium_rcv_detail_code))+1
from ins_premium_det i),'"&amp;D2&amp;"','"&amp;D2&amp;"','02', '11000003','00','Request by Mr. Saqib Saleem 26-Mar-2025 Fresh');"</f>
        <v>('26Mar250058','070000177695','127500',(select max(to_number(i.premium_rcv_detail_code))+1
from ins_premium_det i),'127500','127500','02', '11000003','00','Request by Mr. Saqib Saleem 26-Mar-2025 Fresh');</v>
      </c>
      <c r="H2" s="19" t="str">
        <f>F2&amp;G2</f>
        <v>insert into ins_premium_det (premium_rcv_code,assorted_code, rec_amount,premium_rcv_detail_code,remaining_amt, payrec, mode_code,coinsurance_code,class_cd,it_remarks) values('26Mar250058','070000177695','127500',(select max(to_number(i.premium_rcv_detail_code))+1
from ins_premium_det i),'127500','127500','02', '11000003','00','Request by Mr. Saqib Saleem 26-Mar-2025 Fresh');</v>
      </c>
    </row>
    <row r="3" spans="1:8" ht="89.25" x14ac:dyDescent="0.2">
      <c r="A3" s="4" t="s">
        <v>80</v>
      </c>
      <c r="B3" t="str">
        <f>VLOOKUP(A3,policy!B:C,2,0)</f>
        <v>070000177706</v>
      </c>
      <c r="C3" s="6">
        <v>58500</v>
      </c>
      <c r="D3" s="16">
        <f t="shared" ref="D3:D66" si="1">ROUND(C3,0)</f>
        <v>58500</v>
      </c>
      <c r="E3" s="20" t="s">
        <v>2238</v>
      </c>
      <c r="F3" s="17" t="str">
        <f t="shared" si="0"/>
        <v>insert into ins_premium_det (premium_rcv_code,assorted_code, rec_amount,premium_rcv_detail_code,remaining_amt, payrec, mode_code,coinsurance_code,class_cd,it_remarks) values</v>
      </c>
      <c r="G3" s="18" t="str">
        <f t="shared" ref="G3:G66" si="2">"('"&amp;E3&amp;"','"&amp;B3&amp;"','"&amp;D3&amp;"',(select max(to_number(i.premium_rcv_detail_code))+1
from ins_premium_det i),'"&amp;D3&amp;"','"&amp;D3&amp;"','02', '11000003','00','Request by Mr. Saqib Saleem 26-Mar-2025 Fresh');"</f>
        <v>('26Mar250058','070000177706','58500',(select max(to_number(i.premium_rcv_detail_code))+1
from ins_premium_det i),'58500','58500','02', '11000003','00','Request by Mr. Saqib Saleem 26-Mar-2025 Fresh');</v>
      </c>
      <c r="H3" s="19" t="str">
        <f t="shared" ref="H3:H66" si="3">F3&amp;G3</f>
        <v>insert into ins_premium_det (premium_rcv_code,assorted_code, rec_amount,premium_rcv_detail_code,remaining_amt, payrec, mode_code,coinsurance_code,class_cd,it_remarks) values('26Mar250058','070000177706','58500',(select max(to_number(i.premium_rcv_detail_code))+1
from ins_premium_det i),'58500','58500','02', '11000003','00','Request by Mr. Saqib Saleem 26-Mar-2025 Fresh');</v>
      </c>
    </row>
    <row r="4" spans="1:8" ht="89.25" x14ac:dyDescent="0.2">
      <c r="A4" s="4" t="s">
        <v>87</v>
      </c>
      <c r="B4" t="str">
        <f>VLOOKUP(A4,policy!B:C,2,0)</f>
        <v>070000176617</v>
      </c>
      <c r="C4" s="6">
        <v>58560</v>
      </c>
      <c r="D4" s="16">
        <f t="shared" si="1"/>
        <v>58560</v>
      </c>
      <c r="E4" s="20" t="s">
        <v>2238</v>
      </c>
      <c r="F4" s="17" t="str">
        <f t="shared" si="0"/>
        <v>insert into ins_premium_det (premium_rcv_code,assorted_code, rec_amount,premium_rcv_detail_code,remaining_amt, payrec, mode_code,coinsurance_code,class_cd,it_remarks) values</v>
      </c>
      <c r="G4" s="18" t="str">
        <f t="shared" si="2"/>
        <v>('26Mar250058','070000176617','58560',(select max(to_number(i.premium_rcv_detail_code))+1
from ins_premium_det i),'58560','58560','02', '11000003','00','Request by Mr. Saqib Saleem 26-Mar-2025 Fresh');</v>
      </c>
      <c r="H4" s="19" t="str">
        <f t="shared" si="3"/>
        <v>insert into ins_premium_det (premium_rcv_code,assorted_code, rec_amount,premium_rcv_detail_code,remaining_amt, payrec, mode_code,coinsurance_code,class_cd,it_remarks) values('26Mar250058','070000176617','58560',(select max(to_number(i.premium_rcv_detail_code))+1
from ins_premium_det i),'58560','58560','02', '11000003','00','Request by Mr. Saqib Saleem 26-Mar-2025 Fresh');</v>
      </c>
    </row>
    <row r="5" spans="1:8" ht="89.25" x14ac:dyDescent="0.2">
      <c r="A5" s="4" t="s">
        <v>94</v>
      </c>
      <c r="B5" t="str">
        <f>VLOOKUP(A5,policy!B:C,2,0)</f>
        <v>070000177180</v>
      </c>
      <c r="C5" s="6">
        <v>93000</v>
      </c>
      <c r="D5" s="16">
        <f t="shared" si="1"/>
        <v>93000</v>
      </c>
      <c r="E5" s="20" t="s">
        <v>2238</v>
      </c>
      <c r="F5" s="17" t="str">
        <f t="shared" si="0"/>
        <v>insert into ins_premium_det (premium_rcv_code,assorted_code, rec_amount,premium_rcv_detail_code,remaining_amt, payrec, mode_code,coinsurance_code,class_cd,it_remarks) values</v>
      </c>
      <c r="G5" s="18" t="str">
        <f t="shared" si="2"/>
        <v>('26Mar250058','070000177180','93000',(select max(to_number(i.premium_rcv_detail_code))+1
from ins_premium_det i),'93000','93000','02', '11000003','00','Request by Mr. Saqib Saleem 26-Mar-2025 Fresh');</v>
      </c>
      <c r="H5" s="19" t="str">
        <f t="shared" si="3"/>
        <v>insert into ins_premium_det (premium_rcv_code,assorted_code, rec_amount,premium_rcv_detail_code,remaining_amt, payrec, mode_code,coinsurance_code,class_cd,it_remarks) values('26Mar250058','070000177180','93000',(select max(to_number(i.premium_rcv_detail_code))+1
from ins_premium_det i),'93000','93000','02', '11000003','00','Request by Mr. Saqib Saleem 26-Mar-2025 Fresh');</v>
      </c>
    </row>
    <row r="6" spans="1:8" ht="89.25" x14ac:dyDescent="0.2">
      <c r="A6" s="4" t="s">
        <v>101</v>
      </c>
      <c r="B6" t="str">
        <f>VLOOKUP(A6,policy!B:C,2,0)</f>
        <v>070000177320</v>
      </c>
      <c r="C6" s="6">
        <v>67500</v>
      </c>
      <c r="D6" s="16">
        <f t="shared" si="1"/>
        <v>67500</v>
      </c>
      <c r="E6" s="20" t="s">
        <v>2238</v>
      </c>
      <c r="F6" s="17" t="str">
        <f t="shared" si="0"/>
        <v>insert into ins_premium_det (premium_rcv_code,assorted_code, rec_amount,premium_rcv_detail_code,remaining_amt, payrec, mode_code,coinsurance_code,class_cd,it_remarks) values</v>
      </c>
      <c r="G6" s="18" t="str">
        <f t="shared" si="2"/>
        <v>('26Mar250058','070000177320','67500',(select max(to_number(i.premium_rcv_detail_code))+1
from ins_premium_det i),'67500','67500','02', '11000003','00','Request by Mr. Saqib Saleem 26-Mar-2025 Fresh');</v>
      </c>
      <c r="H6" s="19" t="str">
        <f t="shared" si="3"/>
        <v>insert into ins_premium_det (premium_rcv_code,assorted_code, rec_amount,premium_rcv_detail_code,remaining_amt, payrec, mode_code,coinsurance_code,class_cd,it_remarks) values('26Mar250058','070000177320','67500',(select max(to_number(i.premium_rcv_detail_code))+1
from ins_premium_det i),'67500','67500','02', '11000003','00','Request by Mr. Saqib Saleem 26-Mar-2025 Fresh');</v>
      </c>
    </row>
    <row r="7" spans="1:8" ht="89.25" x14ac:dyDescent="0.2">
      <c r="A7" s="4" t="s">
        <v>109</v>
      </c>
      <c r="B7" t="str">
        <f>VLOOKUP(A7,policy!B:C,2,0)</f>
        <v>070000177654</v>
      </c>
      <c r="C7" s="6">
        <v>60000</v>
      </c>
      <c r="D7" s="16">
        <f t="shared" si="1"/>
        <v>60000</v>
      </c>
      <c r="E7" s="20" t="s">
        <v>2238</v>
      </c>
      <c r="F7" s="17" t="str">
        <f t="shared" si="0"/>
        <v>insert into ins_premium_det (premium_rcv_code,assorted_code, rec_amount,premium_rcv_detail_code,remaining_amt, payrec, mode_code,coinsurance_code,class_cd,it_remarks) values</v>
      </c>
      <c r="G7" s="18" t="str">
        <f t="shared" si="2"/>
        <v>('26Mar250058','070000177654','60000',(select max(to_number(i.premium_rcv_detail_code))+1
from ins_premium_det i),'60000','60000','02', '11000003','00','Request by Mr. Saqib Saleem 26-Mar-2025 Fresh');</v>
      </c>
      <c r="H7" s="19" t="str">
        <f t="shared" si="3"/>
        <v>insert into ins_premium_det (premium_rcv_code,assorted_code, rec_amount,premium_rcv_detail_code,remaining_amt, payrec, mode_code,coinsurance_code,class_cd,it_remarks) values('26Mar250058','070000177654','60000',(select max(to_number(i.premium_rcv_detail_code))+1
from ins_premium_det i),'60000','60000','02', '11000003','00','Request by Mr. Saqib Saleem 26-Mar-2025 Fresh');</v>
      </c>
    </row>
    <row r="8" spans="1:8" ht="89.25" x14ac:dyDescent="0.2">
      <c r="A8" s="4" t="s">
        <v>116</v>
      </c>
      <c r="B8" t="str">
        <f>VLOOKUP(A8,policy!B:C,2,0)</f>
        <v>070000177659</v>
      </c>
      <c r="C8" s="6">
        <v>60000</v>
      </c>
      <c r="D8" s="16">
        <f t="shared" si="1"/>
        <v>60000</v>
      </c>
      <c r="E8" s="20" t="s">
        <v>2238</v>
      </c>
      <c r="F8" s="17" t="str">
        <f t="shared" si="0"/>
        <v>insert into ins_premium_det (premium_rcv_code,assorted_code, rec_amount,premium_rcv_detail_code,remaining_amt, payrec, mode_code,coinsurance_code,class_cd,it_remarks) values</v>
      </c>
      <c r="G8" s="18" t="str">
        <f t="shared" si="2"/>
        <v>('26Mar250058','070000177659','60000',(select max(to_number(i.premium_rcv_detail_code))+1
from ins_premium_det i),'60000','60000','02', '11000003','00','Request by Mr. Saqib Saleem 26-Mar-2025 Fresh');</v>
      </c>
      <c r="H8" s="19" t="str">
        <f t="shared" si="3"/>
        <v>insert into ins_premium_det (premium_rcv_code,assorted_code, rec_amount,premium_rcv_detail_code,remaining_amt, payrec, mode_code,coinsurance_code,class_cd,it_remarks) values('26Mar250058','070000177659','60000',(select max(to_number(i.premium_rcv_detail_code))+1
from ins_premium_det i),'60000','60000','02', '11000003','00','Request by Mr. Saqib Saleem 26-Mar-2025 Fresh');</v>
      </c>
    </row>
    <row r="9" spans="1:8" ht="89.25" x14ac:dyDescent="0.2">
      <c r="A9" s="4" t="s">
        <v>123</v>
      </c>
      <c r="B9" t="str">
        <f>VLOOKUP(A9,policy!B:C,2,0)</f>
        <v>070000177703</v>
      </c>
      <c r="C9" s="6">
        <v>67500</v>
      </c>
      <c r="D9" s="16">
        <f t="shared" si="1"/>
        <v>67500</v>
      </c>
      <c r="E9" s="20" t="s">
        <v>2238</v>
      </c>
      <c r="F9" s="17" t="str">
        <f t="shared" si="0"/>
        <v>insert into ins_premium_det (premium_rcv_code,assorted_code, rec_amount,premium_rcv_detail_code,remaining_amt, payrec, mode_code,coinsurance_code,class_cd,it_remarks) values</v>
      </c>
      <c r="G9" s="18" t="str">
        <f t="shared" si="2"/>
        <v>('26Mar250058','070000177703','67500',(select max(to_number(i.premium_rcv_detail_code))+1
from ins_premium_det i),'67500','67500','02', '11000003','00','Request by Mr. Saqib Saleem 26-Mar-2025 Fresh');</v>
      </c>
      <c r="H9" s="19" t="str">
        <f t="shared" si="3"/>
        <v>insert into ins_premium_det (premium_rcv_code,assorted_code, rec_amount,premium_rcv_detail_code,remaining_amt, payrec, mode_code,coinsurance_code,class_cd,it_remarks) values('26Mar250058','070000177703','67500',(select max(to_number(i.premium_rcv_detail_code))+1
from ins_premium_det i),'67500','67500','02', '11000003','00','Request by Mr. Saqib Saleem 26-Mar-2025 Fresh');</v>
      </c>
    </row>
    <row r="10" spans="1:8" ht="89.25" x14ac:dyDescent="0.2">
      <c r="A10" s="4" t="s">
        <v>130</v>
      </c>
      <c r="B10" t="str">
        <f>VLOOKUP(A10,policy!B:C,2,0)</f>
        <v>070000177713</v>
      </c>
      <c r="C10" s="6">
        <v>75000</v>
      </c>
      <c r="D10" s="16">
        <f t="shared" si="1"/>
        <v>75000</v>
      </c>
      <c r="E10" s="20" t="s">
        <v>2238</v>
      </c>
      <c r="F10" s="17" t="str">
        <f t="shared" si="0"/>
        <v>insert into ins_premium_det (premium_rcv_code,assorted_code, rec_amount,premium_rcv_detail_code,remaining_amt, payrec, mode_code,coinsurance_code,class_cd,it_remarks) values</v>
      </c>
      <c r="G10" s="18" t="str">
        <f t="shared" si="2"/>
        <v>('26Mar250058','070000177713','75000',(select max(to_number(i.premium_rcv_detail_code))+1
from ins_premium_det i),'75000','75000','02', '11000003','00','Request by Mr. Saqib Saleem 26-Mar-2025 Fresh');</v>
      </c>
      <c r="H10" s="19" t="str">
        <f t="shared" si="3"/>
        <v>insert into ins_premium_det (premium_rcv_code,assorted_code, rec_amount,premium_rcv_detail_code,remaining_amt, payrec, mode_code,coinsurance_code,class_cd,it_remarks) values('26Mar250058','070000177713','75000',(select max(to_number(i.premium_rcv_detail_code))+1
from ins_premium_det i),'75000','75000','02', '11000003','00','Request by Mr. Saqib Saleem 26-Mar-2025 Fresh');</v>
      </c>
    </row>
    <row r="11" spans="1:8" ht="89.25" x14ac:dyDescent="0.2">
      <c r="A11" s="4" t="s">
        <v>138</v>
      </c>
      <c r="B11" t="str">
        <f>VLOOKUP(A11,policy!B:C,2,0)</f>
        <v>070000177715</v>
      </c>
      <c r="C11" s="6">
        <v>78000</v>
      </c>
      <c r="D11" s="16">
        <f t="shared" si="1"/>
        <v>78000</v>
      </c>
      <c r="E11" s="20" t="s">
        <v>2238</v>
      </c>
      <c r="F11" s="17" t="str">
        <f t="shared" si="0"/>
        <v>insert into ins_premium_det (premium_rcv_code,assorted_code, rec_amount,premium_rcv_detail_code,remaining_amt, payrec, mode_code,coinsurance_code,class_cd,it_remarks) values</v>
      </c>
      <c r="G11" s="18" t="str">
        <f t="shared" si="2"/>
        <v>('26Mar250058','070000177715','78000',(select max(to_number(i.premium_rcv_detail_code))+1
from ins_premium_det i),'78000','78000','02', '11000003','00','Request by Mr. Saqib Saleem 26-Mar-2025 Fresh');</v>
      </c>
      <c r="H11" s="19" t="str">
        <f t="shared" si="3"/>
        <v>insert into ins_premium_det (premium_rcv_code,assorted_code, rec_amount,premium_rcv_detail_code,remaining_amt, payrec, mode_code,coinsurance_code,class_cd,it_remarks) values('26Mar250058','070000177715','78000',(select max(to_number(i.premium_rcv_detail_code))+1
from ins_premium_det i),'78000','78000','02', '11000003','00','Request by Mr. Saqib Saleem 26-Mar-2025 Fresh');</v>
      </c>
    </row>
    <row r="12" spans="1:8" ht="89.25" x14ac:dyDescent="0.2">
      <c r="A12" s="4" t="s">
        <v>146</v>
      </c>
      <c r="B12" t="str">
        <f>VLOOKUP(A12,policy!B:C,2,0)</f>
        <v>070000177736</v>
      </c>
      <c r="C12" s="6">
        <v>73500</v>
      </c>
      <c r="D12" s="16">
        <f t="shared" si="1"/>
        <v>73500</v>
      </c>
      <c r="E12" s="20" t="s">
        <v>2238</v>
      </c>
      <c r="F12" s="17" t="str">
        <f t="shared" si="0"/>
        <v>insert into ins_premium_det (premium_rcv_code,assorted_code, rec_amount,premium_rcv_detail_code,remaining_amt, payrec, mode_code,coinsurance_code,class_cd,it_remarks) values</v>
      </c>
      <c r="G12" s="18" t="str">
        <f t="shared" si="2"/>
        <v>('26Mar250058','070000177736','73500',(select max(to_number(i.premium_rcv_detail_code))+1
from ins_premium_det i),'73500','73500','02', '11000003','00','Request by Mr. Saqib Saleem 26-Mar-2025 Fresh');</v>
      </c>
      <c r="H12" s="19" t="str">
        <f t="shared" si="3"/>
        <v>insert into ins_premium_det (premium_rcv_code,assorted_code, rec_amount,premium_rcv_detail_code,remaining_amt, payrec, mode_code,coinsurance_code,class_cd,it_remarks) values('26Mar250058','070000177736','73500',(select max(to_number(i.premium_rcv_detail_code))+1
from ins_premium_det i),'73500','73500','02', '11000003','00','Request by Mr. Saqib Saleem 26-Mar-2025 Fresh');</v>
      </c>
    </row>
    <row r="13" spans="1:8" ht="89.25" x14ac:dyDescent="0.2">
      <c r="A13" s="4" t="s">
        <v>154</v>
      </c>
      <c r="B13" t="str">
        <f>VLOOKUP(A13,policy!B:C,2,0)</f>
        <v>070000177739</v>
      </c>
      <c r="C13" s="6">
        <v>70785</v>
      </c>
      <c r="D13" s="16">
        <f t="shared" si="1"/>
        <v>70785</v>
      </c>
      <c r="E13" s="20" t="s">
        <v>2238</v>
      </c>
      <c r="F13" s="17" t="str">
        <f t="shared" si="0"/>
        <v>insert into ins_premium_det (premium_rcv_code,assorted_code, rec_amount,premium_rcv_detail_code,remaining_amt, payrec, mode_code,coinsurance_code,class_cd,it_remarks) values</v>
      </c>
      <c r="G13" s="18" t="str">
        <f t="shared" si="2"/>
        <v>('26Mar250058','070000177739','70785',(select max(to_number(i.premium_rcv_detail_code))+1
from ins_premium_det i),'70785','70785','02', '11000003','00','Request by Mr. Saqib Saleem 26-Mar-2025 Fresh');</v>
      </c>
      <c r="H13" s="19" t="str">
        <f t="shared" si="3"/>
        <v>insert into ins_premium_det (premium_rcv_code,assorted_code, rec_amount,premium_rcv_detail_code,remaining_amt, payrec, mode_code,coinsurance_code,class_cd,it_remarks) values('26Mar250058','070000177739','70785',(select max(to_number(i.premium_rcv_detail_code))+1
from ins_premium_det i),'70785','70785','02', '11000003','00','Request by Mr. Saqib Saleem 26-Mar-2025 Fresh');</v>
      </c>
    </row>
    <row r="14" spans="1:8" ht="89.25" x14ac:dyDescent="0.2">
      <c r="A14" s="4" t="s">
        <v>160</v>
      </c>
      <c r="B14" t="str">
        <f>VLOOKUP(A14,policy!B:C,2,0)</f>
        <v>070000177742</v>
      </c>
      <c r="C14" s="6">
        <v>71400</v>
      </c>
      <c r="D14" s="16">
        <f t="shared" si="1"/>
        <v>71400</v>
      </c>
      <c r="E14" s="20" t="s">
        <v>2238</v>
      </c>
      <c r="F14" s="17" t="str">
        <f t="shared" si="0"/>
        <v>insert into ins_premium_det (premium_rcv_code,assorted_code, rec_amount,premium_rcv_detail_code,remaining_amt, payrec, mode_code,coinsurance_code,class_cd,it_remarks) values</v>
      </c>
      <c r="G14" s="18" t="str">
        <f t="shared" si="2"/>
        <v>('26Mar250058','070000177742','71400',(select max(to_number(i.premium_rcv_detail_code))+1
from ins_premium_det i),'71400','71400','02', '11000003','00','Request by Mr. Saqib Saleem 26-Mar-2025 Fresh');</v>
      </c>
      <c r="H14" s="19" t="str">
        <f t="shared" si="3"/>
        <v>insert into ins_premium_det (premium_rcv_code,assorted_code, rec_amount,premium_rcv_detail_code,remaining_amt, payrec, mode_code,coinsurance_code,class_cd,it_remarks) values('26Mar250058','070000177742','71400',(select max(to_number(i.premium_rcv_detail_code))+1
from ins_premium_det i),'71400','71400','02', '11000003','00','Request by Mr. Saqib Saleem 26-Mar-2025 Fresh');</v>
      </c>
    </row>
    <row r="15" spans="1:8" ht="89.25" x14ac:dyDescent="0.2">
      <c r="A15" s="4" t="s">
        <v>167</v>
      </c>
      <c r="B15" t="str">
        <f>VLOOKUP(A15,policy!B:C,2,0)</f>
        <v>070000177712</v>
      </c>
      <c r="C15" s="6">
        <v>51800</v>
      </c>
      <c r="D15" s="16">
        <f t="shared" si="1"/>
        <v>51800</v>
      </c>
      <c r="E15" s="20" t="s">
        <v>2238</v>
      </c>
      <c r="F15" s="17" t="str">
        <f t="shared" si="0"/>
        <v>insert into ins_premium_det (premium_rcv_code,assorted_code, rec_amount,premium_rcv_detail_code,remaining_amt, payrec, mode_code,coinsurance_code,class_cd,it_remarks) values</v>
      </c>
      <c r="G15" s="18" t="str">
        <f t="shared" si="2"/>
        <v>('26Mar250058','070000177712','51800',(select max(to_number(i.premium_rcv_detail_code))+1
from ins_premium_det i),'51800','51800','02', '11000003','00','Request by Mr. Saqib Saleem 26-Mar-2025 Fresh');</v>
      </c>
      <c r="H15" s="19" t="str">
        <f t="shared" si="3"/>
        <v>insert into ins_premium_det (premium_rcv_code,assorted_code, rec_amount,premium_rcv_detail_code,remaining_amt, payrec, mode_code,coinsurance_code,class_cd,it_remarks) values('26Mar250058','070000177712','51800',(select max(to_number(i.premium_rcv_detail_code))+1
from ins_premium_det i),'51800','51800','02', '11000003','00','Request by Mr. Saqib Saleem 26-Mar-2025 Fresh');</v>
      </c>
    </row>
    <row r="16" spans="1:8" ht="89.25" x14ac:dyDescent="0.2">
      <c r="A16" s="4" t="s">
        <v>174</v>
      </c>
      <c r="B16" t="str">
        <f>VLOOKUP(A16,policy!B:C,2,0)</f>
        <v>070000177767</v>
      </c>
      <c r="C16" s="6">
        <v>50000</v>
      </c>
      <c r="D16" s="16">
        <f t="shared" si="1"/>
        <v>50000</v>
      </c>
      <c r="E16" s="20" t="s">
        <v>2238</v>
      </c>
      <c r="F16" s="17" t="str">
        <f t="shared" si="0"/>
        <v>insert into ins_premium_det (premium_rcv_code,assorted_code, rec_amount,premium_rcv_detail_code,remaining_amt, payrec, mode_code,coinsurance_code,class_cd,it_remarks) values</v>
      </c>
      <c r="G16" s="18" t="str">
        <f t="shared" si="2"/>
        <v>('26Mar250058','070000177767','50000',(select max(to_number(i.premium_rcv_detail_code))+1
from ins_premium_det i),'50000','50000','02', '11000003','00','Request by Mr. Saqib Saleem 26-Mar-2025 Fresh');</v>
      </c>
      <c r="H16" s="19" t="str">
        <f t="shared" si="3"/>
        <v>insert into ins_premium_det (premium_rcv_code,assorted_code, rec_amount,premium_rcv_detail_code,remaining_amt, payrec, mode_code,coinsurance_code,class_cd,it_remarks) values('26Mar250058','070000177767','50000',(select max(to_number(i.premium_rcv_detail_code))+1
from ins_premium_det i),'50000','50000','02', '11000003','00','Request by Mr. Saqib Saleem 26-Mar-2025 Fresh');</v>
      </c>
    </row>
    <row r="17" spans="1:8" ht="89.25" x14ac:dyDescent="0.2">
      <c r="A17" s="4" t="s">
        <v>183</v>
      </c>
      <c r="B17" t="str">
        <f>VLOOKUP(A17,policy!B:C,2,0)</f>
        <v>070000176369</v>
      </c>
      <c r="C17" s="6">
        <v>70785</v>
      </c>
      <c r="D17" s="16">
        <f t="shared" si="1"/>
        <v>70785</v>
      </c>
      <c r="E17" s="20" t="s">
        <v>2238</v>
      </c>
      <c r="F17" s="17" t="str">
        <f t="shared" si="0"/>
        <v>insert into ins_premium_det (premium_rcv_code,assorted_code, rec_amount,premium_rcv_detail_code,remaining_amt, payrec, mode_code,coinsurance_code,class_cd,it_remarks) values</v>
      </c>
      <c r="G17" s="18" t="str">
        <f t="shared" si="2"/>
        <v>('26Mar250058','070000176369','70785',(select max(to_number(i.premium_rcv_detail_code))+1
from ins_premium_det i),'70785','70785','02', '11000003','00','Request by Mr. Saqib Saleem 26-Mar-2025 Fresh');</v>
      </c>
      <c r="H17" s="19" t="str">
        <f t="shared" si="3"/>
        <v>insert into ins_premium_det (premium_rcv_code,assorted_code, rec_amount,premium_rcv_detail_code,remaining_amt, payrec, mode_code,coinsurance_code,class_cd,it_remarks) values('26Mar250058','070000176369','70785',(select max(to_number(i.premium_rcv_detail_code))+1
from ins_premium_det i),'70785','70785','02', '11000003','00','Request by Mr. Saqib Saleem 26-Mar-2025 Fresh');</v>
      </c>
    </row>
    <row r="18" spans="1:8" ht="89.25" x14ac:dyDescent="0.2">
      <c r="A18" s="4" t="s">
        <v>189</v>
      </c>
      <c r="B18" t="str">
        <f>VLOOKUP(A18,policy!B:C,2,0)</f>
        <v>070000176575</v>
      </c>
      <c r="C18" s="6">
        <v>54140</v>
      </c>
      <c r="D18" s="16">
        <f t="shared" si="1"/>
        <v>54140</v>
      </c>
      <c r="E18" s="20" t="s">
        <v>2238</v>
      </c>
      <c r="F18" s="17" t="str">
        <f t="shared" si="0"/>
        <v>insert into ins_premium_det (premium_rcv_code,assorted_code, rec_amount,premium_rcv_detail_code,remaining_amt, payrec, mode_code,coinsurance_code,class_cd,it_remarks) values</v>
      </c>
      <c r="G18" s="18" t="str">
        <f t="shared" si="2"/>
        <v>('26Mar250058','070000176575','54140',(select max(to_number(i.premium_rcv_detail_code))+1
from ins_premium_det i),'54140','54140','02', '11000003','00','Request by Mr. Saqib Saleem 26-Mar-2025 Fresh');</v>
      </c>
      <c r="H18" s="19" t="str">
        <f t="shared" si="3"/>
        <v>insert into ins_premium_det (premium_rcv_code,assorted_code, rec_amount,premium_rcv_detail_code,remaining_amt, payrec, mode_code,coinsurance_code,class_cd,it_remarks) values('26Mar250058','070000176575','54140',(select max(to_number(i.premium_rcv_detail_code))+1
from ins_premium_det i),'54140','54140','02', '11000003','00','Request by Mr. Saqib Saleem 26-Mar-2025 Fresh');</v>
      </c>
    </row>
    <row r="19" spans="1:8" ht="89.25" x14ac:dyDescent="0.2">
      <c r="A19" s="4" t="s">
        <v>195</v>
      </c>
      <c r="B19" t="str">
        <f>VLOOKUP(A19,policy!B:C,2,0)</f>
        <v>070000176579</v>
      </c>
      <c r="C19" s="6">
        <v>68610</v>
      </c>
      <c r="D19" s="16">
        <f t="shared" si="1"/>
        <v>68610</v>
      </c>
      <c r="E19" s="20" t="s">
        <v>2238</v>
      </c>
      <c r="F19" s="17" t="str">
        <f t="shared" si="0"/>
        <v>insert into ins_premium_det (premium_rcv_code,assorted_code, rec_amount,premium_rcv_detail_code,remaining_amt, payrec, mode_code,coinsurance_code,class_cd,it_remarks) values</v>
      </c>
      <c r="G19" s="18" t="str">
        <f t="shared" si="2"/>
        <v>('26Mar250058','070000176579','68610',(select max(to_number(i.premium_rcv_detail_code))+1
from ins_premium_det i),'68610','68610','02', '11000003','00','Request by Mr. Saqib Saleem 26-Mar-2025 Fresh');</v>
      </c>
      <c r="H19" s="19" t="str">
        <f t="shared" si="3"/>
        <v>insert into ins_premium_det (premium_rcv_code,assorted_code, rec_amount,premium_rcv_detail_code,remaining_amt, payrec, mode_code,coinsurance_code,class_cd,it_remarks) values('26Mar250058','070000176579','68610',(select max(to_number(i.premium_rcv_detail_code))+1
from ins_premium_det i),'68610','68610','02', '11000003','00','Request by Mr. Saqib Saleem 26-Mar-2025 Fresh');</v>
      </c>
    </row>
    <row r="20" spans="1:8" ht="89.25" x14ac:dyDescent="0.2">
      <c r="A20" s="4" t="s">
        <v>202</v>
      </c>
      <c r="B20" t="str">
        <f>VLOOKUP(A20,policy!B:C,2,0)</f>
        <v>070000176608</v>
      </c>
      <c r="C20" s="6">
        <v>57000</v>
      </c>
      <c r="D20" s="16">
        <f t="shared" si="1"/>
        <v>57000</v>
      </c>
      <c r="E20" s="20" t="s">
        <v>2238</v>
      </c>
      <c r="F20" s="17" t="str">
        <f t="shared" si="0"/>
        <v>insert into ins_premium_det (premium_rcv_code,assorted_code, rec_amount,premium_rcv_detail_code,remaining_amt, payrec, mode_code,coinsurance_code,class_cd,it_remarks) values</v>
      </c>
      <c r="G20" s="18" t="str">
        <f t="shared" si="2"/>
        <v>('26Mar250058','070000176608','57000',(select max(to_number(i.premium_rcv_detail_code))+1
from ins_premium_det i),'57000','57000','02', '11000003','00','Request by Mr. Saqib Saleem 26-Mar-2025 Fresh');</v>
      </c>
      <c r="H20" s="19" t="str">
        <f t="shared" si="3"/>
        <v>insert into ins_premium_det (premium_rcv_code,assorted_code, rec_amount,premium_rcv_detail_code,remaining_amt, payrec, mode_code,coinsurance_code,class_cd,it_remarks) values('26Mar250058','070000176608','57000',(select max(to_number(i.premium_rcv_detail_code))+1
from ins_premium_det i),'57000','57000','02', '11000003','00','Request by Mr. Saqib Saleem 26-Mar-2025 Fresh');</v>
      </c>
    </row>
    <row r="21" spans="1:8" ht="89.25" x14ac:dyDescent="0.2">
      <c r="A21" s="4" t="s">
        <v>210</v>
      </c>
      <c r="B21" t="str">
        <f>VLOOKUP(A21,policy!B:C,2,0)</f>
        <v>070000176609</v>
      </c>
      <c r="C21" s="6">
        <v>54000</v>
      </c>
      <c r="D21" s="16">
        <f t="shared" si="1"/>
        <v>54000</v>
      </c>
      <c r="E21" s="20" t="s">
        <v>2238</v>
      </c>
      <c r="F21" s="17" t="str">
        <f t="shared" si="0"/>
        <v>insert into ins_premium_det (premium_rcv_code,assorted_code, rec_amount,premium_rcv_detail_code,remaining_amt, payrec, mode_code,coinsurance_code,class_cd,it_remarks) values</v>
      </c>
      <c r="G21" s="18" t="str">
        <f t="shared" si="2"/>
        <v>('26Mar250058','070000176609','54000',(select max(to_number(i.premium_rcv_detail_code))+1
from ins_premium_det i),'54000','54000','02', '11000003','00','Request by Mr. Saqib Saleem 26-Mar-2025 Fresh');</v>
      </c>
      <c r="H21" s="19" t="str">
        <f t="shared" si="3"/>
        <v>insert into ins_premium_det (premium_rcv_code,assorted_code, rec_amount,premium_rcv_detail_code,remaining_amt, payrec, mode_code,coinsurance_code,class_cd,it_remarks) values('26Mar250058','070000176609','54000',(select max(to_number(i.premium_rcv_detail_code))+1
from ins_premium_det i),'54000','54000','02', '11000003','00','Request by Mr. Saqib Saleem 26-Mar-2025 Fresh');</v>
      </c>
    </row>
    <row r="22" spans="1:8" ht="89.25" x14ac:dyDescent="0.2">
      <c r="A22" s="4" t="s">
        <v>217</v>
      </c>
      <c r="B22" t="str">
        <f>VLOOKUP(A22,policy!B:C,2,0)</f>
        <v>070000176612</v>
      </c>
      <c r="C22" s="6">
        <v>70785</v>
      </c>
      <c r="D22" s="16">
        <f t="shared" si="1"/>
        <v>70785</v>
      </c>
      <c r="E22" s="20" t="s">
        <v>2238</v>
      </c>
      <c r="F22" s="17" t="str">
        <f t="shared" si="0"/>
        <v>insert into ins_premium_det (premium_rcv_code,assorted_code, rec_amount,premium_rcv_detail_code,remaining_amt, payrec, mode_code,coinsurance_code,class_cd,it_remarks) values</v>
      </c>
      <c r="G22" s="18" t="str">
        <f t="shared" si="2"/>
        <v>('26Mar250058','070000176612','70785',(select max(to_number(i.premium_rcv_detail_code))+1
from ins_premium_det i),'70785','70785','02', '11000003','00','Request by Mr. Saqib Saleem 26-Mar-2025 Fresh');</v>
      </c>
      <c r="H22" s="19" t="str">
        <f t="shared" si="3"/>
        <v>insert into ins_premium_det (premium_rcv_code,assorted_code, rec_amount,premium_rcv_detail_code,remaining_amt, payrec, mode_code,coinsurance_code,class_cd,it_remarks) values('26Mar250058','070000176612','70785',(select max(to_number(i.premium_rcv_detail_code))+1
from ins_premium_det i),'70785','70785','02', '11000003','00','Request by Mr. Saqib Saleem 26-Mar-2025 Fresh');</v>
      </c>
    </row>
    <row r="23" spans="1:8" ht="89.25" x14ac:dyDescent="0.2">
      <c r="A23" s="4" t="s">
        <v>223</v>
      </c>
      <c r="B23" t="str">
        <f>VLOOKUP(A23,policy!B:C,2,0)</f>
        <v>070000176613</v>
      </c>
      <c r="C23" s="6">
        <v>55500</v>
      </c>
      <c r="D23" s="16">
        <f t="shared" si="1"/>
        <v>55500</v>
      </c>
      <c r="E23" s="20" t="s">
        <v>2238</v>
      </c>
      <c r="F23" s="17" t="str">
        <f t="shared" si="0"/>
        <v>insert into ins_premium_det (premium_rcv_code,assorted_code, rec_amount,premium_rcv_detail_code,remaining_amt, payrec, mode_code,coinsurance_code,class_cd,it_remarks) values</v>
      </c>
      <c r="G23" s="18" t="str">
        <f t="shared" si="2"/>
        <v>('26Mar250058','070000176613','55500',(select max(to_number(i.premium_rcv_detail_code))+1
from ins_premium_det i),'55500','55500','02', '11000003','00','Request by Mr. Saqib Saleem 26-Mar-2025 Fresh');</v>
      </c>
      <c r="H23" s="19" t="str">
        <f t="shared" si="3"/>
        <v>insert into ins_premium_det (premium_rcv_code,assorted_code, rec_amount,premium_rcv_detail_code,remaining_amt, payrec, mode_code,coinsurance_code,class_cd,it_remarks) values('26Mar250058','070000176613','55500',(select max(to_number(i.premium_rcv_detail_code))+1
from ins_premium_det i),'55500','55500','02', '11000003','00','Request by Mr. Saqib Saleem 26-Mar-2025 Fresh');</v>
      </c>
    </row>
    <row r="24" spans="1:8" ht="89.25" x14ac:dyDescent="0.2">
      <c r="A24" s="4" t="s">
        <v>231</v>
      </c>
      <c r="B24" t="str">
        <f>VLOOKUP(A24,policy!B:C,2,0)</f>
        <v>070000176626</v>
      </c>
      <c r="C24" s="6">
        <v>52000</v>
      </c>
      <c r="D24" s="16">
        <f t="shared" si="1"/>
        <v>52000</v>
      </c>
      <c r="E24" s="20" t="s">
        <v>2238</v>
      </c>
      <c r="F24" s="17" t="str">
        <f t="shared" si="0"/>
        <v>insert into ins_premium_det (premium_rcv_code,assorted_code, rec_amount,premium_rcv_detail_code,remaining_amt, payrec, mode_code,coinsurance_code,class_cd,it_remarks) values</v>
      </c>
      <c r="G24" s="18" t="str">
        <f t="shared" si="2"/>
        <v>('26Mar250058','070000176626','52000',(select max(to_number(i.premium_rcv_detail_code))+1
from ins_premium_det i),'52000','52000','02', '11000003','00','Request by Mr. Saqib Saleem 26-Mar-2025 Fresh');</v>
      </c>
      <c r="H24" s="19" t="str">
        <f t="shared" si="3"/>
        <v>insert into ins_premium_det (premium_rcv_code,assorted_code, rec_amount,premium_rcv_detail_code,remaining_amt, payrec, mode_code,coinsurance_code,class_cd,it_remarks) values('26Mar250058','070000176626','52000',(select max(to_number(i.premium_rcv_detail_code))+1
from ins_premium_det i),'52000','52000','02', '11000003','00','Request by Mr. Saqib Saleem 26-Mar-2025 Fresh');</v>
      </c>
    </row>
    <row r="25" spans="1:8" ht="89.25" x14ac:dyDescent="0.2">
      <c r="A25" s="4" t="s">
        <v>238</v>
      </c>
      <c r="B25" t="str">
        <f>VLOOKUP(A25,policy!B:C,2,0)</f>
        <v>070000176751</v>
      </c>
      <c r="C25" s="6">
        <v>48000</v>
      </c>
      <c r="D25" s="16">
        <f t="shared" si="1"/>
        <v>48000</v>
      </c>
      <c r="E25" s="20" t="s">
        <v>2238</v>
      </c>
      <c r="F25" s="17" t="str">
        <f t="shared" si="0"/>
        <v>insert into ins_premium_det (premium_rcv_code,assorted_code, rec_amount,premium_rcv_detail_code,remaining_amt, payrec, mode_code,coinsurance_code,class_cd,it_remarks) values</v>
      </c>
      <c r="G25" s="18" t="str">
        <f t="shared" si="2"/>
        <v>('26Mar250058','070000176751','48000',(select max(to_number(i.premium_rcv_detail_code))+1
from ins_premium_det i),'48000','48000','02', '11000003','00','Request by Mr. Saqib Saleem 26-Mar-2025 Fresh');</v>
      </c>
      <c r="H25" s="19" t="str">
        <f t="shared" si="3"/>
        <v>insert into ins_premium_det (premium_rcv_code,assorted_code, rec_amount,premium_rcv_detail_code,remaining_amt, payrec, mode_code,coinsurance_code,class_cd,it_remarks) values('26Mar250058','070000176751','48000',(select max(to_number(i.premium_rcv_detail_code))+1
from ins_premium_det i),'48000','48000','02', '11000003','00','Request by Mr. Saqib Saleem 26-Mar-2025 Fresh');</v>
      </c>
    </row>
    <row r="26" spans="1:8" ht="89.25" x14ac:dyDescent="0.2">
      <c r="A26" s="4" t="s">
        <v>245</v>
      </c>
      <c r="B26" t="str">
        <f>VLOOKUP(A26,policy!B:C,2,0)</f>
        <v>070000176754</v>
      </c>
      <c r="C26" s="6">
        <v>70785</v>
      </c>
      <c r="D26" s="16">
        <f t="shared" si="1"/>
        <v>70785</v>
      </c>
      <c r="E26" s="20" t="s">
        <v>2238</v>
      </c>
      <c r="F26" s="17" t="str">
        <f t="shared" si="0"/>
        <v>insert into ins_premium_det (premium_rcv_code,assorted_code, rec_amount,premium_rcv_detail_code,remaining_amt, payrec, mode_code,coinsurance_code,class_cd,it_remarks) values</v>
      </c>
      <c r="G26" s="18" t="str">
        <f t="shared" si="2"/>
        <v>('26Mar250058','070000176754','70785',(select max(to_number(i.premium_rcv_detail_code))+1
from ins_premium_det i),'70785','70785','02', '11000003','00','Request by Mr. Saqib Saleem 26-Mar-2025 Fresh');</v>
      </c>
      <c r="H26" s="19" t="str">
        <f t="shared" si="3"/>
        <v>insert into ins_premium_det (premium_rcv_code,assorted_code, rec_amount,premium_rcv_detail_code,remaining_amt, payrec, mode_code,coinsurance_code,class_cd,it_remarks) values('26Mar250058','070000176754','70785',(select max(to_number(i.premium_rcv_detail_code))+1
from ins_premium_det i),'70785','70785','02', '11000003','00','Request by Mr. Saqib Saleem 26-Mar-2025 Fresh');</v>
      </c>
    </row>
    <row r="27" spans="1:8" ht="89.25" x14ac:dyDescent="0.2">
      <c r="A27" s="4" t="s">
        <v>251</v>
      </c>
      <c r="B27" t="str">
        <f>VLOOKUP(A27,policy!B:C,2,0)</f>
        <v>070000176764</v>
      </c>
      <c r="C27" s="6">
        <v>60900</v>
      </c>
      <c r="D27" s="16">
        <f t="shared" si="1"/>
        <v>60900</v>
      </c>
      <c r="E27" s="20" t="s">
        <v>2238</v>
      </c>
      <c r="F27" s="17" t="str">
        <f t="shared" si="0"/>
        <v>insert into ins_premium_det (premium_rcv_code,assorted_code, rec_amount,premium_rcv_detail_code,remaining_amt, payrec, mode_code,coinsurance_code,class_cd,it_remarks) values</v>
      </c>
      <c r="G27" s="18" t="str">
        <f t="shared" si="2"/>
        <v>('26Mar250058','070000176764','60900',(select max(to_number(i.premium_rcv_detail_code))+1
from ins_premium_det i),'60900','60900','02', '11000003','00','Request by Mr. Saqib Saleem 26-Mar-2025 Fresh');</v>
      </c>
      <c r="H27" s="19" t="str">
        <f t="shared" si="3"/>
        <v>insert into ins_premium_det (premium_rcv_code,assorted_code, rec_amount,premium_rcv_detail_code,remaining_amt, payrec, mode_code,coinsurance_code,class_cd,it_remarks) values('26Mar250058','070000176764','60900',(select max(to_number(i.premium_rcv_detail_code))+1
from ins_premium_det i),'60900','60900','02', '11000003','00','Request by Mr. Saqib Saleem 26-Mar-2025 Fresh');</v>
      </c>
    </row>
    <row r="28" spans="1:8" ht="89.25" x14ac:dyDescent="0.2">
      <c r="A28" s="4" t="s">
        <v>257</v>
      </c>
      <c r="B28" t="str">
        <f>VLOOKUP(A28,policy!B:C,2,0)</f>
        <v>070000176807</v>
      </c>
      <c r="C28" s="6">
        <v>60000</v>
      </c>
      <c r="D28" s="16">
        <f t="shared" si="1"/>
        <v>60000</v>
      </c>
      <c r="E28" s="20" t="s">
        <v>2238</v>
      </c>
      <c r="F28" s="17" t="str">
        <f t="shared" si="0"/>
        <v>insert into ins_premium_det (premium_rcv_code,assorted_code, rec_amount,premium_rcv_detail_code,remaining_amt, payrec, mode_code,coinsurance_code,class_cd,it_remarks) values</v>
      </c>
      <c r="G28" s="18" t="str">
        <f t="shared" si="2"/>
        <v>('26Mar250058','070000176807','60000',(select max(to_number(i.premium_rcv_detail_code))+1
from ins_premium_det i),'60000','60000','02', '11000003','00','Request by Mr. Saqib Saleem 26-Mar-2025 Fresh');</v>
      </c>
      <c r="H28" s="19" t="str">
        <f t="shared" si="3"/>
        <v>insert into ins_premium_det (premium_rcv_code,assorted_code, rec_amount,premium_rcv_detail_code,remaining_amt, payrec, mode_code,coinsurance_code,class_cd,it_remarks) values('26Mar250058','070000176807','60000',(select max(to_number(i.premium_rcv_detail_code))+1
from ins_premium_det i),'60000','60000','02', '11000003','00','Request by Mr. Saqib Saleem 26-Mar-2025 Fresh');</v>
      </c>
    </row>
    <row r="29" spans="1:8" ht="89.25" x14ac:dyDescent="0.2">
      <c r="A29" s="4" t="s">
        <v>264</v>
      </c>
      <c r="B29" t="str">
        <f>VLOOKUP(A29,policy!B:C,2,0)</f>
        <v>070000177032</v>
      </c>
      <c r="C29" s="6">
        <v>47000</v>
      </c>
      <c r="D29" s="16">
        <f t="shared" si="1"/>
        <v>47000</v>
      </c>
      <c r="E29" s="20" t="s">
        <v>2238</v>
      </c>
      <c r="F29" s="17" t="str">
        <f t="shared" si="0"/>
        <v>insert into ins_premium_det (premium_rcv_code,assorted_code, rec_amount,premium_rcv_detail_code,remaining_amt, payrec, mode_code,coinsurance_code,class_cd,it_remarks) values</v>
      </c>
      <c r="G29" s="18" t="str">
        <f t="shared" si="2"/>
        <v>('26Mar250058','070000177032','47000',(select max(to_number(i.premium_rcv_detail_code))+1
from ins_premium_det i),'47000','47000','02', '11000003','00','Request by Mr. Saqib Saleem 26-Mar-2025 Fresh');</v>
      </c>
      <c r="H29" s="19" t="str">
        <f t="shared" si="3"/>
        <v>insert into ins_premium_det (premium_rcv_code,assorted_code, rec_amount,premium_rcv_detail_code,remaining_amt, payrec, mode_code,coinsurance_code,class_cd,it_remarks) values('26Mar250058','070000177032','47000',(select max(to_number(i.premium_rcv_detail_code))+1
from ins_premium_det i),'47000','47000','02', '11000003','00','Request by Mr. Saqib Saleem 26-Mar-2025 Fresh');</v>
      </c>
    </row>
    <row r="30" spans="1:8" ht="89.25" x14ac:dyDescent="0.2">
      <c r="A30" s="4" t="s">
        <v>271</v>
      </c>
      <c r="B30" t="str">
        <f>VLOOKUP(A30,policy!B:C,2,0)</f>
        <v>070000177061</v>
      </c>
      <c r="C30" s="6">
        <v>20000</v>
      </c>
      <c r="D30" s="16">
        <f t="shared" si="1"/>
        <v>20000</v>
      </c>
      <c r="E30" s="20" t="s">
        <v>2238</v>
      </c>
      <c r="F30" s="17" t="str">
        <f t="shared" si="0"/>
        <v>insert into ins_premium_det (premium_rcv_code,assorted_code, rec_amount,premium_rcv_detail_code,remaining_amt, payrec, mode_code,coinsurance_code,class_cd,it_remarks) values</v>
      </c>
      <c r="G30" s="18" t="str">
        <f t="shared" si="2"/>
        <v>('26Mar250058','070000177061','20000',(select max(to_number(i.premium_rcv_detail_code))+1
from ins_premium_det i),'20000','20000','02', '11000003','00','Request by Mr. Saqib Saleem 26-Mar-2025 Fresh');</v>
      </c>
      <c r="H30" s="19" t="str">
        <f t="shared" si="3"/>
        <v>insert into ins_premium_det (premium_rcv_code,assorted_code, rec_amount,premium_rcv_detail_code,remaining_amt, payrec, mode_code,coinsurance_code,class_cd,it_remarks) values('26Mar250058','070000177061','20000',(select max(to_number(i.premium_rcv_detail_code))+1
from ins_premium_det i),'20000','20000','02', '11000003','00','Request by Mr. Saqib Saleem 26-Mar-2025 Fresh');</v>
      </c>
    </row>
    <row r="31" spans="1:8" ht="89.25" x14ac:dyDescent="0.2">
      <c r="A31" s="4" t="s">
        <v>279</v>
      </c>
      <c r="B31" t="str">
        <f>VLOOKUP(A31,policy!B:C,2,0)</f>
        <v>070000177063</v>
      </c>
      <c r="C31" s="6">
        <v>60000</v>
      </c>
      <c r="D31" s="16">
        <f t="shared" si="1"/>
        <v>60000</v>
      </c>
      <c r="E31" s="20" t="s">
        <v>2238</v>
      </c>
      <c r="F31" s="17" t="str">
        <f t="shared" si="0"/>
        <v>insert into ins_premium_det (premium_rcv_code,assorted_code, rec_amount,premium_rcv_detail_code,remaining_amt, payrec, mode_code,coinsurance_code,class_cd,it_remarks) values</v>
      </c>
      <c r="G31" s="18" t="str">
        <f t="shared" si="2"/>
        <v>('26Mar250058','070000177063','60000',(select max(to_number(i.premium_rcv_detail_code))+1
from ins_premium_det i),'60000','60000','02', '11000003','00','Request by Mr. Saqib Saleem 26-Mar-2025 Fresh');</v>
      </c>
      <c r="H31" s="19" t="str">
        <f t="shared" si="3"/>
        <v>insert into ins_premium_det (premium_rcv_code,assorted_code, rec_amount,premium_rcv_detail_code,remaining_amt, payrec, mode_code,coinsurance_code,class_cd,it_remarks) values('26Mar250058','070000177063','60000',(select max(to_number(i.premium_rcv_detail_code))+1
from ins_premium_det i),'60000','60000','02', '11000003','00','Request by Mr. Saqib Saleem 26-Mar-2025 Fresh');</v>
      </c>
    </row>
    <row r="32" spans="1:8" ht="89.25" x14ac:dyDescent="0.2">
      <c r="A32" s="4" t="s">
        <v>286</v>
      </c>
      <c r="B32" t="str">
        <f>VLOOKUP(A32,policy!B:C,2,0)</f>
        <v>070000177064</v>
      </c>
      <c r="C32" s="6">
        <v>60900</v>
      </c>
      <c r="D32" s="16">
        <f t="shared" si="1"/>
        <v>60900</v>
      </c>
      <c r="E32" s="20" t="s">
        <v>2238</v>
      </c>
      <c r="F32" s="17" t="str">
        <f t="shared" si="0"/>
        <v>insert into ins_premium_det (premium_rcv_code,assorted_code, rec_amount,premium_rcv_detail_code,remaining_amt, payrec, mode_code,coinsurance_code,class_cd,it_remarks) values</v>
      </c>
      <c r="G32" s="18" t="str">
        <f t="shared" si="2"/>
        <v>('26Mar250058','070000177064','60900',(select max(to_number(i.premium_rcv_detail_code))+1
from ins_premium_det i),'60900','60900','02', '11000003','00','Request by Mr. Saqib Saleem 26-Mar-2025 Fresh');</v>
      </c>
      <c r="H32" s="19" t="str">
        <f t="shared" si="3"/>
        <v>insert into ins_premium_det (premium_rcv_code,assorted_code, rec_amount,premium_rcv_detail_code,remaining_amt, payrec, mode_code,coinsurance_code,class_cd,it_remarks) values('26Mar250058','070000177064','60900',(select max(to_number(i.premium_rcv_detail_code))+1
from ins_premium_det i),'60900','60900','02', '11000003','00','Request by Mr. Saqib Saleem 26-Mar-2025 Fresh');</v>
      </c>
    </row>
    <row r="33" spans="1:8" ht="89.25" x14ac:dyDescent="0.2">
      <c r="A33" s="4" t="s">
        <v>292</v>
      </c>
      <c r="B33" t="str">
        <f>VLOOKUP(A33,policy!B:C,2,0)</f>
        <v>070000177065</v>
      </c>
      <c r="C33" s="6">
        <v>88635</v>
      </c>
      <c r="D33" s="16">
        <f t="shared" si="1"/>
        <v>88635</v>
      </c>
      <c r="E33" s="20" t="s">
        <v>2238</v>
      </c>
      <c r="F33" s="17" t="str">
        <f t="shared" si="0"/>
        <v>insert into ins_premium_det (premium_rcv_code,assorted_code, rec_amount,premium_rcv_detail_code,remaining_amt, payrec, mode_code,coinsurance_code,class_cd,it_remarks) values</v>
      </c>
      <c r="G33" s="18" t="str">
        <f t="shared" si="2"/>
        <v>('26Mar250058','070000177065','88635',(select max(to_number(i.premium_rcv_detail_code))+1
from ins_premium_det i),'88635','88635','02', '11000003','00','Request by Mr. Saqib Saleem 26-Mar-2025 Fresh');</v>
      </c>
      <c r="H33" s="19" t="str">
        <f t="shared" si="3"/>
        <v>insert into ins_premium_det (premium_rcv_code,assorted_code, rec_amount,premium_rcv_detail_code,remaining_amt, payrec, mode_code,coinsurance_code,class_cd,it_remarks) values('26Mar250058','070000177065','88635',(select max(to_number(i.premium_rcv_detail_code))+1
from ins_premium_det i),'88635','88635','02', '11000003','00','Request by Mr. Saqib Saleem 26-Mar-2025 Fresh');</v>
      </c>
    </row>
    <row r="34" spans="1:8" ht="89.25" x14ac:dyDescent="0.2">
      <c r="A34" s="4" t="s">
        <v>299</v>
      </c>
      <c r="B34" t="str">
        <f>VLOOKUP(A34,policy!B:C,2,0)</f>
        <v>070000177157</v>
      </c>
      <c r="C34" s="6">
        <v>63000</v>
      </c>
      <c r="D34" s="16">
        <f t="shared" si="1"/>
        <v>63000</v>
      </c>
      <c r="E34" s="20" t="s">
        <v>2238</v>
      </c>
      <c r="F34" s="17" t="str">
        <f t="shared" si="0"/>
        <v>insert into ins_premium_det (premium_rcv_code,assorted_code, rec_amount,premium_rcv_detail_code,remaining_amt, payrec, mode_code,coinsurance_code,class_cd,it_remarks) values</v>
      </c>
      <c r="G34" s="18" t="str">
        <f t="shared" si="2"/>
        <v>('26Mar250058','070000177157','63000',(select max(to_number(i.premium_rcv_detail_code))+1
from ins_premium_det i),'63000','63000','02', '11000003','00','Request by Mr. Saqib Saleem 26-Mar-2025 Fresh');</v>
      </c>
      <c r="H34" s="19" t="str">
        <f t="shared" si="3"/>
        <v>insert into ins_premium_det (premium_rcv_code,assorted_code, rec_amount,premium_rcv_detail_code,remaining_amt, payrec, mode_code,coinsurance_code,class_cd,it_remarks) values('26Mar250058','070000177157','63000',(select max(to_number(i.premium_rcv_detail_code))+1
from ins_premium_det i),'63000','63000','02', '11000003','00','Request by Mr. Saqib Saleem 26-Mar-2025 Fresh');</v>
      </c>
    </row>
    <row r="35" spans="1:8" ht="89.25" x14ac:dyDescent="0.2">
      <c r="A35" s="4" t="s">
        <v>307</v>
      </c>
      <c r="B35" t="str">
        <f>VLOOKUP(A35,policy!B:C,2,0)</f>
        <v>070000176403</v>
      </c>
      <c r="C35" s="6">
        <v>46000</v>
      </c>
      <c r="D35" s="16">
        <f t="shared" si="1"/>
        <v>46000</v>
      </c>
      <c r="E35" s="20" t="s">
        <v>2238</v>
      </c>
      <c r="F35" s="17" t="str">
        <f t="shared" si="0"/>
        <v>insert into ins_premium_det (premium_rcv_code,assorted_code, rec_amount,premium_rcv_detail_code,remaining_amt, payrec, mode_code,coinsurance_code,class_cd,it_remarks) values</v>
      </c>
      <c r="G35" s="18" t="str">
        <f t="shared" si="2"/>
        <v>('26Mar250058','070000176403','46000',(select max(to_number(i.premium_rcv_detail_code))+1
from ins_premium_det i),'46000','46000','02', '11000003','00','Request by Mr. Saqib Saleem 26-Mar-2025 Fresh');</v>
      </c>
      <c r="H35" s="19" t="str">
        <f t="shared" si="3"/>
        <v>insert into ins_premium_det (premium_rcv_code,assorted_code, rec_amount,premium_rcv_detail_code,remaining_amt, payrec, mode_code,coinsurance_code,class_cd,it_remarks) values('26Mar250058','070000176403','46000',(select max(to_number(i.premium_rcv_detail_code))+1
from ins_premium_det i),'46000','46000','02', '11000003','00','Request by Mr. Saqib Saleem 26-Mar-2025 Fresh');</v>
      </c>
    </row>
    <row r="36" spans="1:8" ht="89.25" x14ac:dyDescent="0.2">
      <c r="A36" s="4" t="s">
        <v>314</v>
      </c>
      <c r="B36" t="str">
        <f>VLOOKUP(A36,policy!B:C,2,0)</f>
        <v>070000177184</v>
      </c>
      <c r="C36" s="6">
        <v>52500</v>
      </c>
      <c r="D36" s="16">
        <f t="shared" si="1"/>
        <v>52500</v>
      </c>
      <c r="E36" s="20" t="s">
        <v>2238</v>
      </c>
      <c r="F36" s="17" t="str">
        <f t="shared" si="0"/>
        <v>insert into ins_premium_det (premium_rcv_code,assorted_code, rec_amount,premium_rcv_detail_code,remaining_amt, payrec, mode_code,coinsurance_code,class_cd,it_remarks) values</v>
      </c>
      <c r="G36" s="18" t="str">
        <f t="shared" si="2"/>
        <v>('26Mar250058','070000177184','52500',(select max(to_number(i.premium_rcv_detail_code))+1
from ins_premium_det i),'52500','52500','02', '11000003','00','Request by Mr. Saqib Saleem 26-Mar-2025 Fresh');</v>
      </c>
      <c r="H36" s="19" t="str">
        <f t="shared" si="3"/>
        <v>insert into ins_premium_det (premium_rcv_code,assorted_code, rec_amount,premium_rcv_detail_code,remaining_amt, payrec, mode_code,coinsurance_code,class_cd,it_remarks) values('26Mar250058','070000177184','52500',(select max(to_number(i.premium_rcv_detail_code))+1
from ins_premium_det i),'52500','52500','02', '11000003','00','Request by Mr. Saqib Saleem 26-Mar-2025 Fresh');</v>
      </c>
    </row>
    <row r="37" spans="1:8" ht="89.25" x14ac:dyDescent="0.2">
      <c r="A37" s="4" t="s">
        <v>323</v>
      </c>
      <c r="B37" t="str">
        <f>VLOOKUP(A37,policy!B:C,2,0)</f>
        <v>070000177186</v>
      </c>
      <c r="C37" s="6">
        <v>117000</v>
      </c>
      <c r="D37" s="16">
        <f t="shared" si="1"/>
        <v>117000</v>
      </c>
      <c r="E37" s="20" t="s">
        <v>2238</v>
      </c>
      <c r="F37" s="17" t="str">
        <f t="shared" si="0"/>
        <v>insert into ins_premium_det (premium_rcv_code,assorted_code, rec_amount,premium_rcv_detail_code,remaining_amt, payrec, mode_code,coinsurance_code,class_cd,it_remarks) values</v>
      </c>
      <c r="G37" s="18" t="str">
        <f t="shared" si="2"/>
        <v>('26Mar250058','070000177186','117000',(select max(to_number(i.premium_rcv_detail_code))+1
from ins_premium_det i),'117000','117000','02', '11000003','00','Request by Mr. Saqib Saleem 26-Mar-2025 Fresh');</v>
      </c>
      <c r="H37" s="19" t="str">
        <f t="shared" si="3"/>
        <v>insert into ins_premium_det (premium_rcv_code,assorted_code, rec_amount,premium_rcv_detail_code,remaining_amt, payrec, mode_code,coinsurance_code,class_cd,it_remarks) values('26Mar250058','070000177186','117000',(select max(to_number(i.premium_rcv_detail_code))+1
from ins_premium_det i),'117000','117000','02', '11000003','00','Request by Mr. Saqib Saleem 26-Mar-2025 Fresh');</v>
      </c>
    </row>
    <row r="38" spans="1:8" ht="89.25" x14ac:dyDescent="0.2">
      <c r="A38" s="4" t="s">
        <v>331</v>
      </c>
      <c r="B38" t="str">
        <f>VLOOKUP(A38,policy!B:C,2,0)</f>
        <v>070000177630</v>
      </c>
      <c r="C38" s="6">
        <v>70785</v>
      </c>
      <c r="D38" s="16">
        <f t="shared" si="1"/>
        <v>70785</v>
      </c>
      <c r="E38" s="20" t="s">
        <v>2238</v>
      </c>
      <c r="F38" s="17" t="str">
        <f t="shared" si="0"/>
        <v>insert into ins_premium_det (premium_rcv_code,assorted_code, rec_amount,premium_rcv_detail_code,remaining_amt, payrec, mode_code,coinsurance_code,class_cd,it_remarks) values</v>
      </c>
      <c r="G38" s="18" t="str">
        <f t="shared" si="2"/>
        <v>('26Mar250058','070000177630','70785',(select max(to_number(i.premium_rcv_detail_code))+1
from ins_premium_det i),'70785','70785','02', '11000003','00','Request by Mr. Saqib Saleem 26-Mar-2025 Fresh');</v>
      </c>
      <c r="H38" s="19" t="str">
        <f t="shared" si="3"/>
        <v>insert into ins_premium_det (premium_rcv_code,assorted_code, rec_amount,premium_rcv_detail_code,remaining_amt, payrec, mode_code,coinsurance_code,class_cd,it_remarks) values('26Mar250058','070000177630','70785',(select max(to_number(i.premium_rcv_detail_code))+1
from ins_premium_det i),'70785','70785','02', '11000003','00','Request by Mr. Saqib Saleem 26-Mar-2025 Fresh');</v>
      </c>
    </row>
    <row r="39" spans="1:8" ht="89.25" x14ac:dyDescent="0.2">
      <c r="A39" s="4" t="s">
        <v>337</v>
      </c>
      <c r="B39" t="str">
        <f>VLOOKUP(A39,policy!B:C,2,0)</f>
        <v>070000177653</v>
      </c>
      <c r="C39" s="6">
        <v>48000</v>
      </c>
      <c r="D39" s="16">
        <f t="shared" si="1"/>
        <v>48000</v>
      </c>
      <c r="E39" s="20" t="s">
        <v>2238</v>
      </c>
      <c r="F39" s="17" t="str">
        <f t="shared" si="0"/>
        <v>insert into ins_premium_det (premium_rcv_code,assorted_code, rec_amount,premium_rcv_detail_code,remaining_amt, payrec, mode_code,coinsurance_code,class_cd,it_remarks) values</v>
      </c>
      <c r="G39" s="18" t="str">
        <f t="shared" si="2"/>
        <v>('26Mar250058','070000177653','48000',(select max(to_number(i.premium_rcv_detail_code))+1
from ins_premium_det i),'48000','48000','02', '11000003','00','Request by Mr. Saqib Saleem 26-Mar-2025 Fresh');</v>
      </c>
      <c r="H39" s="19" t="str">
        <f t="shared" si="3"/>
        <v>insert into ins_premium_det (premium_rcv_code,assorted_code, rec_amount,premium_rcv_detail_code,remaining_amt, payrec, mode_code,coinsurance_code,class_cd,it_remarks) values('26Mar250058','070000177653','48000',(select max(to_number(i.premium_rcv_detail_code))+1
from ins_premium_det i),'48000','48000','02', '11000003','00','Request by Mr. Saqib Saleem 26-Mar-2025 Fresh');</v>
      </c>
    </row>
    <row r="40" spans="1:8" ht="89.25" x14ac:dyDescent="0.2">
      <c r="A40" s="4" t="s">
        <v>344</v>
      </c>
      <c r="B40" t="str">
        <f>VLOOKUP(A40,policy!B:C,2,0)</f>
        <v>070000177663</v>
      </c>
      <c r="C40" s="6">
        <v>57880</v>
      </c>
      <c r="D40" s="16">
        <f t="shared" si="1"/>
        <v>57880</v>
      </c>
      <c r="E40" s="20" t="s">
        <v>2238</v>
      </c>
      <c r="F40" s="17" t="str">
        <f t="shared" si="0"/>
        <v>insert into ins_premium_det (premium_rcv_code,assorted_code, rec_amount,premium_rcv_detail_code,remaining_amt, payrec, mode_code,coinsurance_code,class_cd,it_remarks) values</v>
      </c>
      <c r="G40" s="18" t="str">
        <f t="shared" si="2"/>
        <v>('26Mar250058','070000177663','57880',(select max(to_number(i.premium_rcv_detail_code))+1
from ins_premium_det i),'57880','57880','02', '11000003','00','Request by Mr. Saqib Saleem 26-Mar-2025 Fresh');</v>
      </c>
      <c r="H40" s="19" t="str">
        <f t="shared" si="3"/>
        <v>insert into ins_premium_det (premium_rcv_code,assorted_code, rec_amount,premium_rcv_detail_code,remaining_amt, payrec, mode_code,coinsurance_code,class_cd,it_remarks) values('26Mar250058','070000177663','57880',(select max(to_number(i.premium_rcv_detail_code))+1
from ins_premium_det i),'57880','57880','02', '11000003','00','Request by Mr. Saqib Saleem 26-Mar-2025 Fresh');</v>
      </c>
    </row>
    <row r="41" spans="1:8" ht="89.25" x14ac:dyDescent="0.2">
      <c r="A41" s="4" t="s">
        <v>350</v>
      </c>
      <c r="B41" t="str">
        <f>VLOOKUP(A41,policy!B:C,2,0)</f>
        <v>070000177690</v>
      </c>
      <c r="C41" s="6">
        <v>52000</v>
      </c>
      <c r="D41" s="16">
        <f t="shared" si="1"/>
        <v>52000</v>
      </c>
      <c r="E41" s="20" t="s">
        <v>2238</v>
      </c>
      <c r="F41" s="17" t="str">
        <f t="shared" si="0"/>
        <v>insert into ins_premium_det (premium_rcv_code,assorted_code, rec_amount,premium_rcv_detail_code,remaining_amt, payrec, mode_code,coinsurance_code,class_cd,it_remarks) values</v>
      </c>
      <c r="G41" s="18" t="str">
        <f t="shared" si="2"/>
        <v>('26Mar250058','070000177690','52000',(select max(to_number(i.premium_rcv_detail_code))+1
from ins_premium_det i),'52000','52000','02', '11000003','00','Request by Mr. Saqib Saleem 26-Mar-2025 Fresh');</v>
      </c>
      <c r="H41" s="19" t="str">
        <f t="shared" si="3"/>
        <v>insert into ins_premium_det (premium_rcv_code,assorted_code, rec_amount,premium_rcv_detail_code,remaining_amt, payrec, mode_code,coinsurance_code,class_cd,it_remarks) values('26Mar250058','070000177690','52000',(select max(to_number(i.premium_rcv_detail_code))+1
from ins_premium_det i),'52000','52000','02', '11000003','00','Request by Mr. Saqib Saleem 26-Mar-2025 Fresh');</v>
      </c>
    </row>
    <row r="42" spans="1:8" ht="89.25" x14ac:dyDescent="0.2">
      <c r="A42" s="4" t="s">
        <v>357</v>
      </c>
      <c r="B42" t="str">
        <f>VLOOKUP(A42,policy!B:C,2,0)</f>
        <v>070000177693</v>
      </c>
      <c r="C42" s="6">
        <v>90000</v>
      </c>
      <c r="D42" s="16">
        <f t="shared" si="1"/>
        <v>90000</v>
      </c>
      <c r="E42" s="20" t="s">
        <v>2238</v>
      </c>
      <c r="F42" s="17" t="str">
        <f t="shared" si="0"/>
        <v>insert into ins_premium_det (premium_rcv_code,assorted_code, rec_amount,premium_rcv_detail_code,remaining_amt, payrec, mode_code,coinsurance_code,class_cd,it_remarks) values</v>
      </c>
      <c r="G42" s="18" t="str">
        <f t="shared" si="2"/>
        <v>('26Mar250058','070000177693','90000',(select max(to_number(i.premium_rcv_detail_code))+1
from ins_premium_det i),'90000','90000','02', '11000003','00','Request by Mr. Saqib Saleem 26-Mar-2025 Fresh');</v>
      </c>
      <c r="H42" s="19" t="str">
        <f t="shared" si="3"/>
        <v>insert into ins_premium_det (premium_rcv_code,assorted_code, rec_amount,premium_rcv_detail_code,remaining_amt, payrec, mode_code,coinsurance_code,class_cd,it_remarks) values('26Mar250058','070000177693','90000',(select max(to_number(i.premium_rcv_detail_code))+1
from ins_premium_det i),'90000','90000','02', '11000003','00','Request by Mr. Saqib Saleem 26-Mar-2025 Fresh');</v>
      </c>
    </row>
    <row r="43" spans="1:8" ht="89.25" x14ac:dyDescent="0.2">
      <c r="A43" s="4" t="s">
        <v>365</v>
      </c>
      <c r="B43" t="str">
        <f>VLOOKUP(A43,policy!B:C,2,0)</f>
        <v>070000176418</v>
      </c>
      <c r="C43" s="6">
        <v>90000</v>
      </c>
      <c r="D43" s="16">
        <f t="shared" si="1"/>
        <v>90000</v>
      </c>
      <c r="E43" s="20" t="s">
        <v>2238</v>
      </c>
      <c r="F43" s="17" t="str">
        <f t="shared" si="0"/>
        <v>insert into ins_premium_det (premium_rcv_code,assorted_code, rec_amount,premium_rcv_detail_code,remaining_amt, payrec, mode_code,coinsurance_code,class_cd,it_remarks) values</v>
      </c>
      <c r="G43" s="18" t="str">
        <f t="shared" si="2"/>
        <v>('26Mar250058','070000176418','90000',(select max(to_number(i.premium_rcv_detail_code))+1
from ins_premium_det i),'90000','90000','02', '11000003','00','Request by Mr. Saqib Saleem 26-Mar-2025 Fresh');</v>
      </c>
      <c r="H43" s="19" t="str">
        <f t="shared" si="3"/>
        <v>insert into ins_premium_det (premium_rcv_code,assorted_code, rec_amount,premium_rcv_detail_code,remaining_amt, payrec, mode_code,coinsurance_code,class_cd,it_remarks) values('26Mar250058','070000176418','90000',(select max(to_number(i.premium_rcv_detail_code))+1
from ins_premium_det i),'90000','90000','02', '11000003','00','Request by Mr. Saqib Saleem 26-Mar-2025 Fresh');</v>
      </c>
    </row>
    <row r="44" spans="1:8" ht="89.25" x14ac:dyDescent="0.2">
      <c r="A44" s="4" t="s">
        <v>373</v>
      </c>
      <c r="B44" t="str">
        <f>VLOOKUP(A44,policy!B:C,2,0)</f>
        <v>070000177696</v>
      </c>
      <c r="C44" s="6">
        <v>64500</v>
      </c>
      <c r="D44" s="16">
        <f t="shared" si="1"/>
        <v>64500</v>
      </c>
      <c r="E44" s="20" t="s">
        <v>2238</v>
      </c>
      <c r="F44" s="17" t="str">
        <f t="shared" si="0"/>
        <v>insert into ins_premium_det (premium_rcv_code,assorted_code, rec_amount,premium_rcv_detail_code,remaining_amt, payrec, mode_code,coinsurance_code,class_cd,it_remarks) values</v>
      </c>
      <c r="G44" s="18" t="str">
        <f t="shared" si="2"/>
        <v>('26Mar250058','070000177696','64500',(select max(to_number(i.premium_rcv_detail_code))+1
from ins_premium_det i),'64500','64500','02', '11000003','00','Request by Mr. Saqib Saleem 26-Mar-2025 Fresh');</v>
      </c>
      <c r="H44" s="19" t="str">
        <f t="shared" si="3"/>
        <v>insert into ins_premium_det (premium_rcv_code,assorted_code, rec_amount,premium_rcv_detail_code,remaining_amt, payrec, mode_code,coinsurance_code,class_cd,it_remarks) values('26Mar250058','070000177696','64500',(select max(to_number(i.premium_rcv_detail_code))+1
from ins_premium_det i),'64500','64500','02', '11000003','00','Request by Mr. Saqib Saleem 26-Mar-2025 Fresh');</v>
      </c>
    </row>
    <row r="45" spans="1:8" ht="89.25" x14ac:dyDescent="0.2">
      <c r="A45" s="4" t="s">
        <v>381</v>
      </c>
      <c r="B45" t="str">
        <f>VLOOKUP(A45,policy!B:C,2,0)</f>
        <v>070000177701</v>
      </c>
      <c r="C45" s="6">
        <v>63000</v>
      </c>
      <c r="D45" s="16">
        <f t="shared" si="1"/>
        <v>63000</v>
      </c>
      <c r="E45" s="20" t="s">
        <v>2238</v>
      </c>
      <c r="F45" s="17" t="str">
        <f t="shared" si="0"/>
        <v>insert into ins_premium_det (premium_rcv_code,assorted_code, rec_amount,premium_rcv_detail_code,remaining_amt, payrec, mode_code,coinsurance_code,class_cd,it_remarks) values</v>
      </c>
      <c r="G45" s="18" t="str">
        <f t="shared" si="2"/>
        <v>('26Mar250058','070000177701','63000',(select max(to_number(i.premium_rcv_detail_code))+1
from ins_premium_det i),'63000','63000','02', '11000003','00','Request by Mr. Saqib Saleem 26-Mar-2025 Fresh');</v>
      </c>
      <c r="H45" s="19" t="str">
        <f t="shared" si="3"/>
        <v>insert into ins_premium_det (premium_rcv_code,assorted_code, rec_amount,premium_rcv_detail_code,remaining_amt, payrec, mode_code,coinsurance_code,class_cd,it_remarks) values('26Mar250058','070000177701','63000',(select max(to_number(i.premium_rcv_detail_code))+1
from ins_premium_det i),'63000','63000','02', '11000003','00','Request by Mr. Saqib Saleem 26-Mar-2025 Fresh');</v>
      </c>
    </row>
    <row r="46" spans="1:8" ht="89.25" x14ac:dyDescent="0.2">
      <c r="A46" s="4" t="s">
        <v>388</v>
      </c>
      <c r="B46" t="str">
        <f>VLOOKUP(A46,policy!B:C,2,0)</f>
        <v>070000177707</v>
      </c>
      <c r="C46" s="6">
        <v>46620</v>
      </c>
      <c r="D46" s="16">
        <f t="shared" si="1"/>
        <v>46620</v>
      </c>
      <c r="E46" s="20" t="s">
        <v>2238</v>
      </c>
      <c r="F46" s="17" t="str">
        <f t="shared" si="0"/>
        <v>insert into ins_premium_det (premium_rcv_code,assorted_code, rec_amount,premium_rcv_detail_code,remaining_amt, payrec, mode_code,coinsurance_code,class_cd,it_remarks) values</v>
      </c>
      <c r="G46" s="18" t="str">
        <f t="shared" si="2"/>
        <v>('26Mar250058','070000177707','46620',(select max(to_number(i.premium_rcv_detail_code))+1
from ins_premium_det i),'46620','46620','02', '11000003','00','Request by Mr. Saqib Saleem 26-Mar-2025 Fresh');</v>
      </c>
      <c r="H46" s="19" t="str">
        <f t="shared" si="3"/>
        <v>insert into ins_premium_det (premium_rcv_code,assorted_code, rec_amount,premium_rcv_detail_code,remaining_amt, payrec, mode_code,coinsurance_code,class_cd,it_remarks) values('26Mar250058','070000177707','46620',(select max(to_number(i.premium_rcv_detail_code))+1
from ins_premium_det i),'46620','46620','02', '11000003','00','Request by Mr. Saqib Saleem 26-Mar-2025 Fresh');</v>
      </c>
    </row>
    <row r="47" spans="1:8" ht="89.25" x14ac:dyDescent="0.2">
      <c r="A47" s="4" t="s">
        <v>395</v>
      </c>
      <c r="B47" t="str">
        <f>VLOOKUP(A47,policy!B:C,2,0)</f>
        <v>070000177710</v>
      </c>
      <c r="C47" s="6">
        <v>88185</v>
      </c>
      <c r="D47" s="16">
        <f t="shared" si="1"/>
        <v>88185</v>
      </c>
      <c r="E47" s="20" t="s">
        <v>2238</v>
      </c>
      <c r="F47" s="17" t="str">
        <f t="shared" si="0"/>
        <v>insert into ins_premium_det (premium_rcv_code,assorted_code, rec_amount,premium_rcv_detail_code,remaining_amt, payrec, mode_code,coinsurance_code,class_cd,it_remarks) values</v>
      </c>
      <c r="G47" s="18" t="str">
        <f t="shared" si="2"/>
        <v>('26Mar250058','070000177710','88185',(select max(to_number(i.premium_rcv_detail_code))+1
from ins_premium_det i),'88185','88185','02', '11000003','00','Request by Mr. Saqib Saleem 26-Mar-2025 Fresh');</v>
      </c>
      <c r="H47" s="19" t="str">
        <f t="shared" si="3"/>
        <v>insert into ins_premium_det (premium_rcv_code,assorted_code, rec_amount,premium_rcv_detail_code,remaining_amt, payrec, mode_code,coinsurance_code,class_cd,it_remarks) values('26Mar250058','070000177710','88185',(select max(to_number(i.premium_rcv_detail_code))+1
from ins_premium_det i),'88185','88185','02', '11000003','00','Request by Mr. Saqib Saleem 26-Mar-2025 Fresh');</v>
      </c>
    </row>
    <row r="48" spans="1:8" ht="89.25" x14ac:dyDescent="0.2">
      <c r="A48" s="4" t="s">
        <v>401</v>
      </c>
      <c r="B48" t="str">
        <f>VLOOKUP(A48,policy!B:C,2,0)</f>
        <v>070000176420</v>
      </c>
      <c r="C48" s="6">
        <v>46000</v>
      </c>
      <c r="D48" s="16">
        <f t="shared" si="1"/>
        <v>46000</v>
      </c>
      <c r="E48" s="20" t="s">
        <v>2238</v>
      </c>
      <c r="F48" s="17" t="str">
        <f t="shared" si="0"/>
        <v>insert into ins_premium_det (premium_rcv_code,assorted_code, rec_amount,premium_rcv_detail_code,remaining_amt, payrec, mode_code,coinsurance_code,class_cd,it_remarks) values</v>
      </c>
      <c r="G48" s="18" t="str">
        <f t="shared" si="2"/>
        <v>('26Mar250058','070000176420','46000',(select max(to_number(i.premium_rcv_detail_code))+1
from ins_premium_det i),'46000','46000','02', '11000003','00','Request by Mr. Saqib Saleem 26-Mar-2025 Fresh');</v>
      </c>
      <c r="H48" s="19" t="str">
        <f t="shared" si="3"/>
        <v>insert into ins_premium_det (premium_rcv_code,assorted_code, rec_amount,premium_rcv_detail_code,remaining_amt, payrec, mode_code,coinsurance_code,class_cd,it_remarks) values('26Mar250058','070000176420','46000',(select max(to_number(i.premium_rcv_detail_code))+1
from ins_premium_det i),'46000','46000','02', '11000003','00','Request by Mr. Saqib Saleem 26-Mar-2025 Fresh');</v>
      </c>
    </row>
    <row r="49" spans="1:8" ht="89.25" x14ac:dyDescent="0.2">
      <c r="A49" s="4" t="s">
        <v>408</v>
      </c>
      <c r="B49" t="str">
        <f>VLOOKUP(A49,policy!B:C,2,0)</f>
        <v>070000176428</v>
      </c>
      <c r="C49" s="6">
        <v>54140</v>
      </c>
      <c r="D49" s="16">
        <f t="shared" si="1"/>
        <v>54140</v>
      </c>
      <c r="E49" s="20" t="s">
        <v>2238</v>
      </c>
      <c r="F49" s="17" t="str">
        <f t="shared" si="0"/>
        <v>insert into ins_premium_det (premium_rcv_code,assorted_code, rec_amount,premium_rcv_detail_code,remaining_amt, payrec, mode_code,coinsurance_code,class_cd,it_remarks) values</v>
      </c>
      <c r="G49" s="18" t="str">
        <f t="shared" si="2"/>
        <v>('26Mar250058','070000176428','54140',(select max(to_number(i.premium_rcv_detail_code))+1
from ins_premium_det i),'54140','54140','02', '11000003','00','Request by Mr. Saqib Saleem 26-Mar-2025 Fresh');</v>
      </c>
      <c r="H49" s="19" t="str">
        <f t="shared" si="3"/>
        <v>insert into ins_premium_det (premium_rcv_code,assorted_code, rec_amount,premium_rcv_detail_code,remaining_amt, payrec, mode_code,coinsurance_code,class_cd,it_remarks) values('26Mar250058','070000176428','54140',(select max(to_number(i.premium_rcv_detail_code))+1
from ins_premium_det i),'54140','54140','02', '11000003','00','Request by Mr. Saqib Saleem 26-Mar-2025 Fresh');</v>
      </c>
    </row>
    <row r="50" spans="1:8" ht="89.25" x14ac:dyDescent="0.2">
      <c r="A50" s="4" t="s">
        <v>415</v>
      </c>
      <c r="B50" t="str">
        <f>VLOOKUP(A50,policy!B:C,2,0)</f>
        <v>070000176440</v>
      </c>
      <c r="C50" s="6">
        <v>67500</v>
      </c>
      <c r="D50" s="16">
        <f t="shared" si="1"/>
        <v>67500</v>
      </c>
      <c r="E50" s="20" t="s">
        <v>2238</v>
      </c>
      <c r="F50" s="17" t="str">
        <f t="shared" si="0"/>
        <v>insert into ins_premium_det (premium_rcv_code,assorted_code, rec_amount,premium_rcv_detail_code,remaining_amt, payrec, mode_code,coinsurance_code,class_cd,it_remarks) values</v>
      </c>
      <c r="G50" s="18" t="str">
        <f t="shared" si="2"/>
        <v>('26Mar250058','070000176440','67500',(select max(to_number(i.premium_rcv_detail_code))+1
from ins_premium_det i),'67500','67500','02', '11000003','00','Request by Mr. Saqib Saleem 26-Mar-2025 Fresh');</v>
      </c>
      <c r="H50" s="19" t="str">
        <f t="shared" si="3"/>
        <v>insert into ins_premium_det (premium_rcv_code,assorted_code, rec_amount,premium_rcv_detail_code,remaining_amt, payrec, mode_code,coinsurance_code,class_cd,it_remarks) values('26Mar250058','070000176440','67500',(select max(to_number(i.premium_rcv_detail_code))+1
from ins_premium_det i),'67500','67500','02', '11000003','00','Request by Mr. Saqib Saleem 26-Mar-2025 Fresh');</v>
      </c>
    </row>
    <row r="51" spans="1:8" ht="89.25" x14ac:dyDescent="0.2">
      <c r="A51" s="4" t="s">
        <v>423</v>
      </c>
      <c r="B51" t="str">
        <f>VLOOKUP(A51,policy!B:C,2,0)</f>
        <v>070000176515</v>
      </c>
      <c r="C51" s="6">
        <v>58988</v>
      </c>
      <c r="D51" s="16">
        <f t="shared" si="1"/>
        <v>58988</v>
      </c>
      <c r="E51" s="20" t="s">
        <v>2238</v>
      </c>
      <c r="F51" s="17" t="str">
        <f t="shared" si="0"/>
        <v>insert into ins_premium_det (premium_rcv_code,assorted_code, rec_amount,premium_rcv_detail_code,remaining_amt, payrec, mode_code,coinsurance_code,class_cd,it_remarks) values</v>
      </c>
      <c r="G51" s="18" t="str">
        <f t="shared" si="2"/>
        <v>('26Mar250058','070000176515','58988',(select max(to_number(i.premium_rcv_detail_code))+1
from ins_premium_det i),'58988','58988','02', '11000003','00','Request by Mr. Saqib Saleem 26-Mar-2025 Fresh');</v>
      </c>
      <c r="H51" s="19" t="str">
        <f t="shared" si="3"/>
        <v>insert into ins_premium_det (premium_rcv_code,assorted_code, rec_amount,premium_rcv_detail_code,remaining_amt, payrec, mode_code,coinsurance_code,class_cd,it_remarks) values('26Mar250058','070000176515','58988',(select max(to_number(i.premium_rcv_detail_code))+1
from ins_premium_det i),'58988','58988','02', '11000003','00','Request by Mr. Saqib Saleem 26-Mar-2025 Fresh');</v>
      </c>
    </row>
    <row r="52" spans="1:8" ht="89.25" x14ac:dyDescent="0.2">
      <c r="A52" s="4" t="s">
        <v>429</v>
      </c>
      <c r="B52" t="str">
        <f>VLOOKUP(A52,policy!B:C,2,0)</f>
        <v>070000176535</v>
      </c>
      <c r="C52" s="6">
        <v>54140</v>
      </c>
      <c r="D52" s="16">
        <f t="shared" si="1"/>
        <v>54140</v>
      </c>
      <c r="E52" s="20" t="s">
        <v>2238</v>
      </c>
      <c r="F52" s="17" t="str">
        <f t="shared" si="0"/>
        <v>insert into ins_premium_det (premium_rcv_code,assorted_code, rec_amount,premium_rcv_detail_code,remaining_amt, payrec, mode_code,coinsurance_code,class_cd,it_remarks) values</v>
      </c>
      <c r="G52" s="18" t="str">
        <f t="shared" si="2"/>
        <v>('26Mar250058','070000176535','54140',(select max(to_number(i.premium_rcv_detail_code))+1
from ins_premium_det i),'54140','54140','02', '11000003','00','Request by Mr. Saqib Saleem 26-Mar-2025 Fresh');</v>
      </c>
      <c r="H52" s="19" t="str">
        <f t="shared" si="3"/>
        <v>insert into ins_premium_det (premium_rcv_code,assorted_code, rec_amount,premium_rcv_detail_code,remaining_amt, payrec, mode_code,coinsurance_code,class_cd,it_remarks) values('26Mar250058','070000176535','54140',(select max(to_number(i.premium_rcv_detail_code))+1
from ins_premium_det i),'54140','54140','02', '11000003','00','Request by Mr. Saqib Saleem 26-Mar-2025 Fresh');</v>
      </c>
    </row>
    <row r="53" spans="1:8" ht="89.25" x14ac:dyDescent="0.2">
      <c r="A53" s="4" t="s">
        <v>435</v>
      </c>
      <c r="B53" t="str">
        <f>VLOOKUP(A53,policy!B:C,2,0)</f>
        <v>070000176564</v>
      </c>
      <c r="C53" s="6">
        <v>37120</v>
      </c>
      <c r="D53" s="16">
        <f t="shared" si="1"/>
        <v>37120</v>
      </c>
      <c r="E53" s="20" t="s">
        <v>2238</v>
      </c>
      <c r="F53" s="17" t="str">
        <f t="shared" si="0"/>
        <v>insert into ins_premium_det (premium_rcv_code,assorted_code, rec_amount,premium_rcv_detail_code,remaining_amt, payrec, mode_code,coinsurance_code,class_cd,it_remarks) values</v>
      </c>
      <c r="G53" s="18" t="str">
        <f t="shared" si="2"/>
        <v>('26Mar250058','070000176564','37120',(select max(to_number(i.premium_rcv_detail_code))+1
from ins_premium_det i),'37120','37120','02', '11000003','00','Request by Mr. Saqib Saleem 26-Mar-2025 Fresh');</v>
      </c>
      <c r="H53" s="19" t="str">
        <f t="shared" si="3"/>
        <v>insert into ins_premium_det (premium_rcv_code,assorted_code, rec_amount,premium_rcv_detail_code,remaining_amt, payrec, mode_code,coinsurance_code,class_cd,it_remarks) values('26Mar250058','070000176564','37120',(select max(to_number(i.premium_rcv_detail_code))+1
from ins_premium_det i),'37120','37120','02', '11000003','00','Request by Mr. Saqib Saleem 26-Mar-2025 Fresh');</v>
      </c>
    </row>
    <row r="54" spans="1:8" ht="89.25" x14ac:dyDescent="0.2">
      <c r="A54" s="4" t="s">
        <v>442</v>
      </c>
      <c r="B54" t="str">
        <f>VLOOKUP(A54,policy!B:C,2,0)</f>
        <v>070000177757</v>
      </c>
      <c r="C54" s="6">
        <v>82500</v>
      </c>
      <c r="D54" s="16">
        <f t="shared" si="1"/>
        <v>82500</v>
      </c>
      <c r="E54" s="20" t="s">
        <v>2238</v>
      </c>
      <c r="F54" s="17" t="str">
        <f t="shared" si="0"/>
        <v>insert into ins_premium_det (premium_rcv_code,assorted_code, rec_amount,premium_rcv_detail_code,remaining_amt, payrec, mode_code,coinsurance_code,class_cd,it_remarks) values</v>
      </c>
      <c r="G54" s="18" t="str">
        <f t="shared" si="2"/>
        <v>('26Mar250058','070000177757','82500',(select max(to_number(i.premium_rcv_detail_code))+1
from ins_premium_det i),'82500','82500','02', '11000003','00','Request by Mr. Saqib Saleem 26-Mar-2025 Fresh');</v>
      </c>
      <c r="H54" s="19" t="str">
        <f t="shared" si="3"/>
        <v>insert into ins_premium_det (premium_rcv_code,assorted_code, rec_amount,premium_rcv_detail_code,remaining_amt, payrec, mode_code,coinsurance_code,class_cd,it_remarks) values('26Mar250058','070000177757','82500',(select max(to_number(i.premium_rcv_detail_code))+1
from ins_premium_det i),'82500','82500','02', '11000003','00','Request by Mr. Saqib Saleem 26-Mar-2025 Fresh');</v>
      </c>
    </row>
    <row r="55" spans="1:8" ht="89.25" x14ac:dyDescent="0.2">
      <c r="A55" s="4" t="s">
        <v>449</v>
      </c>
      <c r="B55" t="str">
        <f>VLOOKUP(A55,policy!B:C,2,0)</f>
        <v>070000172863</v>
      </c>
      <c r="C55" s="6">
        <v>39000</v>
      </c>
      <c r="D55" s="16">
        <f t="shared" si="1"/>
        <v>39000</v>
      </c>
      <c r="E55" s="20" t="s">
        <v>2238</v>
      </c>
      <c r="F55" s="17" t="str">
        <f t="shared" si="0"/>
        <v>insert into ins_premium_det (premium_rcv_code,assorted_code, rec_amount,premium_rcv_detail_code,remaining_amt, payrec, mode_code,coinsurance_code,class_cd,it_remarks) values</v>
      </c>
      <c r="G55" s="18" t="str">
        <f t="shared" si="2"/>
        <v>('26Mar250058','070000172863','39000',(select max(to_number(i.premium_rcv_detail_code))+1
from ins_premium_det i),'39000','39000','02', '11000003','00','Request by Mr. Saqib Saleem 26-Mar-2025 Fresh');</v>
      </c>
      <c r="H55" s="19" t="str">
        <f t="shared" si="3"/>
        <v>insert into ins_premium_det (premium_rcv_code,assorted_code, rec_amount,premium_rcv_detail_code,remaining_amt, payrec, mode_code,coinsurance_code,class_cd,it_remarks) values('26Mar250058','070000172863','39000',(select max(to_number(i.premium_rcv_detail_code))+1
from ins_premium_det i),'39000','39000','02', '11000003','00','Request by Mr. Saqib Saleem 26-Mar-2025 Fresh');</v>
      </c>
    </row>
    <row r="56" spans="1:8" ht="89.25" x14ac:dyDescent="0.2">
      <c r="A56" s="4" t="s">
        <v>456</v>
      </c>
      <c r="B56" t="str">
        <f>VLOOKUP(A56,policy!B:C,2,0)</f>
        <v>070000172864</v>
      </c>
      <c r="C56" s="6">
        <v>70785</v>
      </c>
      <c r="D56" s="16">
        <f t="shared" si="1"/>
        <v>70785</v>
      </c>
      <c r="E56" s="20" t="s">
        <v>2238</v>
      </c>
      <c r="F56" s="17" t="str">
        <f t="shared" si="0"/>
        <v>insert into ins_premium_det (premium_rcv_code,assorted_code, rec_amount,premium_rcv_detail_code,remaining_amt, payrec, mode_code,coinsurance_code,class_cd,it_remarks) values</v>
      </c>
      <c r="G56" s="18" t="str">
        <f t="shared" si="2"/>
        <v>('26Mar250058','070000172864','70785',(select max(to_number(i.premium_rcv_detail_code))+1
from ins_premium_det i),'70785','70785','02', '11000003','00','Request by Mr. Saqib Saleem 26-Mar-2025 Fresh');</v>
      </c>
      <c r="H56" s="19" t="str">
        <f t="shared" si="3"/>
        <v>insert into ins_premium_det (premium_rcv_code,assorted_code, rec_amount,premium_rcv_detail_code,remaining_amt, payrec, mode_code,coinsurance_code,class_cd,it_remarks) values('26Mar250058','070000172864','70785',(select max(to_number(i.premium_rcv_detail_code))+1
from ins_premium_det i),'70785','70785','02', '11000003','00','Request by Mr. Saqib Saleem 26-Mar-2025 Fresh');</v>
      </c>
    </row>
    <row r="57" spans="1:8" ht="89.25" x14ac:dyDescent="0.2">
      <c r="A57" s="4" t="s">
        <v>462</v>
      </c>
      <c r="B57" t="str">
        <f>VLOOKUP(A57,policy!B:C,2,0)</f>
        <v>070000172880</v>
      </c>
      <c r="C57" s="6">
        <v>44000</v>
      </c>
      <c r="D57" s="16">
        <f t="shared" si="1"/>
        <v>44000</v>
      </c>
      <c r="E57" s="20" t="s">
        <v>2238</v>
      </c>
      <c r="F57" s="17" t="str">
        <f t="shared" si="0"/>
        <v>insert into ins_premium_det (premium_rcv_code,assorted_code, rec_amount,premium_rcv_detail_code,remaining_amt, payrec, mode_code,coinsurance_code,class_cd,it_remarks) values</v>
      </c>
      <c r="G57" s="18" t="str">
        <f t="shared" si="2"/>
        <v>('26Mar250058','070000172880','44000',(select max(to_number(i.premium_rcv_detail_code))+1
from ins_premium_det i),'44000','44000','02', '11000003','00','Request by Mr. Saqib Saleem 26-Mar-2025 Fresh');</v>
      </c>
      <c r="H57" s="19" t="str">
        <f t="shared" si="3"/>
        <v>insert into ins_premium_det (premium_rcv_code,assorted_code, rec_amount,premium_rcv_detail_code,remaining_amt, payrec, mode_code,coinsurance_code,class_cd,it_remarks) values('26Mar250058','070000172880','44000',(select max(to_number(i.premium_rcv_detail_code))+1
from ins_premium_det i),'44000','44000','02', '11000003','00','Request by Mr. Saqib Saleem 26-Mar-2025 Fresh');</v>
      </c>
    </row>
    <row r="58" spans="1:8" ht="89.25" x14ac:dyDescent="0.2">
      <c r="A58" s="4" t="s">
        <v>469</v>
      </c>
      <c r="B58" t="str">
        <f>VLOOKUP(A58,policy!B:C,2,0)</f>
        <v>070000172910</v>
      </c>
      <c r="C58" s="6">
        <v>90000</v>
      </c>
      <c r="D58" s="16">
        <f t="shared" si="1"/>
        <v>90000</v>
      </c>
      <c r="E58" s="20" t="s">
        <v>2238</v>
      </c>
      <c r="F58" s="17" t="str">
        <f t="shared" si="0"/>
        <v>insert into ins_premium_det (premium_rcv_code,assorted_code, rec_amount,premium_rcv_detail_code,remaining_amt, payrec, mode_code,coinsurance_code,class_cd,it_remarks) values</v>
      </c>
      <c r="G58" s="18" t="str">
        <f t="shared" si="2"/>
        <v>('26Mar250058','070000172910','90000',(select max(to_number(i.premium_rcv_detail_code))+1
from ins_premium_det i),'90000','90000','02', '11000003','00','Request by Mr. Saqib Saleem 26-Mar-2025 Fresh');</v>
      </c>
      <c r="H58" s="19" t="str">
        <f t="shared" si="3"/>
        <v>insert into ins_premium_det (premium_rcv_code,assorted_code, rec_amount,premium_rcv_detail_code,remaining_amt, payrec, mode_code,coinsurance_code,class_cd,it_remarks) values('26Mar250058','070000172910','90000',(select max(to_number(i.premium_rcv_detail_code))+1
from ins_premium_det i),'90000','90000','02', '11000003','00','Request by Mr. Saqib Saleem 26-Mar-2025 Fresh');</v>
      </c>
    </row>
    <row r="59" spans="1:8" ht="89.25" x14ac:dyDescent="0.2">
      <c r="A59" s="4" t="s">
        <v>477</v>
      </c>
      <c r="B59" t="str">
        <f>VLOOKUP(A59,policy!B:C,2,0)</f>
        <v>070000172922</v>
      </c>
      <c r="C59" s="6">
        <v>47000</v>
      </c>
      <c r="D59" s="16">
        <f t="shared" si="1"/>
        <v>47000</v>
      </c>
      <c r="E59" s="20" t="s">
        <v>2238</v>
      </c>
      <c r="F59" s="17" t="str">
        <f t="shared" si="0"/>
        <v>insert into ins_premium_det (premium_rcv_code,assorted_code, rec_amount,premium_rcv_detail_code,remaining_amt, payrec, mode_code,coinsurance_code,class_cd,it_remarks) values</v>
      </c>
      <c r="G59" s="18" t="str">
        <f t="shared" si="2"/>
        <v>('26Mar250058','070000172922','47000',(select max(to_number(i.premium_rcv_detail_code))+1
from ins_premium_det i),'47000','47000','02', '11000003','00','Request by Mr. Saqib Saleem 26-Mar-2025 Fresh');</v>
      </c>
      <c r="H59" s="19" t="str">
        <f t="shared" si="3"/>
        <v>insert into ins_premium_det (premium_rcv_code,assorted_code, rec_amount,premium_rcv_detail_code,remaining_amt, payrec, mode_code,coinsurance_code,class_cd,it_remarks) values('26Mar250058','070000172922','47000',(select max(to_number(i.premium_rcv_detail_code))+1
from ins_premium_det i),'47000','47000','02', '11000003','00','Request by Mr. Saqib Saleem 26-Mar-2025 Fresh');</v>
      </c>
    </row>
    <row r="60" spans="1:8" ht="89.25" x14ac:dyDescent="0.2">
      <c r="A60" s="4" t="s">
        <v>484</v>
      </c>
      <c r="B60" t="str">
        <f>VLOOKUP(A60,policy!B:C,2,0)</f>
        <v>070000173506</v>
      </c>
      <c r="C60" s="6">
        <v>54140</v>
      </c>
      <c r="D60" s="16">
        <f t="shared" si="1"/>
        <v>54140</v>
      </c>
      <c r="E60" s="20" t="s">
        <v>2238</v>
      </c>
      <c r="F60" s="17" t="str">
        <f t="shared" si="0"/>
        <v>insert into ins_premium_det (premium_rcv_code,assorted_code, rec_amount,premium_rcv_detail_code,remaining_amt, payrec, mode_code,coinsurance_code,class_cd,it_remarks) values</v>
      </c>
      <c r="G60" s="18" t="str">
        <f t="shared" si="2"/>
        <v>('26Mar250058','070000173506','54140',(select max(to_number(i.premium_rcv_detail_code))+1
from ins_premium_det i),'54140','54140','02', '11000003','00','Request by Mr. Saqib Saleem 26-Mar-2025 Fresh');</v>
      </c>
      <c r="H60" s="19" t="str">
        <f t="shared" si="3"/>
        <v>insert into ins_premium_det (premium_rcv_code,assorted_code, rec_amount,premium_rcv_detail_code,remaining_amt, payrec, mode_code,coinsurance_code,class_cd,it_remarks) values('26Mar250058','070000173506','54140',(select max(to_number(i.premium_rcv_detail_code))+1
from ins_premium_det i),'54140','54140','02', '11000003','00','Request by Mr. Saqib Saleem 26-Mar-2025 Fresh');</v>
      </c>
    </row>
    <row r="61" spans="1:8" ht="89.25" x14ac:dyDescent="0.2">
      <c r="A61" s="4" t="s">
        <v>490</v>
      </c>
      <c r="B61" t="str">
        <f>VLOOKUP(A61,policy!B:C,2,0)</f>
        <v>070000173507</v>
      </c>
      <c r="C61" s="6">
        <v>52000</v>
      </c>
      <c r="D61" s="16">
        <f t="shared" si="1"/>
        <v>52000</v>
      </c>
      <c r="E61" s="20" t="s">
        <v>2238</v>
      </c>
      <c r="F61" s="17" t="str">
        <f t="shared" si="0"/>
        <v>insert into ins_premium_det (premium_rcv_code,assorted_code, rec_amount,premium_rcv_detail_code,remaining_amt, payrec, mode_code,coinsurance_code,class_cd,it_remarks) values</v>
      </c>
      <c r="G61" s="18" t="str">
        <f t="shared" si="2"/>
        <v>('26Mar250058','070000173507','52000',(select max(to_number(i.premium_rcv_detail_code))+1
from ins_premium_det i),'52000','52000','02', '11000003','00','Request by Mr. Saqib Saleem 26-Mar-2025 Fresh');</v>
      </c>
      <c r="H61" s="19" t="str">
        <f t="shared" si="3"/>
        <v>insert into ins_premium_det (premium_rcv_code,assorted_code, rec_amount,premium_rcv_detail_code,remaining_amt, payrec, mode_code,coinsurance_code,class_cd,it_remarks) values('26Mar250058','070000173507','52000',(select max(to_number(i.premium_rcv_detail_code))+1
from ins_premium_det i),'52000','52000','02', '11000003','00','Request by Mr. Saqib Saleem 26-Mar-2025 Fresh');</v>
      </c>
    </row>
    <row r="62" spans="1:8" ht="89.25" x14ac:dyDescent="0.2">
      <c r="A62" s="4" t="s">
        <v>497</v>
      </c>
      <c r="B62" t="str">
        <f>VLOOKUP(A62,policy!B:C,2,0)</f>
        <v>070000173549</v>
      </c>
      <c r="C62" s="6">
        <v>60750</v>
      </c>
      <c r="D62" s="16">
        <f t="shared" si="1"/>
        <v>60750</v>
      </c>
      <c r="E62" s="20" t="s">
        <v>2238</v>
      </c>
      <c r="F62" s="17" t="str">
        <f t="shared" si="0"/>
        <v>insert into ins_premium_det (premium_rcv_code,assorted_code, rec_amount,premium_rcv_detail_code,remaining_amt, payrec, mode_code,coinsurance_code,class_cd,it_remarks) values</v>
      </c>
      <c r="G62" s="18" t="str">
        <f t="shared" si="2"/>
        <v>('26Mar250058','070000173549','60750',(select max(to_number(i.premium_rcv_detail_code))+1
from ins_premium_det i),'60750','60750','02', '11000003','00','Request by Mr. Saqib Saleem 26-Mar-2025 Fresh');</v>
      </c>
      <c r="H62" s="19" t="str">
        <f t="shared" si="3"/>
        <v>insert into ins_premium_det (premium_rcv_code,assorted_code, rec_amount,premium_rcv_detail_code,remaining_amt, payrec, mode_code,coinsurance_code,class_cd,it_remarks) values('26Mar250058','070000173549','60750',(select max(to_number(i.premium_rcv_detail_code))+1
from ins_premium_det i),'60750','60750','02', '11000003','00','Request by Mr. Saqib Saleem 26-Mar-2025 Fresh');</v>
      </c>
    </row>
    <row r="63" spans="1:8" ht="89.25" x14ac:dyDescent="0.2">
      <c r="A63" s="4" t="s">
        <v>504</v>
      </c>
      <c r="B63" t="str">
        <f>VLOOKUP(A63,policy!B:C,2,0)</f>
        <v>070000173550</v>
      </c>
      <c r="C63" s="6">
        <v>57000</v>
      </c>
      <c r="D63" s="16">
        <f t="shared" si="1"/>
        <v>57000</v>
      </c>
      <c r="E63" s="20" t="s">
        <v>2238</v>
      </c>
      <c r="F63" s="17" t="str">
        <f t="shared" si="0"/>
        <v>insert into ins_premium_det (premium_rcv_code,assorted_code, rec_amount,premium_rcv_detail_code,remaining_amt, payrec, mode_code,coinsurance_code,class_cd,it_remarks) values</v>
      </c>
      <c r="G63" s="18" t="str">
        <f t="shared" si="2"/>
        <v>('26Mar250058','070000173550','57000',(select max(to_number(i.premium_rcv_detail_code))+1
from ins_premium_det i),'57000','57000','02', '11000003','00','Request by Mr. Saqib Saleem 26-Mar-2025 Fresh');</v>
      </c>
      <c r="H63" s="19" t="str">
        <f t="shared" si="3"/>
        <v>insert into ins_premium_det (premium_rcv_code,assorted_code, rec_amount,premium_rcv_detail_code,remaining_amt, payrec, mode_code,coinsurance_code,class_cd,it_remarks) values('26Mar250058','070000173550','57000',(select max(to_number(i.premium_rcv_detail_code))+1
from ins_premium_det i),'57000','57000','02', '11000003','00','Request by Mr. Saqib Saleem 26-Mar-2025 Fresh');</v>
      </c>
    </row>
    <row r="64" spans="1:8" ht="89.25" x14ac:dyDescent="0.2">
      <c r="A64" s="4" t="s">
        <v>511</v>
      </c>
      <c r="B64" t="str">
        <f>VLOOKUP(A64,policy!B:C,2,0)</f>
        <v>070000173551</v>
      </c>
      <c r="C64" s="6">
        <v>44000</v>
      </c>
      <c r="D64" s="16">
        <f t="shared" si="1"/>
        <v>44000</v>
      </c>
      <c r="E64" s="20" t="s">
        <v>2238</v>
      </c>
      <c r="F64" s="17" t="str">
        <f t="shared" si="0"/>
        <v>insert into ins_premium_det (premium_rcv_code,assorted_code, rec_amount,premium_rcv_detail_code,remaining_amt, payrec, mode_code,coinsurance_code,class_cd,it_remarks) values</v>
      </c>
      <c r="G64" s="18" t="str">
        <f t="shared" si="2"/>
        <v>('26Mar250058','070000173551','44000',(select max(to_number(i.premium_rcv_detail_code))+1
from ins_premium_det i),'44000','44000','02', '11000003','00','Request by Mr. Saqib Saleem 26-Mar-2025 Fresh');</v>
      </c>
      <c r="H64" s="19" t="str">
        <f t="shared" si="3"/>
        <v>insert into ins_premium_det (premium_rcv_code,assorted_code, rec_amount,premium_rcv_detail_code,remaining_amt, payrec, mode_code,coinsurance_code,class_cd,it_remarks) values('26Mar250058','070000173551','44000',(select max(to_number(i.premium_rcv_detail_code))+1
from ins_premium_det i),'44000','44000','02', '11000003','00','Request by Mr. Saqib Saleem 26-Mar-2025 Fresh');</v>
      </c>
    </row>
    <row r="65" spans="1:8" ht="89.25" x14ac:dyDescent="0.2">
      <c r="A65" s="4" t="s">
        <v>518</v>
      </c>
      <c r="B65" t="str">
        <f>VLOOKUP(A65,policy!B:C,2,0)</f>
        <v>070000173573</v>
      </c>
      <c r="C65" s="6">
        <v>82500</v>
      </c>
      <c r="D65" s="16">
        <f t="shared" si="1"/>
        <v>82500</v>
      </c>
      <c r="E65" s="20" t="s">
        <v>2238</v>
      </c>
      <c r="F65" s="17" t="str">
        <f t="shared" si="0"/>
        <v>insert into ins_premium_det (premium_rcv_code,assorted_code, rec_amount,premium_rcv_detail_code,remaining_amt, payrec, mode_code,coinsurance_code,class_cd,it_remarks) values</v>
      </c>
      <c r="G65" s="18" t="str">
        <f t="shared" si="2"/>
        <v>('26Mar250058','070000173573','82500',(select max(to_number(i.premium_rcv_detail_code))+1
from ins_premium_det i),'82500','82500','02', '11000003','00','Request by Mr. Saqib Saleem 26-Mar-2025 Fresh');</v>
      </c>
      <c r="H65" s="19" t="str">
        <f t="shared" si="3"/>
        <v>insert into ins_premium_det (premium_rcv_code,assorted_code, rec_amount,premium_rcv_detail_code,remaining_amt, payrec, mode_code,coinsurance_code,class_cd,it_remarks) values('26Mar250058','070000173573','82500',(select max(to_number(i.premium_rcv_detail_code))+1
from ins_premium_det i),'82500','82500','02', '11000003','00','Request by Mr. Saqib Saleem 26-Mar-2025 Fresh');</v>
      </c>
    </row>
    <row r="66" spans="1:8" ht="89.25" x14ac:dyDescent="0.2">
      <c r="A66" s="4" t="s">
        <v>525</v>
      </c>
      <c r="B66" t="str">
        <f>VLOOKUP(A66,policy!B:C,2,0)</f>
        <v>070000173575</v>
      </c>
      <c r="C66" s="6">
        <v>69000</v>
      </c>
      <c r="D66" s="16">
        <f t="shared" si="1"/>
        <v>69000</v>
      </c>
      <c r="E66" s="20" t="s">
        <v>2238</v>
      </c>
      <c r="F66" s="17" t="str">
        <f t="shared" ref="F66:F77" si="4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66" s="18" t="str">
        <f t="shared" si="2"/>
        <v>('26Mar250058','070000173575','69000',(select max(to_number(i.premium_rcv_detail_code))+1
from ins_premium_det i),'69000','69000','02', '11000003','00','Request by Mr. Saqib Saleem 26-Mar-2025 Fresh');</v>
      </c>
      <c r="H66" s="19" t="str">
        <f t="shared" si="3"/>
        <v>insert into ins_premium_det (premium_rcv_code,assorted_code, rec_amount,premium_rcv_detail_code,remaining_amt, payrec, mode_code,coinsurance_code,class_cd,it_remarks) values('26Mar250058','070000173575','69000',(select max(to_number(i.premium_rcv_detail_code))+1
from ins_premium_det i),'69000','69000','02', '11000003','00','Request by Mr. Saqib Saleem 26-Mar-2025 Fresh');</v>
      </c>
    </row>
    <row r="67" spans="1:8" ht="89.25" x14ac:dyDescent="0.2">
      <c r="A67" s="4" t="s">
        <v>532</v>
      </c>
      <c r="B67" t="str">
        <f>VLOOKUP(A67,policy!B:C,2,0)</f>
        <v>070000173580</v>
      </c>
      <c r="C67" s="6">
        <v>36000</v>
      </c>
      <c r="D67" s="16">
        <f t="shared" ref="D67:D77" si="5">ROUND(C67,0)</f>
        <v>36000</v>
      </c>
      <c r="E67" s="20" t="s">
        <v>2238</v>
      </c>
      <c r="F67" s="17" t="str">
        <f t="shared" si="4"/>
        <v>insert into ins_premium_det (premium_rcv_code,assorted_code, rec_amount,premium_rcv_detail_code,remaining_amt, payrec, mode_code,coinsurance_code,class_cd,it_remarks) values</v>
      </c>
      <c r="G67" s="18" t="str">
        <f t="shared" ref="G67:G77" si="6">"('"&amp;E67&amp;"','"&amp;B67&amp;"','"&amp;D67&amp;"',(select max(to_number(i.premium_rcv_detail_code))+1
from ins_premium_det i),'"&amp;D67&amp;"','"&amp;D67&amp;"','02', '11000003','00','Request by Mr. Saqib Saleem 26-Mar-2025 Fresh');"</f>
        <v>('26Mar250058','070000173580','36000',(select max(to_number(i.premium_rcv_detail_code))+1
from ins_premium_det i),'36000','36000','02', '11000003','00','Request by Mr. Saqib Saleem 26-Mar-2025 Fresh');</v>
      </c>
      <c r="H67" s="19" t="str">
        <f t="shared" ref="H67:H77" si="7">F67&amp;G67</f>
        <v>insert into ins_premium_det (premium_rcv_code,assorted_code, rec_amount,premium_rcv_detail_code,remaining_amt, payrec, mode_code,coinsurance_code,class_cd,it_remarks) values('26Mar250058','070000173580','36000',(select max(to_number(i.premium_rcv_detail_code))+1
from ins_premium_det i),'36000','36000','02', '11000003','00','Request by Mr. Saqib Saleem 26-Mar-2025 Fresh');</v>
      </c>
    </row>
    <row r="68" spans="1:8" ht="89.25" x14ac:dyDescent="0.2">
      <c r="A68" s="4" t="s">
        <v>539</v>
      </c>
      <c r="B68" t="str">
        <f>VLOOKUP(A68,policy!B:C,2,0)</f>
        <v>070000173582</v>
      </c>
      <c r="C68" s="6">
        <v>67500</v>
      </c>
      <c r="D68" s="16">
        <f t="shared" si="5"/>
        <v>67500</v>
      </c>
      <c r="E68" s="20" t="s">
        <v>2238</v>
      </c>
      <c r="F68" s="17" t="str">
        <f t="shared" si="4"/>
        <v>insert into ins_premium_det (premium_rcv_code,assorted_code, rec_amount,premium_rcv_detail_code,remaining_amt, payrec, mode_code,coinsurance_code,class_cd,it_remarks) values</v>
      </c>
      <c r="G68" s="18" t="str">
        <f t="shared" si="6"/>
        <v>('26Mar250058','070000173582','67500',(select max(to_number(i.premium_rcv_detail_code))+1
from ins_premium_det i),'67500','67500','02', '11000003','00','Request by Mr. Saqib Saleem 26-Mar-2025 Fresh');</v>
      </c>
      <c r="H68" s="19" t="str">
        <f t="shared" si="7"/>
        <v>insert into ins_premium_det (premium_rcv_code,assorted_code, rec_amount,premium_rcv_detail_code,remaining_amt, payrec, mode_code,coinsurance_code,class_cd,it_remarks) values('26Mar250058','070000173582','67500',(select max(to_number(i.premium_rcv_detail_code))+1
from ins_premium_det i),'67500','67500','02', '11000003','00','Request by Mr. Saqib Saleem 26-Mar-2025 Fresh');</v>
      </c>
    </row>
    <row r="69" spans="1:8" ht="89.25" x14ac:dyDescent="0.2">
      <c r="A69" s="4" t="s">
        <v>546</v>
      </c>
      <c r="B69" t="str">
        <f>VLOOKUP(A69,policy!B:C,2,0)</f>
        <v>070000173583</v>
      </c>
      <c r="C69" s="6">
        <v>79500</v>
      </c>
      <c r="D69" s="16">
        <f t="shared" si="5"/>
        <v>79500</v>
      </c>
      <c r="E69" s="20" t="s">
        <v>2238</v>
      </c>
      <c r="F69" s="17" t="str">
        <f t="shared" si="4"/>
        <v>insert into ins_premium_det (premium_rcv_code,assorted_code, rec_amount,premium_rcv_detail_code,remaining_amt, payrec, mode_code,coinsurance_code,class_cd,it_remarks) values</v>
      </c>
      <c r="G69" s="18" t="str">
        <f t="shared" si="6"/>
        <v>('26Mar250058','070000173583','79500',(select max(to_number(i.premium_rcv_detail_code))+1
from ins_premium_det i),'79500','79500','02', '11000003','00','Request by Mr. Saqib Saleem 26-Mar-2025 Fresh');</v>
      </c>
      <c r="H69" s="19" t="str">
        <f t="shared" si="7"/>
        <v>insert into ins_premium_det (premium_rcv_code,assorted_code, rec_amount,premium_rcv_detail_code,remaining_amt, payrec, mode_code,coinsurance_code,class_cd,it_remarks) values('26Mar250058','070000173583','79500',(select max(to_number(i.premium_rcv_detail_code))+1
from ins_premium_det i),'79500','79500','02', '11000003','00','Request by Mr. Saqib Saleem 26-Mar-2025 Fresh');</v>
      </c>
    </row>
    <row r="70" spans="1:8" ht="89.25" x14ac:dyDescent="0.2">
      <c r="A70" s="4" t="s">
        <v>553</v>
      </c>
      <c r="B70" t="str">
        <f>VLOOKUP(A70,policy!B:C,2,0)</f>
        <v>070000173584</v>
      </c>
      <c r="C70" s="6">
        <v>42000</v>
      </c>
      <c r="D70" s="16">
        <f t="shared" si="5"/>
        <v>42000</v>
      </c>
      <c r="E70" s="20" t="s">
        <v>2238</v>
      </c>
      <c r="F70" s="17" t="str">
        <f t="shared" si="4"/>
        <v>insert into ins_premium_det (premium_rcv_code,assorted_code, rec_amount,premium_rcv_detail_code,remaining_amt, payrec, mode_code,coinsurance_code,class_cd,it_remarks) values</v>
      </c>
      <c r="G70" s="18" t="str">
        <f t="shared" si="6"/>
        <v>('26Mar250058','070000173584','42000',(select max(to_number(i.premium_rcv_detail_code))+1
from ins_premium_det i),'42000','42000','02', '11000003','00','Request by Mr. Saqib Saleem 26-Mar-2025 Fresh');</v>
      </c>
      <c r="H70" s="19" t="str">
        <f t="shared" si="7"/>
        <v>insert into ins_premium_det (premium_rcv_code,assorted_code, rec_amount,premium_rcv_detail_code,remaining_amt, payrec, mode_code,coinsurance_code,class_cd,it_remarks) values('26Mar250058','070000173584','42000',(select max(to_number(i.premium_rcv_detail_code))+1
from ins_premium_det i),'42000','42000','02', '11000003','00','Request by Mr. Saqib Saleem 26-Mar-2025 Fresh');</v>
      </c>
    </row>
    <row r="71" spans="1:8" ht="89.25" x14ac:dyDescent="0.2">
      <c r="A71" s="4" t="s">
        <v>560</v>
      </c>
      <c r="B71" t="str">
        <f>VLOOKUP(A71,policy!B:C,2,0)</f>
        <v>070000173587</v>
      </c>
      <c r="C71" s="6">
        <v>67500</v>
      </c>
      <c r="D71" s="16">
        <f t="shared" si="5"/>
        <v>67500</v>
      </c>
      <c r="E71" s="20" t="s">
        <v>2238</v>
      </c>
      <c r="F71" s="17" t="str">
        <f t="shared" si="4"/>
        <v>insert into ins_premium_det (premium_rcv_code,assorted_code, rec_amount,premium_rcv_detail_code,remaining_amt, payrec, mode_code,coinsurance_code,class_cd,it_remarks) values</v>
      </c>
      <c r="G71" s="18" t="str">
        <f t="shared" si="6"/>
        <v>('26Mar250058','070000173587','67500',(select max(to_number(i.premium_rcv_detail_code))+1
from ins_premium_det i),'67500','67500','02', '11000003','00','Request by Mr. Saqib Saleem 26-Mar-2025 Fresh');</v>
      </c>
      <c r="H71" s="19" t="str">
        <f t="shared" si="7"/>
        <v>insert into ins_premium_det (premium_rcv_code,assorted_code, rec_amount,premium_rcv_detail_code,remaining_amt, payrec, mode_code,coinsurance_code,class_cd,it_remarks) values('26Mar250058','070000173587','67500',(select max(to_number(i.premium_rcv_detail_code))+1
from ins_premium_det i),'67500','67500','02', '11000003','00','Request by Mr. Saqib Saleem 26-Mar-2025 Fresh');</v>
      </c>
    </row>
    <row r="72" spans="1:8" ht="89.25" x14ac:dyDescent="0.2">
      <c r="A72" s="4" t="s">
        <v>568</v>
      </c>
      <c r="B72" t="str">
        <f>VLOOKUP(A72,policy!B:C,2,0)</f>
        <v>070000173590</v>
      </c>
      <c r="C72" s="6">
        <v>54140</v>
      </c>
      <c r="D72" s="16">
        <f t="shared" si="5"/>
        <v>54140</v>
      </c>
      <c r="E72" s="20" t="s">
        <v>2238</v>
      </c>
      <c r="F72" s="17" t="str">
        <f t="shared" si="4"/>
        <v>insert into ins_premium_det (premium_rcv_code,assorted_code, rec_amount,premium_rcv_detail_code,remaining_amt, payrec, mode_code,coinsurance_code,class_cd,it_remarks) values</v>
      </c>
      <c r="G72" s="18" t="str">
        <f t="shared" si="6"/>
        <v>('26Mar250058','070000173590','54140',(select max(to_number(i.premium_rcv_detail_code))+1
from ins_premium_det i),'54140','54140','02', '11000003','00','Request by Mr. Saqib Saleem 26-Mar-2025 Fresh');</v>
      </c>
      <c r="H72" s="19" t="str">
        <f t="shared" si="7"/>
        <v>insert into ins_premium_det (premium_rcv_code,assorted_code, rec_amount,premium_rcv_detail_code,remaining_amt, payrec, mode_code,coinsurance_code,class_cd,it_remarks) values('26Mar250058','070000173590','54140',(select max(to_number(i.premium_rcv_detail_code))+1
from ins_premium_det i),'54140','54140','02', '11000003','00','Request by Mr. Saqib Saleem 26-Mar-2025 Fresh');</v>
      </c>
    </row>
    <row r="73" spans="1:8" ht="89.25" x14ac:dyDescent="0.2">
      <c r="A73" s="4" t="s">
        <v>574</v>
      </c>
      <c r="B73" t="str">
        <f>VLOOKUP(A73,policy!B:C,2,0)</f>
        <v>070000173594</v>
      </c>
      <c r="C73" s="6">
        <v>66000</v>
      </c>
      <c r="D73" s="16">
        <f t="shared" si="5"/>
        <v>66000</v>
      </c>
      <c r="E73" s="20" t="s">
        <v>2238</v>
      </c>
      <c r="F73" s="17" t="str">
        <f t="shared" si="4"/>
        <v>insert into ins_premium_det (premium_rcv_code,assorted_code, rec_amount,premium_rcv_detail_code,remaining_amt, payrec, mode_code,coinsurance_code,class_cd,it_remarks) values</v>
      </c>
      <c r="G73" s="18" t="str">
        <f t="shared" si="6"/>
        <v>('26Mar250058','070000173594','66000',(select max(to_number(i.premium_rcv_detail_code))+1
from ins_premium_det i),'66000','66000','02', '11000003','00','Request by Mr. Saqib Saleem 26-Mar-2025 Fresh');</v>
      </c>
      <c r="H73" s="19" t="str">
        <f t="shared" si="7"/>
        <v>insert into ins_premium_det (premium_rcv_code,assorted_code, rec_amount,premium_rcv_detail_code,remaining_amt, payrec, mode_code,coinsurance_code,class_cd,it_remarks) values('26Mar250058','070000173594','66000',(select max(to_number(i.premium_rcv_detail_code))+1
from ins_premium_det i),'66000','66000','02', '11000003','00','Request by Mr. Saqib Saleem 26-Mar-2025 Fresh');</v>
      </c>
    </row>
    <row r="74" spans="1:8" ht="89.25" x14ac:dyDescent="0.2">
      <c r="A74" s="4" t="s">
        <v>581</v>
      </c>
      <c r="B74" t="str">
        <f>VLOOKUP(A74,policy!B:C,2,0)</f>
        <v>070000173595</v>
      </c>
      <c r="C74" s="6">
        <v>44300</v>
      </c>
      <c r="D74" s="16">
        <f t="shared" si="5"/>
        <v>44300</v>
      </c>
      <c r="E74" s="20" t="s">
        <v>2238</v>
      </c>
      <c r="F74" s="17" t="str">
        <f t="shared" si="4"/>
        <v>insert into ins_premium_det (premium_rcv_code,assorted_code, rec_amount,premium_rcv_detail_code,remaining_amt, payrec, mode_code,coinsurance_code,class_cd,it_remarks) values</v>
      </c>
      <c r="G74" s="18" t="str">
        <f t="shared" si="6"/>
        <v>('26Mar250058','070000173595','44300',(select max(to_number(i.premium_rcv_detail_code))+1
from ins_premium_det i),'44300','44300','02', '11000003','00','Request by Mr. Saqib Saleem 26-Mar-2025 Fresh');</v>
      </c>
      <c r="H74" s="19" t="str">
        <f t="shared" si="7"/>
        <v>insert into ins_premium_det (premium_rcv_code,assorted_code, rec_amount,premium_rcv_detail_code,remaining_amt, payrec, mode_code,coinsurance_code,class_cd,it_remarks) values('26Mar250058','070000173595','44300',(select max(to_number(i.premium_rcv_detail_code))+1
from ins_premium_det i),'44300','44300','02', '11000003','00','Request by Mr. Saqib Saleem 26-Mar-2025 Fresh');</v>
      </c>
    </row>
    <row r="75" spans="1:8" ht="89.25" x14ac:dyDescent="0.2">
      <c r="A75" s="4" t="s">
        <v>588</v>
      </c>
      <c r="B75" t="str">
        <f>VLOOKUP(A75,policy!B:C,2,0)</f>
        <v>070000173596</v>
      </c>
      <c r="C75" s="6">
        <v>66750</v>
      </c>
      <c r="D75" s="16">
        <f t="shared" si="5"/>
        <v>66750</v>
      </c>
      <c r="E75" s="20" t="s">
        <v>2238</v>
      </c>
      <c r="F75" s="17" t="str">
        <f t="shared" si="4"/>
        <v>insert into ins_premium_det (premium_rcv_code,assorted_code, rec_amount,premium_rcv_detail_code,remaining_amt, payrec, mode_code,coinsurance_code,class_cd,it_remarks) values</v>
      </c>
      <c r="G75" s="18" t="str">
        <f t="shared" si="6"/>
        <v>('26Mar250058','070000173596','66750',(select max(to_number(i.premium_rcv_detail_code))+1
from ins_premium_det i),'66750','66750','02', '11000003','00','Request by Mr. Saqib Saleem 26-Mar-2025 Fresh');</v>
      </c>
      <c r="H75" s="19" t="str">
        <f t="shared" si="7"/>
        <v>insert into ins_premium_det (premium_rcv_code,assorted_code, rec_amount,premium_rcv_detail_code,remaining_amt, payrec, mode_code,coinsurance_code,class_cd,it_remarks) values('26Mar250058','070000173596','66750',(select max(to_number(i.premium_rcv_detail_code))+1
from ins_premium_det i),'66750','66750','02', '11000003','00','Request by Mr. Saqib Saleem 26-Mar-2025 Fresh');</v>
      </c>
    </row>
    <row r="76" spans="1:8" ht="89.25" x14ac:dyDescent="0.2">
      <c r="A76" s="4" t="s">
        <v>595</v>
      </c>
      <c r="B76" t="str">
        <f>VLOOKUP(A76,policy!B:C,2,0)</f>
        <v>070000172597</v>
      </c>
      <c r="C76" s="6">
        <v>37120</v>
      </c>
      <c r="D76" s="16">
        <f t="shared" si="5"/>
        <v>37120</v>
      </c>
      <c r="E76" s="20" t="s">
        <v>2238</v>
      </c>
      <c r="F76" s="17" t="str">
        <f t="shared" si="4"/>
        <v>insert into ins_premium_det (premium_rcv_code,assorted_code, rec_amount,premium_rcv_detail_code,remaining_amt, payrec, mode_code,coinsurance_code,class_cd,it_remarks) values</v>
      </c>
      <c r="G76" s="18" t="str">
        <f t="shared" si="6"/>
        <v>('26Mar250058','070000172597','37120',(select max(to_number(i.premium_rcv_detail_code))+1
from ins_premium_det i),'37120','37120','02', '11000003','00','Request by Mr. Saqib Saleem 26-Mar-2025 Fresh');</v>
      </c>
      <c r="H76" s="19" t="str">
        <f t="shared" si="7"/>
        <v>insert into ins_premium_det (premium_rcv_code,assorted_code, rec_amount,premium_rcv_detail_code,remaining_amt, payrec, mode_code,coinsurance_code,class_cd,it_remarks) values('26Mar250058','070000172597','37120',(select max(to_number(i.premium_rcv_detail_code))+1
from ins_premium_det i),'37120','37120','02', '11000003','00','Request by Mr. Saqib Saleem 26-Mar-2025 Fresh');</v>
      </c>
    </row>
    <row r="77" spans="1:8" ht="89.25" x14ac:dyDescent="0.2">
      <c r="A77" s="4" t="s">
        <v>601</v>
      </c>
      <c r="B77" t="str">
        <f>VLOOKUP(A77,policy!B:C,2,0)</f>
        <v>070000175570</v>
      </c>
      <c r="C77" s="6">
        <v>54140</v>
      </c>
      <c r="D77" s="16">
        <f t="shared" si="5"/>
        <v>54140</v>
      </c>
      <c r="E77" s="20" t="s">
        <v>2238</v>
      </c>
      <c r="F77" s="17" t="str">
        <f t="shared" si="4"/>
        <v>insert into ins_premium_det (premium_rcv_code,assorted_code, rec_amount,premium_rcv_detail_code,remaining_amt, payrec, mode_code,coinsurance_code,class_cd,it_remarks) values</v>
      </c>
      <c r="G77" s="18" t="str">
        <f t="shared" si="6"/>
        <v>('26Mar250058','070000175570','54140',(select max(to_number(i.premium_rcv_detail_code))+1
from ins_premium_det i),'54140','54140','02', '11000003','00','Request by Mr. Saqib Saleem 26-Mar-2025 Fresh');</v>
      </c>
      <c r="H77" s="19" t="str">
        <f t="shared" si="7"/>
        <v>insert into ins_premium_det (premium_rcv_code,assorted_code, rec_amount,premium_rcv_detail_code,remaining_amt, payrec, mode_code,coinsurance_code,class_cd,it_remarks) values('26Mar250058','070000175570','54140',(select max(to_number(i.premium_rcv_detail_code))+1
from ins_premium_det i),'54140','54140','02', '11000003','00','Request by Mr. Saqib Saleem 26-Mar-2025 Fresh');</v>
      </c>
    </row>
    <row r="79" spans="1:8" x14ac:dyDescent="0.2">
      <c r="C79" s="3">
        <f>SUM(C2:C77)</f>
        <v>4737068</v>
      </c>
    </row>
  </sheetData>
  <conditionalFormatting sqref="A1">
    <cfRule type="duplicateValues" dxfId="7" priority="1"/>
  </conditionalFormatting>
  <conditionalFormatting sqref="B2:B77">
    <cfRule type="duplicateValues" dxfId="6" priority="2"/>
    <cfRule type="duplicateValues" dxfId="5" priority="3"/>
    <cfRule type="duplicateValues" dxfId="4" priority="4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462C0-9BD3-477B-9E9A-B97E4E52BC7A}">
  <dimension ref="A1:J76"/>
  <sheetViews>
    <sheetView topLeftCell="A34" workbookViewId="0">
      <selection activeCell="J34" sqref="J34"/>
    </sheetView>
  </sheetViews>
  <sheetFormatPr defaultRowHeight="12.75" x14ac:dyDescent="0.2"/>
  <cols>
    <col min="1" max="1" width="41.140625" bestFit="1" customWidth="1"/>
  </cols>
  <sheetData>
    <row r="1" spans="1:10" x14ac:dyDescent="0.2">
      <c r="A1" s="4" t="s">
        <v>71</v>
      </c>
      <c r="B1" t="s">
        <v>2099</v>
      </c>
      <c r="H1">
        <v>106977</v>
      </c>
      <c r="I1" t="s">
        <v>2102</v>
      </c>
      <c r="J1" s="12" t="str">
        <f>"ia.assorted_string like '%"&amp;H1&amp;"-"&amp;I1&amp;B1&amp;"%' or"</f>
        <v>ia.assorted_string like '%106977-00040-02-2025%' or</v>
      </c>
    </row>
    <row r="2" spans="1:10" x14ac:dyDescent="0.2">
      <c r="A2" s="4" t="s">
        <v>80</v>
      </c>
      <c r="B2" t="s">
        <v>2099</v>
      </c>
      <c r="H2">
        <v>106977</v>
      </c>
      <c r="I2" t="s">
        <v>2103</v>
      </c>
      <c r="J2" s="12" t="str">
        <f t="shared" ref="J2:J65" si="0">"ia.assorted_string like '%"&amp;H2&amp;"-"&amp;I2&amp;B2&amp;"%' or"</f>
        <v>ia.assorted_string like '%106977-00044-02-2025%' or</v>
      </c>
    </row>
    <row r="3" spans="1:10" x14ac:dyDescent="0.2">
      <c r="A3" s="4" t="s">
        <v>87</v>
      </c>
      <c r="B3" t="s">
        <v>2099</v>
      </c>
      <c r="H3">
        <v>106977</v>
      </c>
      <c r="I3" t="s">
        <v>2104</v>
      </c>
      <c r="J3" s="12" t="str">
        <f t="shared" si="0"/>
        <v>ia.assorted_string like '%106977-00016-02-2025%' or</v>
      </c>
    </row>
    <row r="4" spans="1:10" x14ac:dyDescent="0.2">
      <c r="A4" s="4" t="s">
        <v>94</v>
      </c>
      <c r="B4" t="s">
        <v>2099</v>
      </c>
      <c r="H4">
        <v>106977</v>
      </c>
      <c r="I4" t="s">
        <v>2105</v>
      </c>
      <c r="J4" s="12" t="str">
        <f t="shared" si="0"/>
        <v>ia.assorted_string like '%106977-00029-02-2025%' or</v>
      </c>
    </row>
    <row r="5" spans="1:10" x14ac:dyDescent="0.2">
      <c r="A5" s="4" t="s">
        <v>101</v>
      </c>
      <c r="B5" t="s">
        <v>2099</v>
      </c>
      <c r="H5">
        <v>106977</v>
      </c>
      <c r="I5" t="s">
        <v>2106</v>
      </c>
      <c r="J5" s="12" t="str">
        <f t="shared" si="0"/>
        <v>ia.assorted_string like '%106977-00032-02-2025%' or</v>
      </c>
    </row>
    <row r="6" spans="1:10" x14ac:dyDescent="0.2">
      <c r="A6" s="4" t="s">
        <v>109</v>
      </c>
      <c r="B6" t="s">
        <v>2099</v>
      </c>
      <c r="H6">
        <v>106977</v>
      </c>
      <c r="I6" t="s">
        <v>2107</v>
      </c>
      <c r="J6" s="12" t="str">
        <f t="shared" si="0"/>
        <v>ia.assorted_string like '%106977-00035-02-2025%' or</v>
      </c>
    </row>
    <row r="7" spans="1:10" x14ac:dyDescent="0.2">
      <c r="A7" s="4" t="s">
        <v>116</v>
      </c>
      <c r="B7" t="s">
        <v>2099</v>
      </c>
      <c r="H7">
        <v>106977</v>
      </c>
      <c r="I7" t="s">
        <v>2108</v>
      </c>
      <c r="J7" s="12" t="str">
        <f t="shared" si="0"/>
        <v>ia.assorted_string like '%106977-00036-02-2025%' or</v>
      </c>
    </row>
    <row r="8" spans="1:10" x14ac:dyDescent="0.2">
      <c r="A8" s="4" t="s">
        <v>123</v>
      </c>
      <c r="B8" t="s">
        <v>2099</v>
      </c>
      <c r="H8">
        <v>106977</v>
      </c>
      <c r="I8" t="s">
        <v>2109</v>
      </c>
      <c r="J8" s="12" t="str">
        <f t="shared" si="0"/>
        <v>ia.assorted_string like '%106977-00043-02-2025%' or</v>
      </c>
    </row>
    <row r="9" spans="1:10" x14ac:dyDescent="0.2">
      <c r="A9" s="4" t="s">
        <v>130</v>
      </c>
      <c r="B9" t="s">
        <v>2099</v>
      </c>
      <c r="H9">
        <v>106977</v>
      </c>
      <c r="I9" t="s">
        <v>2110</v>
      </c>
      <c r="J9" s="12" t="str">
        <f t="shared" si="0"/>
        <v>ia.assorted_string like '%106977-00048-02-2025%' or</v>
      </c>
    </row>
    <row r="10" spans="1:10" x14ac:dyDescent="0.2">
      <c r="A10" s="4" t="s">
        <v>138</v>
      </c>
      <c r="B10" t="s">
        <v>2099</v>
      </c>
      <c r="H10">
        <v>106977</v>
      </c>
      <c r="I10" t="s">
        <v>2111</v>
      </c>
      <c r="J10" s="12" t="str">
        <f t="shared" si="0"/>
        <v>ia.assorted_string like '%106977-00049-02-2025%' or</v>
      </c>
    </row>
    <row r="11" spans="1:10" x14ac:dyDescent="0.2">
      <c r="A11" s="4" t="s">
        <v>146</v>
      </c>
      <c r="B11" t="s">
        <v>2099</v>
      </c>
      <c r="H11">
        <v>106977</v>
      </c>
      <c r="I11" t="s">
        <v>2112</v>
      </c>
      <c r="J11" s="12" t="str">
        <f t="shared" si="0"/>
        <v>ia.assorted_string like '%106977-00050-02-2025%' or</v>
      </c>
    </row>
    <row r="12" spans="1:10" x14ac:dyDescent="0.2">
      <c r="A12" s="4" t="s">
        <v>154</v>
      </c>
      <c r="B12" t="s">
        <v>2099</v>
      </c>
      <c r="H12">
        <v>106977</v>
      </c>
      <c r="I12" t="s">
        <v>2113</v>
      </c>
      <c r="J12" s="12" t="str">
        <f t="shared" si="0"/>
        <v>ia.assorted_string like '%106977-00051-02-2025%' or</v>
      </c>
    </row>
    <row r="13" spans="1:10" x14ac:dyDescent="0.2">
      <c r="A13" s="4" t="s">
        <v>160</v>
      </c>
      <c r="B13" t="s">
        <v>2099</v>
      </c>
      <c r="H13">
        <v>106977</v>
      </c>
      <c r="I13" t="s">
        <v>2114</v>
      </c>
      <c r="J13" s="12" t="str">
        <f t="shared" si="0"/>
        <v>ia.assorted_string like '%106977-00052-02-2025%' or</v>
      </c>
    </row>
    <row r="14" spans="1:10" x14ac:dyDescent="0.2">
      <c r="A14" s="4" t="s">
        <v>167</v>
      </c>
      <c r="B14" t="s">
        <v>2099</v>
      </c>
      <c r="H14">
        <v>106977</v>
      </c>
      <c r="I14" t="s">
        <v>2115</v>
      </c>
      <c r="J14" s="12" t="str">
        <f t="shared" si="0"/>
        <v>ia.assorted_string like '%106977-00047-02-2025%' or</v>
      </c>
    </row>
    <row r="15" spans="1:10" x14ac:dyDescent="0.2">
      <c r="A15" s="4" t="s">
        <v>174</v>
      </c>
      <c r="B15" t="s">
        <v>2099</v>
      </c>
      <c r="H15">
        <v>106977</v>
      </c>
      <c r="I15" t="s">
        <v>2116</v>
      </c>
      <c r="J15" s="12" t="str">
        <f t="shared" si="0"/>
        <v>ia.assorted_string like '%106977-00054-02-2025%' or</v>
      </c>
    </row>
    <row r="16" spans="1:10" x14ac:dyDescent="0.2">
      <c r="A16" s="4" t="s">
        <v>183</v>
      </c>
      <c r="B16" t="s">
        <v>2099</v>
      </c>
      <c r="H16">
        <v>106977</v>
      </c>
      <c r="I16" t="s">
        <v>2117</v>
      </c>
      <c r="J16" s="12" t="str">
        <f t="shared" si="0"/>
        <v>ia.assorted_string like '%106977-00001-02-2025%' or</v>
      </c>
    </row>
    <row r="17" spans="1:10" x14ac:dyDescent="0.2">
      <c r="A17" s="4" t="s">
        <v>189</v>
      </c>
      <c r="B17" t="s">
        <v>2099</v>
      </c>
      <c r="H17">
        <v>106977</v>
      </c>
      <c r="I17" t="s">
        <v>2118</v>
      </c>
      <c r="J17" s="12" t="str">
        <f t="shared" si="0"/>
        <v>ia.assorted_string like '%106977-00010-02-2025%' or</v>
      </c>
    </row>
    <row r="18" spans="1:10" x14ac:dyDescent="0.2">
      <c r="A18" s="4" t="s">
        <v>195</v>
      </c>
      <c r="B18" t="s">
        <v>2099</v>
      </c>
      <c r="H18">
        <v>106977</v>
      </c>
      <c r="I18" t="s">
        <v>2119</v>
      </c>
      <c r="J18" s="12" t="str">
        <f t="shared" si="0"/>
        <v>ia.assorted_string like '%106977-00011-02-2025%' or</v>
      </c>
    </row>
    <row r="19" spans="1:10" x14ac:dyDescent="0.2">
      <c r="A19" s="4" t="s">
        <v>202</v>
      </c>
      <c r="B19" t="s">
        <v>2099</v>
      </c>
      <c r="H19">
        <v>106977</v>
      </c>
      <c r="I19" t="s">
        <v>2120</v>
      </c>
      <c r="J19" s="12" t="str">
        <f t="shared" si="0"/>
        <v>ia.assorted_string like '%106977-00012-02-2025%' or</v>
      </c>
    </row>
    <row r="20" spans="1:10" x14ac:dyDescent="0.2">
      <c r="A20" s="4" t="s">
        <v>210</v>
      </c>
      <c r="B20" t="s">
        <v>2099</v>
      </c>
      <c r="H20">
        <v>106977</v>
      </c>
      <c r="I20" t="s">
        <v>2121</v>
      </c>
      <c r="J20" s="12" t="str">
        <f t="shared" si="0"/>
        <v>ia.assorted_string like '%106977-00013-02-2025%' or</v>
      </c>
    </row>
    <row r="21" spans="1:10" x14ac:dyDescent="0.2">
      <c r="A21" s="4" t="s">
        <v>217</v>
      </c>
      <c r="B21" t="s">
        <v>2099</v>
      </c>
      <c r="H21">
        <v>106977</v>
      </c>
      <c r="I21" t="s">
        <v>2122</v>
      </c>
      <c r="J21" s="12" t="str">
        <f t="shared" si="0"/>
        <v>ia.assorted_string like '%106977-00014-02-2025%' or</v>
      </c>
    </row>
    <row r="22" spans="1:10" x14ac:dyDescent="0.2">
      <c r="A22" s="4" t="s">
        <v>223</v>
      </c>
      <c r="B22" t="s">
        <v>2099</v>
      </c>
      <c r="H22">
        <v>106977</v>
      </c>
      <c r="I22" t="s">
        <v>2123</v>
      </c>
      <c r="J22" s="12" t="str">
        <f t="shared" si="0"/>
        <v>ia.assorted_string like '%106977-00015-02-2025%' or</v>
      </c>
    </row>
    <row r="23" spans="1:10" x14ac:dyDescent="0.2">
      <c r="A23" s="4" t="s">
        <v>231</v>
      </c>
      <c r="B23" t="s">
        <v>2099</v>
      </c>
      <c r="H23">
        <v>106977</v>
      </c>
      <c r="I23" t="s">
        <v>2124</v>
      </c>
      <c r="J23" s="12" t="str">
        <f t="shared" si="0"/>
        <v>ia.assorted_string like '%106977-00017-02-2025%' or</v>
      </c>
    </row>
    <row r="24" spans="1:10" x14ac:dyDescent="0.2">
      <c r="A24" s="4" t="s">
        <v>238</v>
      </c>
      <c r="B24" t="s">
        <v>2099</v>
      </c>
      <c r="H24">
        <v>106977</v>
      </c>
      <c r="I24" t="s">
        <v>2125</v>
      </c>
      <c r="J24" s="12" t="str">
        <f t="shared" si="0"/>
        <v>ia.assorted_string like '%106977-00018-02-2025%' or</v>
      </c>
    </row>
    <row r="25" spans="1:10" x14ac:dyDescent="0.2">
      <c r="A25" s="4" t="s">
        <v>245</v>
      </c>
      <c r="B25" t="s">
        <v>2099</v>
      </c>
      <c r="H25">
        <v>106977</v>
      </c>
      <c r="I25" t="s">
        <v>2126</v>
      </c>
      <c r="J25" s="12" t="str">
        <f t="shared" si="0"/>
        <v>ia.assorted_string like '%106977-00019-02-2025%' or</v>
      </c>
    </row>
    <row r="26" spans="1:10" x14ac:dyDescent="0.2">
      <c r="A26" s="4" t="s">
        <v>251</v>
      </c>
      <c r="B26" t="s">
        <v>2099</v>
      </c>
      <c r="H26">
        <v>106977</v>
      </c>
      <c r="I26" t="s">
        <v>2127</v>
      </c>
      <c r="J26" s="12" t="str">
        <f t="shared" si="0"/>
        <v>ia.assorted_string like '%106977-00020-02-2025%' or</v>
      </c>
    </row>
    <row r="27" spans="1:10" x14ac:dyDescent="0.2">
      <c r="A27" s="4" t="s">
        <v>257</v>
      </c>
      <c r="B27" t="s">
        <v>2099</v>
      </c>
      <c r="H27">
        <v>106977</v>
      </c>
      <c r="I27" t="s">
        <v>2128</v>
      </c>
      <c r="J27" s="12" t="str">
        <f t="shared" si="0"/>
        <v>ia.assorted_string like '%106977-00022-02-2025%' or</v>
      </c>
    </row>
    <row r="28" spans="1:10" x14ac:dyDescent="0.2">
      <c r="A28" s="4" t="s">
        <v>264</v>
      </c>
      <c r="B28" t="s">
        <v>2099</v>
      </c>
      <c r="H28">
        <v>106977</v>
      </c>
      <c r="I28" t="s">
        <v>2129</v>
      </c>
      <c r="J28" s="12" t="str">
        <f t="shared" si="0"/>
        <v>ia.assorted_string like '%106977-00023-02-2025%' or</v>
      </c>
    </row>
    <row r="29" spans="1:10" x14ac:dyDescent="0.2">
      <c r="A29" s="4" t="s">
        <v>271</v>
      </c>
      <c r="B29" t="s">
        <v>2099</v>
      </c>
      <c r="H29">
        <v>106977</v>
      </c>
      <c r="I29" t="s">
        <v>2130</v>
      </c>
      <c r="J29" s="12" t="str">
        <f t="shared" si="0"/>
        <v>ia.assorted_string like '%106977-00024-02-2025%' or</v>
      </c>
    </row>
    <row r="30" spans="1:10" x14ac:dyDescent="0.2">
      <c r="A30" s="4" t="s">
        <v>279</v>
      </c>
      <c r="B30" t="s">
        <v>2099</v>
      </c>
      <c r="H30">
        <v>106977</v>
      </c>
      <c r="I30" t="s">
        <v>2131</v>
      </c>
      <c r="J30" s="12" t="str">
        <f t="shared" si="0"/>
        <v>ia.assorted_string like '%106977-00025-02-2025%' or</v>
      </c>
    </row>
    <row r="31" spans="1:10" x14ac:dyDescent="0.2">
      <c r="A31" s="4" t="s">
        <v>286</v>
      </c>
      <c r="B31" t="s">
        <v>2099</v>
      </c>
      <c r="H31">
        <v>106977</v>
      </c>
      <c r="I31" t="s">
        <v>2132</v>
      </c>
      <c r="J31" s="12" t="str">
        <f t="shared" si="0"/>
        <v>ia.assorted_string like '%106977-00026-02-2025%' or</v>
      </c>
    </row>
    <row r="32" spans="1:10" x14ac:dyDescent="0.2">
      <c r="A32" s="4" t="s">
        <v>292</v>
      </c>
      <c r="B32" t="s">
        <v>2099</v>
      </c>
      <c r="H32">
        <v>106977</v>
      </c>
      <c r="I32" t="s">
        <v>2133</v>
      </c>
      <c r="J32" s="12" t="str">
        <f t="shared" si="0"/>
        <v>ia.assorted_string like '%106977-00027-02-2025%' or</v>
      </c>
    </row>
    <row r="33" spans="1:10" x14ac:dyDescent="0.2">
      <c r="A33" s="4" t="s">
        <v>299</v>
      </c>
      <c r="B33" t="s">
        <v>2099</v>
      </c>
      <c r="H33">
        <v>106977</v>
      </c>
      <c r="I33" t="s">
        <v>2134</v>
      </c>
      <c r="J33" s="12" t="str">
        <f t="shared" si="0"/>
        <v>ia.assorted_string like '%106977-00028-02-2025%' or</v>
      </c>
    </row>
    <row r="34" spans="1:10" x14ac:dyDescent="0.2">
      <c r="A34" s="4" t="s">
        <v>307</v>
      </c>
      <c r="B34" t="s">
        <v>2099</v>
      </c>
      <c r="H34">
        <v>106977</v>
      </c>
      <c r="I34" t="s">
        <v>2135</v>
      </c>
      <c r="J34" s="12" t="str">
        <f t="shared" si="0"/>
        <v>ia.assorted_string like '%106977-00003-02-2025%' or</v>
      </c>
    </row>
    <row r="35" spans="1:10" x14ac:dyDescent="0.2">
      <c r="A35" s="4" t="s">
        <v>314</v>
      </c>
      <c r="B35" t="s">
        <v>2099</v>
      </c>
      <c r="H35">
        <v>106977</v>
      </c>
      <c r="I35" t="s">
        <v>2136</v>
      </c>
      <c r="J35" s="12" t="str">
        <f t="shared" si="0"/>
        <v>ia.assorted_string like '%106977-00030-02-2025%' or</v>
      </c>
    </row>
    <row r="36" spans="1:10" x14ac:dyDescent="0.2">
      <c r="A36" s="4" t="s">
        <v>323</v>
      </c>
      <c r="B36" t="s">
        <v>2099</v>
      </c>
      <c r="H36">
        <v>106977</v>
      </c>
      <c r="I36" t="s">
        <v>2137</v>
      </c>
      <c r="J36" s="12" t="str">
        <f t="shared" si="0"/>
        <v>ia.assorted_string like '%106977-00031-02-2025%' or</v>
      </c>
    </row>
    <row r="37" spans="1:10" x14ac:dyDescent="0.2">
      <c r="A37" s="4" t="s">
        <v>331</v>
      </c>
      <c r="B37" t="s">
        <v>2099</v>
      </c>
      <c r="H37">
        <v>106977</v>
      </c>
      <c r="I37" t="s">
        <v>2138</v>
      </c>
      <c r="J37" s="12" t="str">
        <f t="shared" si="0"/>
        <v>ia.assorted_string like '%106977-00033-02-2025%' or</v>
      </c>
    </row>
    <row r="38" spans="1:10" x14ac:dyDescent="0.2">
      <c r="A38" s="4" t="s">
        <v>337</v>
      </c>
      <c r="B38" t="s">
        <v>2099</v>
      </c>
      <c r="H38">
        <v>106977</v>
      </c>
      <c r="I38" t="s">
        <v>2139</v>
      </c>
      <c r="J38" s="12" t="str">
        <f t="shared" si="0"/>
        <v>ia.assorted_string like '%106977-00034-02-2025%' or</v>
      </c>
    </row>
    <row r="39" spans="1:10" x14ac:dyDescent="0.2">
      <c r="A39" s="4" t="s">
        <v>344</v>
      </c>
      <c r="B39" t="s">
        <v>2099</v>
      </c>
      <c r="H39">
        <v>106977</v>
      </c>
      <c r="I39" t="s">
        <v>2140</v>
      </c>
      <c r="J39" s="12" t="str">
        <f t="shared" si="0"/>
        <v>ia.assorted_string like '%106977-00037-02-2025%' or</v>
      </c>
    </row>
    <row r="40" spans="1:10" x14ac:dyDescent="0.2">
      <c r="A40" s="4" t="s">
        <v>350</v>
      </c>
      <c r="B40" t="s">
        <v>2099</v>
      </c>
      <c r="H40">
        <v>106977</v>
      </c>
      <c r="I40" t="s">
        <v>2141</v>
      </c>
      <c r="J40" s="12" t="str">
        <f t="shared" si="0"/>
        <v>ia.assorted_string like '%106977-00038-02-2025%' or</v>
      </c>
    </row>
    <row r="41" spans="1:10" x14ac:dyDescent="0.2">
      <c r="A41" s="4" t="s">
        <v>357</v>
      </c>
      <c r="B41" t="s">
        <v>2099</v>
      </c>
      <c r="H41">
        <v>106977</v>
      </c>
      <c r="I41" t="s">
        <v>2142</v>
      </c>
      <c r="J41" s="12" t="str">
        <f t="shared" si="0"/>
        <v>ia.assorted_string like '%106977-00039-02-2025%' or</v>
      </c>
    </row>
    <row r="42" spans="1:10" x14ac:dyDescent="0.2">
      <c r="A42" s="4" t="s">
        <v>365</v>
      </c>
      <c r="B42" t="s">
        <v>2099</v>
      </c>
      <c r="H42">
        <v>106977</v>
      </c>
      <c r="I42" t="s">
        <v>2143</v>
      </c>
      <c r="J42" s="12" t="str">
        <f t="shared" si="0"/>
        <v>ia.assorted_string like '%106977-00004-02-2025%' or</v>
      </c>
    </row>
    <row r="43" spans="1:10" x14ac:dyDescent="0.2">
      <c r="A43" s="4" t="s">
        <v>373</v>
      </c>
      <c r="B43" t="s">
        <v>2099</v>
      </c>
      <c r="H43">
        <v>106977</v>
      </c>
      <c r="I43" t="s">
        <v>2144</v>
      </c>
      <c r="J43" s="12" t="str">
        <f t="shared" si="0"/>
        <v>ia.assorted_string like '%106977-00041-02-2025%' or</v>
      </c>
    </row>
    <row r="44" spans="1:10" x14ac:dyDescent="0.2">
      <c r="A44" s="4" t="s">
        <v>381</v>
      </c>
      <c r="B44" t="s">
        <v>2099</v>
      </c>
      <c r="H44">
        <v>106977</v>
      </c>
      <c r="I44" t="s">
        <v>2145</v>
      </c>
      <c r="J44" s="12" t="str">
        <f t="shared" si="0"/>
        <v>ia.assorted_string like '%106977-00042-02-2025%' or</v>
      </c>
    </row>
    <row r="45" spans="1:10" x14ac:dyDescent="0.2">
      <c r="A45" s="4" t="s">
        <v>388</v>
      </c>
      <c r="B45" t="s">
        <v>2099</v>
      </c>
      <c r="H45">
        <v>106977</v>
      </c>
      <c r="I45" t="s">
        <v>2146</v>
      </c>
      <c r="J45" s="12" t="str">
        <f t="shared" si="0"/>
        <v>ia.assorted_string like '%106977-00045-02-2025%' or</v>
      </c>
    </row>
    <row r="46" spans="1:10" x14ac:dyDescent="0.2">
      <c r="A46" s="4" t="s">
        <v>395</v>
      </c>
      <c r="B46" t="s">
        <v>2099</v>
      </c>
      <c r="H46">
        <v>106977</v>
      </c>
      <c r="I46" t="s">
        <v>2147</v>
      </c>
      <c r="J46" s="12" t="str">
        <f t="shared" si="0"/>
        <v>ia.assorted_string like '%106977-00046-02-2025%' or</v>
      </c>
    </row>
    <row r="47" spans="1:10" x14ac:dyDescent="0.2">
      <c r="A47" s="4" t="s">
        <v>401</v>
      </c>
      <c r="B47" t="s">
        <v>2099</v>
      </c>
      <c r="H47">
        <v>106977</v>
      </c>
      <c r="I47" t="s">
        <v>2148</v>
      </c>
      <c r="J47" s="12" t="str">
        <f t="shared" si="0"/>
        <v>ia.assorted_string like '%106977-00005-02-2025%' or</v>
      </c>
    </row>
    <row r="48" spans="1:10" x14ac:dyDescent="0.2">
      <c r="A48" s="4" t="s">
        <v>408</v>
      </c>
      <c r="B48" t="s">
        <v>2099</v>
      </c>
      <c r="H48">
        <v>106977</v>
      </c>
      <c r="I48" t="s">
        <v>2149</v>
      </c>
      <c r="J48" s="12" t="str">
        <f t="shared" si="0"/>
        <v>ia.assorted_string like '%106977-00006-02-2025%' or</v>
      </c>
    </row>
    <row r="49" spans="1:10" x14ac:dyDescent="0.2">
      <c r="A49" s="4" t="s">
        <v>415</v>
      </c>
      <c r="B49" t="s">
        <v>2099</v>
      </c>
      <c r="H49">
        <v>106977</v>
      </c>
      <c r="I49" t="s">
        <v>2150</v>
      </c>
      <c r="J49" s="12" t="str">
        <f t="shared" si="0"/>
        <v>ia.assorted_string like '%106977-00007-02-2025%' or</v>
      </c>
    </row>
    <row r="50" spans="1:10" x14ac:dyDescent="0.2">
      <c r="A50" s="4" t="s">
        <v>423</v>
      </c>
      <c r="B50" t="s">
        <v>2099</v>
      </c>
      <c r="H50">
        <v>106977</v>
      </c>
      <c r="I50" t="s">
        <v>2151</v>
      </c>
      <c r="J50" s="12" t="str">
        <f t="shared" si="0"/>
        <v>ia.assorted_string like '%106977-00008-02-2025%' or</v>
      </c>
    </row>
    <row r="51" spans="1:10" x14ac:dyDescent="0.2">
      <c r="A51" s="4" t="s">
        <v>429</v>
      </c>
      <c r="B51" t="s">
        <v>2099</v>
      </c>
      <c r="H51">
        <v>106977</v>
      </c>
      <c r="I51" t="s">
        <v>2152</v>
      </c>
      <c r="J51" s="12" t="str">
        <f t="shared" si="0"/>
        <v>ia.assorted_string like '%106977-00009-02-2025%' or</v>
      </c>
    </row>
    <row r="52" spans="1:10" x14ac:dyDescent="0.2">
      <c r="A52" s="4" t="s">
        <v>435</v>
      </c>
      <c r="B52" t="s">
        <v>2099</v>
      </c>
      <c r="H52">
        <v>107227</v>
      </c>
      <c r="I52" t="s">
        <v>2117</v>
      </c>
      <c r="J52" s="12" t="str">
        <f t="shared" si="0"/>
        <v>ia.assorted_string like '%107227-00001-02-2025%' or</v>
      </c>
    </row>
    <row r="53" spans="1:10" x14ac:dyDescent="0.2">
      <c r="A53" s="4" t="s">
        <v>442</v>
      </c>
      <c r="B53" t="s">
        <v>2099</v>
      </c>
      <c r="H53">
        <v>106977</v>
      </c>
      <c r="I53" t="s">
        <v>2153</v>
      </c>
      <c r="J53" s="12" t="str">
        <f t="shared" si="0"/>
        <v>ia.assorted_string like '%106977-00053-02-2025%' or</v>
      </c>
    </row>
    <row r="54" spans="1:10" x14ac:dyDescent="0.2">
      <c r="A54" s="4" t="s">
        <v>449</v>
      </c>
      <c r="B54" t="s">
        <v>2100</v>
      </c>
      <c r="H54">
        <v>103201</v>
      </c>
      <c r="I54" t="s">
        <v>2108</v>
      </c>
      <c r="J54" s="12" t="str">
        <f t="shared" si="0"/>
        <v>ia.assorted_string like '%103201-00036-12-2024%' or</v>
      </c>
    </row>
    <row r="55" spans="1:10" x14ac:dyDescent="0.2">
      <c r="A55" s="4" t="s">
        <v>456</v>
      </c>
      <c r="B55" t="s">
        <v>2100</v>
      </c>
      <c r="H55">
        <v>103201</v>
      </c>
      <c r="I55" t="s">
        <v>2140</v>
      </c>
      <c r="J55" s="12" t="str">
        <f t="shared" si="0"/>
        <v>ia.assorted_string like '%103201-00037-12-2024%' or</v>
      </c>
    </row>
    <row r="56" spans="1:10" x14ac:dyDescent="0.2">
      <c r="A56" s="4" t="s">
        <v>462</v>
      </c>
      <c r="B56" t="s">
        <v>2100</v>
      </c>
      <c r="H56">
        <v>103201</v>
      </c>
      <c r="I56" t="s">
        <v>2141</v>
      </c>
      <c r="J56" s="12" t="str">
        <f t="shared" si="0"/>
        <v>ia.assorted_string like '%103201-00038-12-2024%' or</v>
      </c>
    </row>
    <row r="57" spans="1:10" x14ac:dyDescent="0.2">
      <c r="A57" s="4" t="s">
        <v>469</v>
      </c>
      <c r="B57" t="s">
        <v>2100</v>
      </c>
      <c r="H57">
        <v>103201</v>
      </c>
      <c r="I57" t="s">
        <v>2142</v>
      </c>
      <c r="J57" s="12" t="str">
        <f t="shared" si="0"/>
        <v>ia.assorted_string like '%103201-00039-12-2024%' or</v>
      </c>
    </row>
    <row r="58" spans="1:10" x14ac:dyDescent="0.2">
      <c r="A58" s="4" t="s">
        <v>477</v>
      </c>
      <c r="B58" t="s">
        <v>2100</v>
      </c>
      <c r="H58">
        <v>103201</v>
      </c>
      <c r="I58" t="s">
        <v>2102</v>
      </c>
      <c r="J58" s="12" t="str">
        <f t="shared" si="0"/>
        <v>ia.assorted_string like '%103201-00040-12-2024%' or</v>
      </c>
    </row>
    <row r="59" spans="1:10" x14ac:dyDescent="0.2">
      <c r="A59" s="4" t="s">
        <v>484</v>
      </c>
      <c r="B59" t="s">
        <v>2100</v>
      </c>
      <c r="H59">
        <v>103201</v>
      </c>
      <c r="I59" t="s">
        <v>2144</v>
      </c>
      <c r="J59" s="12" t="str">
        <f t="shared" si="0"/>
        <v>ia.assorted_string like '%103201-00041-12-2024%' or</v>
      </c>
    </row>
    <row r="60" spans="1:10" x14ac:dyDescent="0.2">
      <c r="A60" s="4" t="s">
        <v>490</v>
      </c>
      <c r="B60" t="s">
        <v>2100</v>
      </c>
      <c r="H60">
        <v>103201</v>
      </c>
      <c r="I60" t="s">
        <v>2145</v>
      </c>
      <c r="J60" s="12" t="str">
        <f t="shared" si="0"/>
        <v>ia.assorted_string like '%103201-00042-12-2024%' or</v>
      </c>
    </row>
    <row r="61" spans="1:10" x14ac:dyDescent="0.2">
      <c r="A61" s="4" t="s">
        <v>497</v>
      </c>
      <c r="B61" t="s">
        <v>2100</v>
      </c>
      <c r="H61">
        <v>103201</v>
      </c>
      <c r="I61" t="s">
        <v>2109</v>
      </c>
      <c r="J61" s="12" t="str">
        <f t="shared" si="0"/>
        <v>ia.assorted_string like '%103201-00043-12-2024%' or</v>
      </c>
    </row>
    <row r="62" spans="1:10" x14ac:dyDescent="0.2">
      <c r="A62" s="4" t="s">
        <v>504</v>
      </c>
      <c r="B62" t="s">
        <v>2100</v>
      </c>
      <c r="H62">
        <v>103201</v>
      </c>
      <c r="I62" t="s">
        <v>2103</v>
      </c>
      <c r="J62" s="12" t="str">
        <f t="shared" si="0"/>
        <v>ia.assorted_string like '%103201-00044-12-2024%' or</v>
      </c>
    </row>
    <row r="63" spans="1:10" x14ac:dyDescent="0.2">
      <c r="A63" s="4" t="s">
        <v>511</v>
      </c>
      <c r="B63" t="s">
        <v>2100</v>
      </c>
      <c r="H63">
        <v>103201</v>
      </c>
      <c r="I63" t="s">
        <v>2146</v>
      </c>
      <c r="J63" s="12" t="str">
        <f t="shared" si="0"/>
        <v>ia.assorted_string like '%103201-00045-12-2024%' or</v>
      </c>
    </row>
    <row r="64" spans="1:10" x14ac:dyDescent="0.2">
      <c r="A64" s="4" t="s">
        <v>518</v>
      </c>
      <c r="B64" t="s">
        <v>2100</v>
      </c>
      <c r="H64">
        <v>103201</v>
      </c>
      <c r="I64" t="s">
        <v>2147</v>
      </c>
      <c r="J64" s="12" t="str">
        <f t="shared" si="0"/>
        <v>ia.assorted_string like '%103201-00046-12-2024%' or</v>
      </c>
    </row>
    <row r="65" spans="1:10" x14ac:dyDescent="0.2">
      <c r="A65" s="4" t="s">
        <v>525</v>
      </c>
      <c r="B65" t="s">
        <v>2100</v>
      </c>
      <c r="H65">
        <v>103201</v>
      </c>
      <c r="I65" t="s">
        <v>2115</v>
      </c>
      <c r="J65" s="12" t="str">
        <f t="shared" si="0"/>
        <v>ia.assorted_string like '%103201-00047-12-2024%' or</v>
      </c>
    </row>
    <row r="66" spans="1:10" x14ac:dyDescent="0.2">
      <c r="A66" s="4" t="s">
        <v>532</v>
      </c>
      <c r="B66" t="s">
        <v>2100</v>
      </c>
      <c r="H66">
        <v>103201</v>
      </c>
      <c r="I66" t="s">
        <v>2110</v>
      </c>
      <c r="J66" s="12" t="str">
        <f t="shared" ref="J66:J76" si="1">"ia.assorted_string like '%"&amp;H66&amp;"-"&amp;I66&amp;B66&amp;"%' or"</f>
        <v>ia.assorted_string like '%103201-00048-12-2024%' or</v>
      </c>
    </row>
    <row r="67" spans="1:10" x14ac:dyDescent="0.2">
      <c r="A67" s="4" t="s">
        <v>539</v>
      </c>
      <c r="B67" t="s">
        <v>2100</v>
      </c>
      <c r="H67">
        <v>103201</v>
      </c>
      <c r="I67" t="s">
        <v>2111</v>
      </c>
      <c r="J67" s="12" t="str">
        <f t="shared" si="1"/>
        <v>ia.assorted_string like '%103201-00049-12-2024%' or</v>
      </c>
    </row>
    <row r="68" spans="1:10" x14ac:dyDescent="0.2">
      <c r="A68" s="4" t="s">
        <v>546</v>
      </c>
      <c r="B68" t="s">
        <v>2100</v>
      </c>
      <c r="H68">
        <v>103201</v>
      </c>
      <c r="I68" t="s">
        <v>2112</v>
      </c>
      <c r="J68" s="12" t="str">
        <f t="shared" si="1"/>
        <v>ia.assorted_string like '%103201-00050-12-2024%' or</v>
      </c>
    </row>
    <row r="69" spans="1:10" x14ac:dyDescent="0.2">
      <c r="A69" s="4" t="s">
        <v>553</v>
      </c>
      <c r="B69" t="s">
        <v>2100</v>
      </c>
      <c r="H69">
        <v>103201</v>
      </c>
      <c r="I69" t="s">
        <v>2113</v>
      </c>
      <c r="J69" s="12" t="str">
        <f t="shared" si="1"/>
        <v>ia.assorted_string like '%103201-00051-12-2024%' or</v>
      </c>
    </row>
    <row r="70" spans="1:10" x14ac:dyDescent="0.2">
      <c r="A70" s="4" t="s">
        <v>560</v>
      </c>
      <c r="B70" t="s">
        <v>2100</v>
      </c>
      <c r="H70">
        <v>103201</v>
      </c>
      <c r="I70" t="s">
        <v>2114</v>
      </c>
      <c r="J70" s="12" t="str">
        <f t="shared" si="1"/>
        <v>ia.assorted_string like '%103201-00052-12-2024%' or</v>
      </c>
    </row>
    <row r="71" spans="1:10" x14ac:dyDescent="0.2">
      <c r="A71" s="4" t="s">
        <v>568</v>
      </c>
      <c r="B71" t="s">
        <v>2100</v>
      </c>
      <c r="H71">
        <v>103201</v>
      </c>
      <c r="I71" t="s">
        <v>2153</v>
      </c>
      <c r="J71" s="12" t="str">
        <f t="shared" si="1"/>
        <v>ia.assorted_string like '%103201-00053-12-2024%' or</v>
      </c>
    </row>
    <row r="72" spans="1:10" x14ac:dyDescent="0.2">
      <c r="A72" s="4" t="s">
        <v>574</v>
      </c>
      <c r="B72" t="s">
        <v>2100</v>
      </c>
      <c r="H72">
        <v>103201</v>
      </c>
      <c r="I72" t="s">
        <v>2116</v>
      </c>
      <c r="J72" s="12" t="str">
        <f t="shared" si="1"/>
        <v>ia.assorted_string like '%103201-00054-12-2024%' or</v>
      </c>
    </row>
    <row r="73" spans="1:10" x14ac:dyDescent="0.2">
      <c r="A73" s="4" t="s">
        <v>581</v>
      </c>
      <c r="B73" t="s">
        <v>2100</v>
      </c>
      <c r="H73">
        <v>103201</v>
      </c>
      <c r="I73" t="s">
        <v>2154</v>
      </c>
      <c r="J73" s="12" t="str">
        <f t="shared" si="1"/>
        <v>ia.assorted_string like '%103201-00055-12-2024%' or</v>
      </c>
    </row>
    <row r="74" spans="1:10" x14ac:dyDescent="0.2">
      <c r="A74" s="4" t="s">
        <v>588</v>
      </c>
      <c r="B74" t="s">
        <v>2100</v>
      </c>
      <c r="H74">
        <v>103201</v>
      </c>
      <c r="I74" t="s">
        <v>2155</v>
      </c>
      <c r="J74" s="12" t="str">
        <f t="shared" si="1"/>
        <v>ia.assorted_string like '%103201-00056-12-2024%' or</v>
      </c>
    </row>
    <row r="75" spans="1:10" x14ac:dyDescent="0.2">
      <c r="A75" s="4" t="s">
        <v>595</v>
      </c>
      <c r="B75" t="s">
        <v>2100</v>
      </c>
      <c r="H75">
        <v>103846</v>
      </c>
      <c r="I75" t="s">
        <v>2135</v>
      </c>
      <c r="J75" s="12" t="str">
        <f t="shared" si="1"/>
        <v>ia.assorted_string like '%103846-00003-12-2024%' or</v>
      </c>
    </row>
    <row r="76" spans="1:10" x14ac:dyDescent="0.2">
      <c r="A76" s="4" t="s">
        <v>601</v>
      </c>
      <c r="B76" t="s">
        <v>2101</v>
      </c>
      <c r="H76">
        <v>105285</v>
      </c>
      <c r="I76" t="s">
        <v>2144</v>
      </c>
      <c r="J76" s="12" t="str">
        <f t="shared" si="1"/>
        <v>ia.assorted_string like '%105285-00041-01-2025%' or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75F38-1554-4474-BAEF-E1405A08D766}">
  <dimension ref="A1:C77"/>
  <sheetViews>
    <sheetView topLeftCell="A40" workbookViewId="0">
      <selection activeCell="C52" sqref="C52"/>
    </sheetView>
  </sheetViews>
  <sheetFormatPr defaultColWidth="7.85546875" defaultRowHeight="12.75" x14ac:dyDescent="0.2"/>
  <cols>
    <col min="1" max="1" width="2.42578125" style="12" customWidth="1"/>
    <col min="2" max="2" width="41.140625" style="12" bestFit="1" customWidth="1"/>
    <col min="3" max="3" width="15" style="12" bestFit="1" customWidth="1"/>
    <col min="4" max="16384" width="7.85546875" style="12"/>
  </cols>
  <sheetData>
    <row r="1" spans="1:3" s="13" customFormat="1" ht="12" x14ac:dyDescent="0.2">
      <c r="A1" s="13" t="s">
        <v>2156</v>
      </c>
      <c r="B1" s="13" t="s">
        <v>2157</v>
      </c>
      <c r="C1" s="13" t="s">
        <v>2158</v>
      </c>
    </row>
    <row r="2" spans="1:3" x14ac:dyDescent="0.2">
      <c r="A2" s="12">
        <v>1</v>
      </c>
      <c r="B2" s="12" t="s">
        <v>574</v>
      </c>
      <c r="C2" s="12" t="s">
        <v>2159</v>
      </c>
    </row>
    <row r="3" spans="1:3" x14ac:dyDescent="0.2">
      <c r="A3" s="12">
        <v>2</v>
      </c>
      <c r="B3" s="12" t="s">
        <v>71</v>
      </c>
      <c r="C3" s="12" t="s">
        <v>2160</v>
      </c>
    </row>
    <row r="4" spans="1:3" x14ac:dyDescent="0.2">
      <c r="A4" s="12">
        <v>3</v>
      </c>
      <c r="B4" s="12" t="s">
        <v>373</v>
      </c>
      <c r="C4" s="12" t="s">
        <v>2161</v>
      </c>
    </row>
    <row r="5" spans="1:3" x14ac:dyDescent="0.2">
      <c r="A5" s="12">
        <v>4</v>
      </c>
      <c r="B5" s="12" t="s">
        <v>123</v>
      </c>
      <c r="C5" s="12" t="s">
        <v>2162</v>
      </c>
    </row>
    <row r="6" spans="1:3" x14ac:dyDescent="0.2">
      <c r="A6" s="12">
        <v>5</v>
      </c>
      <c r="B6" s="12" t="s">
        <v>518</v>
      </c>
      <c r="C6" s="12" t="s">
        <v>2163</v>
      </c>
    </row>
    <row r="7" spans="1:3" x14ac:dyDescent="0.2">
      <c r="A7" s="12">
        <v>6</v>
      </c>
      <c r="B7" s="12" t="s">
        <v>525</v>
      </c>
      <c r="C7" s="12" t="s">
        <v>2164</v>
      </c>
    </row>
    <row r="8" spans="1:3" x14ac:dyDescent="0.2">
      <c r="A8" s="12">
        <v>7</v>
      </c>
      <c r="B8" s="12" t="s">
        <v>560</v>
      </c>
      <c r="C8" s="12" t="s">
        <v>2165</v>
      </c>
    </row>
    <row r="9" spans="1:3" x14ac:dyDescent="0.2">
      <c r="A9" s="12">
        <v>8</v>
      </c>
      <c r="B9" s="12" t="s">
        <v>601</v>
      </c>
      <c r="C9" s="12" t="s">
        <v>2166</v>
      </c>
    </row>
    <row r="10" spans="1:3" x14ac:dyDescent="0.2">
      <c r="A10" s="12">
        <v>9</v>
      </c>
      <c r="B10" s="12" t="s">
        <v>210</v>
      </c>
      <c r="C10" s="12" t="s">
        <v>2167</v>
      </c>
    </row>
    <row r="11" spans="1:3" x14ac:dyDescent="0.2">
      <c r="A11" s="12">
        <v>10</v>
      </c>
      <c r="B11" s="12" t="s">
        <v>532</v>
      </c>
      <c r="C11" s="12" t="s">
        <v>2168</v>
      </c>
    </row>
    <row r="12" spans="1:3" x14ac:dyDescent="0.2">
      <c r="A12" s="12">
        <v>11</v>
      </c>
      <c r="B12" s="12" t="s">
        <v>202</v>
      </c>
      <c r="C12" s="12" t="s">
        <v>2169</v>
      </c>
    </row>
    <row r="13" spans="1:3" x14ac:dyDescent="0.2">
      <c r="A13" s="12">
        <v>12</v>
      </c>
      <c r="B13" s="12" t="s">
        <v>116</v>
      </c>
      <c r="C13" s="12" t="s">
        <v>2170</v>
      </c>
    </row>
    <row r="14" spans="1:3" x14ac:dyDescent="0.2">
      <c r="A14" s="12">
        <v>13</v>
      </c>
      <c r="B14" s="12" t="s">
        <v>80</v>
      </c>
      <c r="C14" s="12" t="s">
        <v>2171</v>
      </c>
    </row>
    <row r="15" spans="1:3" x14ac:dyDescent="0.2">
      <c r="A15" s="12">
        <v>14</v>
      </c>
      <c r="B15" s="12" t="s">
        <v>245</v>
      </c>
      <c r="C15" s="12" t="s">
        <v>2172</v>
      </c>
    </row>
    <row r="16" spans="1:3" x14ac:dyDescent="0.2">
      <c r="A16" s="12">
        <v>15</v>
      </c>
      <c r="B16" s="12" t="s">
        <v>469</v>
      </c>
      <c r="C16" s="12" t="s">
        <v>2173</v>
      </c>
    </row>
    <row r="17" spans="1:3" x14ac:dyDescent="0.2">
      <c r="A17" s="12">
        <v>16</v>
      </c>
      <c r="B17" s="12" t="s">
        <v>456</v>
      </c>
      <c r="C17" s="12" t="s">
        <v>2174</v>
      </c>
    </row>
    <row r="18" spans="1:3" x14ac:dyDescent="0.2">
      <c r="A18" s="12">
        <v>17</v>
      </c>
      <c r="B18" s="12" t="s">
        <v>497</v>
      </c>
      <c r="C18" s="12" t="s">
        <v>2175</v>
      </c>
    </row>
    <row r="19" spans="1:3" x14ac:dyDescent="0.2">
      <c r="A19" s="12">
        <v>18</v>
      </c>
      <c r="B19" s="12" t="s">
        <v>568</v>
      </c>
      <c r="C19" s="12" t="s">
        <v>2176</v>
      </c>
    </row>
    <row r="20" spans="1:3" x14ac:dyDescent="0.2">
      <c r="A20" s="12">
        <v>19</v>
      </c>
      <c r="B20" s="12" t="s">
        <v>408</v>
      </c>
      <c r="C20" s="12" t="s">
        <v>2177</v>
      </c>
    </row>
    <row r="21" spans="1:3" x14ac:dyDescent="0.2">
      <c r="A21" s="12">
        <v>20</v>
      </c>
      <c r="B21" s="12" t="s">
        <v>415</v>
      </c>
      <c r="C21" s="12" t="s">
        <v>2178</v>
      </c>
    </row>
    <row r="22" spans="1:3" x14ac:dyDescent="0.2">
      <c r="A22" s="12">
        <v>21</v>
      </c>
      <c r="B22" s="12" t="s">
        <v>109</v>
      </c>
      <c r="C22" s="12" t="s">
        <v>2179</v>
      </c>
    </row>
    <row r="23" spans="1:3" x14ac:dyDescent="0.2">
      <c r="A23" s="12">
        <v>22</v>
      </c>
      <c r="B23" s="12" t="s">
        <v>388</v>
      </c>
      <c r="C23" s="12" t="s">
        <v>2180</v>
      </c>
    </row>
    <row r="24" spans="1:3" x14ac:dyDescent="0.2">
      <c r="A24" s="12">
        <v>23</v>
      </c>
      <c r="B24" s="12" t="s">
        <v>395</v>
      </c>
      <c r="C24" s="12" t="s">
        <v>2181</v>
      </c>
    </row>
    <row r="25" spans="1:3" x14ac:dyDescent="0.2">
      <c r="A25" s="12">
        <v>24</v>
      </c>
      <c r="B25" s="12" t="s">
        <v>167</v>
      </c>
      <c r="C25" s="12" t="s">
        <v>2182</v>
      </c>
    </row>
    <row r="26" spans="1:3" x14ac:dyDescent="0.2">
      <c r="A26" s="12">
        <v>25</v>
      </c>
      <c r="B26" s="12" t="s">
        <v>130</v>
      </c>
      <c r="C26" s="12" t="s">
        <v>2183</v>
      </c>
    </row>
    <row r="27" spans="1:3" x14ac:dyDescent="0.2">
      <c r="A27" s="12">
        <v>26</v>
      </c>
      <c r="B27" s="12" t="s">
        <v>138</v>
      </c>
      <c r="C27" s="12" t="s">
        <v>2184</v>
      </c>
    </row>
    <row r="28" spans="1:3" x14ac:dyDescent="0.2">
      <c r="A28" s="12">
        <v>27</v>
      </c>
      <c r="B28" s="12" t="s">
        <v>504</v>
      </c>
      <c r="C28" s="12" t="s">
        <v>2185</v>
      </c>
    </row>
    <row r="29" spans="1:3" x14ac:dyDescent="0.2">
      <c r="A29" s="12">
        <v>28</v>
      </c>
      <c r="B29" s="12" t="s">
        <v>511</v>
      </c>
      <c r="C29" s="12" t="s">
        <v>2186</v>
      </c>
    </row>
    <row r="30" spans="1:3" x14ac:dyDescent="0.2">
      <c r="A30" s="12">
        <v>29</v>
      </c>
      <c r="B30" s="12" t="s">
        <v>581</v>
      </c>
      <c r="C30" s="12" t="s">
        <v>2187</v>
      </c>
    </row>
    <row r="31" spans="1:3" x14ac:dyDescent="0.2">
      <c r="A31" s="12">
        <v>30</v>
      </c>
      <c r="B31" s="12" t="s">
        <v>251</v>
      </c>
      <c r="C31" s="12" t="s">
        <v>2188</v>
      </c>
    </row>
    <row r="32" spans="1:3" x14ac:dyDescent="0.2">
      <c r="A32" s="12">
        <v>31</v>
      </c>
      <c r="B32" s="12" t="s">
        <v>365</v>
      </c>
      <c r="C32" s="12" t="s">
        <v>2189</v>
      </c>
    </row>
    <row r="33" spans="1:3" x14ac:dyDescent="0.2">
      <c r="A33" s="12">
        <v>32</v>
      </c>
      <c r="B33" s="12" t="s">
        <v>223</v>
      </c>
      <c r="C33" s="12" t="s">
        <v>2190</v>
      </c>
    </row>
    <row r="34" spans="1:3" x14ac:dyDescent="0.2">
      <c r="A34" s="12">
        <v>33</v>
      </c>
      <c r="B34" s="12" t="s">
        <v>314</v>
      </c>
      <c r="C34" s="12" t="s">
        <v>2191</v>
      </c>
    </row>
    <row r="35" spans="1:3" x14ac:dyDescent="0.2">
      <c r="A35" s="12">
        <v>34</v>
      </c>
      <c r="B35" s="12" t="s">
        <v>423</v>
      </c>
      <c r="C35" s="12" t="s">
        <v>2192</v>
      </c>
    </row>
    <row r="36" spans="1:3" x14ac:dyDescent="0.2">
      <c r="A36" s="12">
        <v>35</v>
      </c>
      <c r="B36" s="12" t="s">
        <v>146</v>
      </c>
      <c r="C36" s="12" t="s">
        <v>2193</v>
      </c>
    </row>
    <row r="37" spans="1:3" x14ac:dyDescent="0.2">
      <c r="A37" s="12">
        <v>36</v>
      </c>
      <c r="B37" s="12" t="s">
        <v>477</v>
      </c>
      <c r="C37" s="12" t="s">
        <v>2194</v>
      </c>
    </row>
    <row r="38" spans="1:3" x14ac:dyDescent="0.2">
      <c r="A38" s="12">
        <v>37</v>
      </c>
      <c r="B38" s="12" t="s">
        <v>539</v>
      </c>
      <c r="C38" s="12" t="s">
        <v>2195</v>
      </c>
    </row>
    <row r="39" spans="1:3" x14ac:dyDescent="0.2">
      <c r="A39" s="12">
        <v>38</v>
      </c>
      <c r="B39" s="12" t="s">
        <v>546</v>
      </c>
      <c r="C39" s="12" t="s">
        <v>2196</v>
      </c>
    </row>
    <row r="40" spans="1:3" x14ac:dyDescent="0.2">
      <c r="A40" s="12">
        <v>39</v>
      </c>
      <c r="B40" s="12" t="s">
        <v>553</v>
      </c>
      <c r="C40" s="12" t="s">
        <v>2197</v>
      </c>
    </row>
    <row r="41" spans="1:3" x14ac:dyDescent="0.2">
      <c r="A41" s="12">
        <v>40</v>
      </c>
      <c r="B41" s="12" t="s">
        <v>588</v>
      </c>
      <c r="C41" s="12" t="s">
        <v>2198</v>
      </c>
    </row>
    <row r="42" spans="1:3" x14ac:dyDescent="0.2">
      <c r="A42" s="12">
        <v>41</v>
      </c>
      <c r="B42" s="12" t="s">
        <v>87</v>
      </c>
      <c r="C42" s="12" t="s">
        <v>2199</v>
      </c>
    </row>
    <row r="43" spans="1:3" x14ac:dyDescent="0.2">
      <c r="A43" s="12">
        <v>42</v>
      </c>
      <c r="B43" s="12" t="s">
        <v>231</v>
      </c>
      <c r="C43" s="12" t="s">
        <v>2200</v>
      </c>
    </row>
    <row r="44" spans="1:3" x14ac:dyDescent="0.2">
      <c r="A44" s="12">
        <v>43</v>
      </c>
      <c r="B44" s="12" t="s">
        <v>299</v>
      </c>
      <c r="C44" s="12" t="s">
        <v>2201</v>
      </c>
    </row>
    <row r="45" spans="1:3" x14ac:dyDescent="0.2">
      <c r="A45" s="12">
        <v>44</v>
      </c>
      <c r="B45" s="12" t="s">
        <v>484</v>
      </c>
      <c r="C45" s="12" t="s">
        <v>2202</v>
      </c>
    </row>
    <row r="46" spans="1:3" x14ac:dyDescent="0.2">
      <c r="A46" s="12">
        <v>45</v>
      </c>
      <c r="B46" s="12" t="s">
        <v>490</v>
      </c>
      <c r="C46" s="12" t="s">
        <v>2203</v>
      </c>
    </row>
    <row r="47" spans="1:3" x14ac:dyDescent="0.2">
      <c r="A47" s="12">
        <v>46</v>
      </c>
      <c r="B47" s="12" t="s">
        <v>264</v>
      </c>
      <c r="C47" s="12" t="s">
        <v>2204</v>
      </c>
    </row>
    <row r="48" spans="1:3" x14ac:dyDescent="0.2">
      <c r="A48" s="12">
        <v>47</v>
      </c>
      <c r="B48" s="12" t="s">
        <v>401</v>
      </c>
      <c r="C48" s="12" t="s">
        <v>2205</v>
      </c>
    </row>
    <row r="49" spans="1:3" x14ac:dyDescent="0.2">
      <c r="A49" s="12">
        <v>48</v>
      </c>
      <c r="B49" s="12" t="s">
        <v>101</v>
      </c>
      <c r="C49" s="12" t="s">
        <v>2206</v>
      </c>
    </row>
    <row r="50" spans="1:3" x14ac:dyDescent="0.2">
      <c r="A50" s="12">
        <v>49</v>
      </c>
      <c r="B50" s="12" t="s">
        <v>344</v>
      </c>
      <c r="C50" s="12" t="s">
        <v>2207</v>
      </c>
    </row>
    <row r="51" spans="1:3" x14ac:dyDescent="0.2">
      <c r="A51" s="12">
        <v>50</v>
      </c>
      <c r="B51" s="12" t="s">
        <v>154</v>
      </c>
      <c r="C51" s="12" t="s">
        <v>2208</v>
      </c>
    </row>
    <row r="52" spans="1:3" x14ac:dyDescent="0.2">
      <c r="A52" s="12">
        <v>51</v>
      </c>
      <c r="B52" s="12" t="s">
        <v>160</v>
      </c>
      <c r="C52" s="12" t="s">
        <v>2209</v>
      </c>
    </row>
    <row r="53" spans="1:3" x14ac:dyDescent="0.2">
      <c r="A53" s="12">
        <v>52</v>
      </c>
      <c r="B53" s="12" t="s">
        <v>183</v>
      </c>
      <c r="C53" s="12" t="s">
        <v>2210</v>
      </c>
    </row>
    <row r="54" spans="1:3" x14ac:dyDescent="0.2">
      <c r="A54" s="12">
        <v>53</v>
      </c>
      <c r="B54" s="12" t="s">
        <v>307</v>
      </c>
      <c r="C54" s="12" t="s">
        <v>2211</v>
      </c>
    </row>
    <row r="55" spans="1:3" x14ac:dyDescent="0.2">
      <c r="A55" s="12">
        <v>54</v>
      </c>
      <c r="B55" s="12" t="s">
        <v>174</v>
      </c>
      <c r="C55" s="12" t="s">
        <v>2212</v>
      </c>
    </row>
    <row r="56" spans="1:3" x14ac:dyDescent="0.2">
      <c r="A56" s="12">
        <v>55</v>
      </c>
      <c r="B56" s="12" t="s">
        <v>429</v>
      </c>
      <c r="C56" s="12" t="s">
        <v>2213</v>
      </c>
    </row>
    <row r="57" spans="1:3" x14ac:dyDescent="0.2">
      <c r="A57" s="12">
        <v>56</v>
      </c>
      <c r="B57" s="12" t="s">
        <v>435</v>
      </c>
      <c r="C57" s="12" t="s">
        <v>2214</v>
      </c>
    </row>
    <row r="58" spans="1:3" x14ac:dyDescent="0.2">
      <c r="A58" s="12">
        <v>57</v>
      </c>
      <c r="B58" s="12" t="s">
        <v>189</v>
      </c>
      <c r="C58" s="12" t="s">
        <v>2215</v>
      </c>
    </row>
    <row r="59" spans="1:3" x14ac:dyDescent="0.2">
      <c r="A59" s="12">
        <v>58</v>
      </c>
      <c r="B59" s="12" t="s">
        <v>195</v>
      </c>
      <c r="C59" s="12" t="s">
        <v>2216</v>
      </c>
    </row>
    <row r="60" spans="1:3" x14ac:dyDescent="0.2">
      <c r="A60" s="12">
        <v>59</v>
      </c>
      <c r="B60" s="12" t="s">
        <v>217</v>
      </c>
      <c r="C60" s="12" t="s">
        <v>2217</v>
      </c>
    </row>
    <row r="61" spans="1:3" x14ac:dyDescent="0.2">
      <c r="A61" s="12">
        <v>60</v>
      </c>
      <c r="B61" s="12" t="s">
        <v>462</v>
      </c>
      <c r="C61" s="12" t="s">
        <v>2218</v>
      </c>
    </row>
    <row r="62" spans="1:3" x14ac:dyDescent="0.2">
      <c r="A62" s="12">
        <v>61</v>
      </c>
      <c r="B62" s="12" t="s">
        <v>595</v>
      </c>
      <c r="C62" s="12" t="s">
        <v>2219</v>
      </c>
    </row>
    <row r="63" spans="1:3" x14ac:dyDescent="0.2">
      <c r="A63" s="12">
        <v>62</v>
      </c>
      <c r="B63" s="12" t="s">
        <v>449</v>
      </c>
      <c r="C63" s="12" t="s">
        <v>2220</v>
      </c>
    </row>
    <row r="64" spans="1:3" x14ac:dyDescent="0.2">
      <c r="A64" s="12">
        <v>63</v>
      </c>
      <c r="B64" s="12" t="s">
        <v>271</v>
      </c>
      <c r="C64" s="12" t="s">
        <v>2221</v>
      </c>
    </row>
    <row r="65" spans="1:3" x14ac:dyDescent="0.2">
      <c r="A65" s="12">
        <v>64</v>
      </c>
      <c r="B65" s="12" t="s">
        <v>238</v>
      </c>
      <c r="C65" s="12" t="s">
        <v>2222</v>
      </c>
    </row>
    <row r="66" spans="1:3" x14ac:dyDescent="0.2">
      <c r="A66" s="12">
        <v>65</v>
      </c>
      <c r="B66" s="12" t="s">
        <v>292</v>
      </c>
      <c r="C66" s="12" t="s">
        <v>2223</v>
      </c>
    </row>
    <row r="67" spans="1:3" x14ac:dyDescent="0.2">
      <c r="A67" s="12">
        <v>66</v>
      </c>
      <c r="B67" s="12" t="s">
        <v>279</v>
      </c>
      <c r="C67" s="12" t="s">
        <v>2224</v>
      </c>
    </row>
    <row r="68" spans="1:3" x14ac:dyDescent="0.2">
      <c r="A68" s="12">
        <v>67</v>
      </c>
      <c r="B68" s="12" t="s">
        <v>286</v>
      </c>
      <c r="C68" s="12" t="s">
        <v>2225</v>
      </c>
    </row>
    <row r="69" spans="1:3" x14ac:dyDescent="0.2">
      <c r="A69" s="12">
        <v>68</v>
      </c>
      <c r="B69" s="12" t="s">
        <v>94</v>
      </c>
      <c r="C69" s="12" t="s">
        <v>2226</v>
      </c>
    </row>
    <row r="70" spans="1:3" x14ac:dyDescent="0.2">
      <c r="A70" s="12">
        <v>69</v>
      </c>
      <c r="B70" s="12" t="s">
        <v>323</v>
      </c>
      <c r="C70" s="12" t="s">
        <v>2227</v>
      </c>
    </row>
    <row r="71" spans="1:3" x14ac:dyDescent="0.2">
      <c r="A71" s="12">
        <v>70</v>
      </c>
      <c r="B71" s="12" t="s">
        <v>350</v>
      </c>
      <c r="C71" s="12" t="s">
        <v>2228</v>
      </c>
    </row>
    <row r="72" spans="1:3" x14ac:dyDescent="0.2">
      <c r="A72" s="12">
        <v>71</v>
      </c>
      <c r="B72" s="12" t="s">
        <v>357</v>
      </c>
      <c r="C72" s="12" t="s">
        <v>2229</v>
      </c>
    </row>
    <row r="73" spans="1:3" x14ac:dyDescent="0.2">
      <c r="A73" s="12">
        <v>72</v>
      </c>
      <c r="B73" s="12" t="s">
        <v>442</v>
      </c>
      <c r="C73" s="12" t="s">
        <v>2230</v>
      </c>
    </row>
    <row r="74" spans="1:3" x14ac:dyDescent="0.2">
      <c r="A74" s="12">
        <v>73</v>
      </c>
      <c r="B74" s="12" t="s">
        <v>331</v>
      </c>
      <c r="C74" s="12" t="s">
        <v>2231</v>
      </c>
    </row>
    <row r="75" spans="1:3" x14ac:dyDescent="0.2">
      <c r="A75" s="12">
        <v>74</v>
      </c>
      <c r="B75" s="12" t="s">
        <v>257</v>
      </c>
      <c r="C75" s="12" t="s">
        <v>2232</v>
      </c>
    </row>
    <row r="76" spans="1:3" x14ac:dyDescent="0.2">
      <c r="A76" s="12">
        <v>75</v>
      </c>
      <c r="B76" s="12" t="s">
        <v>337</v>
      </c>
      <c r="C76" s="12" t="s">
        <v>2233</v>
      </c>
    </row>
    <row r="77" spans="1:3" x14ac:dyDescent="0.2">
      <c r="A77" s="12">
        <v>76</v>
      </c>
      <c r="B77" s="12" t="s">
        <v>381</v>
      </c>
      <c r="C77" s="12" t="s">
        <v>2234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209"/>
  <sheetViews>
    <sheetView topLeftCell="AH182" workbookViewId="0">
      <selection activeCell="AJ2" sqref="AJ2:AJ204"/>
    </sheetView>
  </sheetViews>
  <sheetFormatPr defaultRowHeight="12.75" x14ac:dyDescent="0.2"/>
  <cols>
    <col min="1" max="2" width="0" hidden="1" customWidth="1"/>
    <col min="3" max="3" width="11.42578125" hidden="1" customWidth="1"/>
    <col min="4" max="4" width="13.28515625" hidden="1" customWidth="1"/>
    <col min="5" max="5" width="15.28515625" hidden="1" customWidth="1"/>
    <col min="6" max="6" width="41.28515625" hidden="1" customWidth="1"/>
    <col min="7" max="7" width="20.42578125" hidden="1" customWidth="1"/>
    <col min="8" max="8" width="0" hidden="1" customWidth="1"/>
    <col min="9" max="9" width="23.42578125" hidden="1" customWidth="1"/>
    <col min="10" max="10" width="10.85546875" hidden="1" customWidth="1"/>
    <col min="11" max="11" width="19.28515625" hidden="1" customWidth="1"/>
    <col min="12" max="25" width="0" hidden="1" customWidth="1"/>
    <col min="26" max="26" width="15" hidden="1" customWidth="1"/>
    <col min="27" max="28" width="0" hidden="1" customWidth="1"/>
    <col min="29" max="29" width="14" hidden="1" customWidth="1"/>
    <col min="30" max="30" width="11" hidden="1" customWidth="1"/>
    <col min="31" max="33" width="0" hidden="1" customWidth="1"/>
    <col min="34" max="34" width="41.28515625" bestFit="1" customWidth="1"/>
    <col min="35" max="35" width="41.28515625" customWidth="1"/>
    <col min="36" max="36" width="12.42578125" bestFit="1" customWidth="1"/>
    <col min="37" max="37" width="16.28515625" bestFit="1" customWidth="1"/>
  </cols>
  <sheetData>
    <row r="1" spans="1:37" x14ac:dyDescent="0.2">
      <c r="A1" s="8" t="s">
        <v>2095</v>
      </c>
      <c r="B1" s="7" t="s">
        <v>610</v>
      </c>
      <c r="C1" s="7" t="s">
        <v>1</v>
      </c>
      <c r="D1" s="7" t="s">
        <v>2</v>
      </c>
      <c r="E1" s="7" t="s">
        <v>3</v>
      </c>
      <c r="F1" s="7" t="s">
        <v>4</v>
      </c>
      <c r="G1" s="7" t="s">
        <v>611</v>
      </c>
      <c r="H1" s="7" t="s">
        <v>612</v>
      </c>
      <c r="I1" s="7" t="s">
        <v>7</v>
      </c>
      <c r="J1" s="7" t="s">
        <v>8</v>
      </c>
      <c r="K1" s="7" t="s">
        <v>9</v>
      </c>
      <c r="L1" s="7" t="s">
        <v>10</v>
      </c>
      <c r="M1" s="7" t="s">
        <v>11</v>
      </c>
      <c r="N1" s="7" t="s">
        <v>12</v>
      </c>
      <c r="O1" s="7" t="s">
        <v>1</v>
      </c>
      <c r="P1" s="7" t="s">
        <v>13</v>
      </c>
      <c r="Q1" s="7" t="s">
        <v>14</v>
      </c>
      <c r="R1" s="7" t="s">
        <v>15</v>
      </c>
      <c r="S1" s="7" t="s">
        <v>16</v>
      </c>
      <c r="T1" s="7" t="s">
        <v>17</v>
      </c>
      <c r="U1" s="7" t="s">
        <v>18</v>
      </c>
      <c r="V1" s="7" t="s">
        <v>19</v>
      </c>
      <c r="W1" s="7" t="s">
        <v>20</v>
      </c>
      <c r="X1" s="7" t="s">
        <v>21</v>
      </c>
      <c r="Y1" s="7" t="s">
        <v>22</v>
      </c>
      <c r="Z1" s="7" t="s">
        <v>23</v>
      </c>
      <c r="AA1" s="7" t="s">
        <v>24</v>
      </c>
      <c r="AB1" s="7" t="s">
        <v>25</v>
      </c>
      <c r="AC1" s="7" t="s">
        <v>26</v>
      </c>
      <c r="AD1" s="7" t="s">
        <v>27</v>
      </c>
      <c r="AE1" s="7" t="s">
        <v>28</v>
      </c>
      <c r="AF1" s="7" t="s">
        <v>29</v>
      </c>
      <c r="AG1" s="7" t="s">
        <v>30</v>
      </c>
      <c r="AH1" s="7" t="s">
        <v>606</v>
      </c>
      <c r="AI1" s="7" t="s">
        <v>609</v>
      </c>
      <c r="AJ1" s="7" t="s">
        <v>607</v>
      </c>
      <c r="AK1" s="7" t="s">
        <v>608</v>
      </c>
    </row>
    <row r="2" spans="1:37" x14ac:dyDescent="0.2">
      <c r="A2" s="9">
        <v>1</v>
      </c>
      <c r="B2" s="4" t="s">
        <v>610</v>
      </c>
      <c r="C2" s="4" t="s">
        <v>654</v>
      </c>
      <c r="D2" s="4">
        <v>45689</v>
      </c>
      <c r="E2" s="4" t="s">
        <v>31</v>
      </c>
      <c r="F2" s="4" t="s">
        <v>655</v>
      </c>
      <c r="G2" s="4">
        <v>45694</v>
      </c>
      <c r="H2" s="4">
        <v>46058</v>
      </c>
      <c r="I2" s="4" t="s">
        <v>656</v>
      </c>
      <c r="J2" s="4">
        <v>3540115636023</v>
      </c>
      <c r="K2" s="4" t="s">
        <v>43</v>
      </c>
      <c r="L2" s="4" t="s">
        <v>657</v>
      </c>
      <c r="M2" s="4" t="s">
        <v>658</v>
      </c>
      <c r="N2" s="4" t="s">
        <v>659</v>
      </c>
      <c r="O2" s="4" t="s">
        <v>654</v>
      </c>
      <c r="P2" s="4" t="s">
        <v>644</v>
      </c>
      <c r="Q2" s="4" t="s">
        <v>39</v>
      </c>
      <c r="R2" s="4" t="s">
        <v>660</v>
      </c>
      <c r="S2" s="4">
        <v>45331</v>
      </c>
      <c r="T2" s="4">
        <v>47154</v>
      </c>
      <c r="U2" s="4">
        <v>2612000</v>
      </c>
      <c r="V2" s="4">
        <v>10</v>
      </c>
      <c r="W2" s="4">
        <v>261200</v>
      </c>
      <c r="X2" s="4">
        <v>2350800</v>
      </c>
      <c r="Y2" s="4">
        <v>2</v>
      </c>
      <c r="Z2" s="6">
        <v>47016</v>
      </c>
      <c r="AA2" s="4"/>
      <c r="AB2" s="4"/>
      <c r="AC2" s="4" t="s">
        <v>78</v>
      </c>
      <c r="AD2" s="4">
        <v>1141073002</v>
      </c>
      <c r="AE2" s="4">
        <v>45735</v>
      </c>
      <c r="AF2" s="4" t="s">
        <v>35</v>
      </c>
      <c r="AG2" s="4">
        <v>0</v>
      </c>
      <c r="AH2" s="4" t="s">
        <v>655</v>
      </c>
      <c r="AI2" s="4"/>
      <c r="AJ2" s="6">
        <f>VLOOKUP(AH2,[1]Sheet1!$B$2:$AA$595,26,0)</f>
        <v>47016</v>
      </c>
      <c r="AK2" s="5">
        <f>AJ2-Z2</f>
        <v>0</v>
      </c>
    </row>
    <row r="3" spans="1:37" x14ac:dyDescent="0.2">
      <c r="A3" s="9">
        <v>2</v>
      </c>
      <c r="B3" s="4" t="s">
        <v>610</v>
      </c>
      <c r="C3" s="4" t="s">
        <v>661</v>
      </c>
      <c r="D3" s="4">
        <v>45689</v>
      </c>
      <c r="E3" s="4" t="s">
        <v>31</v>
      </c>
      <c r="F3" s="4" t="s">
        <v>662</v>
      </c>
      <c r="G3" s="4">
        <v>45709</v>
      </c>
      <c r="H3" s="4">
        <v>46073</v>
      </c>
      <c r="I3" s="4" t="s">
        <v>663</v>
      </c>
      <c r="J3" s="4">
        <v>9140003638877</v>
      </c>
      <c r="K3" s="4" t="s">
        <v>197</v>
      </c>
      <c r="L3" s="4" t="s">
        <v>664</v>
      </c>
      <c r="M3" s="4" t="s">
        <v>665</v>
      </c>
      <c r="N3" s="4" t="s">
        <v>666</v>
      </c>
      <c r="O3" s="4" t="s">
        <v>661</v>
      </c>
      <c r="P3" s="4" t="s">
        <v>644</v>
      </c>
      <c r="Q3" s="4" t="s">
        <v>39</v>
      </c>
      <c r="R3" s="4" t="s">
        <v>667</v>
      </c>
      <c r="S3" s="4">
        <v>45344</v>
      </c>
      <c r="T3" s="4">
        <v>46451</v>
      </c>
      <c r="U3" s="4">
        <v>4549000</v>
      </c>
      <c r="V3" s="4">
        <v>10</v>
      </c>
      <c r="W3" s="4">
        <v>454900</v>
      </c>
      <c r="X3" s="4">
        <v>4094100</v>
      </c>
      <c r="Y3" s="4">
        <v>1.5</v>
      </c>
      <c r="Z3" s="6">
        <v>61411.5</v>
      </c>
      <c r="AA3" s="4"/>
      <c r="AB3" s="4"/>
      <c r="AC3" s="4" t="s">
        <v>78</v>
      </c>
      <c r="AD3" s="4">
        <v>1141073002</v>
      </c>
      <c r="AE3" s="4">
        <v>45735</v>
      </c>
      <c r="AF3" s="4" t="s">
        <v>35</v>
      </c>
      <c r="AG3" s="4">
        <v>0</v>
      </c>
      <c r="AH3" s="4" t="s">
        <v>662</v>
      </c>
      <c r="AI3" s="4"/>
      <c r="AJ3" s="6">
        <f>VLOOKUP(AH3,[1]Sheet1!$B$2:$AA$595,26,0)</f>
        <v>61412</v>
      </c>
      <c r="AK3" s="5">
        <f t="shared" ref="AK3:AK66" si="0">AJ3-Z3</f>
        <v>0.5</v>
      </c>
    </row>
    <row r="4" spans="1:37" x14ac:dyDescent="0.2">
      <c r="A4" s="9">
        <v>3</v>
      </c>
      <c r="B4" s="4" t="s">
        <v>610</v>
      </c>
      <c r="C4" s="4" t="s">
        <v>668</v>
      </c>
      <c r="D4" s="4">
        <v>45689</v>
      </c>
      <c r="E4" s="4" t="s">
        <v>31</v>
      </c>
      <c r="F4" s="4" t="s">
        <v>669</v>
      </c>
      <c r="G4" s="4">
        <v>45704</v>
      </c>
      <c r="H4" s="4">
        <v>46068</v>
      </c>
      <c r="I4" s="4" t="s">
        <v>670</v>
      </c>
      <c r="J4" s="4">
        <v>3520221801947</v>
      </c>
      <c r="K4" s="4" t="s">
        <v>618</v>
      </c>
      <c r="L4" s="4" t="s">
        <v>671</v>
      </c>
      <c r="M4" s="4" t="s">
        <v>672</v>
      </c>
      <c r="N4" s="4" t="s">
        <v>673</v>
      </c>
      <c r="O4" s="4" t="s">
        <v>668</v>
      </c>
      <c r="P4" s="4" t="s">
        <v>644</v>
      </c>
      <c r="Q4" s="4" t="s">
        <v>39</v>
      </c>
      <c r="R4" s="4" t="s">
        <v>674</v>
      </c>
      <c r="S4" s="4">
        <v>44613</v>
      </c>
      <c r="T4" s="4">
        <v>46451</v>
      </c>
      <c r="U4" s="4">
        <v>1546000</v>
      </c>
      <c r="V4" s="4">
        <v>20</v>
      </c>
      <c r="W4" s="4">
        <v>309200</v>
      </c>
      <c r="X4" s="4">
        <v>1236800</v>
      </c>
      <c r="Y4" s="4">
        <v>2.5</v>
      </c>
      <c r="Z4" s="6">
        <v>30920</v>
      </c>
      <c r="AA4" s="4"/>
      <c r="AB4" s="4"/>
      <c r="AC4" s="4" t="s">
        <v>78</v>
      </c>
      <c r="AD4" s="4">
        <v>1141073002</v>
      </c>
      <c r="AE4" s="4">
        <v>45735</v>
      </c>
      <c r="AF4" s="4" t="s">
        <v>35</v>
      </c>
      <c r="AG4" s="4">
        <v>0</v>
      </c>
      <c r="AH4" s="4" t="s">
        <v>669</v>
      </c>
      <c r="AI4" s="4"/>
      <c r="AJ4" s="6">
        <f>VLOOKUP(AH4,[1]Sheet1!$B$2:$AA$595,26,0)</f>
        <v>30920</v>
      </c>
      <c r="AK4" s="5">
        <f t="shared" si="0"/>
        <v>0</v>
      </c>
    </row>
    <row r="5" spans="1:37" x14ac:dyDescent="0.2">
      <c r="A5" s="9">
        <v>4</v>
      </c>
      <c r="B5" s="4" t="s">
        <v>610</v>
      </c>
      <c r="C5" s="4" t="s">
        <v>675</v>
      </c>
      <c r="D5" s="4">
        <v>45689</v>
      </c>
      <c r="E5" s="4" t="s">
        <v>31</v>
      </c>
      <c r="F5" s="4" t="s">
        <v>676</v>
      </c>
      <c r="G5" s="4">
        <v>45704</v>
      </c>
      <c r="H5" s="4">
        <v>46068</v>
      </c>
      <c r="I5" s="4" t="s">
        <v>656</v>
      </c>
      <c r="J5" s="4">
        <v>3540115636023</v>
      </c>
      <c r="K5" s="4" t="s">
        <v>32</v>
      </c>
      <c r="L5" s="4" t="s">
        <v>677</v>
      </c>
      <c r="M5" s="4" t="s">
        <v>678</v>
      </c>
      <c r="N5" s="4" t="s">
        <v>679</v>
      </c>
      <c r="O5" s="4" t="s">
        <v>675</v>
      </c>
      <c r="P5" s="4" t="s">
        <v>644</v>
      </c>
      <c r="Q5" s="4" t="s">
        <v>39</v>
      </c>
      <c r="R5" s="4" t="s">
        <v>660</v>
      </c>
      <c r="S5" s="4">
        <v>44610</v>
      </c>
      <c r="T5" s="4">
        <v>46451</v>
      </c>
      <c r="U5" s="4">
        <v>1975000</v>
      </c>
      <c r="V5" s="4">
        <v>20</v>
      </c>
      <c r="W5" s="4">
        <v>395000</v>
      </c>
      <c r="X5" s="4">
        <v>1580000</v>
      </c>
      <c r="Y5" s="4">
        <v>1.75</v>
      </c>
      <c r="Z5" s="6">
        <v>27650</v>
      </c>
      <c r="AA5" s="4"/>
      <c r="AB5" s="4"/>
      <c r="AC5" s="4" t="s">
        <v>78</v>
      </c>
      <c r="AD5" s="4">
        <v>1141073002</v>
      </c>
      <c r="AE5" s="4">
        <v>45735</v>
      </c>
      <c r="AF5" s="4" t="s">
        <v>35</v>
      </c>
      <c r="AG5" s="4">
        <v>0</v>
      </c>
      <c r="AH5" s="4" t="s">
        <v>676</v>
      </c>
      <c r="AI5" s="4"/>
      <c r="AJ5" s="6">
        <f>VLOOKUP(AH5,[1]Sheet1!$B$2:$AA$595,26,0)</f>
        <v>27650</v>
      </c>
      <c r="AK5" s="5">
        <f t="shared" si="0"/>
        <v>0</v>
      </c>
    </row>
    <row r="6" spans="1:37" x14ac:dyDescent="0.2">
      <c r="A6" s="9">
        <v>5</v>
      </c>
      <c r="B6" s="4" t="s">
        <v>610</v>
      </c>
      <c r="C6" s="4" t="s">
        <v>680</v>
      </c>
      <c r="D6" s="4">
        <v>45689</v>
      </c>
      <c r="E6" s="4" t="s">
        <v>31</v>
      </c>
      <c r="F6" s="4" t="s">
        <v>681</v>
      </c>
      <c r="G6" s="4">
        <v>45704</v>
      </c>
      <c r="H6" s="4">
        <v>46068</v>
      </c>
      <c r="I6" s="4" t="s">
        <v>682</v>
      </c>
      <c r="J6" s="4">
        <v>3610230488400</v>
      </c>
      <c r="K6" s="4" t="s">
        <v>43</v>
      </c>
      <c r="L6" s="4" t="s">
        <v>683</v>
      </c>
      <c r="M6" s="4" t="s">
        <v>684</v>
      </c>
      <c r="N6" s="4" t="s">
        <v>685</v>
      </c>
      <c r="O6" s="4" t="s">
        <v>680</v>
      </c>
      <c r="P6" s="4" t="s">
        <v>644</v>
      </c>
      <c r="Q6" s="4" t="s">
        <v>54</v>
      </c>
      <c r="R6" s="4" t="s">
        <v>686</v>
      </c>
      <c r="S6" s="4">
        <v>44613</v>
      </c>
      <c r="T6" s="4">
        <v>46451</v>
      </c>
      <c r="U6" s="4">
        <v>1546000</v>
      </c>
      <c r="V6" s="4">
        <v>20</v>
      </c>
      <c r="W6" s="4">
        <v>309200</v>
      </c>
      <c r="X6" s="4">
        <v>1236800</v>
      </c>
      <c r="Y6" s="4">
        <v>1.75</v>
      </c>
      <c r="Z6" s="6">
        <v>21644</v>
      </c>
      <c r="AA6" s="4"/>
      <c r="AB6" s="4"/>
      <c r="AC6" s="4" t="s">
        <v>78</v>
      </c>
      <c r="AD6" s="4">
        <v>1141073002</v>
      </c>
      <c r="AE6" s="4">
        <v>45735</v>
      </c>
      <c r="AF6" s="4" t="s">
        <v>35</v>
      </c>
      <c r="AG6" s="4">
        <v>0</v>
      </c>
      <c r="AH6" s="4" t="s">
        <v>681</v>
      </c>
      <c r="AI6" s="4"/>
      <c r="AJ6" s="6">
        <f>VLOOKUP(AH6,[1]Sheet1!$B$2:$AA$595,26,0)</f>
        <v>21644</v>
      </c>
      <c r="AK6" s="5">
        <f t="shared" si="0"/>
        <v>0</v>
      </c>
    </row>
    <row r="7" spans="1:37" x14ac:dyDescent="0.2">
      <c r="A7" s="9">
        <v>6</v>
      </c>
      <c r="B7" s="4" t="s">
        <v>610</v>
      </c>
      <c r="C7" s="4" t="s">
        <v>687</v>
      </c>
      <c r="D7" s="4">
        <v>45689</v>
      </c>
      <c r="E7" s="4" t="s">
        <v>31</v>
      </c>
      <c r="F7" s="4" t="s">
        <v>688</v>
      </c>
      <c r="G7" s="4">
        <v>45704</v>
      </c>
      <c r="H7" s="4">
        <v>46068</v>
      </c>
      <c r="I7" s="4" t="s">
        <v>689</v>
      </c>
      <c r="J7" s="4">
        <v>3740505907221</v>
      </c>
      <c r="K7" s="4" t="s">
        <v>640</v>
      </c>
      <c r="L7" s="4" t="s">
        <v>690</v>
      </c>
      <c r="M7" s="4" t="s">
        <v>691</v>
      </c>
      <c r="N7" s="4" t="s">
        <v>692</v>
      </c>
      <c r="O7" s="4" t="s">
        <v>687</v>
      </c>
      <c r="P7" s="4" t="s">
        <v>645</v>
      </c>
      <c r="Q7" s="4" t="s">
        <v>34</v>
      </c>
      <c r="R7" s="4" t="s">
        <v>693</v>
      </c>
      <c r="S7" s="4">
        <v>44610</v>
      </c>
      <c r="T7" s="4">
        <v>46451</v>
      </c>
      <c r="U7" s="4">
        <v>1750000</v>
      </c>
      <c r="V7" s="4">
        <v>20</v>
      </c>
      <c r="W7" s="4">
        <v>350000</v>
      </c>
      <c r="X7" s="4">
        <v>1400000</v>
      </c>
      <c r="Y7" s="4">
        <v>1.75</v>
      </c>
      <c r="Z7" s="6">
        <v>24500</v>
      </c>
      <c r="AA7" s="4"/>
      <c r="AB7" s="4"/>
      <c r="AC7" s="4" t="s">
        <v>78</v>
      </c>
      <c r="AD7" s="4">
        <v>1141073002</v>
      </c>
      <c r="AE7" s="4">
        <v>45735</v>
      </c>
      <c r="AF7" s="4" t="s">
        <v>35</v>
      </c>
      <c r="AG7" s="4">
        <v>0</v>
      </c>
      <c r="AH7" s="4" t="s">
        <v>688</v>
      </c>
      <c r="AI7" s="4"/>
      <c r="AJ7" s="6">
        <f>VLOOKUP(AH7,[1]Sheet1!$B$2:$AA$595,26,0)</f>
        <v>24500</v>
      </c>
      <c r="AK7" s="5">
        <f t="shared" si="0"/>
        <v>0</v>
      </c>
    </row>
    <row r="8" spans="1:37" x14ac:dyDescent="0.2">
      <c r="A8" s="9">
        <v>7</v>
      </c>
      <c r="B8" s="4" t="s">
        <v>610</v>
      </c>
      <c r="C8" s="4" t="s">
        <v>694</v>
      </c>
      <c r="D8" s="4">
        <v>45689</v>
      </c>
      <c r="E8" s="4" t="s">
        <v>31</v>
      </c>
      <c r="F8" s="4" t="s">
        <v>695</v>
      </c>
      <c r="G8" s="4">
        <v>45691</v>
      </c>
      <c r="H8" s="4">
        <v>46055</v>
      </c>
      <c r="I8" s="4" t="s">
        <v>696</v>
      </c>
      <c r="J8" s="4">
        <v>3520225860949</v>
      </c>
      <c r="K8" s="4" t="s">
        <v>63</v>
      </c>
      <c r="L8" s="4" t="s">
        <v>697</v>
      </c>
      <c r="M8" s="4" t="s">
        <v>698</v>
      </c>
      <c r="N8" s="4" t="s">
        <v>699</v>
      </c>
      <c r="O8" s="4" t="s">
        <v>694</v>
      </c>
      <c r="P8" s="4" t="s">
        <v>644</v>
      </c>
      <c r="Q8" s="4" t="s">
        <v>39</v>
      </c>
      <c r="R8" s="4" t="s">
        <v>700</v>
      </c>
      <c r="S8" s="4">
        <v>44601</v>
      </c>
      <c r="T8" s="4">
        <v>46058</v>
      </c>
      <c r="U8" s="4">
        <v>2244000</v>
      </c>
      <c r="V8" s="4">
        <v>20</v>
      </c>
      <c r="W8" s="4">
        <v>448800</v>
      </c>
      <c r="X8" s="4">
        <v>1795200</v>
      </c>
      <c r="Y8" s="4">
        <v>1.75</v>
      </c>
      <c r="Z8" s="6">
        <v>31416</v>
      </c>
      <c r="AA8" s="4"/>
      <c r="AB8" s="4"/>
      <c r="AC8" s="4" t="s">
        <v>78</v>
      </c>
      <c r="AD8" s="4">
        <v>1141073002</v>
      </c>
      <c r="AE8" s="4">
        <v>45735</v>
      </c>
      <c r="AF8" s="4" t="s">
        <v>35</v>
      </c>
      <c r="AG8" s="4">
        <v>0</v>
      </c>
      <c r="AH8" s="4" t="s">
        <v>695</v>
      </c>
      <c r="AI8" s="4"/>
      <c r="AJ8" s="6">
        <f>VLOOKUP(AH8,[1]Sheet1!$B$2:$AA$595,26,0)</f>
        <v>31416</v>
      </c>
      <c r="AK8" s="5">
        <f t="shared" si="0"/>
        <v>0</v>
      </c>
    </row>
    <row r="9" spans="1:37" x14ac:dyDescent="0.2">
      <c r="A9" s="9">
        <v>8</v>
      </c>
      <c r="B9" s="4" t="s">
        <v>610</v>
      </c>
      <c r="C9" s="4" t="s">
        <v>701</v>
      </c>
      <c r="D9" s="4">
        <v>45689</v>
      </c>
      <c r="E9" s="4" t="s">
        <v>31</v>
      </c>
      <c r="F9" s="4" t="s">
        <v>702</v>
      </c>
      <c r="G9" s="4">
        <v>45704</v>
      </c>
      <c r="H9" s="4">
        <v>46068</v>
      </c>
      <c r="I9" s="4" t="s">
        <v>703</v>
      </c>
      <c r="J9" s="4">
        <v>5630215706883</v>
      </c>
      <c r="K9" s="4" t="s">
        <v>616</v>
      </c>
      <c r="L9" s="4" t="s">
        <v>704</v>
      </c>
      <c r="M9" s="4" t="s">
        <v>705</v>
      </c>
      <c r="N9" s="4" t="s">
        <v>706</v>
      </c>
      <c r="O9" s="4" t="s">
        <v>701</v>
      </c>
      <c r="P9" s="4" t="s">
        <v>644</v>
      </c>
      <c r="Q9" s="4" t="s">
        <v>39</v>
      </c>
      <c r="R9" s="4" t="s">
        <v>707</v>
      </c>
      <c r="S9" s="4">
        <v>44613</v>
      </c>
      <c r="T9" s="4">
        <v>46451</v>
      </c>
      <c r="U9" s="4">
        <v>5687000</v>
      </c>
      <c r="V9" s="4">
        <v>20</v>
      </c>
      <c r="W9" s="4">
        <v>1137400</v>
      </c>
      <c r="X9" s="4">
        <v>4549600</v>
      </c>
      <c r="Y9" s="4">
        <v>1.5</v>
      </c>
      <c r="Z9" s="6">
        <v>68244</v>
      </c>
      <c r="AA9" s="4"/>
      <c r="AB9" s="4"/>
      <c r="AC9" s="4" t="s">
        <v>78</v>
      </c>
      <c r="AD9" s="4">
        <v>1141073002</v>
      </c>
      <c r="AE9" s="4">
        <v>45735</v>
      </c>
      <c r="AF9" s="4" t="s">
        <v>35</v>
      </c>
      <c r="AG9" s="4">
        <v>0</v>
      </c>
      <c r="AH9" s="4" t="s">
        <v>702</v>
      </c>
      <c r="AI9" s="4"/>
      <c r="AJ9" s="6">
        <f>VLOOKUP(AH9,[1]Sheet1!$B$2:$AA$595,26,0)</f>
        <v>68244</v>
      </c>
      <c r="AK9" s="5">
        <f t="shared" si="0"/>
        <v>0</v>
      </c>
    </row>
    <row r="10" spans="1:37" x14ac:dyDescent="0.2">
      <c r="A10" s="9">
        <v>9</v>
      </c>
      <c r="B10" s="4" t="s">
        <v>610</v>
      </c>
      <c r="C10" s="4" t="s">
        <v>708</v>
      </c>
      <c r="D10" s="4">
        <v>45689</v>
      </c>
      <c r="E10" s="4" t="s">
        <v>31</v>
      </c>
      <c r="F10" s="4" t="s">
        <v>709</v>
      </c>
      <c r="G10" s="4">
        <v>45705</v>
      </c>
      <c r="H10" s="4">
        <v>46069</v>
      </c>
      <c r="I10" s="4" t="s">
        <v>710</v>
      </c>
      <c r="J10" s="4">
        <v>4250139859251</v>
      </c>
      <c r="K10" s="4" t="s">
        <v>41</v>
      </c>
      <c r="L10" s="4" t="s">
        <v>711</v>
      </c>
      <c r="M10" s="4" t="s">
        <v>712</v>
      </c>
      <c r="N10" s="4" t="s">
        <v>713</v>
      </c>
      <c r="O10" s="4" t="s">
        <v>708</v>
      </c>
      <c r="P10" s="4" t="s">
        <v>44</v>
      </c>
      <c r="Q10" s="4" t="s">
        <v>66</v>
      </c>
      <c r="R10" s="4" t="s">
        <v>714</v>
      </c>
      <c r="S10" s="4">
        <v>44614</v>
      </c>
      <c r="T10" s="4">
        <v>46451</v>
      </c>
      <c r="U10" s="4">
        <v>1500000</v>
      </c>
      <c r="V10" s="4">
        <v>20</v>
      </c>
      <c r="W10" s="4">
        <v>300000</v>
      </c>
      <c r="X10" s="4">
        <v>1200000</v>
      </c>
      <c r="Y10" s="4">
        <v>1.75</v>
      </c>
      <c r="Z10" s="6">
        <v>21000</v>
      </c>
      <c r="AA10" s="4"/>
      <c r="AB10" s="4"/>
      <c r="AC10" s="4" t="s">
        <v>78</v>
      </c>
      <c r="AD10" s="4">
        <v>1141073002</v>
      </c>
      <c r="AE10" s="4">
        <v>45735</v>
      </c>
      <c r="AF10" s="4" t="s">
        <v>35</v>
      </c>
      <c r="AG10" s="4">
        <v>0</v>
      </c>
      <c r="AH10" s="4" t="s">
        <v>709</v>
      </c>
      <c r="AI10" s="4"/>
      <c r="AJ10" s="6">
        <f>VLOOKUP(AH10,[1]Sheet1!$B$2:$AA$595,26,0)</f>
        <v>21000</v>
      </c>
      <c r="AK10" s="5">
        <f t="shared" si="0"/>
        <v>0</v>
      </c>
    </row>
    <row r="11" spans="1:37" x14ac:dyDescent="0.2">
      <c r="A11" s="9">
        <v>10</v>
      </c>
      <c r="B11" s="4" t="s">
        <v>610</v>
      </c>
      <c r="C11" s="4" t="s">
        <v>715</v>
      </c>
      <c r="D11" s="4">
        <v>45689</v>
      </c>
      <c r="E11" s="4" t="s">
        <v>31</v>
      </c>
      <c r="F11" s="4" t="s">
        <v>716</v>
      </c>
      <c r="G11" s="4">
        <v>45704</v>
      </c>
      <c r="H11" s="4">
        <v>46068</v>
      </c>
      <c r="I11" s="4" t="s">
        <v>58</v>
      </c>
      <c r="J11" s="4">
        <v>3520283240485</v>
      </c>
      <c r="K11" s="4" t="s">
        <v>68</v>
      </c>
      <c r="L11" s="4" t="s">
        <v>717</v>
      </c>
      <c r="M11" s="4" t="s">
        <v>718</v>
      </c>
      <c r="N11" s="4" t="s">
        <v>719</v>
      </c>
      <c r="O11" s="4" t="s">
        <v>715</v>
      </c>
      <c r="P11" s="4" t="s">
        <v>644</v>
      </c>
      <c r="Q11" s="4" t="s">
        <v>39</v>
      </c>
      <c r="R11" s="4" t="s">
        <v>720</v>
      </c>
      <c r="S11" s="4">
        <v>44620</v>
      </c>
      <c r="T11" s="4">
        <v>46451</v>
      </c>
      <c r="U11" s="4">
        <v>1546000</v>
      </c>
      <c r="V11" s="4">
        <v>20</v>
      </c>
      <c r="W11" s="4">
        <v>309200</v>
      </c>
      <c r="X11" s="4">
        <v>1236800</v>
      </c>
      <c r="Y11" s="4">
        <v>2.5</v>
      </c>
      <c r="Z11" s="6">
        <v>30920</v>
      </c>
      <c r="AA11" s="4"/>
      <c r="AB11" s="4"/>
      <c r="AC11" s="4" t="s">
        <v>78</v>
      </c>
      <c r="AD11" s="4">
        <v>1141073002</v>
      </c>
      <c r="AE11" s="4">
        <v>45735</v>
      </c>
      <c r="AF11" s="4" t="s">
        <v>35</v>
      </c>
      <c r="AG11" s="4">
        <v>0</v>
      </c>
      <c r="AH11" s="4" t="s">
        <v>716</v>
      </c>
      <c r="AI11" s="4"/>
      <c r="AJ11" s="6">
        <f>VLOOKUP(AH11,[1]Sheet1!$B$2:$AA$595,26,0)</f>
        <v>30920</v>
      </c>
      <c r="AK11" s="5">
        <f t="shared" si="0"/>
        <v>0</v>
      </c>
    </row>
    <row r="12" spans="1:37" x14ac:dyDescent="0.2">
      <c r="A12" s="9">
        <v>11</v>
      </c>
      <c r="B12" s="4" t="s">
        <v>610</v>
      </c>
      <c r="C12" s="4" t="s">
        <v>721</v>
      </c>
      <c r="D12" s="4">
        <v>45689</v>
      </c>
      <c r="E12" s="4" t="s">
        <v>31</v>
      </c>
      <c r="F12" s="4" t="s">
        <v>722</v>
      </c>
      <c r="G12" s="4">
        <v>45705</v>
      </c>
      <c r="H12" s="4">
        <v>46069</v>
      </c>
      <c r="I12" s="4" t="s">
        <v>723</v>
      </c>
      <c r="J12" s="4">
        <v>3630203878889</v>
      </c>
      <c r="K12" s="4" t="s">
        <v>32</v>
      </c>
      <c r="L12" s="4" t="s">
        <v>724</v>
      </c>
      <c r="M12" s="4" t="s">
        <v>725</v>
      </c>
      <c r="N12" s="4" t="s">
        <v>726</v>
      </c>
      <c r="O12" s="4" t="s">
        <v>721</v>
      </c>
      <c r="P12" s="4" t="s">
        <v>644</v>
      </c>
      <c r="Q12" s="4" t="s">
        <v>54</v>
      </c>
      <c r="R12" s="4" t="s">
        <v>727</v>
      </c>
      <c r="S12" s="4">
        <v>44613</v>
      </c>
      <c r="T12" s="4">
        <v>46451</v>
      </c>
      <c r="U12" s="4">
        <v>1760000</v>
      </c>
      <c r="V12" s="4">
        <v>20</v>
      </c>
      <c r="W12" s="4">
        <v>352000</v>
      </c>
      <c r="X12" s="4">
        <v>1408000</v>
      </c>
      <c r="Y12" s="4">
        <v>1.75</v>
      </c>
      <c r="Z12" s="6">
        <v>24640</v>
      </c>
      <c r="AA12" s="4"/>
      <c r="AB12" s="4"/>
      <c r="AC12" s="4" t="s">
        <v>78</v>
      </c>
      <c r="AD12" s="4">
        <v>1141073002</v>
      </c>
      <c r="AE12" s="4">
        <v>45735</v>
      </c>
      <c r="AF12" s="4" t="s">
        <v>35</v>
      </c>
      <c r="AG12" s="4">
        <v>0</v>
      </c>
      <c r="AH12" s="4" t="s">
        <v>722</v>
      </c>
      <c r="AI12" s="4"/>
      <c r="AJ12" s="6">
        <f>VLOOKUP(AH12,[1]Sheet1!$B$2:$AA$595,26,0)</f>
        <v>24640</v>
      </c>
      <c r="AK12" s="5">
        <f t="shared" si="0"/>
        <v>0</v>
      </c>
    </row>
    <row r="13" spans="1:37" x14ac:dyDescent="0.2">
      <c r="A13" s="9">
        <v>12</v>
      </c>
      <c r="B13" s="4" t="s">
        <v>610</v>
      </c>
      <c r="C13" s="4" t="s">
        <v>728</v>
      </c>
      <c r="D13" s="4">
        <v>45689</v>
      </c>
      <c r="E13" s="4" t="s">
        <v>31</v>
      </c>
      <c r="F13" s="4" t="s">
        <v>729</v>
      </c>
      <c r="G13" s="4">
        <v>45709</v>
      </c>
      <c r="H13" s="4">
        <v>46073</v>
      </c>
      <c r="I13" s="4" t="s">
        <v>730</v>
      </c>
      <c r="J13" s="4">
        <v>3410365452477</v>
      </c>
      <c r="K13" s="4" t="s">
        <v>639</v>
      </c>
      <c r="L13" s="4" t="s">
        <v>731</v>
      </c>
      <c r="M13" s="4" t="s">
        <v>732</v>
      </c>
      <c r="N13" s="4" t="s">
        <v>733</v>
      </c>
      <c r="O13" s="4" t="s">
        <v>728</v>
      </c>
      <c r="P13" s="4" t="s">
        <v>644</v>
      </c>
      <c r="Q13" s="4" t="s">
        <v>39</v>
      </c>
      <c r="R13" s="4" t="s">
        <v>734</v>
      </c>
      <c r="S13" s="4">
        <v>45345</v>
      </c>
      <c r="T13" s="4">
        <v>46451</v>
      </c>
      <c r="U13" s="4">
        <v>3800000</v>
      </c>
      <c r="V13" s="4">
        <v>10</v>
      </c>
      <c r="W13" s="4">
        <v>380000</v>
      </c>
      <c r="X13" s="4">
        <v>3420000</v>
      </c>
      <c r="Y13" s="4">
        <v>1.5</v>
      </c>
      <c r="Z13" s="6">
        <v>51300</v>
      </c>
      <c r="AA13" s="4"/>
      <c r="AB13" s="4"/>
      <c r="AC13" s="4" t="s">
        <v>78</v>
      </c>
      <c r="AD13" s="4">
        <v>1141073002</v>
      </c>
      <c r="AE13" s="4">
        <v>45735</v>
      </c>
      <c r="AF13" s="4" t="s">
        <v>35</v>
      </c>
      <c r="AG13" s="4">
        <v>0</v>
      </c>
      <c r="AH13" s="4" t="s">
        <v>729</v>
      </c>
      <c r="AI13" s="4"/>
      <c r="AJ13" s="6">
        <f>VLOOKUP(AH13,[1]Sheet1!$B$2:$AA$595,26,0)</f>
        <v>51300</v>
      </c>
      <c r="AK13" s="5">
        <f t="shared" si="0"/>
        <v>0</v>
      </c>
    </row>
    <row r="14" spans="1:37" x14ac:dyDescent="0.2">
      <c r="A14" s="9">
        <v>13</v>
      </c>
      <c r="B14" s="4" t="s">
        <v>610</v>
      </c>
      <c r="C14" s="4" t="s">
        <v>735</v>
      </c>
      <c r="D14" s="4">
        <v>45689</v>
      </c>
      <c r="E14" s="4" t="s">
        <v>31</v>
      </c>
      <c r="F14" s="4" t="s">
        <v>736</v>
      </c>
      <c r="G14" s="4">
        <v>45705</v>
      </c>
      <c r="H14" s="4">
        <v>46069</v>
      </c>
      <c r="I14" s="4" t="s">
        <v>737</v>
      </c>
      <c r="J14" s="4">
        <v>3310234138423</v>
      </c>
      <c r="K14" s="4" t="s">
        <v>61</v>
      </c>
      <c r="L14" s="4" t="s">
        <v>738</v>
      </c>
      <c r="M14" s="4" t="s">
        <v>739</v>
      </c>
      <c r="N14" s="4" t="s">
        <v>740</v>
      </c>
      <c r="O14" s="4" t="s">
        <v>735</v>
      </c>
      <c r="P14" s="4" t="s">
        <v>644</v>
      </c>
      <c r="Q14" s="4" t="s">
        <v>46</v>
      </c>
      <c r="R14" s="4" t="s">
        <v>741</v>
      </c>
      <c r="S14" s="4">
        <v>44616</v>
      </c>
      <c r="T14" s="4">
        <v>46451</v>
      </c>
      <c r="U14" s="4">
        <v>2700000</v>
      </c>
      <c r="V14" s="4">
        <v>20</v>
      </c>
      <c r="W14" s="4">
        <v>540000</v>
      </c>
      <c r="X14" s="4">
        <v>2160000</v>
      </c>
      <c r="Y14" s="4">
        <v>2.5</v>
      </c>
      <c r="Z14" s="6">
        <v>54000</v>
      </c>
      <c r="AA14" s="4"/>
      <c r="AB14" s="4"/>
      <c r="AC14" s="4" t="s">
        <v>78</v>
      </c>
      <c r="AD14" s="4">
        <v>1141073002</v>
      </c>
      <c r="AE14" s="4">
        <v>45735</v>
      </c>
      <c r="AF14" s="4" t="s">
        <v>35</v>
      </c>
      <c r="AG14" s="4">
        <v>0</v>
      </c>
      <c r="AH14" s="4" t="s">
        <v>736</v>
      </c>
      <c r="AI14" s="4"/>
      <c r="AJ14" s="6">
        <f>VLOOKUP(AH14,[1]Sheet1!$B$2:$AA$595,26,0)</f>
        <v>54000</v>
      </c>
      <c r="AK14" s="5">
        <f t="shared" si="0"/>
        <v>0</v>
      </c>
    </row>
    <row r="15" spans="1:37" x14ac:dyDescent="0.2">
      <c r="A15" s="9">
        <v>14</v>
      </c>
      <c r="B15" s="4" t="s">
        <v>610</v>
      </c>
      <c r="C15" s="4" t="s">
        <v>742</v>
      </c>
      <c r="D15" s="4">
        <v>45689</v>
      </c>
      <c r="E15" s="4" t="s">
        <v>31</v>
      </c>
      <c r="F15" s="4" t="s">
        <v>743</v>
      </c>
      <c r="G15" s="4">
        <v>45706</v>
      </c>
      <c r="H15" s="4">
        <v>46070</v>
      </c>
      <c r="I15" s="4" t="s">
        <v>744</v>
      </c>
      <c r="J15" s="4">
        <v>3520228825969</v>
      </c>
      <c r="K15" s="4" t="s">
        <v>41</v>
      </c>
      <c r="L15" s="4" t="s">
        <v>745</v>
      </c>
      <c r="M15" s="4" t="s">
        <v>746</v>
      </c>
      <c r="N15" s="4" t="s">
        <v>747</v>
      </c>
      <c r="O15" s="4" t="s">
        <v>742</v>
      </c>
      <c r="P15" s="4" t="s">
        <v>644</v>
      </c>
      <c r="Q15" s="4" t="s">
        <v>748</v>
      </c>
      <c r="R15" s="4" t="s">
        <v>749</v>
      </c>
      <c r="S15" s="4">
        <v>44614</v>
      </c>
      <c r="T15" s="4">
        <v>46451</v>
      </c>
      <c r="U15" s="4">
        <v>1546000</v>
      </c>
      <c r="V15" s="4">
        <v>20</v>
      </c>
      <c r="W15" s="4">
        <v>309200</v>
      </c>
      <c r="X15" s="4">
        <v>1236800</v>
      </c>
      <c r="Y15" s="4">
        <v>1.75</v>
      </c>
      <c r="Z15" s="6">
        <v>21644</v>
      </c>
      <c r="AA15" s="4"/>
      <c r="AB15" s="4"/>
      <c r="AC15" s="4" t="s">
        <v>78</v>
      </c>
      <c r="AD15" s="4">
        <v>1141073002</v>
      </c>
      <c r="AE15" s="4">
        <v>45735</v>
      </c>
      <c r="AF15" s="4" t="s">
        <v>35</v>
      </c>
      <c r="AG15" s="4">
        <v>0</v>
      </c>
      <c r="AH15" s="4" t="s">
        <v>743</v>
      </c>
      <c r="AI15" s="4"/>
      <c r="AJ15" s="6">
        <f>VLOOKUP(AH15,[1]Sheet1!$B$2:$AA$595,26,0)</f>
        <v>21644</v>
      </c>
      <c r="AK15" s="5">
        <f t="shared" si="0"/>
        <v>0</v>
      </c>
    </row>
    <row r="16" spans="1:37" x14ac:dyDescent="0.2">
      <c r="A16" s="9">
        <v>15</v>
      </c>
      <c r="B16" s="4" t="s">
        <v>610</v>
      </c>
      <c r="C16" s="4" t="s">
        <v>750</v>
      </c>
      <c r="D16" s="4">
        <v>45689</v>
      </c>
      <c r="E16" s="4" t="s">
        <v>31</v>
      </c>
      <c r="F16" s="4" t="s">
        <v>751</v>
      </c>
      <c r="G16" s="4">
        <v>45706</v>
      </c>
      <c r="H16" s="4">
        <v>46070</v>
      </c>
      <c r="I16" s="4" t="s">
        <v>752</v>
      </c>
      <c r="J16" s="4">
        <v>3520292809903</v>
      </c>
      <c r="K16" s="4" t="s">
        <v>41</v>
      </c>
      <c r="L16" s="4" t="s">
        <v>753</v>
      </c>
      <c r="M16" s="4" t="s">
        <v>754</v>
      </c>
      <c r="N16" s="4" t="s">
        <v>755</v>
      </c>
      <c r="O16" s="4" t="s">
        <v>750</v>
      </c>
      <c r="P16" s="4" t="s">
        <v>644</v>
      </c>
      <c r="Q16" s="4" t="s">
        <v>748</v>
      </c>
      <c r="R16" s="4" t="s">
        <v>756</v>
      </c>
      <c r="S16" s="4">
        <v>44614</v>
      </c>
      <c r="T16" s="4">
        <v>46451</v>
      </c>
      <c r="U16" s="4">
        <v>1546000</v>
      </c>
      <c r="V16" s="4">
        <v>20</v>
      </c>
      <c r="W16" s="4">
        <v>309200</v>
      </c>
      <c r="X16" s="4">
        <v>1236800</v>
      </c>
      <c r="Y16" s="4">
        <v>1.75</v>
      </c>
      <c r="Z16" s="6">
        <v>21644</v>
      </c>
      <c r="AA16" s="4"/>
      <c r="AB16" s="4"/>
      <c r="AC16" s="4" t="s">
        <v>78</v>
      </c>
      <c r="AD16" s="4">
        <v>1141073002</v>
      </c>
      <c r="AE16" s="4">
        <v>45735</v>
      </c>
      <c r="AF16" s="4" t="s">
        <v>35</v>
      </c>
      <c r="AG16" s="4">
        <v>0</v>
      </c>
      <c r="AH16" s="4" t="s">
        <v>751</v>
      </c>
      <c r="AI16" s="4"/>
      <c r="AJ16" s="6">
        <f>VLOOKUP(AH16,[1]Sheet1!$B$2:$AA$595,26,0)</f>
        <v>21644</v>
      </c>
      <c r="AK16" s="5">
        <f t="shared" si="0"/>
        <v>0</v>
      </c>
    </row>
    <row r="17" spans="1:37" x14ac:dyDescent="0.2">
      <c r="A17" s="9">
        <v>16</v>
      </c>
      <c r="B17" s="4" t="s">
        <v>610</v>
      </c>
      <c r="C17" s="4" t="s">
        <v>757</v>
      </c>
      <c r="D17" s="4">
        <v>45689</v>
      </c>
      <c r="E17" s="4" t="s">
        <v>31</v>
      </c>
      <c r="F17" s="4" t="s">
        <v>758</v>
      </c>
      <c r="G17" s="4">
        <v>45706</v>
      </c>
      <c r="H17" s="4">
        <v>46070</v>
      </c>
      <c r="I17" s="4" t="s">
        <v>759</v>
      </c>
      <c r="J17" s="4">
        <v>3520180742065</v>
      </c>
      <c r="K17" s="4" t="s">
        <v>760</v>
      </c>
      <c r="L17" s="4" t="s">
        <v>761</v>
      </c>
      <c r="M17" s="4" t="s">
        <v>762</v>
      </c>
      <c r="N17" s="4" t="s">
        <v>763</v>
      </c>
      <c r="O17" s="4" t="s">
        <v>757</v>
      </c>
      <c r="P17" s="4" t="s">
        <v>644</v>
      </c>
      <c r="Q17" s="4" t="s">
        <v>39</v>
      </c>
      <c r="R17" s="4" t="s">
        <v>764</v>
      </c>
      <c r="S17" s="4">
        <v>44617</v>
      </c>
      <c r="T17" s="4">
        <v>46451</v>
      </c>
      <c r="U17" s="4">
        <v>3100000</v>
      </c>
      <c r="V17" s="4">
        <v>20</v>
      </c>
      <c r="W17" s="4">
        <v>620000</v>
      </c>
      <c r="X17" s="4">
        <v>2480000</v>
      </c>
      <c r="Y17" s="4">
        <v>1.75</v>
      </c>
      <c r="Z17" s="6">
        <v>43400</v>
      </c>
      <c r="AA17" s="4"/>
      <c r="AB17" s="4"/>
      <c r="AC17" s="4" t="s">
        <v>78</v>
      </c>
      <c r="AD17" s="4">
        <v>1141073002</v>
      </c>
      <c r="AE17" s="4">
        <v>45735</v>
      </c>
      <c r="AF17" s="4" t="s">
        <v>35</v>
      </c>
      <c r="AG17" s="4">
        <v>0</v>
      </c>
      <c r="AH17" s="4" t="s">
        <v>758</v>
      </c>
      <c r="AI17" s="4"/>
      <c r="AJ17" s="6">
        <f>VLOOKUP(AH17,[1]Sheet1!$B$2:$AA$595,26,0)</f>
        <v>43400</v>
      </c>
      <c r="AK17" s="5">
        <f t="shared" si="0"/>
        <v>0</v>
      </c>
    </row>
    <row r="18" spans="1:37" x14ac:dyDescent="0.2">
      <c r="A18" s="9">
        <v>17</v>
      </c>
      <c r="B18" s="4" t="s">
        <v>610</v>
      </c>
      <c r="C18" s="4" t="s">
        <v>765</v>
      </c>
      <c r="D18" s="4">
        <v>45689</v>
      </c>
      <c r="E18" s="4" t="s">
        <v>31</v>
      </c>
      <c r="F18" s="4" t="s">
        <v>766</v>
      </c>
      <c r="G18" s="4">
        <v>45706</v>
      </c>
      <c r="H18" s="4">
        <v>46070</v>
      </c>
      <c r="I18" s="4" t="s">
        <v>642</v>
      </c>
      <c r="J18" s="4">
        <v>3520222805783</v>
      </c>
      <c r="K18" s="4" t="s">
        <v>615</v>
      </c>
      <c r="L18" s="4" t="s">
        <v>767</v>
      </c>
      <c r="M18" s="4" t="s">
        <v>768</v>
      </c>
      <c r="N18" s="4" t="s">
        <v>769</v>
      </c>
      <c r="O18" s="4" t="s">
        <v>765</v>
      </c>
      <c r="P18" s="4" t="s">
        <v>644</v>
      </c>
      <c r="Q18" s="4" t="s">
        <v>39</v>
      </c>
      <c r="R18" s="4" t="s">
        <v>770</v>
      </c>
      <c r="S18" s="4">
        <v>44615</v>
      </c>
      <c r="T18" s="4">
        <v>46451</v>
      </c>
      <c r="U18" s="4">
        <v>1975000</v>
      </c>
      <c r="V18" s="4">
        <v>20</v>
      </c>
      <c r="W18" s="4">
        <v>395000</v>
      </c>
      <c r="X18" s="4">
        <v>1580000</v>
      </c>
      <c r="Y18" s="4">
        <v>1.75</v>
      </c>
      <c r="Z18" s="6">
        <v>27650</v>
      </c>
      <c r="AA18" s="4"/>
      <c r="AB18" s="4"/>
      <c r="AC18" s="4" t="s">
        <v>78</v>
      </c>
      <c r="AD18" s="4">
        <v>1141073002</v>
      </c>
      <c r="AE18" s="4">
        <v>45735</v>
      </c>
      <c r="AF18" s="4" t="s">
        <v>35</v>
      </c>
      <c r="AG18" s="4">
        <v>0</v>
      </c>
      <c r="AH18" s="4" t="s">
        <v>766</v>
      </c>
      <c r="AI18" s="4"/>
      <c r="AJ18" s="6">
        <f>VLOOKUP(AH18,[1]Sheet1!$B$2:$AA$595,26,0)</f>
        <v>27650</v>
      </c>
      <c r="AK18" s="5">
        <f t="shared" si="0"/>
        <v>0</v>
      </c>
    </row>
    <row r="19" spans="1:37" x14ac:dyDescent="0.2">
      <c r="A19" s="9">
        <v>18</v>
      </c>
      <c r="B19" s="4" t="s">
        <v>610</v>
      </c>
      <c r="C19" s="4" t="s">
        <v>771</v>
      </c>
      <c r="D19" s="4">
        <v>45689</v>
      </c>
      <c r="E19" s="4" t="s">
        <v>31</v>
      </c>
      <c r="F19" s="4" t="s">
        <v>772</v>
      </c>
      <c r="G19" s="4">
        <v>45706</v>
      </c>
      <c r="H19" s="4">
        <v>46070</v>
      </c>
      <c r="I19" s="4" t="s">
        <v>773</v>
      </c>
      <c r="J19" s="4">
        <v>3520205638531</v>
      </c>
      <c r="K19" s="4" t="s">
        <v>637</v>
      </c>
      <c r="L19" s="4" t="s">
        <v>774</v>
      </c>
      <c r="M19" s="4" t="s">
        <v>775</v>
      </c>
      <c r="N19" s="4" t="s">
        <v>776</v>
      </c>
      <c r="O19" s="4" t="s">
        <v>771</v>
      </c>
      <c r="P19" s="4" t="s">
        <v>644</v>
      </c>
      <c r="Q19" s="4" t="s">
        <v>39</v>
      </c>
      <c r="R19" s="4" t="s">
        <v>777</v>
      </c>
      <c r="S19" s="4">
        <v>44621</v>
      </c>
      <c r="T19" s="4">
        <v>46451</v>
      </c>
      <c r="U19" s="4">
        <v>1877000</v>
      </c>
      <c r="V19" s="4">
        <v>20</v>
      </c>
      <c r="W19" s="4">
        <v>375400</v>
      </c>
      <c r="X19" s="4">
        <v>1501600</v>
      </c>
      <c r="Y19" s="4">
        <v>1.75</v>
      </c>
      <c r="Z19" s="6">
        <v>26278</v>
      </c>
      <c r="AA19" s="4"/>
      <c r="AB19" s="4"/>
      <c r="AC19" s="4" t="s">
        <v>78</v>
      </c>
      <c r="AD19" s="4">
        <v>1141073002</v>
      </c>
      <c r="AE19" s="4">
        <v>45735</v>
      </c>
      <c r="AF19" s="4" t="s">
        <v>35</v>
      </c>
      <c r="AG19" s="4">
        <v>0</v>
      </c>
      <c r="AH19" s="4" t="s">
        <v>772</v>
      </c>
      <c r="AI19" s="4"/>
      <c r="AJ19" s="6">
        <f>VLOOKUP(AH19,[1]Sheet1!$B$2:$AA$595,26,0)</f>
        <v>26278</v>
      </c>
      <c r="AK19" s="5">
        <f t="shared" si="0"/>
        <v>0</v>
      </c>
    </row>
    <row r="20" spans="1:37" x14ac:dyDescent="0.2">
      <c r="A20" s="9">
        <v>19</v>
      </c>
      <c r="B20" s="4" t="s">
        <v>610</v>
      </c>
      <c r="C20" s="4" t="s">
        <v>778</v>
      </c>
      <c r="D20" s="4">
        <v>45689</v>
      </c>
      <c r="E20" s="4" t="s">
        <v>31</v>
      </c>
      <c r="F20" s="4" t="s">
        <v>779</v>
      </c>
      <c r="G20" s="4">
        <v>45709</v>
      </c>
      <c r="H20" s="4">
        <v>46073</v>
      </c>
      <c r="I20" s="4" t="s">
        <v>780</v>
      </c>
      <c r="J20" s="4">
        <v>4220103914415</v>
      </c>
      <c r="K20" s="4" t="s">
        <v>316</v>
      </c>
      <c r="L20" s="4" t="s">
        <v>781</v>
      </c>
      <c r="M20" s="4" t="s">
        <v>782</v>
      </c>
      <c r="N20" s="4" t="s">
        <v>783</v>
      </c>
      <c r="O20" s="4" t="s">
        <v>778</v>
      </c>
      <c r="P20" s="4" t="s">
        <v>44</v>
      </c>
      <c r="Q20" s="4" t="s">
        <v>653</v>
      </c>
      <c r="R20" s="4" t="s">
        <v>784</v>
      </c>
      <c r="S20" s="4">
        <v>44614</v>
      </c>
      <c r="T20" s="4">
        <v>46451</v>
      </c>
      <c r="U20" s="4">
        <v>2200000</v>
      </c>
      <c r="V20" s="4">
        <v>20</v>
      </c>
      <c r="W20" s="4">
        <v>440000</v>
      </c>
      <c r="X20" s="4">
        <v>1760000</v>
      </c>
      <c r="Y20" s="4">
        <v>1.75</v>
      </c>
      <c r="Z20" s="6">
        <v>30800</v>
      </c>
      <c r="AA20" s="4"/>
      <c r="AB20" s="4"/>
      <c r="AC20" s="4" t="s">
        <v>78</v>
      </c>
      <c r="AD20" s="4">
        <v>1141073002</v>
      </c>
      <c r="AE20" s="4">
        <v>45735</v>
      </c>
      <c r="AF20" s="4" t="s">
        <v>35</v>
      </c>
      <c r="AG20" s="4">
        <v>0</v>
      </c>
      <c r="AH20" s="4" t="s">
        <v>779</v>
      </c>
      <c r="AI20" s="4"/>
      <c r="AJ20" s="6">
        <f>VLOOKUP(AH20,[1]Sheet1!$B$2:$AA$595,26,0)</f>
        <v>30800</v>
      </c>
      <c r="AK20" s="5">
        <f t="shared" si="0"/>
        <v>0</v>
      </c>
    </row>
    <row r="21" spans="1:37" x14ac:dyDescent="0.2">
      <c r="A21" s="9">
        <v>20</v>
      </c>
      <c r="B21" s="4" t="s">
        <v>610</v>
      </c>
      <c r="C21" s="4" t="s">
        <v>785</v>
      </c>
      <c r="D21" s="4">
        <v>45689</v>
      </c>
      <c r="E21" s="4" t="s">
        <v>31</v>
      </c>
      <c r="F21" s="4" t="s">
        <v>786</v>
      </c>
      <c r="G21" s="4">
        <v>45709</v>
      </c>
      <c r="H21" s="4">
        <v>46073</v>
      </c>
      <c r="I21" s="4" t="s">
        <v>787</v>
      </c>
      <c r="J21" s="4">
        <v>3130473345968</v>
      </c>
      <c r="K21" s="4" t="s">
        <v>43</v>
      </c>
      <c r="L21" s="4" t="s">
        <v>788</v>
      </c>
      <c r="M21" s="4" t="s">
        <v>789</v>
      </c>
      <c r="N21" s="4" t="s">
        <v>790</v>
      </c>
      <c r="O21" s="4" t="s">
        <v>785</v>
      </c>
      <c r="P21" s="4" t="s">
        <v>644</v>
      </c>
      <c r="Q21" s="4" t="s">
        <v>54</v>
      </c>
      <c r="R21" s="4" t="s">
        <v>791</v>
      </c>
      <c r="S21" s="4">
        <v>44628</v>
      </c>
      <c r="T21" s="4">
        <v>46451</v>
      </c>
      <c r="U21" s="4">
        <v>1546000</v>
      </c>
      <c r="V21" s="4">
        <v>20</v>
      </c>
      <c r="W21" s="4">
        <v>309200</v>
      </c>
      <c r="X21" s="4">
        <v>1236800</v>
      </c>
      <c r="Y21" s="4">
        <v>2.5</v>
      </c>
      <c r="Z21" s="6">
        <v>30920</v>
      </c>
      <c r="AA21" s="4"/>
      <c r="AB21" s="4"/>
      <c r="AC21" s="4" t="s">
        <v>78</v>
      </c>
      <c r="AD21" s="4">
        <v>1141073002</v>
      </c>
      <c r="AE21" s="4">
        <v>45735</v>
      </c>
      <c r="AF21" s="4" t="s">
        <v>35</v>
      </c>
      <c r="AG21" s="4">
        <v>0</v>
      </c>
      <c r="AH21" s="4" t="s">
        <v>786</v>
      </c>
      <c r="AI21" s="4"/>
      <c r="AJ21" s="6">
        <f>VLOOKUP(AH21,[1]Sheet1!$B$2:$AA$595,26,0)</f>
        <v>30920</v>
      </c>
      <c r="AK21" s="5">
        <f t="shared" si="0"/>
        <v>0</v>
      </c>
    </row>
    <row r="22" spans="1:37" x14ac:dyDescent="0.2">
      <c r="A22" s="9">
        <v>21</v>
      </c>
      <c r="B22" s="4" t="s">
        <v>610</v>
      </c>
      <c r="C22" s="4" t="s">
        <v>792</v>
      </c>
      <c r="D22" s="4">
        <v>45689</v>
      </c>
      <c r="E22" s="4" t="s">
        <v>31</v>
      </c>
      <c r="F22" s="4" t="s">
        <v>793</v>
      </c>
      <c r="G22" s="4">
        <v>45709</v>
      </c>
      <c r="H22" s="4">
        <v>46073</v>
      </c>
      <c r="I22" s="4" t="s">
        <v>794</v>
      </c>
      <c r="J22" s="4">
        <v>4230135404091</v>
      </c>
      <c r="K22" s="4" t="s">
        <v>41</v>
      </c>
      <c r="L22" s="4" t="s">
        <v>795</v>
      </c>
      <c r="M22" s="4" t="s">
        <v>796</v>
      </c>
      <c r="N22" s="4" t="s">
        <v>797</v>
      </c>
      <c r="O22" s="4" t="s">
        <v>792</v>
      </c>
      <c r="P22" s="4" t="s">
        <v>44</v>
      </c>
      <c r="Q22" s="4" t="s">
        <v>66</v>
      </c>
      <c r="R22" s="4" t="s">
        <v>798</v>
      </c>
      <c r="S22" s="4">
        <v>44615</v>
      </c>
      <c r="T22" s="4">
        <v>46086</v>
      </c>
      <c r="U22" s="4">
        <v>1747000</v>
      </c>
      <c r="V22" s="4">
        <v>20</v>
      </c>
      <c r="W22" s="4">
        <v>349400</v>
      </c>
      <c r="X22" s="4">
        <v>1397600</v>
      </c>
      <c r="Y22" s="4">
        <v>1.75</v>
      </c>
      <c r="Z22" s="6">
        <v>24458</v>
      </c>
      <c r="AA22" s="4"/>
      <c r="AB22" s="4"/>
      <c r="AC22" s="4" t="s">
        <v>78</v>
      </c>
      <c r="AD22" s="4">
        <v>1141073002</v>
      </c>
      <c r="AE22" s="4">
        <v>45735</v>
      </c>
      <c r="AF22" s="4" t="s">
        <v>35</v>
      </c>
      <c r="AG22" s="4">
        <v>0</v>
      </c>
      <c r="AH22" s="4" t="s">
        <v>793</v>
      </c>
      <c r="AI22" s="4"/>
      <c r="AJ22" s="6">
        <f>VLOOKUP(AH22,[1]Sheet1!$B$2:$AA$595,26,0)</f>
        <v>24458</v>
      </c>
      <c r="AK22" s="5">
        <f t="shared" si="0"/>
        <v>0</v>
      </c>
    </row>
    <row r="23" spans="1:37" x14ac:dyDescent="0.2">
      <c r="A23" s="9">
        <v>22</v>
      </c>
      <c r="B23" s="4" t="s">
        <v>610</v>
      </c>
      <c r="C23" s="4" t="s">
        <v>799</v>
      </c>
      <c r="D23" s="4">
        <v>45689</v>
      </c>
      <c r="E23" s="4" t="s">
        <v>31</v>
      </c>
      <c r="F23" s="4" t="s">
        <v>800</v>
      </c>
      <c r="G23" s="4">
        <v>45710</v>
      </c>
      <c r="H23" s="4">
        <v>46074</v>
      </c>
      <c r="I23" s="4" t="s">
        <v>801</v>
      </c>
      <c r="J23" s="4">
        <v>3520221986825</v>
      </c>
      <c r="K23" s="4" t="s">
        <v>633</v>
      </c>
      <c r="L23" s="4" t="s">
        <v>802</v>
      </c>
      <c r="M23" s="4" t="s">
        <v>803</v>
      </c>
      <c r="N23" s="4" t="s">
        <v>804</v>
      </c>
      <c r="O23" s="4" t="s">
        <v>799</v>
      </c>
      <c r="P23" s="4" t="s">
        <v>644</v>
      </c>
      <c r="Q23" s="4" t="s">
        <v>39</v>
      </c>
      <c r="R23" s="4" t="s">
        <v>805</v>
      </c>
      <c r="S23" s="4">
        <v>44617</v>
      </c>
      <c r="T23" s="4">
        <v>46818</v>
      </c>
      <c r="U23" s="4">
        <v>1546000</v>
      </c>
      <c r="V23" s="4">
        <v>20</v>
      </c>
      <c r="W23" s="4">
        <v>309200</v>
      </c>
      <c r="X23" s="4">
        <v>1236800</v>
      </c>
      <c r="Y23" s="4">
        <v>1.75</v>
      </c>
      <c r="Z23" s="6">
        <v>21644</v>
      </c>
      <c r="AA23" s="4"/>
      <c r="AB23" s="4"/>
      <c r="AC23" s="4" t="s">
        <v>78</v>
      </c>
      <c r="AD23" s="4">
        <v>1141073002</v>
      </c>
      <c r="AE23" s="4">
        <v>45735</v>
      </c>
      <c r="AF23" s="4" t="s">
        <v>35</v>
      </c>
      <c r="AG23" s="4">
        <v>0</v>
      </c>
      <c r="AH23" s="4" t="s">
        <v>800</v>
      </c>
      <c r="AI23" s="4"/>
      <c r="AJ23" s="6">
        <f>VLOOKUP(AH23,[1]Sheet1!$B$2:$AA$595,26,0)</f>
        <v>21644</v>
      </c>
      <c r="AK23" s="5">
        <f t="shared" si="0"/>
        <v>0</v>
      </c>
    </row>
    <row r="24" spans="1:37" x14ac:dyDescent="0.2">
      <c r="A24" s="9">
        <v>23</v>
      </c>
      <c r="B24" s="4" t="s">
        <v>610</v>
      </c>
      <c r="C24" s="4" t="s">
        <v>806</v>
      </c>
      <c r="D24" s="4">
        <v>45689</v>
      </c>
      <c r="E24" s="4" t="s">
        <v>31</v>
      </c>
      <c r="F24" s="4" t="s">
        <v>807</v>
      </c>
      <c r="G24" s="4">
        <v>45709</v>
      </c>
      <c r="H24" s="4">
        <v>46073</v>
      </c>
      <c r="I24" s="4" t="s">
        <v>808</v>
      </c>
      <c r="J24" s="4">
        <v>3640224867713</v>
      </c>
      <c r="K24" s="4" t="s">
        <v>618</v>
      </c>
      <c r="L24" s="4" t="s">
        <v>809</v>
      </c>
      <c r="M24" s="4" t="s">
        <v>810</v>
      </c>
      <c r="N24" s="4" t="s">
        <v>811</v>
      </c>
      <c r="O24" s="4" t="s">
        <v>806</v>
      </c>
      <c r="P24" s="4" t="s">
        <v>644</v>
      </c>
      <c r="Q24" s="4" t="s">
        <v>39</v>
      </c>
      <c r="R24" s="4" t="s">
        <v>812</v>
      </c>
      <c r="S24" s="4">
        <v>45349</v>
      </c>
      <c r="T24" s="4">
        <v>47182</v>
      </c>
      <c r="U24" s="4">
        <v>2200000</v>
      </c>
      <c r="V24" s="4">
        <v>10</v>
      </c>
      <c r="W24" s="4">
        <v>220000</v>
      </c>
      <c r="X24" s="4">
        <v>1980000</v>
      </c>
      <c r="Y24" s="4">
        <v>2</v>
      </c>
      <c r="Z24" s="6">
        <v>39600</v>
      </c>
      <c r="AA24" s="4"/>
      <c r="AB24" s="4"/>
      <c r="AC24" s="4" t="s">
        <v>78</v>
      </c>
      <c r="AD24" s="4">
        <v>1141073002</v>
      </c>
      <c r="AE24" s="4">
        <v>45735</v>
      </c>
      <c r="AF24" s="4" t="s">
        <v>35</v>
      </c>
      <c r="AG24" s="4">
        <v>0</v>
      </c>
      <c r="AH24" s="4" t="s">
        <v>807</v>
      </c>
      <c r="AI24" s="4"/>
      <c r="AJ24" s="6">
        <f>VLOOKUP(AH24,[1]Sheet1!$B$2:$AA$595,26,0)</f>
        <v>39600</v>
      </c>
      <c r="AK24" s="5">
        <f t="shared" si="0"/>
        <v>0</v>
      </c>
    </row>
    <row r="25" spans="1:37" x14ac:dyDescent="0.2">
      <c r="A25" s="9">
        <v>24</v>
      </c>
      <c r="B25" s="4" t="s">
        <v>610</v>
      </c>
      <c r="C25" s="4" t="s">
        <v>813</v>
      </c>
      <c r="D25" s="4">
        <v>45689</v>
      </c>
      <c r="E25" s="4" t="s">
        <v>31</v>
      </c>
      <c r="F25" s="4" t="s">
        <v>814</v>
      </c>
      <c r="G25" s="4">
        <v>45709</v>
      </c>
      <c r="H25" s="4">
        <v>46073</v>
      </c>
      <c r="I25" s="4" t="s">
        <v>815</v>
      </c>
      <c r="J25" s="4">
        <v>4220173757013</v>
      </c>
      <c r="K25" s="4" t="s">
        <v>63</v>
      </c>
      <c r="L25" s="4" t="s">
        <v>816</v>
      </c>
      <c r="M25" s="4" t="s">
        <v>817</v>
      </c>
      <c r="N25" s="4" t="s">
        <v>818</v>
      </c>
      <c r="O25" s="4" t="s">
        <v>813</v>
      </c>
      <c r="P25" s="4" t="s">
        <v>44</v>
      </c>
      <c r="Q25" s="4" t="s">
        <v>66</v>
      </c>
      <c r="R25" s="4" t="s">
        <v>819</v>
      </c>
      <c r="S25" s="4">
        <v>44620</v>
      </c>
      <c r="T25" s="4">
        <v>47182</v>
      </c>
      <c r="U25" s="4">
        <v>1880000</v>
      </c>
      <c r="V25" s="4">
        <v>20</v>
      </c>
      <c r="W25" s="4">
        <v>376000</v>
      </c>
      <c r="X25" s="4">
        <v>1504000</v>
      </c>
      <c r="Y25" s="4">
        <v>1.75</v>
      </c>
      <c r="Z25" s="6">
        <v>26320</v>
      </c>
      <c r="AA25" s="4"/>
      <c r="AB25" s="4"/>
      <c r="AC25" s="4" t="s">
        <v>78</v>
      </c>
      <c r="AD25" s="4">
        <v>1141073002</v>
      </c>
      <c r="AE25" s="4">
        <v>45735</v>
      </c>
      <c r="AF25" s="4" t="s">
        <v>35</v>
      </c>
      <c r="AG25" s="4">
        <v>0</v>
      </c>
      <c r="AH25" s="4" t="s">
        <v>814</v>
      </c>
      <c r="AI25" s="4"/>
      <c r="AJ25" s="6">
        <f>VLOOKUP(AH25,[1]Sheet1!$B$2:$AA$595,26,0)</f>
        <v>26320</v>
      </c>
      <c r="AK25" s="5">
        <f t="shared" si="0"/>
        <v>0</v>
      </c>
    </row>
    <row r="26" spans="1:37" x14ac:dyDescent="0.2">
      <c r="A26" s="9">
        <v>25</v>
      </c>
      <c r="B26" s="4" t="s">
        <v>610</v>
      </c>
      <c r="C26" s="4" t="s">
        <v>820</v>
      </c>
      <c r="D26" s="4">
        <v>45689</v>
      </c>
      <c r="E26" s="4" t="s">
        <v>31</v>
      </c>
      <c r="F26" s="4" t="s">
        <v>821</v>
      </c>
      <c r="G26" s="4">
        <v>45710</v>
      </c>
      <c r="H26" s="4">
        <v>46074</v>
      </c>
      <c r="I26" s="4" t="s">
        <v>822</v>
      </c>
      <c r="J26" s="4">
        <v>3310584497317</v>
      </c>
      <c r="K26" s="4" t="s">
        <v>68</v>
      </c>
      <c r="L26" s="4" t="s">
        <v>823</v>
      </c>
      <c r="M26" s="4" t="s">
        <v>824</v>
      </c>
      <c r="N26" s="4" t="s">
        <v>825</v>
      </c>
      <c r="O26" s="4" t="s">
        <v>820</v>
      </c>
      <c r="P26" s="4" t="s">
        <v>644</v>
      </c>
      <c r="Q26" s="4" t="s">
        <v>826</v>
      </c>
      <c r="R26" s="4" t="s">
        <v>827</v>
      </c>
      <c r="S26" s="4">
        <v>44628</v>
      </c>
      <c r="T26" s="4">
        <v>46451</v>
      </c>
      <c r="U26" s="4">
        <v>1546000</v>
      </c>
      <c r="V26" s="4">
        <v>20</v>
      </c>
      <c r="W26" s="4">
        <v>309200</v>
      </c>
      <c r="X26" s="4">
        <v>1236800</v>
      </c>
      <c r="Y26" s="4">
        <v>1.75</v>
      </c>
      <c r="Z26" s="6">
        <v>21644</v>
      </c>
      <c r="AA26" s="4"/>
      <c r="AB26" s="4"/>
      <c r="AC26" s="4" t="s">
        <v>78</v>
      </c>
      <c r="AD26" s="4">
        <v>1141073002</v>
      </c>
      <c r="AE26" s="4">
        <v>45735</v>
      </c>
      <c r="AF26" s="4" t="s">
        <v>35</v>
      </c>
      <c r="AG26" s="4">
        <v>0</v>
      </c>
      <c r="AH26" s="4" t="s">
        <v>821</v>
      </c>
      <c r="AI26" s="4"/>
      <c r="AJ26" s="6">
        <f>VLOOKUP(AH26,[1]Sheet1!$B$2:$AA$595,26,0)</f>
        <v>21644</v>
      </c>
      <c r="AK26" s="5">
        <f t="shared" si="0"/>
        <v>0</v>
      </c>
    </row>
    <row r="27" spans="1:37" x14ac:dyDescent="0.2">
      <c r="A27" s="9">
        <v>26</v>
      </c>
      <c r="B27" s="4" t="s">
        <v>610</v>
      </c>
      <c r="C27" s="4" t="s">
        <v>828</v>
      </c>
      <c r="D27" s="4">
        <v>45689</v>
      </c>
      <c r="E27" s="4" t="s">
        <v>31</v>
      </c>
      <c r="F27" s="4" t="s">
        <v>829</v>
      </c>
      <c r="G27" s="4">
        <v>45710</v>
      </c>
      <c r="H27" s="4">
        <v>46074</v>
      </c>
      <c r="I27" s="4" t="s">
        <v>830</v>
      </c>
      <c r="J27" s="4">
        <v>3410142371663</v>
      </c>
      <c r="K27" s="4" t="s">
        <v>637</v>
      </c>
      <c r="L27" s="4" t="s">
        <v>831</v>
      </c>
      <c r="M27" s="4" t="s">
        <v>832</v>
      </c>
      <c r="N27" s="4" t="s">
        <v>833</v>
      </c>
      <c r="O27" s="4" t="s">
        <v>828</v>
      </c>
      <c r="P27" s="4" t="s">
        <v>644</v>
      </c>
      <c r="Q27" s="4" t="s">
        <v>53</v>
      </c>
      <c r="R27" s="4" t="s">
        <v>834</v>
      </c>
      <c r="S27" s="4">
        <v>44620</v>
      </c>
      <c r="T27" s="4">
        <v>46451</v>
      </c>
      <c r="U27" s="4">
        <v>1877000</v>
      </c>
      <c r="V27" s="4">
        <v>20</v>
      </c>
      <c r="W27" s="4">
        <v>375400</v>
      </c>
      <c r="X27" s="4">
        <v>1501600</v>
      </c>
      <c r="Y27" s="4">
        <v>1.75</v>
      </c>
      <c r="Z27" s="6">
        <v>26278</v>
      </c>
      <c r="AA27" s="4"/>
      <c r="AB27" s="4"/>
      <c r="AC27" s="4" t="s">
        <v>78</v>
      </c>
      <c r="AD27" s="4">
        <v>1141073002</v>
      </c>
      <c r="AE27" s="4">
        <v>45735</v>
      </c>
      <c r="AF27" s="4" t="s">
        <v>35</v>
      </c>
      <c r="AG27" s="4">
        <v>26</v>
      </c>
      <c r="AH27" s="4" t="s">
        <v>829</v>
      </c>
      <c r="AI27" s="4"/>
      <c r="AJ27" s="6">
        <f>VLOOKUP(AH27,[1]Sheet1!$B$2:$AA$595,26,0)</f>
        <v>26278</v>
      </c>
      <c r="AK27" s="5">
        <f t="shared" si="0"/>
        <v>0</v>
      </c>
    </row>
    <row r="28" spans="1:37" x14ac:dyDescent="0.2">
      <c r="A28" s="9">
        <v>27</v>
      </c>
      <c r="B28" s="4" t="s">
        <v>610</v>
      </c>
      <c r="C28" s="4" t="s">
        <v>835</v>
      </c>
      <c r="D28" s="4">
        <v>45689</v>
      </c>
      <c r="E28" s="4" t="s">
        <v>31</v>
      </c>
      <c r="F28" s="4" t="s">
        <v>836</v>
      </c>
      <c r="G28" s="4">
        <v>45710</v>
      </c>
      <c r="H28" s="4">
        <v>46074</v>
      </c>
      <c r="I28" s="4" t="s">
        <v>837</v>
      </c>
      <c r="J28" s="4">
        <v>4130420363606</v>
      </c>
      <c r="K28" s="4" t="s">
        <v>63</v>
      </c>
      <c r="L28" s="4" t="s">
        <v>838</v>
      </c>
      <c r="M28" s="4" t="s">
        <v>839</v>
      </c>
      <c r="N28" s="4" t="s">
        <v>840</v>
      </c>
      <c r="O28" s="4" t="s">
        <v>835</v>
      </c>
      <c r="P28" s="4" t="s">
        <v>44</v>
      </c>
      <c r="Q28" s="4" t="s">
        <v>635</v>
      </c>
      <c r="R28" s="4" t="s">
        <v>841</v>
      </c>
      <c r="S28" s="4">
        <v>44621</v>
      </c>
      <c r="T28" s="4">
        <v>46451</v>
      </c>
      <c r="U28" s="4">
        <v>1800000</v>
      </c>
      <c r="V28" s="4">
        <v>20</v>
      </c>
      <c r="W28" s="4">
        <v>360000</v>
      </c>
      <c r="X28" s="4">
        <v>1440000</v>
      </c>
      <c r="Y28" s="4">
        <v>2.5</v>
      </c>
      <c r="Z28" s="6">
        <v>36000</v>
      </c>
      <c r="AA28" s="4"/>
      <c r="AB28" s="4"/>
      <c r="AC28" s="4" t="s">
        <v>78</v>
      </c>
      <c r="AD28" s="4">
        <v>1141073002</v>
      </c>
      <c r="AE28" s="4">
        <v>45735</v>
      </c>
      <c r="AF28" s="4" t="s">
        <v>35</v>
      </c>
      <c r="AG28" s="4">
        <v>26</v>
      </c>
      <c r="AH28" s="4" t="s">
        <v>836</v>
      </c>
      <c r="AI28" s="4"/>
      <c r="AJ28" s="6">
        <f>VLOOKUP(AH28,[1]Sheet1!$B$2:$AA$595,26,0)</f>
        <v>36000</v>
      </c>
      <c r="AK28" s="5">
        <f t="shared" si="0"/>
        <v>0</v>
      </c>
    </row>
    <row r="29" spans="1:37" x14ac:dyDescent="0.2">
      <c r="A29" s="9">
        <v>28</v>
      </c>
      <c r="B29" s="4" t="s">
        <v>610</v>
      </c>
      <c r="C29" s="4" t="s">
        <v>842</v>
      </c>
      <c r="D29" s="4">
        <v>45689</v>
      </c>
      <c r="E29" s="4" t="s">
        <v>31</v>
      </c>
      <c r="F29" s="4" t="s">
        <v>843</v>
      </c>
      <c r="G29" s="4">
        <v>45692</v>
      </c>
      <c r="H29" s="4">
        <v>46056</v>
      </c>
      <c r="I29" s="4" t="s">
        <v>844</v>
      </c>
      <c r="J29" s="4">
        <v>6110144206435</v>
      </c>
      <c r="K29" s="4" t="s">
        <v>56</v>
      </c>
      <c r="L29" s="4" t="s">
        <v>845</v>
      </c>
      <c r="M29" s="4" t="s">
        <v>846</v>
      </c>
      <c r="N29" s="4" t="s">
        <v>847</v>
      </c>
      <c r="O29" s="4" t="s">
        <v>842</v>
      </c>
      <c r="P29" s="4" t="s">
        <v>644</v>
      </c>
      <c r="Q29" s="4" t="s">
        <v>39</v>
      </c>
      <c r="R29" s="4" t="s">
        <v>848</v>
      </c>
      <c r="S29" s="4">
        <v>44602</v>
      </c>
      <c r="T29" s="4">
        <v>46423</v>
      </c>
      <c r="U29" s="4">
        <v>3200000</v>
      </c>
      <c r="V29" s="4">
        <v>20</v>
      </c>
      <c r="W29" s="4">
        <v>640000</v>
      </c>
      <c r="X29" s="4">
        <v>2560000</v>
      </c>
      <c r="Y29" s="4">
        <v>2</v>
      </c>
      <c r="Z29" s="6">
        <v>51200</v>
      </c>
      <c r="AA29" s="4"/>
      <c r="AB29" s="4"/>
      <c r="AC29" s="4" t="s">
        <v>78</v>
      </c>
      <c r="AD29" s="4">
        <v>1141073002</v>
      </c>
      <c r="AE29" s="4">
        <v>45735</v>
      </c>
      <c r="AF29" s="4" t="s">
        <v>35</v>
      </c>
      <c r="AG29" s="4">
        <v>0</v>
      </c>
      <c r="AH29" s="4" t="s">
        <v>843</v>
      </c>
      <c r="AI29" s="4"/>
      <c r="AJ29" s="6">
        <f>VLOOKUP(AH29,[1]Sheet1!$B$2:$AA$595,26,0)</f>
        <v>51200</v>
      </c>
      <c r="AK29" s="5">
        <f t="shared" si="0"/>
        <v>0</v>
      </c>
    </row>
    <row r="30" spans="1:37" x14ac:dyDescent="0.2">
      <c r="A30" s="9">
        <v>29</v>
      </c>
      <c r="B30" s="4" t="s">
        <v>610</v>
      </c>
      <c r="C30" s="4" t="s">
        <v>849</v>
      </c>
      <c r="D30" s="4">
        <v>45689</v>
      </c>
      <c r="E30" s="4" t="s">
        <v>31</v>
      </c>
      <c r="F30" s="4" t="s">
        <v>850</v>
      </c>
      <c r="G30" s="4">
        <v>45711</v>
      </c>
      <c r="H30" s="4">
        <v>46075</v>
      </c>
      <c r="I30" s="4" t="s">
        <v>224</v>
      </c>
      <c r="J30" s="4">
        <v>3520243115435</v>
      </c>
      <c r="K30" s="4" t="s">
        <v>636</v>
      </c>
      <c r="L30" s="4" t="s">
        <v>851</v>
      </c>
      <c r="M30" s="4" t="s">
        <v>852</v>
      </c>
      <c r="N30" s="4" t="s">
        <v>853</v>
      </c>
      <c r="O30" s="4" t="s">
        <v>849</v>
      </c>
      <c r="P30" s="4" t="s">
        <v>644</v>
      </c>
      <c r="Q30" s="4" t="s">
        <v>39</v>
      </c>
      <c r="R30" s="4" t="s">
        <v>854</v>
      </c>
      <c r="S30" s="4">
        <v>44623</v>
      </c>
      <c r="T30" s="4">
        <v>46451</v>
      </c>
      <c r="U30" s="4">
        <v>2900000</v>
      </c>
      <c r="V30" s="4">
        <v>20</v>
      </c>
      <c r="W30" s="4">
        <v>580000</v>
      </c>
      <c r="X30" s="4">
        <v>2320000</v>
      </c>
      <c r="Y30" s="4">
        <v>1.75</v>
      </c>
      <c r="Z30" s="6">
        <v>40600</v>
      </c>
      <c r="AA30" s="4"/>
      <c r="AB30" s="4"/>
      <c r="AC30" s="4" t="s">
        <v>78</v>
      </c>
      <c r="AD30" s="4">
        <v>1141073002</v>
      </c>
      <c r="AE30" s="4">
        <v>45735</v>
      </c>
      <c r="AF30" s="4" t="s">
        <v>35</v>
      </c>
      <c r="AG30" s="4">
        <v>0</v>
      </c>
      <c r="AH30" s="4" t="s">
        <v>850</v>
      </c>
      <c r="AI30" s="4"/>
      <c r="AJ30" s="6">
        <f>VLOOKUP(AH30,[1]Sheet1!$B$2:$AA$595,26,0)</f>
        <v>40600</v>
      </c>
      <c r="AK30" s="5">
        <f t="shared" si="0"/>
        <v>0</v>
      </c>
    </row>
    <row r="31" spans="1:37" x14ac:dyDescent="0.2">
      <c r="A31" s="9">
        <v>30</v>
      </c>
      <c r="B31" s="4" t="s">
        <v>610</v>
      </c>
      <c r="C31" s="4" t="s">
        <v>855</v>
      </c>
      <c r="D31" s="4">
        <v>45689</v>
      </c>
      <c r="E31" s="4" t="s">
        <v>31</v>
      </c>
      <c r="F31" s="4" t="s">
        <v>856</v>
      </c>
      <c r="G31" s="4">
        <v>45712</v>
      </c>
      <c r="H31" s="4">
        <v>46076</v>
      </c>
      <c r="I31" s="4" t="s">
        <v>857</v>
      </c>
      <c r="J31" s="4">
        <v>4540308027705</v>
      </c>
      <c r="K31" s="4" t="s">
        <v>68</v>
      </c>
      <c r="L31" s="4" t="s">
        <v>858</v>
      </c>
      <c r="M31" s="4" t="s">
        <v>859</v>
      </c>
      <c r="N31" s="4" t="s">
        <v>860</v>
      </c>
      <c r="O31" s="4" t="s">
        <v>855</v>
      </c>
      <c r="P31" s="4" t="s">
        <v>44</v>
      </c>
      <c r="Q31" s="4" t="s">
        <v>861</v>
      </c>
      <c r="R31" s="4" t="s">
        <v>862</v>
      </c>
      <c r="S31" s="4">
        <v>44621</v>
      </c>
      <c r="T31" s="4">
        <v>46451</v>
      </c>
      <c r="U31" s="4">
        <v>1546000</v>
      </c>
      <c r="V31" s="4">
        <v>20</v>
      </c>
      <c r="W31" s="4">
        <v>309200</v>
      </c>
      <c r="X31" s="4">
        <v>1236800</v>
      </c>
      <c r="Y31" s="4">
        <v>2.5</v>
      </c>
      <c r="Z31" s="6">
        <v>30920</v>
      </c>
      <c r="AA31" s="4"/>
      <c r="AB31" s="4"/>
      <c r="AC31" s="4" t="s">
        <v>78</v>
      </c>
      <c r="AD31" s="4">
        <v>1141073002</v>
      </c>
      <c r="AE31" s="4">
        <v>45735</v>
      </c>
      <c r="AF31" s="4" t="s">
        <v>35</v>
      </c>
      <c r="AG31" s="4">
        <v>0</v>
      </c>
      <c r="AH31" s="4" t="s">
        <v>856</v>
      </c>
      <c r="AI31" s="4"/>
      <c r="AJ31" s="6">
        <f>VLOOKUP(AH31,[1]Sheet1!$B$2:$AA$595,26,0)</f>
        <v>30920</v>
      </c>
      <c r="AK31" s="5">
        <f t="shared" si="0"/>
        <v>0</v>
      </c>
    </row>
    <row r="32" spans="1:37" x14ac:dyDescent="0.2">
      <c r="A32" s="9">
        <v>31</v>
      </c>
      <c r="B32" s="4" t="s">
        <v>610</v>
      </c>
      <c r="C32" s="4" t="s">
        <v>863</v>
      </c>
      <c r="D32" s="4">
        <v>45689</v>
      </c>
      <c r="E32" s="4" t="s">
        <v>31</v>
      </c>
      <c r="F32" s="4" t="s">
        <v>864</v>
      </c>
      <c r="G32" s="4">
        <v>45712</v>
      </c>
      <c r="H32" s="4">
        <v>46076</v>
      </c>
      <c r="I32" s="4" t="s">
        <v>865</v>
      </c>
      <c r="J32" s="4">
        <v>4210196734057</v>
      </c>
      <c r="K32" s="4" t="s">
        <v>63</v>
      </c>
      <c r="L32" s="4" t="s">
        <v>866</v>
      </c>
      <c r="M32" s="4" t="s">
        <v>867</v>
      </c>
      <c r="N32" s="4" t="s">
        <v>868</v>
      </c>
      <c r="O32" s="4" t="s">
        <v>863</v>
      </c>
      <c r="P32" s="4" t="s">
        <v>44</v>
      </c>
      <c r="Q32" s="4" t="s">
        <v>66</v>
      </c>
      <c r="R32" s="4" t="s">
        <v>869</v>
      </c>
      <c r="S32" s="4">
        <v>44617</v>
      </c>
      <c r="T32" s="4">
        <v>46451</v>
      </c>
      <c r="U32" s="4">
        <v>1125000</v>
      </c>
      <c r="V32" s="4">
        <v>20</v>
      </c>
      <c r="W32" s="4">
        <v>225000</v>
      </c>
      <c r="X32" s="4">
        <v>900000</v>
      </c>
      <c r="Y32" s="4">
        <v>1.75</v>
      </c>
      <c r="Z32" s="6">
        <v>15750</v>
      </c>
      <c r="AA32" s="4"/>
      <c r="AB32" s="4"/>
      <c r="AC32" s="4" t="s">
        <v>78</v>
      </c>
      <c r="AD32" s="4">
        <v>1141073002</v>
      </c>
      <c r="AE32" s="4">
        <v>45735</v>
      </c>
      <c r="AF32" s="4" t="s">
        <v>35</v>
      </c>
      <c r="AG32" s="4">
        <v>0</v>
      </c>
      <c r="AH32" s="4" t="s">
        <v>864</v>
      </c>
      <c r="AI32" s="4"/>
      <c r="AJ32" s="6">
        <f>VLOOKUP(AH32,[1]Sheet1!$B$2:$AA$595,26,0)</f>
        <v>15750</v>
      </c>
      <c r="AK32" s="5">
        <f t="shared" si="0"/>
        <v>0</v>
      </c>
    </row>
    <row r="33" spans="1:37" x14ac:dyDescent="0.2">
      <c r="A33" s="9">
        <v>32</v>
      </c>
      <c r="B33" s="4" t="s">
        <v>610</v>
      </c>
      <c r="C33" s="4" t="s">
        <v>870</v>
      </c>
      <c r="D33" s="4">
        <v>45689</v>
      </c>
      <c r="E33" s="4" t="s">
        <v>31</v>
      </c>
      <c r="F33" s="4" t="s">
        <v>871</v>
      </c>
      <c r="G33" s="4">
        <v>45712</v>
      </c>
      <c r="H33" s="4">
        <v>46076</v>
      </c>
      <c r="I33" s="4" t="s">
        <v>872</v>
      </c>
      <c r="J33" s="4">
        <v>3520115618473</v>
      </c>
      <c r="K33" s="4" t="s">
        <v>55</v>
      </c>
      <c r="L33" s="4" t="s">
        <v>873</v>
      </c>
      <c r="M33" s="4" t="s">
        <v>874</v>
      </c>
      <c r="N33" s="4" t="s">
        <v>875</v>
      </c>
      <c r="O33" s="4" t="s">
        <v>870</v>
      </c>
      <c r="P33" s="4" t="s">
        <v>644</v>
      </c>
      <c r="Q33" s="4" t="s">
        <v>39</v>
      </c>
      <c r="R33" s="4" t="s">
        <v>876</v>
      </c>
      <c r="S33" s="4">
        <v>44623</v>
      </c>
      <c r="T33" s="4">
        <v>46451</v>
      </c>
      <c r="U33" s="4">
        <v>3931000</v>
      </c>
      <c r="V33" s="4">
        <v>20</v>
      </c>
      <c r="W33" s="4">
        <v>786200</v>
      </c>
      <c r="X33" s="4">
        <v>3144800</v>
      </c>
      <c r="Y33" s="4">
        <v>1.5</v>
      </c>
      <c r="Z33" s="6">
        <v>47172</v>
      </c>
      <c r="AA33" s="4"/>
      <c r="AB33" s="4"/>
      <c r="AC33" s="4" t="s">
        <v>78</v>
      </c>
      <c r="AD33" s="4">
        <v>1141073002</v>
      </c>
      <c r="AE33" s="4">
        <v>45735</v>
      </c>
      <c r="AF33" s="4" t="s">
        <v>35</v>
      </c>
      <c r="AG33" s="4">
        <v>0</v>
      </c>
      <c r="AH33" s="4" t="s">
        <v>871</v>
      </c>
      <c r="AI33" s="4"/>
      <c r="AJ33" s="6">
        <f>VLOOKUP(AH33,[1]Sheet1!$B$2:$AA$595,26,0)</f>
        <v>47172</v>
      </c>
      <c r="AK33" s="5">
        <f t="shared" si="0"/>
        <v>0</v>
      </c>
    </row>
    <row r="34" spans="1:37" x14ac:dyDescent="0.2">
      <c r="A34" s="9">
        <v>33</v>
      </c>
      <c r="B34" s="4" t="s">
        <v>610</v>
      </c>
      <c r="C34" s="4" t="s">
        <v>877</v>
      </c>
      <c r="D34" s="4">
        <v>45689</v>
      </c>
      <c r="E34" s="4" t="s">
        <v>31</v>
      </c>
      <c r="F34" s="4" t="s">
        <v>878</v>
      </c>
      <c r="G34" s="4">
        <v>45692</v>
      </c>
      <c r="H34" s="4">
        <v>46056</v>
      </c>
      <c r="I34" s="4" t="s">
        <v>879</v>
      </c>
      <c r="J34" s="4">
        <v>3630256395213</v>
      </c>
      <c r="K34" s="4" t="s">
        <v>643</v>
      </c>
      <c r="L34" s="4" t="s">
        <v>880</v>
      </c>
      <c r="M34" s="4" t="s">
        <v>881</v>
      </c>
      <c r="N34" s="4" t="s">
        <v>882</v>
      </c>
      <c r="O34" s="4" t="s">
        <v>877</v>
      </c>
      <c r="P34" s="4" t="s">
        <v>644</v>
      </c>
      <c r="Q34" s="4" t="s">
        <v>54</v>
      </c>
      <c r="R34" s="4" t="s">
        <v>883</v>
      </c>
      <c r="S34" s="4">
        <v>44600</v>
      </c>
      <c r="T34" s="4">
        <v>46423</v>
      </c>
      <c r="U34" s="4">
        <v>4150000</v>
      </c>
      <c r="V34" s="4">
        <v>20</v>
      </c>
      <c r="W34" s="4">
        <v>830000</v>
      </c>
      <c r="X34" s="4">
        <v>3320000</v>
      </c>
      <c r="Y34" s="4">
        <v>1.5</v>
      </c>
      <c r="Z34" s="6">
        <v>49800</v>
      </c>
      <c r="AA34" s="4"/>
      <c r="AB34" s="4"/>
      <c r="AC34" s="4" t="s">
        <v>78</v>
      </c>
      <c r="AD34" s="4">
        <v>1141073002</v>
      </c>
      <c r="AE34" s="4">
        <v>45735</v>
      </c>
      <c r="AF34" s="4" t="s">
        <v>35</v>
      </c>
      <c r="AG34" s="4">
        <v>0</v>
      </c>
      <c r="AH34" s="4" t="s">
        <v>878</v>
      </c>
      <c r="AI34" s="4"/>
      <c r="AJ34" s="6">
        <f>VLOOKUP(AH34,[1]Sheet1!$B$2:$AA$595,26,0)</f>
        <v>49800</v>
      </c>
      <c r="AK34" s="5">
        <f t="shared" si="0"/>
        <v>0</v>
      </c>
    </row>
    <row r="35" spans="1:37" x14ac:dyDescent="0.2">
      <c r="A35" s="9">
        <v>34</v>
      </c>
      <c r="B35" s="4" t="s">
        <v>610</v>
      </c>
      <c r="C35" s="4" t="s">
        <v>884</v>
      </c>
      <c r="D35" s="4">
        <v>45689</v>
      </c>
      <c r="E35" s="4" t="s">
        <v>31</v>
      </c>
      <c r="F35" s="4" t="s">
        <v>885</v>
      </c>
      <c r="G35" s="4">
        <v>45713</v>
      </c>
      <c r="H35" s="4">
        <v>46077</v>
      </c>
      <c r="I35" s="4" t="s">
        <v>886</v>
      </c>
      <c r="J35" s="4">
        <v>3630208111825</v>
      </c>
      <c r="K35" s="4" t="s">
        <v>32</v>
      </c>
      <c r="L35" s="4" t="s">
        <v>887</v>
      </c>
      <c r="M35" s="4" t="s">
        <v>888</v>
      </c>
      <c r="N35" s="4" t="s">
        <v>889</v>
      </c>
      <c r="O35" s="4" t="s">
        <v>884</v>
      </c>
      <c r="P35" s="4" t="s">
        <v>644</v>
      </c>
      <c r="Q35" s="4" t="s">
        <v>54</v>
      </c>
      <c r="R35" s="4" t="s">
        <v>890</v>
      </c>
      <c r="S35" s="4">
        <v>44621</v>
      </c>
      <c r="T35" s="4">
        <v>46451</v>
      </c>
      <c r="U35" s="4">
        <v>1975000</v>
      </c>
      <c r="V35" s="4">
        <v>20</v>
      </c>
      <c r="W35" s="4">
        <v>395000</v>
      </c>
      <c r="X35" s="4">
        <v>1580000</v>
      </c>
      <c r="Y35" s="4">
        <v>1.75</v>
      </c>
      <c r="Z35" s="6">
        <v>27650</v>
      </c>
      <c r="AA35" s="4"/>
      <c r="AB35" s="4"/>
      <c r="AC35" s="4" t="s">
        <v>78</v>
      </c>
      <c r="AD35" s="4">
        <v>1141073002</v>
      </c>
      <c r="AE35" s="4">
        <v>45735</v>
      </c>
      <c r="AF35" s="4" t="s">
        <v>35</v>
      </c>
      <c r="AG35" s="4">
        <v>0</v>
      </c>
      <c r="AH35" s="4" t="s">
        <v>885</v>
      </c>
      <c r="AI35" s="4"/>
      <c r="AJ35" s="6">
        <f>VLOOKUP(AH35,[1]Sheet1!$B$2:$AA$595,26,0)</f>
        <v>27650</v>
      </c>
      <c r="AK35" s="5">
        <f t="shared" si="0"/>
        <v>0</v>
      </c>
    </row>
    <row r="36" spans="1:37" x14ac:dyDescent="0.2">
      <c r="A36" s="9">
        <v>35</v>
      </c>
      <c r="B36" s="4" t="s">
        <v>610</v>
      </c>
      <c r="C36" s="4" t="s">
        <v>891</v>
      </c>
      <c r="D36" s="4">
        <v>45689</v>
      </c>
      <c r="E36" s="4" t="s">
        <v>31</v>
      </c>
      <c r="F36" s="4" t="s">
        <v>892</v>
      </c>
      <c r="G36" s="4">
        <v>45713</v>
      </c>
      <c r="H36" s="4">
        <v>46077</v>
      </c>
      <c r="I36" s="4" t="s">
        <v>893</v>
      </c>
      <c r="J36" s="4">
        <v>4210170288567</v>
      </c>
      <c r="K36" s="4" t="s">
        <v>63</v>
      </c>
      <c r="L36" s="4" t="s">
        <v>894</v>
      </c>
      <c r="M36" s="4" t="s">
        <v>895</v>
      </c>
      <c r="N36" s="4" t="s">
        <v>896</v>
      </c>
      <c r="O36" s="4" t="s">
        <v>891</v>
      </c>
      <c r="P36" s="4" t="s">
        <v>44</v>
      </c>
      <c r="Q36" s="4" t="s">
        <v>897</v>
      </c>
      <c r="R36" s="4" t="s">
        <v>898</v>
      </c>
      <c r="S36" s="4">
        <v>44621</v>
      </c>
      <c r="T36" s="4">
        <v>46451</v>
      </c>
      <c r="U36" s="4">
        <v>1800000</v>
      </c>
      <c r="V36" s="4">
        <v>20</v>
      </c>
      <c r="W36" s="4">
        <v>360000</v>
      </c>
      <c r="X36" s="4">
        <v>1440000</v>
      </c>
      <c r="Y36" s="4">
        <v>2.5</v>
      </c>
      <c r="Z36" s="6">
        <v>36000</v>
      </c>
      <c r="AA36" s="4"/>
      <c r="AB36" s="4"/>
      <c r="AC36" s="4" t="s">
        <v>78</v>
      </c>
      <c r="AD36" s="4">
        <v>1141073002</v>
      </c>
      <c r="AE36" s="4">
        <v>45735</v>
      </c>
      <c r="AF36" s="4" t="s">
        <v>35</v>
      </c>
      <c r="AG36" s="4">
        <v>0</v>
      </c>
      <c r="AH36" s="4" t="s">
        <v>892</v>
      </c>
      <c r="AI36" s="4"/>
      <c r="AJ36" s="6">
        <f>VLOOKUP(AH36,[1]Sheet1!$B$2:$AA$595,26,0)</f>
        <v>36000</v>
      </c>
      <c r="AK36" s="5">
        <f t="shared" si="0"/>
        <v>0</v>
      </c>
    </row>
    <row r="37" spans="1:37" x14ac:dyDescent="0.2">
      <c r="A37" s="9">
        <v>36</v>
      </c>
      <c r="B37" s="4" t="s">
        <v>610</v>
      </c>
      <c r="C37" s="4" t="s">
        <v>899</v>
      </c>
      <c r="D37" s="4">
        <v>45689</v>
      </c>
      <c r="E37" s="4" t="s">
        <v>31</v>
      </c>
      <c r="F37" s="4" t="s">
        <v>900</v>
      </c>
      <c r="G37" s="4">
        <v>45714</v>
      </c>
      <c r="H37" s="4">
        <v>46078</v>
      </c>
      <c r="I37" s="4" t="s">
        <v>901</v>
      </c>
      <c r="J37" s="4">
        <v>3520229087443</v>
      </c>
      <c r="K37" s="4" t="s">
        <v>618</v>
      </c>
      <c r="L37" s="4" t="s">
        <v>902</v>
      </c>
      <c r="M37" s="4" t="s">
        <v>903</v>
      </c>
      <c r="N37" s="4" t="s">
        <v>904</v>
      </c>
      <c r="O37" s="4" t="s">
        <v>899</v>
      </c>
      <c r="P37" s="4" t="s">
        <v>644</v>
      </c>
      <c r="Q37" s="4" t="s">
        <v>39</v>
      </c>
      <c r="R37" s="4" t="s">
        <v>905</v>
      </c>
      <c r="S37" s="4">
        <v>44622</v>
      </c>
      <c r="T37" s="4">
        <v>47182</v>
      </c>
      <c r="U37" s="4">
        <v>1877000</v>
      </c>
      <c r="V37" s="4">
        <v>20</v>
      </c>
      <c r="W37" s="4">
        <v>375400</v>
      </c>
      <c r="X37" s="4">
        <v>1501600</v>
      </c>
      <c r="Y37" s="4">
        <v>2.5</v>
      </c>
      <c r="Z37" s="6">
        <v>37540</v>
      </c>
      <c r="AA37" s="4"/>
      <c r="AB37" s="4"/>
      <c r="AC37" s="4" t="s">
        <v>78</v>
      </c>
      <c r="AD37" s="4">
        <v>1141073002</v>
      </c>
      <c r="AE37" s="4">
        <v>45735</v>
      </c>
      <c r="AF37" s="4" t="s">
        <v>35</v>
      </c>
      <c r="AG37" s="4">
        <v>0</v>
      </c>
      <c r="AH37" s="4" t="s">
        <v>900</v>
      </c>
      <c r="AI37" s="4"/>
      <c r="AJ37" s="6">
        <f>VLOOKUP(AH37,[1]Sheet1!$B$2:$AA$595,26,0)</f>
        <v>37540</v>
      </c>
      <c r="AK37" s="5">
        <f t="shared" si="0"/>
        <v>0</v>
      </c>
    </row>
    <row r="38" spans="1:37" x14ac:dyDescent="0.2">
      <c r="A38" s="9">
        <v>37</v>
      </c>
      <c r="B38" s="4" t="s">
        <v>610</v>
      </c>
      <c r="C38" s="4" t="s">
        <v>906</v>
      </c>
      <c r="D38" s="4">
        <v>45689</v>
      </c>
      <c r="E38" s="4" t="s">
        <v>31</v>
      </c>
      <c r="F38" s="4" t="s">
        <v>907</v>
      </c>
      <c r="G38" s="4">
        <v>45716</v>
      </c>
      <c r="H38" s="4">
        <v>46080</v>
      </c>
      <c r="I38" s="4" t="s">
        <v>908</v>
      </c>
      <c r="J38" s="4">
        <v>3520114666627</v>
      </c>
      <c r="K38" s="4" t="s">
        <v>50</v>
      </c>
      <c r="L38" s="4" t="s">
        <v>909</v>
      </c>
      <c r="M38" s="4" t="s">
        <v>910</v>
      </c>
      <c r="N38" s="4" t="s">
        <v>911</v>
      </c>
      <c r="O38" s="4" t="s">
        <v>906</v>
      </c>
      <c r="P38" s="4" t="s">
        <v>644</v>
      </c>
      <c r="Q38" s="4" t="s">
        <v>39</v>
      </c>
      <c r="R38" s="4" t="s">
        <v>912</v>
      </c>
      <c r="S38" s="4">
        <v>44621</v>
      </c>
      <c r="T38" s="4">
        <v>46451</v>
      </c>
      <c r="U38" s="4">
        <v>4238000</v>
      </c>
      <c r="V38" s="4">
        <v>20</v>
      </c>
      <c r="W38" s="4">
        <v>847600</v>
      </c>
      <c r="X38" s="4">
        <v>3390400</v>
      </c>
      <c r="Y38" s="4">
        <v>1.5</v>
      </c>
      <c r="Z38" s="6">
        <v>50856</v>
      </c>
      <c r="AA38" s="4"/>
      <c r="AB38" s="4"/>
      <c r="AC38" s="4" t="s">
        <v>78</v>
      </c>
      <c r="AD38" s="4">
        <v>1141073002</v>
      </c>
      <c r="AE38" s="4">
        <v>45735</v>
      </c>
      <c r="AF38" s="4" t="s">
        <v>35</v>
      </c>
      <c r="AG38" s="4">
        <v>0</v>
      </c>
      <c r="AH38" s="4" t="s">
        <v>907</v>
      </c>
      <c r="AI38" s="4"/>
      <c r="AJ38" s="6">
        <f>VLOOKUP(AH38,[1]Sheet1!$B$2:$AA$595,26,0)</f>
        <v>50856</v>
      </c>
      <c r="AK38" s="5">
        <f t="shared" si="0"/>
        <v>0</v>
      </c>
    </row>
    <row r="39" spans="1:37" x14ac:dyDescent="0.2">
      <c r="A39" s="9">
        <v>38</v>
      </c>
      <c r="B39" s="4" t="s">
        <v>610</v>
      </c>
      <c r="C39" s="4" t="s">
        <v>913</v>
      </c>
      <c r="D39" s="4">
        <v>45689</v>
      </c>
      <c r="E39" s="4" t="s">
        <v>31</v>
      </c>
      <c r="F39" s="4" t="s">
        <v>914</v>
      </c>
      <c r="G39" s="4">
        <v>45716</v>
      </c>
      <c r="H39" s="4">
        <v>46080</v>
      </c>
      <c r="I39" s="4" t="s">
        <v>915</v>
      </c>
      <c r="J39" s="4">
        <v>3310015110435</v>
      </c>
      <c r="K39" s="4" t="s">
        <v>633</v>
      </c>
      <c r="L39" s="4" t="s">
        <v>916</v>
      </c>
      <c r="M39" s="4" t="s">
        <v>917</v>
      </c>
      <c r="N39" s="4" t="s">
        <v>918</v>
      </c>
      <c r="O39" s="4" t="s">
        <v>913</v>
      </c>
      <c r="P39" s="4" t="s">
        <v>644</v>
      </c>
      <c r="Q39" s="4" t="s">
        <v>46</v>
      </c>
      <c r="R39" s="4" t="s">
        <v>919</v>
      </c>
      <c r="S39" s="4">
        <v>44621</v>
      </c>
      <c r="T39" s="4">
        <v>46451</v>
      </c>
      <c r="U39" s="4">
        <v>1546000</v>
      </c>
      <c r="V39" s="4">
        <v>20</v>
      </c>
      <c r="W39" s="4">
        <v>309200</v>
      </c>
      <c r="X39" s="4">
        <v>1236800</v>
      </c>
      <c r="Y39" s="4">
        <v>1.75</v>
      </c>
      <c r="Z39" s="6">
        <v>21644</v>
      </c>
      <c r="AA39" s="4"/>
      <c r="AB39" s="4"/>
      <c r="AC39" s="4" t="s">
        <v>78</v>
      </c>
      <c r="AD39" s="4">
        <v>1141073002</v>
      </c>
      <c r="AE39" s="4">
        <v>45735</v>
      </c>
      <c r="AF39" s="4" t="s">
        <v>35</v>
      </c>
      <c r="AG39" s="4">
        <v>0</v>
      </c>
      <c r="AH39" s="4" t="s">
        <v>914</v>
      </c>
      <c r="AI39" s="4"/>
      <c r="AJ39" s="6">
        <f>VLOOKUP(AH39,[1]Sheet1!$B$2:$AA$595,26,0)</f>
        <v>21644</v>
      </c>
      <c r="AK39" s="5">
        <f t="shared" si="0"/>
        <v>0</v>
      </c>
    </row>
    <row r="40" spans="1:37" x14ac:dyDescent="0.2">
      <c r="A40" s="9">
        <v>39</v>
      </c>
      <c r="B40" s="4" t="s">
        <v>610</v>
      </c>
      <c r="C40" s="4" t="s">
        <v>920</v>
      </c>
      <c r="D40" s="4">
        <v>45689</v>
      </c>
      <c r="E40" s="4" t="s">
        <v>31</v>
      </c>
      <c r="F40" s="4" t="s">
        <v>921</v>
      </c>
      <c r="G40" s="4">
        <v>45716</v>
      </c>
      <c r="H40" s="4">
        <v>46080</v>
      </c>
      <c r="I40" s="4" t="s">
        <v>922</v>
      </c>
      <c r="J40" s="4">
        <v>3520227696541</v>
      </c>
      <c r="K40" s="4" t="s">
        <v>63</v>
      </c>
      <c r="L40" s="4" t="s">
        <v>923</v>
      </c>
      <c r="M40" s="4" t="s">
        <v>924</v>
      </c>
      <c r="N40" s="4" t="s">
        <v>925</v>
      </c>
      <c r="O40" s="4" t="s">
        <v>920</v>
      </c>
      <c r="P40" s="4" t="s">
        <v>644</v>
      </c>
      <c r="Q40" s="4" t="s">
        <v>39</v>
      </c>
      <c r="R40" s="4" t="s">
        <v>926</v>
      </c>
      <c r="S40" s="4">
        <v>44621</v>
      </c>
      <c r="T40" s="4">
        <v>47182</v>
      </c>
      <c r="U40" s="4">
        <v>2244000</v>
      </c>
      <c r="V40" s="4">
        <v>20</v>
      </c>
      <c r="W40" s="4">
        <v>448800</v>
      </c>
      <c r="X40" s="4">
        <v>1795200</v>
      </c>
      <c r="Y40" s="4">
        <v>2.5</v>
      </c>
      <c r="Z40" s="6">
        <v>44880</v>
      </c>
      <c r="AA40" s="4"/>
      <c r="AB40" s="4"/>
      <c r="AC40" s="4" t="s">
        <v>78</v>
      </c>
      <c r="AD40" s="4">
        <v>1141073002</v>
      </c>
      <c r="AE40" s="4">
        <v>45735</v>
      </c>
      <c r="AF40" s="4" t="s">
        <v>35</v>
      </c>
      <c r="AG40" s="4">
        <v>0</v>
      </c>
      <c r="AH40" s="4" t="s">
        <v>921</v>
      </c>
      <c r="AI40" s="4"/>
      <c r="AJ40" s="6">
        <f>VLOOKUP(AH40,[1]Sheet1!$B$2:$AA$595,26,0)</f>
        <v>44880</v>
      </c>
      <c r="AK40" s="5">
        <f t="shared" si="0"/>
        <v>0</v>
      </c>
    </row>
    <row r="41" spans="1:37" x14ac:dyDescent="0.2">
      <c r="A41" s="9">
        <v>40</v>
      </c>
      <c r="B41" s="4" t="s">
        <v>610</v>
      </c>
      <c r="C41" s="4" t="s">
        <v>927</v>
      </c>
      <c r="D41" s="4">
        <v>45689</v>
      </c>
      <c r="E41" s="4" t="s">
        <v>31</v>
      </c>
      <c r="F41" s="4" t="s">
        <v>928</v>
      </c>
      <c r="G41" s="4">
        <v>45716</v>
      </c>
      <c r="H41" s="4">
        <v>46080</v>
      </c>
      <c r="I41" s="4" t="s">
        <v>315</v>
      </c>
      <c r="J41" s="4">
        <v>3520203988249</v>
      </c>
      <c r="K41" s="4" t="s">
        <v>637</v>
      </c>
      <c r="L41" s="4" t="s">
        <v>929</v>
      </c>
      <c r="M41" s="4" t="s">
        <v>930</v>
      </c>
      <c r="N41" s="4" t="s">
        <v>931</v>
      </c>
      <c r="O41" s="4" t="s">
        <v>927</v>
      </c>
      <c r="P41" s="4" t="s">
        <v>644</v>
      </c>
      <c r="Q41" s="4" t="s">
        <v>39</v>
      </c>
      <c r="R41" s="4" t="s">
        <v>932</v>
      </c>
      <c r="S41" s="4">
        <v>44622</v>
      </c>
      <c r="T41" s="4">
        <v>46451</v>
      </c>
      <c r="U41" s="4">
        <v>1877000</v>
      </c>
      <c r="V41" s="4">
        <v>20</v>
      </c>
      <c r="W41" s="4">
        <v>375400</v>
      </c>
      <c r="X41" s="4">
        <v>1501600</v>
      </c>
      <c r="Y41" s="4">
        <v>2.5</v>
      </c>
      <c r="Z41" s="6">
        <v>37540</v>
      </c>
      <c r="AA41" s="4"/>
      <c r="AB41" s="4"/>
      <c r="AC41" s="4" t="s">
        <v>78</v>
      </c>
      <c r="AD41" s="4">
        <v>1141073002</v>
      </c>
      <c r="AE41" s="4">
        <v>45735</v>
      </c>
      <c r="AF41" s="4" t="s">
        <v>35</v>
      </c>
      <c r="AG41" s="4">
        <v>0</v>
      </c>
      <c r="AH41" s="4" t="s">
        <v>928</v>
      </c>
      <c r="AI41" s="4"/>
      <c r="AJ41" s="6">
        <f>VLOOKUP(AH41,[1]Sheet1!$B$2:$AA$595,26,0)</f>
        <v>37540</v>
      </c>
      <c r="AK41" s="5">
        <f t="shared" si="0"/>
        <v>0</v>
      </c>
    </row>
    <row r="42" spans="1:37" x14ac:dyDescent="0.2">
      <c r="A42" s="9">
        <v>41</v>
      </c>
      <c r="B42" s="4" t="s">
        <v>610</v>
      </c>
      <c r="C42" s="4" t="s">
        <v>933</v>
      </c>
      <c r="D42" s="4">
        <v>45689</v>
      </c>
      <c r="E42" s="4" t="s">
        <v>31</v>
      </c>
      <c r="F42" s="4" t="s">
        <v>934</v>
      </c>
      <c r="G42" s="4">
        <v>45716</v>
      </c>
      <c r="H42" s="4">
        <v>46080</v>
      </c>
      <c r="I42" s="4" t="s">
        <v>935</v>
      </c>
      <c r="J42" s="4">
        <v>3410251121983</v>
      </c>
      <c r="K42" s="4" t="s">
        <v>68</v>
      </c>
      <c r="L42" s="4" t="s">
        <v>936</v>
      </c>
      <c r="M42" s="4" t="s">
        <v>937</v>
      </c>
      <c r="N42" s="4" t="s">
        <v>938</v>
      </c>
      <c r="O42" s="4" t="s">
        <v>933</v>
      </c>
      <c r="P42" s="4" t="s">
        <v>644</v>
      </c>
      <c r="Q42" s="4" t="s">
        <v>46</v>
      </c>
      <c r="R42" s="4" t="s">
        <v>939</v>
      </c>
      <c r="S42" s="4">
        <v>44621</v>
      </c>
      <c r="T42" s="4">
        <v>46451</v>
      </c>
      <c r="U42" s="4">
        <v>1546000</v>
      </c>
      <c r="V42" s="4">
        <v>20</v>
      </c>
      <c r="W42" s="4">
        <v>309200</v>
      </c>
      <c r="X42" s="4">
        <v>1236800</v>
      </c>
      <c r="Y42" s="4">
        <v>2.5</v>
      </c>
      <c r="Z42" s="6">
        <v>30920</v>
      </c>
      <c r="AA42" s="4"/>
      <c r="AB42" s="4"/>
      <c r="AC42" s="4" t="s">
        <v>78</v>
      </c>
      <c r="AD42" s="4">
        <v>1141073002</v>
      </c>
      <c r="AE42" s="4">
        <v>45735</v>
      </c>
      <c r="AF42" s="4" t="s">
        <v>35</v>
      </c>
      <c r="AG42" s="4">
        <v>0</v>
      </c>
      <c r="AH42" s="4" t="s">
        <v>934</v>
      </c>
      <c r="AI42" s="4"/>
      <c r="AJ42" s="6">
        <f>VLOOKUP(AH42,[1]Sheet1!$B$2:$AA$595,26,0)</f>
        <v>30920</v>
      </c>
      <c r="AK42" s="5">
        <f t="shared" si="0"/>
        <v>0</v>
      </c>
    </row>
    <row r="43" spans="1:37" x14ac:dyDescent="0.2">
      <c r="A43" s="9">
        <v>42</v>
      </c>
      <c r="B43" s="4" t="s">
        <v>610</v>
      </c>
      <c r="C43" s="4" t="s">
        <v>940</v>
      </c>
      <c r="D43" s="4">
        <v>45689</v>
      </c>
      <c r="E43" s="4" t="s">
        <v>31</v>
      </c>
      <c r="F43" s="4" t="s">
        <v>941</v>
      </c>
      <c r="G43" s="4">
        <v>45710</v>
      </c>
      <c r="H43" s="4">
        <v>46074</v>
      </c>
      <c r="I43" s="4" t="s">
        <v>942</v>
      </c>
      <c r="J43" s="4">
        <v>3310007349631</v>
      </c>
      <c r="K43" s="4" t="s">
        <v>68</v>
      </c>
      <c r="L43" s="4" t="s">
        <v>943</v>
      </c>
      <c r="M43" s="4" t="s">
        <v>944</v>
      </c>
      <c r="N43" s="4" t="s">
        <v>945</v>
      </c>
      <c r="O43" s="4" t="s">
        <v>940</v>
      </c>
      <c r="P43" s="4" t="s">
        <v>644</v>
      </c>
      <c r="Q43" s="4" t="s">
        <v>46</v>
      </c>
      <c r="R43" s="4" t="s">
        <v>946</v>
      </c>
      <c r="S43" s="4">
        <v>45348</v>
      </c>
      <c r="T43" s="4">
        <v>47182</v>
      </c>
      <c r="U43" s="4">
        <v>2300000</v>
      </c>
      <c r="V43" s="4">
        <v>10</v>
      </c>
      <c r="W43" s="4">
        <v>230000</v>
      </c>
      <c r="X43" s="4">
        <v>2070000</v>
      </c>
      <c r="Y43" s="4">
        <v>2</v>
      </c>
      <c r="Z43" s="6">
        <v>41400</v>
      </c>
      <c r="AA43" s="4"/>
      <c r="AB43" s="4"/>
      <c r="AC43" s="4" t="s">
        <v>78</v>
      </c>
      <c r="AD43" s="4">
        <v>1141073002</v>
      </c>
      <c r="AE43" s="4">
        <v>45735</v>
      </c>
      <c r="AF43" s="4" t="s">
        <v>35</v>
      </c>
      <c r="AG43" s="4">
        <v>0</v>
      </c>
      <c r="AH43" s="4" t="s">
        <v>941</v>
      </c>
      <c r="AI43" s="4"/>
      <c r="AJ43" s="6">
        <f>VLOOKUP(AH43,[1]Sheet1!$B$2:$AA$595,26,0)</f>
        <v>41400</v>
      </c>
      <c r="AK43" s="5">
        <f t="shared" si="0"/>
        <v>0</v>
      </c>
    </row>
    <row r="44" spans="1:37" x14ac:dyDescent="0.2">
      <c r="A44" s="9">
        <v>43</v>
      </c>
      <c r="B44" s="4" t="s">
        <v>610</v>
      </c>
      <c r="C44" s="4" t="s">
        <v>947</v>
      </c>
      <c r="D44" s="4">
        <v>45689</v>
      </c>
      <c r="E44" s="4" t="s">
        <v>31</v>
      </c>
      <c r="F44" s="4" t="s">
        <v>948</v>
      </c>
      <c r="G44" s="4">
        <v>45716</v>
      </c>
      <c r="H44" s="4">
        <v>46080</v>
      </c>
      <c r="I44" s="4" t="s">
        <v>949</v>
      </c>
      <c r="J44" s="4">
        <v>4420350621939</v>
      </c>
      <c r="K44" s="4" t="s">
        <v>43</v>
      </c>
      <c r="L44" s="4" t="s">
        <v>950</v>
      </c>
      <c r="M44" s="4" t="s">
        <v>951</v>
      </c>
      <c r="N44" s="4" t="s">
        <v>952</v>
      </c>
      <c r="O44" s="4" t="s">
        <v>947</v>
      </c>
      <c r="P44" s="4" t="s">
        <v>44</v>
      </c>
      <c r="Q44" s="4" t="s">
        <v>953</v>
      </c>
      <c r="R44" s="4" t="s">
        <v>954</v>
      </c>
      <c r="S44" s="4">
        <v>44621</v>
      </c>
      <c r="T44" s="4">
        <v>46451</v>
      </c>
      <c r="U44" s="4">
        <v>1546000</v>
      </c>
      <c r="V44" s="4">
        <v>20</v>
      </c>
      <c r="W44" s="4">
        <v>309200</v>
      </c>
      <c r="X44" s="4">
        <v>1236800</v>
      </c>
      <c r="Y44" s="4">
        <v>2.5</v>
      </c>
      <c r="Z44" s="6">
        <v>30920</v>
      </c>
      <c r="AA44" s="4"/>
      <c r="AB44" s="4"/>
      <c r="AC44" s="4" t="s">
        <v>78</v>
      </c>
      <c r="AD44" s="4">
        <v>1141073002</v>
      </c>
      <c r="AE44" s="4">
        <v>45735</v>
      </c>
      <c r="AF44" s="4" t="s">
        <v>35</v>
      </c>
      <c r="AG44" s="4">
        <v>0</v>
      </c>
      <c r="AH44" s="4" t="s">
        <v>948</v>
      </c>
      <c r="AI44" s="4"/>
      <c r="AJ44" s="6">
        <f>VLOOKUP(AH44,[1]Sheet1!$B$2:$AA$595,26,0)</f>
        <v>30920</v>
      </c>
      <c r="AK44" s="5">
        <f t="shared" si="0"/>
        <v>0</v>
      </c>
    </row>
    <row r="45" spans="1:37" x14ac:dyDescent="0.2">
      <c r="A45" s="9">
        <v>44</v>
      </c>
      <c r="B45" s="4" t="s">
        <v>610</v>
      </c>
      <c r="C45" s="4" t="s">
        <v>955</v>
      </c>
      <c r="D45" s="4">
        <v>45689</v>
      </c>
      <c r="E45" s="4" t="s">
        <v>31</v>
      </c>
      <c r="F45" s="4" t="s">
        <v>956</v>
      </c>
      <c r="G45" s="4">
        <v>45695</v>
      </c>
      <c r="H45" s="4">
        <v>46059</v>
      </c>
      <c r="I45" s="4" t="s">
        <v>957</v>
      </c>
      <c r="J45" s="4">
        <v>3520131842713</v>
      </c>
      <c r="K45" s="4" t="s">
        <v>41</v>
      </c>
      <c r="L45" s="4" t="s">
        <v>958</v>
      </c>
      <c r="M45" s="4" t="s">
        <v>959</v>
      </c>
      <c r="N45" s="4" t="s">
        <v>960</v>
      </c>
      <c r="O45" s="4" t="s">
        <v>955</v>
      </c>
      <c r="P45" s="4" t="s">
        <v>644</v>
      </c>
      <c r="Q45" s="4" t="s">
        <v>39</v>
      </c>
      <c r="R45" s="4" t="s">
        <v>961</v>
      </c>
      <c r="S45" s="4">
        <v>44608</v>
      </c>
      <c r="T45" s="4">
        <v>47182</v>
      </c>
      <c r="U45" s="4">
        <v>1521000</v>
      </c>
      <c r="V45" s="4">
        <v>20</v>
      </c>
      <c r="W45" s="4">
        <v>304200</v>
      </c>
      <c r="X45" s="4">
        <v>1216800</v>
      </c>
      <c r="Y45" s="4">
        <v>2.5</v>
      </c>
      <c r="Z45" s="6">
        <v>30420</v>
      </c>
      <c r="AA45" s="4"/>
      <c r="AB45" s="4"/>
      <c r="AC45" s="4" t="s">
        <v>78</v>
      </c>
      <c r="AD45" s="4">
        <v>1141073002</v>
      </c>
      <c r="AE45" s="4">
        <v>45735</v>
      </c>
      <c r="AF45" s="4" t="s">
        <v>35</v>
      </c>
      <c r="AG45" s="4">
        <v>0</v>
      </c>
      <c r="AH45" s="4" t="s">
        <v>956</v>
      </c>
      <c r="AI45" s="4"/>
      <c r="AJ45" s="6">
        <f>VLOOKUP(AH45,[1]Sheet1!$B$2:$AA$595,26,0)</f>
        <v>30420</v>
      </c>
      <c r="AK45" s="5">
        <f t="shared" si="0"/>
        <v>0</v>
      </c>
    </row>
    <row r="46" spans="1:37" x14ac:dyDescent="0.2">
      <c r="A46" s="9">
        <v>45</v>
      </c>
      <c r="B46" s="4" t="s">
        <v>610</v>
      </c>
      <c r="C46" s="4" t="s">
        <v>962</v>
      </c>
      <c r="D46" s="4">
        <v>45689</v>
      </c>
      <c r="E46" s="4" t="s">
        <v>31</v>
      </c>
      <c r="F46" s="4" t="s">
        <v>963</v>
      </c>
      <c r="G46" s="4">
        <v>45716</v>
      </c>
      <c r="H46" s="4">
        <v>46080</v>
      </c>
      <c r="I46" s="4" t="s">
        <v>964</v>
      </c>
      <c r="J46" s="4">
        <v>3740692766445</v>
      </c>
      <c r="K46" s="4" t="s">
        <v>637</v>
      </c>
      <c r="L46" s="4" t="s">
        <v>965</v>
      </c>
      <c r="M46" s="4" t="s">
        <v>966</v>
      </c>
      <c r="N46" s="4" t="s">
        <v>967</v>
      </c>
      <c r="O46" s="4" t="s">
        <v>962</v>
      </c>
      <c r="P46" s="4" t="s">
        <v>645</v>
      </c>
      <c r="Q46" s="4" t="s">
        <v>34</v>
      </c>
      <c r="R46" s="4" t="s">
        <v>968</v>
      </c>
      <c r="S46" s="4">
        <v>44621</v>
      </c>
      <c r="T46" s="4">
        <v>46451</v>
      </c>
      <c r="U46" s="4">
        <v>1600000</v>
      </c>
      <c r="V46" s="4">
        <v>20</v>
      </c>
      <c r="W46" s="4">
        <v>320000</v>
      </c>
      <c r="X46" s="4">
        <v>1280000</v>
      </c>
      <c r="Y46" s="4">
        <v>2.5</v>
      </c>
      <c r="Z46" s="6">
        <v>32000</v>
      </c>
      <c r="AA46" s="4"/>
      <c r="AB46" s="4"/>
      <c r="AC46" s="4" t="s">
        <v>78</v>
      </c>
      <c r="AD46" s="4">
        <v>1141073002</v>
      </c>
      <c r="AE46" s="4">
        <v>45735</v>
      </c>
      <c r="AF46" s="4" t="s">
        <v>35</v>
      </c>
      <c r="AG46" s="4">
        <v>0</v>
      </c>
      <c r="AH46" s="4" t="s">
        <v>963</v>
      </c>
      <c r="AI46" s="4"/>
      <c r="AJ46" s="6">
        <f>VLOOKUP(AH46,[1]Sheet1!$B$2:$AA$595,26,0)</f>
        <v>32000</v>
      </c>
      <c r="AK46" s="5">
        <f t="shared" si="0"/>
        <v>0</v>
      </c>
    </row>
    <row r="47" spans="1:37" x14ac:dyDescent="0.2">
      <c r="A47" s="9">
        <v>46</v>
      </c>
      <c r="B47" s="4" t="s">
        <v>610</v>
      </c>
      <c r="C47" s="4" t="s">
        <v>969</v>
      </c>
      <c r="D47" s="4">
        <v>45689</v>
      </c>
      <c r="E47" s="4" t="s">
        <v>31</v>
      </c>
      <c r="F47" s="4" t="s">
        <v>970</v>
      </c>
      <c r="G47" s="4">
        <v>45716</v>
      </c>
      <c r="H47" s="4">
        <v>46080</v>
      </c>
      <c r="I47" s="4" t="s">
        <v>971</v>
      </c>
      <c r="J47" s="4">
        <v>4240120767133</v>
      </c>
      <c r="K47" s="4" t="s">
        <v>613</v>
      </c>
      <c r="L47" s="4" t="s">
        <v>972</v>
      </c>
      <c r="M47" s="4" t="s">
        <v>973</v>
      </c>
      <c r="N47" s="4" t="s">
        <v>974</v>
      </c>
      <c r="O47" s="4" t="s">
        <v>969</v>
      </c>
      <c r="P47" s="4" t="s">
        <v>644</v>
      </c>
      <c r="Q47" s="4" t="s">
        <v>54</v>
      </c>
      <c r="R47" s="4" t="s">
        <v>975</v>
      </c>
      <c r="S47" s="4">
        <v>44621</v>
      </c>
      <c r="T47" s="4">
        <v>46451</v>
      </c>
      <c r="U47" s="4">
        <v>1265000</v>
      </c>
      <c r="V47" s="4">
        <v>20</v>
      </c>
      <c r="W47" s="4">
        <v>253000</v>
      </c>
      <c r="X47" s="4">
        <v>1012000</v>
      </c>
      <c r="Y47" s="4">
        <v>2.5</v>
      </c>
      <c r="Z47" s="6">
        <v>25300</v>
      </c>
      <c r="AA47" s="4"/>
      <c r="AB47" s="4"/>
      <c r="AC47" s="4" t="s">
        <v>78</v>
      </c>
      <c r="AD47" s="4">
        <v>1141073002</v>
      </c>
      <c r="AE47" s="4">
        <v>45735</v>
      </c>
      <c r="AF47" s="4" t="s">
        <v>35</v>
      </c>
      <c r="AG47" s="4">
        <v>0</v>
      </c>
      <c r="AH47" s="4" t="s">
        <v>970</v>
      </c>
      <c r="AI47" s="4"/>
      <c r="AJ47" s="6">
        <f>VLOOKUP(AH47,[1]Sheet1!$B$2:$AA$595,26,0)</f>
        <v>25300</v>
      </c>
      <c r="AK47" s="5">
        <f t="shared" si="0"/>
        <v>0</v>
      </c>
    </row>
    <row r="48" spans="1:37" x14ac:dyDescent="0.2">
      <c r="A48" s="9">
        <v>47</v>
      </c>
      <c r="B48" s="4" t="s">
        <v>610</v>
      </c>
      <c r="C48" s="4" t="s">
        <v>976</v>
      </c>
      <c r="D48" s="4">
        <v>45689</v>
      </c>
      <c r="E48" s="4" t="s">
        <v>31</v>
      </c>
      <c r="F48" s="4" t="s">
        <v>977</v>
      </c>
      <c r="G48" s="4">
        <v>45716</v>
      </c>
      <c r="H48" s="4">
        <v>46080</v>
      </c>
      <c r="I48" s="4" t="s">
        <v>978</v>
      </c>
      <c r="J48" s="4">
        <v>3310314535801</v>
      </c>
      <c r="K48" s="4" t="s">
        <v>637</v>
      </c>
      <c r="L48" s="4" t="s">
        <v>979</v>
      </c>
      <c r="M48" s="4" t="s">
        <v>980</v>
      </c>
      <c r="N48" s="4" t="s">
        <v>981</v>
      </c>
      <c r="O48" s="4" t="s">
        <v>976</v>
      </c>
      <c r="P48" s="4" t="s">
        <v>644</v>
      </c>
      <c r="Q48" s="4" t="s">
        <v>46</v>
      </c>
      <c r="R48" s="4" t="s">
        <v>982</v>
      </c>
      <c r="S48" s="4">
        <v>44622</v>
      </c>
      <c r="T48" s="4">
        <v>46451</v>
      </c>
      <c r="U48" s="4">
        <v>1975000</v>
      </c>
      <c r="V48" s="4">
        <v>20</v>
      </c>
      <c r="W48" s="4">
        <v>395000</v>
      </c>
      <c r="X48" s="4">
        <v>1580000</v>
      </c>
      <c r="Y48" s="4">
        <v>2.5</v>
      </c>
      <c r="Z48" s="6">
        <v>39500</v>
      </c>
      <c r="AA48" s="4"/>
      <c r="AB48" s="4"/>
      <c r="AC48" s="4" t="s">
        <v>78</v>
      </c>
      <c r="AD48" s="4">
        <v>1141073002</v>
      </c>
      <c r="AE48" s="4">
        <v>45735</v>
      </c>
      <c r="AF48" s="4" t="s">
        <v>35</v>
      </c>
      <c r="AG48" s="4">
        <v>0</v>
      </c>
      <c r="AH48" s="4" t="s">
        <v>977</v>
      </c>
      <c r="AI48" s="4"/>
      <c r="AJ48" s="6">
        <f>VLOOKUP(AH48,[1]Sheet1!$B$2:$AA$595,26,0)</f>
        <v>39500</v>
      </c>
      <c r="AK48" s="5">
        <f t="shared" si="0"/>
        <v>0</v>
      </c>
    </row>
    <row r="49" spans="1:37" x14ac:dyDescent="0.2">
      <c r="A49" s="9">
        <v>48</v>
      </c>
      <c r="B49" s="4" t="s">
        <v>610</v>
      </c>
      <c r="C49" s="4" t="s">
        <v>983</v>
      </c>
      <c r="D49" s="4">
        <v>45689</v>
      </c>
      <c r="E49" s="4" t="s">
        <v>31</v>
      </c>
      <c r="F49" s="4" t="s">
        <v>984</v>
      </c>
      <c r="G49" s="4">
        <v>45716</v>
      </c>
      <c r="H49" s="4">
        <v>46080</v>
      </c>
      <c r="I49" s="4" t="s">
        <v>985</v>
      </c>
      <c r="J49" s="4">
        <v>3330347970197</v>
      </c>
      <c r="K49" s="4" t="s">
        <v>637</v>
      </c>
      <c r="L49" s="4" t="s">
        <v>986</v>
      </c>
      <c r="M49" s="4" t="s">
        <v>987</v>
      </c>
      <c r="N49" s="4" t="s">
        <v>988</v>
      </c>
      <c r="O49" s="4" t="s">
        <v>983</v>
      </c>
      <c r="P49" s="4" t="s">
        <v>644</v>
      </c>
      <c r="Q49" s="4" t="s">
        <v>39</v>
      </c>
      <c r="R49" s="4" t="s">
        <v>989</v>
      </c>
      <c r="S49" s="4">
        <v>44622</v>
      </c>
      <c r="T49" s="4">
        <v>46818</v>
      </c>
      <c r="U49" s="4">
        <v>1877000</v>
      </c>
      <c r="V49" s="4">
        <v>20</v>
      </c>
      <c r="W49" s="4">
        <v>375400</v>
      </c>
      <c r="X49" s="4">
        <v>1501600</v>
      </c>
      <c r="Y49" s="4">
        <v>2.5</v>
      </c>
      <c r="Z49" s="6">
        <v>37540</v>
      </c>
      <c r="AA49" s="4"/>
      <c r="AB49" s="4"/>
      <c r="AC49" s="4" t="s">
        <v>78</v>
      </c>
      <c r="AD49" s="4">
        <v>1141073002</v>
      </c>
      <c r="AE49" s="4">
        <v>45735</v>
      </c>
      <c r="AF49" s="4" t="s">
        <v>35</v>
      </c>
      <c r="AG49" s="4">
        <v>0</v>
      </c>
      <c r="AH49" s="4" t="s">
        <v>984</v>
      </c>
      <c r="AI49" s="4"/>
      <c r="AJ49" s="6">
        <f>VLOOKUP(AH49,[1]Sheet1!$B$2:$AA$595,26,0)</f>
        <v>37540</v>
      </c>
      <c r="AK49" s="5">
        <f t="shared" si="0"/>
        <v>0</v>
      </c>
    </row>
    <row r="50" spans="1:37" x14ac:dyDescent="0.2">
      <c r="A50" s="9">
        <v>49</v>
      </c>
      <c r="B50" s="4" t="s">
        <v>610</v>
      </c>
      <c r="C50" s="4" t="s">
        <v>990</v>
      </c>
      <c r="D50" s="4">
        <v>45689</v>
      </c>
      <c r="E50" s="4" t="s">
        <v>31</v>
      </c>
      <c r="F50" s="4" t="s">
        <v>991</v>
      </c>
      <c r="G50" s="4">
        <v>45716</v>
      </c>
      <c r="H50" s="4">
        <v>46080</v>
      </c>
      <c r="I50" s="4" t="s">
        <v>992</v>
      </c>
      <c r="J50" s="4">
        <v>3520282646395</v>
      </c>
      <c r="K50" s="4" t="s">
        <v>637</v>
      </c>
      <c r="L50" s="4" t="s">
        <v>993</v>
      </c>
      <c r="M50" s="4" t="s">
        <v>994</v>
      </c>
      <c r="N50" s="4" t="s">
        <v>995</v>
      </c>
      <c r="O50" s="4" t="s">
        <v>990</v>
      </c>
      <c r="P50" s="4" t="s">
        <v>644</v>
      </c>
      <c r="Q50" s="4" t="s">
        <v>624</v>
      </c>
      <c r="R50" s="4" t="s">
        <v>996</v>
      </c>
      <c r="S50" s="4">
        <v>44621</v>
      </c>
      <c r="T50" s="4">
        <v>46451</v>
      </c>
      <c r="U50" s="4">
        <v>1975000</v>
      </c>
      <c r="V50" s="4">
        <v>20</v>
      </c>
      <c r="W50" s="4">
        <v>395000</v>
      </c>
      <c r="X50" s="4">
        <v>1580000</v>
      </c>
      <c r="Y50" s="4">
        <v>2.5</v>
      </c>
      <c r="Z50" s="6">
        <v>39500</v>
      </c>
      <c r="AA50" s="4"/>
      <c r="AB50" s="4"/>
      <c r="AC50" s="4" t="s">
        <v>78</v>
      </c>
      <c r="AD50" s="4">
        <v>1141073002</v>
      </c>
      <c r="AE50" s="4">
        <v>45735</v>
      </c>
      <c r="AF50" s="4" t="s">
        <v>35</v>
      </c>
      <c r="AG50" s="4">
        <v>0</v>
      </c>
      <c r="AH50" s="4" t="s">
        <v>991</v>
      </c>
      <c r="AI50" s="4"/>
      <c r="AJ50" s="6">
        <f>VLOOKUP(AH50,[1]Sheet1!$B$2:$AA$595,26,0)</f>
        <v>39500</v>
      </c>
      <c r="AK50" s="5">
        <f t="shared" si="0"/>
        <v>0</v>
      </c>
    </row>
    <row r="51" spans="1:37" x14ac:dyDescent="0.2">
      <c r="A51" s="9">
        <v>50</v>
      </c>
      <c r="B51" s="4" t="s">
        <v>610</v>
      </c>
      <c r="C51" s="4" t="s">
        <v>997</v>
      </c>
      <c r="D51" s="4">
        <v>45689</v>
      </c>
      <c r="E51" s="4" t="s">
        <v>31</v>
      </c>
      <c r="F51" s="4" t="s">
        <v>998</v>
      </c>
      <c r="G51" s="4">
        <v>45716</v>
      </c>
      <c r="H51" s="4">
        <v>46080</v>
      </c>
      <c r="I51" s="4" t="s">
        <v>999</v>
      </c>
      <c r="J51" s="4">
        <v>3520266918763</v>
      </c>
      <c r="K51" s="4" t="s">
        <v>32</v>
      </c>
      <c r="L51" s="4" t="s">
        <v>1000</v>
      </c>
      <c r="M51" s="4" t="s">
        <v>1001</v>
      </c>
      <c r="N51" s="4" t="s">
        <v>1002</v>
      </c>
      <c r="O51" s="4" t="s">
        <v>997</v>
      </c>
      <c r="P51" s="4" t="s">
        <v>644</v>
      </c>
      <c r="Q51" s="4" t="s">
        <v>39</v>
      </c>
      <c r="R51" s="4" t="s">
        <v>1003</v>
      </c>
      <c r="S51" s="4">
        <v>44622</v>
      </c>
      <c r="T51" s="4">
        <v>46451</v>
      </c>
      <c r="U51" s="4">
        <v>1877000</v>
      </c>
      <c r="V51" s="4">
        <v>20</v>
      </c>
      <c r="W51" s="4">
        <v>375400</v>
      </c>
      <c r="X51" s="4">
        <v>1501600</v>
      </c>
      <c r="Y51" s="4">
        <v>1.75</v>
      </c>
      <c r="Z51" s="6">
        <v>26278</v>
      </c>
      <c r="AA51" s="4"/>
      <c r="AB51" s="4"/>
      <c r="AC51" s="4" t="s">
        <v>78</v>
      </c>
      <c r="AD51" s="4">
        <v>1141073002</v>
      </c>
      <c r="AE51" s="4">
        <v>45735</v>
      </c>
      <c r="AF51" s="4" t="s">
        <v>35</v>
      </c>
      <c r="AG51" s="4">
        <v>0</v>
      </c>
      <c r="AH51" s="4" t="s">
        <v>998</v>
      </c>
      <c r="AI51" s="4"/>
      <c r="AJ51" s="6">
        <f>VLOOKUP(AH51,[1]Sheet1!$B$2:$AA$595,26,0)</f>
        <v>26278</v>
      </c>
      <c r="AK51" s="5">
        <f t="shared" si="0"/>
        <v>0</v>
      </c>
    </row>
    <row r="52" spans="1:37" x14ac:dyDescent="0.2">
      <c r="A52" s="9">
        <v>51</v>
      </c>
      <c r="B52" s="4" t="s">
        <v>610</v>
      </c>
      <c r="C52" s="4" t="s">
        <v>1004</v>
      </c>
      <c r="D52" s="4">
        <v>45689</v>
      </c>
      <c r="E52" s="4" t="s">
        <v>31</v>
      </c>
      <c r="F52" s="4" t="s">
        <v>1005</v>
      </c>
      <c r="G52" s="4">
        <v>45716</v>
      </c>
      <c r="H52" s="4">
        <v>46080</v>
      </c>
      <c r="I52" s="4" t="s">
        <v>1006</v>
      </c>
      <c r="J52" s="4">
        <v>3520228855763</v>
      </c>
      <c r="K52" s="4" t="s">
        <v>32</v>
      </c>
      <c r="L52" s="4" t="s">
        <v>1007</v>
      </c>
      <c r="M52" s="4" t="s">
        <v>1008</v>
      </c>
      <c r="N52" s="4" t="s">
        <v>1009</v>
      </c>
      <c r="O52" s="4" t="s">
        <v>1004</v>
      </c>
      <c r="P52" s="4" t="s">
        <v>644</v>
      </c>
      <c r="Q52" s="4" t="s">
        <v>39</v>
      </c>
      <c r="R52" s="4" t="s">
        <v>1010</v>
      </c>
      <c r="S52" s="4">
        <v>44621</v>
      </c>
      <c r="T52" s="4">
        <v>47182</v>
      </c>
      <c r="U52" s="4">
        <v>1975000</v>
      </c>
      <c r="V52" s="4">
        <v>20</v>
      </c>
      <c r="W52" s="4">
        <v>395000</v>
      </c>
      <c r="X52" s="4">
        <v>1580000</v>
      </c>
      <c r="Y52" s="4">
        <v>1.75</v>
      </c>
      <c r="Z52" s="6">
        <v>27650</v>
      </c>
      <c r="AA52" s="4"/>
      <c r="AB52" s="4"/>
      <c r="AC52" s="4" t="s">
        <v>78</v>
      </c>
      <c r="AD52" s="4">
        <v>1141073002</v>
      </c>
      <c r="AE52" s="4">
        <v>45735</v>
      </c>
      <c r="AF52" s="4" t="s">
        <v>35</v>
      </c>
      <c r="AG52" s="4">
        <v>0</v>
      </c>
      <c r="AH52" s="4" t="s">
        <v>1005</v>
      </c>
      <c r="AI52" s="4"/>
      <c r="AJ52" s="6">
        <f>VLOOKUP(AH52,[1]Sheet1!$B$2:$AA$595,26,0)</f>
        <v>27650</v>
      </c>
      <c r="AK52" s="5">
        <f t="shared" si="0"/>
        <v>0</v>
      </c>
    </row>
    <row r="53" spans="1:37" x14ac:dyDescent="0.2">
      <c r="A53" s="9">
        <v>52</v>
      </c>
      <c r="B53" s="4" t="s">
        <v>610</v>
      </c>
      <c r="C53" s="4" t="s">
        <v>1011</v>
      </c>
      <c r="D53" s="4">
        <v>45689</v>
      </c>
      <c r="E53" s="4" t="s">
        <v>31</v>
      </c>
      <c r="F53" s="4" t="s">
        <v>1012</v>
      </c>
      <c r="G53" s="4">
        <v>45716</v>
      </c>
      <c r="H53" s="4">
        <v>46080</v>
      </c>
      <c r="I53" s="4" t="s">
        <v>1013</v>
      </c>
      <c r="J53" s="4">
        <v>4250106500177</v>
      </c>
      <c r="K53" s="4" t="s">
        <v>140</v>
      </c>
      <c r="L53" s="4" t="s">
        <v>1014</v>
      </c>
      <c r="M53" s="4" t="s">
        <v>1015</v>
      </c>
      <c r="N53" s="4" t="s">
        <v>1016</v>
      </c>
      <c r="O53" s="4" t="s">
        <v>1011</v>
      </c>
      <c r="P53" s="4" t="s">
        <v>645</v>
      </c>
      <c r="Q53" s="4" t="s">
        <v>1017</v>
      </c>
      <c r="R53" s="4" t="s">
        <v>1018</v>
      </c>
      <c r="S53" s="4">
        <v>44622</v>
      </c>
      <c r="T53" s="4">
        <v>46451</v>
      </c>
      <c r="U53" s="4">
        <v>2900000</v>
      </c>
      <c r="V53" s="4">
        <v>20</v>
      </c>
      <c r="W53" s="4">
        <v>580000</v>
      </c>
      <c r="X53" s="4">
        <v>2320000</v>
      </c>
      <c r="Y53" s="4">
        <v>1.5</v>
      </c>
      <c r="Z53" s="6">
        <v>34800</v>
      </c>
      <c r="AA53" s="4"/>
      <c r="AB53" s="4"/>
      <c r="AC53" s="4" t="s">
        <v>78</v>
      </c>
      <c r="AD53" s="4">
        <v>1141073002</v>
      </c>
      <c r="AE53" s="4">
        <v>45735</v>
      </c>
      <c r="AF53" s="4" t="s">
        <v>35</v>
      </c>
      <c r="AG53" s="4">
        <v>0</v>
      </c>
      <c r="AH53" s="4" t="s">
        <v>1012</v>
      </c>
      <c r="AI53" s="4"/>
      <c r="AJ53" s="6">
        <f>VLOOKUP(AH53,[1]Sheet1!$B$2:$AA$595,26,0)</f>
        <v>34800</v>
      </c>
      <c r="AK53" s="5">
        <f t="shared" si="0"/>
        <v>0</v>
      </c>
    </row>
    <row r="54" spans="1:37" x14ac:dyDescent="0.2">
      <c r="A54" s="9">
        <v>53</v>
      </c>
      <c r="B54" s="4" t="s">
        <v>610</v>
      </c>
      <c r="C54" s="4" t="s">
        <v>1019</v>
      </c>
      <c r="D54" s="4">
        <v>45689</v>
      </c>
      <c r="E54" s="4" t="s">
        <v>31</v>
      </c>
      <c r="F54" s="4" t="s">
        <v>1020</v>
      </c>
      <c r="G54" s="4">
        <v>45710</v>
      </c>
      <c r="H54" s="4">
        <v>46074</v>
      </c>
      <c r="I54" s="4" t="s">
        <v>1021</v>
      </c>
      <c r="J54" s="4">
        <v>3520220792269</v>
      </c>
      <c r="K54" s="4" t="s">
        <v>1022</v>
      </c>
      <c r="L54" s="4" t="s">
        <v>1023</v>
      </c>
      <c r="M54" s="4" t="s">
        <v>1024</v>
      </c>
      <c r="N54" s="4" t="s">
        <v>1025</v>
      </c>
      <c r="O54" s="4" t="s">
        <v>1019</v>
      </c>
      <c r="P54" s="4" t="s">
        <v>644</v>
      </c>
      <c r="Q54" s="4" t="s">
        <v>39</v>
      </c>
      <c r="R54" s="4" t="s">
        <v>1026</v>
      </c>
      <c r="S54" s="4">
        <v>45345</v>
      </c>
      <c r="T54" s="4">
        <v>46086</v>
      </c>
      <c r="U54" s="4">
        <v>5040000</v>
      </c>
      <c r="V54" s="4">
        <v>10</v>
      </c>
      <c r="W54" s="4">
        <v>504000</v>
      </c>
      <c r="X54" s="4">
        <v>4536000</v>
      </c>
      <c r="Y54" s="4">
        <v>1.5</v>
      </c>
      <c r="Z54" s="6">
        <v>68040</v>
      </c>
      <c r="AA54" s="4"/>
      <c r="AB54" s="4"/>
      <c r="AC54" s="4" t="s">
        <v>78</v>
      </c>
      <c r="AD54" s="4">
        <v>1141073002</v>
      </c>
      <c r="AE54" s="4">
        <v>45735</v>
      </c>
      <c r="AF54" s="4" t="s">
        <v>35</v>
      </c>
      <c r="AG54" s="4">
        <v>0</v>
      </c>
      <c r="AH54" s="4" t="s">
        <v>1020</v>
      </c>
      <c r="AI54" s="4"/>
      <c r="AJ54" s="6">
        <f>VLOOKUP(AH54,[1]Sheet1!$B$2:$AA$595,26,0)</f>
        <v>68040</v>
      </c>
      <c r="AK54" s="5">
        <f t="shared" si="0"/>
        <v>0</v>
      </c>
    </row>
    <row r="55" spans="1:37" x14ac:dyDescent="0.2">
      <c r="A55" s="9">
        <v>54</v>
      </c>
      <c r="B55" s="4" t="s">
        <v>610</v>
      </c>
      <c r="C55" s="4" t="s">
        <v>1027</v>
      </c>
      <c r="D55" s="4">
        <v>45689</v>
      </c>
      <c r="E55" s="4" t="s">
        <v>31</v>
      </c>
      <c r="F55" s="4" t="s">
        <v>1028</v>
      </c>
      <c r="G55" s="4">
        <v>45716</v>
      </c>
      <c r="H55" s="4">
        <v>46080</v>
      </c>
      <c r="I55" s="4" t="s">
        <v>1029</v>
      </c>
      <c r="J55" s="4">
        <v>6110132345973</v>
      </c>
      <c r="K55" s="4" t="s">
        <v>316</v>
      </c>
      <c r="L55" s="4" t="s">
        <v>1030</v>
      </c>
      <c r="M55" s="4" t="s">
        <v>1031</v>
      </c>
      <c r="N55" s="4" t="s">
        <v>1032</v>
      </c>
      <c r="O55" s="4" t="s">
        <v>1027</v>
      </c>
      <c r="P55" s="4" t="s">
        <v>645</v>
      </c>
      <c r="Q55" s="4" t="s">
        <v>34</v>
      </c>
      <c r="R55" s="4" t="s">
        <v>1033</v>
      </c>
      <c r="S55" s="4">
        <v>44630</v>
      </c>
      <c r="T55" s="4">
        <v>46086</v>
      </c>
      <c r="U55" s="4">
        <v>2700000</v>
      </c>
      <c r="V55" s="4">
        <v>20</v>
      </c>
      <c r="W55" s="4">
        <v>540000</v>
      </c>
      <c r="X55" s="4">
        <v>2160000</v>
      </c>
      <c r="Y55" s="4">
        <v>1.5</v>
      </c>
      <c r="Z55" s="6">
        <v>32400</v>
      </c>
      <c r="AA55" s="4"/>
      <c r="AB55" s="4"/>
      <c r="AC55" s="4" t="s">
        <v>78</v>
      </c>
      <c r="AD55" s="4">
        <v>1141073002</v>
      </c>
      <c r="AE55" s="4">
        <v>45735</v>
      </c>
      <c r="AF55" s="4" t="s">
        <v>35</v>
      </c>
      <c r="AG55" s="4">
        <v>0</v>
      </c>
      <c r="AH55" s="4" t="s">
        <v>1028</v>
      </c>
      <c r="AI55" s="4"/>
      <c r="AJ55" s="6">
        <f>VLOOKUP(AH55,[1]Sheet1!$B$2:$AA$595,26,0)</f>
        <v>32400</v>
      </c>
      <c r="AK55" s="5">
        <f t="shared" si="0"/>
        <v>0</v>
      </c>
    </row>
    <row r="56" spans="1:37" x14ac:dyDescent="0.2">
      <c r="A56" s="9">
        <v>55</v>
      </c>
      <c r="B56" s="4" t="s">
        <v>610</v>
      </c>
      <c r="C56" s="4" t="s">
        <v>1034</v>
      </c>
      <c r="D56" s="4">
        <v>45689</v>
      </c>
      <c r="E56" s="4" t="s">
        <v>31</v>
      </c>
      <c r="F56" s="4" t="s">
        <v>1035</v>
      </c>
      <c r="G56" s="4">
        <v>45698</v>
      </c>
      <c r="H56" s="4">
        <v>46062</v>
      </c>
      <c r="I56" s="4" t="s">
        <v>1036</v>
      </c>
      <c r="J56" s="4">
        <v>3660365840477</v>
      </c>
      <c r="K56" s="4" t="s">
        <v>63</v>
      </c>
      <c r="L56" s="4" t="s">
        <v>1037</v>
      </c>
      <c r="M56" s="4" t="s">
        <v>1038</v>
      </c>
      <c r="N56" s="4" t="s">
        <v>1039</v>
      </c>
      <c r="O56" s="4" t="s">
        <v>1034</v>
      </c>
      <c r="P56" s="4" t="s">
        <v>644</v>
      </c>
      <c r="Q56" s="4" t="s">
        <v>47</v>
      </c>
      <c r="R56" s="4" t="s">
        <v>1040</v>
      </c>
      <c r="S56" s="4">
        <v>44243</v>
      </c>
      <c r="T56" s="4">
        <v>46451</v>
      </c>
      <c r="U56" s="4">
        <v>1800000</v>
      </c>
      <c r="V56" s="4">
        <v>25</v>
      </c>
      <c r="W56" s="4">
        <v>450000</v>
      </c>
      <c r="X56" s="4">
        <v>1350000</v>
      </c>
      <c r="Y56" s="4">
        <v>2.5</v>
      </c>
      <c r="Z56" s="6">
        <v>33750</v>
      </c>
      <c r="AA56" s="4"/>
      <c r="AB56" s="4"/>
      <c r="AC56" s="4" t="s">
        <v>78</v>
      </c>
      <c r="AD56" s="4">
        <v>1141073002</v>
      </c>
      <c r="AE56" s="4">
        <v>45735</v>
      </c>
      <c r="AF56" s="4" t="s">
        <v>35</v>
      </c>
      <c r="AG56" s="4">
        <v>0</v>
      </c>
      <c r="AH56" s="4" t="s">
        <v>1035</v>
      </c>
      <c r="AI56" s="4"/>
      <c r="AJ56" s="6">
        <f>VLOOKUP(AH56,[1]Sheet1!$B$2:$AA$595,26,0)</f>
        <v>33750</v>
      </c>
      <c r="AK56" s="5">
        <f t="shared" si="0"/>
        <v>0</v>
      </c>
    </row>
    <row r="57" spans="1:37" x14ac:dyDescent="0.2">
      <c r="A57" s="9">
        <v>56</v>
      </c>
      <c r="B57" s="4" t="s">
        <v>610</v>
      </c>
      <c r="C57" s="4" t="s">
        <v>1041</v>
      </c>
      <c r="D57" s="4">
        <v>45689</v>
      </c>
      <c r="E57" s="4" t="s">
        <v>31</v>
      </c>
      <c r="F57" s="4" t="s">
        <v>1042</v>
      </c>
      <c r="G57" s="4">
        <v>45699</v>
      </c>
      <c r="H57" s="4">
        <v>46063</v>
      </c>
      <c r="I57" s="4" t="s">
        <v>1043</v>
      </c>
      <c r="J57" s="4">
        <v>6110109923559</v>
      </c>
      <c r="K57" s="4" t="s">
        <v>1044</v>
      </c>
      <c r="L57" s="4" t="s">
        <v>1045</v>
      </c>
      <c r="M57" s="4" t="s">
        <v>1046</v>
      </c>
      <c r="N57" s="4" t="s">
        <v>1047</v>
      </c>
      <c r="O57" s="4" t="s">
        <v>1041</v>
      </c>
      <c r="P57" s="4" t="s">
        <v>644</v>
      </c>
      <c r="Q57" s="4" t="s">
        <v>39</v>
      </c>
      <c r="R57" s="4" t="s">
        <v>1048</v>
      </c>
      <c r="S57" s="4">
        <v>44244</v>
      </c>
      <c r="T57" s="4">
        <v>46086</v>
      </c>
      <c r="U57" s="4">
        <v>2210000</v>
      </c>
      <c r="V57" s="4">
        <v>25</v>
      </c>
      <c r="W57" s="4">
        <v>552500</v>
      </c>
      <c r="X57" s="4">
        <v>1657500</v>
      </c>
      <c r="Y57" s="4">
        <v>2.5</v>
      </c>
      <c r="Z57" s="6">
        <v>41437.5</v>
      </c>
      <c r="AA57" s="4"/>
      <c r="AB57" s="4"/>
      <c r="AC57" s="4" t="s">
        <v>78</v>
      </c>
      <c r="AD57" s="4">
        <v>1141073002</v>
      </c>
      <c r="AE57" s="4">
        <v>45735</v>
      </c>
      <c r="AF57" s="4" t="s">
        <v>35</v>
      </c>
      <c r="AG57" s="4">
        <v>0</v>
      </c>
      <c r="AH57" s="4" t="s">
        <v>1042</v>
      </c>
      <c r="AI57" s="4"/>
      <c r="AJ57" s="6">
        <f>VLOOKUP(AH57,[1]Sheet1!$B$2:$AA$595,26,0)</f>
        <v>41438</v>
      </c>
      <c r="AK57" s="5">
        <f t="shared" si="0"/>
        <v>0.5</v>
      </c>
    </row>
    <row r="58" spans="1:37" x14ac:dyDescent="0.2">
      <c r="A58" s="9">
        <v>57</v>
      </c>
      <c r="B58" s="4" t="s">
        <v>610</v>
      </c>
      <c r="C58" s="4" t="s">
        <v>1049</v>
      </c>
      <c r="D58" s="4">
        <v>45689</v>
      </c>
      <c r="E58" s="4" t="s">
        <v>31</v>
      </c>
      <c r="F58" s="4" t="s">
        <v>1050</v>
      </c>
      <c r="G58" s="4">
        <v>45700</v>
      </c>
      <c r="H58" s="4">
        <v>46064</v>
      </c>
      <c r="I58" s="4" t="s">
        <v>1051</v>
      </c>
      <c r="J58" s="4">
        <v>3230208863691</v>
      </c>
      <c r="K58" s="4" t="s">
        <v>614</v>
      </c>
      <c r="L58" s="4" t="s">
        <v>1052</v>
      </c>
      <c r="M58" s="4" t="s">
        <v>1053</v>
      </c>
      <c r="N58" s="4" t="s">
        <v>1054</v>
      </c>
      <c r="O58" s="4" t="s">
        <v>1049</v>
      </c>
      <c r="P58" s="4" t="s">
        <v>644</v>
      </c>
      <c r="Q58" s="4" t="s">
        <v>624</v>
      </c>
      <c r="R58" s="4" t="s">
        <v>1055</v>
      </c>
      <c r="S58" s="4">
        <v>44245</v>
      </c>
      <c r="T58" s="4">
        <v>46086</v>
      </c>
      <c r="U58" s="4">
        <v>3033000</v>
      </c>
      <c r="V58" s="4">
        <v>25</v>
      </c>
      <c r="W58" s="4">
        <v>758250</v>
      </c>
      <c r="X58" s="4">
        <v>2274750</v>
      </c>
      <c r="Y58" s="4">
        <v>2.5</v>
      </c>
      <c r="Z58" s="6">
        <v>56868.75</v>
      </c>
      <c r="AA58" s="4"/>
      <c r="AB58" s="4"/>
      <c r="AC58" s="4" t="s">
        <v>78</v>
      </c>
      <c r="AD58" s="4">
        <v>1141073002</v>
      </c>
      <c r="AE58" s="4">
        <v>45735</v>
      </c>
      <c r="AF58" s="4" t="s">
        <v>35</v>
      </c>
      <c r="AG58" s="4">
        <v>26</v>
      </c>
      <c r="AH58" s="4" t="s">
        <v>1050</v>
      </c>
      <c r="AI58" s="4"/>
      <c r="AJ58" s="6">
        <f>VLOOKUP(AH58,[1]Sheet1!$B$2:$AA$595,26,0)</f>
        <v>56869</v>
      </c>
      <c r="AK58" s="5">
        <f t="shared" si="0"/>
        <v>0.25</v>
      </c>
    </row>
    <row r="59" spans="1:37" x14ac:dyDescent="0.2">
      <c r="A59" s="9">
        <v>58</v>
      </c>
      <c r="B59" s="4" t="s">
        <v>610</v>
      </c>
      <c r="C59" s="4" t="s">
        <v>1056</v>
      </c>
      <c r="D59" s="4">
        <v>45689</v>
      </c>
      <c r="E59" s="4" t="s">
        <v>31</v>
      </c>
      <c r="F59" s="4" t="s">
        <v>1057</v>
      </c>
      <c r="G59" s="4">
        <v>45704</v>
      </c>
      <c r="H59" s="4">
        <v>46068</v>
      </c>
      <c r="I59" s="4" t="s">
        <v>1058</v>
      </c>
      <c r="J59" s="4">
        <v>3120317065127</v>
      </c>
      <c r="K59" s="4" t="s">
        <v>43</v>
      </c>
      <c r="L59" s="4" t="s">
        <v>1059</v>
      </c>
      <c r="M59" s="4" t="s">
        <v>1060</v>
      </c>
      <c r="N59" s="4" t="s">
        <v>1061</v>
      </c>
      <c r="O59" s="4" t="s">
        <v>1056</v>
      </c>
      <c r="P59" s="4" t="s">
        <v>644</v>
      </c>
      <c r="Q59" s="4" t="s">
        <v>1062</v>
      </c>
      <c r="R59" s="4" t="s">
        <v>1063</v>
      </c>
      <c r="S59" s="4">
        <v>44252</v>
      </c>
      <c r="T59" s="4">
        <v>46818</v>
      </c>
      <c r="U59" s="4">
        <v>1433000</v>
      </c>
      <c r="V59" s="4">
        <v>25</v>
      </c>
      <c r="W59" s="4">
        <v>358250</v>
      </c>
      <c r="X59" s="4">
        <v>1074750</v>
      </c>
      <c r="Y59" s="4">
        <v>2.5</v>
      </c>
      <c r="Z59" s="6">
        <v>26868.75</v>
      </c>
      <c r="AA59" s="4"/>
      <c r="AB59" s="4"/>
      <c r="AC59" s="4" t="s">
        <v>78</v>
      </c>
      <c r="AD59" s="4">
        <v>1141073002</v>
      </c>
      <c r="AE59" s="4">
        <v>45735</v>
      </c>
      <c r="AF59" s="4" t="s">
        <v>35</v>
      </c>
      <c r="AG59" s="4">
        <v>26</v>
      </c>
      <c r="AH59" s="4" t="s">
        <v>1057</v>
      </c>
      <c r="AI59" s="4"/>
      <c r="AJ59" s="6">
        <f>VLOOKUP(AH59,[1]Sheet1!$B$2:$AA$595,26,0)</f>
        <v>26869</v>
      </c>
      <c r="AK59" s="5">
        <f t="shared" si="0"/>
        <v>0.25</v>
      </c>
    </row>
    <row r="60" spans="1:37" x14ac:dyDescent="0.2">
      <c r="A60" s="9">
        <v>59</v>
      </c>
      <c r="B60" s="4" t="s">
        <v>610</v>
      </c>
      <c r="C60" s="4" t="s">
        <v>1064</v>
      </c>
      <c r="D60" s="4">
        <v>45689</v>
      </c>
      <c r="E60" s="4" t="s">
        <v>31</v>
      </c>
      <c r="F60" s="4" t="s">
        <v>1065</v>
      </c>
      <c r="G60" s="4">
        <v>45704</v>
      </c>
      <c r="H60" s="4">
        <v>46068</v>
      </c>
      <c r="I60" s="4" t="s">
        <v>1066</v>
      </c>
      <c r="J60" s="4">
        <v>3740529054887</v>
      </c>
      <c r="K60" s="4" t="s">
        <v>618</v>
      </c>
      <c r="L60" s="4" t="s">
        <v>1067</v>
      </c>
      <c r="M60" s="4" t="s">
        <v>1068</v>
      </c>
      <c r="N60" s="4" t="s">
        <v>1069</v>
      </c>
      <c r="O60" s="4" t="s">
        <v>1064</v>
      </c>
      <c r="P60" s="4" t="s">
        <v>645</v>
      </c>
      <c r="Q60" s="4" t="s">
        <v>34</v>
      </c>
      <c r="R60" s="4" t="s">
        <v>1070</v>
      </c>
      <c r="S60" s="4">
        <v>44249</v>
      </c>
      <c r="T60" s="4">
        <v>46818</v>
      </c>
      <c r="U60" s="4">
        <v>1640000</v>
      </c>
      <c r="V60" s="4">
        <v>25</v>
      </c>
      <c r="W60" s="4">
        <v>410000</v>
      </c>
      <c r="X60" s="4">
        <v>1230000</v>
      </c>
      <c r="Y60" s="4">
        <v>2.5</v>
      </c>
      <c r="Z60" s="6">
        <v>30750</v>
      </c>
      <c r="AA60" s="4"/>
      <c r="AB60" s="4"/>
      <c r="AC60" s="4" t="s">
        <v>78</v>
      </c>
      <c r="AD60" s="4">
        <v>1141073002</v>
      </c>
      <c r="AE60" s="4">
        <v>45735</v>
      </c>
      <c r="AF60" s="4" t="s">
        <v>35</v>
      </c>
      <c r="AG60" s="4">
        <v>0</v>
      </c>
      <c r="AH60" s="4" t="s">
        <v>1065</v>
      </c>
      <c r="AI60" s="4"/>
      <c r="AJ60" s="6">
        <f>VLOOKUP(AH60,[1]Sheet1!$B$2:$AA$595,26,0)</f>
        <v>30750</v>
      </c>
      <c r="AK60" s="5">
        <f t="shared" si="0"/>
        <v>0</v>
      </c>
    </row>
    <row r="61" spans="1:37" x14ac:dyDescent="0.2">
      <c r="A61" s="9">
        <v>60</v>
      </c>
      <c r="B61" s="4" t="s">
        <v>610</v>
      </c>
      <c r="C61" s="4" t="s">
        <v>1071</v>
      </c>
      <c r="D61" s="4">
        <v>45689</v>
      </c>
      <c r="E61" s="4" t="s">
        <v>31</v>
      </c>
      <c r="F61" s="4" t="s">
        <v>1072</v>
      </c>
      <c r="G61" s="4">
        <v>45704</v>
      </c>
      <c r="H61" s="4">
        <v>46068</v>
      </c>
      <c r="I61" s="4" t="s">
        <v>1073</v>
      </c>
      <c r="J61" s="4">
        <v>3520256891875</v>
      </c>
      <c r="K61" s="4" t="s">
        <v>32</v>
      </c>
      <c r="L61" s="4" t="s">
        <v>1074</v>
      </c>
      <c r="M61" s="4" t="s">
        <v>1075</v>
      </c>
      <c r="N61" s="4" t="s">
        <v>1076</v>
      </c>
      <c r="O61" s="4" t="s">
        <v>1071</v>
      </c>
      <c r="P61" s="4" t="s">
        <v>644</v>
      </c>
      <c r="Q61" s="4" t="s">
        <v>39</v>
      </c>
      <c r="R61" s="4" t="s">
        <v>1077</v>
      </c>
      <c r="S61" s="4">
        <v>44251</v>
      </c>
      <c r="T61" s="4">
        <v>46086</v>
      </c>
      <c r="U61" s="4">
        <v>1730000</v>
      </c>
      <c r="V61" s="4">
        <v>25</v>
      </c>
      <c r="W61" s="4">
        <v>432500</v>
      </c>
      <c r="X61" s="4">
        <v>1297500</v>
      </c>
      <c r="Y61" s="4">
        <v>2.5</v>
      </c>
      <c r="Z61" s="6">
        <v>32437.5</v>
      </c>
      <c r="AA61" s="4"/>
      <c r="AB61" s="4"/>
      <c r="AC61" s="4" t="s">
        <v>78</v>
      </c>
      <c r="AD61" s="4">
        <v>1141073002</v>
      </c>
      <c r="AE61" s="4">
        <v>45735</v>
      </c>
      <c r="AF61" s="4" t="s">
        <v>35</v>
      </c>
      <c r="AG61" s="4">
        <v>0</v>
      </c>
      <c r="AH61" s="4" t="s">
        <v>1072</v>
      </c>
      <c r="AI61" s="4"/>
      <c r="AJ61" s="6">
        <f>VLOOKUP(AH61,[1]Sheet1!$B$2:$AA$595,26,0)</f>
        <v>32438</v>
      </c>
      <c r="AK61" s="5">
        <f t="shared" si="0"/>
        <v>0.5</v>
      </c>
    </row>
    <row r="62" spans="1:37" x14ac:dyDescent="0.2">
      <c r="A62" s="9">
        <v>61</v>
      </c>
      <c r="B62" s="4" t="s">
        <v>610</v>
      </c>
      <c r="C62" s="4" t="s">
        <v>1078</v>
      </c>
      <c r="D62" s="4">
        <v>45689</v>
      </c>
      <c r="E62" s="4" t="s">
        <v>31</v>
      </c>
      <c r="F62" s="4" t="s">
        <v>1079</v>
      </c>
      <c r="G62" s="4">
        <v>45704</v>
      </c>
      <c r="H62" s="4">
        <v>46068</v>
      </c>
      <c r="I62" s="4" t="s">
        <v>1080</v>
      </c>
      <c r="J62" s="4">
        <v>3520224055385</v>
      </c>
      <c r="K62" s="4" t="s">
        <v>643</v>
      </c>
      <c r="L62" s="4" t="s">
        <v>1081</v>
      </c>
      <c r="M62" s="4" t="s">
        <v>1082</v>
      </c>
      <c r="N62" s="4" t="s">
        <v>1083</v>
      </c>
      <c r="O62" s="4" t="s">
        <v>1078</v>
      </c>
      <c r="P62" s="4" t="s">
        <v>644</v>
      </c>
      <c r="Q62" s="4" t="s">
        <v>39</v>
      </c>
      <c r="R62" s="4" t="s">
        <v>1084</v>
      </c>
      <c r="S62" s="4">
        <v>44249</v>
      </c>
      <c r="T62" s="4">
        <v>46086</v>
      </c>
      <c r="U62" s="4">
        <v>2900000</v>
      </c>
      <c r="V62" s="4">
        <v>25</v>
      </c>
      <c r="W62" s="4">
        <v>725000</v>
      </c>
      <c r="X62" s="4">
        <v>2175000</v>
      </c>
      <c r="Y62" s="4">
        <v>2.5</v>
      </c>
      <c r="Z62" s="6">
        <v>54375</v>
      </c>
      <c r="AA62" s="4"/>
      <c r="AB62" s="4"/>
      <c r="AC62" s="4" t="s">
        <v>78</v>
      </c>
      <c r="AD62" s="4">
        <v>1141073002</v>
      </c>
      <c r="AE62" s="4">
        <v>45735</v>
      </c>
      <c r="AF62" s="4" t="s">
        <v>35</v>
      </c>
      <c r="AG62" s="4">
        <v>0</v>
      </c>
      <c r="AH62" s="4" t="s">
        <v>1079</v>
      </c>
      <c r="AI62" s="4"/>
      <c r="AJ62" s="6">
        <f>VLOOKUP(AH62,[1]Sheet1!$B$2:$AA$595,26,0)</f>
        <v>54375</v>
      </c>
      <c r="AK62" s="5">
        <f t="shared" si="0"/>
        <v>0</v>
      </c>
    </row>
    <row r="63" spans="1:37" x14ac:dyDescent="0.2">
      <c r="A63" s="9">
        <v>62</v>
      </c>
      <c r="B63" s="4" t="s">
        <v>610</v>
      </c>
      <c r="C63" s="4" t="s">
        <v>1085</v>
      </c>
      <c r="D63" s="4">
        <v>45689</v>
      </c>
      <c r="E63" s="4" t="s">
        <v>31</v>
      </c>
      <c r="F63" s="4" t="s">
        <v>1086</v>
      </c>
      <c r="G63" s="4">
        <v>45705</v>
      </c>
      <c r="H63" s="4">
        <v>46069</v>
      </c>
      <c r="I63" s="4" t="s">
        <v>1087</v>
      </c>
      <c r="J63" s="4">
        <v>1610186908257</v>
      </c>
      <c r="K63" s="4" t="s">
        <v>619</v>
      </c>
      <c r="L63" s="4" t="s">
        <v>1088</v>
      </c>
      <c r="M63" s="4" t="s">
        <v>1089</v>
      </c>
      <c r="N63" s="4" t="s">
        <v>1090</v>
      </c>
      <c r="O63" s="4" t="s">
        <v>1085</v>
      </c>
      <c r="P63" s="4" t="s">
        <v>645</v>
      </c>
      <c r="Q63" s="4" t="s">
        <v>621</v>
      </c>
      <c r="R63" s="4" t="s">
        <v>1091</v>
      </c>
      <c r="S63" s="4">
        <v>44256</v>
      </c>
      <c r="T63" s="4">
        <v>46086</v>
      </c>
      <c r="U63" s="4">
        <v>1500000</v>
      </c>
      <c r="V63" s="4">
        <v>25</v>
      </c>
      <c r="W63" s="4">
        <v>375000</v>
      </c>
      <c r="X63" s="4">
        <v>1125000</v>
      </c>
      <c r="Y63" s="4">
        <v>2.5</v>
      </c>
      <c r="Z63" s="6">
        <v>28125</v>
      </c>
      <c r="AA63" s="4"/>
      <c r="AB63" s="4"/>
      <c r="AC63" s="4" t="s">
        <v>78</v>
      </c>
      <c r="AD63" s="4">
        <v>1141073002</v>
      </c>
      <c r="AE63" s="4">
        <v>45735</v>
      </c>
      <c r="AF63" s="4" t="s">
        <v>35</v>
      </c>
      <c r="AG63" s="4">
        <v>0</v>
      </c>
      <c r="AH63" s="4" t="s">
        <v>1086</v>
      </c>
      <c r="AI63" s="4"/>
      <c r="AJ63" s="6">
        <f>VLOOKUP(AH63,[1]Sheet1!$B$2:$AA$595,26,0)</f>
        <v>28125</v>
      </c>
      <c r="AK63" s="5">
        <f t="shared" si="0"/>
        <v>0</v>
      </c>
    </row>
    <row r="64" spans="1:37" x14ac:dyDescent="0.2">
      <c r="A64" s="9">
        <v>63</v>
      </c>
      <c r="B64" s="4" t="s">
        <v>610</v>
      </c>
      <c r="C64" s="4" t="s">
        <v>1092</v>
      </c>
      <c r="D64" s="4">
        <v>45689</v>
      </c>
      <c r="E64" s="4" t="s">
        <v>31</v>
      </c>
      <c r="F64" s="4" t="s">
        <v>1093</v>
      </c>
      <c r="G64" s="4">
        <v>45706</v>
      </c>
      <c r="H64" s="4">
        <v>46070</v>
      </c>
      <c r="I64" s="4" t="s">
        <v>1094</v>
      </c>
      <c r="J64" s="4">
        <v>3510385790233</v>
      </c>
      <c r="K64" s="4" t="s">
        <v>43</v>
      </c>
      <c r="L64" s="4" t="s">
        <v>1095</v>
      </c>
      <c r="M64" s="4" t="s">
        <v>1096</v>
      </c>
      <c r="N64" s="4" t="s">
        <v>1097</v>
      </c>
      <c r="O64" s="4" t="s">
        <v>1092</v>
      </c>
      <c r="P64" s="4" t="s">
        <v>644</v>
      </c>
      <c r="Q64" s="4" t="s">
        <v>1098</v>
      </c>
      <c r="R64" s="4" t="s">
        <v>1099</v>
      </c>
      <c r="S64" s="4">
        <v>44250</v>
      </c>
      <c r="T64" s="4">
        <v>46086</v>
      </c>
      <c r="U64" s="4">
        <v>1433000</v>
      </c>
      <c r="V64" s="4">
        <v>25</v>
      </c>
      <c r="W64" s="4">
        <v>358250</v>
      </c>
      <c r="X64" s="4">
        <v>1074750</v>
      </c>
      <c r="Y64" s="4">
        <v>2.5</v>
      </c>
      <c r="Z64" s="6">
        <v>26868.75</v>
      </c>
      <c r="AA64" s="4"/>
      <c r="AB64" s="4"/>
      <c r="AC64" s="4" t="s">
        <v>78</v>
      </c>
      <c r="AD64" s="4">
        <v>1141073002</v>
      </c>
      <c r="AE64" s="4">
        <v>45735</v>
      </c>
      <c r="AF64" s="4" t="s">
        <v>35</v>
      </c>
      <c r="AG64" s="4">
        <v>0</v>
      </c>
      <c r="AH64" s="4" t="s">
        <v>1093</v>
      </c>
      <c r="AI64" s="4"/>
      <c r="AJ64" s="6">
        <f>VLOOKUP(AH64,[1]Sheet1!$B$2:$AA$595,26,0)</f>
        <v>26869</v>
      </c>
      <c r="AK64" s="5">
        <f t="shared" si="0"/>
        <v>0.25</v>
      </c>
    </row>
    <row r="65" spans="1:37" x14ac:dyDescent="0.2">
      <c r="A65" s="9">
        <v>64</v>
      </c>
      <c r="B65" s="4" t="s">
        <v>610</v>
      </c>
      <c r="C65" s="4" t="s">
        <v>1100</v>
      </c>
      <c r="D65" s="4">
        <v>45689</v>
      </c>
      <c r="E65" s="4" t="s">
        <v>31</v>
      </c>
      <c r="F65" s="4" t="s">
        <v>1101</v>
      </c>
      <c r="G65" s="4">
        <v>45711</v>
      </c>
      <c r="H65" s="4">
        <v>46075</v>
      </c>
      <c r="I65" s="4" t="s">
        <v>1102</v>
      </c>
      <c r="J65" s="4">
        <v>3520117061043</v>
      </c>
      <c r="K65" s="4" t="s">
        <v>639</v>
      </c>
      <c r="L65" s="4" t="s">
        <v>1103</v>
      </c>
      <c r="M65" s="4" t="s">
        <v>1104</v>
      </c>
      <c r="N65" s="4" t="s">
        <v>1105</v>
      </c>
      <c r="O65" s="4" t="s">
        <v>1100</v>
      </c>
      <c r="P65" s="4" t="s">
        <v>644</v>
      </c>
      <c r="Q65" s="4" t="s">
        <v>39</v>
      </c>
      <c r="R65" s="4" t="s">
        <v>1106</v>
      </c>
      <c r="S65" s="4">
        <v>45348</v>
      </c>
      <c r="T65" s="4">
        <v>46451</v>
      </c>
      <c r="U65" s="4">
        <v>2750000</v>
      </c>
      <c r="V65" s="4">
        <v>10</v>
      </c>
      <c r="W65" s="4">
        <v>275000</v>
      </c>
      <c r="X65" s="4">
        <v>2475000</v>
      </c>
      <c r="Y65" s="4">
        <v>2</v>
      </c>
      <c r="Z65" s="6">
        <v>49500</v>
      </c>
      <c r="AA65" s="4"/>
      <c r="AB65" s="4"/>
      <c r="AC65" s="4" t="s">
        <v>78</v>
      </c>
      <c r="AD65" s="4">
        <v>1141073002</v>
      </c>
      <c r="AE65" s="4">
        <v>45735</v>
      </c>
      <c r="AF65" s="4" t="s">
        <v>35</v>
      </c>
      <c r="AG65" s="4">
        <v>0</v>
      </c>
      <c r="AH65" s="4" t="s">
        <v>1101</v>
      </c>
      <c r="AI65" s="4"/>
      <c r="AJ65" s="6">
        <f>VLOOKUP(AH65,[1]Sheet1!$B$2:$AA$595,26,0)</f>
        <v>49500</v>
      </c>
      <c r="AK65" s="5">
        <f t="shared" si="0"/>
        <v>0</v>
      </c>
    </row>
    <row r="66" spans="1:37" x14ac:dyDescent="0.2">
      <c r="A66" s="9">
        <v>65</v>
      </c>
      <c r="B66" s="4" t="s">
        <v>610</v>
      </c>
      <c r="C66" s="4" t="s">
        <v>1107</v>
      </c>
      <c r="D66" s="4">
        <v>45689</v>
      </c>
      <c r="E66" s="4" t="s">
        <v>31</v>
      </c>
      <c r="F66" s="4" t="s">
        <v>1108</v>
      </c>
      <c r="G66" s="4">
        <v>45706</v>
      </c>
      <c r="H66" s="4">
        <v>46070</v>
      </c>
      <c r="I66" s="4" t="s">
        <v>1109</v>
      </c>
      <c r="J66" s="4">
        <v>3520231439495</v>
      </c>
      <c r="K66" s="4" t="s">
        <v>615</v>
      </c>
      <c r="L66" s="4" t="s">
        <v>1110</v>
      </c>
      <c r="M66" s="4" t="s">
        <v>1111</v>
      </c>
      <c r="N66" s="4" t="s">
        <v>1112</v>
      </c>
      <c r="O66" s="4" t="s">
        <v>1107</v>
      </c>
      <c r="P66" s="4" t="s">
        <v>644</v>
      </c>
      <c r="Q66" s="4" t="s">
        <v>39</v>
      </c>
      <c r="R66" s="4" t="s">
        <v>1113</v>
      </c>
      <c r="S66" s="4">
        <v>44252</v>
      </c>
      <c r="T66" s="4">
        <v>46818</v>
      </c>
      <c r="U66" s="4">
        <v>2455000</v>
      </c>
      <c r="V66" s="4">
        <v>25</v>
      </c>
      <c r="W66" s="4">
        <v>613750</v>
      </c>
      <c r="X66" s="4">
        <v>1841250</v>
      </c>
      <c r="Y66" s="4">
        <v>2.5</v>
      </c>
      <c r="Z66" s="6">
        <v>46031.25</v>
      </c>
      <c r="AA66" s="4"/>
      <c r="AB66" s="4"/>
      <c r="AC66" s="4" t="s">
        <v>78</v>
      </c>
      <c r="AD66" s="4">
        <v>1141073002</v>
      </c>
      <c r="AE66" s="4">
        <v>45735</v>
      </c>
      <c r="AF66" s="4" t="s">
        <v>35</v>
      </c>
      <c r="AG66" s="4">
        <v>0</v>
      </c>
      <c r="AH66" s="4" t="s">
        <v>1108</v>
      </c>
      <c r="AI66" s="4"/>
      <c r="AJ66" s="6">
        <f>VLOOKUP(AH66,[1]Sheet1!$B$2:$AA$595,26,0)</f>
        <v>46031</v>
      </c>
      <c r="AK66" s="5">
        <f t="shared" si="0"/>
        <v>-0.25</v>
      </c>
    </row>
    <row r="67" spans="1:37" x14ac:dyDescent="0.2">
      <c r="A67" s="9">
        <v>66</v>
      </c>
      <c r="B67" s="4" t="s">
        <v>610</v>
      </c>
      <c r="C67" s="4" t="s">
        <v>1114</v>
      </c>
      <c r="D67" s="4">
        <v>45689</v>
      </c>
      <c r="E67" s="4" t="s">
        <v>31</v>
      </c>
      <c r="F67" s="4" t="s">
        <v>1115</v>
      </c>
      <c r="G67" s="4">
        <v>45707</v>
      </c>
      <c r="H67" s="4">
        <v>46071</v>
      </c>
      <c r="I67" s="4" t="s">
        <v>1116</v>
      </c>
      <c r="J67" s="4">
        <v>3520019161599</v>
      </c>
      <c r="K67" s="4" t="s">
        <v>614</v>
      </c>
      <c r="L67" s="4" t="s">
        <v>1117</v>
      </c>
      <c r="M67" s="4" t="s">
        <v>1118</v>
      </c>
      <c r="N67" s="4" t="s">
        <v>1119</v>
      </c>
      <c r="O67" s="4" t="s">
        <v>1114</v>
      </c>
      <c r="P67" s="4" t="s">
        <v>644</v>
      </c>
      <c r="Q67" s="4" t="s">
        <v>39</v>
      </c>
      <c r="R67" s="4" t="s">
        <v>1120</v>
      </c>
      <c r="S67" s="4">
        <v>44252</v>
      </c>
      <c r="T67" s="4">
        <v>46818</v>
      </c>
      <c r="U67" s="4">
        <v>2993000</v>
      </c>
      <c r="V67" s="4">
        <v>25</v>
      </c>
      <c r="W67" s="4">
        <v>748250</v>
      </c>
      <c r="X67" s="4">
        <v>2244750</v>
      </c>
      <c r="Y67" s="4">
        <v>2.5</v>
      </c>
      <c r="Z67" s="6">
        <v>56118.75</v>
      </c>
      <c r="AA67" s="4"/>
      <c r="AB67" s="4"/>
      <c r="AC67" s="4" t="s">
        <v>78</v>
      </c>
      <c r="AD67" s="4">
        <v>1141073002</v>
      </c>
      <c r="AE67" s="4">
        <v>45735</v>
      </c>
      <c r="AF67" s="4" t="s">
        <v>35</v>
      </c>
      <c r="AG67" s="4">
        <v>0</v>
      </c>
      <c r="AH67" s="4" t="s">
        <v>1115</v>
      </c>
      <c r="AI67" s="4"/>
      <c r="AJ67" s="6">
        <f>VLOOKUP(AH67,[1]Sheet1!$B$2:$AA$595,26,0)</f>
        <v>56119</v>
      </c>
      <c r="AK67" s="5">
        <f t="shared" ref="AK67:AK130" si="1">AJ67-Z67</f>
        <v>0.25</v>
      </c>
    </row>
    <row r="68" spans="1:37" x14ac:dyDescent="0.2">
      <c r="A68" s="9">
        <v>67</v>
      </c>
      <c r="B68" s="4" t="s">
        <v>610</v>
      </c>
      <c r="C68" s="4" t="s">
        <v>1121</v>
      </c>
      <c r="D68" s="4">
        <v>45689</v>
      </c>
      <c r="E68" s="4" t="s">
        <v>31</v>
      </c>
      <c r="F68" s="4" t="s">
        <v>1122</v>
      </c>
      <c r="G68" s="4">
        <v>45707</v>
      </c>
      <c r="H68" s="4">
        <v>46071</v>
      </c>
      <c r="I68" s="4" t="s">
        <v>1123</v>
      </c>
      <c r="J68" s="4">
        <v>3520015101523</v>
      </c>
      <c r="K68" s="4" t="s">
        <v>622</v>
      </c>
      <c r="L68" s="4" t="s">
        <v>1124</v>
      </c>
      <c r="M68" s="4" t="s">
        <v>1125</v>
      </c>
      <c r="N68" s="4" t="s">
        <v>1126</v>
      </c>
      <c r="O68" s="4" t="s">
        <v>1121</v>
      </c>
      <c r="P68" s="4" t="s">
        <v>644</v>
      </c>
      <c r="Q68" s="4" t="s">
        <v>39</v>
      </c>
      <c r="R68" s="4" t="s">
        <v>1127</v>
      </c>
      <c r="S68" s="4">
        <v>44253</v>
      </c>
      <c r="T68" s="4">
        <v>46086</v>
      </c>
      <c r="U68" s="4">
        <v>1050000</v>
      </c>
      <c r="V68" s="4">
        <v>25</v>
      </c>
      <c r="W68" s="4">
        <v>262500</v>
      </c>
      <c r="X68" s="4">
        <v>787500</v>
      </c>
      <c r="Y68" s="4">
        <v>2.5</v>
      </c>
      <c r="Z68" s="6">
        <v>19687.5</v>
      </c>
      <c r="AA68" s="4"/>
      <c r="AB68" s="4"/>
      <c r="AC68" s="4" t="s">
        <v>78</v>
      </c>
      <c r="AD68" s="4">
        <v>1141073002</v>
      </c>
      <c r="AE68" s="4">
        <v>45735</v>
      </c>
      <c r="AF68" s="4" t="s">
        <v>35</v>
      </c>
      <c r="AG68" s="4">
        <v>56</v>
      </c>
      <c r="AH68" s="4" t="s">
        <v>1122</v>
      </c>
      <c r="AI68" s="4"/>
      <c r="AJ68" s="6">
        <f>VLOOKUP(AH68,[1]Sheet1!$B$2:$AA$595,26,0)</f>
        <v>19688</v>
      </c>
      <c r="AK68" s="5">
        <f t="shared" si="1"/>
        <v>0.5</v>
      </c>
    </row>
    <row r="69" spans="1:37" x14ac:dyDescent="0.2">
      <c r="A69" s="9">
        <v>68</v>
      </c>
      <c r="B69" s="4" t="s">
        <v>610</v>
      </c>
      <c r="C69" s="4" t="s">
        <v>1128</v>
      </c>
      <c r="D69" s="4">
        <v>45689</v>
      </c>
      <c r="E69" s="4" t="s">
        <v>31</v>
      </c>
      <c r="F69" s="4" t="s">
        <v>1129</v>
      </c>
      <c r="G69" s="4">
        <v>45710</v>
      </c>
      <c r="H69" s="4">
        <v>46074</v>
      </c>
      <c r="I69" s="4" t="s">
        <v>1130</v>
      </c>
      <c r="J69" s="4">
        <v>3520278046061</v>
      </c>
      <c r="K69" s="4" t="s">
        <v>613</v>
      </c>
      <c r="L69" s="4" t="s">
        <v>1131</v>
      </c>
      <c r="M69" s="4" t="s">
        <v>1132</v>
      </c>
      <c r="N69" s="4" t="s">
        <v>1133</v>
      </c>
      <c r="O69" s="4" t="s">
        <v>1128</v>
      </c>
      <c r="P69" s="4" t="s">
        <v>644</v>
      </c>
      <c r="Q69" s="4" t="s">
        <v>39</v>
      </c>
      <c r="R69" s="4" t="s">
        <v>1134</v>
      </c>
      <c r="S69" s="4">
        <v>44253</v>
      </c>
      <c r="T69" s="4">
        <v>46086</v>
      </c>
      <c r="U69" s="4">
        <v>1134000</v>
      </c>
      <c r="V69" s="4">
        <v>25</v>
      </c>
      <c r="W69" s="4">
        <v>283500</v>
      </c>
      <c r="X69" s="4">
        <v>850500</v>
      </c>
      <c r="Y69" s="4">
        <v>2.5</v>
      </c>
      <c r="Z69" s="6">
        <v>21262.5</v>
      </c>
      <c r="AA69" s="4"/>
      <c r="AB69" s="4"/>
      <c r="AC69" s="4" t="s">
        <v>78</v>
      </c>
      <c r="AD69" s="4">
        <v>1141073002</v>
      </c>
      <c r="AE69" s="4">
        <v>45735</v>
      </c>
      <c r="AF69" s="4" t="s">
        <v>35</v>
      </c>
      <c r="AG69" s="4">
        <v>0</v>
      </c>
      <c r="AH69" s="4" t="s">
        <v>1129</v>
      </c>
      <c r="AI69" s="4"/>
      <c r="AJ69" s="6">
        <f>VLOOKUP(AH69,[1]Sheet1!$B$2:$AA$595,26,0)</f>
        <v>21263</v>
      </c>
      <c r="AK69" s="5">
        <f t="shared" si="1"/>
        <v>0.5</v>
      </c>
    </row>
    <row r="70" spans="1:37" x14ac:dyDescent="0.2">
      <c r="A70" s="9">
        <v>69</v>
      </c>
      <c r="B70" s="4" t="s">
        <v>610</v>
      </c>
      <c r="C70" s="4" t="s">
        <v>1135</v>
      </c>
      <c r="D70" s="4">
        <v>45689</v>
      </c>
      <c r="E70" s="4" t="s">
        <v>31</v>
      </c>
      <c r="F70" s="4" t="s">
        <v>1136</v>
      </c>
      <c r="G70" s="4">
        <v>45710</v>
      </c>
      <c r="H70" s="4">
        <v>46074</v>
      </c>
      <c r="I70" s="4" t="s">
        <v>1137</v>
      </c>
      <c r="J70" s="4">
        <v>3440378981013</v>
      </c>
      <c r="K70" s="4" t="s">
        <v>41</v>
      </c>
      <c r="L70" s="4" t="s">
        <v>1138</v>
      </c>
      <c r="M70" s="4" t="s">
        <v>1139</v>
      </c>
      <c r="N70" s="4" t="s">
        <v>1140</v>
      </c>
      <c r="O70" s="4" t="s">
        <v>1135</v>
      </c>
      <c r="P70" s="4" t="s">
        <v>644</v>
      </c>
      <c r="Q70" s="4" t="s">
        <v>1141</v>
      </c>
      <c r="R70" s="4" t="s">
        <v>1142</v>
      </c>
      <c r="S70" s="4">
        <v>44253</v>
      </c>
      <c r="T70" s="4">
        <v>46086</v>
      </c>
      <c r="U70" s="4">
        <v>1633000</v>
      </c>
      <c r="V70" s="4">
        <v>25</v>
      </c>
      <c r="W70" s="4">
        <v>408250</v>
      </c>
      <c r="X70" s="4">
        <v>1224750</v>
      </c>
      <c r="Y70" s="4">
        <v>2.5</v>
      </c>
      <c r="Z70" s="6">
        <v>30618.75</v>
      </c>
      <c r="AA70" s="4"/>
      <c r="AB70" s="4"/>
      <c r="AC70" s="4" t="s">
        <v>78</v>
      </c>
      <c r="AD70" s="4">
        <v>1141073002</v>
      </c>
      <c r="AE70" s="4">
        <v>45735</v>
      </c>
      <c r="AF70" s="4" t="s">
        <v>35</v>
      </c>
      <c r="AG70" s="4">
        <v>0</v>
      </c>
      <c r="AH70" s="4" t="s">
        <v>1136</v>
      </c>
      <c r="AI70" s="4"/>
      <c r="AJ70" s="6">
        <f>VLOOKUP(AH70,[1]Sheet1!$B$2:$AA$595,26,0)</f>
        <v>30619</v>
      </c>
      <c r="AK70" s="5">
        <f t="shared" si="1"/>
        <v>0.25</v>
      </c>
    </row>
    <row r="71" spans="1:37" x14ac:dyDescent="0.2">
      <c r="A71" s="9">
        <v>70</v>
      </c>
      <c r="B71" s="4" t="s">
        <v>610</v>
      </c>
      <c r="C71" s="4" t="s">
        <v>1143</v>
      </c>
      <c r="D71" s="4">
        <v>45689</v>
      </c>
      <c r="E71" s="4" t="s">
        <v>31</v>
      </c>
      <c r="F71" s="4" t="s">
        <v>1144</v>
      </c>
      <c r="G71" s="4">
        <v>45711</v>
      </c>
      <c r="H71" s="4">
        <v>46075</v>
      </c>
      <c r="I71" s="4" t="s">
        <v>1145</v>
      </c>
      <c r="J71" s="4">
        <v>3520125568563</v>
      </c>
      <c r="K71" s="4" t="s">
        <v>614</v>
      </c>
      <c r="L71" s="4" t="s">
        <v>1146</v>
      </c>
      <c r="M71" s="4" t="s">
        <v>1147</v>
      </c>
      <c r="N71" s="4" t="s">
        <v>1148</v>
      </c>
      <c r="O71" s="4" t="s">
        <v>1143</v>
      </c>
      <c r="P71" s="4" t="s">
        <v>644</v>
      </c>
      <c r="Q71" s="4" t="s">
        <v>39</v>
      </c>
      <c r="R71" s="4" t="s">
        <v>1149</v>
      </c>
      <c r="S71" s="4">
        <v>44253</v>
      </c>
      <c r="T71" s="4">
        <v>46086</v>
      </c>
      <c r="U71" s="4">
        <v>2993000</v>
      </c>
      <c r="V71" s="4">
        <v>25</v>
      </c>
      <c r="W71" s="4">
        <v>748250</v>
      </c>
      <c r="X71" s="4">
        <v>2244750</v>
      </c>
      <c r="Y71" s="4">
        <v>2.5</v>
      </c>
      <c r="Z71" s="6">
        <v>56118.75</v>
      </c>
      <c r="AA71" s="4"/>
      <c r="AB71" s="4"/>
      <c r="AC71" s="4" t="s">
        <v>78</v>
      </c>
      <c r="AD71" s="4">
        <v>1141073002</v>
      </c>
      <c r="AE71" s="4">
        <v>45735</v>
      </c>
      <c r="AF71" s="4" t="s">
        <v>35</v>
      </c>
      <c r="AG71" s="4">
        <v>0</v>
      </c>
      <c r="AH71" s="4" t="s">
        <v>1144</v>
      </c>
      <c r="AI71" s="4"/>
      <c r="AJ71" s="6">
        <f>VLOOKUP(AH71,[1]Sheet1!$B$2:$AA$595,26,0)</f>
        <v>56119</v>
      </c>
      <c r="AK71" s="5">
        <f t="shared" si="1"/>
        <v>0.25</v>
      </c>
    </row>
    <row r="72" spans="1:37" x14ac:dyDescent="0.2">
      <c r="A72" s="9">
        <v>71</v>
      </c>
      <c r="B72" s="4" t="s">
        <v>610</v>
      </c>
      <c r="C72" s="4" t="s">
        <v>1150</v>
      </c>
      <c r="D72" s="4">
        <v>45689</v>
      </c>
      <c r="E72" s="4" t="s">
        <v>31</v>
      </c>
      <c r="F72" s="4" t="s">
        <v>1151</v>
      </c>
      <c r="G72" s="4">
        <v>45691</v>
      </c>
      <c r="H72" s="4">
        <v>46055</v>
      </c>
      <c r="I72" s="4" t="s">
        <v>1152</v>
      </c>
      <c r="J72" s="4">
        <v>4320308025549</v>
      </c>
      <c r="K72" s="4" t="s">
        <v>1153</v>
      </c>
      <c r="L72" s="4" t="s">
        <v>1154</v>
      </c>
      <c r="M72" s="4" t="s">
        <v>1155</v>
      </c>
      <c r="N72" s="4" t="s">
        <v>1156</v>
      </c>
      <c r="O72" s="4" t="s">
        <v>1150</v>
      </c>
      <c r="P72" s="4" t="s">
        <v>44</v>
      </c>
      <c r="Q72" s="4" t="s">
        <v>45</v>
      </c>
      <c r="R72" s="4" t="s">
        <v>1157</v>
      </c>
      <c r="S72" s="4">
        <v>44237</v>
      </c>
      <c r="T72" s="4">
        <v>46058</v>
      </c>
      <c r="U72" s="4">
        <v>3497000</v>
      </c>
      <c r="V72" s="4">
        <v>25</v>
      </c>
      <c r="W72" s="4">
        <v>874250</v>
      </c>
      <c r="X72" s="4">
        <v>2622750</v>
      </c>
      <c r="Y72" s="4">
        <v>1.5</v>
      </c>
      <c r="Z72" s="6">
        <v>39341.25</v>
      </c>
      <c r="AA72" s="4"/>
      <c r="AB72" s="4"/>
      <c r="AC72" s="4" t="s">
        <v>78</v>
      </c>
      <c r="AD72" s="4">
        <v>1141073002</v>
      </c>
      <c r="AE72" s="4">
        <v>45735</v>
      </c>
      <c r="AF72" s="4" t="s">
        <v>35</v>
      </c>
      <c r="AG72" s="4">
        <v>0</v>
      </c>
      <c r="AH72" s="4" t="s">
        <v>1151</v>
      </c>
      <c r="AI72" s="4"/>
      <c r="AJ72" s="6">
        <f>VLOOKUP(AH72,[1]Sheet1!$B$2:$AA$595,26,0)</f>
        <v>39341</v>
      </c>
      <c r="AK72" s="5">
        <f t="shared" si="1"/>
        <v>-0.25</v>
      </c>
    </row>
    <row r="73" spans="1:37" x14ac:dyDescent="0.2">
      <c r="A73" s="9">
        <v>72</v>
      </c>
      <c r="B73" s="4" t="s">
        <v>610</v>
      </c>
      <c r="C73" s="4" t="s">
        <v>1158</v>
      </c>
      <c r="D73" s="4">
        <v>45689</v>
      </c>
      <c r="E73" s="4" t="s">
        <v>31</v>
      </c>
      <c r="F73" s="4" t="s">
        <v>1159</v>
      </c>
      <c r="G73" s="4">
        <v>45711</v>
      </c>
      <c r="H73" s="4">
        <v>46075</v>
      </c>
      <c r="I73" s="4" t="s">
        <v>1160</v>
      </c>
      <c r="J73" s="4">
        <v>3310488003399</v>
      </c>
      <c r="K73" s="4" t="s">
        <v>613</v>
      </c>
      <c r="L73" s="4" t="s">
        <v>1161</v>
      </c>
      <c r="M73" s="4" t="s">
        <v>1162</v>
      </c>
      <c r="N73" s="4" t="s">
        <v>1163</v>
      </c>
      <c r="O73" s="4" t="s">
        <v>1158</v>
      </c>
      <c r="P73" s="4" t="s">
        <v>644</v>
      </c>
      <c r="Q73" s="4" t="s">
        <v>1164</v>
      </c>
      <c r="R73" s="4" t="s">
        <v>1165</v>
      </c>
      <c r="S73" s="4">
        <v>44253</v>
      </c>
      <c r="T73" s="4">
        <v>46086</v>
      </c>
      <c r="U73" s="4">
        <v>1134000</v>
      </c>
      <c r="V73" s="4">
        <v>25</v>
      </c>
      <c r="W73" s="4">
        <v>283500</v>
      </c>
      <c r="X73" s="4">
        <v>850500</v>
      </c>
      <c r="Y73" s="4">
        <v>2.5</v>
      </c>
      <c r="Z73" s="6">
        <v>21262.5</v>
      </c>
      <c r="AA73" s="4"/>
      <c r="AB73" s="4"/>
      <c r="AC73" s="4" t="s">
        <v>78</v>
      </c>
      <c r="AD73" s="4">
        <v>1141073002</v>
      </c>
      <c r="AE73" s="4">
        <v>45735</v>
      </c>
      <c r="AF73" s="4" t="s">
        <v>35</v>
      </c>
      <c r="AG73" s="4">
        <v>0</v>
      </c>
      <c r="AH73" s="4" t="s">
        <v>1159</v>
      </c>
      <c r="AI73" s="4"/>
      <c r="AJ73" s="6">
        <f>VLOOKUP(AH73,[1]Sheet1!$B$2:$AA$595,26,0)</f>
        <v>21263</v>
      </c>
      <c r="AK73" s="5">
        <f t="shared" si="1"/>
        <v>0.5</v>
      </c>
    </row>
    <row r="74" spans="1:37" x14ac:dyDescent="0.2">
      <c r="A74" s="9">
        <v>73</v>
      </c>
      <c r="B74" s="4" t="s">
        <v>610</v>
      </c>
      <c r="C74" s="4" t="s">
        <v>1166</v>
      </c>
      <c r="D74" s="4">
        <v>45689</v>
      </c>
      <c r="E74" s="4" t="s">
        <v>31</v>
      </c>
      <c r="F74" s="4" t="s">
        <v>1167</v>
      </c>
      <c r="G74" s="4">
        <v>45712</v>
      </c>
      <c r="H74" s="4">
        <v>46076</v>
      </c>
      <c r="I74" s="4" t="s">
        <v>1168</v>
      </c>
      <c r="J74" s="4">
        <v>3410151960729</v>
      </c>
      <c r="K74" s="4" t="s">
        <v>132</v>
      </c>
      <c r="L74" s="4" t="s">
        <v>1169</v>
      </c>
      <c r="M74" s="4" t="s">
        <v>1170</v>
      </c>
      <c r="N74" s="4" t="s">
        <v>1171</v>
      </c>
      <c r="O74" s="4" t="s">
        <v>1166</v>
      </c>
      <c r="P74" s="4" t="s">
        <v>644</v>
      </c>
      <c r="Q74" s="4" t="s">
        <v>39</v>
      </c>
      <c r="R74" s="4" t="s">
        <v>1172</v>
      </c>
      <c r="S74" s="4">
        <v>44257</v>
      </c>
      <c r="T74" s="4">
        <v>46086</v>
      </c>
      <c r="U74" s="4">
        <v>2700000</v>
      </c>
      <c r="V74" s="4">
        <v>25</v>
      </c>
      <c r="W74" s="4">
        <v>675000</v>
      </c>
      <c r="X74" s="4">
        <v>2025000</v>
      </c>
      <c r="Y74" s="4">
        <v>2.5</v>
      </c>
      <c r="Z74" s="6">
        <v>50625</v>
      </c>
      <c r="AA74" s="4"/>
      <c r="AB74" s="4"/>
      <c r="AC74" s="4" t="s">
        <v>78</v>
      </c>
      <c r="AD74" s="4">
        <v>1141073002</v>
      </c>
      <c r="AE74" s="4">
        <v>45735</v>
      </c>
      <c r="AF74" s="4" t="s">
        <v>35</v>
      </c>
      <c r="AG74" s="4">
        <v>0</v>
      </c>
      <c r="AH74" s="4" t="s">
        <v>1167</v>
      </c>
      <c r="AI74" s="4"/>
      <c r="AJ74" s="6">
        <f>VLOOKUP(AH74,[1]Sheet1!$B$2:$AA$595,26,0)</f>
        <v>50625</v>
      </c>
      <c r="AK74" s="5">
        <f t="shared" si="1"/>
        <v>0</v>
      </c>
    </row>
    <row r="75" spans="1:37" x14ac:dyDescent="0.2">
      <c r="A75" s="9">
        <v>74</v>
      </c>
      <c r="B75" s="4" t="s">
        <v>610</v>
      </c>
      <c r="C75" s="4" t="s">
        <v>1173</v>
      </c>
      <c r="D75" s="4">
        <v>45689</v>
      </c>
      <c r="E75" s="4" t="s">
        <v>31</v>
      </c>
      <c r="F75" s="4" t="s">
        <v>1174</v>
      </c>
      <c r="G75" s="4">
        <v>45712</v>
      </c>
      <c r="H75" s="4">
        <v>46076</v>
      </c>
      <c r="I75" s="4" t="s">
        <v>1175</v>
      </c>
      <c r="J75" s="4">
        <v>3630345925987</v>
      </c>
      <c r="K75" s="4" t="s">
        <v>43</v>
      </c>
      <c r="L75" s="4" t="s">
        <v>1176</v>
      </c>
      <c r="M75" s="4" t="s">
        <v>1177</v>
      </c>
      <c r="N75" s="4" t="s">
        <v>1178</v>
      </c>
      <c r="O75" s="4" t="s">
        <v>1173</v>
      </c>
      <c r="P75" s="4" t="s">
        <v>644</v>
      </c>
      <c r="Q75" s="4" t="s">
        <v>54</v>
      </c>
      <c r="R75" s="4" t="s">
        <v>1179</v>
      </c>
      <c r="S75" s="4">
        <v>44257</v>
      </c>
      <c r="T75" s="4">
        <v>46086</v>
      </c>
      <c r="U75" s="4">
        <v>1433000</v>
      </c>
      <c r="V75" s="4">
        <v>25</v>
      </c>
      <c r="W75" s="4">
        <v>358250</v>
      </c>
      <c r="X75" s="4">
        <v>1074750</v>
      </c>
      <c r="Y75" s="4">
        <v>2.5</v>
      </c>
      <c r="Z75" s="6">
        <v>26868.75</v>
      </c>
      <c r="AA75" s="4"/>
      <c r="AB75" s="4"/>
      <c r="AC75" s="4" t="s">
        <v>78</v>
      </c>
      <c r="AD75" s="4">
        <v>1141073002</v>
      </c>
      <c r="AE75" s="4">
        <v>45735</v>
      </c>
      <c r="AF75" s="4" t="s">
        <v>35</v>
      </c>
      <c r="AG75" s="4">
        <v>0</v>
      </c>
      <c r="AH75" s="4" t="s">
        <v>1174</v>
      </c>
      <c r="AI75" s="4"/>
      <c r="AJ75" s="6">
        <f>VLOOKUP(AH75,[1]Sheet1!$B$2:$AA$595,26,0)</f>
        <v>26869</v>
      </c>
      <c r="AK75" s="5">
        <f t="shared" si="1"/>
        <v>0.25</v>
      </c>
    </row>
    <row r="76" spans="1:37" x14ac:dyDescent="0.2">
      <c r="A76" s="9">
        <v>75</v>
      </c>
      <c r="B76" s="4" t="s">
        <v>610</v>
      </c>
      <c r="C76" s="4" t="s">
        <v>1180</v>
      </c>
      <c r="D76" s="4">
        <v>45689</v>
      </c>
      <c r="E76" s="4" t="s">
        <v>31</v>
      </c>
      <c r="F76" s="4" t="s">
        <v>1181</v>
      </c>
      <c r="G76" s="4">
        <v>45695</v>
      </c>
      <c r="H76" s="4">
        <v>46059</v>
      </c>
      <c r="I76" s="4" t="s">
        <v>1182</v>
      </c>
      <c r="J76" s="4">
        <v>2120399666705</v>
      </c>
      <c r="K76" s="4" t="s">
        <v>68</v>
      </c>
      <c r="L76" s="4" t="s">
        <v>1183</v>
      </c>
      <c r="M76" s="4" t="s">
        <v>1184</v>
      </c>
      <c r="N76" s="4" t="s">
        <v>1185</v>
      </c>
      <c r="O76" s="4" t="s">
        <v>1180</v>
      </c>
      <c r="P76" s="4" t="s">
        <v>645</v>
      </c>
      <c r="Q76" s="4" t="s">
        <v>34</v>
      </c>
      <c r="R76" s="4" t="s">
        <v>1186</v>
      </c>
      <c r="S76" s="4">
        <v>45337</v>
      </c>
      <c r="T76" s="4">
        <v>47154</v>
      </c>
      <c r="U76" s="4">
        <v>2799000</v>
      </c>
      <c r="V76" s="4">
        <v>10</v>
      </c>
      <c r="W76" s="4">
        <v>279900</v>
      </c>
      <c r="X76" s="4">
        <v>2519100</v>
      </c>
      <c r="Y76" s="4">
        <v>2</v>
      </c>
      <c r="Z76" s="6">
        <v>50382</v>
      </c>
      <c r="AA76" s="4"/>
      <c r="AB76" s="4"/>
      <c r="AC76" s="4" t="s">
        <v>78</v>
      </c>
      <c r="AD76" s="4">
        <v>1141073002</v>
      </c>
      <c r="AE76" s="4">
        <v>45735</v>
      </c>
      <c r="AF76" s="4" t="s">
        <v>35</v>
      </c>
      <c r="AG76" s="4">
        <v>0</v>
      </c>
      <c r="AH76" s="4" t="s">
        <v>1181</v>
      </c>
      <c r="AI76" s="4"/>
      <c r="AJ76" s="6">
        <f>VLOOKUP(AH76,[1]Sheet1!$B$2:$AA$595,26,0)</f>
        <v>50382</v>
      </c>
      <c r="AK76" s="5">
        <f t="shared" si="1"/>
        <v>0</v>
      </c>
    </row>
    <row r="77" spans="1:37" x14ac:dyDescent="0.2">
      <c r="A77" s="9">
        <v>76</v>
      </c>
      <c r="B77" s="4" t="s">
        <v>610</v>
      </c>
      <c r="C77" s="4" t="s">
        <v>1187</v>
      </c>
      <c r="D77" s="4">
        <v>45689</v>
      </c>
      <c r="E77" s="4" t="s">
        <v>31</v>
      </c>
      <c r="F77" s="4" t="s">
        <v>1188</v>
      </c>
      <c r="G77" s="4">
        <v>45712</v>
      </c>
      <c r="H77" s="4">
        <v>46076</v>
      </c>
      <c r="I77" s="4" t="s">
        <v>1189</v>
      </c>
      <c r="J77" s="4">
        <v>3530219416739</v>
      </c>
      <c r="K77" s="4" t="s">
        <v>614</v>
      </c>
      <c r="L77" s="4" t="s">
        <v>1190</v>
      </c>
      <c r="M77" s="4" t="s">
        <v>1191</v>
      </c>
      <c r="N77" s="4" t="s">
        <v>1192</v>
      </c>
      <c r="O77" s="4" t="s">
        <v>1187</v>
      </c>
      <c r="P77" s="4" t="s">
        <v>644</v>
      </c>
      <c r="Q77" s="4" t="s">
        <v>39</v>
      </c>
      <c r="R77" s="4" t="s">
        <v>1193</v>
      </c>
      <c r="S77" s="4">
        <v>44253</v>
      </c>
      <c r="T77" s="4">
        <v>46086</v>
      </c>
      <c r="U77" s="4">
        <v>2993000</v>
      </c>
      <c r="V77" s="4">
        <v>25</v>
      </c>
      <c r="W77" s="4">
        <v>748250</v>
      </c>
      <c r="X77" s="4">
        <v>2244750</v>
      </c>
      <c r="Y77" s="4">
        <v>2.5</v>
      </c>
      <c r="Z77" s="6">
        <v>56118.75</v>
      </c>
      <c r="AA77" s="4"/>
      <c r="AB77" s="4"/>
      <c r="AC77" s="4" t="s">
        <v>78</v>
      </c>
      <c r="AD77" s="4">
        <v>1141073002</v>
      </c>
      <c r="AE77" s="4">
        <v>45735</v>
      </c>
      <c r="AF77" s="4" t="s">
        <v>35</v>
      </c>
      <c r="AG77" s="4">
        <v>0</v>
      </c>
      <c r="AH77" s="4" t="s">
        <v>1188</v>
      </c>
      <c r="AI77" s="4"/>
      <c r="AJ77" s="6">
        <f>VLOOKUP(AH77,[1]Sheet1!$B$2:$AA$595,26,0)</f>
        <v>56119</v>
      </c>
      <c r="AK77" s="5">
        <f t="shared" si="1"/>
        <v>0.25</v>
      </c>
    </row>
    <row r="78" spans="1:37" x14ac:dyDescent="0.2">
      <c r="A78" s="9">
        <v>77</v>
      </c>
      <c r="B78" s="4" t="s">
        <v>610</v>
      </c>
      <c r="C78" s="4" t="s">
        <v>1194</v>
      </c>
      <c r="D78" s="4">
        <v>45689</v>
      </c>
      <c r="E78" s="4" t="s">
        <v>31</v>
      </c>
      <c r="F78" s="4" t="s">
        <v>1195</v>
      </c>
      <c r="G78" s="4">
        <v>45713</v>
      </c>
      <c r="H78" s="4">
        <v>46077</v>
      </c>
      <c r="I78" s="4" t="s">
        <v>1196</v>
      </c>
      <c r="J78" s="4">
        <v>3520197440317</v>
      </c>
      <c r="K78" s="4" t="s">
        <v>639</v>
      </c>
      <c r="L78" s="4" t="s">
        <v>1197</v>
      </c>
      <c r="M78" s="4" t="s">
        <v>1198</v>
      </c>
      <c r="N78" s="4" t="s">
        <v>1199</v>
      </c>
      <c r="O78" s="4" t="s">
        <v>1194</v>
      </c>
      <c r="P78" s="4" t="s">
        <v>644</v>
      </c>
      <c r="Q78" s="4" t="s">
        <v>39</v>
      </c>
      <c r="R78" s="4" t="s">
        <v>1200</v>
      </c>
      <c r="S78" s="4">
        <v>44257</v>
      </c>
      <c r="T78" s="4">
        <v>46086</v>
      </c>
      <c r="U78" s="4">
        <v>1730000</v>
      </c>
      <c r="V78" s="4">
        <v>25</v>
      </c>
      <c r="W78" s="4">
        <v>432500</v>
      </c>
      <c r="X78" s="4">
        <v>1297500</v>
      </c>
      <c r="Y78" s="4">
        <v>2.5</v>
      </c>
      <c r="Z78" s="6">
        <v>32437.5</v>
      </c>
      <c r="AA78" s="4"/>
      <c r="AB78" s="4"/>
      <c r="AC78" s="4" t="s">
        <v>78</v>
      </c>
      <c r="AD78" s="4">
        <v>1141073002</v>
      </c>
      <c r="AE78" s="4">
        <v>45735</v>
      </c>
      <c r="AF78" s="4" t="s">
        <v>35</v>
      </c>
      <c r="AG78" s="4">
        <v>0</v>
      </c>
      <c r="AH78" s="4" t="s">
        <v>1195</v>
      </c>
      <c r="AI78" s="4"/>
      <c r="AJ78" s="6">
        <f>VLOOKUP(AH78,[1]Sheet1!$B$2:$AA$595,26,0)</f>
        <v>32438</v>
      </c>
      <c r="AK78" s="5">
        <f t="shared" si="1"/>
        <v>0.5</v>
      </c>
    </row>
    <row r="79" spans="1:37" x14ac:dyDescent="0.2">
      <c r="A79" s="9">
        <v>78</v>
      </c>
      <c r="B79" s="4" t="s">
        <v>610</v>
      </c>
      <c r="C79" s="4" t="s">
        <v>1201</v>
      </c>
      <c r="D79" s="4">
        <v>45689</v>
      </c>
      <c r="E79" s="4" t="s">
        <v>31</v>
      </c>
      <c r="F79" s="4" t="s">
        <v>1202</v>
      </c>
      <c r="G79" s="4">
        <v>45713</v>
      </c>
      <c r="H79" s="4">
        <v>46077</v>
      </c>
      <c r="I79" s="4" t="s">
        <v>1203</v>
      </c>
      <c r="J79" s="4">
        <v>3410141050433</v>
      </c>
      <c r="K79" s="4" t="s">
        <v>41</v>
      </c>
      <c r="L79" s="4" t="s">
        <v>1204</v>
      </c>
      <c r="M79" s="4" t="s">
        <v>1205</v>
      </c>
      <c r="N79" s="4" t="s">
        <v>1206</v>
      </c>
      <c r="O79" s="4" t="s">
        <v>1201</v>
      </c>
      <c r="P79" s="4" t="s">
        <v>644</v>
      </c>
      <c r="Q79" s="4" t="s">
        <v>53</v>
      </c>
      <c r="R79" s="4" t="s">
        <v>1207</v>
      </c>
      <c r="S79" s="4">
        <v>44253</v>
      </c>
      <c r="T79" s="4">
        <v>46086</v>
      </c>
      <c r="U79" s="4">
        <v>1633000</v>
      </c>
      <c r="V79" s="4">
        <v>25</v>
      </c>
      <c r="W79" s="4">
        <v>408250</v>
      </c>
      <c r="X79" s="4">
        <v>1224750</v>
      </c>
      <c r="Y79" s="4">
        <v>2.5</v>
      </c>
      <c r="Z79" s="6">
        <v>30618.75</v>
      </c>
      <c r="AA79" s="4"/>
      <c r="AB79" s="4"/>
      <c r="AC79" s="4" t="s">
        <v>78</v>
      </c>
      <c r="AD79" s="4">
        <v>1141073002</v>
      </c>
      <c r="AE79" s="4">
        <v>45735</v>
      </c>
      <c r="AF79" s="4" t="s">
        <v>35</v>
      </c>
      <c r="AG79" s="4">
        <v>0</v>
      </c>
      <c r="AH79" s="4" t="s">
        <v>1202</v>
      </c>
      <c r="AI79" s="4"/>
      <c r="AJ79" s="6">
        <f>VLOOKUP(AH79,[1]Sheet1!$B$2:$AA$595,26,0)</f>
        <v>30619</v>
      </c>
      <c r="AK79" s="5">
        <f t="shared" si="1"/>
        <v>0.25</v>
      </c>
    </row>
    <row r="80" spans="1:37" x14ac:dyDescent="0.2">
      <c r="A80" s="9">
        <v>79</v>
      </c>
      <c r="B80" s="4" t="s">
        <v>610</v>
      </c>
      <c r="C80" s="4" t="s">
        <v>1208</v>
      </c>
      <c r="D80" s="4">
        <v>45689</v>
      </c>
      <c r="E80" s="4" t="s">
        <v>31</v>
      </c>
      <c r="F80" s="4" t="s">
        <v>1209</v>
      </c>
      <c r="G80" s="4">
        <v>45713</v>
      </c>
      <c r="H80" s="4">
        <v>46077</v>
      </c>
      <c r="I80" s="4" t="s">
        <v>1210</v>
      </c>
      <c r="J80" s="4">
        <v>3520237942127</v>
      </c>
      <c r="K80" s="4" t="s">
        <v>63</v>
      </c>
      <c r="L80" s="4" t="s">
        <v>1211</v>
      </c>
      <c r="M80" s="4" t="s">
        <v>1212</v>
      </c>
      <c r="N80" s="4" t="s">
        <v>1213</v>
      </c>
      <c r="O80" s="4" t="s">
        <v>1208</v>
      </c>
      <c r="P80" s="4" t="s">
        <v>644</v>
      </c>
      <c r="Q80" s="4" t="s">
        <v>39</v>
      </c>
      <c r="R80" s="4" t="s">
        <v>1214</v>
      </c>
      <c r="S80" s="4">
        <v>44257</v>
      </c>
      <c r="T80" s="4">
        <v>46086</v>
      </c>
      <c r="U80" s="4">
        <v>1600000</v>
      </c>
      <c r="V80" s="4">
        <v>25</v>
      </c>
      <c r="W80" s="4">
        <v>400000</v>
      </c>
      <c r="X80" s="4">
        <v>1200000</v>
      </c>
      <c r="Y80" s="4">
        <v>2.5</v>
      </c>
      <c r="Z80" s="6">
        <v>30000</v>
      </c>
      <c r="AA80" s="4"/>
      <c r="AB80" s="4"/>
      <c r="AC80" s="4" t="s">
        <v>78</v>
      </c>
      <c r="AD80" s="4">
        <v>1141073002</v>
      </c>
      <c r="AE80" s="4">
        <v>45735</v>
      </c>
      <c r="AF80" s="4" t="s">
        <v>35</v>
      </c>
      <c r="AG80" s="4">
        <v>0</v>
      </c>
      <c r="AH80" s="4" t="s">
        <v>1209</v>
      </c>
      <c r="AI80" s="4"/>
      <c r="AJ80" s="6">
        <f>VLOOKUP(AH80,[1]Sheet1!$B$2:$AA$595,26,0)</f>
        <v>30000</v>
      </c>
      <c r="AK80" s="5">
        <f t="shared" si="1"/>
        <v>0</v>
      </c>
    </row>
    <row r="81" spans="1:37" x14ac:dyDescent="0.2">
      <c r="A81" s="9">
        <v>80</v>
      </c>
      <c r="B81" s="4" t="s">
        <v>610</v>
      </c>
      <c r="C81" s="4" t="s">
        <v>1215</v>
      </c>
      <c r="D81" s="4">
        <v>45689</v>
      </c>
      <c r="E81" s="4" t="s">
        <v>31</v>
      </c>
      <c r="F81" s="4" t="s">
        <v>1216</v>
      </c>
      <c r="G81" s="4">
        <v>45697</v>
      </c>
      <c r="H81" s="4">
        <v>46061</v>
      </c>
      <c r="I81" s="4" t="s">
        <v>1217</v>
      </c>
      <c r="J81" s="4">
        <v>3410473571013</v>
      </c>
      <c r="K81" s="4" t="s">
        <v>32</v>
      </c>
      <c r="L81" s="4" t="s">
        <v>1218</v>
      </c>
      <c r="M81" s="4" t="s">
        <v>1219</v>
      </c>
      <c r="N81" s="4" t="s">
        <v>1220</v>
      </c>
      <c r="O81" s="4" t="s">
        <v>1215</v>
      </c>
      <c r="P81" s="4" t="s">
        <v>644</v>
      </c>
      <c r="Q81" s="4" t="s">
        <v>53</v>
      </c>
      <c r="R81" s="4" t="s">
        <v>1221</v>
      </c>
      <c r="S81" s="4">
        <v>44242</v>
      </c>
      <c r="T81" s="4">
        <v>46058</v>
      </c>
      <c r="U81" s="4">
        <v>1730000</v>
      </c>
      <c r="V81" s="4">
        <v>25</v>
      </c>
      <c r="W81" s="4">
        <v>432500</v>
      </c>
      <c r="X81" s="4">
        <v>1297500</v>
      </c>
      <c r="Y81" s="4">
        <v>2.5</v>
      </c>
      <c r="Z81" s="6">
        <v>32437.5</v>
      </c>
      <c r="AA81" s="4"/>
      <c r="AB81" s="4"/>
      <c r="AC81" s="4" t="s">
        <v>78</v>
      </c>
      <c r="AD81" s="4">
        <v>1141073002</v>
      </c>
      <c r="AE81" s="4">
        <v>45735</v>
      </c>
      <c r="AF81" s="4" t="s">
        <v>35</v>
      </c>
      <c r="AG81" s="4">
        <v>0</v>
      </c>
      <c r="AH81" s="4" t="s">
        <v>1216</v>
      </c>
      <c r="AI81" s="4"/>
      <c r="AJ81" s="6">
        <f>VLOOKUP(AH81,[1]Sheet1!$B$2:$AA$595,26,0)</f>
        <v>32438</v>
      </c>
      <c r="AK81" s="5">
        <f t="shared" si="1"/>
        <v>0.5</v>
      </c>
    </row>
    <row r="82" spans="1:37" x14ac:dyDescent="0.2">
      <c r="A82" s="9">
        <v>81</v>
      </c>
      <c r="B82" s="4" t="s">
        <v>610</v>
      </c>
      <c r="C82" s="4" t="s">
        <v>1222</v>
      </c>
      <c r="D82" s="4">
        <v>45689</v>
      </c>
      <c r="E82" s="4" t="s">
        <v>31</v>
      </c>
      <c r="F82" s="4" t="s">
        <v>1223</v>
      </c>
      <c r="G82" s="4">
        <v>45713</v>
      </c>
      <c r="H82" s="4">
        <v>46077</v>
      </c>
      <c r="I82" s="4" t="s">
        <v>1224</v>
      </c>
      <c r="J82" s="4">
        <v>3520273566991</v>
      </c>
      <c r="K82" s="4" t="s">
        <v>613</v>
      </c>
      <c r="L82" s="4" t="s">
        <v>1225</v>
      </c>
      <c r="M82" s="4" t="s">
        <v>1226</v>
      </c>
      <c r="N82" s="4" t="s">
        <v>1227</v>
      </c>
      <c r="O82" s="4" t="s">
        <v>1222</v>
      </c>
      <c r="P82" s="4" t="s">
        <v>644</v>
      </c>
      <c r="Q82" s="4" t="s">
        <v>39</v>
      </c>
      <c r="R82" s="4" t="s">
        <v>1228</v>
      </c>
      <c r="S82" s="4">
        <v>44257</v>
      </c>
      <c r="T82" s="4">
        <v>46086</v>
      </c>
      <c r="U82" s="4">
        <v>800000</v>
      </c>
      <c r="V82" s="4">
        <v>25</v>
      </c>
      <c r="W82" s="4">
        <v>200000</v>
      </c>
      <c r="X82" s="4">
        <v>600000</v>
      </c>
      <c r="Y82" s="4">
        <v>2.5</v>
      </c>
      <c r="Z82" s="6">
        <v>15000</v>
      </c>
      <c r="AA82" s="4"/>
      <c r="AB82" s="4"/>
      <c r="AC82" s="4" t="s">
        <v>78</v>
      </c>
      <c r="AD82" s="4">
        <v>1141073002</v>
      </c>
      <c r="AE82" s="4">
        <v>45735</v>
      </c>
      <c r="AF82" s="4" t="s">
        <v>35</v>
      </c>
      <c r="AG82" s="4">
        <v>0</v>
      </c>
      <c r="AH82" s="4" t="s">
        <v>1223</v>
      </c>
      <c r="AI82" s="4"/>
      <c r="AJ82" s="6">
        <f>VLOOKUP(AH82,[1]Sheet1!$B$2:$AA$595,26,0)</f>
        <v>15000</v>
      </c>
      <c r="AK82" s="5">
        <f t="shared" si="1"/>
        <v>0</v>
      </c>
    </row>
    <row r="83" spans="1:37" x14ac:dyDescent="0.2">
      <c r="A83" s="9">
        <v>82</v>
      </c>
      <c r="B83" s="4" t="s">
        <v>610</v>
      </c>
      <c r="C83" s="4" t="s">
        <v>1229</v>
      </c>
      <c r="D83" s="4">
        <v>45689</v>
      </c>
      <c r="E83" s="4" t="s">
        <v>31</v>
      </c>
      <c r="F83" s="4" t="s">
        <v>1230</v>
      </c>
      <c r="G83" s="4">
        <v>45713</v>
      </c>
      <c r="H83" s="4">
        <v>46077</v>
      </c>
      <c r="I83" s="4" t="s">
        <v>1231</v>
      </c>
      <c r="J83" s="4">
        <v>3520167401041</v>
      </c>
      <c r="K83" s="4" t="s">
        <v>647</v>
      </c>
      <c r="L83" s="4" t="s">
        <v>1232</v>
      </c>
      <c r="M83" s="4" t="s">
        <v>1233</v>
      </c>
      <c r="N83" s="4" t="s">
        <v>1234</v>
      </c>
      <c r="O83" s="4" t="s">
        <v>1229</v>
      </c>
      <c r="P83" s="4" t="s">
        <v>644</v>
      </c>
      <c r="Q83" s="4" t="s">
        <v>39</v>
      </c>
      <c r="R83" s="4" t="s">
        <v>1235</v>
      </c>
      <c r="S83" s="4">
        <v>44259</v>
      </c>
      <c r="T83" s="4">
        <v>46086</v>
      </c>
      <c r="U83" s="4">
        <v>4430000</v>
      </c>
      <c r="V83" s="4">
        <v>25</v>
      </c>
      <c r="W83" s="4">
        <v>1107500</v>
      </c>
      <c r="X83" s="4">
        <v>3322500</v>
      </c>
      <c r="Y83" s="4">
        <v>1.5</v>
      </c>
      <c r="Z83" s="6">
        <v>49837.5</v>
      </c>
      <c r="AA83" s="4"/>
      <c r="AB83" s="4"/>
      <c r="AC83" s="4" t="s">
        <v>78</v>
      </c>
      <c r="AD83" s="4">
        <v>1141073002</v>
      </c>
      <c r="AE83" s="4">
        <v>45735</v>
      </c>
      <c r="AF83" s="4" t="s">
        <v>35</v>
      </c>
      <c r="AG83" s="4">
        <v>0</v>
      </c>
      <c r="AH83" s="4" t="s">
        <v>1230</v>
      </c>
      <c r="AI83" s="4"/>
      <c r="AJ83" s="6">
        <f>VLOOKUP(AH83,[1]Sheet1!$B$2:$AA$595,26,0)</f>
        <v>49838</v>
      </c>
      <c r="AK83" s="5">
        <f t="shared" si="1"/>
        <v>0.5</v>
      </c>
    </row>
    <row r="84" spans="1:37" x14ac:dyDescent="0.2">
      <c r="A84" s="9">
        <v>83</v>
      </c>
      <c r="B84" s="4" t="s">
        <v>610</v>
      </c>
      <c r="C84" s="4" t="s">
        <v>1236</v>
      </c>
      <c r="D84" s="4">
        <v>45689</v>
      </c>
      <c r="E84" s="4" t="s">
        <v>31</v>
      </c>
      <c r="F84" s="4" t="s">
        <v>1237</v>
      </c>
      <c r="G84" s="4">
        <v>45714</v>
      </c>
      <c r="H84" s="4">
        <v>46078</v>
      </c>
      <c r="I84" s="4" t="s">
        <v>627</v>
      </c>
      <c r="J84" s="4">
        <v>3520249575513</v>
      </c>
      <c r="K84" s="4" t="s">
        <v>316</v>
      </c>
      <c r="L84" s="4" t="s">
        <v>1238</v>
      </c>
      <c r="M84" s="4" t="s">
        <v>1239</v>
      </c>
      <c r="N84" s="4" t="s">
        <v>1240</v>
      </c>
      <c r="O84" s="4" t="s">
        <v>1236</v>
      </c>
      <c r="P84" s="4" t="s">
        <v>644</v>
      </c>
      <c r="Q84" s="4" t="s">
        <v>39</v>
      </c>
      <c r="R84" s="4" t="s">
        <v>1241</v>
      </c>
      <c r="S84" s="4">
        <v>44257</v>
      </c>
      <c r="T84" s="4">
        <v>46086</v>
      </c>
      <c r="U84" s="4">
        <v>2200000</v>
      </c>
      <c r="V84" s="4">
        <v>25</v>
      </c>
      <c r="W84" s="4">
        <v>550000</v>
      </c>
      <c r="X84" s="4">
        <v>1650000</v>
      </c>
      <c r="Y84" s="4">
        <v>2.5</v>
      </c>
      <c r="Z84" s="6">
        <v>41250</v>
      </c>
      <c r="AA84" s="4"/>
      <c r="AB84" s="4"/>
      <c r="AC84" s="4" t="s">
        <v>78</v>
      </c>
      <c r="AD84" s="4">
        <v>1141073002</v>
      </c>
      <c r="AE84" s="4">
        <v>45735</v>
      </c>
      <c r="AF84" s="4" t="s">
        <v>35</v>
      </c>
      <c r="AG84" s="4">
        <v>26</v>
      </c>
      <c r="AH84" s="4" t="s">
        <v>1237</v>
      </c>
      <c r="AI84" s="4"/>
      <c r="AJ84" s="6">
        <f>VLOOKUP(AH84,[1]Sheet1!$B$2:$AA$595,26,0)</f>
        <v>41250</v>
      </c>
      <c r="AK84" s="5">
        <f t="shared" si="1"/>
        <v>0</v>
      </c>
    </row>
    <row r="85" spans="1:37" x14ac:dyDescent="0.2">
      <c r="A85" s="9">
        <v>84</v>
      </c>
      <c r="B85" s="4" t="s">
        <v>610</v>
      </c>
      <c r="C85" s="4" t="s">
        <v>1242</v>
      </c>
      <c r="D85" s="4">
        <v>45689</v>
      </c>
      <c r="E85" s="4" t="s">
        <v>31</v>
      </c>
      <c r="F85" s="4" t="s">
        <v>1243</v>
      </c>
      <c r="G85" s="4">
        <v>45714</v>
      </c>
      <c r="H85" s="4">
        <v>46078</v>
      </c>
      <c r="I85" s="4" t="s">
        <v>1244</v>
      </c>
      <c r="J85" s="4">
        <v>3520211264783</v>
      </c>
      <c r="K85" s="4" t="s">
        <v>614</v>
      </c>
      <c r="L85" s="4" t="s">
        <v>1245</v>
      </c>
      <c r="M85" s="4" t="s">
        <v>1246</v>
      </c>
      <c r="N85" s="4" t="s">
        <v>1247</v>
      </c>
      <c r="O85" s="4" t="s">
        <v>1242</v>
      </c>
      <c r="P85" s="4" t="s">
        <v>644</v>
      </c>
      <c r="Q85" s="4" t="s">
        <v>39</v>
      </c>
      <c r="R85" s="4" t="s">
        <v>1248</v>
      </c>
      <c r="S85" s="4">
        <v>44257</v>
      </c>
      <c r="T85" s="4">
        <v>46086</v>
      </c>
      <c r="U85" s="4">
        <v>2993000</v>
      </c>
      <c r="V85" s="4">
        <v>25</v>
      </c>
      <c r="W85" s="4">
        <v>748250</v>
      </c>
      <c r="X85" s="4">
        <v>2244750</v>
      </c>
      <c r="Y85" s="4">
        <v>2.5</v>
      </c>
      <c r="Z85" s="6">
        <v>56118.75</v>
      </c>
      <c r="AA85" s="4"/>
      <c r="AB85" s="4"/>
      <c r="AC85" s="4" t="s">
        <v>78</v>
      </c>
      <c r="AD85" s="4">
        <v>1141073002</v>
      </c>
      <c r="AE85" s="4">
        <v>45735</v>
      </c>
      <c r="AF85" s="4" t="s">
        <v>35</v>
      </c>
      <c r="AG85" s="4">
        <v>0</v>
      </c>
      <c r="AH85" s="4" t="s">
        <v>1243</v>
      </c>
      <c r="AI85" s="4"/>
      <c r="AJ85" s="6">
        <f>VLOOKUP(AH85,[1]Sheet1!$B$2:$AA$595,26,0)</f>
        <v>56119</v>
      </c>
      <c r="AK85" s="5">
        <f t="shared" si="1"/>
        <v>0.25</v>
      </c>
    </row>
    <row r="86" spans="1:37" x14ac:dyDescent="0.2">
      <c r="A86" s="9">
        <v>85</v>
      </c>
      <c r="B86" s="4" t="s">
        <v>610</v>
      </c>
      <c r="C86" s="4" t="s">
        <v>1249</v>
      </c>
      <c r="D86" s="4">
        <v>45689</v>
      </c>
      <c r="E86" s="4" t="s">
        <v>31</v>
      </c>
      <c r="F86" s="4" t="s">
        <v>1250</v>
      </c>
      <c r="G86" s="4">
        <v>45710</v>
      </c>
      <c r="H86" s="4">
        <v>46074</v>
      </c>
      <c r="I86" s="4" t="s">
        <v>1251</v>
      </c>
      <c r="J86" s="4">
        <v>3720138562493</v>
      </c>
      <c r="K86" s="4" t="s">
        <v>633</v>
      </c>
      <c r="L86" s="4" t="s">
        <v>1252</v>
      </c>
      <c r="M86" s="4" t="s">
        <v>1253</v>
      </c>
      <c r="N86" s="4" t="s">
        <v>1254</v>
      </c>
      <c r="O86" s="4" t="s">
        <v>1249</v>
      </c>
      <c r="P86" s="4" t="s">
        <v>645</v>
      </c>
      <c r="Q86" s="4" t="s">
        <v>34</v>
      </c>
      <c r="R86" s="4" t="s">
        <v>1255</v>
      </c>
      <c r="S86" s="4">
        <v>45350</v>
      </c>
      <c r="T86" s="4">
        <v>47182</v>
      </c>
      <c r="U86" s="4">
        <v>2612000</v>
      </c>
      <c r="V86" s="4">
        <v>10</v>
      </c>
      <c r="W86" s="4">
        <v>261200</v>
      </c>
      <c r="X86" s="4">
        <v>2350800</v>
      </c>
      <c r="Y86" s="4">
        <v>2</v>
      </c>
      <c r="Z86" s="6">
        <v>47016</v>
      </c>
      <c r="AA86" s="4"/>
      <c r="AB86" s="4"/>
      <c r="AC86" s="4" t="s">
        <v>78</v>
      </c>
      <c r="AD86" s="4">
        <v>1141073002</v>
      </c>
      <c r="AE86" s="4">
        <v>45735</v>
      </c>
      <c r="AF86" s="4" t="s">
        <v>35</v>
      </c>
      <c r="AG86" s="4">
        <v>0</v>
      </c>
      <c r="AH86" s="4" t="s">
        <v>1250</v>
      </c>
      <c r="AI86" s="4"/>
      <c r="AJ86" s="6">
        <f>VLOOKUP(AH86,[1]Sheet1!$B$2:$AA$595,26,0)</f>
        <v>47016</v>
      </c>
      <c r="AK86" s="5">
        <f t="shared" si="1"/>
        <v>0</v>
      </c>
    </row>
    <row r="87" spans="1:37" x14ac:dyDescent="0.2">
      <c r="A87" s="9">
        <v>86</v>
      </c>
      <c r="B87" s="4" t="s">
        <v>610</v>
      </c>
      <c r="C87" s="4" t="s">
        <v>1256</v>
      </c>
      <c r="D87" s="4">
        <v>45689</v>
      </c>
      <c r="E87" s="4" t="s">
        <v>31</v>
      </c>
      <c r="F87" s="4" t="s">
        <v>1257</v>
      </c>
      <c r="G87" s="4">
        <v>45714</v>
      </c>
      <c r="H87" s="4">
        <v>46078</v>
      </c>
      <c r="I87" s="4" t="s">
        <v>1258</v>
      </c>
      <c r="J87" s="4">
        <v>3310028833305</v>
      </c>
      <c r="K87" s="4" t="s">
        <v>56</v>
      </c>
      <c r="L87" s="4" t="s">
        <v>1259</v>
      </c>
      <c r="M87" s="4" t="s">
        <v>1260</v>
      </c>
      <c r="N87" s="4" t="s">
        <v>1261</v>
      </c>
      <c r="O87" s="4" t="s">
        <v>1256</v>
      </c>
      <c r="P87" s="4" t="s">
        <v>644</v>
      </c>
      <c r="Q87" s="4" t="s">
        <v>46</v>
      </c>
      <c r="R87" s="4" t="s">
        <v>1262</v>
      </c>
      <c r="S87" s="4">
        <v>44257</v>
      </c>
      <c r="T87" s="4">
        <v>46086</v>
      </c>
      <c r="U87" s="4">
        <v>3725000</v>
      </c>
      <c r="V87" s="4">
        <v>25</v>
      </c>
      <c r="W87" s="4">
        <v>931250</v>
      </c>
      <c r="X87" s="4">
        <v>2793750</v>
      </c>
      <c r="Y87" s="4">
        <v>1.5</v>
      </c>
      <c r="Z87" s="6">
        <v>41906.25</v>
      </c>
      <c r="AA87" s="4"/>
      <c r="AB87" s="4"/>
      <c r="AC87" s="4" t="s">
        <v>78</v>
      </c>
      <c r="AD87" s="4">
        <v>1141073002</v>
      </c>
      <c r="AE87" s="4">
        <v>45735</v>
      </c>
      <c r="AF87" s="4" t="s">
        <v>35</v>
      </c>
      <c r="AG87" s="4">
        <v>0</v>
      </c>
      <c r="AH87" s="4" t="s">
        <v>1257</v>
      </c>
      <c r="AI87" s="4"/>
      <c r="AJ87" s="6">
        <f>VLOOKUP(AH87,[1]Sheet1!$B$2:$AA$595,26,0)</f>
        <v>41906</v>
      </c>
      <c r="AK87" s="5">
        <f t="shared" si="1"/>
        <v>-0.25</v>
      </c>
    </row>
    <row r="88" spans="1:37" x14ac:dyDescent="0.2">
      <c r="A88" s="9">
        <v>87</v>
      </c>
      <c r="B88" s="4" t="s">
        <v>610</v>
      </c>
      <c r="C88" s="4" t="s">
        <v>1263</v>
      </c>
      <c r="D88" s="4">
        <v>45689</v>
      </c>
      <c r="E88" s="4" t="s">
        <v>31</v>
      </c>
      <c r="F88" s="4" t="s">
        <v>1264</v>
      </c>
      <c r="G88" s="4">
        <v>45714</v>
      </c>
      <c r="H88" s="4">
        <v>46078</v>
      </c>
      <c r="I88" s="4" t="s">
        <v>1265</v>
      </c>
      <c r="J88" s="4">
        <v>3520205663545</v>
      </c>
      <c r="K88" s="4" t="s">
        <v>56</v>
      </c>
      <c r="L88" s="4" t="s">
        <v>1266</v>
      </c>
      <c r="M88" s="4" t="s">
        <v>1267</v>
      </c>
      <c r="N88" s="4" t="s">
        <v>1268</v>
      </c>
      <c r="O88" s="4" t="s">
        <v>1263</v>
      </c>
      <c r="P88" s="4" t="s">
        <v>644</v>
      </c>
      <c r="Q88" s="4" t="s">
        <v>39</v>
      </c>
      <c r="R88" s="4" t="s">
        <v>1269</v>
      </c>
      <c r="S88" s="4">
        <v>44257</v>
      </c>
      <c r="T88" s="4">
        <v>46086</v>
      </c>
      <c r="U88" s="4">
        <v>3300000</v>
      </c>
      <c r="V88" s="4">
        <v>25</v>
      </c>
      <c r="W88" s="4">
        <v>825000</v>
      </c>
      <c r="X88" s="4">
        <v>2475000</v>
      </c>
      <c r="Y88" s="4">
        <v>2.5</v>
      </c>
      <c r="Z88" s="6">
        <v>61875</v>
      </c>
      <c r="AA88" s="4"/>
      <c r="AB88" s="4"/>
      <c r="AC88" s="4" t="s">
        <v>78</v>
      </c>
      <c r="AD88" s="4">
        <v>1141073002</v>
      </c>
      <c r="AE88" s="4">
        <v>45735</v>
      </c>
      <c r="AF88" s="4" t="s">
        <v>35</v>
      </c>
      <c r="AG88" s="4">
        <v>26</v>
      </c>
      <c r="AH88" s="4" t="s">
        <v>1264</v>
      </c>
      <c r="AI88" s="4"/>
      <c r="AJ88" s="6">
        <f>VLOOKUP(AH88,[1]Sheet1!$B$2:$AA$595,26,0)</f>
        <v>61875</v>
      </c>
      <c r="AK88" s="5">
        <f t="shared" si="1"/>
        <v>0</v>
      </c>
    </row>
    <row r="89" spans="1:37" x14ac:dyDescent="0.2">
      <c r="A89" s="9">
        <v>88</v>
      </c>
      <c r="B89" s="4" t="s">
        <v>610</v>
      </c>
      <c r="C89" s="4" t="s">
        <v>1270</v>
      </c>
      <c r="D89" s="4">
        <v>45689</v>
      </c>
      <c r="E89" s="4" t="s">
        <v>31</v>
      </c>
      <c r="F89" s="4" t="s">
        <v>1271</v>
      </c>
      <c r="G89" s="4">
        <v>45714</v>
      </c>
      <c r="H89" s="4">
        <v>46078</v>
      </c>
      <c r="I89" s="4" t="s">
        <v>1272</v>
      </c>
      <c r="J89" s="4">
        <v>8130258496521</v>
      </c>
      <c r="K89" s="4" t="s">
        <v>57</v>
      </c>
      <c r="L89" s="4" t="s">
        <v>1273</v>
      </c>
      <c r="M89" s="4" t="s">
        <v>1274</v>
      </c>
      <c r="N89" s="4" t="s">
        <v>1275</v>
      </c>
      <c r="O89" s="4" t="s">
        <v>1270</v>
      </c>
      <c r="P89" s="4" t="s">
        <v>644</v>
      </c>
      <c r="Q89" s="4" t="s">
        <v>39</v>
      </c>
      <c r="R89" s="4" t="s">
        <v>1276</v>
      </c>
      <c r="S89" s="4">
        <v>44257</v>
      </c>
      <c r="T89" s="4">
        <v>46086</v>
      </c>
      <c r="U89" s="4">
        <v>2725000</v>
      </c>
      <c r="V89" s="4">
        <v>25</v>
      </c>
      <c r="W89" s="4">
        <v>681250</v>
      </c>
      <c r="X89" s="4">
        <v>2043750</v>
      </c>
      <c r="Y89" s="4">
        <v>2.5</v>
      </c>
      <c r="Z89" s="6">
        <v>51093.75</v>
      </c>
      <c r="AA89" s="4"/>
      <c r="AB89" s="4"/>
      <c r="AC89" s="4" t="s">
        <v>78</v>
      </c>
      <c r="AD89" s="4">
        <v>1141073002</v>
      </c>
      <c r="AE89" s="4">
        <v>45735</v>
      </c>
      <c r="AF89" s="4" t="s">
        <v>35</v>
      </c>
      <c r="AG89" s="4">
        <v>0</v>
      </c>
      <c r="AH89" s="4" t="s">
        <v>1271</v>
      </c>
      <c r="AI89" s="4"/>
      <c r="AJ89" s="6">
        <f>VLOOKUP(AH89,[1]Sheet1!$B$2:$AA$595,26,0)</f>
        <v>51094</v>
      </c>
      <c r="AK89" s="5">
        <f t="shared" si="1"/>
        <v>0.25</v>
      </c>
    </row>
    <row r="90" spans="1:37" x14ac:dyDescent="0.2">
      <c r="A90" s="9">
        <v>89</v>
      </c>
      <c r="B90" s="4" t="s">
        <v>610</v>
      </c>
      <c r="C90" s="4" t="s">
        <v>1277</v>
      </c>
      <c r="D90" s="4">
        <v>45689</v>
      </c>
      <c r="E90" s="4" t="s">
        <v>31</v>
      </c>
      <c r="F90" s="4" t="s">
        <v>1278</v>
      </c>
      <c r="G90" s="4">
        <v>45714</v>
      </c>
      <c r="H90" s="4">
        <v>46078</v>
      </c>
      <c r="I90" s="4" t="s">
        <v>1279</v>
      </c>
      <c r="J90" s="4">
        <v>3630283630147</v>
      </c>
      <c r="K90" s="4" t="s">
        <v>1280</v>
      </c>
      <c r="L90" s="4" t="s">
        <v>1281</v>
      </c>
      <c r="M90" s="4" t="s">
        <v>1282</v>
      </c>
      <c r="N90" s="4" t="s">
        <v>1283</v>
      </c>
      <c r="O90" s="4" t="s">
        <v>1277</v>
      </c>
      <c r="P90" s="4" t="s">
        <v>644</v>
      </c>
      <c r="Q90" s="4" t="s">
        <v>54</v>
      </c>
      <c r="R90" s="4" t="s">
        <v>1284</v>
      </c>
      <c r="S90" s="4">
        <v>44257</v>
      </c>
      <c r="T90" s="4">
        <v>46086</v>
      </c>
      <c r="U90" s="4">
        <v>2550000</v>
      </c>
      <c r="V90" s="4">
        <v>25</v>
      </c>
      <c r="W90" s="4">
        <v>637500</v>
      </c>
      <c r="X90" s="4">
        <v>1912500</v>
      </c>
      <c r="Y90" s="4">
        <v>2.5</v>
      </c>
      <c r="Z90" s="6">
        <v>47812.5</v>
      </c>
      <c r="AA90" s="4"/>
      <c r="AB90" s="4"/>
      <c r="AC90" s="4" t="s">
        <v>78</v>
      </c>
      <c r="AD90" s="4">
        <v>1141073002</v>
      </c>
      <c r="AE90" s="4">
        <v>45735</v>
      </c>
      <c r="AF90" s="4" t="s">
        <v>35</v>
      </c>
      <c r="AG90" s="4">
        <v>0</v>
      </c>
      <c r="AH90" s="4" t="s">
        <v>1278</v>
      </c>
      <c r="AI90" s="4"/>
      <c r="AJ90" s="6">
        <f>VLOOKUP(AH90,[1]Sheet1!$B$2:$AA$595,26,0)</f>
        <v>47813</v>
      </c>
      <c r="AK90" s="5">
        <f t="shared" si="1"/>
        <v>0.5</v>
      </c>
    </row>
    <row r="91" spans="1:37" x14ac:dyDescent="0.2">
      <c r="A91" s="9">
        <v>90</v>
      </c>
      <c r="B91" s="4" t="s">
        <v>610</v>
      </c>
      <c r="C91" s="4" t="s">
        <v>1285</v>
      </c>
      <c r="D91" s="4">
        <v>45689</v>
      </c>
      <c r="E91" s="4" t="s">
        <v>31</v>
      </c>
      <c r="F91" s="4" t="s">
        <v>1286</v>
      </c>
      <c r="G91" s="4">
        <v>45714</v>
      </c>
      <c r="H91" s="4">
        <v>46078</v>
      </c>
      <c r="I91" s="4" t="s">
        <v>37</v>
      </c>
      <c r="J91" s="4">
        <v>3520208208999</v>
      </c>
      <c r="K91" s="4" t="s">
        <v>615</v>
      </c>
      <c r="L91" s="4" t="s">
        <v>1287</v>
      </c>
      <c r="M91" s="4" t="s">
        <v>1288</v>
      </c>
      <c r="N91" s="4" t="s">
        <v>1289</v>
      </c>
      <c r="O91" s="4" t="s">
        <v>1285</v>
      </c>
      <c r="P91" s="4" t="s">
        <v>644</v>
      </c>
      <c r="Q91" s="4" t="s">
        <v>39</v>
      </c>
      <c r="R91" s="4" t="s">
        <v>1290</v>
      </c>
      <c r="S91" s="4">
        <v>44257</v>
      </c>
      <c r="T91" s="4">
        <v>46086</v>
      </c>
      <c r="U91" s="4">
        <v>2100000</v>
      </c>
      <c r="V91" s="4">
        <v>25</v>
      </c>
      <c r="W91" s="4">
        <v>525000</v>
      </c>
      <c r="X91" s="4">
        <v>1575000</v>
      </c>
      <c r="Y91" s="4">
        <v>2.5</v>
      </c>
      <c r="Z91" s="6">
        <v>39375</v>
      </c>
      <c r="AA91" s="4"/>
      <c r="AB91" s="4"/>
      <c r="AC91" s="4" t="s">
        <v>78</v>
      </c>
      <c r="AD91" s="4">
        <v>1141073002</v>
      </c>
      <c r="AE91" s="4">
        <v>45735</v>
      </c>
      <c r="AF91" s="4" t="s">
        <v>35</v>
      </c>
      <c r="AG91" s="4">
        <v>0</v>
      </c>
      <c r="AH91" s="4" t="s">
        <v>1286</v>
      </c>
      <c r="AI91" s="4"/>
      <c r="AJ91" s="6">
        <f>VLOOKUP(AH91,[1]Sheet1!$B$2:$AA$595,26,0)</f>
        <v>39375</v>
      </c>
      <c r="AK91" s="5">
        <f t="shared" si="1"/>
        <v>0</v>
      </c>
    </row>
    <row r="92" spans="1:37" x14ac:dyDescent="0.2">
      <c r="A92" s="9">
        <v>91</v>
      </c>
      <c r="B92" s="4" t="s">
        <v>610</v>
      </c>
      <c r="C92" s="4" t="s">
        <v>1291</v>
      </c>
      <c r="D92" s="4">
        <v>45689</v>
      </c>
      <c r="E92" s="4" t="s">
        <v>31</v>
      </c>
      <c r="F92" s="4" t="s">
        <v>1292</v>
      </c>
      <c r="G92" s="4">
        <v>45714</v>
      </c>
      <c r="H92" s="4">
        <v>46078</v>
      </c>
      <c r="I92" s="4" t="s">
        <v>1293</v>
      </c>
      <c r="J92" s="4">
        <v>3410331678809</v>
      </c>
      <c r="K92" s="4" t="s">
        <v>641</v>
      </c>
      <c r="L92" s="4" t="s">
        <v>1294</v>
      </c>
      <c r="M92" s="4" t="s">
        <v>1295</v>
      </c>
      <c r="N92" s="4" t="s">
        <v>1296</v>
      </c>
      <c r="O92" s="4" t="s">
        <v>1291</v>
      </c>
      <c r="P92" s="4" t="s">
        <v>644</v>
      </c>
      <c r="Q92" s="4" t="s">
        <v>39</v>
      </c>
      <c r="R92" s="4" t="s">
        <v>1297</v>
      </c>
      <c r="S92" s="4">
        <v>44257</v>
      </c>
      <c r="T92" s="4">
        <v>46086</v>
      </c>
      <c r="U92" s="4">
        <v>1750000</v>
      </c>
      <c r="V92" s="4">
        <v>25</v>
      </c>
      <c r="W92" s="4">
        <v>437500</v>
      </c>
      <c r="X92" s="4">
        <v>1312500</v>
      </c>
      <c r="Y92" s="4">
        <v>2.5</v>
      </c>
      <c r="Z92" s="6">
        <v>32812.5</v>
      </c>
      <c r="AA92" s="4"/>
      <c r="AB92" s="4"/>
      <c r="AC92" s="4" t="s">
        <v>78</v>
      </c>
      <c r="AD92" s="4">
        <v>1141073002</v>
      </c>
      <c r="AE92" s="4">
        <v>45735</v>
      </c>
      <c r="AF92" s="4" t="s">
        <v>35</v>
      </c>
      <c r="AG92" s="4">
        <v>0</v>
      </c>
      <c r="AH92" s="4" t="s">
        <v>1292</v>
      </c>
      <c r="AI92" s="4"/>
      <c r="AJ92" s="6">
        <f>VLOOKUP(AH92,[1]Sheet1!$B$2:$AA$595,26,0)</f>
        <v>32813</v>
      </c>
      <c r="AK92" s="5">
        <f t="shared" si="1"/>
        <v>0.5</v>
      </c>
    </row>
    <row r="93" spans="1:37" x14ac:dyDescent="0.2">
      <c r="A93" s="9">
        <v>92</v>
      </c>
      <c r="B93" s="4" t="s">
        <v>610</v>
      </c>
      <c r="C93" s="4" t="s">
        <v>1298</v>
      </c>
      <c r="D93" s="4">
        <v>45689</v>
      </c>
      <c r="E93" s="4" t="s">
        <v>31</v>
      </c>
      <c r="F93" s="4" t="s">
        <v>1299</v>
      </c>
      <c r="G93" s="4">
        <v>45714</v>
      </c>
      <c r="H93" s="4">
        <v>46078</v>
      </c>
      <c r="I93" s="4" t="s">
        <v>1300</v>
      </c>
      <c r="J93" s="4">
        <v>3740504612451</v>
      </c>
      <c r="K93" s="4" t="s">
        <v>41</v>
      </c>
      <c r="L93" s="4" t="s">
        <v>1301</v>
      </c>
      <c r="M93" s="4" t="s">
        <v>1302</v>
      </c>
      <c r="N93" s="4" t="s">
        <v>1303</v>
      </c>
      <c r="O93" s="4" t="s">
        <v>1298</v>
      </c>
      <c r="P93" s="4" t="s">
        <v>645</v>
      </c>
      <c r="Q93" s="4" t="s">
        <v>34</v>
      </c>
      <c r="R93" s="4" t="s">
        <v>1304</v>
      </c>
      <c r="S93" s="4">
        <v>44256</v>
      </c>
      <c r="T93" s="4">
        <v>46086</v>
      </c>
      <c r="U93" s="4">
        <v>1633000</v>
      </c>
      <c r="V93" s="4">
        <v>25</v>
      </c>
      <c r="W93" s="4">
        <v>408250</v>
      </c>
      <c r="X93" s="4">
        <v>1224750</v>
      </c>
      <c r="Y93" s="4">
        <v>2.5</v>
      </c>
      <c r="Z93" s="6">
        <v>30618.75</v>
      </c>
      <c r="AA93" s="4"/>
      <c r="AB93" s="4"/>
      <c r="AC93" s="4" t="s">
        <v>78</v>
      </c>
      <c r="AD93" s="4">
        <v>1141073002</v>
      </c>
      <c r="AE93" s="4">
        <v>45735</v>
      </c>
      <c r="AF93" s="4" t="s">
        <v>35</v>
      </c>
      <c r="AG93" s="4">
        <v>0</v>
      </c>
      <c r="AH93" s="4" t="s">
        <v>1299</v>
      </c>
      <c r="AI93" s="4"/>
      <c r="AJ93" s="6">
        <f>VLOOKUP(AH93,[1]Sheet1!$B$2:$AA$595,26,0)</f>
        <v>30619</v>
      </c>
      <c r="AK93" s="5">
        <f t="shared" si="1"/>
        <v>0.25</v>
      </c>
    </row>
    <row r="94" spans="1:37" x14ac:dyDescent="0.2">
      <c r="A94" s="9">
        <v>93</v>
      </c>
      <c r="B94" s="4" t="s">
        <v>610</v>
      </c>
      <c r="C94" s="4" t="s">
        <v>1305</v>
      </c>
      <c r="D94" s="4">
        <v>45689</v>
      </c>
      <c r="E94" s="4" t="s">
        <v>31</v>
      </c>
      <c r="F94" s="4" t="s">
        <v>1306</v>
      </c>
      <c r="G94" s="4">
        <v>45714</v>
      </c>
      <c r="H94" s="4">
        <v>46078</v>
      </c>
      <c r="I94" s="4" t="s">
        <v>1307</v>
      </c>
      <c r="J94" s="4">
        <v>3740505805307</v>
      </c>
      <c r="K94" s="4" t="s">
        <v>625</v>
      </c>
      <c r="L94" s="4" t="s">
        <v>1308</v>
      </c>
      <c r="M94" s="4" t="s">
        <v>1309</v>
      </c>
      <c r="N94" s="4" t="s">
        <v>1310</v>
      </c>
      <c r="O94" s="4" t="s">
        <v>1305</v>
      </c>
      <c r="P94" s="4" t="s">
        <v>645</v>
      </c>
      <c r="Q94" s="4" t="s">
        <v>34</v>
      </c>
      <c r="R94" s="4" t="s">
        <v>1311</v>
      </c>
      <c r="S94" s="4">
        <v>44256</v>
      </c>
      <c r="T94" s="4">
        <v>46086</v>
      </c>
      <c r="U94" s="4">
        <v>2030000</v>
      </c>
      <c r="V94" s="4">
        <v>25</v>
      </c>
      <c r="W94" s="4">
        <v>507500</v>
      </c>
      <c r="X94" s="4">
        <v>1522500</v>
      </c>
      <c r="Y94" s="4">
        <v>2.5</v>
      </c>
      <c r="Z94" s="6">
        <v>38062.5</v>
      </c>
      <c r="AA94" s="4"/>
      <c r="AB94" s="4"/>
      <c r="AC94" s="4" t="s">
        <v>78</v>
      </c>
      <c r="AD94" s="4">
        <v>1141073002</v>
      </c>
      <c r="AE94" s="4">
        <v>45735</v>
      </c>
      <c r="AF94" s="4" t="s">
        <v>35</v>
      </c>
      <c r="AG94" s="4">
        <v>26</v>
      </c>
      <c r="AH94" s="4" t="s">
        <v>1306</v>
      </c>
      <c r="AI94" s="4"/>
      <c r="AJ94" s="6">
        <f>VLOOKUP(AH94,[1]Sheet1!$B$2:$AA$595,26,0)</f>
        <v>38063</v>
      </c>
      <c r="AK94" s="5">
        <f t="shared" si="1"/>
        <v>0.5</v>
      </c>
    </row>
    <row r="95" spans="1:37" x14ac:dyDescent="0.2">
      <c r="A95" s="9">
        <v>94</v>
      </c>
      <c r="B95" s="4" t="s">
        <v>610</v>
      </c>
      <c r="C95" s="4" t="s">
        <v>1312</v>
      </c>
      <c r="D95" s="4">
        <v>45689</v>
      </c>
      <c r="E95" s="4" t="s">
        <v>31</v>
      </c>
      <c r="F95" s="4" t="s">
        <v>1313</v>
      </c>
      <c r="G95" s="4">
        <v>45711</v>
      </c>
      <c r="H95" s="4">
        <v>46075</v>
      </c>
      <c r="I95" s="4" t="s">
        <v>1314</v>
      </c>
      <c r="J95" s="4">
        <v>3520272211927</v>
      </c>
      <c r="K95" s="4" t="s">
        <v>67</v>
      </c>
      <c r="L95" s="4" t="s">
        <v>1315</v>
      </c>
      <c r="M95" s="4" t="s">
        <v>1316</v>
      </c>
      <c r="N95" s="4" t="s">
        <v>1317</v>
      </c>
      <c r="O95" s="4" t="s">
        <v>1312</v>
      </c>
      <c r="P95" s="4" t="s">
        <v>644</v>
      </c>
      <c r="Q95" s="4" t="s">
        <v>39</v>
      </c>
      <c r="R95" s="4" t="s">
        <v>1318</v>
      </c>
      <c r="S95" s="4">
        <v>45349</v>
      </c>
      <c r="T95" s="4">
        <v>46451</v>
      </c>
      <c r="U95" s="4">
        <v>4000000</v>
      </c>
      <c r="V95" s="4">
        <v>10</v>
      </c>
      <c r="W95" s="4">
        <v>400000</v>
      </c>
      <c r="X95" s="4">
        <v>3600000</v>
      </c>
      <c r="Y95" s="4">
        <v>1.5</v>
      </c>
      <c r="Z95" s="6">
        <v>54000</v>
      </c>
      <c r="AA95" s="4"/>
      <c r="AB95" s="4"/>
      <c r="AC95" s="4" t="s">
        <v>78</v>
      </c>
      <c r="AD95" s="4">
        <v>1141073002</v>
      </c>
      <c r="AE95" s="4">
        <v>45735</v>
      </c>
      <c r="AF95" s="4" t="s">
        <v>35</v>
      </c>
      <c r="AG95" s="4">
        <v>0</v>
      </c>
      <c r="AH95" s="4" t="s">
        <v>1313</v>
      </c>
      <c r="AI95" s="4"/>
      <c r="AJ95" s="6">
        <f>VLOOKUP(AH95,[1]Sheet1!$B$2:$AA$595,26,0)</f>
        <v>54000</v>
      </c>
      <c r="AK95" s="5">
        <f t="shared" si="1"/>
        <v>0</v>
      </c>
    </row>
    <row r="96" spans="1:37" x14ac:dyDescent="0.2">
      <c r="A96" s="9">
        <v>95</v>
      </c>
      <c r="B96" s="4" t="s">
        <v>610</v>
      </c>
      <c r="C96" s="4" t="s">
        <v>1319</v>
      </c>
      <c r="D96" s="4">
        <v>45689</v>
      </c>
      <c r="E96" s="4" t="s">
        <v>31</v>
      </c>
      <c r="F96" s="4" t="s">
        <v>1320</v>
      </c>
      <c r="G96" s="4">
        <v>45714</v>
      </c>
      <c r="H96" s="4">
        <v>46078</v>
      </c>
      <c r="I96" s="4" t="s">
        <v>1321</v>
      </c>
      <c r="J96" s="4">
        <v>3740550955761</v>
      </c>
      <c r="K96" s="4" t="s">
        <v>41</v>
      </c>
      <c r="L96" s="4" t="s">
        <v>1322</v>
      </c>
      <c r="M96" s="4" t="s">
        <v>1323</v>
      </c>
      <c r="N96" s="4" t="s">
        <v>1324</v>
      </c>
      <c r="O96" s="4" t="s">
        <v>1319</v>
      </c>
      <c r="P96" s="4" t="s">
        <v>645</v>
      </c>
      <c r="Q96" s="4" t="s">
        <v>34</v>
      </c>
      <c r="R96" s="4" t="s">
        <v>1325</v>
      </c>
      <c r="S96" s="4">
        <v>44256</v>
      </c>
      <c r="T96" s="4">
        <v>46086</v>
      </c>
      <c r="U96" s="4">
        <v>1633000</v>
      </c>
      <c r="V96" s="4">
        <v>25</v>
      </c>
      <c r="W96" s="4">
        <v>408250</v>
      </c>
      <c r="X96" s="4">
        <v>1224750</v>
      </c>
      <c r="Y96" s="4">
        <v>2.5</v>
      </c>
      <c r="Z96" s="6">
        <v>30618.75</v>
      </c>
      <c r="AA96" s="4"/>
      <c r="AB96" s="4"/>
      <c r="AC96" s="4" t="s">
        <v>78</v>
      </c>
      <c r="AD96" s="4">
        <v>1141073002</v>
      </c>
      <c r="AE96" s="4">
        <v>45735</v>
      </c>
      <c r="AF96" s="4" t="s">
        <v>35</v>
      </c>
      <c r="AG96" s="4">
        <v>0</v>
      </c>
      <c r="AH96" s="4" t="s">
        <v>1320</v>
      </c>
      <c r="AI96" s="4"/>
      <c r="AJ96" s="6">
        <f>VLOOKUP(AH96,[1]Sheet1!$B$2:$AA$595,26,0)</f>
        <v>30619</v>
      </c>
      <c r="AK96" s="5">
        <f t="shared" si="1"/>
        <v>0.25</v>
      </c>
    </row>
    <row r="97" spans="1:37" x14ac:dyDescent="0.2">
      <c r="A97" s="9">
        <v>96</v>
      </c>
      <c r="B97" s="4" t="s">
        <v>610</v>
      </c>
      <c r="C97" s="4" t="s">
        <v>1326</v>
      </c>
      <c r="D97" s="4">
        <v>45689</v>
      </c>
      <c r="E97" s="4" t="s">
        <v>31</v>
      </c>
      <c r="F97" s="4" t="s">
        <v>1327</v>
      </c>
      <c r="G97" s="4">
        <v>45698</v>
      </c>
      <c r="H97" s="4">
        <v>46062</v>
      </c>
      <c r="I97" s="4" t="s">
        <v>1328</v>
      </c>
      <c r="J97" s="4">
        <v>3740606177025</v>
      </c>
      <c r="K97" s="4" t="s">
        <v>43</v>
      </c>
      <c r="L97" s="4" t="s">
        <v>1329</v>
      </c>
      <c r="M97" s="4" t="s">
        <v>1330</v>
      </c>
      <c r="N97" s="4" t="s">
        <v>1331</v>
      </c>
      <c r="O97" s="4" t="s">
        <v>1326</v>
      </c>
      <c r="P97" s="4" t="s">
        <v>644</v>
      </c>
      <c r="Q97" s="4" t="s">
        <v>651</v>
      </c>
      <c r="R97" s="4" t="s">
        <v>1332</v>
      </c>
      <c r="S97" s="4">
        <v>44242</v>
      </c>
      <c r="T97" s="4">
        <v>46788</v>
      </c>
      <c r="U97" s="4">
        <v>1433000</v>
      </c>
      <c r="V97" s="4">
        <v>25</v>
      </c>
      <c r="W97" s="4">
        <v>358250</v>
      </c>
      <c r="X97" s="4">
        <v>1074750</v>
      </c>
      <c r="Y97" s="4">
        <v>2.5</v>
      </c>
      <c r="Z97" s="6">
        <v>26868.75</v>
      </c>
      <c r="AA97" s="4"/>
      <c r="AB97" s="4"/>
      <c r="AC97" s="4" t="s">
        <v>78</v>
      </c>
      <c r="AD97" s="4">
        <v>1141073002</v>
      </c>
      <c r="AE97" s="4">
        <v>45735</v>
      </c>
      <c r="AF97" s="4" t="s">
        <v>35</v>
      </c>
      <c r="AG97" s="4">
        <v>0</v>
      </c>
      <c r="AH97" s="4" t="s">
        <v>1327</v>
      </c>
      <c r="AI97" s="4"/>
      <c r="AJ97" s="6">
        <f>VLOOKUP(AH97,[1]Sheet1!$B$2:$AA$595,26,0)</f>
        <v>26869</v>
      </c>
      <c r="AK97" s="5">
        <f t="shared" si="1"/>
        <v>0.25</v>
      </c>
    </row>
    <row r="98" spans="1:37" x14ac:dyDescent="0.2">
      <c r="A98" s="9">
        <v>97</v>
      </c>
      <c r="B98" s="4" t="s">
        <v>610</v>
      </c>
      <c r="C98" s="4" t="s">
        <v>1333</v>
      </c>
      <c r="D98" s="4">
        <v>45689</v>
      </c>
      <c r="E98" s="4" t="s">
        <v>31</v>
      </c>
      <c r="F98" s="4" t="s">
        <v>1334</v>
      </c>
      <c r="G98" s="4">
        <v>45698</v>
      </c>
      <c r="H98" s="4">
        <v>46062</v>
      </c>
      <c r="I98" s="4" t="s">
        <v>1335</v>
      </c>
      <c r="J98" s="4">
        <v>3310498417711</v>
      </c>
      <c r="K98" s="4" t="s">
        <v>43</v>
      </c>
      <c r="L98" s="4" t="s">
        <v>1336</v>
      </c>
      <c r="M98" s="4" t="s">
        <v>1337</v>
      </c>
      <c r="N98" s="4" t="s">
        <v>1338</v>
      </c>
      <c r="O98" s="4" t="s">
        <v>1333</v>
      </c>
      <c r="P98" s="4" t="s">
        <v>644</v>
      </c>
      <c r="Q98" s="4" t="s">
        <v>1164</v>
      </c>
      <c r="R98" s="4" t="s">
        <v>1339</v>
      </c>
      <c r="S98" s="4">
        <v>44242</v>
      </c>
      <c r="T98" s="4">
        <v>46788</v>
      </c>
      <c r="U98" s="4">
        <v>1433000</v>
      </c>
      <c r="V98" s="4">
        <v>25</v>
      </c>
      <c r="W98" s="4">
        <v>358250</v>
      </c>
      <c r="X98" s="4">
        <v>1074750</v>
      </c>
      <c r="Y98" s="4">
        <v>2.5</v>
      </c>
      <c r="Z98" s="6">
        <v>26868.75</v>
      </c>
      <c r="AA98" s="4"/>
      <c r="AB98" s="4"/>
      <c r="AC98" s="4" t="s">
        <v>78</v>
      </c>
      <c r="AD98" s="4">
        <v>1141073002</v>
      </c>
      <c r="AE98" s="4">
        <v>45735</v>
      </c>
      <c r="AF98" s="4" t="s">
        <v>35</v>
      </c>
      <c r="AG98" s="4">
        <v>0</v>
      </c>
      <c r="AH98" s="4" t="s">
        <v>1334</v>
      </c>
      <c r="AI98" s="4"/>
      <c r="AJ98" s="6">
        <f>VLOOKUP(AH98,[1]Sheet1!$B$2:$AA$595,26,0)</f>
        <v>26869</v>
      </c>
      <c r="AK98" s="5">
        <f t="shared" si="1"/>
        <v>0.25</v>
      </c>
    </row>
    <row r="99" spans="1:37" x14ac:dyDescent="0.2">
      <c r="A99" s="9">
        <v>98</v>
      </c>
      <c r="B99" s="4" t="s">
        <v>610</v>
      </c>
      <c r="C99" s="4" t="s">
        <v>1340</v>
      </c>
      <c r="D99" s="4">
        <v>45689</v>
      </c>
      <c r="E99" s="4" t="s">
        <v>31</v>
      </c>
      <c r="F99" s="4" t="s">
        <v>1341</v>
      </c>
      <c r="G99" s="4">
        <v>45710</v>
      </c>
      <c r="H99" s="4">
        <v>46074</v>
      </c>
      <c r="I99" s="4" t="s">
        <v>1342</v>
      </c>
      <c r="J99" s="4">
        <v>3520228392977</v>
      </c>
      <c r="K99" s="4" t="s">
        <v>316</v>
      </c>
      <c r="L99" s="4" t="s">
        <v>1343</v>
      </c>
      <c r="M99" s="4" t="s">
        <v>1344</v>
      </c>
      <c r="N99" s="4" t="s">
        <v>1345</v>
      </c>
      <c r="O99" s="4" t="s">
        <v>1340</v>
      </c>
      <c r="P99" s="4" t="s">
        <v>644</v>
      </c>
      <c r="Q99" s="4" t="s">
        <v>39</v>
      </c>
      <c r="R99" s="4" t="s">
        <v>1346</v>
      </c>
      <c r="S99" s="4">
        <v>43888</v>
      </c>
      <c r="T99" s="4">
        <v>46451</v>
      </c>
      <c r="U99" s="4">
        <v>2653000</v>
      </c>
      <c r="V99" s="4">
        <v>30</v>
      </c>
      <c r="W99" s="4">
        <v>795900</v>
      </c>
      <c r="X99" s="4">
        <v>1857100</v>
      </c>
      <c r="Y99" s="4">
        <v>3</v>
      </c>
      <c r="Z99" s="6">
        <v>55713</v>
      </c>
      <c r="AA99" s="4"/>
      <c r="AB99" s="4"/>
      <c r="AC99" s="4" t="s">
        <v>78</v>
      </c>
      <c r="AD99" s="4">
        <v>1141073002</v>
      </c>
      <c r="AE99" s="4">
        <v>45735</v>
      </c>
      <c r="AF99" s="4" t="s">
        <v>35</v>
      </c>
      <c r="AG99" s="4">
        <v>26</v>
      </c>
      <c r="AH99" s="4" t="s">
        <v>1341</v>
      </c>
      <c r="AI99" s="4"/>
      <c r="AJ99" s="6">
        <f>VLOOKUP(AH99,[1]Sheet1!$B$2:$AA$595,26,0)</f>
        <v>55713</v>
      </c>
      <c r="AK99" s="5">
        <f t="shared" si="1"/>
        <v>0</v>
      </c>
    </row>
    <row r="100" spans="1:37" x14ac:dyDescent="0.2">
      <c r="A100" s="9">
        <v>99</v>
      </c>
      <c r="B100" s="4" t="s">
        <v>610</v>
      </c>
      <c r="C100" s="4" t="s">
        <v>1347</v>
      </c>
      <c r="D100" s="4">
        <v>45689</v>
      </c>
      <c r="E100" s="4" t="s">
        <v>31</v>
      </c>
      <c r="F100" s="4" t="s">
        <v>1348</v>
      </c>
      <c r="G100" s="4">
        <v>45716</v>
      </c>
      <c r="H100" s="4">
        <v>46080</v>
      </c>
      <c r="I100" s="4" t="s">
        <v>1349</v>
      </c>
      <c r="J100" s="4">
        <v>3520237537753</v>
      </c>
      <c r="K100" s="4" t="s">
        <v>32</v>
      </c>
      <c r="L100" s="4" t="s">
        <v>1350</v>
      </c>
      <c r="M100" s="4" t="s">
        <v>1351</v>
      </c>
      <c r="N100" s="4" t="s">
        <v>1352</v>
      </c>
      <c r="O100" s="4" t="s">
        <v>1347</v>
      </c>
      <c r="P100" s="4" t="s">
        <v>644</v>
      </c>
      <c r="Q100" s="4" t="s">
        <v>39</v>
      </c>
      <c r="R100" s="4" t="s">
        <v>1353</v>
      </c>
      <c r="S100" s="4">
        <v>43892</v>
      </c>
      <c r="T100" s="4">
        <v>46086</v>
      </c>
      <c r="U100" s="4">
        <v>1695000</v>
      </c>
      <c r="V100" s="4">
        <v>30</v>
      </c>
      <c r="W100" s="4">
        <v>508500</v>
      </c>
      <c r="X100" s="4">
        <v>1186500</v>
      </c>
      <c r="Y100" s="4">
        <v>3.75</v>
      </c>
      <c r="Z100" s="6">
        <v>44493.75</v>
      </c>
      <c r="AA100" s="4"/>
      <c r="AB100" s="4"/>
      <c r="AC100" s="4" t="s">
        <v>78</v>
      </c>
      <c r="AD100" s="4">
        <v>1141073002</v>
      </c>
      <c r="AE100" s="4">
        <v>45735</v>
      </c>
      <c r="AF100" s="4" t="s">
        <v>35</v>
      </c>
      <c r="AG100" s="4">
        <v>0</v>
      </c>
      <c r="AH100" s="4" t="s">
        <v>1348</v>
      </c>
      <c r="AI100" s="4"/>
      <c r="AJ100" s="6">
        <f>VLOOKUP(AH100,[1]Sheet1!$B$2:$AA$595,26,0)</f>
        <v>44494</v>
      </c>
      <c r="AK100" s="5">
        <f t="shared" si="1"/>
        <v>0.25</v>
      </c>
    </row>
    <row r="101" spans="1:37" x14ac:dyDescent="0.2">
      <c r="A101" s="9">
        <v>100</v>
      </c>
      <c r="B101" s="4" t="s">
        <v>610</v>
      </c>
      <c r="C101" s="4" t="s">
        <v>1354</v>
      </c>
      <c r="D101" s="4">
        <v>45689</v>
      </c>
      <c r="E101" s="4" t="s">
        <v>31</v>
      </c>
      <c r="F101" s="4" t="s">
        <v>1355</v>
      </c>
      <c r="G101" s="4">
        <v>45716</v>
      </c>
      <c r="H101" s="4">
        <v>46080</v>
      </c>
      <c r="I101" s="4" t="s">
        <v>1356</v>
      </c>
      <c r="J101" s="4">
        <v>3720120140075</v>
      </c>
      <c r="K101" s="4" t="s">
        <v>1357</v>
      </c>
      <c r="L101" s="4" t="s">
        <v>1358</v>
      </c>
      <c r="M101" s="4" t="s">
        <v>1359</v>
      </c>
      <c r="N101" s="4" t="s">
        <v>1360</v>
      </c>
      <c r="O101" s="4" t="s">
        <v>1354</v>
      </c>
      <c r="P101" s="4" t="s">
        <v>645</v>
      </c>
      <c r="Q101" s="4" t="s">
        <v>1361</v>
      </c>
      <c r="R101" s="4" t="s">
        <v>1362</v>
      </c>
      <c r="S101" s="4">
        <v>43892</v>
      </c>
      <c r="T101" s="4">
        <v>46086</v>
      </c>
      <c r="U101" s="4">
        <v>1450000</v>
      </c>
      <c r="V101" s="4">
        <v>30</v>
      </c>
      <c r="W101" s="4">
        <v>435000</v>
      </c>
      <c r="X101" s="4">
        <v>1015000</v>
      </c>
      <c r="Y101" s="4">
        <v>3.5</v>
      </c>
      <c r="Z101" s="6">
        <v>35525</v>
      </c>
      <c r="AA101" s="4"/>
      <c r="AB101" s="4"/>
      <c r="AC101" s="4" t="s">
        <v>78</v>
      </c>
      <c r="AD101" s="4">
        <v>1141073002</v>
      </c>
      <c r="AE101" s="4">
        <v>45735</v>
      </c>
      <c r="AF101" s="4" t="s">
        <v>35</v>
      </c>
      <c r="AG101" s="4">
        <v>0</v>
      </c>
      <c r="AH101" s="4" t="s">
        <v>1355</v>
      </c>
      <c r="AI101" s="4"/>
      <c r="AJ101" s="6">
        <f>VLOOKUP(AH101,[1]Sheet1!$B$2:$AA$595,26,0)</f>
        <v>35525</v>
      </c>
      <c r="AK101" s="5">
        <f t="shared" si="1"/>
        <v>0</v>
      </c>
    </row>
    <row r="102" spans="1:37" x14ac:dyDescent="0.2">
      <c r="A102" s="9">
        <v>101</v>
      </c>
      <c r="B102" s="4" t="s">
        <v>610</v>
      </c>
      <c r="C102" s="4" t="s">
        <v>1363</v>
      </c>
      <c r="D102" s="4">
        <v>45689</v>
      </c>
      <c r="E102" s="4" t="s">
        <v>31</v>
      </c>
      <c r="F102" s="4" t="s">
        <v>1364</v>
      </c>
      <c r="G102" s="4">
        <v>45699</v>
      </c>
      <c r="H102" s="4">
        <v>46063</v>
      </c>
      <c r="I102" s="4" t="s">
        <v>1365</v>
      </c>
      <c r="J102" s="4">
        <v>3310079452811</v>
      </c>
      <c r="K102" s="4" t="s">
        <v>1366</v>
      </c>
      <c r="L102" s="4" t="s">
        <v>1367</v>
      </c>
      <c r="M102" s="4" t="s">
        <v>1368</v>
      </c>
      <c r="N102" s="4" t="s">
        <v>1369</v>
      </c>
      <c r="O102" s="4" t="s">
        <v>1363</v>
      </c>
      <c r="P102" s="4" t="s">
        <v>644</v>
      </c>
      <c r="Q102" s="4" t="s">
        <v>46</v>
      </c>
      <c r="R102" s="4" t="s">
        <v>1370</v>
      </c>
      <c r="S102" s="4">
        <v>43880</v>
      </c>
      <c r="T102" s="4">
        <v>46086</v>
      </c>
      <c r="U102" s="4">
        <v>2803000</v>
      </c>
      <c r="V102" s="4">
        <v>30</v>
      </c>
      <c r="W102" s="4">
        <v>840900</v>
      </c>
      <c r="X102" s="4">
        <v>1962100</v>
      </c>
      <c r="Y102" s="4">
        <v>3.75</v>
      </c>
      <c r="Z102" s="6">
        <v>73578.75</v>
      </c>
      <c r="AA102" s="4"/>
      <c r="AB102" s="4"/>
      <c r="AC102" s="4" t="s">
        <v>78</v>
      </c>
      <c r="AD102" s="4">
        <v>1141073002</v>
      </c>
      <c r="AE102" s="4">
        <v>45735</v>
      </c>
      <c r="AF102" s="4" t="s">
        <v>35</v>
      </c>
      <c r="AG102" s="4">
        <v>26</v>
      </c>
      <c r="AH102" s="4" t="s">
        <v>1364</v>
      </c>
      <c r="AI102" s="4"/>
      <c r="AJ102" s="6">
        <f>VLOOKUP(AH102,[1]Sheet1!$B$2:$AA$595,26,0)</f>
        <v>73579</v>
      </c>
      <c r="AK102" s="5">
        <f t="shared" si="1"/>
        <v>0.25</v>
      </c>
    </row>
    <row r="103" spans="1:37" x14ac:dyDescent="0.2">
      <c r="A103" s="9">
        <v>102</v>
      </c>
      <c r="B103" s="4" t="s">
        <v>610</v>
      </c>
      <c r="C103" s="4" t="s">
        <v>1371</v>
      </c>
      <c r="D103" s="4">
        <v>45689</v>
      </c>
      <c r="E103" s="4" t="s">
        <v>31</v>
      </c>
      <c r="F103" s="4" t="s">
        <v>1372</v>
      </c>
      <c r="G103" s="4">
        <v>45701</v>
      </c>
      <c r="H103" s="4">
        <v>46065</v>
      </c>
      <c r="I103" s="4" t="s">
        <v>1373</v>
      </c>
      <c r="J103" s="4">
        <v>3820169943177</v>
      </c>
      <c r="K103" s="4" t="s">
        <v>633</v>
      </c>
      <c r="L103" s="4" t="s">
        <v>1374</v>
      </c>
      <c r="M103" s="4" t="s">
        <v>1375</v>
      </c>
      <c r="N103" s="4" t="s">
        <v>1376</v>
      </c>
      <c r="O103" s="4" t="s">
        <v>1371</v>
      </c>
      <c r="P103" s="4" t="s">
        <v>644</v>
      </c>
      <c r="Q103" s="4" t="s">
        <v>628</v>
      </c>
      <c r="R103" s="4" t="s">
        <v>1377</v>
      </c>
      <c r="S103" s="4">
        <v>45338</v>
      </c>
      <c r="T103" s="4">
        <v>47182</v>
      </c>
      <c r="U103" s="4">
        <v>2612000</v>
      </c>
      <c r="V103" s="4">
        <v>10</v>
      </c>
      <c r="W103" s="4">
        <v>261200</v>
      </c>
      <c r="X103" s="4">
        <v>2350800</v>
      </c>
      <c r="Y103" s="4">
        <v>2</v>
      </c>
      <c r="Z103" s="6">
        <v>47016</v>
      </c>
      <c r="AA103" s="4"/>
      <c r="AB103" s="4"/>
      <c r="AC103" s="4" t="s">
        <v>78</v>
      </c>
      <c r="AD103" s="4">
        <v>1141073002</v>
      </c>
      <c r="AE103" s="4">
        <v>45735</v>
      </c>
      <c r="AF103" s="4" t="s">
        <v>35</v>
      </c>
      <c r="AG103" s="4">
        <v>0</v>
      </c>
      <c r="AH103" s="4" t="s">
        <v>1372</v>
      </c>
      <c r="AI103" s="4"/>
      <c r="AJ103" s="6">
        <f>VLOOKUP(AH103,[1]Sheet1!$B$2:$AA$595,26,0)</f>
        <v>47016</v>
      </c>
      <c r="AK103" s="5">
        <f t="shared" si="1"/>
        <v>0</v>
      </c>
    </row>
    <row r="104" spans="1:37" x14ac:dyDescent="0.2">
      <c r="A104" s="9">
        <v>103</v>
      </c>
      <c r="B104" s="4" t="s">
        <v>610</v>
      </c>
      <c r="C104" s="4" t="s">
        <v>1378</v>
      </c>
      <c r="D104" s="4">
        <v>45689</v>
      </c>
      <c r="E104" s="4" t="s">
        <v>31</v>
      </c>
      <c r="F104" s="4" t="s">
        <v>1379</v>
      </c>
      <c r="G104" s="4">
        <v>45714</v>
      </c>
      <c r="H104" s="4">
        <v>46078</v>
      </c>
      <c r="I104" s="4" t="s">
        <v>1380</v>
      </c>
      <c r="J104" s="4">
        <v>3520244665927</v>
      </c>
      <c r="K104" s="4" t="s">
        <v>41</v>
      </c>
      <c r="L104" s="4" t="s">
        <v>1381</v>
      </c>
      <c r="M104" s="4" t="s">
        <v>1382</v>
      </c>
      <c r="N104" s="4" t="s">
        <v>1383</v>
      </c>
      <c r="O104" s="4" t="s">
        <v>1378</v>
      </c>
      <c r="P104" s="4" t="s">
        <v>644</v>
      </c>
      <c r="Q104" s="4" t="s">
        <v>39</v>
      </c>
      <c r="R104" s="4" t="s">
        <v>1384</v>
      </c>
      <c r="S104" s="4">
        <v>45349</v>
      </c>
      <c r="T104" s="4">
        <v>47182</v>
      </c>
      <c r="U104" s="4">
        <v>2200000</v>
      </c>
      <c r="V104" s="4">
        <v>10</v>
      </c>
      <c r="W104" s="4">
        <v>220000</v>
      </c>
      <c r="X104" s="4">
        <v>1980000</v>
      </c>
      <c r="Y104" s="4">
        <v>2</v>
      </c>
      <c r="Z104" s="6">
        <v>39600</v>
      </c>
      <c r="AA104" s="4"/>
      <c r="AB104" s="4"/>
      <c r="AC104" s="4" t="s">
        <v>78</v>
      </c>
      <c r="AD104" s="4">
        <v>1141073002</v>
      </c>
      <c r="AE104" s="4">
        <v>45735</v>
      </c>
      <c r="AF104" s="4" t="s">
        <v>35</v>
      </c>
      <c r="AG104" s="4">
        <v>0</v>
      </c>
      <c r="AH104" s="4" t="s">
        <v>1379</v>
      </c>
      <c r="AI104" s="4"/>
      <c r="AJ104" s="6">
        <f>VLOOKUP(AH104,[1]Sheet1!$B$2:$AA$595,26,0)</f>
        <v>39600</v>
      </c>
      <c r="AK104" s="5">
        <f t="shared" si="1"/>
        <v>0</v>
      </c>
    </row>
    <row r="105" spans="1:37" x14ac:dyDescent="0.2">
      <c r="A105" s="9">
        <v>104</v>
      </c>
      <c r="B105" s="4" t="s">
        <v>610</v>
      </c>
      <c r="C105" s="4" t="s">
        <v>1385</v>
      </c>
      <c r="D105" s="4">
        <v>45689</v>
      </c>
      <c r="E105" s="4" t="s">
        <v>31</v>
      </c>
      <c r="F105" s="4" t="s">
        <v>1386</v>
      </c>
      <c r="G105" s="4">
        <v>45715</v>
      </c>
      <c r="H105" s="4">
        <v>46079</v>
      </c>
      <c r="I105" s="4" t="s">
        <v>1387</v>
      </c>
      <c r="J105" s="4">
        <v>3510253069763</v>
      </c>
      <c r="K105" s="4" t="s">
        <v>615</v>
      </c>
      <c r="L105" s="4" t="s">
        <v>1388</v>
      </c>
      <c r="M105" s="4" t="s">
        <v>1389</v>
      </c>
      <c r="N105" s="4" t="s">
        <v>1390</v>
      </c>
      <c r="O105" s="4" t="s">
        <v>1385</v>
      </c>
      <c r="P105" s="4" t="s">
        <v>644</v>
      </c>
      <c r="Q105" s="4" t="s">
        <v>39</v>
      </c>
      <c r="R105" s="4" t="s">
        <v>1391</v>
      </c>
      <c r="S105" s="4">
        <v>43528</v>
      </c>
      <c r="T105" s="4">
        <v>46086</v>
      </c>
      <c r="U105" s="4">
        <v>1999000</v>
      </c>
      <c r="V105" s="4">
        <v>35</v>
      </c>
      <c r="W105" s="4">
        <v>699650</v>
      </c>
      <c r="X105" s="4">
        <v>1299350</v>
      </c>
      <c r="Y105" s="4">
        <v>3.3</v>
      </c>
      <c r="Z105" s="6">
        <v>42878.549999999996</v>
      </c>
      <c r="AA105" s="4"/>
      <c r="AB105" s="4"/>
      <c r="AC105" s="4" t="s">
        <v>78</v>
      </c>
      <c r="AD105" s="4">
        <v>1141073002</v>
      </c>
      <c r="AE105" s="4">
        <v>45735</v>
      </c>
      <c r="AF105" s="4" t="s">
        <v>35</v>
      </c>
      <c r="AG105" s="4">
        <v>56</v>
      </c>
      <c r="AH105" s="4" t="s">
        <v>1386</v>
      </c>
      <c r="AI105" s="4"/>
      <c r="AJ105" s="6">
        <f>VLOOKUP(AH105,[1]Sheet1!$B$2:$AA$595,26,0)</f>
        <v>42879</v>
      </c>
      <c r="AK105" s="5">
        <f t="shared" si="1"/>
        <v>0.45000000000436557</v>
      </c>
    </row>
    <row r="106" spans="1:37" x14ac:dyDescent="0.2">
      <c r="A106" s="9">
        <v>105</v>
      </c>
      <c r="B106" s="4" t="s">
        <v>610</v>
      </c>
      <c r="C106" s="4" t="s">
        <v>1392</v>
      </c>
      <c r="D106" s="4">
        <v>45689</v>
      </c>
      <c r="E106" s="4" t="s">
        <v>31</v>
      </c>
      <c r="F106" s="4" t="s">
        <v>1393</v>
      </c>
      <c r="G106" s="4">
        <v>45715</v>
      </c>
      <c r="H106" s="4">
        <v>46079</v>
      </c>
      <c r="I106" s="4" t="s">
        <v>1394</v>
      </c>
      <c r="J106" s="4">
        <v>3520264046201</v>
      </c>
      <c r="K106" s="4" t="s">
        <v>1395</v>
      </c>
      <c r="L106" s="4" t="s">
        <v>1396</v>
      </c>
      <c r="M106" s="4" t="s">
        <v>1397</v>
      </c>
      <c r="N106" s="4" t="s">
        <v>1398</v>
      </c>
      <c r="O106" s="4" t="s">
        <v>1392</v>
      </c>
      <c r="P106" s="4" t="s">
        <v>644</v>
      </c>
      <c r="Q106" s="4" t="s">
        <v>39</v>
      </c>
      <c r="R106" s="4" t="s">
        <v>1399</v>
      </c>
      <c r="S106" s="4">
        <v>43528</v>
      </c>
      <c r="T106" s="4">
        <v>46086</v>
      </c>
      <c r="U106" s="4">
        <v>854000</v>
      </c>
      <c r="V106" s="4">
        <v>35</v>
      </c>
      <c r="W106" s="4">
        <v>298900</v>
      </c>
      <c r="X106" s="4">
        <v>555100</v>
      </c>
      <c r="Y106" s="4">
        <v>3.75</v>
      </c>
      <c r="Z106" s="6">
        <v>20816.25</v>
      </c>
      <c r="AA106" s="4"/>
      <c r="AB106" s="4"/>
      <c r="AC106" s="4" t="s">
        <v>78</v>
      </c>
      <c r="AD106" s="4">
        <v>1141073002</v>
      </c>
      <c r="AE106" s="4">
        <v>45735</v>
      </c>
      <c r="AF106" s="4" t="s">
        <v>35</v>
      </c>
      <c r="AG106" s="4">
        <v>0</v>
      </c>
      <c r="AH106" s="4" t="s">
        <v>1393</v>
      </c>
      <c r="AI106" s="4"/>
      <c r="AJ106" s="6">
        <f>VLOOKUP(AH106,[1]Sheet1!$B$2:$AA$595,26,0)</f>
        <v>20816</v>
      </c>
      <c r="AK106" s="5">
        <f t="shared" si="1"/>
        <v>-0.25</v>
      </c>
    </row>
    <row r="107" spans="1:37" x14ac:dyDescent="0.2">
      <c r="A107" s="9">
        <v>106</v>
      </c>
      <c r="B107" s="4" t="s">
        <v>610</v>
      </c>
      <c r="C107" s="4" t="s">
        <v>1400</v>
      </c>
      <c r="D107" s="4">
        <v>45689</v>
      </c>
      <c r="E107" s="4" t="s">
        <v>31</v>
      </c>
      <c r="F107" s="4" t="s">
        <v>1401</v>
      </c>
      <c r="G107" s="4">
        <v>45716</v>
      </c>
      <c r="H107" s="4">
        <v>46080</v>
      </c>
      <c r="I107" s="4" t="s">
        <v>1402</v>
      </c>
      <c r="J107" s="4">
        <v>3630365964535</v>
      </c>
      <c r="K107" s="4" t="s">
        <v>650</v>
      </c>
      <c r="L107" s="4" t="s">
        <v>1403</v>
      </c>
      <c r="M107" s="4" t="s">
        <v>1404</v>
      </c>
      <c r="N107" s="4" t="s">
        <v>1405</v>
      </c>
      <c r="O107" s="4" t="s">
        <v>1400</v>
      </c>
      <c r="P107" s="4" t="s">
        <v>44</v>
      </c>
      <c r="Q107" s="4" t="s">
        <v>66</v>
      </c>
      <c r="R107" s="4" t="s">
        <v>1406</v>
      </c>
      <c r="S107" s="4">
        <v>44623</v>
      </c>
      <c r="T107" s="4">
        <v>46451</v>
      </c>
      <c r="U107" s="4">
        <v>3200000</v>
      </c>
      <c r="V107" s="4">
        <v>20</v>
      </c>
      <c r="W107" s="4">
        <v>640000</v>
      </c>
      <c r="X107" s="4">
        <v>2560000</v>
      </c>
      <c r="Y107" s="4">
        <v>2.5</v>
      </c>
      <c r="Z107" s="6">
        <v>64000</v>
      </c>
      <c r="AA107" s="4"/>
      <c r="AB107" s="4"/>
      <c r="AC107" s="4" t="s">
        <v>78</v>
      </c>
      <c r="AD107" s="4">
        <v>1141073002</v>
      </c>
      <c r="AE107" s="4">
        <v>45735</v>
      </c>
      <c r="AF107" s="4" t="s">
        <v>35</v>
      </c>
      <c r="AG107" s="4">
        <v>0</v>
      </c>
      <c r="AH107" s="4" t="s">
        <v>1401</v>
      </c>
      <c r="AI107" s="4"/>
      <c r="AJ107" s="6">
        <f>VLOOKUP(AH107,[1]Sheet1!$B$2:$AA$595,26,0)</f>
        <v>64000</v>
      </c>
      <c r="AK107" s="5">
        <f t="shared" si="1"/>
        <v>0</v>
      </c>
    </row>
    <row r="108" spans="1:37" x14ac:dyDescent="0.2">
      <c r="A108" s="9">
        <v>107</v>
      </c>
      <c r="B108" s="4" t="s">
        <v>610</v>
      </c>
      <c r="C108" s="4" t="s">
        <v>1407</v>
      </c>
      <c r="D108" s="4">
        <v>45689</v>
      </c>
      <c r="E108" s="4" t="s">
        <v>31</v>
      </c>
      <c r="F108" s="4" t="s">
        <v>1408</v>
      </c>
      <c r="G108" s="4">
        <v>45715</v>
      </c>
      <c r="H108" s="4">
        <v>46079</v>
      </c>
      <c r="I108" s="4" t="s">
        <v>1409</v>
      </c>
      <c r="J108" s="4">
        <v>3520154627365</v>
      </c>
      <c r="K108" s="4" t="s">
        <v>1410</v>
      </c>
      <c r="L108" s="4" t="s">
        <v>1411</v>
      </c>
      <c r="M108" s="4" t="s">
        <v>1412</v>
      </c>
      <c r="N108" s="4" t="s">
        <v>1413</v>
      </c>
      <c r="O108" s="4" t="s">
        <v>1407</v>
      </c>
      <c r="P108" s="4" t="s">
        <v>644</v>
      </c>
      <c r="Q108" s="4" t="s">
        <v>39</v>
      </c>
      <c r="R108" s="4" t="s">
        <v>1414</v>
      </c>
      <c r="S108" s="4">
        <v>45350</v>
      </c>
      <c r="T108" s="4">
        <v>46451</v>
      </c>
      <c r="U108" s="4">
        <v>5200000</v>
      </c>
      <c r="V108" s="4">
        <v>10</v>
      </c>
      <c r="W108" s="4">
        <v>520000</v>
      </c>
      <c r="X108" s="4">
        <v>4680000</v>
      </c>
      <c r="Y108" s="4">
        <v>1.5</v>
      </c>
      <c r="Z108" s="6">
        <v>70200</v>
      </c>
      <c r="AA108" s="4"/>
      <c r="AB108" s="4"/>
      <c r="AC108" s="4" t="s">
        <v>78</v>
      </c>
      <c r="AD108" s="4">
        <v>1141073002</v>
      </c>
      <c r="AE108" s="4">
        <v>45735</v>
      </c>
      <c r="AF108" s="4" t="s">
        <v>35</v>
      </c>
      <c r="AG108" s="4">
        <v>0</v>
      </c>
      <c r="AH108" s="4" t="s">
        <v>1408</v>
      </c>
      <c r="AI108" s="4"/>
      <c r="AJ108" s="6">
        <f>VLOOKUP(AH108,[1]Sheet1!$B$2:$AA$595,26,0)</f>
        <v>70200</v>
      </c>
      <c r="AK108" s="5">
        <f t="shared" si="1"/>
        <v>0</v>
      </c>
    </row>
    <row r="109" spans="1:37" x14ac:dyDescent="0.2">
      <c r="A109" s="9">
        <v>108</v>
      </c>
      <c r="B109" s="4" t="s">
        <v>610</v>
      </c>
      <c r="C109" s="4" t="s">
        <v>1415</v>
      </c>
      <c r="D109" s="4">
        <v>45689</v>
      </c>
      <c r="E109" s="4" t="s">
        <v>31</v>
      </c>
      <c r="F109" s="4" t="s">
        <v>1416</v>
      </c>
      <c r="G109" s="4">
        <v>45715</v>
      </c>
      <c r="H109" s="4">
        <v>46079</v>
      </c>
      <c r="I109" s="4" t="s">
        <v>1417</v>
      </c>
      <c r="J109" s="4">
        <v>3520166159443</v>
      </c>
      <c r="K109" s="4" t="s">
        <v>1418</v>
      </c>
      <c r="L109" s="4" t="s">
        <v>1419</v>
      </c>
      <c r="M109" s="4" t="s">
        <v>1420</v>
      </c>
      <c r="N109" s="4" t="s">
        <v>1421</v>
      </c>
      <c r="O109" s="4" t="s">
        <v>1415</v>
      </c>
      <c r="P109" s="4" t="s">
        <v>644</v>
      </c>
      <c r="Q109" s="4" t="s">
        <v>39</v>
      </c>
      <c r="R109" s="4" t="s">
        <v>1422</v>
      </c>
      <c r="S109" s="4">
        <v>45351</v>
      </c>
      <c r="T109" s="4">
        <v>47182</v>
      </c>
      <c r="U109" s="4">
        <v>2975000</v>
      </c>
      <c r="V109" s="4">
        <v>10</v>
      </c>
      <c r="W109" s="4">
        <v>297500</v>
      </c>
      <c r="X109" s="4">
        <v>2677500</v>
      </c>
      <c r="Y109" s="4">
        <v>2</v>
      </c>
      <c r="Z109" s="6">
        <v>53550</v>
      </c>
      <c r="AA109" s="4"/>
      <c r="AB109" s="4"/>
      <c r="AC109" s="4" t="s">
        <v>78</v>
      </c>
      <c r="AD109" s="4">
        <v>1141073002</v>
      </c>
      <c r="AE109" s="4">
        <v>45735</v>
      </c>
      <c r="AF109" s="4" t="s">
        <v>35</v>
      </c>
      <c r="AG109" s="4">
        <v>0</v>
      </c>
      <c r="AH109" s="4" t="s">
        <v>1416</v>
      </c>
      <c r="AI109" s="4"/>
      <c r="AJ109" s="6">
        <f>VLOOKUP(AH109,[1]Sheet1!$B$2:$AA$595,26,0)</f>
        <v>53550</v>
      </c>
      <c r="AK109" s="5">
        <f t="shared" si="1"/>
        <v>0</v>
      </c>
    </row>
    <row r="110" spans="1:37" x14ac:dyDescent="0.2">
      <c r="A110" s="9">
        <v>109</v>
      </c>
      <c r="B110" s="4" t="s">
        <v>610</v>
      </c>
      <c r="C110" s="4" t="s">
        <v>1423</v>
      </c>
      <c r="D110" s="4">
        <v>45689</v>
      </c>
      <c r="E110" s="4" t="s">
        <v>31</v>
      </c>
      <c r="F110" s="4" t="s">
        <v>1424</v>
      </c>
      <c r="G110" s="4">
        <v>45715</v>
      </c>
      <c r="H110" s="4">
        <v>46079</v>
      </c>
      <c r="I110" s="4" t="s">
        <v>1425</v>
      </c>
      <c r="J110" s="4">
        <v>4250156081803</v>
      </c>
      <c r="K110" s="4" t="s">
        <v>140</v>
      </c>
      <c r="L110" s="4" t="s">
        <v>1426</v>
      </c>
      <c r="M110" s="4" t="s">
        <v>1427</v>
      </c>
      <c r="N110" s="4" t="s">
        <v>1428</v>
      </c>
      <c r="O110" s="4" t="s">
        <v>1423</v>
      </c>
      <c r="P110" s="4" t="s">
        <v>44</v>
      </c>
      <c r="Q110" s="4" t="s">
        <v>45</v>
      </c>
      <c r="R110" s="4" t="s">
        <v>1429</v>
      </c>
      <c r="S110" s="4">
        <v>45355</v>
      </c>
      <c r="T110" s="4">
        <v>46818</v>
      </c>
      <c r="U110" s="4">
        <v>5200000</v>
      </c>
      <c r="V110" s="4">
        <v>10</v>
      </c>
      <c r="W110" s="4">
        <v>520000</v>
      </c>
      <c r="X110" s="4">
        <v>4680000</v>
      </c>
      <c r="Y110" s="4">
        <v>1.5</v>
      </c>
      <c r="Z110" s="6">
        <v>70200</v>
      </c>
      <c r="AA110" s="4"/>
      <c r="AB110" s="4"/>
      <c r="AC110" s="4" t="s">
        <v>78</v>
      </c>
      <c r="AD110" s="4">
        <v>1141073002</v>
      </c>
      <c r="AE110" s="4">
        <v>45735</v>
      </c>
      <c r="AF110" s="4" t="s">
        <v>35</v>
      </c>
      <c r="AG110" s="4">
        <v>0</v>
      </c>
      <c r="AH110" s="4" t="s">
        <v>1424</v>
      </c>
      <c r="AI110" s="4"/>
      <c r="AJ110" s="6">
        <f>VLOOKUP(AH110,[1]Sheet1!$B$2:$AA$595,26,0)</f>
        <v>70200</v>
      </c>
      <c r="AK110" s="5">
        <f t="shared" si="1"/>
        <v>0</v>
      </c>
    </row>
    <row r="111" spans="1:37" x14ac:dyDescent="0.2">
      <c r="A111" s="9">
        <v>110</v>
      </c>
      <c r="B111" s="4" t="s">
        <v>610</v>
      </c>
      <c r="C111" s="4" t="s">
        <v>1430</v>
      </c>
      <c r="D111" s="4">
        <v>45689</v>
      </c>
      <c r="E111" s="4" t="s">
        <v>31</v>
      </c>
      <c r="F111" s="4" t="s">
        <v>1431</v>
      </c>
      <c r="G111" s="4">
        <v>45697</v>
      </c>
      <c r="H111" s="4">
        <v>46061</v>
      </c>
      <c r="I111" s="4" t="s">
        <v>1432</v>
      </c>
      <c r="J111" s="4">
        <v>3520214779059</v>
      </c>
      <c r="K111" s="4" t="s">
        <v>650</v>
      </c>
      <c r="L111" s="4" t="s">
        <v>1433</v>
      </c>
      <c r="M111" s="4" t="s">
        <v>1434</v>
      </c>
      <c r="N111" s="4" t="s">
        <v>1435</v>
      </c>
      <c r="O111" s="4" t="s">
        <v>1430</v>
      </c>
      <c r="P111" s="4" t="s">
        <v>644</v>
      </c>
      <c r="Q111" s="4" t="s">
        <v>39</v>
      </c>
      <c r="R111" s="4" t="s">
        <v>1436</v>
      </c>
      <c r="S111" s="4">
        <v>45335</v>
      </c>
      <c r="T111" s="4">
        <v>46423</v>
      </c>
      <c r="U111" s="4">
        <v>4400000</v>
      </c>
      <c r="V111" s="4">
        <v>10</v>
      </c>
      <c r="W111" s="4">
        <v>440000</v>
      </c>
      <c r="X111" s="4">
        <v>3960000</v>
      </c>
      <c r="Y111" s="4">
        <v>1.5</v>
      </c>
      <c r="Z111" s="6">
        <v>59400</v>
      </c>
      <c r="AA111" s="4"/>
      <c r="AB111" s="4"/>
      <c r="AC111" s="4" t="s">
        <v>78</v>
      </c>
      <c r="AD111" s="4">
        <v>1141073002</v>
      </c>
      <c r="AE111" s="4">
        <v>45735</v>
      </c>
      <c r="AF111" s="4" t="s">
        <v>35</v>
      </c>
      <c r="AG111" s="4">
        <v>0</v>
      </c>
      <c r="AH111" s="4" t="s">
        <v>1431</v>
      </c>
      <c r="AI111" s="4"/>
      <c r="AJ111" s="6">
        <f>VLOOKUP(AH111,[1]Sheet1!$B$2:$AA$595,26,0)</f>
        <v>59400</v>
      </c>
      <c r="AK111" s="5">
        <f t="shared" si="1"/>
        <v>0</v>
      </c>
    </row>
    <row r="112" spans="1:37" x14ac:dyDescent="0.2">
      <c r="A112" s="9">
        <v>111</v>
      </c>
      <c r="B112" s="4" t="s">
        <v>610</v>
      </c>
      <c r="C112" s="4" t="s">
        <v>1437</v>
      </c>
      <c r="D112" s="4">
        <v>45689</v>
      </c>
      <c r="E112" s="4" t="s">
        <v>31</v>
      </c>
      <c r="F112" s="4" t="s">
        <v>1438</v>
      </c>
      <c r="G112" s="4">
        <v>45716</v>
      </c>
      <c r="H112" s="4">
        <v>46080</v>
      </c>
      <c r="I112" s="4" t="s">
        <v>1439</v>
      </c>
      <c r="J112" s="4">
        <v>3630206680883</v>
      </c>
      <c r="K112" s="4" t="s">
        <v>637</v>
      </c>
      <c r="L112" s="4" t="s">
        <v>1440</v>
      </c>
      <c r="M112" s="4" t="s">
        <v>1441</v>
      </c>
      <c r="N112" s="4" t="s">
        <v>1442</v>
      </c>
      <c r="O112" s="4" t="s">
        <v>1437</v>
      </c>
      <c r="P112" s="4" t="s">
        <v>644</v>
      </c>
      <c r="Q112" s="4" t="s">
        <v>54</v>
      </c>
      <c r="R112" s="4" t="s">
        <v>1443</v>
      </c>
      <c r="S112" s="4">
        <v>45351</v>
      </c>
      <c r="T112" s="4">
        <v>46451</v>
      </c>
      <c r="U112" s="4">
        <v>1800000</v>
      </c>
      <c r="V112" s="4">
        <v>10</v>
      </c>
      <c r="W112" s="4">
        <v>180000</v>
      </c>
      <c r="X112" s="4">
        <v>1620000</v>
      </c>
      <c r="Y112" s="4">
        <v>2</v>
      </c>
      <c r="Z112" s="6">
        <v>32400</v>
      </c>
      <c r="AA112" s="4"/>
      <c r="AB112" s="4"/>
      <c r="AC112" s="4" t="s">
        <v>78</v>
      </c>
      <c r="AD112" s="4">
        <v>1141073002</v>
      </c>
      <c r="AE112" s="4">
        <v>45735</v>
      </c>
      <c r="AF112" s="4" t="s">
        <v>35</v>
      </c>
      <c r="AG112" s="4">
        <v>0</v>
      </c>
      <c r="AH112" s="4" t="s">
        <v>1438</v>
      </c>
      <c r="AI112" s="4"/>
      <c r="AJ112" s="6">
        <f>VLOOKUP(AH112,[1]Sheet1!$B$2:$AA$595,26,0)</f>
        <v>32400</v>
      </c>
      <c r="AK112" s="5">
        <f t="shared" si="1"/>
        <v>0</v>
      </c>
    </row>
    <row r="113" spans="1:37" x14ac:dyDescent="0.2">
      <c r="A113" s="9">
        <v>112</v>
      </c>
      <c r="B113" s="4" t="s">
        <v>610</v>
      </c>
      <c r="C113" s="4" t="s">
        <v>1444</v>
      </c>
      <c r="D113" s="4">
        <v>45689</v>
      </c>
      <c r="E113" s="4" t="s">
        <v>31</v>
      </c>
      <c r="F113" s="4" t="s">
        <v>1445</v>
      </c>
      <c r="G113" s="4">
        <v>45716</v>
      </c>
      <c r="H113" s="4">
        <v>46080</v>
      </c>
      <c r="I113" s="4" t="s">
        <v>1446</v>
      </c>
      <c r="J113" s="4">
        <v>6110154844741</v>
      </c>
      <c r="K113" s="4" t="s">
        <v>622</v>
      </c>
      <c r="L113" s="4" t="s">
        <v>1447</v>
      </c>
      <c r="M113" s="4" t="s">
        <v>1448</v>
      </c>
      <c r="N113" s="4" t="s">
        <v>1449</v>
      </c>
      <c r="O113" s="4" t="s">
        <v>1444</v>
      </c>
      <c r="P113" s="4" t="s">
        <v>645</v>
      </c>
      <c r="Q113" s="4" t="s">
        <v>34</v>
      </c>
      <c r="R113" s="4" t="s">
        <v>1450</v>
      </c>
      <c r="S113" s="4">
        <v>45351</v>
      </c>
      <c r="T113" s="4">
        <v>46818</v>
      </c>
      <c r="U113" s="4">
        <v>2600000</v>
      </c>
      <c r="V113" s="4">
        <v>10</v>
      </c>
      <c r="W113" s="4">
        <v>260000</v>
      </c>
      <c r="X113" s="4">
        <v>2340000</v>
      </c>
      <c r="Y113" s="4">
        <v>2</v>
      </c>
      <c r="Z113" s="6">
        <v>46800</v>
      </c>
      <c r="AA113" s="4"/>
      <c r="AB113" s="4"/>
      <c r="AC113" s="4" t="s">
        <v>78</v>
      </c>
      <c r="AD113" s="4">
        <v>1141073002</v>
      </c>
      <c r="AE113" s="4">
        <v>45735</v>
      </c>
      <c r="AF113" s="4" t="s">
        <v>35</v>
      </c>
      <c r="AG113" s="4">
        <v>0</v>
      </c>
      <c r="AH113" s="4" t="s">
        <v>1445</v>
      </c>
      <c r="AI113" s="4"/>
      <c r="AJ113" s="6">
        <f>VLOOKUP(AH113,[1]Sheet1!$B$2:$AA$595,26,0)</f>
        <v>46800</v>
      </c>
      <c r="AK113" s="5">
        <f t="shared" si="1"/>
        <v>0</v>
      </c>
    </row>
    <row r="114" spans="1:37" x14ac:dyDescent="0.2">
      <c r="A114" s="9">
        <v>113</v>
      </c>
      <c r="B114" s="4" t="s">
        <v>610</v>
      </c>
      <c r="C114" s="4" t="s">
        <v>1451</v>
      </c>
      <c r="D114" s="4">
        <v>45689</v>
      </c>
      <c r="E114" s="4" t="s">
        <v>31</v>
      </c>
      <c r="F114" s="4" t="s">
        <v>1452</v>
      </c>
      <c r="G114" s="4">
        <v>45716</v>
      </c>
      <c r="H114" s="4">
        <v>46080</v>
      </c>
      <c r="I114" s="4" t="s">
        <v>1453</v>
      </c>
      <c r="J114" s="4">
        <v>3310017437358</v>
      </c>
      <c r="K114" s="4" t="s">
        <v>1454</v>
      </c>
      <c r="L114" s="4" t="s">
        <v>1455</v>
      </c>
      <c r="M114" s="4" t="s">
        <v>1456</v>
      </c>
      <c r="N114" s="4" t="s">
        <v>1457</v>
      </c>
      <c r="O114" s="4" t="s">
        <v>1451</v>
      </c>
      <c r="P114" s="4" t="s">
        <v>644</v>
      </c>
      <c r="Q114" s="4" t="s">
        <v>46</v>
      </c>
      <c r="R114" s="4" t="s">
        <v>1458</v>
      </c>
      <c r="S114" s="4">
        <v>45352</v>
      </c>
      <c r="T114" s="4">
        <v>46451</v>
      </c>
      <c r="U114" s="4">
        <v>1300000</v>
      </c>
      <c r="V114" s="4">
        <v>10</v>
      </c>
      <c r="W114" s="4">
        <v>130000</v>
      </c>
      <c r="X114" s="4">
        <v>1170000</v>
      </c>
      <c r="Y114" s="4">
        <v>2</v>
      </c>
      <c r="Z114" s="6">
        <v>23400</v>
      </c>
      <c r="AA114" s="4"/>
      <c r="AB114" s="4"/>
      <c r="AC114" s="4" t="s">
        <v>78</v>
      </c>
      <c r="AD114" s="4">
        <v>1141073002</v>
      </c>
      <c r="AE114" s="4">
        <v>45735</v>
      </c>
      <c r="AF114" s="4" t="s">
        <v>35</v>
      </c>
      <c r="AG114" s="4">
        <v>0</v>
      </c>
      <c r="AH114" s="4" t="s">
        <v>1452</v>
      </c>
      <c r="AI114" s="4"/>
      <c r="AJ114" s="6">
        <f>VLOOKUP(AH114,[1]Sheet1!$B$2:$AA$595,26,0)</f>
        <v>23400</v>
      </c>
      <c r="AK114" s="5">
        <f t="shared" si="1"/>
        <v>0</v>
      </c>
    </row>
    <row r="115" spans="1:37" x14ac:dyDescent="0.2">
      <c r="A115" s="9">
        <v>114</v>
      </c>
      <c r="B115" s="4" t="s">
        <v>610</v>
      </c>
      <c r="C115" s="4" t="s">
        <v>1459</v>
      </c>
      <c r="D115" s="4">
        <v>45689</v>
      </c>
      <c r="E115" s="4" t="s">
        <v>31</v>
      </c>
      <c r="F115" s="4" t="s">
        <v>1460</v>
      </c>
      <c r="G115" s="4">
        <v>45702</v>
      </c>
      <c r="H115" s="4">
        <v>46066</v>
      </c>
      <c r="I115" s="4" t="s">
        <v>1461</v>
      </c>
      <c r="J115" s="4">
        <v>3630287995291</v>
      </c>
      <c r="K115" s="4" t="s">
        <v>50</v>
      </c>
      <c r="L115" s="4" t="s">
        <v>1462</v>
      </c>
      <c r="M115" s="4" t="s">
        <v>1463</v>
      </c>
      <c r="N115" s="4" t="s">
        <v>1464</v>
      </c>
      <c r="O115" s="4" t="s">
        <v>1459</v>
      </c>
      <c r="P115" s="4" t="s">
        <v>644</v>
      </c>
      <c r="Q115" s="4" t="s">
        <v>620</v>
      </c>
      <c r="R115" s="4" t="s">
        <v>1465</v>
      </c>
      <c r="S115" s="4">
        <v>45337</v>
      </c>
      <c r="T115" s="4">
        <v>46423</v>
      </c>
      <c r="U115" s="4">
        <v>7000000</v>
      </c>
      <c r="V115" s="4">
        <v>10</v>
      </c>
      <c r="W115" s="4">
        <v>700000</v>
      </c>
      <c r="X115" s="4">
        <v>6300000</v>
      </c>
      <c r="Y115" s="4">
        <v>1.5</v>
      </c>
      <c r="Z115" s="6">
        <v>94500</v>
      </c>
      <c r="AA115" s="4"/>
      <c r="AB115" s="4"/>
      <c r="AC115" s="4" t="s">
        <v>78</v>
      </c>
      <c r="AD115" s="4">
        <v>1141073002</v>
      </c>
      <c r="AE115" s="4">
        <v>45735</v>
      </c>
      <c r="AF115" s="4" t="s">
        <v>35</v>
      </c>
      <c r="AG115" s="4">
        <v>0</v>
      </c>
      <c r="AH115" s="4" t="s">
        <v>1460</v>
      </c>
      <c r="AI115" s="4"/>
      <c r="AJ115" s="6">
        <f>VLOOKUP(AH115,[1]Sheet1!$B$2:$AA$595,26,0)</f>
        <v>94500</v>
      </c>
      <c r="AK115" s="5">
        <f t="shared" si="1"/>
        <v>0</v>
      </c>
    </row>
    <row r="116" spans="1:37" x14ac:dyDescent="0.2">
      <c r="A116" s="9">
        <v>115</v>
      </c>
      <c r="B116" s="4" t="s">
        <v>610</v>
      </c>
      <c r="C116" s="4" t="s">
        <v>1466</v>
      </c>
      <c r="D116" s="4">
        <v>45689</v>
      </c>
      <c r="E116" s="4" t="s">
        <v>31</v>
      </c>
      <c r="F116" s="4" t="s">
        <v>1467</v>
      </c>
      <c r="G116" s="4">
        <v>45716</v>
      </c>
      <c r="H116" s="4">
        <v>46080</v>
      </c>
      <c r="I116" s="4" t="s">
        <v>1468</v>
      </c>
      <c r="J116" s="4">
        <v>6110104930286</v>
      </c>
      <c r="K116" s="4" t="s">
        <v>1469</v>
      </c>
      <c r="L116" s="4" t="s">
        <v>1470</v>
      </c>
      <c r="M116" s="4" t="s">
        <v>1471</v>
      </c>
      <c r="N116" s="4" t="s">
        <v>1472</v>
      </c>
      <c r="O116" s="4" t="s">
        <v>1466</v>
      </c>
      <c r="P116" s="4" t="s">
        <v>645</v>
      </c>
      <c r="Q116" s="4" t="s">
        <v>34</v>
      </c>
      <c r="R116" s="4" t="s">
        <v>1473</v>
      </c>
      <c r="S116" s="4">
        <v>45352</v>
      </c>
      <c r="T116" s="4">
        <v>46818</v>
      </c>
      <c r="U116" s="4">
        <v>3000000</v>
      </c>
      <c r="V116" s="4">
        <v>10</v>
      </c>
      <c r="W116" s="4">
        <v>300000</v>
      </c>
      <c r="X116" s="4">
        <v>2700000</v>
      </c>
      <c r="Y116" s="4">
        <v>2</v>
      </c>
      <c r="Z116" s="6">
        <v>54000</v>
      </c>
      <c r="AA116" s="4"/>
      <c r="AB116" s="4"/>
      <c r="AC116" s="4" t="s">
        <v>78</v>
      </c>
      <c r="AD116" s="4">
        <v>1141073002</v>
      </c>
      <c r="AE116" s="4">
        <v>45735</v>
      </c>
      <c r="AF116" s="4" t="s">
        <v>35</v>
      </c>
      <c r="AG116" s="4">
        <v>0</v>
      </c>
      <c r="AH116" s="4" t="s">
        <v>1467</v>
      </c>
      <c r="AI116" s="4"/>
      <c r="AJ116" s="6">
        <f>VLOOKUP(AH116,[1]Sheet1!$B$2:$AA$595,26,0)</f>
        <v>54000</v>
      </c>
      <c r="AK116" s="5">
        <f t="shared" si="1"/>
        <v>0</v>
      </c>
    </row>
    <row r="117" spans="1:37" x14ac:dyDescent="0.2">
      <c r="A117" s="9">
        <v>116</v>
      </c>
      <c r="B117" s="4" t="s">
        <v>610</v>
      </c>
      <c r="C117" s="4" t="s">
        <v>1474</v>
      </c>
      <c r="D117" s="4">
        <v>45689</v>
      </c>
      <c r="E117" s="4" t="s">
        <v>31</v>
      </c>
      <c r="F117" s="4" t="s">
        <v>1475</v>
      </c>
      <c r="G117" s="4">
        <v>45716</v>
      </c>
      <c r="H117" s="4">
        <v>46080</v>
      </c>
      <c r="I117" s="4" t="s">
        <v>1476</v>
      </c>
      <c r="J117" s="4">
        <v>4210186472401</v>
      </c>
      <c r="K117" s="4" t="s">
        <v>1477</v>
      </c>
      <c r="L117" s="4" t="s">
        <v>1478</v>
      </c>
      <c r="M117" s="4" t="s">
        <v>1479</v>
      </c>
      <c r="N117" s="4" t="s">
        <v>1480</v>
      </c>
      <c r="O117" s="4" t="s">
        <v>1474</v>
      </c>
      <c r="P117" s="4" t="s">
        <v>44</v>
      </c>
      <c r="Q117" s="4" t="s">
        <v>45</v>
      </c>
      <c r="R117" s="4" t="s">
        <v>1481</v>
      </c>
      <c r="S117" s="4">
        <v>45351</v>
      </c>
      <c r="T117" s="4">
        <v>46451</v>
      </c>
      <c r="U117" s="4">
        <v>2500000</v>
      </c>
      <c r="V117" s="4">
        <v>10</v>
      </c>
      <c r="W117" s="4">
        <v>250000</v>
      </c>
      <c r="X117" s="4">
        <v>2250000</v>
      </c>
      <c r="Y117" s="4">
        <v>2</v>
      </c>
      <c r="Z117" s="6">
        <v>45000</v>
      </c>
      <c r="AA117" s="4"/>
      <c r="AB117" s="4"/>
      <c r="AC117" s="4" t="s">
        <v>78</v>
      </c>
      <c r="AD117" s="4">
        <v>1141073002</v>
      </c>
      <c r="AE117" s="4">
        <v>45735</v>
      </c>
      <c r="AF117" s="4" t="s">
        <v>35</v>
      </c>
      <c r="AG117" s="4">
        <v>0</v>
      </c>
      <c r="AH117" s="4" t="s">
        <v>1475</v>
      </c>
      <c r="AI117" s="4"/>
      <c r="AJ117" s="6">
        <f>VLOOKUP(AH117,[1]Sheet1!$B$2:$AA$595,26,0)</f>
        <v>45000</v>
      </c>
      <c r="AK117" s="5">
        <f t="shared" si="1"/>
        <v>0</v>
      </c>
    </row>
    <row r="118" spans="1:37" x14ac:dyDescent="0.2">
      <c r="A118" s="9">
        <v>117</v>
      </c>
      <c r="B118" s="4" t="s">
        <v>610</v>
      </c>
      <c r="C118" s="4" t="s">
        <v>1482</v>
      </c>
      <c r="D118" s="4">
        <v>45689</v>
      </c>
      <c r="E118" s="4" t="s">
        <v>31</v>
      </c>
      <c r="F118" s="4" t="s">
        <v>1483</v>
      </c>
      <c r="G118" s="4">
        <v>45716</v>
      </c>
      <c r="H118" s="4">
        <v>46080</v>
      </c>
      <c r="I118" s="4" t="s">
        <v>1484</v>
      </c>
      <c r="J118" s="4">
        <v>3450191306091</v>
      </c>
      <c r="K118" s="4" t="s">
        <v>68</v>
      </c>
      <c r="L118" s="4" t="s">
        <v>1485</v>
      </c>
      <c r="M118" s="4" t="s">
        <v>1486</v>
      </c>
      <c r="N118" s="4" t="s">
        <v>1487</v>
      </c>
      <c r="O118" s="4" t="s">
        <v>1482</v>
      </c>
      <c r="P118" s="4" t="s">
        <v>644</v>
      </c>
      <c r="Q118" s="4" t="s">
        <v>39</v>
      </c>
      <c r="R118" s="4" t="s">
        <v>1488</v>
      </c>
      <c r="S118" s="4">
        <v>45352</v>
      </c>
      <c r="T118" s="4">
        <v>46451</v>
      </c>
      <c r="U118" s="4">
        <v>2400000</v>
      </c>
      <c r="V118" s="4">
        <v>10</v>
      </c>
      <c r="W118" s="4">
        <v>240000</v>
      </c>
      <c r="X118" s="4">
        <v>2160000</v>
      </c>
      <c r="Y118" s="4">
        <v>2</v>
      </c>
      <c r="Z118" s="6">
        <v>43200</v>
      </c>
      <c r="AA118" s="4"/>
      <c r="AB118" s="4"/>
      <c r="AC118" s="4" t="s">
        <v>78</v>
      </c>
      <c r="AD118" s="4">
        <v>1141073002</v>
      </c>
      <c r="AE118" s="4">
        <v>45735</v>
      </c>
      <c r="AF118" s="4" t="s">
        <v>35</v>
      </c>
      <c r="AG118" s="4">
        <v>0</v>
      </c>
      <c r="AH118" s="4" t="s">
        <v>1483</v>
      </c>
      <c r="AI118" s="4"/>
      <c r="AJ118" s="6">
        <f>VLOOKUP(AH118,[1]Sheet1!$B$2:$AA$595,26,0)</f>
        <v>43200</v>
      </c>
      <c r="AK118" s="5">
        <f t="shared" si="1"/>
        <v>0</v>
      </c>
    </row>
    <row r="119" spans="1:37" x14ac:dyDescent="0.2">
      <c r="A119" s="9">
        <v>118</v>
      </c>
      <c r="B119" s="4" t="s">
        <v>610</v>
      </c>
      <c r="C119" s="4" t="s">
        <v>1489</v>
      </c>
      <c r="D119" s="4">
        <v>45689</v>
      </c>
      <c r="E119" s="4" t="s">
        <v>31</v>
      </c>
      <c r="F119" s="4" t="s">
        <v>1490</v>
      </c>
      <c r="G119" s="4">
        <v>45716</v>
      </c>
      <c r="H119" s="4">
        <v>46080</v>
      </c>
      <c r="I119" s="4" t="s">
        <v>1491</v>
      </c>
      <c r="J119" s="4">
        <v>3520281825611</v>
      </c>
      <c r="K119" s="4" t="s">
        <v>67</v>
      </c>
      <c r="L119" s="4" t="s">
        <v>1492</v>
      </c>
      <c r="M119" s="4" t="s">
        <v>1493</v>
      </c>
      <c r="N119" s="4" t="s">
        <v>1494</v>
      </c>
      <c r="O119" s="4" t="s">
        <v>1489</v>
      </c>
      <c r="P119" s="4" t="s">
        <v>644</v>
      </c>
      <c r="Q119" s="4" t="s">
        <v>39</v>
      </c>
      <c r="R119" s="4" t="s">
        <v>1495</v>
      </c>
      <c r="S119" s="4">
        <v>45352</v>
      </c>
      <c r="T119" s="4">
        <v>46451</v>
      </c>
      <c r="U119" s="4">
        <v>4850000</v>
      </c>
      <c r="V119" s="4">
        <v>10</v>
      </c>
      <c r="W119" s="4">
        <v>485000</v>
      </c>
      <c r="X119" s="4">
        <v>4365000</v>
      </c>
      <c r="Y119" s="4">
        <v>1.5</v>
      </c>
      <c r="Z119" s="6">
        <v>65475</v>
      </c>
      <c r="AA119" s="4"/>
      <c r="AB119" s="4"/>
      <c r="AC119" s="4" t="s">
        <v>78</v>
      </c>
      <c r="AD119" s="4">
        <v>1141073002</v>
      </c>
      <c r="AE119" s="4">
        <v>45735</v>
      </c>
      <c r="AF119" s="4" t="s">
        <v>35</v>
      </c>
      <c r="AG119" s="4">
        <v>0</v>
      </c>
      <c r="AH119" s="4" t="s">
        <v>1490</v>
      </c>
      <c r="AI119" s="4"/>
      <c r="AJ119" s="6">
        <f>VLOOKUP(AH119,[1]Sheet1!$B$2:$AA$595,26,0)</f>
        <v>65475</v>
      </c>
      <c r="AK119" s="5">
        <f t="shared" si="1"/>
        <v>0</v>
      </c>
    </row>
    <row r="120" spans="1:37" x14ac:dyDescent="0.2">
      <c r="A120" s="9">
        <v>119</v>
      </c>
      <c r="B120" s="4" t="s">
        <v>610</v>
      </c>
      <c r="C120" s="4" t="s">
        <v>1496</v>
      </c>
      <c r="D120" s="4">
        <v>45689</v>
      </c>
      <c r="E120" s="4" t="s">
        <v>31</v>
      </c>
      <c r="F120" s="4" t="s">
        <v>1497</v>
      </c>
      <c r="G120" s="4">
        <v>45716</v>
      </c>
      <c r="H120" s="4">
        <v>46080</v>
      </c>
      <c r="I120" s="4" t="s">
        <v>1498</v>
      </c>
      <c r="J120" s="4">
        <v>3520258582199</v>
      </c>
      <c r="K120" s="4" t="s">
        <v>140</v>
      </c>
      <c r="L120" s="4" t="s">
        <v>1499</v>
      </c>
      <c r="M120" s="4" t="s">
        <v>1500</v>
      </c>
      <c r="N120" s="4" t="s">
        <v>1501</v>
      </c>
      <c r="O120" s="4" t="s">
        <v>1496</v>
      </c>
      <c r="P120" s="4" t="s">
        <v>644</v>
      </c>
      <c r="Q120" s="4" t="s">
        <v>39</v>
      </c>
      <c r="R120" s="4" t="s">
        <v>1502</v>
      </c>
      <c r="S120" s="4">
        <v>45352</v>
      </c>
      <c r="T120" s="4">
        <v>46818</v>
      </c>
      <c r="U120" s="4">
        <v>4300000</v>
      </c>
      <c r="V120" s="4">
        <v>10</v>
      </c>
      <c r="W120" s="4">
        <v>430000</v>
      </c>
      <c r="X120" s="4">
        <v>3870000</v>
      </c>
      <c r="Y120" s="4">
        <v>1.5</v>
      </c>
      <c r="Z120" s="6">
        <v>58050</v>
      </c>
      <c r="AA120" s="4"/>
      <c r="AB120" s="4"/>
      <c r="AC120" s="4" t="s">
        <v>78</v>
      </c>
      <c r="AD120" s="4">
        <v>1141073002</v>
      </c>
      <c r="AE120" s="4">
        <v>45735</v>
      </c>
      <c r="AF120" s="4" t="s">
        <v>35</v>
      </c>
      <c r="AG120" s="4">
        <v>0</v>
      </c>
      <c r="AH120" s="4" t="s">
        <v>1497</v>
      </c>
      <c r="AI120" s="4"/>
      <c r="AJ120" s="6">
        <f>VLOOKUP(AH120,[1]Sheet1!$B$2:$AA$595,26,0)</f>
        <v>58050</v>
      </c>
      <c r="AK120" s="5">
        <f t="shared" si="1"/>
        <v>0</v>
      </c>
    </row>
    <row r="121" spans="1:37" x14ac:dyDescent="0.2">
      <c r="A121" s="9">
        <v>120</v>
      </c>
      <c r="B121" s="4" t="s">
        <v>610</v>
      </c>
      <c r="C121" s="4" t="s">
        <v>1503</v>
      </c>
      <c r="D121" s="4">
        <v>45689</v>
      </c>
      <c r="E121" s="4" t="s">
        <v>31</v>
      </c>
      <c r="F121" s="4" t="s">
        <v>1504</v>
      </c>
      <c r="G121" s="4">
        <v>45716</v>
      </c>
      <c r="H121" s="4">
        <v>46080</v>
      </c>
      <c r="I121" s="4" t="s">
        <v>1505</v>
      </c>
      <c r="J121" s="4">
        <v>3210204716785</v>
      </c>
      <c r="K121" s="4" t="s">
        <v>622</v>
      </c>
      <c r="L121" s="4" t="s">
        <v>1506</v>
      </c>
      <c r="M121" s="4" t="s">
        <v>1507</v>
      </c>
      <c r="N121" s="4" t="s">
        <v>1508</v>
      </c>
      <c r="O121" s="4" t="s">
        <v>1503</v>
      </c>
      <c r="P121" s="4" t="s">
        <v>644</v>
      </c>
      <c r="Q121" s="4" t="s">
        <v>39</v>
      </c>
      <c r="R121" s="4" t="s">
        <v>1509</v>
      </c>
      <c r="S121" s="4">
        <v>45352</v>
      </c>
      <c r="T121" s="4">
        <v>47182</v>
      </c>
      <c r="U121" s="4">
        <v>2400000</v>
      </c>
      <c r="V121" s="4">
        <v>10</v>
      </c>
      <c r="W121" s="4">
        <v>240000</v>
      </c>
      <c r="X121" s="4">
        <v>2160000</v>
      </c>
      <c r="Y121" s="4">
        <v>2</v>
      </c>
      <c r="Z121" s="6">
        <v>43200</v>
      </c>
      <c r="AA121" s="4"/>
      <c r="AB121" s="4"/>
      <c r="AC121" s="4" t="s">
        <v>78</v>
      </c>
      <c r="AD121" s="4">
        <v>1141073002</v>
      </c>
      <c r="AE121" s="4">
        <v>45735</v>
      </c>
      <c r="AF121" s="4" t="s">
        <v>35</v>
      </c>
      <c r="AG121" s="4">
        <v>0</v>
      </c>
      <c r="AH121" s="4" t="s">
        <v>1504</v>
      </c>
      <c r="AI121" s="4"/>
      <c r="AJ121" s="6">
        <f>VLOOKUP(AH121,[1]Sheet1!$B$2:$AA$595,26,0)</f>
        <v>43200</v>
      </c>
      <c r="AK121" s="5">
        <f t="shared" si="1"/>
        <v>0</v>
      </c>
    </row>
    <row r="122" spans="1:37" x14ac:dyDescent="0.2">
      <c r="A122" s="9">
        <v>121</v>
      </c>
      <c r="B122" s="4" t="s">
        <v>610</v>
      </c>
      <c r="C122" s="4" t="s">
        <v>1510</v>
      </c>
      <c r="D122" s="4">
        <v>45689</v>
      </c>
      <c r="E122" s="4" t="s">
        <v>31</v>
      </c>
      <c r="F122" s="4" t="s">
        <v>1511</v>
      </c>
      <c r="G122" s="4">
        <v>45697</v>
      </c>
      <c r="H122" s="4">
        <v>46061</v>
      </c>
      <c r="I122" s="4" t="s">
        <v>1512</v>
      </c>
      <c r="J122" s="4">
        <v>3520198913447</v>
      </c>
      <c r="K122" s="4" t="s">
        <v>65</v>
      </c>
      <c r="L122" s="4" t="s">
        <v>1513</v>
      </c>
      <c r="M122" s="4" t="s">
        <v>1514</v>
      </c>
      <c r="N122" s="4" t="s">
        <v>1515</v>
      </c>
      <c r="O122" s="4" t="s">
        <v>1510</v>
      </c>
      <c r="P122" s="4" t="s">
        <v>644</v>
      </c>
      <c r="Q122" s="4" t="s">
        <v>39</v>
      </c>
      <c r="R122" s="4" t="s">
        <v>1516</v>
      </c>
      <c r="S122" s="4">
        <v>45337</v>
      </c>
      <c r="T122" s="4">
        <v>46423</v>
      </c>
      <c r="U122" s="4">
        <v>3900000</v>
      </c>
      <c r="V122" s="4">
        <v>10</v>
      </c>
      <c r="W122" s="4">
        <v>390000</v>
      </c>
      <c r="X122" s="4">
        <v>3510000</v>
      </c>
      <c r="Y122" s="4">
        <v>1.5</v>
      </c>
      <c r="Z122" s="6">
        <v>52650</v>
      </c>
      <c r="AA122" s="4"/>
      <c r="AB122" s="4"/>
      <c r="AC122" s="4" t="s">
        <v>78</v>
      </c>
      <c r="AD122" s="4">
        <v>1141073002</v>
      </c>
      <c r="AE122" s="4">
        <v>45735</v>
      </c>
      <c r="AF122" s="4" t="s">
        <v>35</v>
      </c>
      <c r="AG122" s="4">
        <v>26</v>
      </c>
      <c r="AH122" s="4" t="s">
        <v>1511</v>
      </c>
      <c r="AI122" s="4"/>
      <c r="AJ122" s="6">
        <f>VLOOKUP(AH122,[1]Sheet1!$B$2:$AA$595,26,0)</f>
        <v>52650</v>
      </c>
      <c r="AK122" s="5">
        <f t="shared" si="1"/>
        <v>0</v>
      </c>
    </row>
    <row r="123" spans="1:37" x14ac:dyDescent="0.2">
      <c r="A123" s="9">
        <v>122</v>
      </c>
      <c r="B123" s="4" t="s">
        <v>610</v>
      </c>
      <c r="C123" s="4" t="s">
        <v>1517</v>
      </c>
      <c r="D123" s="4">
        <v>45689</v>
      </c>
      <c r="E123" s="4" t="s">
        <v>31</v>
      </c>
      <c r="F123" s="4" t="s">
        <v>1518</v>
      </c>
      <c r="G123" s="4">
        <v>45716</v>
      </c>
      <c r="H123" s="4">
        <v>46080</v>
      </c>
      <c r="I123" s="4" t="s">
        <v>1519</v>
      </c>
      <c r="J123" s="4">
        <v>3310056635551</v>
      </c>
      <c r="K123" s="4" t="s">
        <v>1418</v>
      </c>
      <c r="L123" s="4" t="s">
        <v>1520</v>
      </c>
      <c r="M123" s="4" t="s">
        <v>1521</v>
      </c>
      <c r="N123" s="4" t="s">
        <v>1522</v>
      </c>
      <c r="O123" s="4" t="s">
        <v>1517</v>
      </c>
      <c r="P123" s="4" t="s">
        <v>644</v>
      </c>
      <c r="Q123" s="4" t="s">
        <v>46</v>
      </c>
      <c r="R123" s="4" t="s">
        <v>1523</v>
      </c>
      <c r="S123" s="4">
        <v>45352</v>
      </c>
      <c r="T123" s="4">
        <v>46086</v>
      </c>
      <c r="U123" s="4">
        <v>3675000</v>
      </c>
      <c r="V123" s="4">
        <v>10</v>
      </c>
      <c r="W123" s="4">
        <v>367500</v>
      </c>
      <c r="X123" s="4">
        <v>3307500</v>
      </c>
      <c r="Y123" s="4">
        <v>1.5</v>
      </c>
      <c r="Z123" s="6">
        <v>49612.5</v>
      </c>
      <c r="AA123" s="4"/>
      <c r="AB123" s="4"/>
      <c r="AC123" s="4" t="s">
        <v>78</v>
      </c>
      <c r="AD123" s="4">
        <v>1141073002</v>
      </c>
      <c r="AE123" s="4">
        <v>45735</v>
      </c>
      <c r="AF123" s="4" t="s">
        <v>35</v>
      </c>
      <c r="AG123" s="4">
        <v>0</v>
      </c>
      <c r="AH123" s="4" t="s">
        <v>1518</v>
      </c>
      <c r="AI123" s="4"/>
      <c r="AJ123" s="6">
        <f>VLOOKUP(AH123,[1]Sheet1!$B$2:$AA$595,26,0)</f>
        <v>49613</v>
      </c>
      <c r="AK123" s="5">
        <f t="shared" si="1"/>
        <v>0.5</v>
      </c>
    </row>
    <row r="124" spans="1:37" x14ac:dyDescent="0.2">
      <c r="A124" s="9">
        <v>123</v>
      </c>
      <c r="B124" s="4" t="s">
        <v>610</v>
      </c>
      <c r="C124" s="4" t="s">
        <v>1524</v>
      </c>
      <c r="D124" s="4">
        <v>45689</v>
      </c>
      <c r="E124" s="4" t="s">
        <v>31</v>
      </c>
      <c r="F124" s="4" t="s">
        <v>1525</v>
      </c>
      <c r="G124" s="4">
        <v>45716</v>
      </c>
      <c r="H124" s="4">
        <v>46080</v>
      </c>
      <c r="I124" s="4" t="s">
        <v>631</v>
      </c>
      <c r="J124" s="4">
        <v>4240118071517</v>
      </c>
      <c r="K124" s="4" t="s">
        <v>1526</v>
      </c>
      <c r="L124" s="4" t="s">
        <v>1527</v>
      </c>
      <c r="M124" s="4" t="s">
        <v>1528</v>
      </c>
      <c r="N124" s="4" t="s">
        <v>1529</v>
      </c>
      <c r="O124" s="4" t="s">
        <v>1524</v>
      </c>
      <c r="P124" s="4" t="s">
        <v>44</v>
      </c>
      <c r="Q124" s="4" t="s">
        <v>45</v>
      </c>
      <c r="R124" s="4" t="s">
        <v>1530</v>
      </c>
      <c r="S124" s="4">
        <v>45352</v>
      </c>
      <c r="T124" s="4">
        <v>46451</v>
      </c>
      <c r="U124" s="4">
        <v>4100000</v>
      </c>
      <c r="V124" s="4">
        <v>10</v>
      </c>
      <c r="W124" s="4">
        <v>410000</v>
      </c>
      <c r="X124" s="4">
        <v>3690000</v>
      </c>
      <c r="Y124" s="4">
        <v>1.5</v>
      </c>
      <c r="Z124" s="6">
        <v>55350</v>
      </c>
      <c r="AA124" s="4"/>
      <c r="AB124" s="4"/>
      <c r="AC124" s="4" t="s">
        <v>78</v>
      </c>
      <c r="AD124" s="4">
        <v>1141073002</v>
      </c>
      <c r="AE124" s="4">
        <v>45735</v>
      </c>
      <c r="AF124" s="4" t="s">
        <v>35</v>
      </c>
      <c r="AG124" s="4">
        <v>0</v>
      </c>
      <c r="AH124" s="4" t="s">
        <v>1525</v>
      </c>
      <c r="AI124" s="4"/>
      <c r="AJ124" s="6">
        <f>VLOOKUP(AH124,[1]Sheet1!$B$2:$AA$595,26,0)</f>
        <v>55350</v>
      </c>
      <c r="AK124" s="5">
        <f t="shared" si="1"/>
        <v>0</v>
      </c>
    </row>
    <row r="125" spans="1:37" x14ac:dyDescent="0.2">
      <c r="A125" s="9">
        <v>124</v>
      </c>
      <c r="B125" s="4" t="s">
        <v>610</v>
      </c>
      <c r="C125" s="4" t="s">
        <v>1531</v>
      </c>
      <c r="D125" s="4">
        <v>45689</v>
      </c>
      <c r="E125" s="4" t="s">
        <v>31</v>
      </c>
      <c r="F125" s="4" t="s">
        <v>1532</v>
      </c>
      <c r="G125" s="4">
        <v>45716</v>
      </c>
      <c r="H125" s="4">
        <v>46080</v>
      </c>
      <c r="I125" s="4" t="s">
        <v>1533</v>
      </c>
      <c r="J125" s="4">
        <v>3740497761794</v>
      </c>
      <c r="K125" s="4" t="s">
        <v>197</v>
      </c>
      <c r="L125" s="4" t="s">
        <v>1534</v>
      </c>
      <c r="M125" s="4" t="s">
        <v>1535</v>
      </c>
      <c r="N125" s="4" t="s">
        <v>1536</v>
      </c>
      <c r="O125" s="4" t="s">
        <v>1531</v>
      </c>
      <c r="P125" s="4" t="s">
        <v>645</v>
      </c>
      <c r="Q125" s="4" t="s">
        <v>34</v>
      </c>
      <c r="R125" s="4" t="s">
        <v>1537</v>
      </c>
      <c r="S125" s="4">
        <v>45352</v>
      </c>
      <c r="T125" s="4">
        <v>46451</v>
      </c>
      <c r="U125" s="4">
        <v>3400000</v>
      </c>
      <c r="V125" s="4">
        <v>10</v>
      </c>
      <c r="W125" s="4">
        <v>340000</v>
      </c>
      <c r="X125" s="4">
        <v>3060000</v>
      </c>
      <c r="Y125" s="4">
        <v>2</v>
      </c>
      <c r="Z125" s="6">
        <v>61200</v>
      </c>
      <c r="AA125" s="4"/>
      <c r="AB125" s="4"/>
      <c r="AC125" s="4" t="s">
        <v>78</v>
      </c>
      <c r="AD125" s="4">
        <v>1141073002</v>
      </c>
      <c r="AE125" s="4">
        <v>45735</v>
      </c>
      <c r="AF125" s="4" t="s">
        <v>35</v>
      </c>
      <c r="AG125" s="4">
        <v>0</v>
      </c>
      <c r="AH125" s="4" t="s">
        <v>1532</v>
      </c>
      <c r="AI125" s="4"/>
      <c r="AJ125" s="6">
        <f>VLOOKUP(AH125,[1]Sheet1!$B$2:$AA$595,26,0)</f>
        <v>61200</v>
      </c>
      <c r="AK125" s="5">
        <f t="shared" si="1"/>
        <v>0</v>
      </c>
    </row>
    <row r="126" spans="1:37" x14ac:dyDescent="0.2">
      <c r="A126" s="9">
        <v>125</v>
      </c>
      <c r="B126" s="4" t="s">
        <v>610</v>
      </c>
      <c r="C126" s="4" t="s">
        <v>1538</v>
      </c>
      <c r="D126" s="4">
        <v>45689</v>
      </c>
      <c r="E126" s="4" t="s">
        <v>31</v>
      </c>
      <c r="F126" s="4" t="s">
        <v>1539</v>
      </c>
      <c r="G126" s="4">
        <v>45704</v>
      </c>
      <c r="H126" s="4">
        <v>46068</v>
      </c>
      <c r="I126" s="4" t="s">
        <v>1540</v>
      </c>
      <c r="J126" s="4">
        <v>3630254544073</v>
      </c>
      <c r="K126" s="4" t="s">
        <v>41</v>
      </c>
      <c r="L126" s="4" t="s">
        <v>1541</v>
      </c>
      <c r="M126" s="4" t="s">
        <v>1542</v>
      </c>
      <c r="N126" s="4" t="s">
        <v>1543</v>
      </c>
      <c r="O126" s="4" t="s">
        <v>1538</v>
      </c>
      <c r="P126" s="4" t="s">
        <v>644</v>
      </c>
      <c r="Q126" s="4" t="s">
        <v>54</v>
      </c>
      <c r="R126" s="4" t="s">
        <v>1544</v>
      </c>
      <c r="S126" s="4">
        <v>45341</v>
      </c>
      <c r="T126" s="4">
        <v>46086</v>
      </c>
      <c r="U126" s="4">
        <v>2935000</v>
      </c>
      <c r="V126" s="4">
        <v>10</v>
      </c>
      <c r="W126" s="4">
        <v>293500</v>
      </c>
      <c r="X126" s="4">
        <v>2641500</v>
      </c>
      <c r="Y126" s="4">
        <v>2</v>
      </c>
      <c r="Z126" s="6">
        <v>52830</v>
      </c>
      <c r="AA126" s="4"/>
      <c r="AB126" s="4"/>
      <c r="AC126" s="4" t="s">
        <v>78</v>
      </c>
      <c r="AD126" s="4">
        <v>1141073002</v>
      </c>
      <c r="AE126" s="4">
        <v>45735</v>
      </c>
      <c r="AF126" s="4" t="s">
        <v>35</v>
      </c>
      <c r="AG126" s="4">
        <v>0</v>
      </c>
      <c r="AH126" s="4" t="s">
        <v>1539</v>
      </c>
      <c r="AI126" s="4"/>
      <c r="AJ126" s="6">
        <f>VLOOKUP(AH126,[1]Sheet1!$B$2:$AA$595,26,0)</f>
        <v>52830</v>
      </c>
      <c r="AK126" s="5">
        <f t="shared" si="1"/>
        <v>0</v>
      </c>
    </row>
    <row r="127" spans="1:37" x14ac:dyDescent="0.2">
      <c r="A127" s="9">
        <v>126</v>
      </c>
      <c r="B127" s="4" t="s">
        <v>610</v>
      </c>
      <c r="C127" s="4" t="s">
        <v>1545</v>
      </c>
      <c r="D127" s="4">
        <v>45689</v>
      </c>
      <c r="E127" s="4" t="s">
        <v>31</v>
      </c>
      <c r="F127" s="4" t="s">
        <v>1546</v>
      </c>
      <c r="G127" s="4">
        <v>45716</v>
      </c>
      <c r="H127" s="4">
        <v>46080</v>
      </c>
      <c r="I127" s="4" t="s">
        <v>396</v>
      </c>
      <c r="J127" s="4">
        <v>3810310733747</v>
      </c>
      <c r="K127" s="4" t="s">
        <v>623</v>
      </c>
      <c r="L127" s="4" t="s">
        <v>1547</v>
      </c>
      <c r="M127" s="4" t="s">
        <v>1548</v>
      </c>
      <c r="N127" s="4" t="s">
        <v>1549</v>
      </c>
      <c r="O127" s="4" t="s">
        <v>1545</v>
      </c>
      <c r="P127" s="4" t="s">
        <v>645</v>
      </c>
      <c r="Q127" s="4" t="s">
        <v>34</v>
      </c>
      <c r="R127" s="4" t="s">
        <v>1550</v>
      </c>
      <c r="S127" s="4">
        <v>45365</v>
      </c>
      <c r="T127" s="4">
        <v>47182</v>
      </c>
      <c r="U127" s="4">
        <v>2331000</v>
      </c>
      <c r="V127" s="4">
        <v>10</v>
      </c>
      <c r="W127" s="4">
        <v>233100</v>
      </c>
      <c r="X127" s="4">
        <v>2097900</v>
      </c>
      <c r="Y127" s="4">
        <v>2</v>
      </c>
      <c r="Z127" s="6">
        <v>41958</v>
      </c>
      <c r="AA127" s="4"/>
      <c r="AB127" s="4"/>
      <c r="AC127" s="4" t="s">
        <v>78</v>
      </c>
      <c r="AD127" s="4">
        <v>1141073002</v>
      </c>
      <c r="AE127" s="4">
        <v>45735</v>
      </c>
      <c r="AF127" s="4" t="s">
        <v>35</v>
      </c>
      <c r="AG127" s="4">
        <v>0</v>
      </c>
      <c r="AH127" s="4" t="s">
        <v>1546</v>
      </c>
      <c r="AI127" s="4"/>
      <c r="AJ127" s="6">
        <f>VLOOKUP(AH127,[1]Sheet1!$B$2:$AA$595,26,0)</f>
        <v>41958</v>
      </c>
      <c r="AK127" s="5">
        <f t="shared" si="1"/>
        <v>0</v>
      </c>
    </row>
    <row r="128" spans="1:37" x14ac:dyDescent="0.2">
      <c r="A128" s="9">
        <v>127</v>
      </c>
      <c r="B128" s="4" t="s">
        <v>610</v>
      </c>
      <c r="C128" s="4" t="s">
        <v>1551</v>
      </c>
      <c r="D128" s="4">
        <v>45689</v>
      </c>
      <c r="E128" s="4" t="s">
        <v>31</v>
      </c>
      <c r="F128" s="4" t="s">
        <v>1552</v>
      </c>
      <c r="G128" s="4">
        <v>45716</v>
      </c>
      <c r="H128" s="4">
        <v>46080</v>
      </c>
      <c r="I128" s="4" t="s">
        <v>1553</v>
      </c>
      <c r="J128" s="4">
        <v>3520014411641</v>
      </c>
      <c r="K128" s="4" t="s">
        <v>614</v>
      </c>
      <c r="L128" s="4" t="s">
        <v>1554</v>
      </c>
      <c r="M128" s="4" t="s">
        <v>1555</v>
      </c>
      <c r="N128" s="4" t="s">
        <v>1556</v>
      </c>
      <c r="O128" s="4" t="s">
        <v>1551</v>
      </c>
      <c r="P128" s="4" t="s">
        <v>644</v>
      </c>
      <c r="Q128" s="4" t="s">
        <v>39</v>
      </c>
      <c r="R128" s="4" t="s">
        <v>1557</v>
      </c>
      <c r="S128" s="4">
        <v>45352</v>
      </c>
      <c r="T128" s="4">
        <v>46818</v>
      </c>
      <c r="U128" s="4">
        <v>4500000</v>
      </c>
      <c r="V128" s="4">
        <v>10</v>
      </c>
      <c r="W128" s="4">
        <v>450000</v>
      </c>
      <c r="X128" s="4">
        <v>4050000</v>
      </c>
      <c r="Y128" s="4">
        <v>1.5</v>
      </c>
      <c r="Z128" s="6">
        <v>60750</v>
      </c>
      <c r="AA128" s="4"/>
      <c r="AB128" s="4"/>
      <c r="AC128" s="4" t="s">
        <v>78</v>
      </c>
      <c r="AD128" s="4">
        <v>1141073002</v>
      </c>
      <c r="AE128" s="4">
        <v>45735</v>
      </c>
      <c r="AF128" s="4" t="s">
        <v>35</v>
      </c>
      <c r="AG128" s="4">
        <v>0</v>
      </c>
      <c r="AH128" s="4" t="s">
        <v>1552</v>
      </c>
      <c r="AI128" s="4"/>
      <c r="AJ128" s="6">
        <f>VLOOKUP(AH128,[1]Sheet1!$B$2:$AA$595,26,0)</f>
        <v>60750</v>
      </c>
      <c r="AK128" s="5">
        <f t="shared" si="1"/>
        <v>0</v>
      </c>
    </row>
    <row r="129" spans="1:37" x14ac:dyDescent="0.2">
      <c r="A129" s="9">
        <v>128</v>
      </c>
      <c r="B129" s="4" t="s">
        <v>610</v>
      </c>
      <c r="C129" s="4" t="s">
        <v>1558</v>
      </c>
      <c r="D129" s="4">
        <v>45689</v>
      </c>
      <c r="E129" s="4" t="s">
        <v>31</v>
      </c>
      <c r="F129" s="4" t="s">
        <v>1559</v>
      </c>
      <c r="G129" s="4">
        <v>45716</v>
      </c>
      <c r="H129" s="4">
        <v>46080</v>
      </c>
      <c r="I129" s="4" t="s">
        <v>1560</v>
      </c>
      <c r="J129" s="4">
        <v>3520282187077</v>
      </c>
      <c r="K129" s="4" t="s">
        <v>60</v>
      </c>
      <c r="L129" s="4" t="s">
        <v>1561</v>
      </c>
      <c r="M129" s="4" t="s">
        <v>1562</v>
      </c>
      <c r="N129" s="4" t="s">
        <v>1563</v>
      </c>
      <c r="O129" s="4" t="s">
        <v>1558</v>
      </c>
      <c r="P129" s="4" t="s">
        <v>644</v>
      </c>
      <c r="Q129" s="4" t="s">
        <v>39</v>
      </c>
      <c r="R129" s="4" t="s">
        <v>1564</v>
      </c>
      <c r="S129" s="4">
        <v>45352</v>
      </c>
      <c r="T129" s="4">
        <v>46818</v>
      </c>
      <c r="U129" s="4">
        <v>4200000</v>
      </c>
      <c r="V129" s="4">
        <v>10</v>
      </c>
      <c r="W129" s="4">
        <v>420000</v>
      </c>
      <c r="X129" s="4">
        <v>3780000</v>
      </c>
      <c r="Y129" s="4">
        <v>1.5</v>
      </c>
      <c r="Z129" s="6">
        <v>56700</v>
      </c>
      <c r="AA129" s="4"/>
      <c r="AB129" s="4"/>
      <c r="AC129" s="4" t="s">
        <v>78</v>
      </c>
      <c r="AD129" s="4">
        <v>1141073002</v>
      </c>
      <c r="AE129" s="4">
        <v>45735</v>
      </c>
      <c r="AF129" s="4" t="s">
        <v>35</v>
      </c>
      <c r="AG129" s="4">
        <v>0</v>
      </c>
      <c r="AH129" s="4" t="s">
        <v>1559</v>
      </c>
      <c r="AI129" s="4"/>
      <c r="AJ129" s="6">
        <f>VLOOKUP(AH129,[1]Sheet1!$B$2:$AA$595,26,0)</f>
        <v>56700</v>
      </c>
      <c r="AK129" s="5">
        <f t="shared" si="1"/>
        <v>0</v>
      </c>
    </row>
    <row r="130" spans="1:37" x14ac:dyDescent="0.2">
      <c r="A130" s="9">
        <v>129</v>
      </c>
      <c r="B130" s="4" t="s">
        <v>610</v>
      </c>
      <c r="C130" s="4" t="s">
        <v>1565</v>
      </c>
      <c r="D130" s="4">
        <v>45689</v>
      </c>
      <c r="E130" s="4" t="s">
        <v>31</v>
      </c>
      <c r="F130" s="4" t="s">
        <v>1566</v>
      </c>
      <c r="G130" s="4">
        <v>45716</v>
      </c>
      <c r="H130" s="4">
        <v>46080</v>
      </c>
      <c r="I130" s="4" t="s">
        <v>1567</v>
      </c>
      <c r="J130" s="4">
        <v>3520293389599</v>
      </c>
      <c r="K130" s="4" t="s">
        <v>633</v>
      </c>
      <c r="L130" s="4" t="s">
        <v>1568</v>
      </c>
      <c r="M130" s="4" t="s">
        <v>1569</v>
      </c>
      <c r="N130" s="4" t="s">
        <v>1570</v>
      </c>
      <c r="O130" s="4" t="s">
        <v>1565</v>
      </c>
      <c r="P130" s="4" t="s">
        <v>644</v>
      </c>
      <c r="Q130" s="4" t="s">
        <v>39</v>
      </c>
      <c r="R130" s="4" t="s">
        <v>1571</v>
      </c>
      <c r="S130" s="4">
        <v>45352</v>
      </c>
      <c r="T130" s="4">
        <v>47182</v>
      </c>
      <c r="U130" s="4">
        <v>2400000</v>
      </c>
      <c r="V130" s="4">
        <v>10</v>
      </c>
      <c r="W130" s="4">
        <v>240000</v>
      </c>
      <c r="X130" s="4">
        <v>2160000</v>
      </c>
      <c r="Y130" s="4">
        <v>2</v>
      </c>
      <c r="Z130" s="6">
        <v>43200</v>
      </c>
      <c r="AA130" s="4"/>
      <c r="AB130" s="4"/>
      <c r="AC130" s="4" t="s">
        <v>78</v>
      </c>
      <c r="AD130" s="4">
        <v>1141073002</v>
      </c>
      <c r="AE130" s="4">
        <v>45735</v>
      </c>
      <c r="AF130" s="4" t="s">
        <v>35</v>
      </c>
      <c r="AG130" s="4">
        <v>0</v>
      </c>
      <c r="AH130" s="4" t="s">
        <v>1566</v>
      </c>
      <c r="AI130" s="4"/>
      <c r="AJ130" s="6">
        <f>VLOOKUP(AH130,[1]Sheet1!$B$2:$AA$595,26,0)</f>
        <v>43200</v>
      </c>
      <c r="AK130" s="5">
        <f t="shared" si="1"/>
        <v>0</v>
      </c>
    </row>
    <row r="131" spans="1:37" x14ac:dyDescent="0.2">
      <c r="A131" s="9">
        <v>130</v>
      </c>
      <c r="B131" s="4" t="s">
        <v>610</v>
      </c>
      <c r="C131" s="4" t="s">
        <v>1572</v>
      </c>
      <c r="D131" s="4">
        <v>45689</v>
      </c>
      <c r="E131" s="4" t="s">
        <v>31</v>
      </c>
      <c r="F131" s="4" t="s">
        <v>1573</v>
      </c>
      <c r="G131" s="4">
        <v>45716</v>
      </c>
      <c r="H131" s="4">
        <v>46080</v>
      </c>
      <c r="I131" s="4" t="s">
        <v>1574</v>
      </c>
      <c r="J131" s="4">
        <v>3520219309017</v>
      </c>
      <c r="K131" s="4" t="s">
        <v>41</v>
      </c>
      <c r="L131" s="4" t="s">
        <v>1575</v>
      </c>
      <c r="M131" s="4" t="s">
        <v>1576</v>
      </c>
      <c r="N131" s="4" t="s">
        <v>1577</v>
      </c>
      <c r="O131" s="4" t="s">
        <v>1572</v>
      </c>
      <c r="P131" s="4" t="s">
        <v>644</v>
      </c>
      <c r="Q131" s="4" t="s">
        <v>39</v>
      </c>
      <c r="R131" s="4" t="s">
        <v>1578</v>
      </c>
      <c r="S131" s="4">
        <v>45352</v>
      </c>
      <c r="T131" s="4">
        <v>47182</v>
      </c>
      <c r="U131" s="4">
        <v>2600000</v>
      </c>
      <c r="V131" s="4">
        <v>10</v>
      </c>
      <c r="W131" s="4">
        <v>260000</v>
      </c>
      <c r="X131" s="4">
        <v>2340000</v>
      </c>
      <c r="Y131" s="4">
        <v>2</v>
      </c>
      <c r="Z131" s="6">
        <v>46800</v>
      </c>
      <c r="AA131" s="4"/>
      <c r="AB131" s="4"/>
      <c r="AC131" s="4" t="s">
        <v>78</v>
      </c>
      <c r="AD131" s="4">
        <v>1141073002</v>
      </c>
      <c r="AE131" s="4">
        <v>45735</v>
      </c>
      <c r="AF131" s="4" t="s">
        <v>35</v>
      </c>
      <c r="AG131" s="4">
        <v>0</v>
      </c>
      <c r="AH131" s="4" t="s">
        <v>1573</v>
      </c>
      <c r="AI131" s="4"/>
      <c r="AJ131" s="6">
        <f>VLOOKUP(AH131,[1]Sheet1!$B$2:$AA$595,26,0)</f>
        <v>46800</v>
      </c>
      <c r="AK131" s="5">
        <f t="shared" ref="AK131:AK194" si="2">AJ131-Z131</f>
        <v>0</v>
      </c>
    </row>
    <row r="132" spans="1:37" x14ac:dyDescent="0.2">
      <c r="A132" s="9">
        <v>131</v>
      </c>
      <c r="B132" s="4" t="s">
        <v>610</v>
      </c>
      <c r="C132" s="4" t="s">
        <v>1579</v>
      </c>
      <c r="D132" s="4">
        <v>45689</v>
      </c>
      <c r="E132" s="4" t="s">
        <v>31</v>
      </c>
      <c r="F132" s="4" t="s">
        <v>1580</v>
      </c>
      <c r="G132" s="4">
        <v>45716</v>
      </c>
      <c r="H132" s="4">
        <v>46080</v>
      </c>
      <c r="I132" s="4" t="s">
        <v>1581</v>
      </c>
      <c r="J132" s="4">
        <v>4250110573259</v>
      </c>
      <c r="K132" s="4" t="s">
        <v>57</v>
      </c>
      <c r="L132" s="4" t="s">
        <v>1582</v>
      </c>
      <c r="M132" s="4" t="s">
        <v>1583</v>
      </c>
      <c r="N132" s="4" t="s">
        <v>1584</v>
      </c>
      <c r="O132" s="4" t="s">
        <v>1579</v>
      </c>
      <c r="P132" s="4" t="s">
        <v>44</v>
      </c>
      <c r="Q132" s="4" t="s">
        <v>45</v>
      </c>
      <c r="R132" s="4" t="s">
        <v>1585</v>
      </c>
      <c r="S132" s="4">
        <v>45352</v>
      </c>
      <c r="T132" s="4">
        <v>46451</v>
      </c>
      <c r="U132" s="4">
        <v>4500000</v>
      </c>
      <c r="V132" s="4">
        <v>10</v>
      </c>
      <c r="W132" s="4">
        <v>450000</v>
      </c>
      <c r="X132" s="4">
        <v>4050000</v>
      </c>
      <c r="Y132" s="4">
        <v>1.5</v>
      </c>
      <c r="Z132" s="6">
        <v>60750</v>
      </c>
      <c r="AA132" s="4"/>
      <c r="AB132" s="4"/>
      <c r="AC132" s="4" t="s">
        <v>78</v>
      </c>
      <c r="AD132" s="4">
        <v>1141073002</v>
      </c>
      <c r="AE132" s="4">
        <v>45735</v>
      </c>
      <c r="AF132" s="4" t="s">
        <v>35</v>
      </c>
      <c r="AG132" s="4">
        <v>0</v>
      </c>
      <c r="AH132" s="4" t="s">
        <v>1580</v>
      </c>
      <c r="AI132" s="4"/>
      <c r="AJ132" s="6">
        <f>VLOOKUP(AH132,[1]Sheet1!$B$2:$AA$595,26,0)</f>
        <v>60750</v>
      </c>
      <c r="AK132" s="5">
        <f t="shared" si="2"/>
        <v>0</v>
      </c>
    </row>
    <row r="133" spans="1:37" x14ac:dyDescent="0.2">
      <c r="A133" s="9">
        <v>132</v>
      </c>
      <c r="B133" s="4" t="s">
        <v>610</v>
      </c>
      <c r="C133" s="4" t="s">
        <v>1586</v>
      </c>
      <c r="D133" s="4">
        <v>45689</v>
      </c>
      <c r="E133" s="4" t="s">
        <v>31</v>
      </c>
      <c r="F133" s="4" t="s">
        <v>1587</v>
      </c>
      <c r="G133" s="4">
        <v>45716</v>
      </c>
      <c r="H133" s="4">
        <v>46080</v>
      </c>
      <c r="I133" s="4" t="s">
        <v>1588</v>
      </c>
      <c r="J133" s="4">
        <v>3310286385019</v>
      </c>
      <c r="K133" s="4" t="s">
        <v>56</v>
      </c>
      <c r="L133" s="4" t="s">
        <v>1589</v>
      </c>
      <c r="M133" s="4" t="s">
        <v>1590</v>
      </c>
      <c r="N133" s="4" t="s">
        <v>1591</v>
      </c>
      <c r="O133" s="4" t="s">
        <v>1586</v>
      </c>
      <c r="P133" s="4" t="s">
        <v>644</v>
      </c>
      <c r="Q133" s="4" t="s">
        <v>46</v>
      </c>
      <c r="R133" s="4" t="s">
        <v>1592</v>
      </c>
      <c r="S133" s="4">
        <v>45355</v>
      </c>
      <c r="T133" s="4">
        <v>46451</v>
      </c>
      <c r="U133" s="4">
        <v>3800000</v>
      </c>
      <c r="V133" s="4">
        <v>10</v>
      </c>
      <c r="W133" s="4">
        <v>380000</v>
      </c>
      <c r="X133" s="4">
        <v>3420000</v>
      </c>
      <c r="Y133" s="4">
        <v>1.5</v>
      </c>
      <c r="Z133" s="6">
        <v>51300</v>
      </c>
      <c r="AA133" s="4"/>
      <c r="AB133" s="4"/>
      <c r="AC133" s="4" t="s">
        <v>78</v>
      </c>
      <c r="AD133" s="4">
        <v>1141073002</v>
      </c>
      <c r="AE133" s="4">
        <v>45735</v>
      </c>
      <c r="AF133" s="4" t="s">
        <v>35</v>
      </c>
      <c r="AG133" s="4">
        <v>0</v>
      </c>
      <c r="AH133" s="4" t="s">
        <v>1587</v>
      </c>
      <c r="AI133" s="4"/>
      <c r="AJ133" s="6">
        <f>VLOOKUP(AH133,[1]Sheet1!$B$2:$AA$595,26,0)</f>
        <v>51300</v>
      </c>
      <c r="AK133" s="5">
        <f t="shared" si="2"/>
        <v>0</v>
      </c>
    </row>
    <row r="134" spans="1:37" x14ac:dyDescent="0.2">
      <c r="A134" s="9">
        <v>133</v>
      </c>
      <c r="B134" s="4" t="s">
        <v>610</v>
      </c>
      <c r="C134" s="4" t="s">
        <v>1593</v>
      </c>
      <c r="D134" s="4">
        <v>45689</v>
      </c>
      <c r="E134" s="4" t="s">
        <v>31</v>
      </c>
      <c r="F134" s="4" t="s">
        <v>1594</v>
      </c>
      <c r="G134" s="4">
        <v>45701</v>
      </c>
      <c r="H134" s="4">
        <v>46065</v>
      </c>
      <c r="I134" s="4" t="s">
        <v>1595</v>
      </c>
      <c r="J134" s="4">
        <v>3520234474425</v>
      </c>
      <c r="K134" s="4" t="s">
        <v>633</v>
      </c>
      <c r="L134" s="4" t="s">
        <v>1596</v>
      </c>
      <c r="M134" s="4" t="s">
        <v>1597</v>
      </c>
      <c r="N134" s="4" t="s">
        <v>1598</v>
      </c>
      <c r="O134" s="4" t="s">
        <v>1593</v>
      </c>
      <c r="P134" s="4" t="s">
        <v>644</v>
      </c>
      <c r="Q134" s="4" t="s">
        <v>632</v>
      </c>
      <c r="R134" s="4" t="s">
        <v>1599</v>
      </c>
      <c r="S134" s="4">
        <v>45337</v>
      </c>
      <c r="T134" s="4">
        <v>47154</v>
      </c>
      <c r="U134" s="4">
        <v>2612000</v>
      </c>
      <c r="V134" s="4">
        <v>10</v>
      </c>
      <c r="W134" s="4">
        <v>261200</v>
      </c>
      <c r="X134" s="4">
        <v>2350800</v>
      </c>
      <c r="Y134" s="4">
        <v>2</v>
      </c>
      <c r="Z134" s="6">
        <v>47016</v>
      </c>
      <c r="AA134" s="4"/>
      <c r="AB134" s="4"/>
      <c r="AC134" s="4" t="s">
        <v>78</v>
      </c>
      <c r="AD134" s="4">
        <v>1141073002</v>
      </c>
      <c r="AE134" s="4">
        <v>45735</v>
      </c>
      <c r="AF134" s="4" t="s">
        <v>35</v>
      </c>
      <c r="AG134" s="4">
        <v>0</v>
      </c>
      <c r="AH134" s="4" t="s">
        <v>1594</v>
      </c>
      <c r="AI134" s="4"/>
      <c r="AJ134" s="6">
        <f>VLOOKUP(AH134,[1]Sheet1!$B$2:$AA$595,26,0)</f>
        <v>47016</v>
      </c>
      <c r="AK134" s="5">
        <f t="shared" si="2"/>
        <v>0</v>
      </c>
    </row>
    <row r="135" spans="1:37" x14ac:dyDescent="0.2">
      <c r="A135" s="9">
        <v>134</v>
      </c>
      <c r="B135" s="4" t="s">
        <v>610</v>
      </c>
      <c r="C135" s="4" t="s">
        <v>1600</v>
      </c>
      <c r="D135" s="4">
        <v>45689</v>
      </c>
      <c r="E135" s="4" t="s">
        <v>31</v>
      </c>
      <c r="F135" s="4" t="s">
        <v>1601</v>
      </c>
      <c r="G135" s="4">
        <v>45707</v>
      </c>
      <c r="H135" s="4">
        <v>46071</v>
      </c>
      <c r="I135" s="4" t="s">
        <v>1602</v>
      </c>
      <c r="J135" s="4">
        <v>3520223933577</v>
      </c>
      <c r="K135" s="4" t="s">
        <v>1603</v>
      </c>
      <c r="L135" s="4" t="s">
        <v>1604</v>
      </c>
      <c r="M135" s="4" t="s">
        <v>1605</v>
      </c>
      <c r="N135" s="4" t="s">
        <v>1606</v>
      </c>
      <c r="O135" s="4" t="s">
        <v>1600</v>
      </c>
      <c r="P135" s="4" t="s">
        <v>644</v>
      </c>
      <c r="Q135" s="4" t="s">
        <v>39</v>
      </c>
      <c r="R135" s="4" t="s">
        <v>1607</v>
      </c>
      <c r="S135" s="4">
        <v>45342</v>
      </c>
      <c r="T135" s="4">
        <v>46451</v>
      </c>
      <c r="U135" s="4">
        <v>8649000</v>
      </c>
      <c r="V135" s="4">
        <v>10</v>
      </c>
      <c r="W135" s="4">
        <v>864900</v>
      </c>
      <c r="X135" s="4">
        <v>7784100</v>
      </c>
      <c r="Y135" s="4">
        <v>1.5</v>
      </c>
      <c r="Z135" s="6">
        <v>116761.5</v>
      </c>
      <c r="AA135" s="4"/>
      <c r="AB135" s="4"/>
      <c r="AC135" s="4" t="s">
        <v>78</v>
      </c>
      <c r="AD135" s="4">
        <v>1141073002</v>
      </c>
      <c r="AE135" s="4">
        <v>45735</v>
      </c>
      <c r="AF135" s="4" t="s">
        <v>35</v>
      </c>
      <c r="AG135" s="4">
        <v>0</v>
      </c>
      <c r="AH135" s="4" t="s">
        <v>1601</v>
      </c>
      <c r="AI135" s="4"/>
      <c r="AJ135" s="6">
        <f>VLOOKUP(AH135,[1]Sheet1!$B$2:$AA$595,26,0)</f>
        <v>116762</v>
      </c>
      <c r="AK135" s="5">
        <f t="shared" si="2"/>
        <v>0.5</v>
      </c>
    </row>
    <row r="136" spans="1:37" x14ac:dyDescent="0.2">
      <c r="A136" s="9">
        <v>135</v>
      </c>
      <c r="B136" s="4" t="s">
        <v>610</v>
      </c>
      <c r="C136" s="4" t="s">
        <v>1608</v>
      </c>
      <c r="D136" s="4">
        <v>45689</v>
      </c>
      <c r="E136" s="4" t="s">
        <v>31</v>
      </c>
      <c r="F136" s="4" t="s">
        <v>1609</v>
      </c>
      <c r="G136" s="4">
        <v>45690</v>
      </c>
      <c r="H136" s="4">
        <v>46054</v>
      </c>
      <c r="I136" s="4" t="s">
        <v>1610</v>
      </c>
      <c r="J136" s="4">
        <v>3240214128211</v>
      </c>
      <c r="K136" s="4" t="s">
        <v>1611</v>
      </c>
      <c r="L136" s="4" t="s">
        <v>1612</v>
      </c>
      <c r="M136" s="4" t="s">
        <v>1613</v>
      </c>
      <c r="N136" s="4" t="s">
        <v>1614</v>
      </c>
      <c r="O136" s="4" t="s">
        <v>1608</v>
      </c>
      <c r="P136" s="4" t="s">
        <v>644</v>
      </c>
      <c r="Q136" s="4" t="s">
        <v>1615</v>
      </c>
      <c r="R136" s="4" t="s">
        <v>1616</v>
      </c>
      <c r="S136" s="4">
        <v>44964</v>
      </c>
      <c r="T136" s="4">
        <v>46788</v>
      </c>
      <c r="U136" s="4">
        <v>6820300</v>
      </c>
      <c r="V136" s="4">
        <v>15</v>
      </c>
      <c r="W136" s="4">
        <v>1023045</v>
      </c>
      <c r="X136" s="4">
        <v>5797255</v>
      </c>
      <c r="Y136" s="4">
        <v>1.5</v>
      </c>
      <c r="Z136" s="6">
        <v>86958.825000000012</v>
      </c>
      <c r="AA136" s="4"/>
      <c r="AB136" s="4"/>
      <c r="AC136" s="4" t="s">
        <v>78</v>
      </c>
      <c r="AD136" s="4">
        <v>1141073002</v>
      </c>
      <c r="AE136" s="4">
        <v>45735</v>
      </c>
      <c r="AF136" s="4" t="s">
        <v>35</v>
      </c>
      <c r="AG136" s="4">
        <v>0</v>
      </c>
      <c r="AH136" s="4" t="s">
        <v>1609</v>
      </c>
      <c r="AI136" s="4"/>
      <c r="AJ136" s="6">
        <f>VLOOKUP(AH136,[1]Sheet1!$B$2:$AA$595,26,0)</f>
        <v>86959</v>
      </c>
      <c r="AK136" s="5">
        <f t="shared" si="2"/>
        <v>0.17499999998835847</v>
      </c>
    </row>
    <row r="137" spans="1:37" x14ac:dyDescent="0.2">
      <c r="A137" s="9">
        <v>136</v>
      </c>
      <c r="B137" s="4" t="s">
        <v>610</v>
      </c>
      <c r="C137" s="4" t="s">
        <v>1617</v>
      </c>
      <c r="D137" s="4">
        <v>45689</v>
      </c>
      <c r="E137" s="4" t="s">
        <v>31</v>
      </c>
      <c r="F137" s="4" t="s">
        <v>1618</v>
      </c>
      <c r="G137" s="4">
        <v>45703</v>
      </c>
      <c r="H137" s="4">
        <v>46067</v>
      </c>
      <c r="I137" s="4" t="s">
        <v>1619</v>
      </c>
      <c r="J137" s="4">
        <v>3520224949057</v>
      </c>
      <c r="K137" s="4" t="s">
        <v>50</v>
      </c>
      <c r="L137" s="4" t="s">
        <v>1620</v>
      </c>
      <c r="M137" s="4" t="s">
        <v>1621</v>
      </c>
      <c r="N137" s="4" t="s">
        <v>1622</v>
      </c>
      <c r="O137" s="4" t="s">
        <v>1617</v>
      </c>
      <c r="P137" s="4" t="s">
        <v>644</v>
      </c>
      <c r="Q137" s="4" t="s">
        <v>39</v>
      </c>
      <c r="R137" s="4" t="s">
        <v>1623</v>
      </c>
      <c r="S137" s="4">
        <v>44974</v>
      </c>
      <c r="T137" s="4">
        <v>46086</v>
      </c>
      <c r="U137" s="4">
        <v>4500000</v>
      </c>
      <c r="V137" s="4">
        <v>15</v>
      </c>
      <c r="W137" s="4">
        <v>675000</v>
      </c>
      <c r="X137" s="4">
        <v>3825000</v>
      </c>
      <c r="Y137" s="4">
        <v>1.5</v>
      </c>
      <c r="Z137" s="6">
        <v>57375</v>
      </c>
      <c r="AA137" s="4"/>
      <c r="AB137" s="4"/>
      <c r="AC137" s="4" t="s">
        <v>78</v>
      </c>
      <c r="AD137" s="4">
        <v>1141073002</v>
      </c>
      <c r="AE137" s="4">
        <v>45735</v>
      </c>
      <c r="AF137" s="4" t="s">
        <v>35</v>
      </c>
      <c r="AG137" s="4">
        <v>0</v>
      </c>
      <c r="AH137" s="4" t="s">
        <v>1618</v>
      </c>
      <c r="AI137" s="4"/>
      <c r="AJ137" s="6">
        <f>VLOOKUP(AH137,[1]Sheet1!$B$2:$AA$595,26,0)</f>
        <v>57375</v>
      </c>
      <c r="AK137" s="5">
        <f t="shared" si="2"/>
        <v>0</v>
      </c>
    </row>
    <row r="138" spans="1:37" x14ac:dyDescent="0.2">
      <c r="A138" s="9">
        <v>137</v>
      </c>
      <c r="B138" s="4" t="s">
        <v>610</v>
      </c>
      <c r="C138" s="4" t="s">
        <v>1624</v>
      </c>
      <c r="D138" s="4">
        <v>45689</v>
      </c>
      <c r="E138" s="4" t="s">
        <v>31</v>
      </c>
      <c r="F138" s="4" t="s">
        <v>1625</v>
      </c>
      <c r="G138" s="4">
        <v>45704</v>
      </c>
      <c r="H138" s="4">
        <v>46068</v>
      </c>
      <c r="I138" s="4" t="s">
        <v>1626</v>
      </c>
      <c r="J138" s="4">
        <v>3520284407459</v>
      </c>
      <c r="K138" s="4" t="s">
        <v>622</v>
      </c>
      <c r="L138" s="4" t="s">
        <v>1627</v>
      </c>
      <c r="M138" s="4" t="s">
        <v>1628</v>
      </c>
      <c r="N138" s="4" t="s">
        <v>1629</v>
      </c>
      <c r="O138" s="4" t="s">
        <v>1624</v>
      </c>
      <c r="P138" s="4" t="s">
        <v>644</v>
      </c>
      <c r="Q138" s="4" t="s">
        <v>39</v>
      </c>
      <c r="R138" s="4" t="s">
        <v>1630</v>
      </c>
      <c r="S138" s="4">
        <v>44974</v>
      </c>
      <c r="T138" s="4">
        <v>46818</v>
      </c>
      <c r="U138" s="4">
        <v>2165000</v>
      </c>
      <c r="V138" s="4">
        <v>15</v>
      </c>
      <c r="W138" s="4">
        <v>324750</v>
      </c>
      <c r="X138" s="4">
        <v>1840250</v>
      </c>
      <c r="Y138" s="4">
        <v>2</v>
      </c>
      <c r="Z138" s="6">
        <v>36805</v>
      </c>
      <c r="AA138" s="4"/>
      <c r="AB138" s="4"/>
      <c r="AC138" s="4" t="s">
        <v>78</v>
      </c>
      <c r="AD138" s="4">
        <v>1141073002</v>
      </c>
      <c r="AE138" s="4">
        <v>45735</v>
      </c>
      <c r="AF138" s="4" t="s">
        <v>35</v>
      </c>
      <c r="AG138" s="4">
        <v>0</v>
      </c>
      <c r="AH138" s="4" t="s">
        <v>1625</v>
      </c>
      <c r="AI138" s="4"/>
      <c r="AJ138" s="6">
        <f>VLOOKUP(AH138,[1]Sheet1!$B$2:$AA$595,26,0)</f>
        <v>36805</v>
      </c>
      <c r="AK138" s="5">
        <f t="shared" si="2"/>
        <v>0</v>
      </c>
    </row>
    <row r="139" spans="1:37" x14ac:dyDescent="0.2">
      <c r="A139" s="9">
        <v>138</v>
      </c>
      <c r="B139" s="4" t="s">
        <v>610</v>
      </c>
      <c r="C139" s="4" t="s">
        <v>1631</v>
      </c>
      <c r="D139" s="4">
        <v>45689</v>
      </c>
      <c r="E139" s="4" t="s">
        <v>31</v>
      </c>
      <c r="F139" s="4" t="s">
        <v>1632</v>
      </c>
      <c r="G139" s="4">
        <v>45704</v>
      </c>
      <c r="H139" s="4">
        <v>46068</v>
      </c>
      <c r="I139" s="4" t="s">
        <v>1633</v>
      </c>
      <c r="J139" s="4">
        <v>4250135002487</v>
      </c>
      <c r="K139" s="4" t="s">
        <v>41</v>
      </c>
      <c r="L139" s="4" t="s">
        <v>1634</v>
      </c>
      <c r="M139" s="4" t="s">
        <v>1635</v>
      </c>
      <c r="N139" s="4" t="s">
        <v>1636</v>
      </c>
      <c r="O139" s="4" t="s">
        <v>1631</v>
      </c>
      <c r="P139" s="4" t="s">
        <v>44</v>
      </c>
      <c r="Q139" s="4" t="s">
        <v>45</v>
      </c>
      <c r="R139" s="4" t="s">
        <v>1637</v>
      </c>
      <c r="S139" s="4">
        <v>44977</v>
      </c>
      <c r="T139" s="4">
        <v>46818</v>
      </c>
      <c r="U139" s="4">
        <v>2050000</v>
      </c>
      <c r="V139" s="4">
        <v>15</v>
      </c>
      <c r="W139" s="4">
        <v>307500</v>
      </c>
      <c r="X139" s="4">
        <v>1742500</v>
      </c>
      <c r="Y139" s="4">
        <v>1.5</v>
      </c>
      <c r="Z139" s="6">
        <v>26137.5</v>
      </c>
      <c r="AA139" s="4"/>
      <c r="AB139" s="4"/>
      <c r="AC139" s="4" t="s">
        <v>78</v>
      </c>
      <c r="AD139" s="4">
        <v>1141073002</v>
      </c>
      <c r="AE139" s="4">
        <v>45735</v>
      </c>
      <c r="AF139" s="4" t="s">
        <v>35</v>
      </c>
      <c r="AG139" s="4">
        <v>0</v>
      </c>
      <c r="AH139" s="4" t="s">
        <v>1632</v>
      </c>
      <c r="AI139" s="4"/>
      <c r="AJ139" s="6">
        <f>VLOOKUP(AH139,[1]Sheet1!$B$2:$AA$595,26,0)</f>
        <v>26138</v>
      </c>
      <c r="AK139" s="5">
        <f t="shared" si="2"/>
        <v>0.5</v>
      </c>
    </row>
    <row r="140" spans="1:37" x14ac:dyDescent="0.2">
      <c r="A140" s="9">
        <v>139</v>
      </c>
      <c r="B140" s="4" t="s">
        <v>610</v>
      </c>
      <c r="C140" s="4" t="s">
        <v>1638</v>
      </c>
      <c r="D140" s="4">
        <v>45689</v>
      </c>
      <c r="E140" s="4" t="s">
        <v>31</v>
      </c>
      <c r="F140" s="4" t="s">
        <v>1639</v>
      </c>
      <c r="G140" s="4">
        <v>45706</v>
      </c>
      <c r="H140" s="4">
        <v>46070</v>
      </c>
      <c r="I140" s="4" t="s">
        <v>1640</v>
      </c>
      <c r="J140" s="4">
        <v>4210137612593</v>
      </c>
      <c r="K140" s="4" t="s">
        <v>89</v>
      </c>
      <c r="L140" s="4" t="s">
        <v>1641</v>
      </c>
      <c r="M140" s="4" t="s">
        <v>1642</v>
      </c>
      <c r="N140" s="4" t="s">
        <v>1643</v>
      </c>
      <c r="O140" s="4" t="s">
        <v>1638</v>
      </c>
      <c r="P140" s="4" t="s">
        <v>44</v>
      </c>
      <c r="Q140" s="4" t="s">
        <v>45</v>
      </c>
      <c r="R140" s="4" t="s">
        <v>1644</v>
      </c>
      <c r="S140" s="4">
        <v>44978</v>
      </c>
      <c r="T140" s="4">
        <v>46451</v>
      </c>
      <c r="U140" s="4">
        <v>2400000</v>
      </c>
      <c r="V140" s="4">
        <v>15</v>
      </c>
      <c r="W140" s="4">
        <v>360000</v>
      </c>
      <c r="X140" s="4">
        <v>2040000</v>
      </c>
      <c r="Y140" s="4">
        <v>2</v>
      </c>
      <c r="Z140" s="6">
        <v>40800</v>
      </c>
      <c r="AA140" s="4"/>
      <c r="AB140" s="4"/>
      <c r="AC140" s="4" t="s">
        <v>78</v>
      </c>
      <c r="AD140" s="4">
        <v>1141073002</v>
      </c>
      <c r="AE140" s="4">
        <v>45735</v>
      </c>
      <c r="AF140" s="4" t="s">
        <v>35</v>
      </c>
      <c r="AG140" s="4">
        <v>0</v>
      </c>
      <c r="AH140" s="4" t="s">
        <v>1639</v>
      </c>
      <c r="AI140" s="4"/>
      <c r="AJ140" s="6">
        <f>VLOOKUP(AH140,[1]Sheet1!$B$2:$AA$595,26,0)</f>
        <v>40800</v>
      </c>
      <c r="AK140" s="5">
        <f t="shared" si="2"/>
        <v>0</v>
      </c>
    </row>
    <row r="141" spans="1:37" x14ac:dyDescent="0.2">
      <c r="A141" s="9">
        <v>140</v>
      </c>
      <c r="B141" s="4" t="s">
        <v>610</v>
      </c>
      <c r="C141" s="4" t="s">
        <v>1645</v>
      </c>
      <c r="D141" s="4">
        <v>45689</v>
      </c>
      <c r="E141" s="4" t="s">
        <v>31</v>
      </c>
      <c r="F141" s="4" t="s">
        <v>1646</v>
      </c>
      <c r="G141" s="4">
        <v>45708</v>
      </c>
      <c r="H141" s="4">
        <v>46072</v>
      </c>
      <c r="I141" s="4" t="s">
        <v>648</v>
      </c>
      <c r="J141" s="4">
        <v>3520276260271</v>
      </c>
      <c r="K141" s="4" t="s">
        <v>634</v>
      </c>
      <c r="L141" s="4" t="s">
        <v>1647</v>
      </c>
      <c r="M141" s="4" t="s">
        <v>1648</v>
      </c>
      <c r="N141" s="4" t="s">
        <v>1649</v>
      </c>
      <c r="O141" s="4" t="s">
        <v>1645</v>
      </c>
      <c r="P141" s="4" t="s">
        <v>644</v>
      </c>
      <c r="Q141" s="4" t="s">
        <v>39</v>
      </c>
      <c r="R141" s="4" t="s">
        <v>1650</v>
      </c>
      <c r="S141" s="4">
        <v>44978</v>
      </c>
      <c r="T141" s="4">
        <v>46818</v>
      </c>
      <c r="U141" s="4">
        <v>2350000</v>
      </c>
      <c r="V141" s="4">
        <v>15</v>
      </c>
      <c r="W141" s="4">
        <v>352500</v>
      </c>
      <c r="X141" s="4">
        <v>1997500</v>
      </c>
      <c r="Y141" s="4">
        <v>2</v>
      </c>
      <c r="Z141" s="6">
        <v>39950</v>
      </c>
      <c r="AA141" s="4"/>
      <c r="AB141" s="4"/>
      <c r="AC141" s="4" t="s">
        <v>78</v>
      </c>
      <c r="AD141" s="4">
        <v>1141073002</v>
      </c>
      <c r="AE141" s="4">
        <v>45735</v>
      </c>
      <c r="AF141" s="4" t="s">
        <v>35</v>
      </c>
      <c r="AG141" s="4">
        <v>0</v>
      </c>
      <c r="AH141" s="4" t="s">
        <v>1646</v>
      </c>
      <c r="AI141" s="4"/>
      <c r="AJ141" s="6">
        <f>VLOOKUP(AH141,[1]Sheet1!$B$2:$AA$595,26,0)</f>
        <v>39950</v>
      </c>
      <c r="AK141" s="5">
        <f t="shared" si="2"/>
        <v>0</v>
      </c>
    </row>
    <row r="142" spans="1:37" x14ac:dyDescent="0.2">
      <c r="A142" s="9">
        <v>141</v>
      </c>
      <c r="B142" s="4" t="s">
        <v>610</v>
      </c>
      <c r="C142" s="4" t="s">
        <v>1651</v>
      </c>
      <c r="D142" s="4">
        <v>45689</v>
      </c>
      <c r="E142" s="4" t="s">
        <v>31</v>
      </c>
      <c r="F142" s="4" t="s">
        <v>1652</v>
      </c>
      <c r="G142" s="4">
        <v>45708</v>
      </c>
      <c r="H142" s="4">
        <v>46072</v>
      </c>
      <c r="I142" s="4" t="s">
        <v>1653</v>
      </c>
      <c r="J142" s="4">
        <v>3630290597023</v>
      </c>
      <c r="K142" s="4" t="s">
        <v>1654</v>
      </c>
      <c r="L142" s="4" t="s">
        <v>1655</v>
      </c>
      <c r="M142" s="4" t="s">
        <v>1656</v>
      </c>
      <c r="N142" s="4" t="s">
        <v>1657</v>
      </c>
      <c r="O142" s="4" t="s">
        <v>1651</v>
      </c>
      <c r="P142" s="4" t="s">
        <v>644</v>
      </c>
      <c r="Q142" s="4" t="s">
        <v>54</v>
      </c>
      <c r="R142" s="4" t="s">
        <v>1658</v>
      </c>
      <c r="S142" s="4">
        <v>44980</v>
      </c>
      <c r="T142" s="4">
        <v>46086</v>
      </c>
      <c r="U142" s="4">
        <v>4150000</v>
      </c>
      <c r="V142" s="4">
        <v>15</v>
      </c>
      <c r="W142" s="4">
        <v>622500</v>
      </c>
      <c r="X142" s="4">
        <v>3527500</v>
      </c>
      <c r="Y142" s="4">
        <v>1.5</v>
      </c>
      <c r="Z142" s="6">
        <v>52912.5</v>
      </c>
      <c r="AA142" s="4"/>
      <c r="AB142" s="4"/>
      <c r="AC142" s="4" t="s">
        <v>78</v>
      </c>
      <c r="AD142" s="4">
        <v>1141073002</v>
      </c>
      <c r="AE142" s="4">
        <v>45735</v>
      </c>
      <c r="AF142" s="4" t="s">
        <v>35</v>
      </c>
      <c r="AG142" s="4">
        <v>0</v>
      </c>
      <c r="AH142" s="4" t="s">
        <v>1652</v>
      </c>
      <c r="AI142" s="4"/>
      <c r="AJ142" s="6">
        <f>VLOOKUP(AH142,[1]Sheet1!$B$2:$AA$595,26,0)</f>
        <v>52913</v>
      </c>
      <c r="AK142" s="5">
        <f t="shared" si="2"/>
        <v>0.5</v>
      </c>
    </row>
    <row r="143" spans="1:37" x14ac:dyDescent="0.2">
      <c r="A143" s="9">
        <v>142</v>
      </c>
      <c r="B143" s="4" t="s">
        <v>610</v>
      </c>
      <c r="C143" s="4" t="s">
        <v>1659</v>
      </c>
      <c r="D143" s="4">
        <v>45689</v>
      </c>
      <c r="E143" s="4" t="s">
        <v>31</v>
      </c>
      <c r="F143" s="4" t="s">
        <v>1660</v>
      </c>
      <c r="G143" s="4">
        <v>45709</v>
      </c>
      <c r="H143" s="4">
        <v>46073</v>
      </c>
      <c r="I143" s="4" t="s">
        <v>1661</v>
      </c>
      <c r="J143" s="4">
        <v>3720153428470</v>
      </c>
      <c r="K143" s="4" t="s">
        <v>68</v>
      </c>
      <c r="L143" s="4" t="s">
        <v>1662</v>
      </c>
      <c r="M143" s="4" t="s">
        <v>1663</v>
      </c>
      <c r="N143" s="4" t="s">
        <v>1664</v>
      </c>
      <c r="O143" s="4" t="s">
        <v>1659</v>
      </c>
      <c r="P143" s="4" t="s">
        <v>645</v>
      </c>
      <c r="Q143" s="4" t="s">
        <v>1361</v>
      </c>
      <c r="R143" s="4" t="s">
        <v>1665</v>
      </c>
      <c r="S143" s="4">
        <v>44980</v>
      </c>
      <c r="T143" s="4">
        <v>46818</v>
      </c>
      <c r="U143" s="4">
        <v>2350000</v>
      </c>
      <c r="V143" s="4">
        <v>15</v>
      </c>
      <c r="W143" s="4">
        <v>352500</v>
      </c>
      <c r="X143" s="4">
        <v>1997500</v>
      </c>
      <c r="Y143" s="4">
        <v>2</v>
      </c>
      <c r="Z143" s="6">
        <v>39950</v>
      </c>
      <c r="AA143" s="4"/>
      <c r="AB143" s="4"/>
      <c r="AC143" s="4" t="s">
        <v>78</v>
      </c>
      <c r="AD143" s="4">
        <v>1141073002</v>
      </c>
      <c r="AE143" s="4">
        <v>45735</v>
      </c>
      <c r="AF143" s="4" t="s">
        <v>35</v>
      </c>
      <c r="AG143" s="4">
        <v>0</v>
      </c>
      <c r="AH143" s="4" t="s">
        <v>1660</v>
      </c>
      <c r="AI143" s="4"/>
      <c r="AJ143" s="6">
        <f>VLOOKUP(AH143,[1]Sheet1!$B$2:$AA$595,26,0)</f>
        <v>39950</v>
      </c>
      <c r="AK143" s="5">
        <f t="shared" si="2"/>
        <v>0</v>
      </c>
    </row>
    <row r="144" spans="1:37" x14ac:dyDescent="0.2">
      <c r="A144" s="9">
        <v>143</v>
      </c>
      <c r="B144" s="4" t="s">
        <v>610</v>
      </c>
      <c r="C144" s="4" t="s">
        <v>1666</v>
      </c>
      <c r="D144" s="4">
        <v>45689</v>
      </c>
      <c r="E144" s="4" t="s">
        <v>31</v>
      </c>
      <c r="F144" s="4" t="s">
        <v>1667</v>
      </c>
      <c r="G144" s="4">
        <v>45709</v>
      </c>
      <c r="H144" s="4">
        <v>46073</v>
      </c>
      <c r="I144" s="4" t="s">
        <v>1668</v>
      </c>
      <c r="J144" s="4">
        <v>3310301429587</v>
      </c>
      <c r="K144" s="4" t="s">
        <v>301</v>
      </c>
      <c r="L144" s="4" t="s">
        <v>1669</v>
      </c>
      <c r="M144" s="4" t="s">
        <v>1670</v>
      </c>
      <c r="N144" s="4" t="s">
        <v>1671</v>
      </c>
      <c r="O144" s="4" t="s">
        <v>1666</v>
      </c>
      <c r="P144" s="4" t="s">
        <v>644</v>
      </c>
      <c r="Q144" s="4" t="s">
        <v>46</v>
      </c>
      <c r="R144" s="4" t="s">
        <v>1672</v>
      </c>
      <c r="S144" s="4">
        <v>44980</v>
      </c>
      <c r="T144" s="4">
        <v>46086</v>
      </c>
      <c r="U144" s="4">
        <v>3300000</v>
      </c>
      <c r="V144" s="4">
        <v>15</v>
      </c>
      <c r="W144" s="4">
        <v>495000</v>
      </c>
      <c r="X144" s="4">
        <v>2805000</v>
      </c>
      <c r="Y144" s="4">
        <v>2</v>
      </c>
      <c r="Z144" s="6">
        <v>56100</v>
      </c>
      <c r="AA144" s="4"/>
      <c r="AB144" s="4"/>
      <c r="AC144" s="4" t="s">
        <v>78</v>
      </c>
      <c r="AD144" s="4">
        <v>1141073002</v>
      </c>
      <c r="AE144" s="4">
        <v>45735</v>
      </c>
      <c r="AF144" s="4" t="s">
        <v>35</v>
      </c>
      <c r="AG144" s="4">
        <v>0</v>
      </c>
      <c r="AH144" s="4" t="s">
        <v>1667</v>
      </c>
      <c r="AI144" s="4"/>
      <c r="AJ144" s="6">
        <f>VLOOKUP(AH144,[1]Sheet1!$B$2:$AA$595,26,0)</f>
        <v>56100</v>
      </c>
      <c r="AK144" s="5">
        <f t="shared" si="2"/>
        <v>0</v>
      </c>
    </row>
    <row r="145" spans="1:37" x14ac:dyDescent="0.2">
      <c r="A145" s="9">
        <v>144</v>
      </c>
      <c r="B145" s="4" t="s">
        <v>610</v>
      </c>
      <c r="C145" s="4" t="s">
        <v>1673</v>
      </c>
      <c r="D145" s="4">
        <v>45689</v>
      </c>
      <c r="E145" s="4" t="s">
        <v>31</v>
      </c>
      <c r="F145" s="4" t="s">
        <v>1674</v>
      </c>
      <c r="G145" s="4">
        <v>45707</v>
      </c>
      <c r="H145" s="4">
        <v>46071</v>
      </c>
      <c r="I145" s="4" t="s">
        <v>1675</v>
      </c>
      <c r="J145" s="4">
        <v>3820195717463</v>
      </c>
      <c r="K145" s="4" t="s">
        <v>68</v>
      </c>
      <c r="L145" s="4" t="s">
        <v>1676</v>
      </c>
      <c r="M145" s="4" t="s">
        <v>1677</v>
      </c>
      <c r="N145" s="4" t="s">
        <v>1678</v>
      </c>
      <c r="O145" s="4" t="s">
        <v>1673</v>
      </c>
      <c r="P145" s="4" t="s">
        <v>645</v>
      </c>
      <c r="Q145" s="4" t="s">
        <v>34</v>
      </c>
      <c r="R145" s="4" t="s">
        <v>1679</v>
      </c>
      <c r="S145" s="4">
        <v>45345</v>
      </c>
      <c r="T145" s="4">
        <v>47182</v>
      </c>
      <c r="U145" s="4">
        <v>2550000</v>
      </c>
      <c r="V145" s="4">
        <v>10</v>
      </c>
      <c r="W145" s="4">
        <v>255000</v>
      </c>
      <c r="X145" s="4">
        <v>2295000</v>
      </c>
      <c r="Y145" s="4">
        <v>2</v>
      </c>
      <c r="Z145" s="6">
        <v>45900</v>
      </c>
      <c r="AA145" s="4"/>
      <c r="AB145" s="4"/>
      <c r="AC145" s="4" t="s">
        <v>78</v>
      </c>
      <c r="AD145" s="4">
        <v>1141073002</v>
      </c>
      <c r="AE145" s="4">
        <v>45735</v>
      </c>
      <c r="AF145" s="4" t="s">
        <v>35</v>
      </c>
      <c r="AG145" s="4">
        <v>0</v>
      </c>
      <c r="AH145" s="4" t="s">
        <v>1674</v>
      </c>
      <c r="AI145" s="4"/>
      <c r="AJ145" s="6">
        <f>VLOOKUP(AH145,[1]Sheet1!$B$2:$AA$595,26,0)</f>
        <v>45900</v>
      </c>
      <c r="AK145" s="5">
        <f t="shared" si="2"/>
        <v>0</v>
      </c>
    </row>
    <row r="146" spans="1:37" x14ac:dyDescent="0.2">
      <c r="A146" s="9">
        <v>145</v>
      </c>
      <c r="B146" s="4" t="s">
        <v>610</v>
      </c>
      <c r="C146" s="4" t="s">
        <v>1680</v>
      </c>
      <c r="D146" s="4">
        <v>45689</v>
      </c>
      <c r="E146" s="4" t="s">
        <v>31</v>
      </c>
      <c r="F146" s="4" t="s">
        <v>1681</v>
      </c>
      <c r="G146" s="4">
        <v>45694</v>
      </c>
      <c r="H146" s="4">
        <v>46058</v>
      </c>
      <c r="I146" s="4" t="s">
        <v>1682</v>
      </c>
      <c r="J146" s="4">
        <v>3520292266085</v>
      </c>
      <c r="K146" s="4" t="s">
        <v>647</v>
      </c>
      <c r="L146" s="4" t="s">
        <v>1683</v>
      </c>
      <c r="M146" s="4" t="s">
        <v>1684</v>
      </c>
      <c r="N146" s="4" t="s">
        <v>1685</v>
      </c>
      <c r="O146" s="4" t="s">
        <v>1680</v>
      </c>
      <c r="P146" s="4" t="s">
        <v>644</v>
      </c>
      <c r="Q146" s="4" t="s">
        <v>39</v>
      </c>
      <c r="R146" s="4" t="s">
        <v>1686</v>
      </c>
      <c r="S146" s="4">
        <v>44963</v>
      </c>
      <c r="T146" s="4">
        <v>46058</v>
      </c>
      <c r="U146" s="4">
        <v>6799000</v>
      </c>
      <c r="V146" s="4">
        <v>15</v>
      </c>
      <c r="W146" s="4">
        <v>1019850</v>
      </c>
      <c r="X146" s="4">
        <v>5779150</v>
      </c>
      <c r="Y146" s="4">
        <v>1.5</v>
      </c>
      <c r="Z146" s="6">
        <v>86687.25</v>
      </c>
      <c r="AA146" s="4"/>
      <c r="AB146" s="4"/>
      <c r="AC146" s="4" t="s">
        <v>78</v>
      </c>
      <c r="AD146" s="4">
        <v>1141073002</v>
      </c>
      <c r="AE146" s="4">
        <v>45735</v>
      </c>
      <c r="AF146" s="4" t="s">
        <v>35</v>
      </c>
      <c r="AG146" s="4">
        <v>0</v>
      </c>
      <c r="AH146" s="4" t="s">
        <v>1681</v>
      </c>
      <c r="AI146" s="4"/>
      <c r="AJ146" s="6">
        <f>VLOOKUP(AH146,[1]Sheet1!$B$2:$AA$595,26,0)</f>
        <v>86687</v>
      </c>
      <c r="AK146" s="5">
        <f t="shared" si="2"/>
        <v>-0.25</v>
      </c>
    </row>
    <row r="147" spans="1:37" x14ac:dyDescent="0.2">
      <c r="A147" s="9">
        <v>146</v>
      </c>
      <c r="B147" s="4" t="s">
        <v>610</v>
      </c>
      <c r="C147" s="4" t="s">
        <v>1687</v>
      </c>
      <c r="D147" s="4">
        <v>45689</v>
      </c>
      <c r="E147" s="4" t="s">
        <v>31</v>
      </c>
      <c r="F147" s="4" t="s">
        <v>1688</v>
      </c>
      <c r="G147" s="4">
        <v>45710</v>
      </c>
      <c r="H147" s="4">
        <v>46074</v>
      </c>
      <c r="I147" s="4" t="s">
        <v>1689</v>
      </c>
      <c r="J147" s="4">
        <v>3520223848799</v>
      </c>
      <c r="K147" s="4" t="s">
        <v>622</v>
      </c>
      <c r="L147" s="4" t="s">
        <v>1690</v>
      </c>
      <c r="M147" s="4" t="s">
        <v>1691</v>
      </c>
      <c r="N147" s="4" t="s">
        <v>1692</v>
      </c>
      <c r="O147" s="4" t="s">
        <v>1687</v>
      </c>
      <c r="P147" s="4" t="s">
        <v>644</v>
      </c>
      <c r="Q147" s="4" t="s">
        <v>39</v>
      </c>
      <c r="R147" s="4" t="s">
        <v>1693</v>
      </c>
      <c r="S147" s="4">
        <v>44980</v>
      </c>
      <c r="T147" s="4">
        <v>46818</v>
      </c>
      <c r="U147" s="4">
        <v>2890000</v>
      </c>
      <c r="V147" s="4">
        <v>15</v>
      </c>
      <c r="W147" s="4">
        <v>433500</v>
      </c>
      <c r="X147" s="4">
        <v>2456500</v>
      </c>
      <c r="Y147" s="4">
        <v>1.5</v>
      </c>
      <c r="Z147" s="6">
        <v>36847.5</v>
      </c>
      <c r="AA147" s="4"/>
      <c r="AB147" s="4"/>
      <c r="AC147" s="4" t="s">
        <v>78</v>
      </c>
      <c r="AD147" s="4">
        <v>1141073002</v>
      </c>
      <c r="AE147" s="4">
        <v>45735</v>
      </c>
      <c r="AF147" s="4" t="s">
        <v>35</v>
      </c>
      <c r="AG147" s="4">
        <v>0</v>
      </c>
      <c r="AH147" s="4" t="s">
        <v>1688</v>
      </c>
      <c r="AI147" s="4"/>
      <c r="AJ147" s="6">
        <f>VLOOKUP(AH147,[1]Sheet1!$B$2:$AA$595,26,0)</f>
        <v>36848</v>
      </c>
      <c r="AK147" s="5">
        <f t="shared" si="2"/>
        <v>0.5</v>
      </c>
    </row>
    <row r="148" spans="1:37" x14ac:dyDescent="0.2">
      <c r="A148" s="9">
        <v>147</v>
      </c>
      <c r="B148" s="4" t="s">
        <v>610</v>
      </c>
      <c r="C148" s="4" t="s">
        <v>1694</v>
      </c>
      <c r="D148" s="4">
        <v>45689</v>
      </c>
      <c r="E148" s="4" t="s">
        <v>31</v>
      </c>
      <c r="F148" s="4" t="s">
        <v>1695</v>
      </c>
      <c r="G148" s="4">
        <v>45711</v>
      </c>
      <c r="H148" s="4">
        <v>46075</v>
      </c>
      <c r="I148" s="4" t="s">
        <v>48</v>
      </c>
      <c r="J148" s="4">
        <v>4240119265515</v>
      </c>
      <c r="K148" s="4" t="s">
        <v>43</v>
      </c>
      <c r="L148" s="4" t="s">
        <v>1696</v>
      </c>
      <c r="M148" s="4" t="s">
        <v>1697</v>
      </c>
      <c r="N148" s="4" t="s">
        <v>1698</v>
      </c>
      <c r="O148" s="4" t="s">
        <v>1694</v>
      </c>
      <c r="P148" s="4" t="s">
        <v>44</v>
      </c>
      <c r="Q148" s="4" t="s">
        <v>45</v>
      </c>
      <c r="R148" s="4" t="s">
        <v>1699</v>
      </c>
      <c r="S148" s="4">
        <v>44984</v>
      </c>
      <c r="T148" s="4">
        <v>46818</v>
      </c>
      <c r="U148" s="4">
        <v>2250000</v>
      </c>
      <c r="V148" s="4">
        <v>15</v>
      </c>
      <c r="W148" s="4">
        <v>337500</v>
      </c>
      <c r="X148" s="4">
        <v>1912500</v>
      </c>
      <c r="Y148" s="4">
        <v>2</v>
      </c>
      <c r="Z148" s="6">
        <v>38250</v>
      </c>
      <c r="AA148" s="4"/>
      <c r="AB148" s="4"/>
      <c r="AC148" s="4" t="s">
        <v>78</v>
      </c>
      <c r="AD148" s="4">
        <v>1141073002</v>
      </c>
      <c r="AE148" s="4">
        <v>45735</v>
      </c>
      <c r="AF148" s="4" t="s">
        <v>35</v>
      </c>
      <c r="AG148" s="4">
        <v>0</v>
      </c>
      <c r="AH148" s="4" t="s">
        <v>1695</v>
      </c>
      <c r="AI148" s="4"/>
      <c r="AJ148" s="6">
        <f>VLOOKUP(AH148,[1]Sheet1!$B$2:$AA$595,26,0)</f>
        <v>38250</v>
      </c>
      <c r="AK148" s="5">
        <f t="shared" si="2"/>
        <v>0</v>
      </c>
    </row>
    <row r="149" spans="1:37" x14ac:dyDescent="0.2">
      <c r="A149" s="9">
        <v>148</v>
      </c>
      <c r="B149" s="4" t="s">
        <v>610</v>
      </c>
      <c r="C149" s="4" t="s">
        <v>1700</v>
      </c>
      <c r="D149" s="4">
        <v>45689</v>
      </c>
      <c r="E149" s="4" t="s">
        <v>31</v>
      </c>
      <c r="F149" s="4" t="s">
        <v>1701</v>
      </c>
      <c r="G149" s="4">
        <v>45711</v>
      </c>
      <c r="H149" s="4">
        <v>46075</v>
      </c>
      <c r="I149" s="4" t="s">
        <v>1702</v>
      </c>
      <c r="J149" s="4">
        <v>3520254134163</v>
      </c>
      <c r="K149" s="4" t="s">
        <v>32</v>
      </c>
      <c r="L149" s="4" t="s">
        <v>1703</v>
      </c>
      <c r="M149" s="4" t="s">
        <v>1704</v>
      </c>
      <c r="N149" s="4" t="s">
        <v>1705</v>
      </c>
      <c r="O149" s="4" t="s">
        <v>1700</v>
      </c>
      <c r="P149" s="4" t="s">
        <v>644</v>
      </c>
      <c r="Q149" s="4" t="s">
        <v>39</v>
      </c>
      <c r="R149" s="4" t="s">
        <v>1706</v>
      </c>
      <c r="S149" s="4">
        <v>44985</v>
      </c>
      <c r="T149" s="4">
        <v>46818</v>
      </c>
      <c r="U149" s="4">
        <v>2875000</v>
      </c>
      <c r="V149" s="4">
        <v>15</v>
      </c>
      <c r="W149" s="4">
        <v>431250</v>
      </c>
      <c r="X149" s="4">
        <v>2443750</v>
      </c>
      <c r="Y149" s="4">
        <v>2</v>
      </c>
      <c r="Z149" s="6">
        <v>48875</v>
      </c>
      <c r="AA149" s="4"/>
      <c r="AB149" s="4"/>
      <c r="AC149" s="4" t="s">
        <v>78</v>
      </c>
      <c r="AD149" s="4">
        <v>1141073002</v>
      </c>
      <c r="AE149" s="4">
        <v>45735</v>
      </c>
      <c r="AF149" s="4" t="s">
        <v>35</v>
      </c>
      <c r="AG149" s="4">
        <v>0</v>
      </c>
      <c r="AH149" s="4" t="s">
        <v>1701</v>
      </c>
      <c r="AI149" s="4"/>
      <c r="AJ149" s="6">
        <f>VLOOKUP(AH149,[1]Sheet1!$B$2:$AA$595,26,0)</f>
        <v>48875</v>
      </c>
      <c r="AK149" s="5">
        <f t="shared" si="2"/>
        <v>0</v>
      </c>
    </row>
    <row r="150" spans="1:37" x14ac:dyDescent="0.2">
      <c r="A150" s="9">
        <v>149</v>
      </c>
      <c r="B150" s="4" t="s">
        <v>610</v>
      </c>
      <c r="C150" s="4" t="s">
        <v>1707</v>
      </c>
      <c r="D150" s="4">
        <v>45689</v>
      </c>
      <c r="E150" s="4" t="s">
        <v>31</v>
      </c>
      <c r="F150" s="4" t="s">
        <v>1708</v>
      </c>
      <c r="G150" s="4">
        <v>45712</v>
      </c>
      <c r="H150" s="4">
        <v>46076</v>
      </c>
      <c r="I150" s="4" t="s">
        <v>1709</v>
      </c>
      <c r="J150" s="4">
        <v>4220127731241</v>
      </c>
      <c r="K150" s="4" t="s">
        <v>630</v>
      </c>
      <c r="L150" s="4" t="s">
        <v>1710</v>
      </c>
      <c r="M150" s="4" t="s">
        <v>1711</v>
      </c>
      <c r="N150" s="4" t="s">
        <v>1712</v>
      </c>
      <c r="O150" s="4" t="s">
        <v>1707</v>
      </c>
      <c r="P150" s="4" t="s">
        <v>44</v>
      </c>
      <c r="Q150" s="4" t="s">
        <v>45</v>
      </c>
      <c r="R150" s="4" t="s">
        <v>1713</v>
      </c>
      <c r="S150" s="4">
        <v>44984</v>
      </c>
      <c r="T150" s="4">
        <v>46086</v>
      </c>
      <c r="U150" s="4">
        <v>2900000</v>
      </c>
      <c r="V150" s="4">
        <v>15</v>
      </c>
      <c r="W150" s="4">
        <v>435000</v>
      </c>
      <c r="X150" s="4">
        <v>2465000</v>
      </c>
      <c r="Y150" s="4">
        <v>2</v>
      </c>
      <c r="Z150" s="6">
        <v>49300</v>
      </c>
      <c r="AA150" s="4"/>
      <c r="AB150" s="4"/>
      <c r="AC150" s="4" t="s">
        <v>78</v>
      </c>
      <c r="AD150" s="4">
        <v>1141073002</v>
      </c>
      <c r="AE150" s="4">
        <v>45735</v>
      </c>
      <c r="AF150" s="4" t="s">
        <v>35</v>
      </c>
      <c r="AG150" s="4">
        <v>0</v>
      </c>
      <c r="AH150" s="4" t="s">
        <v>1708</v>
      </c>
      <c r="AI150" s="4"/>
      <c r="AJ150" s="6">
        <f>VLOOKUP(AH150,[1]Sheet1!$B$2:$AA$595,26,0)</f>
        <v>49300</v>
      </c>
      <c r="AK150" s="5">
        <f t="shared" si="2"/>
        <v>0</v>
      </c>
    </row>
    <row r="151" spans="1:37" x14ac:dyDescent="0.2">
      <c r="A151" s="9">
        <v>150</v>
      </c>
      <c r="B151" s="4" t="s">
        <v>610</v>
      </c>
      <c r="C151" s="4" t="s">
        <v>1714</v>
      </c>
      <c r="D151" s="4">
        <v>45689</v>
      </c>
      <c r="E151" s="4" t="s">
        <v>31</v>
      </c>
      <c r="F151" s="4" t="s">
        <v>1715</v>
      </c>
      <c r="G151" s="4">
        <v>45712</v>
      </c>
      <c r="H151" s="4">
        <v>46076</v>
      </c>
      <c r="I151" s="4" t="s">
        <v>1716</v>
      </c>
      <c r="J151" s="4">
        <v>3650242324199</v>
      </c>
      <c r="K151" s="4" t="s">
        <v>638</v>
      </c>
      <c r="L151" s="4" t="s">
        <v>1717</v>
      </c>
      <c r="M151" s="4" t="s">
        <v>1718</v>
      </c>
      <c r="N151" s="4" t="s">
        <v>1719</v>
      </c>
      <c r="O151" s="4" t="s">
        <v>1714</v>
      </c>
      <c r="P151" s="4" t="s">
        <v>645</v>
      </c>
      <c r="Q151" s="4" t="s">
        <v>34</v>
      </c>
      <c r="R151" s="4" t="s">
        <v>1720</v>
      </c>
      <c r="S151" s="4">
        <v>44984</v>
      </c>
      <c r="T151" s="4">
        <v>46818</v>
      </c>
      <c r="U151" s="4">
        <v>2235000</v>
      </c>
      <c r="V151" s="4">
        <v>15</v>
      </c>
      <c r="W151" s="4">
        <v>335250</v>
      </c>
      <c r="X151" s="4">
        <v>1899750</v>
      </c>
      <c r="Y151" s="4">
        <v>2</v>
      </c>
      <c r="Z151" s="6">
        <v>37995</v>
      </c>
      <c r="AA151" s="4"/>
      <c r="AB151" s="4"/>
      <c r="AC151" s="4" t="s">
        <v>78</v>
      </c>
      <c r="AD151" s="4">
        <v>1141073002</v>
      </c>
      <c r="AE151" s="4">
        <v>45735</v>
      </c>
      <c r="AF151" s="4" t="s">
        <v>35</v>
      </c>
      <c r="AG151" s="4">
        <v>0</v>
      </c>
      <c r="AH151" s="4" t="s">
        <v>1715</v>
      </c>
      <c r="AI151" s="4"/>
      <c r="AJ151" s="6">
        <f>VLOOKUP(AH151,[1]Sheet1!$B$2:$AA$595,26,0)</f>
        <v>37995</v>
      </c>
      <c r="AK151" s="5">
        <f t="shared" si="2"/>
        <v>0</v>
      </c>
    </row>
    <row r="152" spans="1:37" x14ac:dyDescent="0.2">
      <c r="A152" s="9">
        <v>151</v>
      </c>
      <c r="B152" s="4" t="s">
        <v>610</v>
      </c>
      <c r="C152" s="4" t="s">
        <v>1721</v>
      </c>
      <c r="D152" s="4">
        <v>45689</v>
      </c>
      <c r="E152" s="4" t="s">
        <v>31</v>
      </c>
      <c r="F152" s="4" t="s">
        <v>1722</v>
      </c>
      <c r="G152" s="4">
        <v>45715</v>
      </c>
      <c r="H152" s="4">
        <v>46079</v>
      </c>
      <c r="I152" s="4" t="s">
        <v>1723</v>
      </c>
      <c r="J152" s="4">
        <v>4220153797729</v>
      </c>
      <c r="K152" s="4" t="s">
        <v>316</v>
      </c>
      <c r="L152" s="4" t="s">
        <v>1724</v>
      </c>
      <c r="M152" s="4" t="s">
        <v>1725</v>
      </c>
      <c r="N152" s="4" t="s">
        <v>1726</v>
      </c>
      <c r="O152" s="4" t="s">
        <v>1721</v>
      </c>
      <c r="P152" s="4" t="s">
        <v>44</v>
      </c>
      <c r="Q152" s="4" t="s">
        <v>45</v>
      </c>
      <c r="R152" s="4" t="s">
        <v>1727</v>
      </c>
      <c r="S152" s="4">
        <v>44986</v>
      </c>
      <c r="T152" s="4">
        <v>46086</v>
      </c>
      <c r="U152" s="4">
        <v>2150000</v>
      </c>
      <c r="V152" s="4">
        <v>15</v>
      </c>
      <c r="W152" s="4">
        <v>322500</v>
      </c>
      <c r="X152" s="4">
        <v>1827500</v>
      </c>
      <c r="Y152" s="4">
        <v>1.5</v>
      </c>
      <c r="Z152" s="6">
        <v>27412.5</v>
      </c>
      <c r="AA152" s="4"/>
      <c r="AB152" s="4"/>
      <c r="AC152" s="4" t="s">
        <v>78</v>
      </c>
      <c r="AD152" s="4">
        <v>1141073002</v>
      </c>
      <c r="AE152" s="4">
        <v>45735</v>
      </c>
      <c r="AF152" s="4" t="s">
        <v>35</v>
      </c>
      <c r="AG152" s="4">
        <v>0</v>
      </c>
      <c r="AH152" s="4" t="s">
        <v>1722</v>
      </c>
      <c r="AI152" s="4"/>
      <c r="AJ152" s="6">
        <f>VLOOKUP(AH152,[1]Sheet1!$B$2:$AA$595,26,0)</f>
        <v>27413</v>
      </c>
      <c r="AK152" s="5">
        <f t="shared" si="2"/>
        <v>0.5</v>
      </c>
    </row>
    <row r="153" spans="1:37" x14ac:dyDescent="0.2">
      <c r="A153" s="9">
        <v>152</v>
      </c>
      <c r="B153" s="4" t="s">
        <v>610</v>
      </c>
      <c r="C153" s="4" t="s">
        <v>1728</v>
      </c>
      <c r="D153" s="4">
        <v>45689</v>
      </c>
      <c r="E153" s="4" t="s">
        <v>31</v>
      </c>
      <c r="F153" s="4" t="s">
        <v>1729</v>
      </c>
      <c r="G153" s="4">
        <v>45715</v>
      </c>
      <c r="H153" s="4">
        <v>46079</v>
      </c>
      <c r="I153" s="4" t="s">
        <v>1730</v>
      </c>
      <c r="J153" s="4">
        <v>3310282637409</v>
      </c>
      <c r="K153" s="4" t="s">
        <v>42</v>
      </c>
      <c r="L153" s="4" t="s">
        <v>1731</v>
      </c>
      <c r="M153" s="4" t="s">
        <v>1732</v>
      </c>
      <c r="N153" s="4" t="s">
        <v>1733</v>
      </c>
      <c r="O153" s="4" t="s">
        <v>1728</v>
      </c>
      <c r="P153" s="4" t="s">
        <v>644</v>
      </c>
      <c r="Q153" s="4" t="s">
        <v>46</v>
      </c>
      <c r="R153" s="4" t="s">
        <v>1734</v>
      </c>
      <c r="S153" s="4">
        <v>44985</v>
      </c>
      <c r="T153" s="4">
        <v>46086</v>
      </c>
      <c r="U153" s="4">
        <v>6224000</v>
      </c>
      <c r="V153" s="4">
        <v>15</v>
      </c>
      <c r="W153" s="4">
        <v>933600</v>
      </c>
      <c r="X153" s="4">
        <v>5290400</v>
      </c>
      <c r="Y153" s="4">
        <v>1.5</v>
      </c>
      <c r="Z153" s="6">
        <v>79356</v>
      </c>
      <c r="AA153" s="4"/>
      <c r="AB153" s="4"/>
      <c r="AC153" s="4" t="s">
        <v>78</v>
      </c>
      <c r="AD153" s="4">
        <v>1141073002</v>
      </c>
      <c r="AE153" s="4">
        <v>45735</v>
      </c>
      <c r="AF153" s="4" t="s">
        <v>35</v>
      </c>
      <c r="AG153" s="4">
        <v>0</v>
      </c>
      <c r="AH153" s="4" t="s">
        <v>1729</v>
      </c>
      <c r="AI153" s="4"/>
      <c r="AJ153" s="6">
        <f>VLOOKUP(AH153,[1]Sheet1!$B$2:$AA$595,26,0)</f>
        <v>79356</v>
      </c>
      <c r="AK153" s="5">
        <f t="shared" si="2"/>
        <v>0</v>
      </c>
    </row>
    <row r="154" spans="1:37" x14ac:dyDescent="0.2">
      <c r="A154" s="9">
        <v>153</v>
      </c>
      <c r="B154" s="4" t="s">
        <v>610</v>
      </c>
      <c r="C154" s="4" t="s">
        <v>1735</v>
      </c>
      <c r="D154" s="4">
        <v>45689</v>
      </c>
      <c r="E154" s="4" t="s">
        <v>31</v>
      </c>
      <c r="F154" s="4" t="s">
        <v>1736</v>
      </c>
      <c r="G154" s="4">
        <v>45716</v>
      </c>
      <c r="H154" s="4">
        <v>46080</v>
      </c>
      <c r="I154" s="4" t="s">
        <v>1737</v>
      </c>
      <c r="J154" s="4">
        <v>6110165730105</v>
      </c>
      <c r="K154" s="4" t="s">
        <v>640</v>
      </c>
      <c r="L154" s="4" t="s">
        <v>1738</v>
      </c>
      <c r="M154" s="4" t="s">
        <v>1739</v>
      </c>
      <c r="N154" s="4" t="s">
        <v>1740</v>
      </c>
      <c r="O154" s="4" t="s">
        <v>1735</v>
      </c>
      <c r="P154" s="4" t="s">
        <v>645</v>
      </c>
      <c r="Q154" s="4" t="s">
        <v>34</v>
      </c>
      <c r="R154" s="4" t="s">
        <v>1741</v>
      </c>
      <c r="S154" s="4">
        <v>44986</v>
      </c>
      <c r="T154" s="4">
        <v>46451</v>
      </c>
      <c r="U154" s="4">
        <v>2300000</v>
      </c>
      <c r="V154" s="4">
        <v>15</v>
      </c>
      <c r="W154" s="4">
        <v>345000</v>
      </c>
      <c r="X154" s="4">
        <v>1955000</v>
      </c>
      <c r="Y154" s="4">
        <v>2</v>
      </c>
      <c r="Z154" s="6">
        <v>39100</v>
      </c>
      <c r="AA154" s="4"/>
      <c r="AB154" s="4"/>
      <c r="AC154" s="4" t="s">
        <v>78</v>
      </c>
      <c r="AD154" s="4">
        <v>1141073002</v>
      </c>
      <c r="AE154" s="4">
        <v>45735</v>
      </c>
      <c r="AF154" s="4" t="s">
        <v>35</v>
      </c>
      <c r="AG154" s="4">
        <v>56</v>
      </c>
      <c r="AH154" s="4" t="s">
        <v>1736</v>
      </c>
      <c r="AI154" s="4"/>
      <c r="AJ154" s="6">
        <f>VLOOKUP(AH154,[1]Sheet1!$B$2:$AA$595,26,0)</f>
        <v>39100</v>
      </c>
      <c r="AK154" s="5">
        <f t="shared" si="2"/>
        <v>0</v>
      </c>
    </row>
    <row r="155" spans="1:37" x14ac:dyDescent="0.2">
      <c r="A155" s="9">
        <v>154</v>
      </c>
      <c r="B155" s="4" t="s">
        <v>610</v>
      </c>
      <c r="C155" s="4" t="s">
        <v>1742</v>
      </c>
      <c r="D155" s="4">
        <v>45689</v>
      </c>
      <c r="E155" s="4" t="s">
        <v>31</v>
      </c>
      <c r="F155" s="4" t="s">
        <v>1743</v>
      </c>
      <c r="G155" s="4">
        <v>45716</v>
      </c>
      <c r="H155" s="4">
        <v>46080</v>
      </c>
      <c r="I155" s="4" t="s">
        <v>1744</v>
      </c>
      <c r="J155" s="4">
        <v>3520223250411</v>
      </c>
      <c r="K155" s="4" t="s">
        <v>301</v>
      </c>
      <c r="L155" s="4" t="s">
        <v>1745</v>
      </c>
      <c r="M155" s="4" t="s">
        <v>1746</v>
      </c>
      <c r="N155" s="4" t="s">
        <v>1747</v>
      </c>
      <c r="O155" s="4" t="s">
        <v>1742</v>
      </c>
      <c r="P155" s="4" t="s">
        <v>644</v>
      </c>
      <c r="Q155" s="4" t="s">
        <v>39</v>
      </c>
      <c r="R155" s="4" t="s">
        <v>1748</v>
      </c>
      <c r="S155" s="4">
        <v>44985</v>
      </c>
      <c r="T155" s="4">
        <v>46086</v>
      </c>
      <c r="U155" s="4">
        <v>3240000</v>
      </c>
      <c r="V155" s="4">
        <v>15</v>
      </c>
      <c r="W155" s="4">
        <v>486000</v>
      </c>
      <c r="X155" s="4">
        <v>2754000</v>
      </c>
      <c r="Y155" s="4">
        <v>2</v>
      </c>
      <c r="Z155" s="6">
        <v>55080</v>
      </c>
      <c r="AA155" s="4"/>
      <c r="AB155" s="4"/>
      <c r="AC155" s="4" t="s">
        <v>78</v>
      </c>
      <c r="AD155" s="4">
        <v>1141073002</v>
      </c>
      <c r="AE155" s="4">
        <v>45735</v>
      </c>
      <c r="AF155" s="4" t="s">
        <v>35</v>
      </c>
      <c r="AG155" s="4">
        <v>0</v>
      </c>
      <c r="AH155" s="4" t="s">
        <v>1743</v>
      </c>
      <c r="AI155" s="4"/>
      <c r="AJ155" s="6">
        <f>VLOOKUP(AH155,[1]Sheet1!$B$2:$AA$595,26,0)</f>
        <v>55080</v>
      </c>
      <c r="AK155" s="5">
        <f t="shared" si="2"/>
        <v>0</v>
      </c>
    </row>
    <row r="156" spans="1:37" x14ac:dyDescent="0.2">
      <c r="A156" s="9">
        <v>155</v>
      </c>
      <c r="B156" s="4" t="s">
        <v>610</v>
      </c>
      <c r="C156" s="4" t="s">
        <v>1749</v>
      </c>
      <c r="D156" s="4">
        <v>45689</v>
      </c>
      <c r="E156" s="4" t="s">
        <v>31</v>
      </c>
      <c r="F156" s="4" t="s">
        <v>1750</v>
      </c>
      <c r="G156" s="4">
        <v>45695</v>
      </c>
      <c r="H156" s="4">
        <v>46059</v>
      </c>
      <c r="I156" s="4" t="s">
        <v>1751</v>
      </c>
      <c r="J156" s="4">
        <v>3310206102495</v>
      </c>
      <c r="K156" s="4" t="s">
        <v>89</v>
      </c>
      <c r="L156" s="4" t="s">
        <v>1752</v>
      </c>
      <c r="M156" s="4" t="s">
        <v>1753</v>
      </c>
      <c r="N156" s="4" t="s">
        <v>1754</v>
      </c>
      <c r="O156" s="4" t="s">
        <v>1749</v>
      </c>
      <c r="P156" s="4" t="s">
        <v>644</v>
      </c>
      <c r="Q156" s="4" t="s">
        <v>46</v>
      </c>
      <c r="R156" s="4" t="s">
        <v>1755</v>
      </c>
      <c r="S156" s="4">
        <v>45335</v>
      </c>
      <c r="T156" s="4">
        <v>46423</v>
      </c>
      <c r="U156" s="4">
        <v>3856000</v>
      </c>
      <c r="V156" s="4">
        <v>10</v>
      </c>
      <c r="W156" s="4">
        <v>385600</v>
      </c>
      <c r="X156" s="4">
        <v>3470400</v>
      </c>
      <c r="Y156" s="4">
        <v>1.5</v>
      </c>
      <c r="Z156" s="6">
        <v>52056</v>
      </c>
      <c r="AA156" s="4"/>
      <c r="AB156" s="4"/>
      <c r="AC156" s="4" t="s">
        <v>78</v>
      </c>
      <c r="AD156" s="4">
        <v>1141073002</v>
      </c>
      <c r="AE156" s="4">
        <v>45735</v>
      </c>
      <c r="AF156" s="4" t="s">
        <v>35</v>
      </c>
      <c r="AG156" s="4">
        <v>0</v>
      </c>
      <c r="AH156" s="4" t="s">
        <v>1750</v>
      </c>
      <c r="AI156" s="4"/>
      <c r="AJ156" s="6">
        <f>VLOOKUP(AH156,[1]Sheet1!$B$2:$AA$595,26,0)</f>
        <v>52056</v>
      </c>
      <c r="AK156" s="5">
        <f t="shared" si="2"/>
        <v>0</v>
      </c>
    </row>
    <row r="157" spans="1:37" x14ac:dyDescent="0.2">
      <c r="A157" s="9">
        <v>156</v>
      </c>
      <c r="B157" s="4" t="s">
        <v>610</v>
      </c>
      <c r="C157" s="4" t="s">
        <v>1756</v>
      </c>
      <c r="D157" s="4">
        <v>45689</v>
      </c>
      <c r="E157" s="4" t="s">
        <v>31</v>
      </c>
      <c r="F157" s="4" t="s">
        <v>1757</v>
      </c>
      <c r="G157" s="4">
        <v>45716</v>
      </c>
      <c r="H157" s="4">
        <v>46080</v>
      </c>
      <c r="I157" s="4" t="s">
        <v>1758</v>
      </c>
      <c r="J157" s="4">
        <v>3520292021057</v>
      </c>
      <c r="K157" s="4" t="s">
        <v>64</v>
      </c>
      <c r="L157" s="4" t="s">
        <v>1759</v>
      </c>
      <c r="M157" s="4" t="s">
        <v>1760</v>
      </c>
      <c r="N157" s="4" t="s">
        <v>1761</v>
      </c>
      <c r="O157" s="4" t="s">
        <v>1756</v>
      </c>
      <c r="P157" s="4" t="s">
        <v>644</v>
      </c>
      <c r="Q157" s="4" t="s">
        <v>39</v>
      </c>
      <c r="R157" s="4" t="s">
        <v>1762</v>
      </c>
      <c r="S157" s="4">
        <v>44985</v>
      </c>
      <c r="T157" s="4">
        <v>46818</v>
      </c>
      <c r="U157" s="4">
        <v>3150000</v>
      </c>
      <c r="V157" s="4">
        <v>15</v>
      </c>
      <c r="W157" s="4">
        <v>472500</v>
      </c>
      <c r="X157" s="4">
        <v>2677500</v>
      </c>
      <c r="Y157" s="4">
        <v>2</v>
      </c>
      <c r="Z157" s="6">
        <v>53550</v>
      </c>
      <c r="AA157" s="4"/>
      <c r="AB157" s="4"/>
      <c r="AC157" s="4" t="s">
        <v>78</v>
      </c>
      <c r="AD157" s="4">
        <v>1141073002</v>
      </c>
      <c r="AE157" s="4">
        <v>45735</v>
      </c>
      <c r="AF157" s="4" t="s">
        <v>35</v>
      </c>
      <c r="AG157" s="4">
        <v>0</v>
      </c>
      <c r="AH157" s="4" t="s">
        <v>1757</v>
      </c>
      <c r="AI157" s="4"/>
      <c r="AJ157" s="6">
        <f>VLOOKUP(AH157,[1]Sheet1!$B$2:$AA$595,26,0)</f>
        <v>53550</v>
      </c>
      <c r="AK157" s="5">
        <f t="shared" si="2"/>
        <v>0</v>
      </c>
    </row>
    <row r="158" spans="1:37" x14ac:dyDescent="0.2">
      <c r="A158" s="9">
        <v>157</v>
      </c>
      <c r="B158" s="4" t="s">
        <v>610</v>
      </c>
      <c r="C158" s="4" t="s">
        <v>1763</v>
      </c>
      <c r="D158" s="4">
        <v>45689</v>
      </c>
      <c r="E158" s="4" t="s">
        <v>31</v>
      </c>
      <c r="F158" s="4" t="s">
        <v>1764</v>
      </c>
      <c r="G158" s="4">
        <v>45695</v>
      </c>
      <c r="H158" s="4">
        <v>46059</v>
      </c>
      <c r="I158" s="4" t="s">
        <v>1765</v>
      </c>
      <c r="J158" s="4">
        <v>6110107417567</v>
      </c>
      <c r="K158" s="4" t="s">
        <v>637</v>
      </c>
      <c r="L158" s="4" t="s">
        <v>1766</v>
      </c>
      <c r="M158" s="4" t="s">
        <v>1767</v>
      </c>
      <c r="N158" s="4" t="s">
        <v>1768</v>
      </c>
      <c r="O158" s="4" t="s">
        <v>1763</v>
      </c>
      <c r="P158" s="4" t="s">
        <v>645</v>
      </c>
      <c r="Q158" s="4" t="s">
        <v>34</v>
      </c>
      <c r="R158" s="4" t="s">
        <v>1769</v>
      </c>
      <c r="S158" s="4">
        <v>44970</v>
      </c>
      <c r="T158" s="4">
        <v>46788</v>
      </c>
      <c r="U158" s="4">
        <v>2000000</v>
      </c>
      <c r="V158" s="4">
        <v>15</v>
      </c>
      <c r="W158" s="4">
        <v>300000</v>
      </c>
      <c r="X158" s="4">
        <v>1700000</v>
      </c>
      <c r="Y158" s="4">
        <v>2</v>
      </c>
      <c r="Z158" s="6">
        <v>34000</v>
      </c>
      <c r="AA158" s="4"/>
      <c r="AB158" s="4"/>
      <c r="AC158" s="4" t="s">
        <v>78</v>
      </c>
      <c r="AD158" s="4">
        <v>1141073002</v>
      </c>
      <c r="AE158" s="4">
        <v>45735</v>
      </c>
      <c r="AF158" s="4" t="s">
        <v>35</v>
      </c>
      <c r="AG158" s="4">
        <v>0</v>
      </c>
      <c r="AH158" s="4" t="s">
        <v>1764</v>
      </c>
      <c r="AI158" s="4"/>
      <c r="AJ158" s="6">
        <f>VLOOKUP(AH158,[1]Sheet1!$B$2:$AA$595,26,0)</f>
        <v>34000</v>
      </c>
      <c r="AK158" s="5">
        <f t="shared" si="2"/>
        <v>0</v>
      </c>
    </row>
    <row r="159" spans="1:37" x14ac:dyDescent="0.2">
      <c r="A159" s="9">
        <v>158</v>
      </c>
      <c r="B159" s="4" t="s">
        <v>610</v>
      </c>
      <c r="C159" s="4" t="s">
        <v>1770</v>
      </c>
      <c r="D159" s="4">
        <v>45689</v>
      </c>
      <c r="E159" s="4" t="s">
        <v>31</v>
      </c>
      <c r="F159" s="4" t="s">
        <v>1771</v>
      </c>
      <c r="G159" s="4">
        <v>45716</v>
      </c>
      <c r="H159" s="4">
        <v>46080</v>
      </c>
      <c r="I159" s="4" t="s">
        <v>1772</v>
      </c>
      <c r="J159" s="4">
        <v>3310061574775</v>
      </c>
      <c r="K159" s="4" t="s">
        <v>32</v>
      </c>
      <c r="L159" s="4" t="s">
        <v>1773</v>
      </c>
      <c r="M159" s="4" t="s">
        <v>1774</v>
      </c>
      <c r="N159" s="4" t="s">
        <v>1775</v>
      </c>
      <c r="O159" s="4" t="s">
        <v>1770</v>
      </c>
      <c r="P159" s="4" t="s">
        <v>644</v>
      </c>
      <c r="Q159" s="4" t="s">
        <v>46</v>
      </c>
      <c r="R159" s="4" t="s">
        <v>1776</v>
      </c>
      <c r="S159" s="4">
        <v>44986</v>
      </c>
      <c r="T159" s="4">
        <v>46818</v>
      </c>
      <c r="U159" s="4">
        <v>2790000</v>
      </c>
      <c r="V159" s="4">
        <v>15</v>
      </c>
      <c r="W159" s="4">
        <v>418500</v>
      </c>
      <c r="X159" s="4">
        <v>2371500</v>
      </c>
      <c r="Y159" s="4">
        <v>2</v>
      </c>
      <c r="Z159" s="6">
        <v>47430</v>
      </c>
      <c r="AA159" s="4"/>
      <c r="AB159" s="4"/>
      <c r="AC159" s="4" t="s">
        <v>78</v>
      </c>
      <c r="AD159" s="4">
        <v>1141073002</v>
      </c>
      <c r="AE159" s="4">
        <v>45735</v>
      </c>
      <c r="AF159" s="4" t="s">
        <v>35</v>
      </c>
      <c r="AG159" s="4">
        <v>0</v>
      </c>
      <c r="AH159" s="4" t="s">
        <v>1771</v>
      </c>
      <c r="AI159" s="4"/>
      <c r="AJ159" s="6">
        <f>VLOOKUP(AH159,[1]Sheet1!$B$2:$AA$595,26,0)</f>
        <v>47430</v>
      </c>
      <c r="AK159" s="5">
        <f t="shared" si="2"/>
        <v>0</v>
      </c>
    </row>
    <row r="160" spans="1:37" x14ac:dyDescent="0.2">
      <c r="A160" s="9">
        <v>159</v>
      </c>
      <c r="B160" s="4" t="s">
        <v>610</v>
      </c>
      <c r="C160" s="4" t="s">
        <v>1777</v>
      </c>
      <c r="D160" s="4">
        <v>45689</v>
      </c>
      <c r="E160" s="4" t="s">
        <v>31</v>
      </c>
      <c r="F160" s="4" t="s">
        <v>1778</v>
      </c>
      <c r="G160" s="4">
        <v>45716</v>
      </c>
      <c r="H160" s="4">
        <v>46080</v>
      </c>
      <c r="I160" s="4" t="s">
        <v>1779</v>
      </c>
      <c r="J160" s="4">
        <v>3520206471857</v>
      </c>
      <c r="K160" s="4" t="s">
        <v>652</v>
      </c>
      <c r="L160" s="4" t="s">
        <v>1780</v>
      </c>
      <c r="M160" s="4" t="s">
        <v>1781</v>
      </c>
      <c r="N160" s="4" t="s">
        <v>1782</v>
      </c>
      <c r="O160" s="4" t="s">
        <v>1777</v>
      </c>
      <c r="P160" s="4" t="s">
        <v>644</v>
      </c>
      <c r="Q160" s="4" t="s">
        <v>39</v>
      </c>
      <c r="R160" s="4" t="s">
        <v>1783</v>
      </c>
      <c r="S160" s="4">
        <v>44986</v>
      </c>
      <c r="T160" s="4">
        <v>46086</v>
      </c>
      <c r="U160" s="4">
        <v>990000</v>
      </c>
      <c r="V160" s="4">
        <v>15</v>
      </c>
      <c r="W160" s="4">
        <v>148500</v>
      </c>
      <c r="X160" s="4">
        <v>841500</v>
      </c>
      <c r="Y160" s="4">
        <v>2</v>
      </c>
      <c r="Z160" s="6">
        <v>16830</v>
      </c>
      <c r="AA160" s="4"/>
      <c r="AB160" s="4"/>
      <c r="AC160" s="4" t="s">
        <v>78</v>
      </c>
      <c r="AD160" s="4">
        <v>1141073002</v>
      </c>
      <c r="AE160" s="4">
        <v>45735</v>
      </c>
      <c r="AF160" s="4" t="s">
        <v>35</v>
      </c>
      <c r="AG160" s="4">
        <v>0</v>
      </c>
      <c r="AH160" s="4" t="s">
        <v>1778</v>
      </c>
      <c r="AI160" s="4"/>
      <c r="AJ160" s="6">
        <f>VLOOKUP(AH160,[1]Sheet1!$B$2:$AA$595,26,0)</f>
        <v>16830</v>
      </c>
      <c r="AK160" s="5">
        <f t="shared" si="2"/>
        <v>0</v>
      </c>
    </row>
    <row r="161" spans="1:37" x14ac:dyDescent="0.2">
      <c r="A161" s="9">
        <v>160</v>
      </c>
      <c r="B161" s="4" t="s">
        <v>610</v>
      </c>
      <c r="C161" s="4" t="s">
        <v>1784</v>
      </c>
      <c r="D161" s="4">
        <v>45689</v>
      </c>
      <c r="E161" s="4" t="s">
        <v>31</v>
      </c>
      <c r="F161" s="4" t="s">
        <v>1785</v>
      </c>
      <c r="G161" s="4">
        <v>45716</v>
      </c>
      <c r="H161" s="4">
        <v>46080</v>
      </c>
      <c r="I161" s="4" t="s">
        <v>1786</v>
      </c>
      <c r="J161" s="4">
        <v>3840321707822</v>
      </c>
      <c r="K161" s="4" t="s">
        <v>1787</v>
      </c>
      <c r="L161" s="4" t="s">
        <v>1788</v>
      </c>
      <c r="M161" s="4" t="s">
        <v>1789</v>
      </c>
      <c r="N161" s="4" t="s">
        <v>1790</v>
      </c>
      <c r="O161" s="4" t="s">
        <v>1784</v>
      </c>
      <c r="P161" s="4" t="s">
        <v>644</v>
      </c>
      <c r="Q161" s="4" t="s">
        <v>39</v>
      </c>
      <c r="R161" s="4" t="s">
        <v>1791</v>
      </c>
      <c r="S161" s="4">
        <v>44986</v>
      </c>
      <c r="T161" s="4">
        <v>46451</v>
      </c>
      <c r="U161" s="4">
        <v>2200000</v>
      </c>
      <c r="V161" s="4">
        <v>15</v>
      </c>
      <c r="W161" s="4">
        <v>330000</v>
      </c>
      <c r="X161" s="4">
        <v>1870000</v>
      </c>
      <c r="Y161" s="4">
        <v>2</v>
      </c>
      <c r="Z161" s="6">
        <v>37400</v>
      </c>
      <c r="AA161" s="4"/>
      <c r="AB161" s="4"/>
      <c r="AC161" s="4" t="s">
        <v>78</v>
      </c>
      <c r="AD161" s="4">
        <v>1141073002</v>
      </c>
      <c r="AE161" s="4">
        <v>45735</v>
      </c>
      <c r="AF161" s="4" t="s">
        <v>35</v>
      </c>
      <c r="AG161" s="4">
        <v>0</v>
      </c>
      <c r="AH161" s="4" t="s">
        <v>1785</v>
      </c>
      <c r="AI161" s="4"/>
      <c r="AJ161" s="6">
        <f>VLOOKUP(AH161,[1]Sheet1!$B$2:$AA$595,26,0)</f>
        <v>37400</v>
      </c>
      <c r="AK161" s="5">
        <f t="shared" si="2"/>
        <v>0</v>
      </c>
    </row>
    <row r="162" spans="1:37" x14ac:dyDescent="0.2">
      <c r="A162" s="9">
        <v>161</v>
      </c>
      <c r="B162" s="4" t="s">
        <v>610</v>
      </c>
      <c r="C162" s="4" t="s">
        <v>1792</v>
      </c>
      <c r="D162" s="4">
        <v>45689</v>
      </c>
      <c r="E162" s="4" t="s">
        <v>31</v>
      </c>
      <c r="F162" s="4" t="s">
        <v>1793</v>
      </c>
      <c r="G162" s="4">
        <v>45716</v>
      </c>
      <c r="H162" s="4">
        <v>46080</v>
      </c>
      <c r="I162" s="4" t="s">
        <v>1794</v>
      </c>
      <c r="J162" s="4">
        <v>3740504791151</v>
      </c>
      <c r="K162" s="4" t="s">
        <v>637</v>
      </c>
      <c r="L162" s="4" t="s">
        <v>1795</v>
      </c>
      <c r="M162" s="4" t="s">
        <v>1796</v>
      </c>
      <c r="N162" s="4" t="s">
        <v>1797</v>
      </c>
      <c r="O162" s="4" t="s">
        <v>1792</v>
      </c>
      <c r="P162" s="4" t="s">
        <v>645</v>
      </c>
      <c r="Q162" s="4" t="s">
        <v>34</v>
      </c>
      <c r="R162" s="4" t="s">
        <v>1798</v>
      </c>
      <c r="S162" s="4">
        <v>44986</v>
      </c>
      <c r="T162" s="4">
        <v>46818</v>
      </c>
      <c r="U162" s="4">
        <v>2415000</v>
      </c>
      <c r="V162" s="4">
        <v>15</v>
      </c>
      <c r="W162" s="4">
        <v>362250</v>
      </c>
      <c r="X162" s="4">
        <v>2052750</v>
      </c>
      <c r="Y162" s="4">
        <v>2.0000010000000001</v>
      </c>
      <c r="Z162" s="6">
        <v>41055.020527500004</v>
      </c>
      <c r="AA162" s="4"/>
      <c r="AB162" s="4"/>
      <c r="AC162" s="4" t="s">
        <v>78</v>
      </c>
      <c r="AD162" s="4">
        <v>1141073002</v>
      </c>
      <c r="AE162" s="4">
        <v>45735</v>
      </c>
      <c r="AF162" s="4" t="s">
        <v>35</v>
      </c>
      <c r="AG162" s="4">
        <v>0</v>
      </c>
      <c r="AH162" s="4" t="s">
        <v>1793</v>
      </c>
      <c r="AI162" s="4"/>
      <c r="AJ162" s="6">
        <f>VLOOKUP(AH162,[1]Sheet1!$B$2:$AA$595,26,0)</f>
        <v>41055</v>
      </c>
      <c r="AK162" s="5">
        <f t="shared" si="2"/>
        <v>-2.0527500004391186E-2</v>
      </c>
    </row>
    <row r="163" spans="1:37" x14ac:dyDescent="0.2">
      <c r="A163" s="9">
        <v>162</v>
      </c>
      <c r="B163" s="4" t="s">
        <v>610</v>
      </c>
      <c r="C163" s="4" t="s">
        <v>1799</v>
      </c>
      <c r="D163" s="4">
        <v>45689</v>
      </c>
      <c r="E163" s="4" t="s">
        <v>31</v>
      </c>
      <c r="F163" s="4" t="s">
        <v>1800</v>
      </c>
      <c r="G163" s="4">
        <v>45716</v>
      </c>
      <c r="H163" s="4">
        <v>46080</v>
      </c>
      <c r="I163" s="4" t="s">
        <v>1801</v>
      </c>
      <c r="J163" s="4">
        <v>3210252679715</v>
      </c>
      <c r="K163" s="4" t="s">
        <v>63</v>
      </c>
      <c r="L163" s="4" t="s">
        <v>1802</v>
      </c>
      <c r="M163" s="4" t="s">
        <v>1803</v>
      </c>
      <c r="N163" s="4" t="s">
        <v>1804</v>
      </c>
      <c r="O163" s="4" t="s">
        <v>1799</v>
      </c>
      <c r="P163" s="4" t="s">
        <v>644</v>
      </c>
      <c r="Q163" s="4" t="s">
        <v>1615</v>
      </c>
      <c r="R163" s="4" t="s">
        <v>1805</v>
      </c>
      <c r="S163" s="4">
        <v>44986</v>
      </c>
      <c r="T163" s="4">
        <v>46818</v>
      </c>
      <c r="U163" s="4">
        <v>3000000</v>
      </c>
      <c r="V163" s="4">
        <v>15</v>
      </c>
      <c r="W163" s="4">
        <v>450000</v>
      </c>
      <c r="X163" s="4">
        <v>2550000</v>
      </c>
      <c r="Y163" s="4">
        <v>2</v>
      </c>
      <c r="Z163" s="6">
        <v>51000</v>
      </c>
      <c r="AA163" s="4"/>
      <c r="AB163" s="4"/>
      <c r="AC163" s="4" t="s">
        <v>78</v>
      </c>
      <c r="AD163" s="4">
        <v>1141073002</v>
      </c>
      <c r="AE163" s="4">
        <v>45735</v>
      </c>
      <c r="AF163" s="4" t="s">
        <v>35</v>
      </c>
      <c r="AG163" s="4">
        <v>0</v>
      </c>
      <c r="AH163" s="4" t="s">
        <v>1800</v>
      </c>
      <c r="AI163" s="4"/>
      <c r="AJ163" s="6">
        <f>VLOOKUP(AH163,[1]Sheet1!$B$2:$AA$595,26,0)</f>
        <v>51000</v>
      </c>
      <c r="AK163" s="5">
        <f t="shared" si="2"/>
        <v>0</v>
      </c>
    </row>
    <row r="164" spans="1:37" x14ac:dyDescent="0.2">
      <c r="A164" s="9">
        <v>163</v>
      </c>
      <c r="B164" s="4" t="s">
        <v>610</v>
      </c>
      <c r="C164" s="4" t="s">
        <v>1806</v>
      </c>
      <c r="D164" s="4">
        <v>45689</v>
      </c>
      <c r="E164" s="4" t="s">
        <v>31</v>
      </c>
      <c r="F164" s="4" t="s">
        <v>1807</v>
      </c>
      <c r="G164" s="4">
        <v>45716</v>
      </c>
      <c r="H164" s="4">
        <v>46080</v>
      </c>
      <c r="I164" s="4" t="s">
        <v>1808</v>
      </c>
      <c r="J164" s="4">
        <v>3630204829029</v>
      </c>
      <c r="K164" s="4" t="s">
        <v>43</v>
      </c>
      <c r="L164" s="4" t="s">
        <v>1809</v>
      </c>
      <c r="M164" s="4" t="s">
        <v>1810</v>
      </c>
      <c r="N164" s="4" t="s">
        <v>1811</v>
      </c>
      <c r="O164" s="4" t="s">
        <v>1806</v>
      </c>
      <c r="P164" s="4" t="s">
        <v>644</v>
      </c>
      <c r="Q164" s="4" t="s">
        <v>54</v>
      </c>
      <c r="R164" s="4" t="s">
        <v>1812</v>
      </c>
      <c r="S164" s="4">
        <v>44986</v>
      </c>
      <c r="T164" s="4">
        <v>46818</v>
      </c>
      <c r="U164" s="4">
        <v>2050000</v>
      </c>
      <c r="V164" s="4">
        <v>15</v>
      </c>
      <c r="W164" s="4">
        <v>307500</v>
      </c>
      <c r="X164" s="4">
        <v>1742500</v>
      </c>
      <c r="Y164" s="4">
        <v>2</v>
      </c>
      <c r="Z164" s="6">
        <v>34850</v>
      </c>
      <c r="AA164" s="4"/>
      <c r="AB164" s="4"/>
      <c r="AC164" s="4" t="s">
        <v>78</v>
      </c>
      <c r="AD164" s="4">
        <v>1141073002</v>
      </c>
      <c r="AE164" s="4">
        <v>45735</v>
      </c>
      <c r="AF164" s="4" t="s">
        <v>35</v>
      </c>
      <c r="AG164" s="4">
        <v>26</v>
      </c>
      <c r="AH164" s="4" t="s">
        <v>1807</v>
      </c>
      <c r="AI164" s="4"/>
      <c r="AJ164" s="6">
        <f>VLOOKUP(AH164,[1]Sheet1!$B$2:$AA$595,26,0)</f>
        <v>34850</v>
      </c>
      <c r="AK164" s="5">
        <f t="shared" si="2"/>
        <v>0</v>
      </c>
    </row>
    <row r="165" spans="1:37" x14ac:dyDescent="0.2">
      <c r="A165" s="9">
        <v>164</v>
      </c>
      <c r="B165" s="4" t="s">
        <v>610</v>
      </c>
      <c r="C165" s="4" t="s">
        <v>1813</v>
      </c>
      <c r="D165" s="4">
        <v>45689</v>
      </c>
      <c r="E165" s="4" t="s">
        <v>31</v>
      </c>
      <c r="F165" s="4" t="s">
        <v>1814</v>
      </c>
      <c r="G165" s="4">
        <v>45716</v>
      </c>
      <c r="H165" s="4">
        <v>46080</v>
      </c>
      <c r="I165" s="4" t="s">
        <v>1815</v>
      </c>
      <c r="J165" s="4">
        <v>3520283841945</v>
      </c>
      <c r="K165" s="4" t="s">
        <v>32</v>
      </c>
      <c r="L165" s="4" t="s">
        <v>1816</v>
      </c>
      <c r="M165" s="4" t="s">
        <v>1817</v>
      </c>
      <c r="N165" s="4" t="s">
        <v>1818</v>
      </c>
      <c r="O165" s="4" t="s">
        <v>1813</v>
      </c>
      <c r="P165" s="4" t="s">
        <v>644</v>
      </c>
      <c r="Q165" s="4" t="s">
        <v>39</v>
      </c>
      <c r="R165" s="4" t="s">
        <v>1819</v>
      </c>
      <c r="S165" s="4">
        <v>44986</v>
      </c>
      <c r="T165" s="4">
        <v>46818</v>
      </c>
      <c r="U165" s="4">
        <v>1820000</v>
      </c>
      <c r="V165" s="4">
        <v>15</v>
      </c>
      <c r="W165" s="4">
        <v>273000</v>
      </c>
      <c r="X165" s="4">
        <v>1547000</v>
      </c>
      <c r="Y165" s="4">
        <v>2</v>
      </c>
      <c r="Z165" s="6">
        <v>30940</v>
      </c>
      <c r="AA165" s="4"/>
      <c r="AB165" s="4"/>
      <c r="AC165" s="4" t="s">
        <v>78</v>
      </c>
      <c r="AD165" s="4">
        <v>1141073002</v>
      </c>
      <c r="AE165" s="4">
        <v>45735</v>
      </c>
      <c r="AF165" s="4" t="s">
        <v>35</v>
      </c>
      <c r="AG165" s="4">
        <v>0</v>
      </c>
      <c r="AH165" s="4" t="s">
        <v>1814</v>
      </c>
      <c r="AI165" s="4"/>
      <c r="AJ165" s="6">
        <f>VLOOKUP(AH165,[1]Sheet1!$B$2:$AA$595,26,0)</f>
        <v>30940</v>
      </c>
      <c r="AK165" s="5">
        <f t="shared" si="2"/>
        <v>0</v>
      </c>
    </row>
    <row r="166" spans="1:37" x14ac:dyDescent="0.2">
      <c r="A166" s="9">
        <v>165</v>
      </c>
      <c r="B166" s="4" t="s">
        <v>610</v>
      </c>
      <c r="C166" s="4" t="s">
        <v>1820</v>
      </c>
      <c r="D166" s="4">
        <v>45689</v>
      </c>
      <c r="E166" s="4" t="s">
        <v>31</v>
      </c>
      <c r="F166" s="4" t="s">
        <v>1821</v>
      </c>
      <c r="G166" s="4">
        <v>45716</v>
      </c>
      <c r="H166" s="4">
        <v>46080</v>
      </c>
      <c r="I166" s="4" t="s">
        <v>1822</v>
      </c>
      <c r="J166" s="4">
        <v>3520220587415</v>
      </c>
      <c r="K166" s="4" t="s">
        <v>32</v>
      </c>
      <c r="L166" s="4" t="s">
        <v>1823</v>
      </c>
      <c r="M166" s="4" t="s">
        <v>1824</v>
      </c>
      <c r="N166" s="4" t="s">
        <v>1825</v>
      </c>
      <c r="O166" s="4" t="s">
        <v>1820</v>
      </c>
      <c r="P166" s="4" t="s">
        <v>644</v>
      </c>
      <c r="Q166" s="4" t="s">
        <v>39</v>
      </c>
      <c r="R166" s="4" t="s">
        <v>1826</v>
      </c>
      <c r="S166" s="4">
        <v>44986</v>
      </c>
      <c r="T166" s="4">
        <v>46818</v>
      </c>
      <c r="U166" s="4">
        <v>2000000</v>
      </c>
      <c r="V166" s="4">
        <v>15</v>
      </c>
      <c r="W166" s="4">
        <v>300000</v>
      </c>
      <c r="X166" s="4">
        <v>1700000</v>
      </c>
      <c r="Y166" s="4">
        <v>2</v>
      </c>
      <c r="Z166" s="6">
        <v>34000</v>
      </c>
      <c r="AA166" s="4"/>
      <c r="AB166" s="4"/>
      <c r="AC166" s="4" t="s">
        <v>78</v>
      </c>
      <c r="AD166" s="4">
        <v>1141073002</v>
      </c>
      <c r="AE166" s="4">
        <v>45735</v>
      </c>
      <c r="AF166" s="4" t="s">
        <v>35</v>
      </c>
      <c r="AG166" s="4">
        <v>0</v>
      </c>
      <c r="AH166" s="4" t="s">
        <v>1821</v>
      </c>
      <c r="AI166" s="4"/>
      <c r="AJ166" s="6">
        <f>VLOOKUP(AH166,[1]Sheet1!$B$2:$AA$595,26,0)</f>
        <v>34000</v>
      </c>
      <c r="AK166" s="5">
        <f t="shared" si="2"/>
        <v>0</v>
      </c>
    </row>
    <row r="167" spans="1:37" x14ac:dyDescent="0.2">
      <c r="A167" s="9">
        <v>166</v>
      </c>
      <c r="B167" s="4" t="s">
        <v>610</v>
      </c>
      <c r="C167" s="4" t="s">
        <v>1827</v>
      </c>
      <c r="D167" s="4">
        <v>45689</v>
      </c>
      <c r="E167" s="4" t="s">
        <v>31</v>
      </c>
      <c r="F167" s="4" t="s">
        <v>1828</v>
      </c>
      <c r="G167" s="4">
        <v>45708</v>
      </c>
      <c r="H167" s="4">
        <v>46072</v>
      </c>
      <c r="I167" s="4" t="s">
        <v>1829</v>
      </c>
      <c r="J167" s="4">
        <v>3630234684035</v>
      </c>
      <c r="K167" s="4" t="s">
        <v>36</v>
      </c>
      <c r="L167" s="4" t="s">
        <v>1830</v>
      </c>
      <c r="M167" s="4" t="s">
        <v>1831</v>
      </c>
      <c r="N167" s="4" t="s">
        <v>1832</v>
      </c>
      <c r="O167" s="4" t="s">
        <v>1827</v>
      </c>
      <c r="P167" s="4" t="s">
        <v>644</v>
      </c>
      <c r="Q167" s="4" t="s">
        <v>39</v>
      </c>
      <c r="R167" s="4" t="s">
        <v>1833</v>
      </c>
      <c r="S167" s="4">
        <v>45343</v>
      </c>
      <c r="T167" s="4">
        <v>46818</v>
      </c>
      <c r="U167" s="4">
        <v>3000000</v>
      </c>
      <c r="V167" s="4">
        <v>10</v>
      </c>
      <c r="W167" s="4">
        <v>300000</v>
      </c>
      <c r="X167" s="4">
        <v>2700000</v>
      </c>
      <c r="Y167" s="4">
        <v>2</v>
      </c>
      <c r="Z167" s="6">
        <v>54000</v>
      </c>
      <c r="AA167" s="4"/>
      <c r="AB167" s="4"/>
      <c r="AC167" s="4" t="s">
        <v>78</v>
      </c>
      <c r="AD167" s="4">
        <v>1141073002</v>
      </c>
      <c r="AE167" s="4">
        <v>45735</v>
      </c>
      <c r="AF167" s="4" t="s">
        <v>35</v>
      </c>
      <c r="AG167" s="4">
        <v>0</v>
      </c>
      <c r="AH167" s="4" t="s">
        <v>1828</v>
      </c>
      <c r="AI167" s="4"/>
      <c r="AJ167" s="6">
        <f>VLOOKUP(AH167,[1]Sheet1!$B$2:$AA$595,26,0)</f>
        <v>54000</v>
      </c>
      <c r="AK167" s="5">
        <f t="shared" si="2"/>
        <v>0</v>
      </c>
    </row>
    <row r="168" spans="1:37" x14ac:dyDescent="0.2">
      <c r="A168" s="9">
        <v>167</v>
      </c>
      <c r="B168" s="4" t="s">
        <v>610</v>
      </c>
      <c r="C168" s="4" t="s">
        <v>1834</v>
      </c>
      <c r="D168" s="4">
        <v>45689</v>
      </c>
      <c r="E168" s="4" t="s">
        <v>31</v>
      </c>
      <c r="F168" s="4" t="s">
        <v>1835</v>
      </c>
      <c r="G168" s="4">
        <v>45697</v>
      </c>
      <c r="H168" s="4">
        <v>46061</v>
      </c>
      <c r="I168" s="4" t="s">
        <v>1836</v>
      </c>
      <c r="J168" s="4">
        <v>3510272974619</v>
      </c>
      <c r="K168" s="4" t="s">
        <v>64</v>
      </c>
      <c r="L168" s="4" t="s">
        <v>1837</v>
      </c>
      <c r="M168" s="4" t="s">
        <v>1838</v>
      </c>
      <c r="N168" s="4" t="s">
        <v>1839</v>
      </c>
      <c r="O168" s="4" t="s">
        <v>1834</v>
      </c>
      <c r="P168" s="4" t="s">
        <v>644</v>
      </c>
      <c r="Q168" s="4" t="s">
        <v>39</v>
      </c>
      <c r="R168" s="4" t="s">
        <v>1840</v>
      </c>
      <c r="S168" s="4">
        <v>44966</v>
      </c>
      <c r="T168" s="4">
        <v>46788</v>
      </c>
      <c r="U168" s="4">
        <v>2800000</v>
      </c>
      <c r="V168" s="4">
        <v>15</v>
      </c>
      <c r="W168" s="4">
        <v>420000</v>
      </c>
      <c r="X168" s="4">
        <v>2380000</v>
      </c>
      <c r="Y168" s="4">
        <v>2</v>
      </c>
      <c r="Z168" s="6">
        <v>47600</v>
      </c>
      <c r="AA168" s="4"/>
      <c r="AB168" s="4"/>
      <c r="AC168" s="4" t="s">
        <v>78</v>
      </c>
      <c r="AD168" s="4">
        <v>1141073002</v>
      </c>
      <c r="AE168" s="4">
        <v>45735</v>
      </c>
      <c r="AF168" s="4" t="s">
        <v>35</v>
      </c>
      <c r="AG168" s="4">
        <v>0</v>
      </c>
      <c r="AH168" s="4" t="s">
        <v>1835</v>
      </c>
      <c r="AI168" s="4"/>
      <c r="AJ168" s="6">
        <f>VLOOKUP(AH168,[1]Sheet1!$B$2:$AA$595,26,0)</f>
        <v>47600</v>
      </c>
      <c r="AK168" s="5">
        <f t="shared" si="2"/>
        <v>0</v>
      </c>
    </row>
    <row r="169" spans="1:37" x14ac:dyDescent="0.2">
      <c r="A169" s="9">
        <v>168</v>
      </c>
      <c r="B169" s="4" t="s">
        <v>610</v>
      </c>
      <c r="C169" s="4" t="s">
        <v>1841</v>
      </c>
      <c r="D169" s="4">
        <v>45689</v>
      </c>
      <c r="E169" s="4" t="s">
        <v>31</v>
      </c>
      <c r="F169" s="4" t="s">
        <v>1842</v>
      </c>
      <c r="G169" s="4">
        <v>45697</v>
      </c>
      <c r="H169" s="4">
        <v>46061</v>
      </c>
      <c r="I169" s="4" t="s">
        <v>1843</v>
      </c>
      <c r="J169" s="4">
        <v>3310060155566</v>
      </c>
      <c r="K169" s="4" t="s">
        <v>51</v>
      </c>
      <c r="L169" s="4" t="s">
        <v>1844</v>
      </c>
      <c r="M169" s="4" t="s">
        <v>1845</v>
      </c>
      <c r="N169" s="4" t="s">
        <v>1846</v>
      </c>
      <c r="O169" s="4" t="s">
        <v>1841</v>
      </c>
      <c r="P169" s="4" t="s">
        <v>644</v>
      </c>
      <c r="Q169" s="4" t="s">
        <v>46</v>
      </c>
      <c r="R169" s="4" t="s">
        <v>1847</v>
      </c>
      <c r="S169" s="4">
        <v>44970</v>
      </c>
      <c r="T169" s="4">
        <v>46058</v>
      </c>
      <c r="U169" s="4">
        <v>3600000</v>
      </c>
      <c r="V169" s="4">
        <v>15</v>
      </c>
      <c r="W169" s="4">
        <v>540000</v>
      </c>
      <c r="X169" s="4">
        <v>3060000</v>
      </c>
      <c r="Y169" s="4">
        <v>1.5</v>
      </c>
      <c r="Z169" s="6">
        <v>45900</v>
      </c>
      <c r="AA169" s="4"/>
      <c r="AB169" s="4"/>
      <c r="AC169" s="4" t="s">
        <v>78</v>
      </c>
      <c r="AD169" s="4">
        <v>1141073002</v>
      </c>
      <c r="AE169" s="4">
        <v>45735</v>
      </c>
      <c r="AF169" s="4" t="s">
        <v>35</v>
      </c>
      <c r="AG169" s="4">
        <v>0</v>
      </c>
      <c r="AH169" s="4" t="s">
        <v>1842</v>
      </c>
      <c r="AI169" s="4"/>
      <c r="AJ169" s="6">
        <f>VLOOKUP(AH169,[1]Sheet1!$B$2:$AA$595,26,0)</f>
        <v>45900</v>
      </c>
      <c r="AK169" s="5">
        <f t="shared" si="2"/>
        <v>0</v>
      </c>
    </row>
    <row r="170" spans="1:37" x14ac:dyDescent="0.2">
      <c r="A170" s="9">
        <v>169</v>
      </c>
      <c r="B170" s="4" t="s">
        <v>610</v>
      </c>
      <c r="C170" s="4" t="s">
        <v>1848</v>
      </c>
      <c r="D170" s="4">
        <v>45689</v>
      </c>
      <c r="E170" s="4" t="s">
        <v>31</v>
      </c>
      <c r="F170" s="4" t="s">
        <v>1849</v>
      </c>
      <c r="G170" s="4">
        <v>45701</v>
      </c>
      <c r="H170" s="4">
        <v>46065</v>
      </c>
      <c r="I170" s="4" t="s">
        <v>1850</v>
      </c>
      <c r="J170" s="4">
        <v>3310075816461</v>
      </c>
      <c r="K170" s="4" t="s">
        <v>89</v>
      </c>
      <c r="L170" s="4" t="s">
        <v>1851</v>
      </c>
      <c r="M170" s="4" t="s">
        <v>1852</v>
      </c>
      <c r="N170" s="4" t="s">
        <v>1853</v>
      </c>
      <c r="O170" s="4" t="s">
        <v>1848</v>
      </c>
      <c r="P170" s="4" t="s">
        <v>644</v>
      </c>
      <c r="Q170" s="4" t="s">
        <v>46</v>
      </c>
      <c r="R170" s="4" t="s">
        <v>1854</v>
      </c>
      <c r="S170" s="4">
        <v>44973</v>
      </c>
      <c r="T170" s="4">
        <v>46086</v>
      </c>
      <c r="U170" s="4">
        <v>3449000</v>
      </c>
      <c r="V170" s="4">
        <v>15</v>
      </c>
      <c r="W170" s="4">
        <v>517350</v>
      </c>
      <c r="X170" s="4">
        <v>2931650</v>
      </c>
      <c r="Y170" s="4">
        <v>2</v>
      </c>
      <c r="Z170" s="6">
        <v>58633</v>
      </c>
      <c r="AA170" s="4"/>
      <c r="AB170" s="4"/>
      <c r="AC170" s="4" t="s">
        <v>78</v>
      </c>
      <c r="AD170" s="4">
        <v>1141073002</v>
      </c>
      <c r="AE170" s="4">
        <v>45735</v>
      </c>
      <c r="AF170" s="4" t="s">
        <v>35</v>
      </c>
      <c r="AG170" s="4">
        <v>0</v>
      </c>
      <c r="AH170" s="4" t="s">
        <v>1849</v>
      </c>
      <c r="AI170" s="4"/>
      <c r="AJ170" s="6">
        <f>VLOOKUP(AH170,[1]Sheet1!$B$2:$AA$595,26,0)</f>
        <v>58633</v>
      </c>
      <c r="AK170" s="5">
        <f t="shared" si="2"/>
        <v>0</v>
      </c>
    </row>
    <row r="171" spans="1:37" x14ac:dyDescent="0.2">
      <c r="A171" s="9">
        <v>170</v>
      </c>
      <c r="B171" s="4" t="s">
        <v>610</v>
      </c>
      <c r="C171" s="4" t="s">
        <v>1855</v>
      </c>
      <c r="D171" s="4">
        <v>45689</v>
      </c>
      <c r="E171" s="4" t="s">
        <v>31</v>
      </c>
      <c r="F171" s="4" t="s">
        <v>1856</v>
      </c>
      <c r="G171" s="4">
        <v>45701</v>
      </c>
      <c r="H171" s="4">
        <v>46065</v>
      </c>
      <c r="I171" s="4" t="s">
        <v>1857</v>
      </c>
      <c r="J171" s="4">
        <v>4230112488003</v>
      </c>
      <c r="K171" s="4" t="s">
        <v>89</v>
      </c>
      <c r="L171" s="4" t="s">
        <v>1858</v>
      </c>
      <c r="M171" s="4" t="s">
        <v>1859</v>
      </c>
      <c r="N171" s="4" t="s">
        <v>1860</v>
      </c>
      <c r="O171" s="4" t="s">
        <v>1855</v>
      </c>
      <c r="P171" s="4" t="s">
        <v>44</v>
      </c>
      <c r="Q171" s="4" t="s">
        <v>1861</v>
      </c>
      <c r="R171" s="4" t="s">
        <v>1862</v>
      </c>
      <c r="S171" s="4">
        <v>44974</v>
      </c>
      <c r="T171" s="4">
        <v>46818</v>
      </c>
      <c r="U171" s="4">
        <v>2100000</v>
      </c>
      <c r="V171" s="4">
        <v>15</v>
      </c>
      <c r="W171" s="4">
        <v>315000</v>
      </c>
      <c r="X171" s="4">
        <v>1785000</v>
      </c>
      <c r="Y171" s="4">
        <v>2</v>
      </c>
      <c r="Z171" s="6">
        <v>35700</v>
      </c>
      <c r="AA171" s="4"/>
      <c r="AB171" s="4"/>
      <c r="AC171" s="4" t="s">
        <v>78</v>
      </c>
      <c r="AD171" s="4">
        <v>1141073002</v>
      </c>
      <c r="AE171" s="4">
        <v>45735</v>
      </c>
      <c r="AF171" s="4" t="s">
        <v>35</v>
      </c>
      <c r="AG171" s="4">
        <v>0</v>
      </c>
      <c r="AH171" s="4" t="s">
        <v>1856</v>
      </c>
      <c r="AI171" s="4"/>
      <c r="AJ171" s="6">
        <f>VLOOKUP(AH171,[1]Sheet1!$B$2:$AA$595,26,0)</f>
        <v>35700</v>
      </c>
      <c r="AK171" s="5">
        <f t="shared" si="2"/>
        <v>0</v>
      </c>
    </row>
    <row r="172" spans="1:37" x14ac:dyDescent="0.2">
      <c r="A172" s="9">
        <v>171</v>
      </c>
      <c r="B172" s="4" t="s">
        <v>610</v>
      </c>
      <c r="C172" s="4" t="s">
        <v>1863</v>
      </c>
      <c r="D172" s="4">
        <v>45689</v>
      </c>
      <c r="E172" s="4" t="s">
        <v>31</v>
      </c>
      <c r="F172" s="4" t="s">
        <v>1864</v>
      </c>
      <c r="G172" s="4">
        <v>45690</v>
      </c>
      <c r="H172" s="4">
        <v>46054</v>
      </c>
      <c r="I172" s="4" t="s">
        <v>1865</v>
      </c>
      <c r="J172" s="4">
        <v>3520163951517</v>
      </c>
      <c r="K172" s="4" t="s">
        <v>637</v>
      </c>
      <c r="L172" s="4" t="s">
        <v>1866</v>
      </c>
      <c r="M172" s="4" t="s">
        <v>1867</v>
      </c>
      <c r="N172" s="4" t="s">
        <v>1868</v>
      </c>
      <c r="O172" s="4" t="s">
        <v>1863</v>
      </c>
      <c r="P172" s="4" t="s">
        <v>644</v>
      </c>
      <c r="Q172" s="4" t="s">
        <v>39</v>
      </c>
      <c r="R172" s="4" t="s">
        <v>1869</v>
      </c>
      <c r="S172" s="4">
        <v>44596</v>
      </c>
      <c r="T172" s="4">
        <v>46423</v>
      </c>
      <c r="U172" s="4">
        <v>1975000</v>
      </c>
      <c r="V172" s="4">
        <v>20</v>
      </c>
      <c r="W172" s="4">
        <v>395000</v>
      </c>
      <c r="X172" s="4">
        <v>1580000</v>
      </c>
      <c r="Y172" s="4">
        <v>1.75</v>
      </c>
      <c r="Z172" s="6">
        <v>27650</v>
      </c>
      <c r="AA172" s="4"/>
      <c r="AB172" s="4"/>
      <c r="AC172" s="4" t="s">
        <v>78</v>
      </c>
      <c r="AD172" s="4">
        <v>1141073002</v>
      </c>
      <c r="AE172" s="4">
        <v>45735</v>
      </c>
      <c r="AF172" s="4" t="s">
        <v>35</v>
      </c>
      <c r="AG172" s="4">
        <v>0</v>
      </c>
      <c r="AH172" s="4" t="s">
        <v>1864</v>
      </c>
      <c r="AI172" s="4"/>
      <c r="AJ172" s="6">
        <f>VLOOKUP(AH172,[1]Sheet1!$B$2:$AA$595,26,0)</f>
        <v>27650</v>
      </c>
      <c r="AK172" s="5">
        <f t="shared" si="2"/>
        <v>0</v>
      </c>
    </row>
    <row r="173" spans="1:37" x14ac:dyDescent="0.2">
      <c r="A173" s="9">
        <v>172</v>
      </c>
      <c r="B173" s="4" t="s">
        <v>610</v>
      </c>
      <c r="C173" s="4" t="s">
        <v>1870</v>
      </c>
      <c r="D173" s="4">
        <v>45689</v>
      </c>
      <c r="E173" s="4" t="s">
        <v>31</v>
      </c>
      <c r="F173" s="4" t="s">
        <v>1871</v>
      </c>
      <c r="G173" s="4">
        <v>45695</v>
      </c>
      <c r="H173" s="4">
        <v>46059</v>
      </c>
      <c r="I173" s="4" t="s">
        <v>1872</v>
      </c>
      <c r="J173" s="4">
        <v>3520257045757</v>
      </c>
      <c r="K173" s="4" t="s">
        <v>637</v>
      </c>
      <c r="L173" s="4" t="s">
        <v>1873</v>
      </c>
      <c r="M173" s="4" t="s">
        <v>1874</v>
      </c>
      <c r="N173" s="4" t="s">
        <v>1875</v>
      </c>
      <c r="O173" s="4" t="s">
        <v>1870</v>
      </c>
      <c r="P173" s="4" t="s">
        <v>644</v>
      </c>
      <c r="Q173" s="4" t="s">
        <v>39</v>
      </c>
      <c r="R173" s="4" t="s">
        <v>1876</v>
      </c>
      <c r="S173" s="4">
        <v>44603</v>
      </c>
      <c r="T173" s="4">
        <v>46423</v>
      </c>
      <c r="U173" s="4">
        <v>1500000</v>
      </c>
      <c r="V173" s="4">
        <v>20</v>
      </c>
      <c r="W173" s="4">
        <v>300000</v>
      </c>
      <c r="X173" s="4">
        <v>1200000</v>
      </c>
      <c r="Y173" s="4">
        <v>1.75</v>
      </c>
      <c r="Z173" s="6">
        <v>21000</v>
      </c>
      <c r="AA173" s="4"/>
      <c r="AB173" s="4"/>
      <c r="AC173" s="4" t="s">
        <v>78</v>
      </c>
      <c r="AD173" s="4">
        <v>1141073002</v>
      </c>
      <c r="AE173" s="4">
        <v>45735</v>
      </c>
      <c r="AF173" s="4" t="s">
        <v>35</v>
      </c>
      <c r="AG173" s="4">
        <v>0</v>
      </c>
      <c r="AH173" s="4" t="s">
        <v>1871</v>
      </c>
      <c r="AI173" s="4"/>
      <c r="AJ173" s="6">
        <f>VLOOKUP(AH173,[1]Sheet1!$B$2:$AA$595,26,0)</f>
        <v>21000</v>
      </c>
      <c r="AK173" s="5">
        <f t="shared" si="2"/>
        <v>0</v>
      </c>
    </row>
    <row r="174" spans="1:37" x14ac:dyDescent="0.2">
      <c r="A174" s="9">
        <v>173</v>
      </c>
      <c r="B174" s="4" t="s">
        <v>610</v>
      </c>
      <c r="C174" s="4" t="s">
        <v>1877</v>
      </c>
      <c r="D174" s="4">
        <v>45689</v>
      </c>
      <c r="E174" s="4" t="s">
        <v>31</v>
      </c>
      <c r="F174" s="4" t="s">
        <v>1878</v>
      </c>
      <c r="G174" s="4">
        <v>45695</v>
      </c>
      <c r="H174" s="4">
        <v>46059</v>
      </c>
      <c r="I174" s="4" t="s">
        <v>1879</v>
      </c>
      <c r="J174" s="4">
        <v>3520242424643</v>
      </c>
      <c r="K174" s="4" t="s">
        <v>390</v>
      </c>
      <c r="L174" s="4" t="s">
        <v>1880</v>
      </c>
      <c r="M174" s="4" t="s">
        <v>1881</v>
      </c>
      <c r="N174" s="4" t="s">
        <v>1882</v>
      </c>
      <c r="O174" s="4" t="s">
        <v>1877</v>
      </c>
      <c r="P174" s="4" t="s">
        <v>644</v>
      </c>
      <c r="Q174" s="4" t="s">
        <v>39</v>
      </c>
      <c r="R174" s="4" t="s">
        <v>1883</v>
      </c>
      <c r="S174" s="4">
        <v>44608</v>
      </c>
      <c r="T174" s="4">
        <v>47182</v>
      </c>
      <c r="U174" s="4">
        <v>1113000</v>
      </c>
      <c r="V174" s="4">
        <v>20</v>
      </c>
      <c r="W174" s="4">
        <v>222600</v>
      </c>
      <c r="X174" s="4">
        <v>890400</v>
      </c>
      <c r="Y174" s="4">
        <v>2.5</v>
      </c>
      <c r="Z174" s="6">
        <v>22260</v>
      </c>
      <c r="AA174" s="4"/>
      <c r="AB174" s="4"/>
      <c r="AC174" s="4" t="s">
        <v>78</v>
      </c>
      <c r="AD174" s="4">
        <v>1141073002</v>
      </c>
      <c r="AE174" s="4">
        <v>45735</v>
      </c>
      <c r="AF174" s="4" t="s">
        <v>35</v>
      </c>
      <c r="AG174" s="4">
        <v>0</v>
      </c>
      <c r="AH174" s="4" t="s">
        <v>1878</v>
      </c>
      <c r="AI174" s="4"/>
      <c r="AJ174" s="6">
        <f>VLOOKUP(AH174,[1]Sheet1!$B$2:$AA$595,26,0)</f>
        <v>22260</v>
      </c>
      <c r="AK174" s="5">
        <f t="shared" si="2"/>
        <v>0</v>
      </c>
    </row>
    <row r="175" spans="1:37" x14ac:dyDescent="0.2">
      <c r="A175" s="9">
        <v>174</v>
      </c>
      <c r="B175" s="4" t="s">
        <v>610</v>
      </c>
      <c r="C175" s="4" t="s">
        <v>1884</v>
      </c>
      <c r="D175" s="4">
        <v>45689</v>
      </c>
      <c r="E175" s="4" t="s">
        <v>31</v>
      </c>
      <c r="F175" s="4" t="s">
        <v>1885</v>
      </c>
      <c r="G175" s="4">
        <v>45695</v>
      </c>
      <c r="H175" s="4">
        <v>46059</v>
      </c>
      <c r="I175" s="4" t="s">
        <v>287</v>
      </c>
      <c r="J175" s="4">
        <v>3410481579243</v>
      </c>
      <c r="K175" s="4" t="s">
        <v>41</v>
      </c>
      <c r="L175" s="4" t="s">
        <v>1886</v>
      </c>
      <c r="M175" s="4" t="s">
        <v>1887</v>
      </c>
      <c r="N175" s="4" t="s">
        <v>1888</v>
      </c>
      <c r="O175" s="4" t="s">
        <v>1884</v>
      </c>
      <c r="P175" s="4" t="s">
        <v>644</v>
      </c>
      <c r="Q175" s="4" t="s">
        <v>39</v>
      </c>
      <c r="R175" s="4" t="s">
        <v>1889</v>
      </c>
      <c r="S175" s="4">
        <v>44601</v>
      </c>
      <c r="T175" s="4">
        <v>46788</v>
      </c>
      <c r="U175" s="4">
        <v>1546000</v>
      </c>
      <c r="V175" s="4">
        <v>20</v>
      </c>
      <c r="W175" s="4">
        <v>309200</v>
      </c>
      <c r="X175" s="4">
        <v>1236800</v>
      </c>
      <c r="Y175" s="4">
        <v>1.75</v>
      </c>
      <c r="Z175" s="6">
        <v>21644</v>
      </c>
      <c r="AA175" s="4"/>
      <c r="AB175" s="4"/>
      <c r="AC175" s="4" t="s">
        <v>78</v>
      </c>
      <c r="AD175" s="4">
        <v>1141073002</v>
      </c>
      <c r="AE175" s="4">
        <v>45735</v>
      </c>
      <c r="AF175" s="4" t="s">
        <v>35</v>
      </c>
      <c r="AG175" s="4">
        <v>0</v>
      </c>
      <c r="AH175" s="4" t="s">
        <v>1885</v>
      </c>
      <c r="AI175" s="4"/>
      <c r="AJ175" s="6">
        <f>VLOOKUP(AH175,[1]Sheet1!$B$2:$AA$595,26,0)</f>
        <v>21644</v>
      </c>
      <c r="AK175" s="5">
        <f t="shared" si="2"/>
        <v>0</v>
      </c>
    </row>
    <row r="176" spans="1:37" x14ac:dyDescent="0.2">
      <c r="A176" s="9">
        <v>175</v>
      </c>
      <c r="B176" s="4" t="s">
        <v>610</v>
      </c>
      <c r="C176" s="4" t="s">
        <v>1890</v>
      </c>
      <c r="D176" s="4">
        <v>45689</v>
      </c>
      <c r="E176" s="4" t="s">
        <v>31</v>
      </c>
      <c r="F176" s="4" t="s">
        <v>1891</v>
      </c>
      <c r="G176" s="4">
        <v>45697</v>
      </c>
      <c r="H176" s="4">
        <v>46061</v>
      </c>
      <c r="I176" s="4" t="s">
        <v>1892</v>
      </c>
      <c r="J176" s="4">
        <v>3520228053357</v>
      </c>
      <c r="K176" s="4" t="s">
        <v>89</v>
      </c>
      <c r="L176" s="4" t="s">
        <v>1893</v>
      </c>
      <c r="M176" s="4" t="s">
        <v>1894</v>
      </c>
      <c r="N176" s="4" t="s">
        <v>1895</v>
      </c>
      <c r="O176" s="4" t="s">
        <v>1890</v>
      </c>
      <c r="P176" s="4" t="s">
        <v>644</v>
      </c>
      <c r="Q176" s="4" t="s">
        <v>39</v>
      </c>
      <c r="R176" s="4" t="s">
        <v>1896</v>
      </c>
      <c r="S176" s="4">
        <v>44606</v>
      </c>
      <c r="T176" s="4">
        <v>46423</v>
      </c>
      <c r="U176" s="4">
        <v>1955000</v>
      </c>
      <c r="V176" s="4">
        <v>20</v>
      </c>
      <c r="W176" s="4">
        <v>391000</v>
      </c>
      <c r="X176" s="4">
        <v>1564000</v>
      </c>
      <c r="Y176" s="4">
        <v>2.5</v>
      </c>
      <c r="Z176" s="6">
        <v>39100</v>
      </c>
      <c r="AA176" s="4"/>
      <c r="AB176" s="4"/>
      <c r="AC176" s="4" t="s">
        <v>78</v>
      </c>
      <c r="AD176" s="4">
        <v>1141073002</v>
      </c>
      <c r="AE176" s="4">
        <v>45735</v>
      </c>
      <c r="AF176" s="4" t="s">
        <v>35</v>
      </c>
      <c r="AG176" s="4">
        <v>0</v>
      </c>
      <c r="AH176" s="4" t="s">
        <v>1891</v>
      </c>
      <c r="AI176" s="4"/>
      <c r="AJ176" s="6">
        <f>VLOOKUP(AH176,[1]Sheet1!$B$2:$AA$595,26,0)</f>
        <v>39100</v>
      </c>
      <c r="AK176" s="5">
        <f t="shared" si="2"/>
        <v>0</v>
      </c>
    </row>
    <row r="177" spans="1:37" x14ac:dyDescent="0.2">
      <c r="A177" s="9">
        <v>176</v>
      </c>
      <c r="B177" s="4" t="s">
        <v>610</v>
      </c>
      <c r="C177" s="4" t="s">
        <v>1897</v>
      </c>
      <c r="D177" s="4">
        <v>45689</v>
      </c>
      <c r="E177" s="4" t="s">
        <v>31</v>
      </c>
      <c r="F177" s="4" t="s">
        <v>1898</v>
      </c>
      <c r="G177" s="4">
        <v>45697</v>
      </c>
      <c r="H177" s="4">
        <v>46061</v>
      </c>
      <c r="I177" s="4" t="s">
        <v>1899</v>
      </c>
      <c r="J177" s="4">
        <v>3520160491043</v>
      </c>
      <c r="K177" s="4" t="s">
        <v>140</v>
      </c>
      <c r="L177" s="4" t="s">
        <v>1900</v>
      </c>
      <c r="M177" s="4" t="s">
        <v>1901</v>
      </c>
      <c r="N177" s="4" t="s">
        <v>1902</v>
      </c>
      <c r="O177" s="4" t="s">
        <v>1897</v>
      </c>
      <c r="P177" s="4" t="s">
        <v>644</v>
      </c>
      <c r="Q177" s="4" t="s">
        <v>39</v>
      </c>
      <c r="R177" s="4" t="s">
        <v>1903</v>
      </c>
      <c r="S177" s="4">
        <v>44635</v>
      </c>
      <c r="T177" s="4">
        <v>46451</v>
      </c>
      <c r="U177" s="4">
        <v>3705500</v>
      </c>
      <c r="V177" s="4">
        <v>20</v>
      </c>
      <c r="W177" s="4">
        <v>741100</v>
      </c>
      <c r="X177" s="4">
        <v>2964400</v>
      </c>
      <c r="Y177" s="4">
        <v>1.5</v>
      </c>
      <c r="Z177" s="6">
        <v>44466</v>
      </c>
      <c r="AA177" s="4"/>
      <c r="AB177" s="4"/>
      <c r="AC177" s="4" t="s">
        <v>78</v>
      </c>
      <c r="AD177" s="4">
        <v>1141073002</v>
      </c>
      <c r="AE177" s="4">
        <v>45735</v>
      </c>
      <c r="AF177" s="4" t="s">
        <v>35</v>
      </c>
      <c r="AG177" s="4">
        <v>0</v>
      </c>
      <c r="AH177" s="4" t="s">
        <v>1898</v>
      </c>
      <c r="AI177" s="4"/>
      <c r="AJ177" s="6">
        <f>VLOOKUP(AH177,[1]Sheet1!$B$2:$AA$595,26,0)</f>
        <v>44466</v>
      </c>
      <c r="AK177" s="5">
        <f t="shared" si="2"/>
        <v>0</v>
      </c>
    </row>
    <row r="178" spans="1:37" x14ac:dyDescent="0.2">
      <c r="A178" s="9">
        <v>177</v>
      </c>
      <c r="B178" s="4" t="s">
        <v>610</v>
      </c>
      <c r="C178" s="4" t="s">
        <v>1904</v>
      </c>
      <c r="D178" s="4">
        <v>45689</v>
      </c>
      <c r="E178" s="4" t="s">
        <v>31</v>
      </c>
      <c r="F178" s="4" t="s">
        <v>1905</v>
      </c>
      <c r="G178" s="4">
        <v>45709</v>
      </c>
      <c r="H178" s="4">
        <v>46073</v>
      </c>
      <c r="I178" s="4" t="s">
        <v>1906</v>
      </c>
      <c r="J178" s="4">
        <v>3510125055583</v>
      </c>
      <c r="K178" s="4" t="s">
        <v>633</v>
      </c>
      <c r="L178" s="4" t="s">
        <v>1907</v>
      </c>
      <c r="M178" s="4" t="s">
        <v>1908</v>
      </c>
      <c r="N178" s="4" t="s">
        <v>1909</v>
      </c>
      <c r="O178" s="4" t="s">
        <v>1904</v>
      </c>
      <c r="P178" s="4" t="s">
        <v>644</v>
      </c>
      <c r="Q178" s="4" t="s">
        <v>39</v>
      </c>
      <c r="R178" s="4" t="s">
        <v>1910</v>
      </c>
      <c r="S178" s="4">
        <v>45344</v>
      </c>
      <c r="T178" s="4">
        <v>47182</v>
      </c>
      <c r="U178" s="4">
        <v>2612000</v>
      </c>
      <c r="V178" s="4">
        <v>10</v>
      </c>
      <c r="W178" s="4">
        <v>261200</v>
      </c>
      <c r="X178" s="4">
        <v>2350800</v>
      </c>
      <c r="Y178" s="4">
        <v>2</v>
      </c>
      <c r="Z178" s="6">
        <v>47016</v>
      </c>
      <c r="AA178" s="4"/>
      <c r="AB178" s="4"/>
      <c r="AC178" s="4" t="s">
        <v>78</v>
      </c>
      <c r="AD178" s="4">
        <v>1141073002</v>
      </c>
      <c r="AE178" s="4">
        <v>45735</v>
      </c>
      <c r="AF178" s="4" t="s">
        <v>35</v>
      </c>
      <c r="AG178" s="4">
        <v>0</v>
      </c>
      <c r="AH178" s="4" t="s">
        <v>1905</v>
      </c>
      <c r="AI178" s="4"/>
      <c r="AJ178" s="6">
        <f>VLOOKUP(AH178,[1]Sheet1!$B$2:$AA$595,26,0)</f>
        <v>47016</v>
      </c>
      <c r="AK178" s="5">
        <f t="shared" si="2"/>
        <v>0</v>
      </c>
    </row>
    <row r="179" spans="1:37" x14ac:dyDescent="0.2">
      <c r="A179" s="9">
        <v>178</v>
      </c>
      <c r="B179" s="4" t="s">
        <v>610</v>
      </c>
      <c r="C179" s="4" t="s">
        <v>1911</v>
      </c>
      <c r="D179" s="4">
        <v>45689</v>
      </c>
      <c r="E179" s="4" t="s">
        <v>31</v>
      </c>
      <c r="F179" s="4" t="s">
        <v>1912</v>
      </c>
      <c r="G179" s="4">
        <v>45699</v>
      </c>
      <c r="H179" s="4">
        <v>46063</v>
      </c>
      <c r="I179" s="4" t="s">
        <v>1913</v>
      </c>
      <c r="J179" s="4">
        <v>3530196864396</v>
      </c>
      <c r="K179" s="4" t="s">
        <v>1914</v>
      </c>
      <c r="L179" s="4" t="s">
        <v>1915</v>
      </c>
      <c r="M179" s="4" t="s">
        <v>1916</v>
      </c>
      <c r="N179" s="4" t="s">
        <v>1917</v>
      </c>
      <c r="O179" s="4" t="s">
        <v>1911</v>
      </c>
      <c r="P179" s="4" t="s">
        <v>644</v>
      </c>
      <c r="Q179" s="4" t="s">
        <v>626</v>
      </c>
      <c r="R179" s="4" t="s">
        <v>1918</v>
      </c>
      <c r="S179" s="4">
        <v>44608</v>
      </c>
      <c r="T179" s="4">
        <v>46451</v>
      </c>
      <c r="U179" s="4">
        <v>2270000</v>
      </c>
      <c r="V179" s="4">
        <v>20</v>
      </c>
      <c r="W179" s="4">
        <v>454000</v>
      </c>
      <c r="X179" s="4">
        <v>1816000</v>
      </c>
      <c r="Y179" s="4">
        <v>1.75</v>
      </c>
      <c r="Z179" s="6">
        <v>31780</v>
      </c>
      <c r="AA179" s="4"/>
      <c r="AB179" s="4"/>
      <c r="AC179" s="4" t="s">
        <v>78</v>
      </c>
      <c r="AD179" s="4">
        <v>1141073002</v>
      </c>
      <c r="AE179" s="4">
        <v>45735</v>
      </c>
      <c r="AF179" s="4" t="s">
        <v>35</v>
      </c>
      <c r="AG179" s="4">
        <v>0</v>
      </c>
      <c r="AH179" s="4" t="s">
        <v>1912</v>
      </c>
      <c r="AI179" s="4"/>
      <c r="AJ179" s="6">
        <f>VLOOKUP(AH179,[1]Sheet1!$B$2:$AA$595,26,0)</f>
        <v>31780</v>
      </c>
      <c r="AK179" s="5">
        <f t="shared" si="2"/>
        <v>0</v>
      </c>
    </row>
    <row r="180" spans="1:37" x14ac:dyDescent="0.2">
      <c r="A180" s="9">
        <v>179</v>
      </c>
      <c r="B180" s="4" t="s">
        <v>610</v>
      </c>
      <c r="C180" s="4" t="s">
        <v>1919</v>
      </c>
      <c r="D180" s="4">
        <v>45689</v>
      </c>
      <c r="E180" s="4" t="s">
        <v>31</v>
      </c>
      <c r="F180" s="4" t="s">
        <v>1920</v>
      </c>
      <c r="G180" s="4">
        <v>45702</v>
      </c>
      <c r="H180" s="4">
        <v>46066</v>
      </c>
      <c r="I180" s="4" t="s">
        <v>1921</v>
      </c>
      <c r="J180" s="4">
        <v>4230186825013</v>
      </c>
      <c r="K180" s="4" t="s">
        <v>43</v>
      </c>
      <c r="L180" s="4" t="s">
        <v>1922</v>
      </c>
      <c r="M180" s="4" t="s">
        <v>1923</v>
      </c>
      <c r="N180" s="4" t="s">
        <v>1924</v>
      </c>
      <c r="O180" s="4" t="s">
        <v>1919</v>
      </c>
      <c r="P180" s="4" t="s">
        <v>44</v>
      </c>
      <c r="Q180" s="4" t="s">
        <v>66</v>
      </c>
      <c r="R180" s="4" t="s">
        <v>1925</v>
      </c>
      <c r="S180" s="4">
        <v>44609</v>
      </c>
      <c r="T180" s="4">
        <v>46818</v>
      </c>
      <c r="U180" s="4">
        <v>1650000</v>
      </c>
      <c r="V180" s="4">
        <v>20</v>
      </c>
      <c r="W180" s="4">
        <v>330000</v>
      </c>
      <c r="X180" s="4">
        <v>1320000</v>
      </c>
      <c r="Y180" s="4">
        <v>1.75</v>
      </c>
      <c r="Z180" s="6">
        <v>23100</v>
      </c>
      <c r="AA180" s="4"/>
      <c r="AB180" s="4"/>
      <c r="AC180" s="4" t="s">
        <v>78</v>
      </c>
      <c r="AD180" s="4">
        <v>1141073002</v>
      </c>
      <c r="AE180" s="4">
        <v>45735</v>
      </c>
      <c r="AF180" s="4" t="s">
        <v>35</v>
      </c>
      <c r="AG180" s="4">
        <v>0</v>
      </c>
      <c r="AH180" s="4" t="s">
        <v>1920</v>
      </c>
      <c r="AI180" s="4"/>
      <c r="AJ180" s="6">
        <f>VLOOKUP(AH180,[1]Sheet1!$B$2:$AA$595,26,0)</f>
        <v>23100</v>
      </c>
      <c r="AK180" s="5">
        <f t="shared" si="2"/>
        <v>0</v>
      </c>
    </row>
    <row r="181" spans="1:37" x14ac:dyDescent="0.2">
      <c r="A181" s="9">
        <v>180</v>
      </c>
      <c r="B181" s="4" t="s">
        <v>610</v>
      </c>
      <c r="C181" s="4" t="s">
        <v>1926</v>
      </c>
      <c r="D181" s="4">
        <v>45689</v>
      </c>
      <c r="E181" s="4" t="s">
        <v>31</v>
      </c>
      <c r="F181" s="4" t="s">
        <v>1927</v>
      </c>
      <c r="G181" s="4">
        <v>45702</v>
      </c>
      <c r="H181" s="4">
        <v>46066</v>
      </c>
      <c r="I181" s="4" t="s">
        <v>1928</v>
      </c>
      <c r="J181" s="4">
        <v>3520131267781</v>
      </c>
      <c r="K181" s="4" t="s">
        <v>617</v>
      </c>
      <c r="L181" s="4" t="s">
        <v>1929</v>
      </c>
      <c r="M181" s="4" t="s">
        <v>1930</v>
      </c>
      <c r="N181" s="4" t="s">
        <v>1931</v>
      </c>
      <c r="O181" s="4" t="s">
        <v>1926</v>
      </c>
      <c r="P181" s="4" t="s">
        <v>644</v>
      </c>
      <c r="Q181" s="4" t="s">
        <v>39</v>
      </c>
      <c r="R181" s="4" t="s">
        <v>1932</v>
      </c>
      <c r="S181" s="4">
        <v>44609</v>
      </c>
      <c r="T181" s="4">
        <v>46451</v>
      </c>
      <c r="U181" s="4">
        <v>2300000</v>
      </c>
      <c r="V181" s="4">
        <v>20</v>
      </c>
      <c r="W181" s="4">
        <v>460000</v>
      </c>
      <c r="X181" s="4">
        <v>1840000</v>
      </c>
      <c r="Y181" s="4">
        <v>1.75</v>
      </c>
      <c r="Z181" s="6">
        <v>32200</v>
      </c>
      <c r="AA181" s="4"/>
      <c r="AB181" s="4"/>
      <c r="AC181" s="4" t="s">
        <v>78</v>
      </c>
      <c r="AD181" s="4">
        <v>1141073002</v>
      </c>
      <c r="AE181" s="4">
        <v>45735</v>
      </c>
      <c r="AF181" s="4" t="s">
        <v>35</v>
      </c>
      <c r="AG181" s="4">
        <v>0</v>
      </c>
      <c r="AH181" s="4" t="s">
        <v>1927</v>
      </c>
      <c r="AI181" s="4"/>
      <c r="AJ181" s="6">
        <f>VLOOKUP(AH181,[1]Sheet1!$B$2:$AA$595,26,0)</f>
        <v>32200</v>
      </c>
      <c r="AK181" s="5">
        <f t="shared" si="2"/>
        <v>0</v>
      </c>
    </row>
    <row r="182" spans="1:37" x14ac:dyDescent="0.2">
      <c r="A182" s="9">
        <v>181</v>
      </c>
      <c r="B182" s="4" t="s">
        <v>610</v>
      </c>
      <c r="C182" s="4" t="s">
        <v>1933</v>
      </c>
      <c r="D182" s="4">
        <v>45689</v>
      </c>
      <c r="E182" s="4" t="s">
        <v>31</v>
      </c>
      <c r="F182" s="4" t="s">
        <v>1934</v>
      </c>
      <c r="G182" s="4">
        <v>45703</v>
      </c>
      <c r="H182" s="4">
        <v>46067</v>
      </c>
      <c r="I182" s="4" t="s">
        <v>1935</v>
      </c>
      <c r="J182" s="4">
        <v>4240195977289</v>
      </c>
      <c r="K182" s="4" t="s">
        <v>43</v>
      </c>
      <c r="L182" s="4" t="s">
        <v>1936</v>
      </c>
      <c r="M182" s="4" t="s">
        <v>1937</v>
      </c>
      <c r="N182" s="4" t="s">
        <v>1938</v>
      </c>
      <c r="O182" s="4" t="s">
        <v>1933</v>
      </c>
      <c r="P182" s="4" t="s">
        <v>44</v>
      </c>
      <c r="Q182" s="4" t="s">
        <v>45</v>
      </c>
      <c r="R182" s="4" t="s">
        <v>1939</v>
      </c>
      <c r="S182" s="4">
        <v>44613</v>
      </c>
      <c r="T182" s="4">
        <v>46451</v>
      </c>
      <c r="U182" s="4">
        <v>1700000</v>
      </c>
      <c r="V182" s="4">
        <v>20</v>
      </c>
      <c r="W182" s="4">
        <v>340000</v>
      </c>
      <c r="X182" s="4">
        <v>1360000</v>
      </c>
      <c r="Y182" s="4">
        <v>1.75</v>
      </c>
      <c r="Z182" s="6">
        <v>23800</v>
      </c>
      <c r="AA182" s="4"/>
      <c r="AB182" s="4"/>
      <c r="AC182" s="4" t="s">
        <v>78</v>
      </c>
      <c r="AD182" s="4">
        <v>1141073002</v>
      </c>
      <c r="AE182" s="4">
        <v>45735</v>
      </c>
      <c r="AF182" s="4" t="s">
        <v>35</v>
      </c>
      <c r="AG182" s="4">
        <v>0</v>
      </c>
      <c r="AH182" s="4" t="s">
        <v>1934</v>
      </c>
      <c r="AI182" s="4"/>
      <c r="AJ182" s="6">
        <f>VLOOKUP(AH182,[1]Sheet1!$B$2:$AA$595,26,0)</f>
        <v>23800</v>
      </c>
      <c r="AK182" s="5">
        <f t="shared" si="2"/>
        <v>0</v>
      </c>
    </row>
    <row r="183" spans="1:37" x14ac:dyDescent="0.2">
      <c r="A183" s="9">
        <v>182</v>
      </c>
      <c r="B183" s="4" t="s">
        <v>610</v>
      </c>
      <c r="C183" s="4" t="s">
        <v>1940</v>
      </c>
      <c r="D183" s="4">
        <v>45689</v>
      </c>
      <c r="E183" s="4" t="s">
        <v>31</v>
      </c>
      <c r="F183" s="4" t="s">
        <v>1941</v>
      </c>
      <c r="G183" s="4">
        <v>45704</v>
      </c>
      <c r="H183" s="4">
        <v>46068</v>
      </c>
      <c r="I183" s="4" t="s">
        <v>1942</v>
      </c>
      <c r="J183" s="4">
        <v>8210299562261</v>
      </c>
      <c r="K183" s="4" t="s">
        <v>43</v>
      </c>
      <c r="L183" s="4" t="s">
        <v>1943</v>
      </c>
      <c r="M183" s="4" t="s">
        <v>1944</v>
      </c>
      <c r="N183" s="4" t="s">
        <v>1945</v>
      </c>
      <c r="O183" s="4" t="s">
        <v>1940</v>
      </c>
      <c r="P183" s="4" t="s">
        <v>645</v>
      </c>
      <c r="Q183" s="4" t="s">
        <v>34</v>
      </c>
      <c r="R183" s="4" t="s">
        <v>1946</v>
      </c>
      <c r="S183" s="4">
        <v>44608</v>
      </c>
      <c r="T183" s="4">
        <v>46451</v>
      </c>
      <c r="U183" s="4">
        <v>1335000</v>
      </c>
      <c r="V183" s="4">
        <v>20</v>
      </c>
      <c r="W183" s="4">
        <v>267000</v>
      </c>
      <c r="X183" s="4">
        <v>1068000</v>
      </c>
      <c r="Y183" s="4">
        <v>2.5</v>
      </c>
      <c r="Z183" s="6">
        <v>26700</v>
      </c>
      <c r="AA183" s="4"/>
      <c r="AB183" s="4"/>
      <c r="AC183" s="4" t="s">
        <v>78</v>
      </c>
      <c r="AD183" s="4">
        <v>1141073002</v>
      </c>
      <c r="AE183" s="4">
        <v>45735</v>
      </c>
      <c r="AF183" s="4" t="s">
        <v>35</v>
      </c>
      <c r="AG183" s="4">
        <v>0</v>
      </c>
      <c r="AH183" s="4" t="s">
        <v>1941</v>
      </c>
      <c r="AI183" s="4"/>
      <c r="AJ183" s="6">
        <f>VLOOKUP(AH183,[1]Sheet1!$B$2:$AA$595,26,0)</f>
        <v>26700</v>
      </c>
      <c r="AK183" s="5">
        <f t="shared" si="2"/>
        <v>0</v>
      </c>
    </row>
    <row r="184" spans="1:37" x14ac:dyDescent="0.2">
      <c r="A184" s="9">
        <v>183</v>
      </c>
      <c r="B184" s="4" t="s">
        <v>610</v>
      </c>
      <c r="C184" s="4" t="s">
        <v>1947</v>
      </c>
      <c r="D184" s="4">
        <v>45689</v>
      </c>
      <c r="E184" s="4" t="s">
        <v>31</v>
      </c>
      <c r="F184" s="4" t="s">
        <v>1948</v>
      </c>
      <c r="G184" s="4">
        <v>45704</v>
      </c>
      <c r="H184" s="4">
        <v>46068</v>
      </c>
      <c r="I184" s="4" t="s">
        <v>1949</v>
      </c>
      <c r="J184" s="4">
        <v>8220343513695</v>
      </c>
      <c r="K184" s="4" t="s">
        <v>646</v>
      </c>
      <c r="L184" s="4" t="s">
        <v>1950</v>
      </c>
      <c r="M184" s="4" t="s">
        <v>1951</v>
      </c>
      <c r="N184" s="4" t="s">
        <v>1952</v>
      </c>
      <c r="O184" s="4" t="s">
        <v>1947</v>
      </c>
      <c r="P184" s="4" t="s">
        <v>644</v>
      </c>
      <c r="Q184" s="4" t="s">
        <v>53</v>
      </c>
      <c r="R184" s="4" t="s">
        <v>1953</v>
      </c>
      <c r="S184" s="4">
        <v>44624</v>
      </c>
      <c r="T184" s="4">
        <v>46818</v>
      </c>
      <c r="U184" s="4">
        <v>2158000</v>
      </c>
      <c r="V184" s="4">
        <v>20</v>
      </c>
      <c r="W184" s="4">
        <v>431600</v>
      </c>
      <c r="X184" s="4">
        <v>1726400</v>
      </c>
      <c r="Y184" s="4">
        <v>2.5</v>
      </c>
      <c r="Z184" s="6">
        <v>43160</v>
      </c>
      <c r="AA184" s="4"/>
      <c r="AB184" s="4"/>
      <c r="AC184" s="4" t="s">
        <v>78</v>
      </c>
      <c r="AD184" s="4">
        <v>1141073002</v>
      </c>
      <c r="AE184" s="4">
        <v>45735</v>
      </c>
      <c r="AF184" s="4" t="s">
        <v>35</v>
      </c>
      <c r="AG184" s="4">
        <v>0</v>
      </c>
      <c r="AH184" s="4" t="s">
        <v>1948</v>
      </c>
      <c r="AI184" s="4"/>
      <c r="AJ184" s="6">
        <f>VLOOKUP(AH184,[1]Sheet1!$B$2:$AA$595,26,0)</f>
        <v>43160</v>
      </c>
      <c r="AK184" s="5">
        <f t="shared" si="2"/>
        <v>0</v>
      </c>
    </row>
    <row r="185" spans="1:37" x14ac:dyDescent="0.2">
      <c r="A185" s="9">
        <v>184</v>
      </c>
      <c r="B185" s="4" t="s">
        <v>610</v>
      </c>
      <c r="C185" s="4" t="s">
        <v>1954</v>
      </c>
      <c r="D185" s="4">
        <v>45689</v>
      </c>
      <c r="E185" s="4" t="s">
        <v>31</v>
      </c>
      <c r="F185" s="4" t="s">
        <v>1955</v>
      </c>
      <c r="G185" s="4">
        <v>45691</v>
      </c>
      <c r="H185" s="4">
        <v>46055</v>
      </c>
      <c r="I185" s="4" t="s">
        <v>1956</v>
      </c>
      <c r="J185" s="4">
        <v>6110109178105</v>
      </c>
      <c r="K185" s="4" t="s">
        <v>1957</v>
      </c>
      <c r="L185" s="4" t="s">
        <v>1958</v>
      </c>
      <c r="M185" s="4" t="s">
        <v>1959</v>
      </c>
      <c r="N185" s="4" t="s">
        <v>1960</v>
      </c>
      <c r="O185" s="4" t="s">
        <v>1954</v>
      </c>
      <c r="P185" s="4" t="s">
        <v>645</v>
      </c>
      <c r="Q185" s="4" t="s">
        <v>34</v>
      </c>
      <c r="R185" s="4" t="s">
        <v>1961</v>
      </c>
      <c r="S185" s="4">
        <v>44599</v>
      </c>
      <c r="T185" s="4">
        <v>46423</v>
      </c>
      <c r="U185" s="4">
        <v>1178000</v>
      </c>
      <c r="V185" s="4">
        <v>20</v>
      </c>
      <c r="W185" s="4">
        <v>235600</v>
      </c>
      <c r="X185" s="4">
        <v>942400</v>
      </c>
      <c r="Y185" s="4">
        <v>1.75</v>
      </c>
      <c r="Z185" s="6">
        <v>16492</v>
      </c>
      <c r="AA185" s="4"/>
      <c r="AB185" s="4"/>
      <c r="AC185" s="4" t="s">
        <v>78</v>
      </c>
      <c r="AD185" s="4">
        <v>1141073002</v>
      </c>
      <c r="AE185" s="4">
        <v>45735</v>
      </c>
      <c r="AF185" s="4" t="s">
        <v>35</v>
      </c>
      <c r="AG185" s="4">
        <v>0</v>
      </c>
      <c r="AH185" s="4" t="s">
        <v>1955</v>
      </c>
      <c r="AI185" s="4"/>
      <c r="AJ185" s="6">
        <f>VLOOKUP(AH185,[1]Sheet1!$B$2:$AA$595,26,0)</f>
        <v>16492</v>
      </c>
      <c r="AK185" s="5">
        <f t="shared" si="2"/>
        <v>0</v>
      </c>
    </row>
    <row r="186" spans="1:37" x14ac:dyDescent="0.2">
      <c r="A186" s="9">
        <v>185</v>
      </c>
      <c r="B186" s="4" t="s">
        <v>610</v>
      </c>
      <c r="C186" s="4" t="s">
        <v>1962</v>
      </c>
      <c r="D186" s="4">
        <v>45689</v>
      </c>
      <c r="E186" s="4" t="s">
        <v>31</v>
      </c>
      <c r="F186" s="4" t="s">
        <v>1963</v>
      </c>
      <c r="G186" s="4">
        <v>45704</v>
      </c>
      <c r="H186" s="4">
        <v>46068</v>
      </c>
      <c r="I186" s="4" t="s">
        <v>1964</v>
      </c>
      <c r="J186" s="4">
        <v>4220141099829</v>
      </c>
      <c r="K186" s="4" t="s">
        <v>417</v>
      </c>
      <c r="L186" s="4" t="s">
        <v>1965</v>
      </c>
      <c r="M186" s="4" t="s">
        <v>1966</v>
      </c>
      <c r="N186" s="4" t="s">
        <v>1967</v>
      </c>
      <c r="O186" s="4" t="s">
        <v>1962</v>
      </c>
      <c r="P186" s="4" t="s">
        <v>44</v>
      </c>
      <c r="Q186" s="4" t="s">
        <v>66</v>
      </c>
      <c r="R186" s="4" t="s">
        <v>1968</v>
      </c>
      <c r="S186" s="4">
        <v>44613</v>
      </c>
      <c r="T186" s="4">
        <v>46451</v>
      </c>
      <c r="U186" s="4">
        <v>3725000</v>
      </c>
      <c r="V186" s="4">
        <v>20</v>
      </c>
      <c r="W186" s="4">
        <v>745000</v>
      </c>
      <c r="X186" s="4">
        <v>2980000</v>
      </c>
      <c r="Y186" s="4">
        <v>1.5</v>
      </c>
      <c r="Z186" s="6">
        <v>44700</v>
      </c>
      <c r="AA186" s="4"/>
      <c r="AB186" s="4"/>
      <c r="AC186" s="4" t="s">
        <v>78</v>
      </c>
      <c r="AD186" s="4">
        <v>1141073002</v>
      </c>
      <c r="AE186" s="4">
        <v>45735</v>
      </c>
      <c r="AF186" s="4" t="s">
        <v>35</v>
      </c>
      <c r="AG186" s="4">
        <v>0</v>
      </c>
      <c r="AH186" s="4" t="s">
        <v>1963</v>
      </c>
      <c r="AI186" s="4"/>
      <c r="AJ186" s="6">
        <f>VLOOKUP(AH186,[1]Sheet1!$B$2:$AA$595,26,0)</f>
        <v>44700</v>
      </c>
      <c r="AK186" s="5">
        <f t="shared" si="2"/>
        <v>0</v>
      </c>
    </row>
    <row r="187" spans="1:37" x14ac:dyDescent="0.2">
      <c r="A187" s="9">
        <v>186</v>
      </c>
      <c r="B187" s="4" t="s">
        <v>610</v>
      </c>
      <c r="C187" s="4" t="s">
        <v>1969</v>
      </c>
      <c r="D187" s="4">
        <v>45689</v>
      </c>
      <c r="E187" s="4" t="s">
        <v>31</v>
      </c>
      <c r="F187" s="4" t="s">
        <v>1970</v>
      </c>
      <c r="G187" s="4">
        <v>45704</v>
      </c>
      <c r="H187" s="4">
        <v>46068</v>
      </c>
      <c r="I187" s="4" t="s">
        <v>1971</v>
      </c>
      <c r="J187" s="4">
        <v>3520281869529</v>
      </c>
      <c r="K187" s="4" t="s">
        <v>40</v>
      </c>
      <c r="L187" s="4" t="s">
        <v>1972</v>
      </c>
      <c r="M187" s="4" t="s">
        <v>1973</v>
      </c>
      <c r="N187" s="4" t="s">
        <v>1974</v>
      </c>
      <c r="O187" s="4" t="s">
        <v>1969</v>
      </c>
      <c r="P187" s="4" t="s">
        <v>644</v>
      </c>
      <c r="Q187" s="4" t="s">
        <v>39</v>
      </c>
      <c r="R187" s="4" t="s">
        <v>1975</v>
      </c>
      <c r="S187" s="4">
        <v>44621</v>
      </c>
      <c r="T187" s="4">
        <v>46451</v>
      </c>
      <c r="U187" s="4">
        <v>2955000</v>
      </c>
      <c r="V187" s="4">
        <v>20</v>
      </c>
      <c r="W187" s="4">
        <v>591000</v>
      </c>
      <c r="X187" s="4">
        <v>2364000</v>
      </c>
      <c r="Y187" s="4">
        <v>1.75</v>
      </c>
      <c r="Z187" s="6">
        <v>41370</v>
      </c>
      <c r="AA187" s="4"/>
      <c r="AB187" s="4"/>
      <c r="AC187" s="4" t="s">
        <v>78</v>
      </c>
      <c r="AD187" s="4">
        <v>1141073002</v>
      </c>
      <c r="AE187" s="4">
        <v>45735</v>
      </c>
      <c r="AF187" s="4" t="s">
        <v>35</v>
      </c>
      <c r="AG187" s="4">
        <v>0</v>
      </c>
      <c r="AH187" s="4" t="s">
        <v>1970</v>
      </c>
      <c r="AI187" s="4"/>
      <c r="AJ187" s="6">
        <f>VLOOKUP(AH187,[1]Sheet1!$B$2:$AA$595,26,0)</f>
        <v>41370</v>
      </c>
      <c r="AK187" s="5">
        <f t="shared" si="2"/>
        <v>0</v>
      </c>
    </row>
    <row r="188" spans="1:37" x14ac:dyDescent="0.2">
      <c r="A188" s="9">
        <v>187</v>
      </c>
      <c r="B188" s="4" t="s">
        <v>610</v>
      </c>
      <c r="C188" s="4" t="s">
        <v>1976</v>
      </c>
      <c r="D188" s="4">
        <v>45689</v>
      </c>
      <c r="E188" s="4" t="s">
        <v>31</v>
      </c>
      <c r="F188" s="4" t="s">
        <v>1977</v>
      </c>
      <c r="G188" s="4">
        <v>45704</v>
      </c>
      <c r="H188" s="4">
        <v>46068</v>
      </c>
      <c r="I188" s="4" t="s">
        <v>1978</v>
      </c>
      <c r="J188" s="4">
        <v>3520219321519</v>
      </c>
      <c r="K188" s="4" t="s">
        <v>176</v>
      </c>
      <c r="L188" s="4" t="s">
        <v>1979</v>
      </c>
      <c r="M188" s="4" t="s">
        <v>1980</v>
      </c>
      <c r="N188" s="4" t="s">
        <v>1981</v>
      </c>
      <c r="O188" s="4" t="s">
        <v>1976</v>
      </c>
      <c r="P188" s="4" t="s">
        <v>644</v>
      </c>
      <c r="Q188" s="4" t="s">
        <v>39</v>
      </c>
      <c r="R188" s="4" t="s">
        <v>1982</v>
      </c>
      <c r="S188" s="4">
        <v>44614</v>
      </c>
      <c r="T188" s="4">
        <v>46086</v>
      </c>
      <c r="U188" s="4">
        <v>1950000</v>
      </c>
      <c r="V188" s="4">
        <v>20</v>
      </c>
      <c r="W188" s="4">
        <v>390000</v>
      </c>
      <c r="X188" s="4">
        <v>1560000</v>
      </c>
      <c r="Y188" s="4">
        <v>2.5</v>
      </c>
      <c r="Z188" s="6">
        <v>39000</v>
      </c>
      <c r="AA188" s="4"/>
      <c r="AB188" s="4"/>
      <c r="AC188" s="4" t="s">
        <v>78</v>
      </c>
      <c r="AD188" s="4">
        <v>1141073002</v>
      </c>
      <c r="AE188" s="4">
        <v>45735</v>
      </c>
      <c r="AF188" s="4" t="s">
        <v>35</v>
      </c>
      <c r="AG188" s="4">
        <v>26</v>
      </c>
      <c r="AH188" s="4" t="s">
        <v>1977</v>
      </c>
      <c r="AI188" s="4"/>
      <c r="AJ188" s="6">
        <f>VLOOKUP(AH188,[1]Sheet1!$B$2:$AA$595,26,0)</f>
        <v>39000</v>
      </c>
      <c r="AK188" s="5">
        <f t="shared" si="2"/>
        <v>0</v>
      </c>
    </row>
    <row r="189" spans="1:37" x14ac:dyDescent="0.2">
      <c r="A189" s="9">
        <v>188</v>
      </c>
      <c r="B189" s="4" t="s">
        <v>610</v>
      </c>
      <c r="C189" s="4" t="s">
        <v>1983</v>
      </c>
      <c r="D189" s="4">
        <v>45689</v>
      </c>
      <c r="E189" s="4" t="s">
        <v>31</v>
      </c>
      <c r="F189" s="4" t="s">
        <v>1984</v>
      </c>
      <c r="G189" s="4">
        <v>45714</v>
      </c>
      <c r="H189" s="4">
        <v>46078</v>
      </c>
      <c r="I189" s="4" t="s">
        <v>1985</v>
      </c>
      <c r="J189" s="4">
        <v>4220112377369</v>
      </c>
      <c r="K189" s="4" t="s">
        <v>437</v>
      </c>
      <c r="L189" s="4" t="s">
        <v>1986</v>
      </c>
      <c r="M189" s="4" t="s">
        <v>1987</v>
      </c>
      <c r="N189" s="4" t="s">
        <v>1988</v>
      </c>
      <c r="O189" s="4" t="s">
        <v>1983</v>
      </c>
      <c r="P189" s="4" t="s">
        <v>645</v>
      </c>
      <c r="Q189" s="4" t="s">
        <v>34</v>
      </c>
      <c r="R189" s="4" t="s">
        <v>1989</v>
      </c>
      <c r="S189" s="4">
        <v>44256</v>
      </c>
      <c r="T189" s="4">
        <v>46086</v>
      </c>
      <c r="U189" s="4">
        <v>1034000</v>
      </c>
      <c r="V189" s="4">
        <v>25</v>
      </c>
      <c r="W189" s="4">
        <v>258500</v>
      </c>
      <c r="X189" s="4">
        <v>775500</v>
      </c>
      <c r="Y189" s="4">
        <v>2</v>
      </c>
      <c r="Z189" s="6">
        <v>15510</v>
      </c>
      <c r="AA189" s="4"/>
      <c r="AB189" s="4"/>
      <c r="AC189" s="4" t="s">
        <v>78</v>
      </c>
      <c r="AD189" s="4">
        <v>1141073002</v>
      </c>
      <c r="AE189" s="4">
        <v>45735</v>
      </c>
      <c r="AF189" s="4" t="s">
        <v>35</v>
      </c>
      <c r="AG189" s="4">
        <v>0</v>
      </c>
      <c r="AH189" s="4" t="s">
        <v>1984</v>
      </c>
      <c r="AI189" s="4"/>
      <c r="AJ189" s="6">
        <f>VLOOKUP(AH189,[1]Sheet1!$B$2:$AA$595,26,0)</f>
        <v>15510</v>
      </c>
      <c r="AK189" s="5">
        <f t="shared" si="2"/>
        <v>0</v>
      </c>
    </row>
    <row r="190" spans="1:37" x14ac:dyDescent="0.2">
      <c r="A190" s="9">
        <v>189</v>
      </c>
      <c r="B190" s="4" t="s">
        <v>610</v>
      </c>
      <c r="C190" s="4" t="s">
        <v>1990</v>
      </c>
      <c r="D190" s="4">
        <v>45689</v>
      </c>
      <c r="E190" s="4" t="s">
        <v>31</v>
      </c>
      <c r="F190" s="4" t="s">
        <v>1991</v>
      </c>
      <c r="G190" s="4">
        <v>45699</v>
      </c>
      <c r="H190" s="4">
        <v>46063</v>
      </c>
      <c r="I190" s="4" t="s">
        <v>1992</v>
      </c>
      <c r="J190" s="4">
        <v>3820124857079</v>
      </c>
      <c r="K190" s="4" t="s">
        <v>649</v>
      </c>
      <c r="L190" s="4"/>
      <c r="M190" s="4" t="s">
        <v>1993</v>
      </c>
      <c r="N190" s="4" t="s">
        <v>1994</v>
      </c>
      <c r="O190" s="4" t="s">
        <v>1990</v>
      </c>
      <c r="P190" s="4" t="s">
        <v>644</v>
      </c>
      <c r="Q190" s="4" t="s">
        <v>628</v>
      </c>
      <c r="R190" s="4" t="s">
        <v>1995</v>
      </c>
      <c r="S190" s="4">
        <v>44617</v>
      </c>
      <c r="T190" s="4">
        <v>46451</v>
      </c>
      <c r="U190" s="4">
        <v>1117000</v>
      </c>
      <c r="V190" s="4">
        <v>20</v>
      </c>
      <c r="W190" s="4">
        <v>223400</v>
      </c>
      <c r="X190" s="4">
        <v>893600</v>
      </c>
      <c r="Y190" s="4">
        <v>2.5</v>
      </c>
      <c r="Z190" s="6">
        <v>22340</v>
      </c>
      <c r="AA190" s="4"/>
      <c r="AB190" s="4"/>
      <c r="AC190" s="4" t="s">
        <v>78</v>
      </c>
      <c r="AD190" s="4">
        <v>1141073002</v>
      </c>
      <c r="AE190" s="4">
        <v>45735</v>
      </c>
      <c r="AF190" s="4" t="s">
        <v>35</v>
      </c>
      <c r="AG190" s="4">
        <v>0</v>
      </c>
      <c r="AH190" s="4" t="s">
        <v>1991</v>
      </c>
      <c r="AI190" s="4"/>
      <c r="AJ190" s="6">
        <f>VLOOKUP(AH190,[1]Sheet1!$B$2:$AA$595,26,0)</f>
        <v>22340</v>
      </c>
      <c r="AK190" s="5">
        <f t="shared" si="2"/>
        <v>0</v>
      </c>
    </row>
    <row r="191" spans="1:37" x14ac:dyDescent="0.2">
      <c r="A191" s="9">
        <v>190</v>
      </c>
      <c r="B191" s="4" t="s">
        <v>610</v>
      </c>
      <c r="C191" s="4" t="s">
        <v>1996</v>
      </c>
      <c r="D191" s="4">
        <v>45689</v>
      </c>
      <c r="E191" s="4" t="s">
        <v>31</v>
      </c>
      <c r="F191" s="4" t="s">
        <v>1997</v>
      </c>
      <c r="G191" s="4">
        <v>45704</v>
      </c>
      <c r="H191" s="4">
        <v>46068</v>
      </c>
      <c r="I191" s="4" t="s">
        <v>1998</v>
      </c>
      <c r="J191" s="4">
        <v>3310259243761</v>
      </c>
      <c r="K191" s="4" t="s">
        <v>69</v>
      </c>
      <c r="L191" s="4" t="s">
        <v>1999</v>
      </c>
      <c r="M191" s="4" t="s">
        <v>2000</v>
      </c>
      <c r="N191" s="4" t="s">
        <v>2001</v>
      </c>
      <c r="O191" s="4" t="s">
        <v>1996</v>
      </c>
      <c r="P191" s="4" t="s">
        <v>645</v>
      </c>
      <c r="Q191" s="4" t="s">
        <v>34</v>
      </c>
      <c r="R191" s="4" t="s">
        <v>2002</v>
      </c>
      <c r="S191" s="4">
        <v>44613</v>
      </c>
      <c r="T191" s="4">
        <v>46451</v>
      </c>
      <c r="U191" s="4">
        <v>1117000</v>
      </c>
      <c r="V191" s="4">
        <v>20</v>
      </c>
      <c r="W191" s="4">
        <v>223400</v>
      </c>
      <c r="X191" s="4">
        <v>893600</v>
      </c>
      <c r="Y191" s="4">
        <v>2.5</v>
      </c>
      <c r="Z191" s="6">
        <v>22340</v>
      </c>
      <c r="AA191" s="4"/>
      <c r="AB191" s="4"/>
      <c r="AC191" s="4" t="s">
        <v>78</v>
      </c>
      <c r="AD191" s="4">
        <v>1141073002</v>
      </c>
      <c r="AE191" s="4">
        <v>45735</v>
      </c>
      <c r="AF191" s="4" t="s">
        <v>35</v>
      </c>
      <c r="AG191" s="4">
        <v>0</v>
      </c>
      <c r="AH191" s="4" t="s">
        <v>1997</v>
      </c>
      <c r="AI191" s="4"/>
      <c r="AJ191" s="6">
        <f>VLOOKUP(AH191,[1]Sheet1!$B$2:$AA$595,26,0)</f>
        <v>22340</v>
      </c>
      <c r="AK191" s="5">
        <f t="shared" si="2"/>
        <v>0</v>
      </c>
    </row>
    <row r="192" spans="1:37" x14ac:dyDescent="0.2">
      <c r="A192" s="9">
        <v>191</v>
      </c>
      <c r="B192" s="4" t="s">
        <v>610</v>
      </c>
      <c r="C192" s="4" t="s">
        <v>2003</v>
      </c>
      <c r="D192" s="4">
        <v>45689</v>
      </c>
      <c r="E192" s="4" t="s">
        <v>31</v>
      </c>
      <c r="F192" s="4" t="s">
        <v>2004</v>
      </c>
      <c r="G192" s="4">
        <v>45709</v>
      </c>
      <c r="H192" s="4">
        <v>46073</v>
      </c>
      <c r="I192" s="4" t="s">
        <v>2005</v>
      </c>
      <c r="J192" s="4">
        <v>4240120985535</v>
      </c>
      <c r="K192" s="4" t="s">
        <v>69</v>
      </c>
      <c r="L192" s="4" t="s">
        <v>2006</v>
      </c>
      <c r="M192" s="4" t="s">
        <v>2007</v>
      </c>
      <c r="N192" s="4" t="s">
        <v>2008</v>
      </c>
      <c r="O192" s="4" t="s">
        <v>2003</v>
      </c>
      <c r="P192" s="4" t="s">
        <v>44</v>
      </c>
      <c r="Q192" s="4" t="s">
        <v>45</v>
      </c>
      <c r="R192" s="4" t="s">
        <v>2009</v>
      </c>
      <c r="S192" s="4">
        <v>44621</v>
      </c>
      <c r="T192" s="4">
        <v>46451</v>
      </c>
      <c r="U192" s="4">
        <v>1117000</v>
      </c>
      <c r="V192" s="4">
        <v>20</v>
      </c>
      <c r="W192" s="4">
        <v>223400</v>
      </c>
      <c r="X192" s="4">
        <v>893600</v>
      </c>
      <c r="Y192" s="4">
        <v>2.5</v>
      </c>
      <c r="Z192" s="6">
        <v>22340</v>
      </c>
      <c r="AA192" s="4"/>
      <c r="AB192" s="4"/>
      <c r="AC192" s="4" t="s">
        <v>78</v>
      </c>
      <c r="AD192" s="4">
        <v>1141073002</v>
      </c>
      <c r="AE192" s="4">
        <v>45735</v>
      </c>
      <c r="AF192" s="4" t="s">
        <v>35</v>
      </c>
      <c r="AG192" s="4">
        <v>0</v>
      </c>
      <c r="AH192" s="4" t="s">
        <v>2004</v>
      </c>
      <c r="AI192" s="4"/>
      <c r="AJ192" s="6">
        <f>VLOOKUP(AH192,[1]Sheet1!$B$2:$AA$595,26,0)</f>
        <v>22340</v>
      </c>
      <c r="AK192" s="5">
        <f t="shared" si="2"/>
        <v>0</v>
      </c>
    </row>
    <row r="193" spans="1:37" x14ac:dyDescent="0.2">
      <c r="A193" s="9">
        <v>192</v>
      </c>
      <c r="B193" s="4" t="s">
        <v>610</v>
      </c>
      <c r="C193" s="4" t="s">
        <v>2010</v>
      </c>
      <c r="D193" s="4">
        <v>45689</v>
      </c>
      <c r="E193" s="4" t="s">
        <v>31</v>
      </c>
      <c r="F193" s="4" t="s">
        <v>2011</v>
      </c>
      <c r="G193" s="4">
        <v>45710</v>
      </c>
      <c r="H193" s="4">
        <v>46074</v>
      </c>
      <c r="I193" s="4" t="s">
        <v>2012</v>
      </c>
      <c r="J193" s="4">
        <v>4210145670965</v>
      </c>
      <c r="K193" s="4" t="s">
        <v>2013</v>
      </c>
      <c r="L193" s="4" t="s">
        <v>2014</v>
      </c>
      <c r="M193" s="4" t="s">
        <v>2015</v>
      </c>
      <c r="N193" s="4" t="s">
        <v>2016</v>
      </c>
      <c r="O193" s="4" t="s">
        <v>2010</v>
      </c>
      <c r="P193" s="4" t="s">
        <v>44</v>
      </c>
      <c r="Q193" s="4" t="s">
        <v>66</v>
      </c>
      <c r="R193" s="4" t="s">
        <v>2017</v>
      </c>
      <c r="S193" s="4">
        <v>44623</v>
      </c>
      <c r="T193" s="4">
        <v>46451</v>
      </c>
      <c r="U193" s="4">
        <v>1365000</v>
      </c>
      <c r="V193" s="4">
        <v>20</v>
      </c>
      <c r="W193" s="4">
        <v>273000</v>
      </c>
      <c r="X193" s="4">
        <v>1092000</v>
      </c>
      <c r="Y193" s="4">
        <v>1.75</v>
      </c>
      <c r="Z193" s="6">
        <v>19110</v>
      </c>
      <c r="AA193" s="4"/>
      <c r="AB193" s="4"/>
      <c r="AC193" s="4" t="s">
        <v>78</v>
      </c>
      <c r="AD193" s="4">
        <v>1141073002</v>
      </c>
      <c r="AE193" s="4">
        <v>45735</v>
      </c>
      <c r="AF193" s="4" t="s">
        <v>35</v>
      </c>
      <c r="AG193" s="4">
        <v>0</v>
      </c>
      <c r="AH193" s="4" t="s">
        <v>2011</v>
      </c>
      <c r="AI193" s="4"/>
      <c r="AJ193" s="6">
        <f>VLOOKUP(AH193,[1]Sheet1!$B$2:$AA$595,26,0)</f>
        <v>19110</v>
      </c>
      <c r="AK193" s="5">
        <f t="shared" si="2"/>
        <v>0</v>
      </c>
    </row>
    <row r="194" spans="1:37" x14ac:dyDescent="0.2">
      <c r="A194" s="9">
        <v>193</v>
      </c>
      <c r="B194" s="4" t="s">
        <v>610</v>
      </c>
      <c r="C194" s="4" t="s">
        <v>2018</v>
      </c>
      <c r="D194" s="4">
        <v>45689</v>
      </c>
      <c r="E194" s="4" t="s">
        <v>31</v>
      </c>
      <c r="F194" s="4" t="s">
        <v>2019</v>
      </c>
      <c r="G194" s="4">
        <v>45716</v>
      </c>
      <c r="H194" s="4">
        <v>46080</v>
      </c>
      <c r="I194" s="4" t="s">
        <v>2020</v>
      </c>
      <c r="J194" s="4">
        <v>3630261315815</v>
      </c>
      <c r="K194" s="4" t="s">
        <v>69</v>
      </c>
      <c r="L194" s="4" t="s">
        <v>2021</v>
      </c>
      <c r="M194" s="4" t="s">
        <v>2022</v>
      </c>
      <c r="N194" s="4" t="s">
        <v>2023</v>
      </c>
      <c r="O194" s="4" t="s">
        <v>2018</v>
      </c>
      <c r="P194" s="4" t="s">
        <v>644</v>
      </c>
      <c r="Q194" s="4" t="s">
        <v>54</v>
      </c>
      <c r="R194" s="4" t="s">
        <v>2024</v>
      </c>
      <c r="S194" s="4">
        <v>44621</v>
      </c>
      <c r="T194" s="4">
        <v>46451</v>
      </c>
      <c r="U194" s="4">
        <v>1117000</v>
      </c>
      <c r="V194" s="4">
        <v>20</v>
      </c>
      <c r="W194" s="4">
        <v>223400</v>
      </c>
      <c r="X194" s="4">
        <v>893600</v>
      </c>
      <c r="Y194" s="4">
        <v>2.5</v>
      </c>
      <c r="Z194" s="6">
        <v>22340</v>
      </c>
      <c r="AA194" s="4"/>
      <c r="AB194" s="4"/>
      <c r="AC194" s="4" t="s">
        <v>78</v>
      </c>
      <c r="AD194" s="4">
        <v>1141073002</v>
      </c>
      <c r="AE194" s="4">
        <v>45735</v>
      </c>
      <c r="AF194" s="4" t="s">
        <v>35</v>
      </c>
      <c r="AG194" s="4">
        <v>0</v>
      </c>
      <c r="AH194" s="4" t="s">
        <v>2019</v>
      </c>
      <c r="AI194" s="4"/>
      <c r="AJ194" s="6">
        <f>VLOOKUP(AH194,[1]Sheet1!$B$2:$AA$595,26,0)</f>
        <v>22340</v>
      </c>
      <c r="AK194" s="5">
        <f t="shared" si="2"/>
        <v>0</v>
      </c>
    </row>
    <row r="195" spans="1:37" x14ac:dyDescent="0.2">
      <c r="A195" s="9">
        <v>194</v>
      </c>
      <c r="B195" s="4" t="s">
        <v>610</v>
      </c>
      <c r="C195" s="4" t="s">
        <v>2025</v>
      </c>
      <c r="D195" s="4">
        <v>45689</v>
      </c>
      <c r="E195" s="4" t="s">
        <v>31</v>
      </c>
      <c r="F195" s="4" t="s">
        <v>2026</v>
      </c>
      <c r="G195" s="4">
        <v>45717</v>
      </c>
      <c r="H195" s="4">
        <v>46081</v>
      </c>
      <c r="I195" s="4" t="s">
        <v>2027</v>
      </c>
      <c r="J195" s="4">
        <v>3450125517999</v>
      </c>
      <c r="K195" s="4" t="s">
        <v>69</v>
      </c>
      <c r="L195" s="4" t="s">
        <v>2028</v>
      </c>
      <c r="M195" s="4" t="s">
        <v>2029</v>
      </c>
      <c r="N195" s="4" t="s">
        <v>2030</v>
      </c>
      <c r="O195" s="4" t="s">
        <v>2025</v>
      </c>
      <c r="P195" s="4" t="s">
        <v>645</v>
      </c>
      <c r="Q195" s="4" t="s">
        <v>34</v>
      </c>
      <c r="R195" s="4" t="s">
        <v>2031</v>
      </c>
      <c r="S195" s="4">
        <v>44270</v>
      </c>
      <c r="T195" s="4">
        <v>46086</v>
      </c>
      <c r="U195" s="4">
        <v>1034000</v>
      </c>
      <c r="V195" s="4">
        <v>25</v>
      </c>
      <c r="W195" s="4">
        <v>258500</v>
      </c>
      <c r="X195" s="4">
        <v>775500</v>
      </c>
      <c r="Y195" s="4">
        <v>2.5</v>
      </c>
      <c r="Z195" s="6">
        <v>19387.5</v>
      </c>
      <c r="AA195" s="4"/>
      <c r="AB195" s="4"/>
      <c r="AC195" s="4" t="s">
        <v>78</v>
      </c>
      <c r="AD195" s="4">
        <v>1141073002</v>
      </c>
      <c r="AE195" s="4">
        <v>45735</v>
      </c>
      <c r="AF195" s="4" t="s">
        <v>35</v>
      </c>
      <c r="AG195" s="4">
        <v>0</v>
      </c>
      <c r="AH195" s="4" t="s">
        <v>2026</v>
      </c>
      <c r="AI195" s="4"/>
      <c r="AJ195" s="6">
        <f>VLOOKUP(AH195,[1]Sheet1!$B$2:$AA$595,26,0)</f>
        <v>19388</v>
      </c>
      <c r="AK195" s="5">
        <f t="shared" ref="AK195:AK204" si="3">AJ195-Z195</f>
        <v>0.5</v>
      </c>
    </row>
    <row r="196" spans="1:37" x14ac:dyDescent="0.2">
      <c r="A196" s="9">
        <v>195</v>
      </c>
      <c r="B196" s="4" t="s">
        <v>610</v>
      </c>
      <c r="C196" s="4" t="s">
        <v>2032</v>
      </c>
      <c r="D196" s="4">
        <v>45689</v>
      </c>
      <c r="E196" s="4" t="s">
        <v>31</v>
      </c>
      <c r="F196" s="4" t="s">
        <v>2033</v>
      </c>
      <c r="G196" s="4">
        <v>45704</v>
      </c>
      <c r="H196" s="4">
        <v>46068</v>
      </c>
      <c r="I196" s="4" t="s">
        <v>2034</v>
      </c>
      <c r="J196" s="4">
        <v>1350305533461</v>
      </c>
      <c r="K196" s="4" t="s">
        <v>69</v>
      </c>
      <c r="L196" s="4" t="s">
        <v>2035</v>
      </c>
      <c r="M196" s="4" t="s">
        <v>2036</v>
      </c>
      <c r="N196" s="4" t="s">
        <v>2037</v>
      </c>
      <c r="O196" s="4" t="s">
        <v>2032</v>
      </c>
      <c r="P196" s="4" t="s">
        <v>645</v>
      </c>
      <c r="Q196" s="4" t="s">
        <v>34</v>
      </c>
      <c r="R196" s="4" t="s">
        <v>2038</v>
      </c>
      <c r="S196" s="4">
        <v>44249</v>
      </c>
      <c r="T196" s="4">
        <v>46086</v>
      </c>
      <c r="U196" s="4">
        <v>1034000</v>
      </c>
      <c r="V196" s="4">
        <v>25</v>
      </c>
      <c r="W196" s="4">
        <v>258500</v>
      </c>
      <c r="X196" s="4">
        <v>775500</v>
      </c>
      <c r="Y196" s="4">
        <v>2.5</v>
      </c>
      <c r="Z196" s="6">
        <v>19387.5</v>
      </c>
      <c r="AA196" s="4"/>
      <c r="AB196" s="4"/>
      <c r="AC196" s="4" t="s">
        <v>78</v>
      </c>
      <c r="AD196" s="4">
        <v>1141073002</v>
      </c>
      <c r="AE196" s="4">
        <v>45735</v>
      </c>
      <c r="AF196" s="4" t="s">
        <v>35</v>
      </c>
      <c r="AG196" s="4">
        <v>0</v>
      </c>
      <c r="AH196" s="4" t="s">
        <v>2033</v>
      </c>
      <c r="AI196" s="4"/>
      <c r="AJ196" s="6">
        <f>VLOOKUP(AH196,[1]Sheet1!$B$2:$AA$595,26,0)</f>
        <v>19388</v>
      </c>
      <c r="AK196" s="5">
        <f t="shared" si="3"/>
        <v>0.5</v>
      </c>
    </row>
    <row r="197" spans="1:37" x14ac:dyDescent="0.2">
      <c r="A197" s="9">
        <v>196</v>
      </c>
      <c r="B197" s="4" t="s">
        <v>610</v>
      </c>
      <c r="C197" s="4" t="s">
        <v>2039</v>
      </c>
      <c r="D197" s="4">
        <v>45689</v>
      </c>
      <c r="E197" s="4" t="s">
        <v>31</v>
      </c>
      <c r="F197" s="4" t="s">
        <v>2040</v>
      </c>
      <c r="G197" s="4">
        <v>45709</v>
      </c>
      <c r="H197" s="4">
        <v>46073</v>
      </c>
      <c r="I197" s="4" t="s">
        <v>2041</v>
      </c>
      <c r="J197" s="4">
        <v>6110152563201</v>
      </c>
      <c r="K197" s="4" t="s">
        <v>69</v>
      </c>
      <c r="L197" s="4" t="s">
        <v>2042</v>
      </c>
      <c r="M197" s="4" t="s">
        <v>2043</v>
      </c>
      <c r="N197" s="4" t="s">
        <v>2044</v>
      </c>
      <c r="O197" s="4" t="s">
        <v>2039</v>
      </c>
      <c r="P197" s="4" t="s">
        <v>645</v>
      </c>
      <c r="Q197" s="4" t="s">
        <v>34</v>
      </c>
      <c r="R197" s="4" t="s">
        <v>2045</v>
      </c>
      <c r="S197" s="4">
        <v>44250</v>
      </c>
      <c r="T197" s="4">
        <v>46086</v>
      </c>
      <c r="U197" s="4">
        <v>1034000</v>
      </c>
      <c r="V197" s="4">
        <v>25</v>
      </c>
      <c r="W197" s="4">
        <v>258500</v>
      </c>
      <c r="X197" s="4">
        <v>775500</v>
      </c>
      <c r="Y197" s="4">
        <v>2.5</v>
      </c>
      <c r="Z197" s="6">
        <v>19387.5</v>
      </c>
      <c r="AA197" s="4"/>
      <c r="AB197" s="4"/>
      <c r="AC197" s="4" t="s">
        <v>78</v>
      </c>
      <c r="AD197" s="4">
        <v>1141073002</v>
      </c>
      <c r="AE197" s="4">
        <v>45735</v>
      </c>
      <c r="AF197" s="4" t="s">
        <v>35</v>
      </c>
      <c r="AG197" s="4">
        <v>0</v>
      </c>
      <c r="AH197" s="4" t="s">
        <v>2040</v>
      </c>
      <c r="AI197" s="4"/>
      <c r="AJ197" s="6">
        <f>VLOOKUP(AH197,[1]Sheet1!$B$2:$AA$595,26,0)</f>
        <v>19388</v>
      </c>
      <c r="AK197" s="5">
        <f t="shared" si="3"/>
        <v>0.5</v>
      </c>
    </row>
    <row r="198" spans="1:37" x14ac:dyDescent="0.2">
      <c r="A198" s="9">
        <v>197</v>
      </c>
      <c r="B198" s="4" t="s">
        <v>610</v>
      </c>
      <c r="C198" s="4" t="s">
        <v>2046</v>
      </c>
      <c r="D198" s="4">
        <v>45689</v>
      </c>
      <c r="E198" s="4" t="s">
        <v>31</v>
      </c>
      <c r="F198" s="4" t="s">
        <v>2047</v>
      </c>
      <c r="G198" s="4">
        <v>45710</v>
      </c>
      <c r="H198" s="4">
        <v>46074</v>
      </c>
      <c r="I198" s="4" t="s">
        <v>2048</v>
      </c>
      <c r="J198" s="4">
        <v>1120103131675</v>
      </c>
      <c r="K198" s="4" t="s">
        <v>69</v>
      </c>
      <c r="L198" s="4" t="s">
        <v>2049</v>
      </c>
      <c r="M198" s="4" t="s">
        <v>2050</v>
      </c>
      <c r="N198" s="4" t="s">
        <v>2051</v>
      </c>
      <c r="O198" s="4" t="s">
        <v>2046</v>
      </c>
      <c r="P198" s="4" t="s">
        <v>645</v>
      </c>
      <c r="Q198" s="4" t="s">
        <v>34</v>
      </c>
      <c r="R198" s="4" t="s">
        <v>2052</v>
      </c>
      <c r="S198" s="4">
        <v>44256</v>
      </c>
      <c r="T198" s="4">
        <v>46086</v>
      </c>
      <c r="U198" s="4">
        <v>1034000</v>
      </c>
      <c r="V198" s="4">
        <v>25</v>
      </c>
      <c r="W198" s="4">
        <v>258500</v>
      </c>
      <c r="X198" s="4">
        <v>775500</v>
      </c>
      <c r="Y198" s="4">
        <v>2.5</v>
      </c>
      <c r="Z198" s="6">
        <v>19387.5</v>
      </c>
      <c r="AA198" s="4"/>
      <c r="AB198" s="4"/>
      <c r="AC198" s="4" t="s">
        <v>78</v>
      </c>
      <c r="AD198" s="4">
        <v>1141073002</v>
      </c>
      <c r="AE198" s="4">
        <v>45735</v>
      </c>
      <c r="AF198" s="4" t="s">
        <v>35</v>
      </c>
      <c r="AG198" s="4">
        <v>0</v>
      </c>
      <c r="AH198" s="4" t="s">
        <v>2047</v>
      </c>
      <c r="AI198" s="4"/>
      <c r="AJ198" s="6">
        <f>VLOOKUP(AH198,[1]Sheet1!$B$2:$AA$595,26,0)</f>
        <v>19388</v>
      </c>
      <c r="AK198" s="5">
        <f t="shared" si="3"/>
        <v>0.5</v>
      </c>
    </row>
    <row r="199" spans="1:37" x14ac:dyDescent="0.2">
      <c r="A199" s="9">
        <v>198</v>
      </c>
      <c r="B199" s="4" t="s">
        <v>610</v>
      </c>
      <c r="C199" s="4" t="s">
        <v>2053</v>
      </c>
      <c r="D199" s="4">
        <v>45689</v>
      </c>
      <c r="E199" s="4" t="s">
        <v>31</v>
      </c>
      <c r="F199" s="4" t="s">
        <v>2054</v>
      </c>
      <c r="G199" s="4">
        <v>45713</v>
      </c>
      <c r="H199" s="4">
        <v>46077</v>
      </c>
      <c r="I199" s="4" t="s">
        <v>2055</v>
      </c>
      <c r="J199" s="4">
        <v>3820107337191</v>
      </c>
      <c r="K199" s="4" t="s">
        <v>69</v>
      </c>
      <c r="L199" s="4" t="s">
        <v>2056</v>
      </c>
      <c r="M199" s="4" t="s">
        <v>2057</v>
      </c>
      <c r="N199" s="4" t="s">
        <v>2058</v>
      </c>
      <c r="O199" s="4" t="s">
        <v>2053</v>
      </c>
      <c r="P199" s="4" t="s">
        <v>644</v>
      </c>
      <c r="Q199" s="4" t="s">
        <v>628</v>
      </c>
      <c r="R199" s="4" t="s">
        <v>2059</v>
      </c>
      <c r="S199" s="4">
        <v>44264</v>
      </c>
      <c r="T199" s="4">
        <v>46086</v>
      </c>
      <c r="U199" s="4">
        <v>1034000</v>
      </c>
      <c r="V199" s="4">
        <v>25</v>
      </c>
      <c r="W199" s="4">
        <v>258500</v>
      </c>
      <c r="X199" s="4">
        <v>775500</v>
      </c>
      <c r="Y199" s="4">
        <v>2.5</v>
      </c>
      <c r="Z199" s="6">
        <v>19387.5</v>
      </c>
      <c r="AA199" s="4"/>
      <c r="AB199" s="4"/>
      <c r="AC199" s="4" t="s">
        <v>78</v>
      </c>
      <c r="AD199" s="4">
        <v>1141073002</v>
      </c>
      <c r="AE199" s="4">
        <v>45735</v>
      </c>
      <c r="AF199" s="4" t="s">
        <v>35</v>
      </c>
      <c r="AG199" s="4">
        <v>0</v>
      </c>
      <c r="AH199" s="4" t="s">
        <v>2054</v>
      </c>
      <c r="AI199" s="4"/>
      <c r="AJ199" s="6">
        <f>VLOOKUP(AH199,[1]Sheet1!$B$2:$AA$595,26,0)</f>
        <v>19388</v>
      </c>
      <c r="AK199" s="5">
        <f t="shared" si="3"/>
        <v>0.5</v>
      </c>
    </row>
    <row r="200" spans="1:37" x14ac:dyDescent="0.2">
      <c r="A200" s="9">
        <v>199</v>
      </c>
      <c r="B200" s="4" t="s">
        <v>610</v>
      </c>
      <c r="C200" s="4" t="s">
        <v>2060</v>
      </c>
      <c r="D200" s="4">
        <v>45597</v>
      </c>
      <c r="E200" s="4" t="s">
        <v>31</v>
      </c>
      <c r="F200" s="4" t="s">
        <v>2061</v>
      </c>
      <c r="G200" s="4">
        <v>45611</v>
      </c>
      <c r="H200" s="4">
        <v>45975</v>
      </c>
      <c r="I200" s="4" t="s">
        <v>2062</v>
      </c>
      <c r="J200" s="4">
        <v>4240128673429</v>
      </c>
      <c r="K200" s="4" t="s">
        <v>62</v>
      </c>
      <c r="L200" s="4"/>
      <c r="M200" s="4" t="s">
        <v>2063</v>
      </c>
      <c r="N200" s="4" t="s">
        <v>2064</v>
      </c>
      <c r="O200" s="4" t="s">
        <v>2060</v>
      </c>
      <c r="P200" s="4" t="s">
        <v>44</v>
      </c>
      <c r="Q200" s="4" t="s">
        <v>66</v>
      </c>
      <c r="R200" s="4" t="s">
        <v>2065</v>
      </c>
      <c r="S200" s="4">
        <v>44601</v>
      </c>
      <c r="T200" s="4">
        <v>47154</v>
      </c>
      <c r="U200" s="4">
        <v>1640000</v>
      </c>
      <c r="V200" s="4">
        <v>20</v>
      </c>
      <c r="W200" s="4">
        <v>328000</v>
      </c>
      <c r="X200" s="4">
        <v>1312000</v>
      </c>
      <c r="Y200" s="4">
        <v>2.5</v>
      </c>
      <c r="Z200" s="6">
        <v>32800</v>
      </c>
      <c r="AA200" s="4"/>
      <c r="AB200" s="4"/>
      <c r="AC200" s="4" t="s">
        <v>78</v>
      </c>
      <c r="AD200" s="4">
        <v>1141073002</v>
      </c>
      <c r="AE200" s="4">
        <v>45735</v>
      </c>
      <c r="AF200" s="4" t="s">
        <v>35</v>
      </c>
      <c r="AG200" s="4">
        <v>5</v>
      </c>
      <c r="AH200" s="4" t="s">
        <v>2061</v>
      </c>
      <c r="AI200" s="1" t="s">
        <v>2097</v>
      </c>
      <c r="AJ200" s="6">
        <f>VLOOKUP(AH200,[2]Sheet1!$B$2:$AA$1455,26,0)</f>
        <v>34850</v>
      </c>
      <c r="AK200" s="5">
        <f t="shared" si="3"/>
        <v>2050</v>
      </c>
    </row>
    <row r="201" spans="1:37" x14ac:dyDescent="0.2">
      <c r="A201" s="9">
        <v>200</v>
      </c>
      <c r="B201" s="4" t="s">
        <v>610</v>
      </c>
      <c r="C201" s="4" t="s">
        <v>2066</v>
      </c>
      <c r="D201" s="4">
        <v>45597</v>
      </c>
      <c r="E201" s="4" t="s">
        <v>31</v>
      </c>
      <c r="F201" s="4" t="s">
        <v>2067</v>
      </c>
      <c r="G201" s="4">
        <v>45615</v>
      </c>
      <c r="H201" s="4">
        <v>45979</v>
      </c>
      <c r="I201" s="4" t="s">
        <v>2068</v>
      </c>
      <c r="J201" s="4">
        <v>4200043573107</v>
      </c>
      <c r="K201" s="4" t="s">
        <v>2069</v>
      </c>
      <c r="L201" s="4" t="s">
        <v>2070</v>
      </c>
      <c r="M201" s="4" t="s">
        <v>2071</v>
      </c>
      <c r="N201" s="4" t="s">
        <v>2072</v>
      </c>
      <c r="O201" s="4" t="s">
        <v>2066</v>
      </c>
      <c r="P201" s="4" t="s">
        <v>44</v>
      </c>
      <c r="Q201" s="4" t="s">
        <v>45</v>
      </c>
      <c r="R201" s="4" t="s">
        <v>2073</v>
      </c>
      <c r="S201" s="4">
        <v>44608</v>
      </c>
      <c r="T201" s="4">
        <v>46451</v>
      </c>
      <c r="U201" s="4">
        <v>3255000</v>
      </c>
      <c r="V201" s="4">
        <v>20</v>
      </c>
      <c r="W201" s="4">
        <v>651000</v>
      </c>
      <c r="X201" s="4">
        <v>2604000</v>
      </c>
      <c r="Y201" s="4">
        <v>1.25</v>
      </c>
      <c r="Z201" s="6">
        <v>32550</v>
      </c>
      <c r="AA201" s="4"/>
      <c r="AB201" s="4"/>
      <c r="AC201" s="4" t="s">
        <v>78</v>
      </c>
      <c r="AD201" s="4">
        <v>1141073002</v>
      </c>
      <c r="AE201" s="4">
        <v>45735</v>
      </c>
      <c r="AF201" s="4" t="s">
        <v>35</v>
      </c>
      <c r="AG201" s="4">
        <v>5</v>
      </c>
      <c r="AH201" s="4" t="s">
        <v>2067</v>
      </c>
      <c r="AI201" s="1" t="s">
        <v>2098</v>
      </c>
      <c r="AJ201" s="6">
        <f>VLOOKUP(AH201,[2]Sheet1!$B$2:$AA$1455,26,0)</f>
        <v>34584</v>
      </c>
      <c r="AK201" s="5">
        <f t="shared" si="3"/>
        <v>2034</v>
      </c>
    </row>
    <row r="202" spans="1:37" x14ac:dyDescent="0.2">
      <c r="A202" s="9">
        <v>201</v>
      </c>
      <c r="B202" s="4" t="s">
        <v>610</v>
      </c>
      <c r="C202" s="4" t="s">
        <v>2074</v>
      </c>
      <c r="D202" s="4">
        <v>45658</v>
      </c>
      <c r="E202" s="4" t="s">
        <v>31</v>
      </c>
      <c r="F202" s="4" t="s">
        <v>2075</v>
      </c>
      <c r="G202" s="4">
        <v>45685</v>
      </c>
      <c r="H202" s="4">
        <v>46049</v>
      </c>
      <c r="I202" s="4" t="s">
        <v>2076</v>
      </c>
      <c r="J202" s="4">
        <v>3650118236801</v>
      </c>
      <c r="K202" s="4" t="s">
        <v>1914</v>
      </c>
      <c r="L202" s="4" t="s">
        <v>2077</v>
      </c>
      <c r="M202" s="4" t="s">
        <v>2078</v>
      </c>
      <c r="N202" s="4" t="s">
        <v>2079</v>
      </c>
      <c r="O202" s="4" t="s">
        <v>2074</v>
      </c>
      <c r="P202" s="4" t="s">
        <v>33</v>
      </c>
      <c r="Q202" s="4" t="s">
        <v>39</v>
      </c>
      <c r="R202" s="4" t="s">
        <v>2080</v>
      </c>
      <c r="S202" s="4">
        <v>44613</v>
      </c>
      <c r="T202" s="4">
        <v>46451</v>
      </c>
      <c r="U202" s="4">
        <v>2955000</v>
      </c>
      <c r="V202" s="4">
        <v>20</v>
      </c>
      <c r="W202" s="4">
        <v>591000</v>
      </c>
      <c r="X202" s="4">
        <v>2364000</v>
      </c>
      <c r="Y202" s="4">
        <v>1.75</v>
      </c>
      <c r="Z202" s="6">
        <v>41370</v>
      </c>
      <c r="AA202" s="4"/>
      <c r="AB202" s="4"/>
      <c r="AC202" s="4" t="s">
        <v>78</v>
      </c>
      <c r="AD202" s="4">
        <v>1141073002</v>
      </c>
      <c r="AE202" s="4">
        <v>45735</v>
      </c>
      <c r="AF202" s="4" t="s">
        <v>35</v>
      </c>
      <c r="AG202" s="4">
        <v>5</v>
      </c>
      <c r="AH202" s="4" t="s">
        <v>2075</v>
      </c>
      <c r="AI202" s="4"/>
      <c r="AJ202" s="6">
        <f>VLOOKUP(AH202,[1]Sheet1!$B$2:$AA$595,26,0)</f>
        <v>41370</v>
      </c>
      <c r="AK202" s="5">
        <f t="shared" si="3"/>
        <v>0</v>
      </c>
    </row>
    <row r="203" spans="1:37" x14ac:dyDescent="0.2">
      <c r="A203" s="9">
        <v>202</v>
      </c>
      <c r="B203" s="4" t="s">
        <v>610</v>
      </c>
      <c r="C203" s="4" t="s">
        <v>2081</v>
      </c>
      <c r="D203" s="4">
        <v>45658</v>
      </c>
      <c r="E203" s="4" t="s">
        <v>31</v>
      </c>
      <c r="F203" s="4" t="s">
        <v>2082</v>
      </c>
      <c r="G203" s="4">
        <v>45671</v>
      </c>
      <c r="H203" s="4">
        <v>46035</v>
      </c>
      <c r="I203" s="4" t="s">
        <v>2083</v>
      </c>
      <c r="J203" s="4">
        <v>3520207885931</v>
      </c>
      <c r="K203" s="4" t="s">
        <v>629</v>
      </c>
      <c r="L203" s="4" t="s">
        <v>2084</v>
      </c>
      <c r="M203" s="4" t="s">
        <v>2085</v>
      </c>
      <c r="N203" s="4" t="s">
        <v>2086</v>
      </c>
      <c r="O203" s="4" t="s">
        <v>2081</v>
      </c>
      <c r="P203" s="4" t="s">
        <v>33</v>
      </c>
      <c r="Q203" s="4" t="s">
        <v>39</v>
      </c>
      <c r="R203" s="4" t="s">
        <v>2087</v>
      </c>
      <c r="S203" s="4">
        <v>44608</v>
      </c>
      <c r="T203" s="4">
        <v>46451</v>
      </c>
      <c r="U203" s="4">
        <v>4008800</v>
      </c>
      <c r="V203" s="4">
        <v>20</v>
      </c>
      <c r="W203" s="4">
        <v>801760</v>
      </c>
      <c r="X203" s="4">
        <v>3207040</v>
      </c>
      <c r="Y203" s="4">
        <v>1.5</v>
      </c>
      <c r="Z203" s="6">
        <v>48105.600000000006</v>
      </c>
      <c r="AA203" s="4"/>
      <c r="AB203" s="4"/>
      <c r="AC203" s="4" t="s">
        <v>78</v>
      </c>
      <c r="AD203" s="4">
        <v>1141073002</v>
      </c>
      <c r="AE203" s="4">
        <v>45735</v>
      </c>
      <c r="AF203" s="4" t="s">
        <v>35</v>
      </c>
      <c r="AG203" s="4">
        <v>5</v>
      </c>
      <c r="AH203" s="4" t="s">
        <v>2082</v>
      </c>
      <c r="AI203" s="4"/>
      <c r="AJ203" s="6">
        <f>VLOOKUP(AH203,[1]Sheet1!$B$2:$AA$595,26,0)</f>
        <v>48106</v>
      </c>
      <c r="AK203" s="5">
        <f t="shared" si="3"/>
        <v>0.39999999999417923</v>
      </c>
    </row>
    <row r="204" spans="1:37" x14ac:dyDescent="0.2">
      <c r="A204" s="9">
        <v>203</v>
      </c>
      <c r="B204" s="4" t="s">
        <v>610</v>
      </c>
      <c r="C204" s="4" t="s">
        <v>2088</v>
      </c>
      <c r="D204" s="4">
        <v>45047</v>
      </c>
      <c r="E204" s="4" t="s">
        <v>31</v>
      </c>
      <c r="F204" s="4" t="s">
        <v>2089</v>
      </c>
      <c r="G204" s="4">
        <v>45439</v>
      </c>
      <c r="H204" s="4">
        <v>45803</v>
      </c>
      <c r="I204" s="4" t="s">
        <v>2090</v>
      </c>
      <c r="J204" s="4">
        <v>3630204226493</v>
      </c>
      <c r="K204" s="4" t="s">
        <v>2091</v>
      </c>
      <c r="L204" s="4" t="s">
        <v>2092</v>
      </c>
      <c r="M204" s="4" t="s">
        <v>2093</v>
      </c>
      <c r="N204" s="4">
        <v>6073080</v>
      </c>
      <c r="O204" s="4" t="s">
        <v>2088</v>
      </c>
      <c r="P204" s="4" t="s">
        <v>644</v>
      </c>
      <c r="Q204" s="4" t="s">
        <v>54</v>
      </c>
      <c r="R204" s="4">
        <v>538179</v>
      </c>
      <c r="S204" s="4">
        <v>44714</v>
      </c>
      <c r="T204" s="4">
        <v>46543</v>
      </c>
      <c r="U204" s="4">
        <v>3569000</v>
      </c>
      <c r="V204" s="4">
        <v>15</v>
      </c>
      <c r="W204" s="4">
        <v>535350</v>
      </c>
      <c r="X204" s="4">
        <v>3033650</v>
      </c>
      <c r="Y204" s="4">
        <v>2.5</v>
      </c>
      <c r="Z204" s="6">
        <v>75841.25</v>
      </c>
      <c r="AA204" s="4"/>
      <c r="AB204" s="4"/>
      <c r="AC204" s="4" t="s">
        <v>78</v>
      </c>
      <c r="AD204" s="4">
        <v>1141073002</v>
      </c>
      <c r="AE204" s="4">
        <v>45735</v>
      </c>
      <c r="AF204" s="4" t="s">
        <v>35</v>
      </c>
      <c r="AG204" s="4">
        <v>8</v>
      </c>
      <c r="AH204" s="4" t="s">
        <v>2094</v>
      </c>
      <c r="AI204" s="4"/>
      <c r="AJ204" s="6">
        <f>VLOOKUP(AH204,[2]Sheet1!$B$2:$AA$1455,26,0)</f>
        <v>75841</v>
      </c>
      <c r="AK204" s="5">
        <f t="shared" si="3"/>
        <v>-0.25</v>
      </c>
    </row>
    <row r="205" spans="1:37" x14ac:dyDescent="0.2"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10">
        <f>SUM(Z2:Z204)</f>
        <v>8186839.7455274994</v>
      </c>
      <c r="AA205" s="4"/>
      <c r="AB205" s="4"/>
      <c r="AC205" s="4"/>
      <c r="AD205" s="4"/>
      <c r="AE205" s="4"/>
      <c r="AF205" s="4"/>
      <c r="AG205" s="4"/>
      <c r="AH205" s="4"/>
      <c r="AI205" s="4"/>
      <c r="AJ205" s="10">
        <f>SUM(AJ2:AJ204)</f>
        <v>8190939</v>
      </c>
      <c r="AK205" s="4"/>
    </row>
    <row r="206" spans="1:37" x14ac:dyDescent="0.2"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5"/>
      <c r="AH206" s="4"/>
      <c r="AI206" s="4"/>
      <c r="AJ206" s="4"/>
      <c r="AK206" s="4"/>
    </row>
    <row r="208" spans="1:37" x14ac:dyDescent="0.2">
      <c r="AF208" s="3"/>
    </row>
    <row r="209" spans="29:29" x14ac:dyDescent="0.2">
      <c r="AC209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A4BBD-A8E2-46C9-A7BA-D1DF14490E31}">
  <dimension ref="A1:H205"/>
  <sheetViews>
    <sheetView tabSelected="1" topLeftCell="A202" workbookViewId="0">
      <selection activeCell="D203" sqref="D203"/>
    </sheetView>
  </sheetViews>
  <sheetFormatPr defaultRowHeight="12.75" x14ac:dyDescent="0.2"/>
  <cols>
    <col min="1" max="1" width="41.140625" bestFit="1" customWidth="1"/>
    <col min="2" max="2" width="13.5703125" bestFit="1" customWidth="1"/>
    <col min="3" max="3" width="10.28515625" bestFit="1" customWidth="1"/>
    <col min="5" max="5" width="12.42578125" bestFit="1" customWidth="1"/>
    <col min="6" max="6" width="103.28515625" customWidth="1"/>
    <col min="7" max="7" width="93.5703125" customWidth="1"/>
    <col min="8" max="8" width="85" customWidth="1"/>
  </cols>
  <sheetData>
    <row r="1" spans="1:8" ht="15" x14ac:dyDescent="0.25">
      <c r="A1" s="14" t="s">
        <v>2235</v>
      </c>
      <c r="B1" s="12" t="s">
        <v>2236</v>
      </c>
      <c r="C1" s="12"/>
      <c r="D1" s="15" t="s">
        <v>2237</v>
      </c>
      <c r="E1" s="20" t="s">
        <v>2238</v>
      </c>
      <c r="F1" s="12"/>
      <c r="G1" s="12"/>
      <c r="H1" s="12"/>
    </row>
    <row r="2" spans="1:8" ht="78" customHeight="1" x14ac:dyDescent="0.2">
      <c r="A2" s="4" t="s">
        <v>655</v>
      </c>
      <c r="B2" t="str">
        <f>VLOOKUP(A2,plicy!B:C,2,0)</f>
        <v>070000176808</v>
      </c>
      <c r="C2" s="6">
        <f>VLOOKUP(A2,[1]Sheet1!$B$2:$AA$595,26,0)</f>
        <v>47016</v>
      </c>
      <c r="D2" s="16">
        <f>ROUND(C2,0)</f>
        <v>47016</v>
      </c>
      <c r="E2" s="20" t="s">
        <v>2238</v>
      </c>
      <c r="F2" s="17" t="str">
        <f t="shared" ref="F2:F65" si="0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2" s="18" t="str">
        <f>"('"&amp;E2&amp;"','"&amp;B2&amp;"','"&amp;D2&amp;"',(select max(to_number(i.premium_rcv_detail_code))+1
from ins_premium_det i),'"&amp;D2&amp;"','"&amp;D2&amp;"','02', '11000003','00','Request by Mr. Saqib Saleem 26-Mar-2025 Renewal');"</f>
        <v>('26Mar250058','070000176808','47016',(select max(to_number(i.premium_rcv_detail_code))+1
from ins_premium_det i),'47016','47016','02', '11000003','00','Request by Mr. Saqib Saleem 26-Mar-2025 Renewal');</v>
      </c>
      <c r="H2" s="19" t="str">
        <f>F2&amp;G2</f>
        <v>insert into ins_premium_det (premium_rcv_code,assorted_code, rec_amount,premium_rcv_detail_code,remaining_amt, payrec, mode_code,coinsurance_code,class_cd,it_remarks) values('26Mar250058','070000176808','47016',(select max(to_number(i.premium_rcv_detail_code))+1
from ins_premium_det i),'47016','47016','02', '11000003','00','Request by Mr. Saqib Saleem 26-Mar-2025 Renewal');</v>
      </c>
    </row>
    <row r="3" spans="1:8" ht="89.25" x14ac:dyDescent="0.2">
      <c r="A3" s="4" t="s">
        <v>662</v>
      </c>
      <c r="B3" t="str">
        <f>VLOOKUP(A3,plicy!B:C,2,0)</f>
        <v>070000176817</v>
      </c>
      <c r="C3" s="6">
        <f>VLOOKUP(A3,[1]Sheet1!$B$2:$AA$595,26,0)</f>
        <v>61412</v>
      </c>
      <c r="D3" s="16">
        <f t="shared" ref="D3:D66" si="1">ROUND(C3,0)</f>
        <v>61412</v>
      </c>
      <c r="E3" s="20" t="s">
        <v>2238</v>
      </c>
      <c r="F3" s="17" t="str">
        <f t="shared" si="0"/>
        <v>insert into ins_premium_det (premium_rcv_code,assorted_code, rec_amount,premium_rcv_detail_code,remaining_amt, payrec, mode_code,coinsurance_code,class_cd,it_remarks) values</v>
      </c>
      <c r="G3" s="18" t="str">
        <f t="shared" ref="G3:G66" si="2">"('"&amp;E3&amp;"','"&amp;B3&amp;"','"&amp;D3&amp;"',(select max(to_number(i.premium_rcv_detail_code))+1
from ins_premium_det i),'"&amp;D3&amp;"','"&amp;D3&amp;"','02', '11000003','00','Request by Mr. Saqib Saleem 26-Mar-2025 Renewal');"</f>
        <v>('26Mar250058','070000176817','61412',(select max(to_number(i.premium_rcv_detail_code))+1
from ins_premium_det i),'61412','61412','02', '11000003','00','Request by Mr. Saqib Saleem 26-Mar-2025 Renewal');</v>
      </c>
      <c r="H3" s="19" t="str">
        <f t="shared" ref="H3:H66" si="3">F3&amp;G3</f>
        <v>insert into ins_premium_det (premium_rcv_code,assorted_code, rec_amount,premium_rcv_detail_code,remaining_amt, payrec, mode_code,coinsurance_code,class_cd,it_remarks) values('26Mar250058','070000176817','61412',(select max(to_number(i.premium_rcv_detail_code))+1
from ins_premium_det i),'61412','61412','02', '11000003','00','Request by Mr. Saqib Saleem 26-Mar-2025 Renewal');</v>
      </c>
    </row>
    <row r="4" spans="1:8" ht="89.25" x14ac:dyDescent="0.2">
      <c r="A4" s="4" t="s">
        <v>669</v>
      </c>
      <c r="B4" t="str">
        <f>VLOOKUP(A4,plicy!B:C,2,0)</f>
        <v>070000176907</v>
      </c>
      <c r="C4" s="6">
        <f>VLOOKUP(A4,[1]Sheet1!$B$2:$AA$595,26,0)</f>
        <v>30920</v>
      </c>
      <c r="D4" s="16">
        <f t="shared" si="1"/>
        <v>30920</v>
      </c>
      <c r="E4" s="20" t="s">
        <v>2238</v>
      </c>
      <c r="F4" s="17" t="str">
        <f t="shared" si="0"/>
        <v>insert into ins_premium_det (premium_rcv_code,assorted_code, rec_amount,premium_rcv_detail_code,remaining_amt, payrec, mode_code,coinsurance_code,class_cd,it_remarks) values</v>
      </c>
      <c r="G4" s="18" t="str">
        <f t="shared" si="2"/>
        <v>('26Mar250058','070000176907','30920',(select max(to_number(i.premium_rcv_detail_code))+1
from ins_premium_det i),'30920','30920','02', '11000003','00','Request by Mr. Saqib Saleem 26-Mar-2025 Renewal');</v>
      </c>
      <c r="H4" s="19" t="str">
        <f t="shared" si="3"/>
        <v>insert into ins_premium_det (premium_rcv_code,assorted_code, rec_amount,premium_rcv_detail_code,remaining_amt, payrec, mode_code,coinsurance_code,class_cd,it_remarks) values('26Mar250058','070000176907','30920',(select max(to_number(i.premium_rcv_detail_code))+1
from ins_premium_det i),'30920','30920','02', '11000003','00','Request by Mr. Saqib Saleem 26-Mar-2025 Renewal');</v>
      </c>
    </row>
    <row r="5" spans="1:8" ht="89.25" x14ac:dyDescent="0.2">
      <c r="A5" s="4" t="s">
        <v>676</v>
      </c>
      <c r="B5" t="str">
        <f>VLOOKUP(A5,plicy!B:C,2,0)</f>
        <v>070000176908</v>
      </c>
      <c r="C5" s="6">
        <f>VLOOKUP(A5,[1]Sheet1!$B$2:$AA$595,26,0)</f>
        <v>27650</v>
      </c>
      <c r="D5" s="16">
        <f t="shared" si="1"/>
        <v>27650</v>
      </c>
      <c r="E5" s="20" t="s">
        <v>2238</v>
      </c>
      <c r="F5" s="17" t="str">
        <f t="shared" si="0"/>
        <v>insert into ins_premium_det (premium_rcv_code,assorted_code, rec_amount,premium_rcv_detail_code,remaining_amt, payrec, mode_code,coinsurance_code,class_cd,it_remarks) values</v>
      </c>
      <c r="G5" s="18" t="str">
        <f t="shared" si="2"/>
        <v>('26Mar250058','070000176908','27650',(select max(to_number(i.premium_rcv_detail_code))+1
from ins_premium_det i),'27650','27650','02', '11000003','00','Request by Mr. Saqib Saleem 26-Mar-2025 Renewal');</v>
      </c>
      <c r="H5" s="19" t="str">
        <f t="shared" si="3"/>
        <v>insert into ins_premium_det (premium_rcv_code,assorted_code, rec_amount,premium_rcv_detail_code,remaining_amt, payrec, mode_code,coinsurance_code,class_cd,it_remarks) values('26Mar250058','070000176908','27650',(select max(to_number(i.premium_rcv_detail_code))+1
from ins_premium_det i),'27650','27650','02', '11000003','00','Request by Mr. Saqib Saleem 26-Mar-2025 Renewal');</v>
      </c>
    </row>
    <row r="6" spans="1:8" ht="89.25" x14ac:dyDescent="0.2">
      <c r="A6" s="4" t="s">
        <v>681</v>
      </c>
      <c r="B6" t="str">
        <f>VLOOKUP(A6,plicy!B:C,2,0)</f>
        <v>070000176909</v>
      </c>
      <c r="C6" s="6">
        <f>VLOOKUP(A6,[1]Sheet1!$B$2:$AA$595,26,0)</f>
        <v>21644</v>
      </c>
      <c r="D6" s="16">
        <f t="shared" si="1"/>
        <v>21644</v>
      </c>
      <c r="E6" s="20" t="s">
        <v>2238</v>
      </c>
      <c r="F6" s="17" t="str">
        <f t="shared" si="0"/>
        <v>insert into ins_premium_det (premium_rcv_code,assorted_code, rec_amount,premium_rcv_detail_code,remaining_amt, payrec, mode_code,coinsurance_code,class_cd,it_remarks) values</v>
      </c>
      <c r="G6" s="18" t="str">
        <f t="shared" si="2"/>
        <v>('26Mar250058','070000176909','21644',(select max(to_number(i.premium_rcv_detail_code))+1
from ins_premium_det i),'21644','21644','02', '11000003','00','Request by Mr. Saqib Saleem 26-Mar-2025 Renewal');</v>
      </c>
      <c r="H6" s="19" t="str">
        <f t="shared" si="3"/>
        <v>insert into ins_premium_det (premium_rcv_code,assorted_code, rec_amount,premium_rcv_detail_code,remaining_amt, payrec, mode_code,coinsurance_code,class_cd,it_remarks) values('26Mar250058','070000176909','21644',(select max(to_number(i.premium_rcv_detail_code))+1
from ins_premium_det i),'21644','21644','02', '11000003','00','Request by Mr. Saqib Saleem 26-Mar-2025 Renewal');</v>
      </c>
    </row>
    <row r="7" spans="1:8" ht="89.25" x14ac:dyDescent="0.2">
      <c r="A7" s="4" t="s">
        <v>688</v>
      </c>
      <c r="B7" t="str">
        <f>VLOOKUP(A7,plicy!B:C,2,0)</f>
        <v>070000176911</v>
      </c>
      <c r="C7" s="6">
        <f>VLOOKUP(A7,[1]Sheet1!$B$2:$AA$595,26,0)</f>
        <v>24500</v>
      </c>
      <c r="D7" s="16">
        <f t="shared" si="1"/>
        <v>24500</v>
      </c>
      <c r="E7" s="20" t="s">
        <v>2238</v>
      </c>
      <c r="F7" s="17" t="str">
        <f t="shared" si="0"/>
        <v>insert into ins_premium_det (premium_rcv_code,assorted_code, rec_amount,premium_rcv_detail_code,remaining_amt, payrec, mode_code,coinsurance_code,class_cd,it_remarks) values</v>
      </c>
      <c r="G7" s="18" t="str">
        <f t="shared" si="2"/>
        <v>('26Mar250058','070000176911','24500',(select max(to_number(i.premium_rcv_detail_code))+1
from ins_premium_det i),'24500','24500','02', '11000003','00','Request by Mr. Saqib Saleem 26-Mar-2025 Renewal');</v>
      </c>
      <c r="H7" s="19" t="str">
        <f t="shared" si="3"/>
        <v>insert into ins_premium_det (premium_rcv_code,assorted_code, rec_amount,premium_rcv_detail_code,remaining_amt, payrec, mode_code,coinsurance_code,class_cd,it_remarks) values('26Mar250058','070000176911','24500',(select max(to_number(i.premium_rcv_detail_code))+1
from ins_premium_det i),'24500','24500','02', '11000003','00','Request by Mr. Saqib Saleem 26-Mar-2025 Renewal');</v>
      </c>
    </row>
    <row r="8" spans="1:8" ht="89.25" x14ac:dyDescent="0.2">
      <c r="A8" s="4" t="s">
        <v>695</v>
      </c>
      <c r="B8" t="str">
        <f>VLOOKUP(A8,plicy!B:C,2,0)</f>
        <v>070000176912</v>
      </c>
      <c r="C8" s="6">
        <f>VLOOKUP(A8,[1]Sheet1!$B$2:$AA$595,26,0)</f>
        <v>31416</v>
      </c>
      <c r="D8" s="16">
        <f t="shared" si="1"/>
        <v>31416</v>
      </c>
      <c r="E8" s="20" t="s">
        <v>2238</v>
      </c>
      <c r="F8" s="17" t="str">
        <f t="shared" si="0"/>
        <v>insert into ins_premium_det (premium_rcv_code,assorted_code, rec_amount,premium_rcv_detail_code,remaining_amt, payrec, mode_code,coinsurance_code,class_cd,it_remarks) values</v>
      </c>
      <c r="G8" s="18" t="str">
        <f t="shared" si="2"/>
        <v>('26Mar250058','070000176912','31416',(select max(to_number(i.premium_rcv_detail_code))+1
from ins_premium_det i),'31416','31416','02', '11000003','00','Request by Mr. Saqib Saleem 26-Mar-2025 Renewal');</v>
      </c>
      <c r="H8" s="19" t="str">
        <f t="shared" si="3"/>
        <v>insert into ins_premium_det (premium_rcv_code,assorted_code, rec_amount,premium_rcv_detail_code,remaining_amt, payrec, mode_code,coinsurance_code,class_cd,it_remarks) values('26Mar250058','070000176912','31416',(select max(to_number(i.premium_rcv_detail_code))+1
from ins_premium_det i),'31416','31416','02', '11000003','00','Request by Mr. Saqib Saleem 26-Mar-2025 Renewal');</v>
      </c>
    </row>
    <row r="9" spans="1:8" ht="89.25" x14ac:dyDescent="0.2">
      <c r="A9" s="4" t="s">
        <v>702</v>
      </c>
      <c r="B9" t="str">
        <f>VLOOKUP(A9,plicy!B:C,2,0)</f>
        <v>070000176913</v>
      </c>
      <c r="C9" s="6">
        <f>VLOOKUP(A9,[1]Sheet1!$B$2:$AA$595,26,0)</f>
        <v>68244</v>
      </c>
      <c r="D9" s="16">
        <f t="shared" si="1"/>
        <v>68244</v>
      </c>
      <c r="E9" s="20" t="s">
        <v>2238</v>
      </c>
      <c r="F9" s="17" t="str">
        <f t="shared" si="0"/>
        <v>insert into ins_premium_det (premium_rcv_code,assorted_code, rec_amount,premium_rcv_detail_code,remaining_amt, payrec, mode_code,coinsurance_code,class_cd,it_remarks) values</v>
      </c>
      <c r="G9" s="18" t="str">
        <f t="shared" si="2"/>
        <v>('26Mar250058','070000176913','68244',(select max(to_number(i.premium_rcv_detail_code))+1
from ins_premium_det i),'68244','68244','02', '11000003','00','Request by Mr. Saqib Saleem 26-Mar-2025 Renewal');</v>
      </c>
      <c r="H9" s="19" t="str">
        <f t="shared" si="3"/>
        <v>insert into ins_premium_det (premium_rcv_code,assorted_code, rec_amount,premium_rcv_detail_code,remaining_amt, payrec, mode_code,coinsurance_code,class_cd,it_remarks) values('26Mar250058','070000176913','68244',(select max(to_number(i.premium_rcv_detail_code))+1
from ins_premium_det i),'68244','68244','02', '11000003','00','Request by Mr. Saqib Saleem 26-Mar-2025 Renewal');</v>
      </c>
    </row>
    <row r="10" spans="1:8" ht="89.25" x14ac:dyDescent="0.2">
      <c r="A10" s="4" t="s">
        <v>709</v>
      </c>
      <c r="B10" t="str">
        <f>VLOOKUP(A10,plicy!B:C,2,0)</f>
        <v>070000176914</v>
      </c>
      <c r="C10" s="6">
        <f>VLOOKUP(A10,[1]Sheet1!$B$2:$AA$595,26,0)</f>
        <v>21000</v>
      </c>
      <c r="D10" s="16">
        <f t="shared" si="1"/>
        <v>21000</v>
      </c>
      <c r="E10" s="20" t="s">
        <v>2238</v>
      </c>
      <c r="F10" s="17" t="str">
        <f t="shared" si="0"/>
        <v>insert into ins_premium_det (premium_rcv_code,assorted_code, rec_amount,premium_rcv_detail_code,remaining_amt, payrec, mode_code,coinsurance_code,class_cd,it_remarks) values</v>
      </c>
      <c r="G10" s="18" t="str">
        <f t="shared" si="2"/>
        <v>('26Mar250058','070000176914','21000',(select max(to_number(i.premium_rcv_detail_code))+1
from ins_premium_det i),'21000','21000','02', '11000003','00','Request by Mr. Saqib Saleem 26-Mar-2025 Renewal');</v>
      </c>
      <c r="H10" s="19" t="str">
        <f t="shared" si="3"/>
        <v>insert into ins_premium_det (premium_rcv_code,assorted_code, rec_amount,premium_rcv_detail_code,remaining_amt, payrec, mode_code,coinsurance_code,class_cd,it_remarks) values('26Mar250058','070000176914','21000',(select max(to_number(i.premium_rcv_detail_code))+1
from ins_premium_det i),'21000','21000','02', '11000003','00','Request by Mr. Saqib Saleem 26-Mar-2025 Renewal');</v>
      </c>
    </row>
    <row r="11" spans="1:8" ht="89.25" x14ac:dyDescent="0.2">
      <c r="A11" s="4" t="s">
        <v>716</v>
      </c>
      <c r="B11" t="str">
        <f>VLOOKUP(A11,plicy!B:C,2,0)</f>
        <v>070000176915</v>
      </c>
      <c r="C11" s="6">
        <f>VLOOKUP(A11,[1]Sheet1!$B$2:$AA$595,26,0)</f>
        <v>30920</v>
      </c>
      <c r="D11" s="16">
        <f t="shared" si="1"/>
        <v>30920</v>
      </c>
      <c r="E11" s="20" t="s">
        <v>2238</v>
      </c>
      <c r="F11" s="17" t="str">
        <f t="shared" si="0"/>
        <v>insert into ins_premium_det (premium_rcv_code,assorted_code, rec_amount,premium_rcv_detail_code,remaining_amt, payrec, mode_code,coinsurance_code,class_cd,it_remarks) values</v>
      </c>
      <c r="G11" s="18" t="str">
        <f t="shared" si="2"/>
        <v>('26Mar250058','070000176915','30920',(select max(to_number(i.premium_rcv_detail_code))+1
from ins_premium_det i),'30920','30920','02', '11000003','00','Request by Mr. Saqib Saleem 26-Mar-2025 Renewal');</v>
      </c>
      <c r="H11" s="19" t="str">
        <f t="shared" si="3"/>
        <v>insert into ins_premium_det (premium_rcv_code,assorted_code, rec_amount,premium_rcv_detail_code,remaining_amt, payrec, mode_code,coinsurance_code,class_cd,it_remarks) values('26Mar250058','070000176915','30920',(select max(to_number(i.premium_rcv_detail_code))+1
from ins_premium_det i),'30920','30920','02', '11000003','00','Request by Mr. Saqib Saleem 26-Mar-2025 Renewal');</v>
      </c>
    </row>
    <row r="12" spans="1:8" ht="89.25" x14ac:dyDescent="0.2">
      <c r="A12" s="4" t="s">
        <v>722</v>
      </c>
      <c r="B12" t="str">
        <f>VLOOKUP(A12,plicy!B:C,2,0)</f>
        <v>070000176916</v>
      </c>
      <c r="C12" s="6">
        <f>VLOOKUP(A12,[1]Sheet1!$B$2:$AA$595,26,0)</f>
        <v>24640</v>
      </c>
      <c r="D12" s="16">
        <f t="shared" si="1"/>
        <v>24640</v>
      </c>
      <c r="E12" s="20" t="s">
        <v>2238</v>
      </c>
      <c r="F12" s="17" t="str">
        <f t="shared" si="0"/>
        <v>insert into ins_premium_det (premium_rcv_code,assorted_code, rec_amount,premium_rcv_detail_code,remaining_amt, payrec, mode_code,coinsurance_code,class_cd,it_remarks) values</v>
      </c>
      <c r="G12" s="18" t="str">
        <f t="shared" si="2"/>
        <v>('26Mar250058','070000176916','24640',(select max(to_number(i.premium_rcv_detail_code))+1
from ins_premium_det i),'24640','24640','02', '11000003','00','Request by Mr. Saqib Saleem 26-Mar-2025 Renewal');</v>
      </c>
      <c r="H12" s="19" t="str">
        <f t="shared" si="3"/>
        <v>insert into ins_premium_det (premium_rcv_code,assorted_code, rec_amount,premium_rcv_detail_code,remaining_amt, payrec, mode_code,coinsurance_code,class_cd,it_remarks) values('26Mar250058','070000176916','24640',(select max(to_number(i.premium_rcv_detail_code))+1
from ins_premium_det i),'24640','24640','02', '11000003','00','Request by Mr. Saqib Saleem 26-Mar-2025 Renewal');</v>
      </c>
    </row>
    <row r="13" spans="1:8" ht="89.25" x14ac:dyDescent="0.2">
      <c r="A13" s="4" t="s">
        <v>729</v>
      </c>
      <c r="B13" t="str">
        <f>VLOOKUP(A13,plicy!B:C,2,0)</f>
        <v>070000176818</v>
      </c>
      <c r="C13" s="6">
        <f>VLOOKUP(A13,[1]Sheet1!$B$2:$AA$595,26,0)</f>
        <v>51300</v>
      </c>
      <c r="D13" s="16">
        <f t="shared" si="1"/>
        <v>51300</v>
      </c>
      <c r="E13" s="20" t="s">
        <v>2238</v>
      </c>
      <c r="F13" s="17" t="str">
        <f t="shared" si="0"/>
        <v>insert into ins_premium_det (premium_rcv_code,assorted_code, rec_amount,premium_rcv_detail_code,remaining_amt, payrec, mode_code,coinsurance_code,class_cd,it_remarks) values</v>
      </c>
      <c r="G13" s="18" t="str">
        <f t="shared" si="2"/>
        <v>('26Mar250058','070000176818','51300',(select max(to_number(i.premium_rcv_detail_code))+1
from ins_premium_det i),'51300','51300','02', '11000003','00','Request by Mr. Saqib Saleem 26-Mar-2025 Renewal');</v>
      </c>
      <c r="H13" s="19" t="str">
        <f t="shared" si="3"/>
        <v>insert into ins_premium_det (premium_rcv_code,assorted_code, rec_amount,premium_rcv_detail_code,remaining_amt, payrec, mode_code,coinsurance_code,class_cd,it_remarks) values('26Mar250058','070000176818','51300',(select max(to_number(i.premium_rcv_detail_code))+1
from ins_premium_det i),'51300','51300','02', '11000003','00','Request by Mr. Saqib Saleem 26-Mar-2025 Renewal');</v>
      </c>
    </row>
    <row r="14" spans="1:8" ht="89.25" x14ac:dyDescent="0.2">
      <c r="A14" s="4" t="s">
        <v>736</v>
      </c>
      <c r="B14" t="str">
        <f>VLOOKUP(A14,plicy!B:C,2,0)</f>
        <v>070000176917</v>
      </c>
      <c r="C14" s="6">
        <f>VLOOKUP(A14,[1]Sheet1!$B$2:$AA$595,26,0)</f>
        <v>54000</v>
      </c>
      <c r="D14" s="16">
        <f t="shared" si="1"/>
        <v>54000</v>
      </c>
      <c r="E14" s="20" t="s">
        <v>2238</v>
      </c>
      <c r="F14" s="17" t="str">
        <f t="shared" si="0"/>
        <v>insert into ins_premium_det (premium_rcv_code,assorted_code, rec_amount,premium_rcv_detail_code,remaining_amt, payrec, mode_code,coinsurance_code,class_cd,it_remarks) values</v>
      </c>
      <c r="G14" s="18" t="str">
        <f t="shared" si="2"/>
        <v>('26Mar250058','070000176917','54000',(select max(to_number(i.premium_rcv_detail_code))+1
from ins_premium_det i),'54000','54000','02', '11000003','00','Request by Mr. Saqib Saleem 26-Mar-2025 Renewal');</v>
      </c>
      <c r="H14" s="19" t="str">
        <f t="shared" si="3"/>
        <v>insert into ins_premium_det (premium_rcv_code,assorted_code, rec_amount,premium_rcv_detail_code,remaining_amt, payrec, mode_code,coinsurance_code,class_cd,it_remarks) values('26Mar250058','070000176917','54000',(select max(to_number(i.premium_rcv_detail_code))+1
from ins_premium_det i),'54000','54000','02', '11000003','00','Request by Mr. Saqib Saleem 26-Mar-2025 Renewal');</v>
      </c>
    </row>
    <row r="15" spans="1:8" ht="89.25" x14ac:dyDescent="0.2">
      <c r="A15" s="4" t="s">
        <v>743</v>
      </c>
      <c r="B15" t="str">
        <f>VLOOKUP(A15,plicy!B:C,2,0)</f>
        <v>070000176918</v>
      </c>
      <c r="C15" s="6">
        <f>VLOOKUP(A15,[1]Sheet1!$B$2:$AA$595,26,0)</f>
        <v>21644</v>
      </c>
      <c r="D15" s="16">
        <f t="shared" si="1"/>
        <v>21644</v>
      </c>
      <c r="E15" s="20" t="s">
        <v>2238</v>
      </c>
      <c r="F15" s="17" t="str">
        <f t="shared" si="0"/>
        <v>insert into ins_premium_det (premium_rcv_code,assorted_code, rec_amount,premium_rcv_detail_code,remaining_amt, payrec, mode_code,coinsurance_code,class_cd,it_remarks) values</v>
      </c>
      <c r="G15" s="18" t="str">
        <f t="shared" si="2"/>
        <v>('26Mar250058','070000176918','21644',(select max(to_number(i.premium_rcv_detail_code))+1
from ins_premium_det i),'21644','21644','02', '11000003','00','Request by Mr. Saqib Saleem 26-Mar-2025 Renewal');</v>
      </c>
      <c r="H15" s="19" t="str">
        <f t="shared" si="3"/>
        <v>insert into ins_premium_det (premium_rcv_code,assorted_code, rec_amount,premium_rcv_detail_code,remaining_amt, payrec, mode_code,coinsurance_code,class_cd,it_remarks) values('26Mar250058','070000176918','21644',(select max(to_number(i.premium_rcv_detail_code))+1
from ins_premium_det i),'21644','21644','02', '11000003','00','Request by Mr. Saqib Saleem 26-Mar-2025 Renewal');</v>
      </c>
    </row>
    <row r="16" spans="1:8" ht="89.25" x14ac:dyDescent="0.2">
      <c r="A16" s="4" t="s">
        <v>751</v>
      </c>
      <c r="B16" t="str">
        <f>VLOOKUP(A16,plicy!B:C,2,0)</f>
        <v>070000176919</v>
      </c>
      <c r="C16" s="6">
        <f>VLOOKUP(A16,[1]Sheet1!$B$2:$AA$595,26,0)</f>
        <v>21644</v>
      </c>
      <c r="D16" s="16">
        <f t="shared" si="1"/>
        <v>21644</v>
      </c>
      <c r="E16" s="20" t="s">
        <v>2238</v>
      </c>
      <c r="F16" s="17" t="str">
        <f t="shared" si="0"/>
        <v>insert into ins_premium_det (premium_rcv_code,assorted_code, rec_amount,premium_rcv_detail_code,remaining_amt, payrec, mode_code,coinsurance_code,class_cd,it_remarks) values</v>
      </c>
      <c r="G16" s="18" t="str">
        <f t="shared" si="2"/>
        <v>('26Mar250058','070000176919','21644',(select max(to_number(i.premium_rcv_detail_code))+1
from ins_premium_det i),'21644','21644','02', '11000003','00','Request by Mr. Saqib Saleem 26-Mar-2025 Renewal');</v>
      </c>
      <c r="H16" s="19" t="str">
        <f t="shared" si="3"/>
        <v>insert into ins_premium_det (premium_rcv_code,assorted_code, rec_amount,premium_rcv_detail_code,remaining_amt, payrec, mode_code,coinsurance_code,class_cd,it_remarks) values('26Mar250058','070000176919','21644',(select max(to_number(i.premium_rcv_detail_code))+1
from ins_premium_det i),'21644','21644','02', '11000003','00','Request by Mr. Saqib Saleem 26-Mar-2025 Renewal');</v>
      </c>
    </row>
    <row r="17" spans="1:8" ht="89.25" x14ac:dyDescent="0.2">
      <c r="A17" s="4" t="s">
        <v>758</v>
      </c>
      <c r="B17" t="str">
        <f>VLOOKUP(A17,plicy!B:C,2,0)</f>
        <v>070000176920</v>
      </c>
      <c r="C17" s="6">
        <f>VLOOKUP(A17,[1]Sheet1!$B$2:$AA$595,26,0)</f>
        <v>43400</v>
      </c>
      <c r="D17" s="16">
        <f t="shared" si="1"/>
        <v>43400</v>
      </c>
      <c r="E17" s="20" t="s">
        <v>2238</v>
      </c>
      <c r="F17" s="17" t="str">
        <f t="shared" si="0"/>
        <v>insert into ins_premium_det (premium_rcv_code,assorted_code, rec_amount,premium_rcv_detail_code,remaining_amt, payrec, mode_code,coinsurance_code,class_cd,it_remarks) values</v>
      </c>
      <c r="G17" s="18" t="str">
        <f t="shared" si="2"/>
        <v>('26Mar250058','070000176920','43400',(select max(to_number(i.premium_rcv_detail_code))+1
from ins_premium_det i),'43400','43400','02', '11000003','00','Request by Mr. Saqib Saleem 26-Mar-2025 Renewal');</v>
      </c>
      <c r="H17" s="19" t="str">
        <f t="shared" si="3"/>
        <v>insert into ins_premium_det (premium_rcv_code,assorted_code, rec_amount,premium_rcv_detail_code,remaining_amt, payrec, mode_code,coinsurance_code,class_cd,it_remarks) values('26Mar250058','070000176920','43400',(select max(to_number(i.premium_rcv_detail_code))+1
from ins_premium_det i),'43400','43400','02', '11000003','00','Request by Mr. Saqib Saleem 26-Mar-2025 Renewal');</v>
      </c>
    </row>
    <row r="18" spans="1:8" ht="89.25" x14ac:dyDescent="0.2">
      <c r="A18" s="4" t="s">
        <v>766</v>
      </c>
      <c r="B18" t="str">
        <f>VLOOKUP(A18,plicy!B:C,2,0)</f>
        <v>070000176921</v>
      </c>
      <c r="C18" s="6">
        <f>VLOOKUP(A18,[1]Sheet1!$B$2:$AA$595,26,0)</f>
        <v>27650</v>
      </c>
      <c r="D18" s="16">
        <f t="shared" si="1"/>
        <v>27650</v>
      </c>
      <c r="E18" s="20" t="s">
        <v>2238</v>
      </c>
      <c r="F18" s="17" t="str">
        <f t="shared" si="0"/>
        <v>insert into ins_premium_det (premium_rcv_code,assorted_code, rec_amount,premium_rcv_detail_code,remaining_amt, payrec, mode_code,coinsurance_code,class_cd,it_remarks) values</v>
      </c>
      <c r="G18" s="18" t="str">
        <f t="shared" si="2"/>
        <v>('26Mar250058','070000176921','27650',(select max(to_number(i.premium_rcv_detail_code))+1
from ins_premium_det i),'27650','27650','02', '11000003','00','Request by Mr. Saqib Saleem 26-Mar-2025 Renewal');</v>
      </c>
      <c r="H18" s="19" t="str">
        <f t="shared" si="3"/>
        <v>insert into ins_premium_det (premium_rcv_code,assorted_code, rec_amount,premium_rcv_detail_code,remaining_amt, payrec, mode_code,coinsurance_code,class_cd,it_remarks) values('26Mar250058','070000176921','27650',(select max(to_number(i.premium_rcv_detail_code))+1
from ins_premium_det i),'27650','27650','02', '11000003','00','Request by Mr. Saqib Saleem 26-Mar-2025 Renewal');</v>
      </c>
    </row>
    <row r="19" spans="1:8" ht="89.25" x14ac:dyDescent="0.2">
      <c r="A19" s="4" t="s">
        <v>772</v>
      </c>
      <c r="B19" t="str">
        <f>VLOOKUP(A19,plicy!B:C,2,0)</f>
        <v>070000176922</v>
      </c>
      <c r="C19" s="6">
        <f>VLOOKUP(A19,[1]Sheet1!$B$2:$AA$595,26,0)</f>
        <v>26278</v>
      </c>
      <c r="D19" s="16">
        <f t="shared" si="1"/>
        <v>26278</v>
      </c>
      <c r="E19" s="20" t="s">
        <v>2238</v>
      </c>
      <c r="F19" s="17" t="str">
        <f t="shared" si="0"/>
        <v>insert into ins_premium_det (premium_rcv_code,assorted_code, rec_amount,premium_rcv_detail_code,remaining_amt, payrec, mode_code,coinsurance_code,class_cd,it_remarks) values</v>
      </c>
      <c r="G19" s="18" t="str">
        <f t="shared" si="2"/>
        <v>('26Mar250058','070000176922','26278',(select max(to_number(i.premium_rcv_detail_code))+1
from ins_premium_det i),'26278','26278','02', '11000003','00','Request by Mr. Saqib Saleem 26-Mar-2025 Renewal');</v>
      </c>
      <c r="H19" s="19" t="str">
        <f t="shared" si="3"/>
        <v>insert into ins_premium_det (premium_rcv_code,assorted_code, rec_amount,premium_rcv_detail_code,remaining_amt, payrec, mode_code,coinsurance_code,class_cd,it_remarks) values('26Mar250058','070000176922','26278',(select max(to_number(i.premium_rcv_detail_code))+1
from ins_premium_det i),'26278','26278','02', '11000003','00','Request by Mr. Saqib Saleem 26-Mar-2025 Renewal');</v>
      </c>
    </row>
    <row r="20" spans="1:8" ht="89.25" x14ac:dyDescent="0.2">
      <c r="A20" s="4" t="s">
        <v>779</v>
      </c>
      <c r="B20" t="str">
        <f>VLOOKUP(A20,plicy!B:C,2,0)</f>
        <v>070000176923</v>
      </c>
      <c r="C20" s="6">
        <f>VLOOKUP(A20,[1]Sheet1!$B$2:$AA$595,26,0)</f>
        <v>30800</v>
      </c>
      <c r="D20" s="16">
        <f t="shared" si="1"/>
        <v>30800</v>
      </c>
      <c r="E20" s="20" t="s">
        <v>2238</v>
      </c>
      <c r="F20" s="17" t="str">
        <f t="shared" si="0"/>
        <v>insert into ins_premium_det (premium_rcv_code,assorted_code, rec_amount,premium_rcv_detail_code,remaining_amt, payrec, mode_code,coinsurance_code,class_cd,it_remarks) values</v>
      </c>
      <c r="G20" s="18" t="str">
        <f t="shared" si="2"/>
        <v>('26Mar250058','070000176923','30800',(select max(to_number(i.premium_rcv_detail_code))+1
from ins_premium_det i),'30800','30800','02', '11000003','00','Request by Mr. Saqib Saleem 26-Mar-2025 Renewal');</v>
      </c>
      <c r="H20" s="19" t="str">
        <f t="shared" si="3"/>
        <v>insert into ins_premium_det (premium_rcv_code,assorted_code, rec_amount,premium_rcv_detail_code,remaining_amt, payrec, mode_code,coinsurance_code,class_cd,it_remarks) values('26Mar250058','070000176923','30800',(select max(to_number(i.premium_rcv_detail_code))+1
from ins_premium_det i),'30800','30800','02', '11000003','00','Request by Mr. Saqib Saleem 26-Mar-2025 Renewal');</v>
      </c>
    </row>
    <row r="21" spans="1:8" ht="89.25" x14ac:dyDescent="0.2">
      <c r="A21" s="4" t="s">
        <v>786</v>
      </c>
      <c r="B21" t="str">
        <f>VLOOKUP(A21,plicy!B:C,2,0)</f>
        <v>070000176924</v>
      </c>
      <c r="C21" s="6">
        <f>VLOOKUP(A21,[1]Sheet1!$B$2:$AA$595,26,0)</f>
        <v>30920</v>
      </c>
      <c r="D21" s="16">
        <f t="shared" si="1"/>
        <v>30920</v>
      </c>
      <c r="E21" s="20" t="s">
        <v>2238</v>
      </c>
      <c r="F21" s="17" t="str">
        <f t="shared" si="0"/>
        <v>insert into ins_premium_det (premium_rcv_code,assorted_code, rec_amount,premium_rcv_detail_code,remaining_amt, payrec, mode_code,coinsurance_code,class_cd,it_remarks) values</v>
      </c>
      <c r="G21" s="18" t="str">
        <f t="shared" si="2"/>
        <v>('26Mar250058','070000176924','30920',(select max(to_number(i.premium_rcv_detail_code))+1
from ins_premium_det i),'30920','30920','02', '11000003','00','Request by Mr. Saqib Saleem 26-Mar-2025 Renewal');</v>
      </c>
      <c r="H21" s="19" t="str">
        <f t="shared" si="3"/>
        <v>insert into ins_premium_det (premium_rcv_code,assorted_code, rec_amount,premium_rcv_detail_code,remaining_amt, payrec, mode_code,coinsurance_code,class_cd,it_remarks) values('26Mar250058','070000176924','30920',(select max(to_number(i.premium_rcv_detail_code))+1
from ins_premium_det i),'30920','30920','02', '11000003','00','Request by Mr. Saqib Saleem 26-Mar-2025 Renewal');</v>
      </c>
    </row>
    <row r="22" spans="1:8" ht="89.25" x14ac:dyDescent="0.2">
      <c r="A22" s="4" t="s">
        <v>793</v>
      </c>
      <c r="B22" t="str">
        <f>VLOOKUP(A22,plicy!B:C,2,0)</f>
        <v>070000176925</v>
      </c>
      <c r="C22" s="6">
        <f>VLOOKUP(A22,[1]Sheet1!$B$2:$AA$595,26,0)</f>
        <v>24458</v>
      </c>
      <c r="D22" s="16">
        <f t="shared" si="1"/>
        <v>24458</v>
      </c>
      <c r="E22" s="20" t="s">
        <v>2238</v>
      </c>
      <c r="F22" s="17" t="str">
        <f t="shared" si="0"/>
        <v>insert into ins_premium_det (premium_rcv_code,assorted_code, rec_amount,premium_rcv_detail_code,remaining_amt, payrec, mode_code,coinsurance_code,class_cd,it_remarks) values</v>
      </c>
      <c r="G22" s="18" t="str">
        <f t="shared" si="2"/>
        <v>('26Mar250058','070000176925','24458',(select max(to_number(i.premium_rcv_detail_code))+1
from ins_premium_det i),'24458','24458','02', '11000003','00','Request by Mr. Saqib Saleem 26-Mar-2025 Renewal');</v>
      </c>
      <c r="H22" s="19" t="str">
        <f t="shared" si="3"/>
        <v>insert into ins_premium_det (premium_rcv_code,assorted_code, rec_amount,premium_rcv_detail_code,remaining_amt, payrec, mode_code,coinsurance_code,class_cd,it_remarks) values('26Mar250058','070000176925','24458',(select max(to_number(i.premium_rcv_detail_code))+1
from ins_premium_det i),'24458','24458','02', '11000003','00','Request by Mr. Saqib Saleem 26-Mar-2025 Renewal');</v>
      </c>
    </row>
    <row r="23" spans="1:8" ht="89.25" x14ac:dyDescent="0.2">
      <c r="A23" s="4" t="s">
        <v>800</v>
      </c>
      <c r="B23" t="str">
        <f>VLOOKUP(A23,plicy!B:C,2,0)</f>
        <v>070000176926</v>
      </c>
      <c r="C23" s="6">
        <f>VLOOKUP(A23,[1]Sheet1!$B$2:$AA$595,26,0)</f>
        <v>21644</v>
      </c>
      <c r="D23" s="16">
        <f t="shared" si="1"/>
        <v>21644</v>
      </c>
      <c r="E23" s="20" t="s">
        <v>2238</v>
      </c>
      <c r="F23" s="17" t="str">
        <f t="shared" si="0"/>
        <v>insert into ins_premium_det (premium_rcv_code,assorted_code, rec_amount,premium_rcv_detail_code,remaining_amt, payrec, mode_code,coinsurance_code,class_cd,it_remarks) values</v>
      </c>
      <c r="G23" s="18" t="str">
        <f t="shared" si="2"/>
        <v>('26Mar250058','070000176926','21644',(select max(to_number(i.premium_rcv_detail_code))+1
from ins_premium_det i),'21644','21644','02', '11000003','00','Request by Mr. Saqib Saleem 26-Mar-2025 Renewal');</v>
      </c>
      <c r="H23" s="19" t="str">
        <f t="shared" si="3"/>
        <v>insert into ins_premium_det (premium_rcv_code,assorted_code, rec_amount,premium_rcv_detail_code,remaining_amt, payrec, mode_code,coinsurance_code,class_cd,it_remarks) values('26Mar250058','070000176926','21644',(select max(to_number(i.premium_rcv_detail_code))+1
from ins_premium_det i),'21644','21644','02', '11000003','00','Request by Mr. Saqib Saleem 26-Mar-2025 Renewal');</v>
      </c>
    </row>
    <row r="24" spans="1:8" ht="89.25" x14ac:dyDescent="0.2">
      <c r="A24" s="4" t="s">
        <v>807</v>
      </c>
      <c r="B24" t="str">
        <f>VLOOKUP(A24,plicy!B:C,2,0)</f>
        <v>070000176819</v>
      </c>
      <c r="C24" s="6">
        <f>VLOOKUP(A24,[1]Sheet1!$B$2:$AA$595,26,0)</f>
        <v>39600</v>
      </c>
      <c r="D24" s="16">
        <f t="shared" si="1"/>
        <v>39600</v>
      </c>
      <c r="E24" s="20" t="s">
        <v>2238</v>
      </c>
      <c r="F24" s="17" t="str">
        <f t="shared" si="0"/>
        <v>insert into ins_premium_det (premium_rcv_code,assorted_code, rec_amount,premium_rcv_detail_code,remaining_amt, payrec, mode_code,coinsurance_code,class_cd,it_remarks) values</v>
      </c>
      <c r="G24" s="18" t="str">
        <f t="shared" si="2"/>
        <v>('26Mar250058','070000176819','39600',(select max(to_number(i.premium_rcv_detail_code))+1
from ins_premium_det i),'39600','39600','02', '11000003','00','Request by Mr. Saqib Saleem 26-Mar-2025 Renewal');</v>
      </c>
      <c r="H24" s="19" t="str">
        <f t="shared" si="3"/>
        <v>insert into ins_premium_det (premium_rcv_code,assorted_code, rec_amount,premium_rcv_detail_code,remaining_amt, payrec, mode_code,coinsurance_code,class_cd,it_remarks) values('26Mar250058','070000176819','39600',(select max(to_number(i.premium_rcv_detail_code))+1
from ins_premium_det i),'39600','39600','02', '11000003','00','Request by Mr. Saqib Saleem 26-Mar-2025 Renewal');</v>
      </c>
    </row>
    <row r="25" spans="1:8" ht="89.25" x14ac:dyDescent="0.2">
      <c r="A25" s="4" t="s">
        <v>814</v>
      </c>
      <c r="B25" t="str">
        <f>VLOOKUP(A25,plicy!B:C,2,0)</f>
        <v>070000176927</v>
      </c>
      <c r="C25" s="6">
        <f>VLOOKUP(A25,[1]Sheet1!$B$2:$AA$595,26,0)</f>
        <v>26320</v>
      </c>
      <c r="D25" s="16">
        <f t="shared" si="1"/>
        <v>26320</v>
      </c>
      <c r="E25" s="20" t="s">
        <v>2238</v>
      </c>
      <c r="F25" s="17" t="str">
        <f t="shared" si="0"/>
        <v>insert into ins_premium_det (premium_rcv_code,assorted_code, rec_amount,premium_rcv_detail_code,remaining_amt, payrec, mode_code,coinsurance_code,class_cd,it_remarks) values</v>
      </c>
      <c r="G25" s="18" t="str">
        <f t="shared" si="2"/>
        <v>('26Mar250058','070000176927','26320',(select max(to_number(i.premium_rcv_detail_code))+1
from ins_premium_det i),'26320','26320','02', '11000003','00','Request by Mr. Saqib Saleem 26-Mar-2025 Renewal');</v>
      </c>
      <c r="H25" s="19" t="str">
        <f t="shared" si="3"/>
        <v>insert into ins_premium_det (premium_rcv_code,assorted_code, rec_amount,premium_rcv_detail_code,remaining_amt, payrec, mode_code,coinsurance_code,class_cd,it_remarks) values('26Mar250058','070000176927','26320',(select max(to_number(i.premium_rcv_detail_code))+1
from ins_premium_det i),'26320','26320','02', '11000003','00','Request by Mr. Saqib Saleem 26-Mar-2025 Renewal');</v>
      </c>
    </row>
    <row r="26" spans="1:8" ht="89.25" x14ac:dyDescent="0.2">
      <c r="A26" s="4" t="s">
        <v>821</v>
      </c>
      <c r="B26" t="str">
        <f>VLOOKUP(A26,plicy!B:C,2,0)</f>
        <v>070000176928</v>
      </c>
      <c r="C26" s="6">
        <f>VLOOKUP(A26,[1]Sheet1!$B$2:$AA$595,26,0)</f>
        <v>21644</v>
      </c>
      <c r="D26" s="16">
        <f t="shared" si="1"/>
        <v>21644</v>
      </c>
      <c r="E26" s="20" t="s">
        <v>2238</v>
      </c>
      <c r="F26" s="17" t="str">
        <f t="shared" si="0"/>
        <v>insert into ins_premium_det (premium_rcv_code,assorted_code, rec_amount,premium_rcv_detail_code,remaining_amt, payrec, mode_code,coinsurance_code,class_cd,it_remarks) values</v>
      </c>
      <c r="G26" s="18" t="str">
        <f t="shared" si="2"/>
        <v>('26Mar250058','070000176928','21644',(select max(to_number(i.premium_rcv_detail_code))+1
from ins_premium_det i),'21644','21644','02', '11000003','00','Request by Mr. Saqib Saleem 26-Mar-2025 Renewal');</v>
      </c>
      <c r="H26" s="19" t="str">
        <f t="shared" si="3"/>
        <v>insert into ins_premium_det (premium_rcv_code,assorted_code, rec_amount,premium_rcv_detail_code,remaining_amt, payrec, mode_code,coinsurance_code,class_cd,it_remarks) values('26Mar250058','070000176928','21644',(select max(to_number(i.premium_rcv_detail_code))+1
from ins_premium_det i),'21644','21644','02', '11000003','00','Request by Mr. Saqib Saleem 26-Mar-2025 Renewal');</v>
      </c>
    </row>
    <row r="27" spans="1:8" ht="89.25" x14ac:dyDescent="0.2">
      <c r="A27" s="4" t="s">
        <v>829</v>
      </c>
      <c r="B27" t="str">
        <f>VLOOKUP(A27,plicy!B:C,2,0)</f>
        <v>070000176929</v>
      </c>
      <c r="C27" s="6">
        <f>VLOOKUP(A27,[1]Sheet1!$B$2:$AA$595,26,0)</f>
        <v>26278</v>
      </c>
      <c r="D27" s="16">
        <f t="shared" si="1"/>
        <v>26278</v>
      </c>
      <c r="E27" s="20" t="s">
        <v>2238</v>
      </c>
      <c r="F27" s="17" t="str">
        <f t="shared" si="0"/>
        <v>insert into ins_premium_det (premium_rcv_code,assorted_code, rec_amount,premium_rcv_detail_code,remaining_amt, payrec, mode_code,coinsurance_code,class_cd,it_remarks) values</v>
      </c>
      <c r="G27" s="18" t="str">
        <f t="shared" si="2"/>
        <v>('26Mar250058','070000176929','26278',(select max(to_number(i.premium_rcv_detail_code))+1
from ins_premium_det i),'26278','26278','02', '11000003','00','Request by Mr. Saqib Saleem 26-Mar-2025 Renewal');</v>
      </c>
      <c r="H27" s="19" t="str">
        <f t="shared" si="3"/>
        <v>insert into ins_premium_det (premium_rcv_code,assorted_code, rec_amount,premium_rcv_detail_code,remaining_amt, payrec, mode_code,coinsurance_code,class_cd,it_remarks) values('26Mar250058','070000176929','26278',(select max(to_number(i.premium_rcv_detail_code))+1
from ins_premium_det i),'26278','26278','02', '11000003','00','Request by Mr. Saqib Saleem 26-Mar-2025 Renewal');</v>
      </c>
    </row>
    <row r="28" spans="1:8" ht="89.25" x14ac:dyDescent="0.2">
      <c r="A28" s="4" t="s">
        <v>836</v>
      </c>
      <c r="B28" t="str">
        <f>VLOOKUP(A28,plicy!B:C,2,0)</f>
        <v>070000176930</v>
      </c>
      <c r="C28" s="6">
        <f>VLOOKUP(A28,[1]Sheet1!$B$2:$AA$595,26,0)</f>
        <v>36000</v>
      </c>
      <c r="D28" s="16">
        <f t="shared" si="1"/>
        <v>36000</v>
      </c>
      <c r="E28" s="20" t="s">
        <v>2238</v>
      </c>
      <c r="F28" s="17" t="str">
        <f t="shared" si="0"/>
        <v>insert into ins_premium_det (premium_rcv_code,assorted_code, rec_amount,premium_rcv_detail_code,remaining_amt, payrec, mode_code,coinsurance_code,class_cd,it_remarks) values</v>
      </c>
      <c r="G28" s="18" t="str">
        <f t="shared" si="2"/>
        <v>('26Mar250058','070000176930','36000',(select max(to_number(i.premium_rcv_detail_code))+1
from ins_premium_det i),'36000','36000','02', '11000003','00','Request by Mr. Saqib Saleem 26-Mar-2025 Renewal');</v>
      </c>
      <c r="H28" s="19" t="str">
        <f t="shared" si="3"/>
        <v>insert into ins_premium_det (premium_rcv_code,assorted_code, rec_amount,premium_rcv_detail_code,remaining_amt, payrec, mode_code,coinsurance_code,class_cd,it_remarks) values('26Mar250058','070000176930','36000',(select max(to_number(i.premium_rcv_detail_code))+1
from ins_premium_det i),'36000','36000','02', '11000003','00','Request by Mr. Saqib Saleem 26-Mar-2025 Renewal');</v>
      </c>
    </row>
    <row r="29" spans="1:8" ht="89.25" x14ac:dyDescent="0.2">
      <c r="A29" s="4" t="s">
        <v>843</v>
      </c>
      <c r="B29" t="str">
        <f>VLOOKUP(A29,plicy!B:C,2,0)</f>
        <v>070000176931</v>
      </c>
      <c r="C29" s="6">
        <f>VLOOKUP(A29,[1]Sheet1!$B$2:$AA$595,26,0)</f>
        <v>51200</v>
      </c>
      <c r="D29" s="16">
        <f t="shared" si="1"/>
        <v>51200</v>
      </c>
      <c r="E29" s="20" t="s">
        <v>2238</v>
      </c>
      <c r="F29" s="17" t="str">
        <f t="shared" si="0"/>
        <v>insert into ins_premium_det (premium_rcv_code,assorted_code, rec_amount,premium_rcv_detail_code,remaining_amt, payrec, mode_code,coinsurance_code,class_cd,it_remarks) values</v>
      </c>
      <c r="G29" s="18" t="str">
        <f t="shared" si="2"/>
        <v>('26Mar250058','070000176931','51200',(select max(to_number(i.premium_rcv_detail_code))+1
from ins_premium_det i),'51200','51200','02', '11000003','00','Request by Mr. Saqib Saleem 26-Mar-2025 Renewal');</v>
      </c>
      <c r="H29" s="19" t="str">
        <f t="shared" si="3"/>
        <v>insert into ins_premium_det (premium_rcv_code,assorted_code, rec_amount,premium_rcv_detail_code,remaining_amt, payrec, mode_code,coinsurance_code,class_cd,it_remarks) values('26Mar250058','070000176931','51200',(select max(to_number(i.premium_rcv_detail_code))+1
from ins_premium_det i),'51200','51200','02', '11000003','00','Request by Mr. Saqib Saleem 26-Mar-2025 Renewal');</v>
      </c>
    </row>
    <row r="30" spans="1:8" ht="89.25" x14ac:dyDescent="0.2">
      <c r="A30" s="4" t="s">
        <v>850</v>
      </c>
      <c r="B30" t="str">
        <f>VLOOKUP(A30,plicy!B:C,2,0)</f>
        <v>070000176932</v>
      </c>
      <c r="C30" s="6">
        <f>VLOOKUP(A30,[1]Sheet1!$B$2:$AA$595,26,0)</f>
        <v>40600</v>
      </c>
      <c r="D30" s="16">
        <f t="shared" si="1"/>
        <v>40600</v>
      </c>
      <c r="E30" s="20" t="s">
        <v>2238</v>
      </c>
      <c r="F30" s="17" t="str">
        <f t="shared" si="0"/>
        <v>insert into ins_premium_det (premium_rcv_code,assorted_code, rec_amount,premium_rcv_detail_code,remaining_amt, payrec, mode_code,coinsurance_code,class_cd,it_remarks) values</v>
      </c>
      <c r="G30" s="18" t="str">
        <f t="shared" si="2"/>
        <v>('26Mar250058','070000176932','40600',(select max(to_number(i.premium_rcv_detail_code))+1
from ins_premium_det i),'40600','40600','02', '11000003','00','Request by Mr. Saqib Saleem 26-Mar-2025 Renewal');</v>
      </c>
      <c r="H30" s="19" t="str">
        <f t="shared" si="3"/>
        <v>insert into ins_premium_det (premium_rcv_code,assorted_code, rec_amount,premium_rcv_detail_code,remaining_amt, payrec, mode_code,coinsurance_code,class_cd,it_remarks) values('26Mar250058','070000176932','40600',(select max(to_number(i.premium_rcv_detail_code))+1
from ins_premium_det i),'40600','40600','02', '11000003','00','Request by Mr. Saqib Saleem 26-Mar-2025 Renewal');</v>
      </c>
    </row>
    <row r="31" spans="1:8" ht="89.25" x14ac:dyDescent="0.2">
      <c r="A31" s="4" t="s">
        <v>856</v>
      </c>
      <c r="B31" t="str">
        <f>VLOOKUP(A31,plicy!B:C,2,0)</f>
        <v>070000176933</v>
      </c>
      <c r="C31" s="6">
        <f>VLOOKUP(A31,[1]Sheet1!$B$2:$AA$595,26,0)</f>
        <v>30920</v>
      </c>
      <c r="D31" s="16">
        <f t="shared" si="1"/>
        <v>30920</v>
      </c>
      <c r="E31" s="20" t="s">
        <v>2238</v>
      </c>
      <c r="F31" s="17" t="str">
        <f t="shared" si="0"/>
        <v>insert into ins_premium_det (premium_rcv_code,assorted_code, rec_amount,premium_rcv_detail_code,remaining_amt, payrec, mode_code,coinsurance_code,class_cd,it_remarks) values</v>
      </c>
      <c r="G31" s="18" t="str">
        <f t="shared" si="2"/>
        <v>('26Mar250058','070000176933','30920',(select max(to_number(i.premium_rcv_detail_code))+1
from ins_premium_det i),'30920','30920','02', '11000003','00','Request by Mr. Saqib Saleem 26-Mar-2025 Renewal');</v>
      </c>
      <c r="H31" s="19" t="str">
        <f t="shared" si="3"/>
        <v>insert into ins_premium_det (premium_rcv_code,assorted_code, rec_amount,premium_rcv_detail_code,remaining_amt, payrec, mode_code,coinsurance_code,class_cd,it_remarks) values('26Mar250058','070000176933','30920',(select max(to_number(i.premium_rcv_detail_code))+1
from ins_premium_det i),'30920','30920','02', '11000003','00','Request by Mr. Saqib Saleem 26-Mar-2025 Renewal');</v>
      </c>
    </row>
    <row r="32" spans="1:8" ht="89.25" x14ac:dyDescent="0.2">
      <c r="A32" s="4" t="s">
        <v>864</v>
      </c>
      <c r="B32" t="str">
        <f>VLOOKUP(A32,plicy!B:C,2,0)</f>
        <v>070000176935</v>
      </c>
      <c r="C32" s="6">
        <f>VLOOKUP(A32,[1]Sheet1!$B$2:$AA$595,26,0)</f>
        <v>15750</v>
      </c>
      <c r="D32" s="16">
        <f t="shared" si="1"/>
        <v>15750</v>
      </c>
      <c r="E32" s="20" t="s">
        <v>2238</v>
      </c>
      <c r="F32" s="17" t="str">
        <f t="shared" si="0"/>
        <v>insert into ins_premium_det (premium_rcv_code,assorted_code, rec_amount,premium_rcv_detail_code,remaining_amt, payrec, mode_code,coinsurance_code,class_cd,it_remarks) values</v>
      </c>
      <c r="G32" s="18" t="str">
        <f t="shared" si="2"/>
        <v>('26Mar250058','070000176935','15750',(select max(to_number(i.premium_rcv_detail_code))+1
from ins_premium_det i),'15750','15750','02', '11000003','00','Request by Mr. Saqib Saleem 26-Mar-2025 Renewal');</v>
      </c>
      <c r="H32" s="19" t="str">
        <f t="shared" si="3"/>
        <v>insert into ins_premium_det (premium_rcv_code,assorted_code, rec_amount,premium_rcv_detail_code,remaining_amt, payrec, mode_code,coinsurance_code,class_cd,it_remarks) values('26Mar250058','070000176935','15750',(select max(to_number(i.premium_rcv_detail_code))+1
from ins_premium_det i),'15750','15750','02', '11000003','00','Request by Mr. Saqib Saleem 26-Mar-2025 Renewal');</v>
      </c>
    </row>
    <row r="33" spans="1:8" ht="89.25" x14ac:dyDescent="0.2">
      <c r="A33" s="4" t="s">
        <v>871</v>
      </c>
      <c r="B33" t="str">
        <f>VLOOKUP(A33,plicy!B:C,2,0)</f>
        <v>070000176936</v>
      </c>
      <c r="C33" s="6">
        <f>VLOOKUP(A33,[1]Sheet1!$B$2:$AA$595,26,0)</f>
        <v>47172</v>
      </c>
      <c r="D33" s="16">
        <f t="shared" si="1"/>
        <v>47172</v>
      </c>
      <c r="E33" s="20" t="s">
        <v>2238</v>
      </c>
      <c r="F33" s="17" t="str">
        <f t="shared" si="0"/>
        <v>insert into ins_premium_det (premium_rcv_code,assorted_code, rec_amount,premium_rcv_detail_code,remaining_amt, payrec, mode_code,coinsurance_code,class_cd,it_remarks) values</v>
      </c>
      <c r="G33" s="18" t="str">
        <f t="shared" si="2"/>
        <v>('26Mar250058','070000176936','47172',(select max(to_number(i.premium_rcv_detail_code))+1
from ins_premium_det i),'47172','47172','02', '11000003','00','Request by Mr. Saqib Saleem 26-Mar-2025 Renewal');</v>
      </c>
      <c r="H33" s="19" t="str">
        <f t="shared" si="3"/>
        <v>insert into ins_premium_det (premium_rcv_code,assorted_code, rec_amount,premium_rcv_detail_code,remaining_amt, payrec, mode_code,coinsurance_code,class_cd,it_remarks) values('26Mar250058','070000176936','47172',(select max(to_number(i.premium_rcv_detail_code))+1
from ins_premium_det i),'47172','47172','02', '11000003','00','Request by Mr. Saqib Saleem 26-Mar-2025 Renewal');</v>
      </c>
    </row>
    <row r="34" spans="1:8" ht="89.25" x14ac:dyDescent="0.2">
      <c r="A34" s="4" t="s">
        <v>878</v>
      </c>
      <c r="B34" t="str">
        <f>VLOOKUP(A34,plicy!B:C,2,0)</f>
        <v>070000176937</v>
      </c>
      <c r="C34" s="6">
        <f>VLOOKUP(A34,[1]Sheet1!$B$2:$AA$595,26,0)</f>
        <v>49800</v>
      </c>
      <c r="D34" s="16">
        <f t="shared" si="1"/>
        <v>49800</v>
      </c>
      <c r="E34" s="20" t="s">
        <v>2238</v>
      </c>
      <c r="F34" s="17" t="str">
        <f t="shared" si="0"/>
        <v>insert into ins_premium_det (premium_rcv_code,assorted_code, rec_amount,premium_rcv_detail_code,remaining_amt, payrec, mode_code,coinsurance_code,class_cd,it_remarks) values</v>
      </c>
      <c r="G34" s="18" t="str">
        <f t="shared" si="2"/>
        <v>('26Mar250058','070000176937','49800',(select max(to_number(i.premium_rcv_detail_code))+1
from ins_premium_det i),'49800','49800','02', '11000003','00','Request by Mr. Saqib Saleem 26-Mar-2025 Renewal');</v>
      </c>
      <c r="H34" s="19" t="str">
        <f t="shared" si="3"/>
        <v>insert into ins_premium_det (premium_rcv_code,assorted_code, rec_amount,premium_rcv_detail_code,remaining_amt, payrec, mode_code,coinsurance_code,class_cd,it_remarks) values('26Mar250058','070000176937','49800',(select max(to_number(i.premium_rcv_detail_code))+1
from ins_premium_det i),'49800','49800','02', '11000003','00','Request by Mr. Saqib Saleem 26-Mar-2025 Renewal');</v>
      </c>
    </row>
    <row r="35" spans="1:8" ht="89.25" x14ac:dyDescent="0.2">
      <c r="A35" s="4" t="s">
        <v>885</v>
      </c>
      <c r="B35" t="str">
        <f>VLOOKUP(A35,plicy!B:C,2,0)</f>
        <v>070000176938</v>
      </c>
      <c r="C35" s="6">
        <f>VLOOKUP(A35,[1]Sheet1!$B$2:$AA$595,26,0)</f>
        <v>27650</v>
      </c>
      <c r="D35" s="16">
        <f t="shared" si="1"/>
        <v>27650</v>
      </c>
      <c r="E35" s="20" t="s">
        <v>2238</v>
      </c>
      <c r="F35" s="17" t="str">
        <f t="shared" si="0"/>
        <v>insert into ins_premium_det (premium_rcv_code,assorted_code, rec_amount,premium_rcv_detail_code,remaining_amt, payrec, mode_code,coinsurance_code,class_cd,it_remarks) values</v>
      </c>
      <c r="G35" s="18" t="str">
        <f t="shared" si="2"/>
        <v>('26Mar250058','070000176938','27650',(select max(to_number(i.premium_rcv_detail_code))+1
from ins_premium_det i),'27650','27650','02', '11000003','00','Request by Mr. Saqib Saleem 26-Mar-2025 Renewal');</v>
      </c>
      <c r="H35" s="19" t="str">
        <f t="shared" si="3"/>
        <v>insert into ins_premium_det (premium_rcv_code,assorted_code, rec_amount,premium_rcv_detail_code,remaining_amt, payrec, mode_code,coinsurance_code,class_cd,it_remarks) values('26Mar250058','070000176938','27650',(select max(to_number(i.premium_rcv_detail_code))+1
from ins_premium_det i),'27650','27650','02', '11000003','00','Request by Mr. Saqib Saleem 26-Mar-2025 Renewal');</v>
      </c>
    </row>
    <row r="36" spans="1:8" ht="89.25" x14ac:dyDescent="0.2">
      <c r="A36" s="4" t="s">
        <v>892</v>
      </c>
      <c r="B36" t="str">
        <f>VLOOKUP(A36,plicy!B:C,2,0)</f>
        <v>070000176939</v>
      </c>
      <c r="C36" s="6">
        <f>VLOOKUP(A36,[1]Sheet1!$B$2:$AA$595,26,0)</f>
        <v>36000</v>
      </c>
      <c r="D36" s="16">
        <f t="shared" si="1"/>
        <v>36000</v>
      </c>
      <c r="E36" s="20" t="s">
        <v>2238</v>
      </c>
      <c r="F36" s="17" t="str">
        <f t="shared" si="0"/>
        <v>insert into ins_premium_det (premium_rcv_code,assorted_code, rec_amount,premium_rcv_detail_code,remaining_amt, payrec, mode_code,coinsurance_code,class_cd,it_remarks) values</v>
      </c>
      <c r="G36" s="18" t="str">
        <f t="shared" si="2"/>
        <v>('26Mar250058','070000176939','36000',(select max(to_number(i.premium_rcv_detail_code))+1
from ins_premium_det i),'36000','36000','02', '11000003','00','Request by Mr. Saqib Saleem 26-Mar-2025 Renewal');</v>
      </c>
      <c r="H36" s="19" t="str">
        <f t="shared" si="3"/>
        <v>insert into ins_premium_det (premium_rcv_code,assorted_code, rec_amount,premium_rcv_detail_code,remaining_amt, payrec, mode_code,coinsurance_code,class_cd,it_remarks) values('26Mar250058','070000176939','36000',(select max(to_number(i.premium_rcv_detail_code))+1
from ins_premium_det i),'36000','36000','02', '11000003','00','Request by Mr. Saqib Saleem 26-Mar-2025 Renewal');</v>
      </c>
    </row>
    <row r="37" spans="1:8" ht="89.25" x14ac:dyDescent="0.2">
      <c r="A37" s="4" t="s">
        <v>900</v>
      </c>
      <c r="B37" t="str">
        <f>VLOOKUP(A37,plicy!B:C,2,0)</f>
        <v>070000176940</v>
      </c>
      <c r="C37" s="6">
        <f>VLOOKUP(A37,[1]Sheet1!$B$2:$AA$595,26,0)</f>
        <v>37540</v>
      </c>
      <c r="D37" s="16">
        <f t="shared" si="1"/>
        <v>37540</v>
      </c>
      <c r="E37" s="20" t="s">
        <v>2238</v>
      </c>
      <c r="F37" s="17" t="str">
        <f t="shared" si="0"/>
        <v>insert into ins_premium_det (premium_rcv_code,assorted_code, rec_amount,premium_rcv_detail_code,remaining_amt, payrec, mode_code,coinsurance_code,class_cd,it_remarks) values</v>
      </c>
      <c r="G37" s="18" t="str">
        <f t="shared" si="2"/>
        <v>('26Mar250058','070000176940','37540',(select max(to_number(i.premium_rcv_detail_code))+1
from ins_premium_det i),'37540','37540','02', '11000003','00','Request by Mr. Saqib Saleem 26-Mar-2025 Renewal');</v>
      </c>
      <c r="H37" s="19" t="str">
        <f t="shared" si="3"/>
        <v>insert into ins_premium_det (premium_rcv_code,assorted_code, rec_amount,premium_rcv_detail_code,remaining_amt, payrec, mode_code,coinsurance_code,class_cd,it_remarks) values('26Mar250058','070000176940','37540',(select max(to_number(i.premium_rcv_detail_code))+1
from ins_premium_det i),'37540','37540','02', '11000003','00','Request by Mr. Saqib Saleem 26-Mar-2025 Renewal');</v>
      </c>
    </row>
    <row r="38" spans="1:8" ht="89.25" x14ac:dyDescent="0.2">
      <c r="A38" s="4" t="s">
        <v>907</v>
      </c>
      <c r="B38" t="str">
        <f>VLOOKUP(A38,plicy!B:C,2,0)</f>
        <v>070000176941</v>
      </c>
      <c r="C38" s="6">
        <f>VLOOKUP(A38,[1]Sheet1!$B$2:$AA$595,26,0)</f>
        <v>50856</v>
      </c>
      <c r="D38" s="16">
        <f t="shared" si="1"/>
        <v>50856</v>
      </c>
      <c r="E38" s="20" t="s">
        <v>2238</v>
      </c>
      <c r="F38" s="17" t="str">
        <f t="shared" si="0"/>
        <v>insert into ins_premium_det (premium_rcv_code,assorted_code, rec_amount,premium_rcv_detail_code,remaining_amt, payrec, mode_code,coinsurance_code,class_cd,it_remarks) values</v>
      </c>
      <c r="G38" s="18" t="str">
        <f t="shared" si="2"/>
        <v>('26Mar250058','070000176941','50856',(select max(to_number(i.premium_rcv_detail_code))+1
from ins_premium_det i),'50856','50856','02', '11000003','00','Request by Mr. Saqib Saleem 26-Mar-2025 Renewal');</v>
      </c>
      <c r="H38" s="19" t="str">
        <f t="shared" si="3"/>
        <v>insert into ins_premium_det (premium_rcv_code,assorted_code, rec_amount,premium_rcv_detail_code,remaining_amt, payrec, mode_code,coinsurance_code,class_cd,it_remarks) values('26Mar250058','070000176941','50856',(select max(to_number(i.premium_rcv_detail_code))+1
from ins_premium_det i),'50856','50856','02', '11000003','00','Request by Mr. Saqib Saleem 26-Mar-2025 Renewal');</v>
      </c>
    </row>
    <row r="39" spans="1:8" ht="89.25" x14ac:dyDescent="0.2">
      <c r="A39" s="4" t="s">
        <v>914</v>
      </c>
      <c r="B39" t="str">
        <f>VLOOKUP(A39,plicy!B:C,2,0)</f>
        <v>070000176942</v>
      </c>
      <c r="C39" s="6">
        <f>VLOOKUP(A39,[1]Sheet1!$B$2:$AA$595,26,0)</f>
        <v>21644</v>
      </c>
      <c r="D39" s="16">
        <f t="shared" si="1"/>
        <v>21644</v>
      </c>
      <c r="E39" s="20" t="s">
        <v>2238</v>
      </c>
      <c r="F39" s="17" t="str">
        <f t="shared" si="0"/>
        <v>insert into ins_premium_det (premium_rcv_code,assorted_code, rec_amount,premium_rcv_detail_code,remaining_amt, payrec, mode_code,coinsurance_code,class_cd,it_remarks) values</v>
      </c>
      <c r="G39" s="18" t="str">
        <f t="shared" si="2"/>
        <v>('26Mar250058','070000176942','21644',(select max(to_number(i.premium_rcv_detail_code))+1
from ins_premium_det i),'21644','21644','02', '11000003','00','Request by Mr. Saqib Saleem 26-Mar-2025 Renewal');</v>
      </c>
      <c r="H39" s="19" t="str">
        <f t="shared" si="3"/>
        <v>insert into ins_premium_det (premium_rcv_code,assorted_code, rec_amount,premium_rcv_detail_code,remaining_amt, payrec, mode_code,coinsurance_code,class_cd,it_remarks) values('26Mar250058','070000176942','21644',(select max(to_number(i.premium_rcv_detail_code))+1
from ins_premium_det i),'21644','21644','02', '11000003','00','Request by Mr. Saqib Saleem 26-Mar-2025 Renewal');</v>
      </c>
    </row>
    <row r="40" spans="1:8" ht="89.25" x14ac:dyDescent="0.2">
      <c r="A40" s="4" t="s">
        <v>921</v>
      </c>
      <c r="B40" t="str">
        <f>VLOOKUP(A40,plicy!B:C,2,0)</f>
        <v>070000176943</v>
      </c>
      <c r="C40" s="6">
        <f>VLOOKUP(A40,[1]Sheet1!$B$2:$AA$595,26,0)</f>
        <v>44880</v>
      </c>
      <c r="D40" s="16">
        <f t="shared" si="1"/>
        <v>44880</v>
      </c>
      <c r="E40" s="20" t="s">
        <v>2238</v>
      </c>
      <c r="F40" s="17" t="str">
        <f t="shared" si="0"/>
        <v>insert into ins_premium_det (premium_rcv_code,assorted_code, rec_amount,premium_rcv_detail_code,remaining_amt, payrec, mode_code,coinsurance_code,class_cd,it_remarks) values</v>
      </c>
      <c r="G40" s="18" t="str">
        <f t="shared" si="2"/>
        <v>('26Mar250058','070000176943','44880',(select max(to_number(i.premium_rcv_detail_code))+1
from ins_premium_det i),'44880','44880','02', '11000003','00','Request by Mr. Saqib Saleem 26-Mar-2025 Renewal');</v>
      </c>
      <c r="H40" s="19" t="str">
        <f t="shared" si="3"/>
        <v>insert into ins_premium_det (premium_rcv_code,assorted_code, rec_amount,premium_rcv_detail_code,remaining_amt, payrec, mode_code,coinsurance_code,class_cd,it_remarks) values('26Mar250058','070000176943','44880',(select max(to_number(i.premium_rcv_detail_code))+1
from ins_premium_det i),'44880','44880','02', '11000003','00','Request by Mr. Saqib Saleem 26-Mar-2025 Renewal');</v>
      </c>
    </row>
    <row r="41" spans="1:8" ht="89.25" x14ac:dyDescent="0.2">
      <c r="A41" s="4" t="s">
        <v>928</v>
      </c>
      <c r="B41" t="str">
        <f>VLOOKUP(A41,plicy!B:C,2,0)</f>
        <v>070000176944</v>
      </c>
      <c r="C41" s="6">
        <f>VLOOKUP(A41,[1]Sheet1!$B$2:$AA$595,26,0)</f>
        <v>37540</v>
      </c>
      <c r="D41" s="16">
        <f t="shared" si="1"/>
        <v>37540</v>
      </c>
      <c r="E41" s="20" t="s">
        <v>2238</v>
      </c>
      <c r="F41" s="17" t="str">
        <f t="shared" si="0"/>
        <v>insert into ins_premium_det (premium_rcv_code,assorted_code, rec_amount,premium_rcv_detail_code,remaining_amt, payrec, mode_code,coinsurance_code,class_cd,it_remarks) values</v>
      </c>
      <c r="G41" s="18" t="str">
        <f t="shared" si="2"/>
        <v>('26Mar250058','070000176944','37540',(select max(to_number(i.premium_rcv_detail_code))+1
from ins_premium_det i),'37540','37540','02', '11000003','00','Request by Mr. Saqib Saleem 26-Mar-2025 Renewal');</v>
      </c>
      <c r="H41" s="19" t="str">
        <f t="shared" si="3"/>
        <v>insert into ins_premium_det (premium_rcv_code,assorted_code, rec_amount,premium_rcv_detail_code,remaining_amt, payrec, mode_code,coinsurance_code,class_cd,it_remarks) values('26Mar250058','070000176944','37540',(select max(to_number(i.premium_rcv_detail_code))+1
from ins_premium_det i),'37540','37540','02', '11000003','00','Request by Mr. Saqib Saleem 26-Mar-2025 Renewal');</v>
      </c>
    </row>
    <row r="42" spans="1:8" ht="89.25" x14ac:dyDescent="0.2">
      <c r="A42" s="4" t="s">
        <v>934</v>
      </c>
      <c r="B42" t="str">
        <f>VLOOKUP(A42,plicy!B:C,2,0)</f>
        <v>070000176946</v>
      </c>
      <c r="C42" s="6">
        <f>VLOOKUP(A42,[1]Sheet1!$B$2:$AA$595,26,0)</f>
        <v>30920</v>
      </c>
      <c r="D42" s="16">
        <f t="shared" si="1"/>
        <v>30920</v>
      </c>
      <c r="E42" s="20" t="s">
        <v>2238</v>
      </c>
      <c r="F42" s="17" t="str">
        <f t="shared" si="0"/>
        <v>insert into ins_premium_det (premium_rcv_code,assorted_code, rec_amount,premium_rcv_detail_code,remaining_amt, payrec, mode_code,coinsurance_code,class_cd,it_remarks) values</v>
      </c>
      <c r="G42" s="18" t="str">
        <f t="shared" si="2"/>
        <v>('26Mar250058','070000176946','30920',(select max(to_number(i.premium_rcv_detail_code))+1
from ins_premium_det i),'30920','30920','02', '11000003','00','Request by Mr. Saqib Saleem 26-Mar-2025 Renewal');</v>
      </c>
      <c r="H42" s="19" t="str">
        <f t="shared" si="3"/>
        <v>insert into ins_premium_det (premium_rcv_code,assorted_code, rec_amount,premium_rcv_detail_code,remaining_amt, payrec, mode_code,coinsurance_code,class_cd,it_remarks) values('26Mar250058','070000176946','30920',(select max(to_number(i.premium_rcv_detail_code))+1
from ins_premium_det i),'30920','30920','02', '11000003','00','Request by Mr. Saqib Saleem 26-Mar-2025 Renewal');</v>
      </c>
    </row>
    <row r="43" spans="1:8" ht="89.25" x14ac:dyDescent="0.2">
      <c r="A43" s="4" t="s">
        <v>941</v>
      </c>
      <c r="B43" t="str">
        <f>VLOOKUP(A43,plicy!B:C,2,0)</f>
        <v>070000176821</v>
      </c>
      <c r="C43" s="6">
        <f>VLOOKUP(A43,[1]Sheet1!$B$2:$AA$595,26,0)</f>
        <v>41400</v>
      </c>
      <c r="D43" s="16">
        <f t="shared" si="1"/>
        <v>41400</v>
      </c>
      <c r="E43" s="20" t="s">
        <v>2238</v>
      </c>
      <c r="F43" s="17" t="str">
        <f t="shared" si="0"/>
        <v>insert into ins_premium_det (premium_rcv_code,assorted_code, rec_amount,premium_rcv_detail_code,remaining_amt, payrec, mode_code,coinsurance_code,class_cd,it_remarks) values</v>
      </c>
      <c r="G43" s="18" t="str">
        <f t="shared" si="2"/>
        <v>('26Mar250058','070000176821','41400',(select max(to_number(i.premium_rcv_detail_code))+1
from ins_premium_det i),'41400','41400','02', '11000003','00','Request by Mr. Saqib Saleem 26-Mar-2025 Renewal');</v>
      </c>
      <c r="H43" s="19" t="str">
        <f t="shared" si="3"/>
        <v>insert into ins_premium_det (premium_rcv_code,assorted_code, rec_amount,premium_rcv_detail_code,remaining_amt, payrec, mode_code,coinsurance_code,class_cd,it_remarks) values('26Mar250058','070000176821','41400',(select max(to_number(i.premium_rcv_detail_code))+1
from ins_premium_det i),'41400','41400','02', '11000003','00','Request by Mr. Saqib Saleem 26-Mar-2025 Renewal');</v>
      </c>
    </row>
    <row r="44" spans="1:8" ht="89.25" x14ac:dyDescent="0.2">
      <c r="A44" s="4" t="s">
        <v>948</v>
      </c>
      <c r="B44" t="str">
        <f>VLOOKUP(A44,plicy!B:C,2,0)</f>
        <v>070000176947</v>
      </c>
      <c r="C44" s="6">
        <f>VLOOKUP(A44,[1]Sheet1!$B$2:$AA$595,26,0)</f>
        <v>30920</v>
      </c>
      <c r="D44" s="16">
        <f t="shared" si="1"/>
        <v>30920</v>
      </c>
      <c r="E44" s="20" t="s">
        <v>2238</v>
      </c>
      <c r="F44" s="17" t="str">
        <f t="shared" si="0"/>
        <v>insert into ins_premium_det (premium_rcv_code,assorted_code, rec_amount,premium_rcv_detail_code,remaining_amt, payrec, mode_code,coinsurance_code,class_cd,it_remarks) values</v>
      </c>
      <c r="G44" s="18" t="str">
        <f t="shared" si="2"/>
        <v>('26Mar250058','070000176947','30920',(select max(to_number(i.premium_rcv_detail_code))+1
from ins_premium_det i),'30920','30920','02', '11000003','00','Request by Mr. Saqib Saleem 26-Mar-2025 Renewal');</v>
      </c>
      <c r="H44" s="19" t="str">
        <f t="shared" si="3"/>
        <v>insert into ins_premium_det (premium_rcv_code,assorted_code, rec_amount,premium_rcv_detail_code,remaining_amt, payrec, mode_code,coinsurance_code,class_cd,it_remarks) values('26Mar250058','070000176947','30920',(select max(to_number(i.premium_rcv_detail_code))+1
from ins_premium_det i),'30920','30920','02', '11000003','00','Request by Mr. Saqib Saleem 26-Mar-2025 Renewal');</v>
      </c>
    </row>
    <row r="45" spans="1:8" ht="89.25" x14ac:dyDescent="0.2">
      <c r="A45" s="4" t="s">
        <v>956</v>
      </c>
      <c r="B45" t="str">
        <f>VLOOKUP(A45,plicy!B:C,2,0)</f>
        <v>070000176948</v>
      </c>
      <c r="C45" s="6">
        <f>VLOOKUP(A45,[1]Sheet1!$B$2:$AA$595,26,0)</f>
        <v>30420</v>
      </c>
      <c r="D45" s="16">
        <f t="shared" si="1"/>
        <v>30420</v>
      </c>
      <c r="E45" s="20" t="s">
        <v>2238</v>
      </c>
      <c r="F45" s="17" t="str">
        <f t="shared" si="0"/>
        <v>insert into ins_premium_det (premium_rcv_code,assorted_code, rec_amount,premium_rcv_detail_code,remaining_amt, payrec, mode_code,coinsurance_code,class_cd,it_remarks) values</v>
      </c>
      <c r="G45" s="18" t="str">
        <f t="shared" si="2"/>
        <v>('26Mar250058','070000176948','30420',(select max(to_number(i.premium_rcv_detail_code))+1
from ins_premium_det i),'30420','30420','02', '11000003','00','Request by Mr. Saqib Saleem 26-Mar-2025 Renewal');</v>
      </c>
      <c r="H45" s="19" t="str">
        <f t="shared" si="3"/>
        <v>insert into ins_premium_det (premium_rcv_code,assorted_code, rec_amount,premium_rcv_detail_code,remaining_amt, payrec, mode_code,coinsurance_code,class_cd,it_remarks) values('26Mar250058','070000176948','30420',(select max(to_number(i.premium_rcv_detail_code))+1
from ins_premium_det i),'30420','30420','02', '11000003','00','Request by Mr. Saqib Saleem 26-Mar-2025 Renewal');</v>
      </c>
    </row>
    <row r="46" spans="1:8" ht="89.25" x14ac:dyDescent="0.2">
      <c r="A46" s="4" t="s">
        <v>963</v>
      </c>
      <c r="B46" t="str">
        <f>VLOOKUP(A46,plicy!B:C,2,0)</f>
        <v>070000176949</v>
      </c>
      <c r="C46" s="6">
        <f>VLOOKUP(A46,[1]Sheet1!$B$2:$AA$595,26,0)</f>
        <v>32000</v>
      </c>
      <c r="D46" s="16">
        <f t="shared" si="1"/>
        <v>32000</v>
      </c>
      <c r="E46" s="20" t="s">
        <v>2238</v>
      </c>
      <c r="F46" s="17" t="str">
        <f t="shared" si="0"/>
        <v>insert into ins_premium_det (premium_rcv_code,assorted_code, rec_amount,premium_rcv_detail_code,remaining_amt, payrec, mode_code,coinsurance_code,class_cd,it_remarks) values</v>
      </c>
      <c r="G46" s="18" t="str">
        <f t="shared" si="2"/>
        <v>('26Mar250058','070000176949','32000',(select max(to_number(i.premium_rcv_detail_code))+1
from ins_premium_det i),'32000','32000','02', '11000003','00','Request by Mr. Saqib Saleem 26-Mar-2025 Renewal');</v>
      </c>
      <c r="H46" s="19" t="str">
        <f t="shared" si="3"/>
        <v>insert into ins_premium_det (premium_rcv_code,assorted_code, rec_amount,premium_rcv_detail_code,remaining_amt, payrec, mode_code,coinsurance_code,class_cd,it_remarks) values('26Mar250058','070000176949','32000',(select max(to_number(i.premium_rcv_detail_code))+1
from ins_premium_det i),'32000','32000','02', '11000003','00','Request by Mr. Saqib Saleem 26-Mar-2025 Renewal');</v>
      </c>
    </row>
    <row r="47" spans="1:8" ht="89.25" x14ac:dyDescent="0.2">
      <c r="A47" s="4" t="s">
        <v>970</v>
      </c>
      <c r="B47" t="str">
        <f>VLOOKUP(A47,plicy!B:C,2,0)</f>
        <v>070000176950</v>
      </c>
      <c r="C47" s="6">
        <f>VLOOKUP(A47,[1]Sheet1!$B$2:$AA$595,26,0)</f>
        <v>25300</v>
      </c>
      <c r="D47" s="16">
        <f t="shared" si="1"/>
        <v>25300</v>
      </c>
      <c r="E47" s="20" t="s">
        <v>2238</v>
      </c>
      <c r="F47" s="17" t="str">
        <f t="shared" si="0"/>
        <v>insert into ins_premium_det (premium_rcv_code,assorted_code, rec_amount,premium_rcv_detail_code,remaining_amt, payrec, mode_code,coinsurance_code,class_cd,it_remarks) values</v>
      </c>
      <c r="G47" s="18" t="str">
        <f t="shared" si="2"/>
        <v>('26Mar250058','070000176950','25300',(select max(to_number(i.premium_rcv_detail_code))+1
from ins_premium_det i),'25300','25300','02', '11000003','00','Request by Mr. Saqib Saleem 26-Mar-2025 Renewal');</v>
      </c>
      <c r="H47" s="19" t="str">
        <f t="shared" si="3"/>
        <v>insert into ins_premium_det (premium_rcv_code,assorted_code, rec_amount,premium_rcv_detail_code,remaining_amt, payrec, mode_code,coinsurance_code,class_cd,it_remarks) values('26Mar250058','070000176950','25300',(select max(to_number(i.premium_rcv_detail_code))+1
from ins_premium_det i),'25300','25300','02', '11000003','00','Request by Mr. Saqib Saleem 26-Mar-2025 Renewal');</v>
      </c>
    </row>
    <row r="48" spans="1:8" ht="89.25" x14ac:dyDescent="0.2">
      <c r="A48" s="4" t="s">
        <v>977</v>
      </c>
      <c r="B48" t="str">
        <f>VLOOKUP(A48,plicy!B:C,2,0)</f>
        <v>070000176951</v>
      </c>
      <c r="C48" s="6">
        <f>VLOOKUP(A48,[1]Sheet1!$B$2:$AA$595,26,0)</f>
        <v>39500</v>
      </c>
      <c r="D48" s="16">
        <f t="shared" si="1"/>
        <v>39500</v>
      </c>
      <c r="E48" s="20" t="s">
        <v>2238</v>
      </c>
      <c r="F48" s="17" t="str">
        <f t="shared" si="0"/>
        <v>insert into ins_premium_det (premium_rcv_code,assorted_code, rec_amount,premium_rcv_detail_code,remaining_amt, payrec, mode_code,coinsurance_code,class_cd,it_remarks) values</v>
      </c>
      <c r="G48" s="18" t="str">
        <f t="shared" si="2"/>
        <v>('26Mar250058','070000176951','39500',(select max(to_number(i.premium_rcv_detail_code))+1
from ins_premium_det i),'39500','39500','02', '11000003','00','Request by Mr. Saqib Saleem 26-Mar-2025 Renewal');</v>
      </c>
      <c r="H48" s="19" t="str">
        <f t="shared" si="3"/>
        <v>insert into ins_premium_det (premium_rcv_code,assorted_code, rec_amount,premium_rcv_detail_code,remaining_amt, payrec, mode_code,coinsurance_code,class_cd,it_remarks) values('26Mar250058','070000176951','39500',(select max(to_number(i.premium_rcv_detail_code))+1
from ins_premium_det i),'39500','39500','02', '11000003','00','Request by Mr. Saqib Saleem 26-Mar-2025 Renewal');</v>
      </c>
    </row>
    <row r="49" spans="1:8" ht="89.25" x14ac:dyDescent="0.2">
      <c r="A49" s="4" t="s">
        <v>984</v>
      </c>
      <c r="B49" t="str">
        <f>VLOOKUP(A49,plicy!B:C,2,0)</f>
        <v>070000176952</v>
      </c>
      <c r="C49" s="6">
        <f>VLOOKUP(A49,[1]Sheet1!$B$2:$AA$595,26,0)</f>
        <v>37540</v>
      </c>
      <c r="D49" s="16">
        <f t="shared" si="1"/>
        <v>37540</v>
      </c>
      <c r="E49" s="20" t="s">
        <v>2238</v>
      </c>
      <c r="F49" s="17" t="str">
        <f t="shared" si="0"/>
        <v>insert into ins_premium_det (premium_rcv_code,assorted_code, rec_amount,premium_rcv_detail_code,remaining_amt, payrec, mode_code,coinsurance_code,class_cd,it_remarks) values</v>
      </c>
      <c r="G49" s="18" t="str">
        <f t="shared" si="2"/>
        <v>('26Mar250058','070000176952','37540',(select max(to_number(i.premium_rcv_detail_code))+1
from ins_premium_det i),'37540','37540','02', '11000003','00','Request by Mr. Saqib Saleem 26-Mar-2025 Renewal');</v>
      </c>
      <c r="H49" s="19" t="str">
        <f t="shared" si="3"/>
        <v>insert into ins_premium_det (premium_rcv_code,assorted_code, rec_amount,premium_rcv_detail_code,remaining_amt, payrec, mode_code,coinsurance_code,class_cd,it_remarks) values('26Mar250058','070000176952','37540',(select max(to_number(i.premium_rcv_detail_code))+1
from ins_premium_det i),'37540','37540','02', '11000003','00','Request by Mr. Saqib Saleem 26-Mar-2025 Renewal');</v>
      </c>
    </row>
    <row r="50" spans="1:8" ht="89.25" x14ac:dyDescent="0.2">
      <c r="A50" s="4" t="s">
        <v>991</v>
      </c>
      <c r="B50" t="str">
        <f>VLOOKUP(A50,plicy!B:C,2,0)</f>
        <v>070000176953</v>
      </c>
      <c r="C50" s="6">
        <f>VLOOKUP(A50,[1]Sheet1!$B$2:$AA$595,26,0)</f>
        <v>39500</v>
      </c>
      <c r="D50" s="16">
        <f t="shared" si="1"/>
        <v>39500</v>
      </c>
      <c r="E50" s="20" t="s">
        <v>2238</v>
      </c>
      <c r="F50" s="17" t="str">
        <f t="shared" si="0"/>
        <v>insert into ins_premium_det (premium_rcv_code,assorted_code, rec_amount,premium_rcv_detail_code,remaining_amt, payrec, mode_code,coinsurance_code,class_cd,it_remarks) values</v>
      </c>
      <c r="G50" s="18" t="str">
        <f t="shared" si="2"/>
        <v>('26Mar250058','070000176953','39500',(select max(to_number(i.premium_rcv_detail_code))+1
from ins_premium_det i),'39500','39500','02', '11000003','00','Request by Mr. Saqib Saleem 26-Mar-2025 Renewal');</v>
      </c>
      <c r="H50" s="19" t="str">
        <f t="shared" si="3"/>
        <v>insert into ins_premium_det (premium_rcv_code,assorted_code, rec_amount,premium_rcv_detail_code,remaining_amt, payrec, mode_code,coinsurance_code,class_cd,it_remarks) values('26Mar250058','070000176953','39500',(select max(to_number(i.premium_rcv_detail_code))+1
from ins_premium_det i),'39500','39500','02', '11000003','00','Request by Mr. Saqib Saleem 26-Mar-2025 Renewal');</v>
      </c>
    </row>
    <row r="51" spans="1:8" ht="89.25" x14ac:dyDescent="0.2">
      <c r="A51" s="4" t="s">
        <v>998</v>
      </c>
      <c r="B51" t="str">
        <f>VLOOKUP(A51,plicy!B:C,2,0)</f>
        <v>070000176954</v>
      </c>
      <c r="C51" s="6">
        <f>VLOOKUP(A51,[1]Sheet1!$B$2:$AA$595,26,0)</f>
        <v>26278</v>
      </c>
      <c r="D51" s="16">
        <f t="shared" si="1"/>
        <v>26278</v>
      </c>
      <c r="E51" s="20" t="s">
        <v>2238</v>
      </c>
      <c r="F51" s="17" t="str">
        <f t="shared" si="0"/>
        <v>insert into ins_premium_det (premium_rcv_code,assorted_code, rec_amount,premium_rcv_detail_code,remaining_amt, payrec, mode_code,coinsurance_code,class_cd,it_remarks) values</v>
      </c>
      <c r="G51" s="18" t="str">
        <f t="shared" si="2"/>
        <v>('26Mar250058','070000176954','26278',(select max(to_number(i.premium_rcv_detail_code))+1
from ins_premium_det i),'26278','26278','02', '11000003','00','Request by Mr. Saqib Saleem 26-Mar-2025 Renewal');</v>
      </c>
      <c r="H51" s="19" t="str">
        <f t="shared" si="3"/>
        <v>insert into ins_premium_det (premium_rcv_code,assorted_code, rec_amount,premium_rcv_detail_code,remaining_amt, payrec, mode_code,coinsurance_code,class_cd,it_remarks) values('26Mar250058','070000176954','26278',(select max(to_number(i.premium_rcv_detail_code))+1
from ins_premium_det i),'26278','26278','02', '11000003','00','Request by Mr. Saqib Saleem 26-Mar-2025 Renewal');</v>
      </c>
    </row>
    <row r="52" spans="1:8" ht="89.25" x14ac:dyDescent="0.2">
      <c r="A52" s="4" t="s">
        <v>1005</v>
      </c>
      <c r="B52" t="str">
        <f>VLOOKUP(A52,plicy!B:C,2,0)</f>
        <v>070000176955</v>
      </c>
      <c r="C52" s="6">
        <f>VLOOKUP(A52,[1]Sheet1!$B$2:$AA$595,26,0)</f>
        <v>27650</v>
      </c>
      <c r="D52" s="16">
        <f t="shared" si="1"/>
        <v>27650</v>
      </c>
      <c r="E52" s="20" t="s">
        <v>2238</v>
      </c>
      <c r="F52" s="17" t="str">
        <f t="shared" si="0"/>
        <v>insert into ins_premium_det (premium_rcv_code,assorted_code, rec_amount,premium_rcv_detail_code,remaining_amt, payrec, mode_code,coinsurance_code,class_cd,it_remarks) values</v>
      </c>
      <c r="G52" s="18" t="str">
        <f t="shared" si="2"/>
        <v>('26Mar250058','070000176955','27650',(select max(to_number(i.premium_rcv_detail_code))+1
from ins_premium_det i),'27650','27650','02', '11000003','00','Request by Mr. Saqib Saleem 26-Mar-2025 Renewal');</v>
      </c>
      <c r="H52" s="19" t="str">
        <f t="shared" si="3"/>
        <v>insert into ins_premium_det (premium_rcv_code,assorted_code, rec_amount,premium_rcv_detail_code,remaining_amt, payrec, mode_code,coinsurance_code,class_cd,it_remarks) values('26Mar250058','070000176955','27650',(select max(to_number(i.premium_rcv_detail_code))+1
from ins_premium_det i),'27650','27650','02', '11000003','00','Request by Mr. Saqib Saleem 26-Mar-2025 Renewal');</v>
      </c>
    </row>
    <row r="53" spans="1:8" ht="89.25" x14ac:dyDescent="0.2">
      <c r="A53" s="4" t="s">
        <v>1012</v>
      </c>
      <c r="B53" t="str">
        <f>VLOOKUP(A53,plicy!B:C,2,0)</f>
        <v>070000176956</v>
      </c>
      <c r="C53" s="6">
        <f>VLOOKUP(A53,[1]Sheet1!$B$2:$AA$595,26,0)</f>
        <v>34800</v>
      </c>
      <c r="D53" s="16">
        <f t="shared" si="1"/>
        <v>34800</v>
      </c>
      <c r="E53" s="20" t="s">
        <v>2238</v>
      </c>
      <c r="F53" s="17" t="str">
        <f t="shared" si="0"/>
        <v>insert into ins_premium_det (premium_rcv_code,assorted_code, rec_amount,premium_rcv_detail_code,remaining_amt, payrec, mode_code,coinsurance_code,class_cd,it_remarks) values</v>
      </c>
      <c r="G53" s="18" t="str">
        <f t="shared" si="2"/>
        <v>('26Mar250058','070000176956','34800',(select max(to_number(i.premium_rcv_detail_code))+1
from ins_premium_det i),'34800','34800','02', '11000003','00','Request by Mr. Saqib Saleem 26-Mar-2025 Renewal');</v>
      </c>
      <c r="H53" s="19" t="str">
        <f t="shared" si="3"/>
        <v>insert into ins_premium_det (premium_rcv_code,assorted_code, rec_amount,premium_rcv_detail_code,remaining_amt, payrec, mode_code,coinsurance_code,class_cd,it_remarks) values('26Mar250058','070000176956','34800',(select max(to_number(i.premium_rcv_detail_code))+1
from ins_premium_det i),'34800','34800','02', '11000003','00','Request by Mr. Saqib Saleem 26-Mar-2025 Renewal');</v>
      </c>
    </row>
    <row r="54" spans="1:8" ht="89.25" x14ac:dyDescent="0.2">
      <c r="A54" s="4" t="s">
        <v>1020</v>
      </c>
      <c r="B54" t="str">
        <f>VLOOKUP(A54,plicy!B:C,2,0)</f>
        <v>070000176822</v>
      </c>
      <c r="C54" s="6">
        <f>VLOOKUP(A54,[1]Sheet1!$B$2:$AA$595,26,0)</f>
        <v>68040</v>
      </c>
      <c r="D54" s="16">
        <f t="shared" si="1"/>
        <v>68040</v>
      </c>
      <c r="E54" s="20" t="s">
        <v>2238</v>
      </c>
      <c r="F54" s="17" t="str">
        <f t="shared" si="0"/>
        <v>insert into ins_premium_det (premium_rcv_code,assorted_code, rec_amount,premium_rcv_detail_code,remaining_amt, payrec, mode_code,coinsurance_code,class_cd,it_remarks) values</v>
      </c>
      <c r="G54" s="18" t="str">
        <f t="shared" si="2"/>
        <v>('26Mar250058','070000176822','68040',(select max(to_number(i.premium_rcv_detail_code))+1
from ins_premium_det i),'68040','68040','02', '11000003','00','Request by Mr. Saqib Saleem 26-Mar-2025 Renewal');</v>
      </c>
      <c r="H54" s="19" t="str">
        <f t="shared" si="3"/>
        <v>insert into ins_premium_det (premium_rcv_code,assorted_code, rec_amount,premium_rcv_detail_code,remaining_amt, payrec, mode_code,coinsurance_code,class_cd,it_remarks) values('26Mar250058','070000176822','68040',(select max(to_number(i.premium_rcv_detail_code))+1
from ins_premium_det i),'68040','68040','02', '11000003','00','Request by Mr. Saqib Saleem 26-Mar-2025 Renewal');</v>
      </c>
    </row>
    <row r="55" spans="1:8" ht="89.25" x14ac:dyDescent="0.2">
      <c r="A55" s="4" t="s">
        <v>1028</v>
      </c>
      <c r="B55" t="str">
        <f>VLOOKUP(A55,plicy!B:C,2,0)</f>
        <v>070000176957</v>
      </c>
      <c r="C55" s="6">
        <f>VLOOKUP(A55,[1]Sheet1!$B$2:$AA$595,26,0)</f>
        <v>32400</v>
      </c>
      <c r="D55" s="16">
        <f t="shared" si="1"/>
        <v>32400</v>
      </c>
      <c r="E55" s="20" t="s">
        <v>2238</v>
      </c>
      <c r="F55" s="17" t="str">
        <f t="shared" si="0"/>
        <v>insert into ins_premium_det (premium_rcv_code,assorted_code, rec_amount,premium_rcv_detail_code,remaining_amt, payrec, mode_code,coinsurance_code,class_cd,it_remarks) values</v>
      </c>
      <c r="G55" s="18" t="str">
        <f t="shared" si="2"/>
        <v>('26Mar250058','070000176957','32400',(select max(to_number(i.premium_rcv_detail_code))+1
from ins_premium_det i),'32400','32400','02', '11000003','00','Request by Mr. Saqib Saleem 26-Mar-2025 Renewal');</v>
      </c>
      <c r="H55" s="19" t="str">
        <f t="shared" si="3"/>
        <v>insert into ins_premium_det (premium_rcv_code,assorted_code, rec_amount,premium_rcv_detail_code,remaining_amt, payrec, mode_code,coinsurance_code,class_cd,it_remarks) values('26Mar250058','070000176957','32400',(select max(to_number(i.premium_rcv_detail_code))+1
from ins_premium_det i),'32400','32400','02', '11000003','00','Request by Mr. Saqib Saleem 26-Mar-2025 Renewal');</v>
      </c>
    </row>
    <row r="56" spans="1:8" ht="89.25" x14ac:dyDescent="0.2">
      <c r="A56" s="4" t="s">
        <v>1035</v>
      </c>
      <c r="B56" t="str">
        <f>VLOOKUP(A56,plicy!B:C,2,0)</f>
        <v>070000176958</v>
      </c>
      <c r="C56" s="6">
        <f>VLOOKUP(A56,[1]Sheet1!$B$2:$AA$595,26,0)</f>
        <v>33750</v>
      </c>
      <c r="D56" s="16">
        <f t="shared" si="1"/>
        <v>33750</v>
      </c>
      <c r="E56" s="20" t="s">
        <v>2238</v>
      </c>
      <c r="F56" s="17" t="str">
        <f t="shared" si="0"/>
        <v>insert into ins_premium_det (premium_rcv_code,assorted_code, rec_amount,premium_rcv_detail_code,remaining_amt, payrec, mode_code,coinsurance_code,class_cd,it_remarks) values</v>
      </c>
      <c r="G56" s="18" t="str">
        <f t="shared" si="2"/>
        <v>('26Mar250058','070000176958','33750',(select max(to_number(i.premium_rcv_detail_code))+1
from ins_premium_det i),'33750','33750','02', '11000003','00','Request by Mr. Saqib Saleem 26-Mar-2025 Renewal');</v>
      </c>
      <c r="H56" s="19" t="str">
        <f t="shared" si="3"/>
        <v>insert into ins_premium_det (premium_rcv_code,assorted_code, rec_amount,premium_rcv_detail_code,remaining_amt, payrec, mode_code,coinsurance_code,class_cd,it_remarks) values('26Mar250058','070000176958','33750',(select max(to_number(i.premium_rcv_detail_code))+1
from ins_premium_det i),'33750','33750','02', '11000003','00','Request by Mr. Saqib Saleem 26-Mar-2025 Renewal');</v>
      </c>
    </row>
    <row r="57" spans="1:8" ht="89.25" x14ac:dyDescent="0.2">
      <c r="A57" s="4" t="s">
        <v>1042</v>
      </c>
      <c r="B57" t="str">
        <f>VLOOKUP(A57,plicy!B:C,2,0)</f>
        <v>070000176959</v>
      </c>
      <c r="C57" s="6">
        <f>VLOOKUP(A57,[1]Sheet1!$B$2:$AA$595,26,0)</f>
        <v>41438</v>
      </c>
      <c r="D57" s="16">
        <f t="shared" si="1"/>
        <v>41438</v>
      </c>
      <c r="E57" s="20" t="s">
        <v>2238</v>
      </c>
      <c r="F57" s="17" t="str">
        <f t="shared" si="0"/>
        <v>insert into ins_premium_det (premium_rcv_code,assorted_code, rec_amount,premium_rcv_detail_code,remaining_amt, payrec, mode_code,coinsurance_code,class_cd,it_remarks) values</v>
      </c>
      <c r="G57" s="18" t="str">
        <f t="shared" si="2"/>
        <v>('26Mar250058','070000176959','41438',(select max(to_number(i.premium_rcv_detail_code))+1
from ins_premium_det i),'41438','41438','02', '11000003','00','Request by Mr. Saqib Saleem 26-Mar-2025 Renewal');</v>
      </c>
      <c r="H57" s="19" t="str">
        <f t="shared" si="3"/>
        <v>insert into ins_premium_det (premium_rcv_code,assorted_code, rec_amount,premium_rcv_detail_code,remaining_amt, payrec, mode_code,coinsurance_code,class_cd,it_remarks) values('26Mar250058','070000176959','41438',(select max(to_number(i.premium_rcv_detail_code))+1
from ins_premium_det i),'41438','41438','02', '11000003','00','Request by Mr. Saqib Saleem 26-Mar-2025 Renewal');</v>
      </c>
    </row>
    <row r="58" spans="1:8" ht="89.25" x14ac:dyDescent="0.2">
      <c r="A58" s="4" t="s">
        <v>1050</v>
      </c>
      <c r="B58" t="str">
        <f>VLOOKUP(A58,plicy!B:C,2,0)</f>
        <v>070000176960</v>
      </c>
      <c r="C58" s="6">
        <f>VLOOKUP(A58,[1]Sheet1!$B$2:$AA$595,26,0)</f>
        <v>56869</v>
      </c>
      <c r="D58" s="16">
        <f t="shared" si="1"/>
        <v>56869</v>
      </c>
      <c r="E58" s="20" t="s">
        <v>2238</v>
      </c>
      <c r="F58" s="17" t="str">
        <f t="shared" si="0"/>
        <v>insert into ins_premium_det (premium_rcv_code,assorted_code, rec_amount,premium_rcv_detail_code,remaining_amt, payrec, mode_code,coinsurance_code,class_cd,it_remarks) values</v>
      </c>
      <c r="G58" s="18" t="str">
        <f t="shared" si="2"/>
        <v>('26Mar250058','070000176960','56869',(select max(to_number(i.premium_rcv_detail_code))+1
from ins_premium_det i),'56869','56869','02', '11000003','00','Request by Mr. Saqib Saleem 26-Mar-2025 Renewal');</v>
      </c>
      <c r="H58" s="19" t="str">
        <f t="shared" si="3"/>
        <v>insert into ins_premium_det (premium_rcv_code,assorted_code, rec_amount,premium_rcv_detail_code,remaining_amt, payrec, mode_code,coinsurance_code,class_cd,it_remarks) values('26Mar250058','070000176960','56869',(select max(to_number(i.premium_rcv_detail_code))+1
from ins_premium_det i),'56869','56869','02', '11000003','00','Request by Mr. Saqib Saleem 26-Mar-2025 Renewal');</v>
      </c>
    </row>
    <row r="59" spans="1:8" ht="89.25" x14ac:dyDescent="0.2">
      <c r="A59" s="4" t="s">
        <v>1057</v>
      </c>
      <c r="B59" t="str">
        <f>VLOOKUP(A59,plicy!B:C,2,0)</f>
        <v>070000176961</v>
      </c>
      <c r="C59" s="6">
        <f>VLOOKUP(A59,[1]Sheet1!$B$2:$AA$595,26,0)</f>
        <v>26869</v>
      </c>
      <c r="D59" s="16">
        <f t="shared" si="1"/>
        <v>26869</v>
      </c>
      <c r="E59" s="20" t="s">
        <v>2238</v>
      </c>
      <c r="F59" s="17" t="str">
        <f t="shared" si="0"/>
        <v>insert into ins_premium_det (premium_rcv_code,assorted_code, rec_amount,premium_rcv_detail_code,remaining_amt, payrec, mode_code,coinsurance_code,class_cd,it_remarks) values</v>
      </c>
      <c r="G59" s="18" t="str">
        <f t="shared" si="2"/>
        <v>('26Mar250058','070000176961','26869',(select max(to_number(i.premium_rcv_detail_code))+1
from ins_premium_det i),'26869','26869','02', '11000003','00','Request by Mr. Saqib Saleem 26-Mar-2025 Renewal');</v>
      </c>
      <c r="H59" s="19" t="str">
        <f t="shared" si="3"/>
        <v>insert into ins_premium_det (premium_rcv_code,assorted_code, rec_amount,premium_rcv_detail_code,remaining_amt, payrec, mode_code,coinsurance_code,class_cd,it_remarks) values('26Mar250058','070000176961','26869',(select max(to_number(i.premium_rcv_detail_code))+1
from ins_premium_det i),'26869','26869','02', '11000003','00','Request by Mr. Saqib Saleem 26-Mar-2025 Renewal');</v>
      </c>
    </row>
    <row r="60" spans="1:8" ht="89.25" x14ac:dyDescent="0.2">
      <c r="A60" s="4" t="s">
        <v>1065</v>
      </c>
      <c r="B60" t="str">
        <f>VLOOKUP(A60,plicy!B:C,2,0)</f>
        <v>070000176962</v>
      </c>
      <c r="C60" s="6">
        <f>VLOOKUP(A60,[1]Sheet1!$B$2:$AA$595,26,0)</f>
        <v>30750</v>
      </c>
      <c r="D60" s="16">
        <f t="shared" si="1"/>
        <v>30750</v>
      </c>
      <c r="E60" s="20" t="s">
        <v>2238</v>
      </c>
      <c r="F60" s="17" t="str">
        <f t="shared" si="0"/>
        <v>insert into ins_premium_det (premium_rcv_code,assorted_code, rec_amount,premium_rcv_detail_code,remaining_amt, payrec, mode_code,coinsurance_code,class_cd,it_remarks) values</v>
      </c>
      <c r="G60" s="18" t="str">
        <f t="shared" si="2"/>
        <v>('26Mar250058','070000176962','30750',(select max(to_number(i.premium_rcv_detail_code))+1
from ins_premium_det i),'30750','30750','02', '11000003','00','Request by Mr. Saqib Saleem 26-Mar-2025 Renewal');</v>
      </c>
      <c r="H60" s="19" t="str">
        <f t="shared" si="3"/>
        <v>insert into ins_premium_det (premium_rcv_code,assorted_code, rec_amount,premium_rcv_detail_code,remaining_amt, payrec, mode_code,coinsurance_code,class_cd,it_remarks) values('26Mar250058','070000176962','30750',(select max(to_number(i.premium_rcv_detail_code))+1
from ins_premium_det i),'30750','30750','02', '11000003','00','Request by Mr. Saqib Saleem 26-Mar-2025 Renewal');</v>
      </c>
    </row>
    <row r="61" spans="1:8" ht="89.25" x14ac:dyDescent="0.2">
      <c r="A61" s="4" t="s">
        <v>1072</v>
      </c>
      <c r="B61" t="str">
        <f>VLOOKUP(A61,plicy!B:C,2,0)</f>
        <v>070000176963</v>
      </c>
      <c r="C61" s="6">
        <f>VLOOKUP(A61,[1]Sheet1!$B$2:$AA$595,26,0)</f>
        <v>32438</v>
      </c>
      <c r="D61" s="16">
        <f t="shared" si="1"/>
        <v>32438</v>
      </c>
      <c r="E61" s="20" t="s">
        <v>2238</v>
      </c>
      <c r="F61" s="17" t="str">
        <f t="shared" si="0"/>
        <v>insert into ins_premium_det (premium_rcv_code,assorted_code, rec_amount,premium_rcv_detail_code,remaining_amt, payrec, mode_code,coinsurance_code,class_cd,it_remarks) values</v>
      </c>
      <c r="G61" s="18" t="str">
        <f t="shared" si="2"/>
        <v>('26Mar250058','070000176963','32438',(select max(to_number(i.premium_rcv_detail_code))+1
from ins_premium_det i),'32438','32438','02', '11000003','00','Request by Mr. Saqib Saleem 26-Mar-2025 Renewal');</v>
      </c>
      <c r="H61" s="19" t="str">
        <f t="shared" si="3"/>
        <v>insert into ins_premium_det (premium_rcv_code,assorted_code, rec_amount,premium_rcv_detail_code,remaining_amt, payrec, mode_code,coinsurance_code,class_cd,it_remarks) values('26Mar250058','070000176963','32438',(select max(to_number(i.premium_rcv_detail_code))+1
from ins_premium_det i),'32438','32438','02', '11000003','00','Request by Mr. Saqib Saleem 26-Mar-2025 Renewal');</v>
      </c>
    </row>
    <row r="62" spans="1:8" ht="89.25" x14ac:dyDescent="0.2">
      <c r="A62" s="4" t="s">
        <v>1079</v>
      </c>
      <c r="B62" t="str">
        <f>VLOOKUP(A62,plicy!B:C,2,0)</f>
        <v>070000176964</v>
      </c>
      <c r="C62" s="6">
        <f>VLOOKUP(A62,[1]Sheet1!$B$2:$AA$595,26,0)</f>
        <v>54375</v>
      </c>
      <c r="D62" s="16">
        <f t="shared" si="1"/>
        <v>54375</v>
      </c>
      <c r="E62" s="20" t="s">
        <v>2238</v>
      </c>
      <c r="F62" s="17" t="str">
        <f t="shared" si="0"/>
        <v>insert into ins_premium_det (premium_rcv_code,assorted_code, rec_amount,premium_rcv_detail_code,remaining_amt, payrec, mode_code,coinsurance_code,class_cd,it_remarks) values</v>
      </c>
      <c r="G62" s="18" t="str">
        <f t="shared" si="2"/>
        <v>('26Mar250058','070000176964','54375',(select max(to_number(i.premium_rcv_detail_code))+1
from ins_premium_det i),'54375','54375','02', '11000003','00','Request by Mr. Saqib Saleem 26-Mar-2025 Renewal');</v>
      </c>
      <c r="H62" s="19" t="str">
        <f t="shared" si="3"/>
        <v>insert into ins_premium_det (premium_rcv_code,assorted_code, rec_amount,premium_rcv_detail_code,remaining_amt, payrec, mode_code,coinsurance_code,class_cd,it_remarks) values('26Mar250058','070000176964','54375',(select max(to_number(i.premium_rcv_detail_code))+1
from ins_premium_det i),'54375','54375','02', '11000003','00','Request by Mr. Saqib Saleem 26-Mar-2025 Renewal');</v>
      </c>
    </row>
    <row r="63" spans="1:8" ht="89.25" x14ac:dyDescent="0.2">
      <c r="A63" s="4" t="s">
        <v>1086</v>
      </c>
      <c r="B63" t="str">
        <f>VLOOKUP(A63,plicy!B:C,2,0)</f>
        <v>070000176965</v>
      </c>
      <c r="C63" s="6">
        <f>VLOOKUP(A63,[1]Sheet1!$B$2:$AA$595,26,0)</f>
        <v>28125</v>
      </c>
      <c r="D63" s="16">
        <f t="shared" si="1"/>
        <v>28125</v>
      </c>
      <c r="E63" s="20" t="s">
        <v>2238</v>
      </c>
      <c r="F63" s="17" t="str">
        <f t="shared" si="0"/>
        <v>insert into ins_premium_det (premium_rcv_code,assorted_code, rec_amount,premium_rcv_detail_code,remaining_amt, payrec, mode_code,coinsurance_code,class_cd,it_remarks) values</v>
      </c>
      <c r="G63" s="18" t="str">
        <f t="shared" si="2"/>
        <v>('26Mar250058','070000176965','28125',(select max(to_number(i.premium_rcv_detail_code))+1
from ins_premium_det i),'28125','28125','02', '11000003','00','Request by Mr. Saqib Saleem 26-Mar-2025 Renewal');</v>
      </c>
      <c r="H63" s="19" t="str">
        <f t="shared" si="3"/>
        <v>insert into ins_premium_det (premium_rcv_code,assorted_code, rec_amount,premium_rcv_detail_code,remaining_amt, payrec, mode_code,coinsurance_code,class_cd,it_remarks) values('26Mar250058','070000176965','28125',(select max(to_number(i.premium_rcv_detail_code))+1
from ins_premium_det i),'28125','28125','02', '11000003','00','Request by Mr. Saqib Saleem 26-Mar-2025 Renewal');</v>
      </c>
    </row>
    <row r="64" spans="1:8" ht="89.25" x14ac:dyDescent="0.2">
      <c r="A64" s="4" t="s">
        <v>1093</v>
      </c>
      <c r="B64" t="str">
        <f>VLOOKUP(A64,plicy!B:C,2,0)</f>
        <v>070000176966</v>
      </c>
      <c r="C64" s="6">
        <f>VLOOKUP(A64,[1]Sheet1!$B$2:$AA$595,26,0)</f>
        <v>26869</v>
      </c>
      <c r="D64" s="16">
        <f t="shared" si="1"/>
        <v>26869</v>
      </c>
      <c r="E64" s="20" t="s">
        <v>2238</v>
      </c>
      <c r="F64" s="17" t="str">
        <f t="shared" si="0"/>
        <v>insert into ins_premium_det (premium_rcv_code,assorted_code, rec_amount,premium_rcv_detail_code,remaining_amt, payrec, mode_code,coinsurance_code,class_cd,it_remarks) values</v>
      </c>
      <c r="G64" s="18" t="str">
        <f t="shared" si="2"/>
        <v>('26Mar250058','070000176966','26869',(select max(to_number(i.premium_rcv_detail_code))+1
from ins_premium_det i),'26869','26869','02', '11000003','00','Request by Mr. Saqib Saleem 26-Mar-2025 Renewal');</v>
      </c>
      <c r="H64" s="19" t="str">
        <f t="shared" si="3"/>
        <v>insert into ins_premium_det (premium_rcv_code,assorted_code, rec_amount,premium_rcv_detail_code,remaining_amt, payrec, mode_code,coinsurance_code,class_cd,it_remarks) values('26Mar250058','070000176966','26869',(select max(to_number(i.premium_rcv_detail_code))+1
from ins_premium_det i),'26869','26869','02', '11000003','00','Request by Mr. Saqib Saleem 26-Mar-2025 Renewal');</v>
      </c>
    </row>
    <row r="65" spans="1:8" ht="89.25" x14ac:dyDescent="0.2">
      <c r="A65" s="4" t="s">
        <v>1101</v>
      </c>
      <c r="B65" t="str">
        <f>VLOOKUP(A65,plicy!B:C,2,0)</f>
        <v>070000176823</v>
      </c>
      <c r="C65" s="6">
        <f>VLOOKUP(A65,[1]Sheet1!$B$2:$AA$595,26,0)</f>
        <v>49500</v>
      </c>
      <c r="D65" s="16">
        <f t="shared" si="1"/>
        <v>49500</v>
      </c>
      <c r="E65" s="20" t="s">
        <v>2238</v>
      </c>
      <c r="F65" s="17" t="str">
        <f t="shared" si="0"/>
        <v>insert into ins_premium_det (premium_rcv_code,assorted_code, rec_amount,premium_rcv_detail_code,remaining_amt, payrec, mode_code,coinsurance_code,class_cd,it_remarks) values</v>
      </c>
      <c r="G65" s="18" t="str">
        <f t="shared" si="2"/>
        <v>('26Mar250058','070000176823','49500',(select max(to_number(i.premium_rcv_detail_code))+1
from ins_premium_det i),'49500','49500','02', '11000003','00','Request by Mr. Saqib Saleem 26-Mar-2025 Renewal');</v>
      </c>
      <c r="H65" s="19" t="str">
        <f t="shared" si="3"/>
        <v>insert into ins_premium_det (premium_rcv_code,assorted_code, rec_amount,premium_rcv_detail_code,remaining_amt, payrec, mode_code,coinsurance_code,class_cd,it_remarks) values('26Mar250058','070000176823','49500',(select max(to_number(i.premium_rcv_detail_code))+1
from ins_premium_det i),'49500','49500','02', '11000003','00','Request by Mr. Saqib Saleem 26-Mar-2025 Renewal');</v>
      </c>
    </row>
    <row r="66" spans="1:8" ht="89.25" x14ac:dyDescent="0.2">
      <c r="A66" s="4" t="s">
        <v>1108</v>
      </c>
      <c r="B66" t="str">
        <f>VLOOKUP(A66,plicy!B:C,2,0)</f>
        <v>070000176967</v>
      </c>
      <c r="C66" s="6">
        <f>VLOOKUP(A66,[1]Sheet1!$B$2:$AA$595,26,0)</f>
        <v>46031</v>
      </c>
      <c r="D66" s="16">
        <f t="shared" si="1"/>
        <v>46031</v>
      </c>
      <c r="E66" s="20" t="s">
        <v>2238</v>
      </c>
      <c r="F66" s="17" t="str">
        <f t="shared" ref="F66:F129" si="4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66" s="18" t="str">
        <f t="shared" si="2"/>
        <v>('26Mar250058','070000176967','46031',(select max(to_number(i.premium_rcv_detail_code))+1
from ins_premium_det i),'46031','46031','02', '11000003','00','Request by Mr. Saqib Saleem 26-Mar-2025 Renewal');</v>
      </c>
      <c r="H66" s="19" t="str">
        <f t="shared" si="3"/>
        <v>insert into ins_premium_det (premium_rcv_code,assorted_code, rec_amount,premium_rcv_detail_code,remaining_amt, payrec, mode_code,coinsurance_code,class_cd,it_remarks) values('26Mar250058','070000176967','46031',(select max(to_number(i.premium_rcv_detail_code))+1
from ins_premium_det i),'46031','46031','02', '11000003','00','Request by Mr. Saqib Saleem 26-Mar-2025 Renewal');</v>
      </c>
    </row>
    <row r="67" spans="1:8" ht="89.25" x14ac:dyDescent="0.2">
      <c r="A67" s="4" t="s">
        <v>1115</v>
      </c>
      <c r="B67" t="str">
        <f>VLOOKUP(A67,plicy!B:C,2,0)</f>
        <v>070000176968</v>
      </c>
      <c r="C67" s="6">
        <f>VLOOKUP(A67,[1]Sheet1!$B$2:$AA$595,26,0)</f>
        <v>56119</v>
      </c>
      <c r="D67" s="16">
        <f t="shared" ref="D67:D130" si="5">ROUND(C67,0)</f>
        <v>56119</v>
      </c>
      <c r="E67" s="20" t="s">
        <v>2238</v>
      </c>
      <c r="F67" s="17" t="str">
        <f t="shared" si="4"/>
        <v>insert into ins_premium_det (premium_rcv_code,assorted_code, rec_amount,premium_rcv_detail_code,remaining_amt, payrec, mode_code,coinsurance_code,class_cd,it_remarks) values</v>
      </c>
      <c r="G67" s="18" t="str">
        <f t="shared" ref="G67:G130" si="6">"('"&amp;E67&amp;"','"&amp;B67&amp;"','"&amp;D67&amp;"',(select max(to_number(i.premium_rcv_detail_code))+1
from ins_premium_det i),'"&amp;D67&amp;"','"&amp;D67&amp;"','02', '11000003','00','Request by Mr. Saqib Saleem 26-Mar-2025 Renewal');"</f>
        <v>('26Mar250058','070000176968','56119',(select max(to_number(i.premium_rcv_detail_code))+1
from ins_premium_det i),'56119','56119','02', '11000003','00','Request by Mr. Saqib Saleem 26-Mar-2025 Renewal');</v>
      </c>
      <c r="H67" s="19" t="str">
        <f t="shared" ref="H67:H130" si="7">F67&amp;G67</f>
        <v>insert into ins_premium_det (premium_rcv_code,assorted_code, rec_amount,premium_rcv_detail_code,remaining_amt, payrec, mode_code,coinsurance_code,class_cd,it_remarks) values('26Mar250058','070000176968','56119',(select max(to_number(i.premium_rcv_detail_code))+1
from ins_premium_det i),'56119','56119','02', '11000003','00','Request by Mr. Saqib Saleem 26-Mar-2025 Renewal');</v>
      </c>
    </row>
    <row r="68" spans="1:8" ht="89.25" x14ac:dyDescent="0.2">
      <c r="A68" s="4" t="s">
        <v>1122</v>
      </c>
      <c r="B68" t="str">
        <f>VLOOKUP(A68,plicy!B:C,2,0)</f>
        <v>070000176969</v>
      </c>
      <c r="C68" s="6">
        <f>VLOOKUP(A68,[1]Sheet1!$B$2:$AA$595,26,0)</f>
        <v>19688</v>
      </c>
      <c r="D68" s="16">
        <f t="shared" si="5"/>
        <v>19688</v>
      </c>
      <c r="E68" s="20" t="s">
        <v>2238</v>
      </c>
      <c r="F68" s="17" t="str">
        <f t="shared" si="4"/>
        <v>insert into ins_premium_det (premium_rcv_code,assorted_code, rec_amount,premium_rcv_detail_code,remaining_amt, payrec, mode_code,coinsurance_code,class_cd,it_remarks) values</v>
      </c>
      <c r="G68" s="18" t="str">
        <f t="shared" si="6"/>
        <v>('26Mar250058','070000176969','19688',(select max(to_number(i.premium_rcv_detail_code))+1
from ins_premium_det i),'19688','19688','02', '11000003','00','Request by Mr. Saqib Saleem 26-Mar-2025 Renewal');</v>
      </c>
      <c r="H68" s="19" t="str">
        <f t="shared" si="7"/>
        <v>insert into ins_premium_det (premium_rcv_code,assorted_code, rec_amount,premium_rcv_detail_code,remaining_amt, payrec, mode_code,coinsurance_code,class_cd,it_remarks) values('26Mar250058','070000176969','19688',(select max(to_number(i.premium_rcv_detail_code))+1
from ins_premium_det i),'19688','19688','02', '11000003','00','Request by Mr. Saqib Saleem 26-Mar-2025 Renewal');</v>
      </c>
    </row>
    <row r="69" spans="1:8" ht="89.25" x14ac:dyDescent="0.2">
      <c r="A69" s="4" t="s">
        <v>1129</v>
      </c>
      <c r="B69" t="str">
        <f>VLOOKUP(A69,plicy!B:C,2,0)</f>
        <v>070000176970</v>
      </c>
      <c r="C69" s="6">
        <f>VLOOKUP(A69,[1]Sheet1!$B$2:$AA$595,26,0)</f>
        <v>21263</v>
      </c>
      <c r="D69" s="16">
        <f t="shared" si="5"/>
        <v>21263</v>
      </c>
      <c r="E69" s="20" t="s">
        <v>2238</v>
      </c>
      <c r="F69" s="17" t="str">
        <f t="shared" si="4"/>
        <v>insert into ins_premium_det (premium_rcv_code,assorted_code, rec_amount,premium_rcv_detail_code,remaining_amt, payrec, mode_code,coinsurance_code,class_cd,it_remarks) values</v>
      </c>
      <c r="G69" s="18" t="str">
        <f t="shared" si="6"/>
        <v>('26Mar250058','070000176970','21263',(select max(to_number(i.premium_rcv_detail_code))+1
from ins_premium_det i),'21263','21263','02', '11000003','00','Request by Mr. Saqib Saleem 26-Mar-2025 Renewal');</v>
      </c>
      <c r="H69" s="19" t="str">
        <f t="shared" si="7"/>
        <v>insert into ins_premium_det (premium_rcv_code,assorted_code, rec_amount,premium_rcv_detail_code,remaining_amt, payrec, mode_code,coinsurance_code,class_cd,it_remarks) values('26Mar250058','070000176970','21263',(select max(to_number(i.premium_rcv_detail_code))+1
from ins_premium_det i),'21263','21263','02', '11000003','00','Request by Mr. Saqib Saleem 26-Mar-2025 Renewal');</v>
      </c>
    </row>
    <row r="70" spans="1:8" ht="89.25" x14ac:dyDescent="0.2">
      <c r="A70" s="4" t="s">
        <v>1136</v>
      </c>
      <c r="B70" t="str">
        <f>VLOOKUP(A70,plicy!B:C,2,0)</f>
        <v>070000176971</v>
      </c>
      <c r="C70" s="6">
        <f>VLOOKUP(A70,[1]Sheet1!$B$2:$AA$595,26,0)</f>
        <v>30619</v>
      </c>
      <c r="D70" s="16">
        <f t="shared" si="5"/>
        <v>30619</v>
      </c>
      <c r="E70" s="20" t="s">
        <v>2238</v>
      </c>
      <c r="F70" s="17" t="str">
        <f t="shared" si="4"/>
        <v>insert into ins_premium_det (premium_rcv_code,assorted_code, rec_amount,premium_rcv_detail_code,remaining_amt, payrec, mode_code,coinsurance_code,class_cd,it_remarks) values</v>
      </c>
      <c r="G70" s="18" t="str">
        <f t="shared" si="6"/>
        <v>('26Mar250058','070000176971','30619',(select max(to_number(i.premium_rcv_detail_code))+1
from ins_premium_det i),'30619','30619','02', '11000003','00','Request by Mr. Saqib Saleem 26-Mar-2025 Renewal');</v>
      </c>
      <c r="H70" s="19" t="str">
        <f t="shared" si="7"/>
        <v>insert into ins_premium_det (premium_rcv_code,assorted_code, rec_amount,premium_rcv_detail_code,remaining_amt, payrec, mode_code,coinsurance_code,class_cd,it_remarks) values('26Mar250058','070000176971','30619',(select max(to_number(i.premium_rcv_detail_code))+1
from ins_premium_det i),'30619','30619','02', '11000003','00','Request by Mr. Saqib Saleem 26-Mar-2025 Renewal');</v>
      </c>
    </row>
    <row r="71" spans="1:8" ht="89.25" x14ac:dyDescent="0.2">
      <c r="A71" s="4" t="s">
        <v>1144</v>
      </c>
      <c r="B71" t="str">
        <f>VLOOKUP(A71,plicy!B:C,2,0)</f>
        <v>070000176972</v>
      </c>
      <c r="C71" s="6">
        <f>VLOOKUP(A71,[1]Sheet1!$B$2:$AA$595,26,0)</f>
        <v>56119</v>
      </c>
      <c r="D71" s="16">
        <f t="shared" si="5"/>
        <v>56119</v>
      </c>
      <c r="E71" s="20" t="s">
        <v>2238</v>
      </c>
      <c r="F71" s="17" t="str">
        <f t="shared" si="4"/>
        <v>insert into ins_premium_det (premium_rcv_code,assorted_code, rec_amount,premium_rcv_detail_code,remaining_amt, payrec, mode_code,coinsurance_code,class_cd,it_remarks) values</v>
      </c>
      <c r="G71" s="18" t="str">
        <f t="shared" si="6"/>
        <v>('26Mar250058','070000176972','56119',(select max(to_number(i.premium_rcv_detail_code))+1
from ins_premium_det i),'56119','56119','02', '11000003','00','Request by Mr. Saqib Saleem 26-Mar-2025 Renewal');</v>
      </c>
      <c r="H71" s="19" t="str">
        <f t="shared" si="7"/>
        <v>insert into ins_premium_det (premium_rcv_code,assorted_code, rec_amount,premium_rcv_detail_code,remaining_amt, payrec, mode_code,coinsurance_code,class_cd,it_remarks) values('26Mar250058','070000176972','56119',(select max(to_number(i.premium_rcv_detail_code))+1
from ins_premium_det i),'56119','56119','02', '11000003','00','Request by Mr. Saqib Saleem 26-Mar-2025 Renewal');</v>
      </c>
    </row>
    <row r="72" spans="1:8" ht="89.25" x14ac:dyDescent="0.2">
      <c r="A72" s="4" t="s">
        <v>1151</v>
      </c>
      <c r="B72" t="str">
        <f>VLOOKUP(A72,plicy!B:C,2,0)</f>
        <v>070000176973</v>
      </c>
      <c r="C72" s="6">
        <f>VLOOKUP(A72,[1]Sheet1!$B$2:$AA$595,26,0)</f>
        <v>39341</v>
      </c>
      <c r="D72" s="16">
        <f t="shared" si="5"/>
        <v>39341</v>
      </c>
      <c r="E72" s="20" t="s">
        <v>2238</v>
      </c>
      <c r="F72" s="17" t="str">
        <f t="shared" si="4"/>
        <v>insert into ins_premium_det (premium_rcv_code,assorted_code, rec_amount,premium_rcv_detail_code,remaining_amt, payrec, mode_code,coinsurance_code,class_cd,it_remarks) values</v>
      </c>
      <c r="G72" s="18" t="str">
        <f t="shared" si="6"/>
        <v>('26Mar250058','070000176973','39341',(select max(to_number(i.premium_rcv_detail_code))+1
from ins_premium_det i),'39341','39341','02', '11000003','00','Request by Mr. Saqib Saleem 26-Mar-2025 Renewal');</v>
      </c>
      <c r="H72" s="19" t="str">
        <f t="shared" si="7"/>
        <v>insert into ins_premium_det (premium_rcv_code,assorted_code, rec_amount,premium_rcv_detail_code,remaining_amt, payrec, mode_code,coinsurance_code,class_cd,it_remarks) values('26Mar250058','070000176973','39341',(select max(to_number(i.premium_rcv_detail_code))+1
from ins_premium_det i),'39341','39341','02', '11000003','00','Request by Mr. Saqib Saleem 26-Mar-2025 Renewal');</v>
      </c>
    </row>
    <row r="73" spans="1:8" ht="89.25" x14ac:dyDescent="0.2">
      <c r="A73" s="4" t="s">
        <v>1159</v>
      </c>
      <c r="B73" t="str">
        <f>VLOOKUP(A73,plicy!B:C,2,0)</f>
        <v>070000176974</v>
      </c>
      <c r="C73" s="6">
        <f>VLOOKUP(A73,[1]Sheet1!$B$2:$AA$595,26,0)</f>
        <v>21263</v>
      </c>
      <c r="D73" s="16">
        <f t="shared" si="5"/>
        <v>21263</v>
      </c>
      <c r="E73" s="20" t="s">
        <v>2238</v>
      </c>
      <c r="F73" s="17" t="str">
        <f t="shared" si="4"/>
        <v>insert into ins_premium_det (premium_rcv_code,assorted_code, rec_amount,premium_rcv_detail_code,remaining_amt, payrec, mode_code,coinsurance_code,class_cd,it_remarks) values</v>
      </c>
      <c r="G73" s="18" t="str">
        <f t="shared" si="6"/>
        <v>('26Mar250058','070000176974','21263',(select max(to_number(i.premium_rcv_detail_code))+1
from ins_premium_det i),'21263','21263','02', '11000003','00','Request by Mr. Saqib Saleem 26-Mar-2025 Renewal');</v>
      </c>
      <c r="H73" s="19" t="str">
        <f t="shared" si="7"/>
        <v>insert into ins_premium_det (premium_rcv_code,assorted_code, rec_amount,premium_rcv_detail_code,remaining_amt, payrec, mode_code,coinsurance_code,class_cd,it_remarks) values('26Mar250058','070000176974','21263',(select max(to_number(i.premium_rcv_detail_code))+1
from ins_premium_det i),'21263','21263','02', '11000003','00','Request by Mr. Saqib Saleem 26-Mar-2025 Renewal');</v>
      </c>
    </row>
    <row r="74" spans="1:8" ht="89.25" x14ac:dyDescent="0.2">
      <c r="A74" s="4" t="s">
        <v>1167</v>
      </c>
      <c r="B74" t="str">
        <f>VLOOKUP(A74,plicy!B:C,2,0)</f>
        <v>070000176975</v>
      </c>
      <c r="C74" s="6">
        <f>VLOOKUP(A74,[1]Sheet1!$B$2:$AA$595,26,0)</f>
        <v>50625</v>
      </c>
      <c r="D74" s="16">
        <f t="shared" si="5"/>
        <v>50625</v>
      </c>
      <c r="E74" s="20" t="s">
        <v>2238</v>
      </c>
      <c r="F74" s="17" t="str">
        <f t="shared" si="4"/>
        <v>insert into ins_premium_det (premium_rcv_code,assorted_code, rec_amount,premium_rcv_detail_code,remaining_amt, payrec, mode_code,coinsurance_code,class_cd,it_remarks) values</v>
      </c>
      <c r="G74" s="18" t="str">
        <f t="shared" si="6"/>
        <v>('26Mar250058','070000176975','50625',(select max(to_number(i.premium_rcv_detail_code))+1
from ins_premium_det i),'50625','50625','02', '11000003','00','Request by Mr. Saqib Saleem 26-Mar-2025 Renewal');</v>
      </c>
      <c r="H74" s="19" t="str">
        <f t="shared" si="7"/>
        <v>insert into ins_premium_det (premium_rcv_code,assorted_code, rec_amount,premium_rcv_detail_code,remaining_amt, payrec, mode_code,coinsurance_code,class_cd,it_remarks) values('26Mar250058','070000176975','50625',(select max(to_number(i.premium_rcv_detail_code))+1
from ins_premium_det i),'50625','50625','02', '11000003','00','Request by Mr. Saqib Saleem 26-Mar-2025 Renewal');</v>
      </c>
    </row>
    <row r="75" spans="1:8" ht="89.25" x14ac:dyDescent="0.2">
      <c r="A75" s="4" t="s">
        <v>1174</v>
      </c>
      <c r="B75" t="str">
        <f>VLOOKUP(A75,plicy!B:C,2,0)</f>
        <v>070000176976</v>
      </c>
      <c r="C75" s="6">
        <f>VLOOKUP(A75,[1]Sheet1!$B$2:$AA$595,26,0)</f>
        <v>26869</v>
      </c>
      <c r="D75" s="16">
        <f t="shared" si="5"/>
        <v>26869</v>
      </c>
      <c r="E75" s="20" t="s">
        <v>2238</v>
      </c>
      <c r="F75" s="17" t="str">
        <f t="shared" si="4"/>
        <v>insert into ins_premium_det (premium_rcv_code,assorted_code, rec_amount,premium_rcv_detail_code,remaining_amt, payrec, mode_code,coinsurance_code,class_cd,it_remarks) values</v>
      </c>
      <c r="G75" s="18" t="str">
        <f t="shared" si="6"/>
        <v>('26Mar250058','070000176976','26869',(select max(to_number(i.premium_rcv_detail_code))+1
from ins_premium_det i),'26869','26869','02', '11000003','00','Request by Mr. Saqib Saleem 26-Mar-2025 Renewal');</v>
      </c>
      <c r="H75" s="19" t="str">
        <f t="shared" si="7"/>
        <v>insert into ins_premium_det (premium_rcv_code,assorted_code, rec_amount,premium_rcv_detail_code,remaining_amt, payrec, mode_code,coinsurance_code,class_cd,it_remarks) values('26Mar250058','070000176976','26869',(select max(to_number(i.premium_rcv_detail_code))+1
from ins_premium_det i),'26869','26869','02', '11000003','00','Request by Mr. Saqib Saleem 26-Mar-2025 Renewal');</v>
      </c>
    </row>
    <row r="76" spans="1:8" ht="89.25" x14ac:dyDescent="0.2">
      <c r="A76" s="4" t="s">
        <v>1181</v>
      </c>
      <c r="B76" t="str">
        <f>VLOOKUP(A76,plicy!B:C,2,0)</f>
        <v>070000176824</v>
      </c>
      <c r="C76" s="6">
        <f>VLOOKUP(A76,[1]Sheet1!$B$2:$AA$595,26,0)</f>
        <v>50382</v>
      </c>
      <c r="D76" s="16">
        <f t="shared" si="5"/>
        <v>50382</v>
      </c>
      <c r="E76" s="20" t="s">
        <v>2238</v>
      </c>
      <c r="F76" s="17" t="str">
        <f t="shared" si="4"/>
        <v>insert into ins_premium_det (premium_rcv_code,assorted_code, rec_amount,premium_rcv_detail_code,remaining_amt, payrec, mode_code,coinsurance_code,class_cd,it_remarks) values</v>
      </c>
      <c r="G76" s="18" t="str">
        <f t="shared" si="6"/>
        <v>('26Mar250058','070000176824','50382',(select max(to_number(i.premium_rcv_detail_code))+1
from ins_premium_det i),'50382','50382','02', '11000003','00','Request by Mr. Saqib Saleem 26-Mar-2025 Renewal');</v>
      </c>
      <c r="H76" s="19" t="str">
        <f t="shared" si="7"/>
        <v>insert into ins_premium_det (premium_rcv_code,assorted_code, rec_amount,premium_rcv_detail_code,remaining_amt, payrec, mode_code,coinsurance_code,class_cd,it_remarks) values('26Mar250058','070000176824','50382',(select max(to_number(i.premium_rcv_detail_code))+1
from ins_premium_det i),'50382','50382','02', '11000003','00','Request by Mr. Saqib Saleem 26-Mar-2025 Renewal');</v>
      </c>
    </row>
    <row r="77" spans="1:8" ht="89.25" x14ac:dyDescent="0.2">
      <c r="A77" s="4" t="s">
        <v>1188</v>
      </c>
      <c r="B77" t="str">
        <f>VLOOKUP(A77,plicy!B:C,2,0)</f>
        <v>070000176977</v>
      </c>
      <c r="C77" s="6">
        <f>VLOOKUP(A77,[1]Sheet1!$B$2:$AA$595,26,0)</f>
        <v>56119</v>
      </c>
      <c r="D77" s="16">
        <f t="shared" si="5"/>
        <v>56119</v>
      </c>
      <c r="E77" s="20" t="s">
        <v>2238</v>
      </c>
      <c r="F77" s="17" t="str">
        <f t="shared" si="4"/>
        <v>insert into ins_premium_det (premium_rcv_code,assorted_code, rec_amount,premium_rcv_detail_code,remaining_amt, payrec, mode_code,coinsurance_code,class_cd,it_remarks) values</v>
      </c>
      <c r="G77" s="18" t="str">
        <f t="shared" si="6"/>
        <v>('26Mar250058','070000176977','56119',(select max(to_number(i.premium_rcv_detail_code))+1
from ins_premium_det i),'56119','56119','02', '11000003','00','Request by Mr. Saqib Saleem 26-Mar-2025 Renewal');</v>
      </c>
      <c r="H77" s="19" t="str">
        <f t="shared" si="7"/>
        <v>insert into ins_premium_det (premium_rcv_code,assorted_code, rec_amount,premium_rcv_detail_code,remaining_amt, payrec, mode_code,coinsurance_code,class_cd,it_remarks) values('26Mar250058','070000176977','56119',(select max(to_number(i.premium_rcv_detail_code))+1
from ins_premium_det i),'56119','56119','02', '11000003','00','Request by Mr. Saqib Saleem 26-Mar-2025 Renewal');</v>
      </c>
    </row>
    <row r="78" spans="1:8" ht="89.25" x14ac:dyDescent="0.2">
      <c r="A78" s="4" t="s">
        <v>1195</v>
      </c>
      <c r="B78" t="str">
        <f>VLOOKUP(A78,plicy!B:C,2,0)</f>
        <v>070000176978</v>
      </c>
      <c r="C78" s="6">
        <f>VLOOKUP(A78,[1]Sheet1!$B$2:$AA$595,26,0)</f>
        <v>32438</v>
      </c>
      <c r="D78" s="16">
        <f t="shared" si="5"/>
        <v>32438</v>
      </c>
      <c r="E78" s="20" t="s">
        <v>2238</v>
      </c>
      <c r="F78" s="17" t="str">
        <f t="shared" si="4"/>
        <v>insert into ins_premium_det (premium_rcv_code,assorted_code, rec_amount,premium_rcv_detail_code,remaining_amt, payrec, mode_code,coinsurance_code,class_cd,it_remarks) values</v>
      </c>
      <c r="G78" s="18" t="str">
        <f t="shared" si="6"/>
        <v>('26Mar250058','070000176978','32438',(select max(to_number(i.premium_rcv_detail_code))+1
from ins_premium_det i),'32438','32438','02', '11000003','00','Request by Mr. Saqib Saleem 26-Mar-2025 Renewal');</v>
      </c>
      <c r="H78" s="19" t="str">
        <f t="shared" si="7"/>
        <v>insert into ins_premium_det (premium_rcv_code,assorted_code, rec_amount,premium_rcv_detail_code,remaining_amt, payrec, mode_code,coinsurance_code,class_cd,it_remarks) values('26Mar250058','070000176978','32438',(select max(to_number(i.premium_rcv_detail_code))+1
from ins_premium_det i),'32438','32438','02', '11000003','00','Request by Mr. Saqib Saleem 26-Mar-2025 Renewal');</v>
      </c>
    </row>
    <row r="79" spans="1:8" ht="89.25" x14ac:dyDescent="0.2">
      <c r="A79" s="4" t="s">
        <v>1202</v>
      </c>
      <c r="B79" t="str">
        <f>VLOOKUP(A79,plicy!B:C,2,0)</f>
        <v>070000176979</v>
      </c>
      <c r="C79" s="6">
        <f>VLOOKUP(A79,[1]Sheet1!$B$2:$AA$595,26,0)</f>
        <v>30619</v>
      </c>
      <c r="D79" s="16">
        <f t="shared" si="5"/>
        <v>30619</v>
      </c>
      <c r="E79" s="20" t="s">
        <v>2238</v>
      </c>
      <c r="F79" s="17" t="str">
        <f t="shared" si="4"/>
        <v>insert into ins_premium_det (premium_rcv_code,assorted_code, rec_amount,premium_rcv_detail_code,remaining_amt, payrec, mode_code,coinsurance_code,class_cd,it_remarks) values</v>
      </c>
      <c r="G79" s="18" t="str">
        <f t="shared" si="6"/>
        <v>('26Mar250058','070000176979','30619',(select max(to_number(i.premium_rcv_detail_code))+1
from ins_premium_det i),'30619','30619','02', '11000003','00','Request by Mr. Saqib Saleem 26-Mar-2025 Renewal');</v>
      </c>
      <c r="H79" s="19" t="str">
        <f t="shared" si="7"/>
        <v>insert into ins_premium_det (premium_rcv_code,assorted_code, rec_amount,premium_rcv_detail_code,remaining_amt, payrec, mode_code,coinsurance_code,class_cd,it_remarks) values('26Mar250058','070000176979','30619',(select max(to_number(i.premium_rcv_detail_code))+1
from ins_premium_det i),'30619','30619','02', '11000003','00','Request by Mr. Saqib Saleem 26-Mar-2025 Renewal');</v>
      </c>
    </row>
    <row r="80" spans="1:8" ht="89.25" x14ac:dyDescent="0.2">
      <c r="A80" s="4" t="s">
        <v>1209</v>
      </c>
      <c r="B80" t="str">
        <f>VLOOKUP(A80,plicy!B:C,2,0)</f>
        <v>070000176980</v>
      </c>
      <c r="C80" s="6">
        <f>VLOOKUP(A80,[1]Sheet1!$B$2:$AA$595,26,0)</f>
        <v>30000</v>
      </c>
      <c r="D80" s="16">
        <f t="shared" si="5"/>
        <v>30000</v>
      </c>
      <c r="E80" s="20" t="s">
        <v>2238</v>
      </c>
      <c r="F80" s="17" t="str">
        <f t="shared" si="4"/>
        <v>insert into ins_premium_det (premium_rcv_code,assorted_code, rec_amount,premium_rcv_detail_code,remaining_amt, payrec, mode_code,coinsurance_code,class_cd,it_remarks) values</v>
      </c>
      <c r="G80" s="18" t="str">
        <f t="shared" si="6"/>
        <v>('26Mar250058','070000176980','30000',(select max(to_number(i.premium_rcv_detail_code))+1
from ins_premium_det i),'30000','30000','02', '11000003','00','Request by Mr. Saqib Saleem 26-Mar-2025 Renewal');</v>
      </c>
      <c r="H80" s="19" t="str">
        <f t="shared" si="7"/>
        <v>insert into ins_premium_det (premium_rcv_code,assorted_code, rec_amount,premium_rcv_detail_code,remaining_amt, payrec, mode_code,coinsurance_code,class_cd,it_remarks) values('26Mar250058','070000176980','30000',(select max(to_number(i.premium_rcv_detail_code))+1
from ins_premium_det i),'30000','30000','02', '11000003','00','Request by Mr. Saqib Saleem 26-Mar-2025 Renewal');</v>
      </c>
    </row>
    <row r="81" spans="1:8" ht="89.25" x14ac:dyDescent="0.2">
      <c r="A81" s="4" t="s">
        <v>1216</v>
      </c>
      <c r="B81" t="str">
        <f>VLOOKUP(A81,plicy!B:C,2,0)</f>
        <v>070000176981</v>
      </c>
      <c r="C81" s="6">
        <f>VLOOKUP(A81,[1]Sheet1!$B$2:$AA$595,26,0)</f>
        <v>32438</v>
      </c>
      <c r="D81" s="16">
        <f t="shared" si="5"/>
        <v>32438</v>
      </c>
      <c r="E81" s="20" t="s">
        <v>2238</v>
      </c>
      <c r="F81" s="17" t="str">
        <f t="shared" si="4"/>
        <v>insert into ins_premium_det (premium_rcv_code,assorted_code, rec_amount,premium_rcv_detail_code,remaining_amt, payrec, mode_code,coinsurance_code,class_cd,it_remarks) values</v>
      </c>
      <c r="G81" s="18" t="str">
        <f t="shared" si="6"/>
        <v>('26Mar250058','070000176981','32438',(select max(to_number(i.premium_rcv_detail_code))+1
from ins_premium_det i),'32438','32438','02', '11000003','00','Request by Mr. Saqib Saleem 26-Mar-2025 Renewal');</v>
      </c>
      <c r="H81" s="19" t="str">
        <f t="shared" si="7"/>
        <v>insert into ins_premium_det (premium_rcv_code,assorted_code, rec_amount,premium_rcv_detail_code,remaining_amt, payrec, mode_code,coinsurance_code,class_cd,it_remarks) values('26Mar250058','070000176981','32438',(select max(to_number(i.premium_rcv_detail_code))+1
from ins_premium_det i),'32438','32438','02', '11000003','00','Request by Mr. Saqib Saleem 26-Mar-2025 Renewal');</v>
      </c>
    </row>
    <row r="82" spans="1:8" ht="89.25" x14ac:dyDescent="0.2">
      <c r="A82" s="4" t="s">
        <v>1223</v>
      </c>
      <c r="B82" t="str">
        <f>VLOOKUP(A82,plicy!B:C,2,0)</f>
        <v>070000176982</v>
      </c>
      <c r="C82" s="6">
        <f>VLOOKUP(A82,[1]Sheet1!$B$2:$AA$595,26,0)</f>
        <v>15000</v>
      </c>
      <c r="D82" s="16">
        <f t="shared" si="5"/>
        <v>15000</v>
      </c>
      <c r="E82" s="20" t="s">
        <v>2238</v>
      </c>
      <c r="F82" s="17" t="str">
        <f t="shared" si="4"/>
        <v>insert into ins_premium_det (premium_rcv_code,assorted_code, rec_amount,premium_rcv_detail_code,remaining_amt, payrec, mode_code,coinsurance_code,class_cd,it_remarks) values</v>
      </c>
      <c r="G82" s="18" t="str">
        <f t="shared" si="6"/>
        <v>('26Mar250058','070000176982','15000',(select max(to_number(i.premium_rcv_detail_code))+1
from ins_premium_det i),'15000','15000','02', '11000003','00','Request by Mr. Saqib Saleem 26-Mar-2025 Renewal');</v>
      </c>
      <c r="H82" s="19" t="str">
        <f t="shared" si="7"/>
        <v>insert into ins_premium_det (premium_rcv_code,assorted_code, rec_amount,premium_rcv_detail_code,remaining_amt, payrec, mode_code,coinsurance_code,class_cd,it_remarks) values('26Mar250058','070000176982','15000',(select max(to_number(i.premium_rcv_detail_code))+1
from ins_premium_det i),'15000','15000','02', '11000003','00','Request by Mr. Saqib Saleem 26-Mar-2025 Renewal');</v>
      </c>
    </row>
    <row r="83" spans="1:8" ht="89.25" x14ac:dyDescent="0.2">
      <c r="A83" s="4" t="s">
        <v>1230</v>
      </c>
      <c r="B83" t="str">
        <f>VLOOKUP(A83,plicy!B:C,2,0)</f>
        <v>070000176983</v>
      </c>
      <c r="C83" s="6">
        <f>VLOOKUP(A83,[1]Sheet1!$B$2:$AA$595,26,0)</f>
        <v>49838</v>
      </c>
      <c r="D83" s="16">
        <f t="shared" si="5"/>
        <v>49838</v>
      </c>
      <c r="E83" s="20" t="s">
        <v>2238</v>
      </c>
      <c r="F83" s="17" t="str">
        <f t="shared" si="4"/>
        <v>insert into ins_premium_det (premium_rcv_code,assorted_code, rec_amount,premium_rcv_detail_code,remaining_amt, payrec, mode_code,coinsurance_code,class_cd,it_remarks) values</v>
      </c>
      <c r="G83" s="18" t="str">
        <f t="shared" si="6"/>
        <v>('26Mar250058','070000176983','49838',(select max(to_number(i.premium_rcv_detail_code))+1
from ins_premium_det i),'49838','49838','02', '11000003','00','Request by Mr. Saqib Saleem 26-Mar-2025 Renewal');</v>
      </c>
      <c r="H83" s="19" t="str">
        <f t="shared" si="7"/>
        <v>insert into ins_premium_det (premium_rcv_code,assorted_code, rec_amount,premium_rcv_detail_code,remaining_amt, payrec, mode_code,coinsurance_code,class_cd,it_remarks) values('26Mar250058','070000176983','49838',(select max(to_number(i.premium_rcv_detail_code))+1
from ins_premium_det i),'49838','49838','02', '11000003','00','Request by Mr. Saqib Saleem 26-Mar-2025 Renewal');</v>
      </c>
    </row>
    <row r="84" spans="1:8" ht="89.25" x14ac:dyDescent="0.2">
      <c r="A84" s="4" t="s">
        <v>1237</v>
      </c>
      <c r="B84" t="str">
        <f>VLOOKUP(A84,plicy!B:C,2,0)</f>
        <v>070000176984</v>
      </c>
      <c r="C84" s="6">
        <f>VLOOKUP(A84,[1]Sheet1!$B$2:$AA$595,26,0)</f>
        <v>41250</v>
      </c>
      <c r="D84" s="16">
        <f t="shared" si="5"/>
        <v>41250</v>
      </c>
      <c r="E84" s="20" t="s">
        <v>2238</v>
      </c>
      <c r="F84" s="17" t="str">
        <f t="shared" si="4"/>
        <v>insert into ins_premium_det (premium_rcv_code,assorted_code, rec_amount,premium_rcv_detail_code,remaining_amt, payrec, mode_code,coinsurance_code,class_cd,it_remarks) values</v>
      </c>
      <c r="G84" s="18" t="str">
        <f t="shared" si="6"/>
        <v>('26Mar250058','070000176984','41250',(select max(to_number(i.premium_rcv_detail_code))+1
from ins_premium_det i),'41250','41250','02', '11000003','00','Request by Mr. Saqib Saleem 26-Mar-2025 Renewal');</v>
      </c>
      <c r="H84" s="19" t="str">
        <f t="shared" si="7"/>
        <v>insert into ins_premium_det (premium_rcv_code,assorted_code, rec_amount,premium_rcv_detail_code,remaining_amt, payrec, mode_code,coinsurance_code,class_cd,it_remarks) values('26Mar250058','070000176984','41250',(select max(to_number(i.premium_rcv_detail_code))+1
from ins_premium_det i),'41250','41250','02', '11000003','00','Request by Mr. Saqib Saleem 26-Mar-2025 Renewal');</v>
      </c>
    </row>
    <row r="85" spans="1:8" ht="89.25" x14ac:dyDescent="0.2">
      <c r="A85" s="4" t="s">
        <v>1243</v>
      </c>
      <c r="B85" t="str">
        <f>VLOOKUP(A85,plicy!B:C,2,0)</f>
        <v>070000176985</v>
      </c>
      <c r="C85" s="6">
        <f>VLOOKUP(A85,[1]Sheet1!$B$2:$AA$595,26,0)</f>
        <v>56119</v>
      </c>
      <c r="D85" s="16">
        <f t="shared" si="5"/>
        <v>56119</v>
      </c>
      <c r="E85" s="20" t="s">
        <v>2238</v>
      </c>
      <c r="F85" s="17" t="str">
        <f t="shared" si="4"/>
        <v>insert into ins_premium_det (premium_rcv_code,assorted_code, rec_amount,premium_rcv_detail_code,remaining_amt, payrec, mode_code,coinsurance_code,class_cd,it_remarks) values</v>
      </c>
      <c r="G85" s="18" t="str">
        <f t="shared" si="6"/>
        <v>('26Mar250058','070000176985','56119',(select max(to_number(i.premium_rcv_detail_code))+1
from ins_premium_det i),'56119','56119','02', '11000003','00','Request by Mr. Saqib Saleem 26-Mar-2025 Renewal');</v>
      </c>
      <c r="H85" s="19" t="str">
        <f t="shared" si="7"/>
        <v>insert into ins_premium_det (premium_rcv_code,assorted_code, rec_amount,premium_rcv_detail_code,remaining_amt, payrec, mode_code,coinsurance_code,class_cd,it_remarks) values('26Mar250058','070000176985','56119',(select max(to_number(i.premium_rcv_detail_code))+1
from ins_premium_det i),'56119','56119','02', '11000003','00','Request by Mr. Saqib Saleem 26-Mar-2025 Renewal');</v>
      </c>
    </row>
    <row r="86" spans="1:8" ht="89.25" x14ac:dyDescent="0.2">
      <c r="A86" s="4" t="s">
        <v>1250</v>
      </c>
      <c r="B86" t="str">
        <f>VLOOKUP(A86,plicy!B:C,2,0)</f>
        <v>070000176825</v>
      </c>
      <c r="C86" s="6">
        <f>VLOOKUP(A86,[1]Sheet1!$B$2:$AA$595,26,0)</f>
        <v>47016</v>
      </c>
      <c r="D86" s="16">
        <f t="shared" si="5"/>
        <v>47016</v>
      </c>
      <c r="E86" s="20" t="s">
        <v>2238</v>
      </c>
      <c r="F86" s="17" t="str">
        <f t="shared" si="4"/>
        <v>insert into ins_premium_det (premium_rcv_code,assorted_code, rec_amount,premium_rcv_detail_code,remaining_amt, payrec, mode_code,coinsurance_code,class_cd,it_remarks) values</v>
      </c>
      <c r="G86" s="18" t="str">
        <f t="shared" si="6"/>
        <v>('26Mar250058','070000176825','47016',(select max(to_number(i.premium_rcv_detail_code))+1
from ins_premium_det i),'47016','47016','02', '11000003','00','Request by Mr. Saqib Saleem 26-Mar-2025 Renewal');</v>
      </c>
      <c r="H86" s="19" t="str">
        <f t="shared" si="7"/>
        <v>insert into ins_premium_det (premium_rcv_code,assorted_code, rec_amount,premium_rcv_detail_code,remaining_amt, payrec, mode_code,coinsurance_code,class_cd,it_remarks) values('26Mar250058','070000176825','47016',(select max(to_number(i.premium_rcv_detail_code))+1
from ins_premium_det i),'47016','47016','02', '11000003','00','Request by Mr. Saqib Saleem 26-Mar-2025 Renewal');</v>
      </c>
    </row>
    <row r="87" spans="1:8" ht="89.25" x14ac:dyDescent="0.2">
      <c r="A87" s="4" t="s">
        <v>1257</v>
      </c>
      <c r="B87" t="str">
        <f>VLOOKUP(A87,plicy!B:C,2,0)</f>
        <v>070000176987</v>
      </c>
      <c r="C87" s="6">
        <f>VLOOKUP(A87,[1]Sheet1!$B$2:$AA$595,26,0)</f>
        <v>41906</v>
      </c>
      <c r="D87" s="16">
        <f t="shared" si="5"/>
        <v>41906</v>
      </c>
      <c r="E87" s="20" t="s">
        <v>2238</v>
      </c>
      <c r="F87" s="17" t="str">
        <f t="shared" si="4"/>
        <v>insert into ins_premium_det (premium_rcv_code,assorted_code, rec_amount,premium_rcv_detail_code,remaining_amt, payrec, mode_code,coinsurance_code,class_cd,it_remarks) values</v>
      </c>
      <c r="G87" s="18" t="str">
        <f t="shared" si="6"/>
        <v>('26Mar250058','070000176987','41906',(select max(to_number(i.premium_rcv_detail_code))+1
from ins_premium_det i),'41906','41906','02', '11000003','00','Request by Mr. Saqib Saleem 26-Mar-2025 Renewal');</v>
      </c>
      <c r="H87" s="19" t="str">
        <f t="shared" si="7"/>
        <v>insert into ins_premium_det (premium_rcv_code,assorted_code, rec_amount,premium_rcv_detail_code,remaining_amt, payrec, mode_code,coinsurance_code,class_cd,it_remarks) values('26Mar250058','070000176987','41906',(select max(to_number(i.premium_rcv_detail_code))+1
from ins_premium_det i),'41906','41906','02', '11000003','00','Request by Mr. Saqib Saleem 26-Mar-2025 Renewal');</v>
      </c>
    </row>
    <row r="88" spans="1:8" ht="89.25" x14ac:dyDescent="0.2">
      <c r="A88" s="4" t="s">
        <v>1264</v>
      </c>
      <c r="B88" t="str">
        <f>VLOOKUP(A88,plicy!B:C,2,0)</f>
        <v>070000176988</v>
      </c>
      <c r="C88" s="6">
        <f>VLOOKUP(A88,[1]Sheet1!$B$2:$AA$595,26,0)</f>
        <v>61875</v>
      </c>
      <c r="D88" s="16">
        <f t="shared" si="5"/>
        <v>61875</v>
      </c>
      <c r="E88" s="20" t="s">
        <v>2238</v>
      </c>
      <c r="F88" s="17" t="str">
        <f t="shared" si="4"/>
        <v>insert into ins_premium_det (premium_rcv_code,assorted_code, rec_amount,premium_rcv_detail_code,remaining_amt, payrec, mode_code,coinsurance_code,class_cd,it_remarks) values</v>
      </c>
      <c r="G88" s="18" t="str">
        <f t="shared" si="6"/>
        <v>('26Mar250058','070000176988','61875',(select max(to_number(i.premium_rcv_detail_code))+1
from ins_premium_det i),'61875','61875','02', '11000003','00','Request by Mr. Saqib Saleem 26-Mar-2025 Renewal');</v>
      </c>
      <c r="H88" s="19" t="str">
        <f t="shared" si="7"/>
        <v>insert into ins_premium_det (premium_rcv_code,assorted_code, rec_amount,premium_rcv_detail_code,remaining_amt, payrec, mode_code,coinsurance_code,class_cd,it_remarks) values('26Mar250058','070000176988','61875',(select max(to_number(i.premium_rcv_detail_code))+1
from ins_premium_det i),'61875','61875','02', '11000003','00','Request by Mr. Saqib Saleem 26-Mar-2025 Renewal');</v>
      </c>
    </row>
    <row r="89" spans="1:8" ht="89.25" x14ac:dyDescent="0.2">
      <c r="A89" s="4" t="s">
        <v>1271</v>
      </c>
      <c r="B89" t="str">
        <f>VLOOKUP(A89,plicy!B:C,2,0)</f>
        <v>070000176989</v>
      </c>
      <c r="C89" s="6">
        <f>VLOOKUP(A89,[1]Sheet1!$B$2:$AA$595,26,0)</f>
        <v>51094</v>
      </c>
      <c r="D89" s="16">
        <f t="shared" si="5"/>
        <v>51094</v>
      </c>
      <c r="E89" s="20" t="s">
        <v>2238</v>
      </c>
      <c r="F89" s="17" t="str">
        <f t="shared" si="4"/>
        <v>insert into ins_premium_det (premium_rcv_code,assorted_code, rec_amount,premium_rcv_detail_code,remaining_amt, payrec, mode_code,coinsurance_code,class_cd,it_remarks) values</v>
      </c>
      <c r="G89" s="18" t="str">
        <f t="shared" si="6"/>
        <v>('26Mar250058','070000176989','51094',(select max(to_number(i.premium_rcv_detail_code))+1
from ins_premium_det i),'51094','51094','02', '11000003','00','Request by Mr. Saqib Saleem 26-Mar-2025 Renewal');</v>
      </c>
      <c r="H89" s="19" t="str">
        <f t="shared" si="7"/>
        <v>insert into ins_premium_det (premium_rcv_code,assorted_code, rec_amount,premium_rcv_detail_code,remaining_amt, payrec, mode_code,coinsurance_code,class_cd,it_remarks) values('26Mar250058','070000176989','51094',(select max(to_number(i.premium_rcv_detail_code))+1
from ins_premium_det i),'51094','51094','02', '11000003','00','Request by Mr. Saqib Saleem 26-Mar-2025 Renewal');</v>
      </c>
    </row>
    <row r="90" spans="1:8" ht="89.25" x14ac:dyDescent="0.2">
      <c r="A90" s="4" t="s">
        <v>1278</v>
      </c>
      <c r="B90" t="str">
        <f>VLOOKUP(A90,plicy!B:C,2,0)</f>
        <v>070000176990</v>
      </c>
      <c r="C90" s="6">
        <f>VLOOKUP(A90,[1]Sheet1!$B$2:$AA$595,26,0)</f>
        <v>47813</v>
      </c>
      <c r="D90" s="16">
        <f t="shared" si="5"/>
        <v>47813</v>
      </c>
      <c r="E90" s="20" t="s">
        <v>2238</v>
      </c>
      <c r="F90" s="17" t="str">
        <f t="shared" si="4"/>
        <v>insert into ins_premium_det (premium_rcv_code,assorted_code, rec_amount,premium_rcv_detail_code,remaining_amt, payrec, mode_code,coinsurance_code,class_cd,it_remarks) values</v>
      </c>
      <c r="G90" s="18" t="str">
        <f t="shared" si="6"/>
        <v>('26Mar250058','070000176990','47813',(select max(to_number(i.premium_rcv_detail_code))+1
from ins_premium_det i),'47813','47813','02', '11000003','00','Request by Mr. Saqib Saleem 26-Mar-2025 Renewal');</v>
      </c>
      <c r="H90" s="19" t="str">
        <f t="shared" si="7"/>
        <v>insert into ins_premium_det (premium_rcv_code,assorted_code, rec_amount,premium_rcv_detail_code,remaining_amt, payrec, mode_code,coinsurance_code,class_cd,it_remarks) values('26Mar250058','070000176990','47813',(select max(to_number(i.premium_rcv_detail_code))+1
from ins_premium_det i),'47813','47813','02', '11000003','00','Request by Mr. Saqib Saleem 26-Mar-2025 Renewal');</v>
      </c>
    </row>
    <row r="91" spans="1:8" ht="89.25" x14ac:dyDescent="0.2">
      <c r="A91" s="4" t="s">
        <v>1286</v>
      </c>
      <c r="B91" t="str">
        <f>VLOOKUP(A91,plicy!B:C,2,0)</f>
        <v>070000176992</v>
      </c>
      <c r="C91" s="6">
        <f>VLOOKUP(A91,[1]Sheet1!$B$2:$AA$595,26,0)</f>
        <v>39375</v>
      </c>
      <c r="D91" s="16">
        <f t="shared" si="5"/>
        <v>39375</v>
      </c>
      <c r="E91" s="20" t="s">
        <v>2238</v>
      </c>
      <c r="F91" s="17" t="str">
        <f t="shared" si="4"/>
        <v>insert into ins_premium_det (premium_rcv_code,assorted_code, rec_amount,premium_rcv_detail_code,remaining_amt, payrec, mode_code,coinsurance_code,class_cd,it_remarks) values</v>
      </c>
      <c r="G91" s="18" t="str">
        <f t="shared" si="6"/>
        <v>('26Mar250058','070000176992','39375',(select max(to_number(i.premium_rcv_detail_code))+1
from ins_premium_det i),'39375','39375','02', '11000003','00','Request by Mr. Saqib Saleem 26-Mar-2025 Renewal');</v>
      </c>
      <c r="H91" s="19" t="str">
        <f t="shared" si="7"/>
        <v>insert into ins_premium_det (premium_rcv_code,assorted_code, rec_amount,premium_rcv_detail_code,remaining_amt, payrec, mode_code,coinsurance_code,class_cd,it_remarks) values('26Mar250058','070000176992','39375',(select max(to_number(i.premium_rcv_detail_code))+1
from ins_premium_det i),'39375','39375','02', '11000003','00','Request by Mr. Saqib Saleem 26-Mar-2025 Renewal');</v>
      </c>
    </row>
    <row r="92" spans="1:8" ht="89.25" x14ac:dyDescent="0.2">
      <c r="A92" s="4" t="s">
        <v>1292</v>
      </c>
      <c r="B92" t="str">
        <f>VLOOKUP(A92,plicy!B:C,2,0)</f>
        <v>070000176994</v>
      </c>
      <c r="C92" s="6">
        <f>VLOOKUP(A92,[1]Sheet1!$B$2:$AA$595,26,0)</f>
        <v>32813</v>
      </c>
      <c r="D92" s="16">
        <f t="shared" si="5"/>
        <v>32813</v>
      </c>
      <c r="E92" s="20" t="s">
        <v>2238</v>
      </c>
      <c r="F92" s="17" t="str">
        <f t="shared" si="4"/>
        <v>insert into ins_premium_det (premium_rcv_code,assorted_code, rec_amount,premium_rcv_detail_code,remaining_amt, payrec, mode_code,coinsurance_code,class_cd,it_remarks) values</v>
      </c>
      <c r="G92" s="18" t="str">
        <f t="shared" si="6"/>
        <v>('26Mar250058','070000176994','32813',(select max(to_number(i.premium_rcv_detail_code))+1
from ins_premium_det i),'32813','32813','02', '11000003','00','Request by Mr. Saqib Saleem 26-Mar-2025 Renewal');</v>
      </c>
      <c r="H92" s="19" t="str">
        <f t="shared" si="7"/>
        <v>insert into ins_premium_det (premium_rcv_code,assorted_code, rec_amount,premium_rcv_detail_code,remaining_amt, payrec, mode_code,coinsurance_code,class_cd,it_remarks) values('26Mar250058','070000176994','32813',(select max(to_number(i.premium_rcv_detail_code))+1
from ins_premium_det i),'32813','32813','02', '11000003','00','Request by Mr. Saqib Saleem 26-Mar-2025 Renewal');</v>
      </c>
    </row>
    <row r="93" spans="1:8" ht="89.25" x14ac:dyDescent="0.2">
      <c r="A93" s="4" t="s">
        <v>1299</v>
      </c>
      <c r="B93" t="str">
        <f>VLOOKUP(A93,plicy!B:C,2,0)</f>
        <v>070000176995</v>
      </c>
      <c r="C93" s="6">
        <f>VLOOKUP(A93,[1]Sheet1!$B$2:$AA$595,26,0)</f>
        <v>30619</v>
      </c>
      <c r="D93" s="16">
        <f t="shared" si="5"/>
        <v>30619</v>
      </c>
      <c r="E93" s="20" t="s">
        <v>2238</v>
      </c>
      <c r="F93" s="17" t="str">
        <f t="shared" si="4"/>
        <v>insert into ins_premium_det (premium_rcv_code,assorted_code, rec_amount,premium_rcv_detail_code,remaining_amt, payrec, mode_code,coinsurance_code,class_cd,it_remarks) values</v>
      </c>
      <c r="G93" s="18" t="str">
        <f t="shared" si="6"/>
        <v>('26Mar250058','070000176995','30619',(select max(to_number(i.premium_rcv_detail_code))+1
from ins_premium_det i),'30619','30619','02', '11000003','00','Request by Mr. Saqib Saleem 26-Mar-2025 Renewal');</v>
      </c>
      <c r="H93" s="19" t="str">
        <f t="shared" si="7"/>
        <v>insert into ins_premium_det (premium_rcv_code,assorted_code, rec_amount,premium_rcv_detail_code,remaining_amt, payrec, mode_code,coinsurance_code,class_cd,it_remarks) values('26Mar250058','070000176995','30619',(select max(to_number(i.premium_rcv_detail_code))+1
from ins_premium_det i),'30619','30619','02', '11000003','00','Request by Mr. Saqib Saleem 26-Mar-2025 Renewal');</v>
      </c>
    </row>
    <row r="94" spans="1:8" ht="89.25" x14ac:dyDescent="0.2">
      <c r="A94" s="4" t="s">
        <v>1306</v>
      </c>
      <c r="B94" t="str">
        <f>VLOOKUP(A94,plicy!B:C,2,0)</f>
        <v>070000176996</v>
      </c>
      <c r="C94" s="6">
        <f>VLOOKUP(A94,[1]Sheet1!$B$2:$AA$595,26,0)</f>
        <v>38063</v>
      </c>
      <c r="D94" s="16">
        <f t="shared" si="5"/>
        <v>38063</v>
      </c>
      <c r="E94" s="20" t="s">
        <v>2238</v>
      </c>
      <c r="F94" s="17" t="str">
        <f t="shared" si="4"/>
        <v>insert into ins_premium_det (premium_rcv_code,assorted_code, rec_amount,premium_rcv_detail_code,remaining_amt, payrec, mode_code,coinsurance_code,class_cd,it_remarks) values</v>
      </c>
      <c r="G94" s="18" t="str">
        <f t="shared" si="6"/>
        <v>('26Mar250058','070000176996','38063',(select max(to_number(i.premium_rcv_detail_code))+1
from ins_premium_det i),'38063','38063','02', '11000003','00','Request by Mr. Saqib Saleem 26-Mar-2025 Renewal');</v>
      </c>
      <c r="H94" s="19" t="str">
        <f t="shared" si="7"/>
        <v>insert into ins_premium_det (premium_rcv_code,assorted_code, rec_amount,premium_rcv_detail_code,remaining_amt, payrec, mode_code,coinsurance_code,class_cd,it_remarks) values('26Mar250058','070000176996','38063',(select max(to_number(i.premium_rcv_detail_code))+1
from ins_premium_det i),'38063','38063','02', '11000003','00','Request by Mr. Saqib Saleem 26-Mar-2025 Renewal');</v>
      </c>
    </row>
    <row r="95" spans="1:8" ht="89.25" x14ac:dyDescent="0.2">
      <c r="A95" s="4" t="s">
        <v>1313</v>
      </c>
      <c r="B95" t="str">
        <f>VLOOKUP(A95,plicy!B:C,2,0)</f>
        <v>070000176826</v>
      </c>
      <c r="C95" s="6">
        <f>VLOOKUP(A95,[1]Sheet1!$B$2:$AA$595,26,0)</f>
        <v>54000</v>
      </c>
      <c r="D95" s="16">
        <f t="shared" si="5"/>
        <v>54000</v>
      </c>
      <c r="E95" s="20" t="s">
        <v>2238</v>
      </c>
      <c r="F95" s="17" t="str">
        <f t="shared" si="4"/>
        <v>insert into ins_premium_det (premium_rcv_code,assorted_code, rec_amount,premium_rcv_detail_code,remaining_amt, payrec, mode_code,coinsurance_code,class_cd,it_remarks) values</v>
      </c>
      <c r="G95" s="18" t="str">
        <f t="shared" si="6"/>
        <v>('26Mar250058','070000176826','54000',(select max(to_number(i.premium_rcv_detail_code))+1
from ins_premium_det i),'54000','54000','02', '11000003','00','Request by Mr. Saqib Saleem 26-Mar-2025 Renewal');</v>
      </c>
      <c r="H95" s="19" t="str">
        <f t="shared" si="7"/>
        <v>insert into ins_premium_det (premium_rcv_code,assorted_code, rec_amount,premium_rcv_detail_code,remaining_amt, payrec, mode_code,coinsurance_code,class_cd,it_remarks) values('26Mar250058','070000176826','54000',(select max(to_number(i.premium_rcv_detail_code))+1
from ins_premium_det i),'54000','54000','02', '11000003','00','Request by Mr. Saqib Saleem 26-Mar-2025 Renewal');</v>
      </c>
    </row>
    <row r="96" spans="1:8" ht="89.25" x14ac:dyDescent="0.2">
      <c r="A96" s="4" t="s">
        <v>1320</v>
      </c>
      <c r="B96" t="str">
        <f>VLOOKUP(A96,plicy!B:C,2,0)</f>
        <v>070000176997</v>
      </c>
      <c r="C96" s="6">
        <f>VLOOKUP(A96,[1]Sheet1!$B$2:$AA$595,26,0)</f>
        <v>30619</v>
      </c>
      <c r="D96" s="16">
        <f t="shared" si="5"/>
        <v>30619</v>
      </c>
      <c r="E96" s="20" t="s">
        <v>2238</v>
      </c>
      <c r="F96" s="17" t="str">
        <f t="shared" si="4"/>
        <v>insert into ins_premium_det (premium_rcv_code,assorted_code, rec_amount,premium_rcv_detail_code,remaining_amt, payrec, mode_code,coinsurance_code,class_cd,it_remarks) values</v>
      </c>
      <c r="G96" s="18" t="str">
        <f t="shared" si="6"/>
        <v>('26Mar250058','070000176997','30619',(select max(to_number(i.premium_rcv_detail_code))+1
from ins_premium_det i),'30619','30619','02', '11000003','00','Request by Mr. Saqib Saleem 26-Mar-2025 Renewal');</v>
      </c>
      <c r="H96" s="19" t="str">
        <f t="shared" si="7"/>
        <v>insert into ins_premium_det (premium_rcv_code,assorted_code, rec_amount,premium_rcv_detail_code,remaining_amt, payrec, mode_code,coinsurance_code,class_cd,it_remarks) values('26Mar250058','070000176997','30619',(select max(to_number(i.premium_rcv_detail_code))+1
from ins_premium_det i),'30619','30619','02', '11000003','00','Request by Mr. Saqib Saleem 26-Mar-2025 Renewal');</v>
      </c>
    </row>
    <row r="97" spans="1:8" ht="89.25" x14ac:dyDescent="0.2">
      <c r="A97" s="4" t="s">
        <v>1327</v>
      </c>
      <c r="B97" t="str">
        <f>VLOOKUP(A97,plicy!B:C,2,0)</f>
        <v>070000176999</v>
      </c>
      <c r="C97" s="6">
        <f>VLOOKUP(A97,[1]Sheet1!$B$2:$AA$595,26,0)</f>
        <v>26869</v>
      </c>
      <c r="D97" s="16">
        <f t="shared" si="5"/>
        <v>26869</v>
      </c>
      <c r="E97" s="20" t="s">
        <v>2238</v>
      </c>
      <c r="F97" s="17" t="str">
        <f t="shared" si="4"/>
        <v>insert into ins_premium_det (premium_rcv_code,assorted_code, rec_amount,premium_rcv_detail_code,remaining_amt, payrec, mode_code,coinsurance_code,class_cd,it_remarks) values</v>
      </c>
      <c r="G97" s="18" t="str">
        <f t="shared" si="6"/>
        <v>('26Mar250058','070000176999','26869',(select max(to_number(i.premium_rcv_detail_code))+1
from ins_premium_det i),'26869','26869','02', '11000003','00','Request by Mr. Saqib Saleem 26-Mar-2025 Renewal');</v>
      </c>
      <c r="H97" s="19" t="str">
        <f t="shared" si="7"/>
        <v>insert into ins_premium_det (premium_rcv_code,assorted_code, rec_amount,premium_rcv_detail_code,remaining_amt, payrec, mode_code,coinsurance_code,class_cd,it_remarks) values('26Mar250058','070000176999','26869',(select max(to_number(i.premium_rcv_detail_code))+1
from ins_premium_det i),'26869','26869','02', '11000003','00','Request by Mr. Saqib Saleem 26-Mar-2025 Renewal');</v>
      </c>
    </row>
    <row r="98" spans="1:8" ht="89.25" x14ac:dyDescent="0.2">
      <c r="A98" s="4" t="s">
        <v>1334</v>
      </c>
      <c r="B98" t="str">
        <f>VLOOKUP(A98,plicy!B:C,2,0)</f>
        <v>070000177000</v>
      </c>
      <c r="C98" s="6">
        <f>VLOOKUP(A98,[1]Sheet1!$B$2:$AA$595,26,0)</f>
        <v>26869</v>
      </c>
      <c r="D98" s="16">
        <f t="shared" si="5"/>
        <v>26869</v>
      </c>
      <c r="E98" s="20" t="s">
        <v>2238</v>
      </c>
      <c r="F98" s="17" t="str">
        <f t="shared" si="4"/>
        <v>insert into ins_premium_det (premium_rcv_code,assorted_code, rec_amount,premium_rcv_detail_code,remaining_amt, payrec, mode_code,coinsurance_code,class_cd,it_remarks) values</v>
      </c>
      <c r="G98" s="18" t="str">
        <f t="shared" si="6"/>
        <v>('26Mar250058','070000177000','26869',(select max(to_number(i.premium_rcv_detail_code))+1
from ins_premium_det i),'26869','26869','02', '11000003','00','Request by Mr. Saqib Saleem 26-Mar-2025 Renewal');</v>
      </c>
      <c r="H98" s="19" t="str">
        <f t="shared" si="7"/>
        <v>insert into ins_premium_det (premium_rcv_code,assorted_code, rec_amount,premium_rcv_detail_code,remaining_amt, payrec, mode_code,coinsurance_code,class_cd,it_remarks) values('26Mar250058','070000177000','26869',(select max(to_number(i.premium_rcv_detail_code))+1
from ins_premium_det i),'26869','26869','02', '11000003','00','Request by Mr. Saqib Saleem 26-Mar-2025 Renewal');</v>
      </c>
    </row>
    <row r="99" spans="1:8" ht="89.25" x14ac:dyDescent="0.2">
      <c r="A99" s="4" t="s">
        <v>1341</v>
      </c>
      <c r="B99" t="str">
        <f>VLOOKUP(A99,plicy!B:C,2,0)</f>
        <v>070000177001</v>
      </c>
      <c r="C99" s="6">
        <f>VLOOKUP(A99,[1]Sheet1!$B$2:$AA$595,26,0)</f>
        <v>55713</v>
      </c>
      <c r="D99" s="16">
        <f t="shared" si="5"/>
        <v>55713</v>
      </c>
      <c r="E99" s="20" t="s">
        <v>2238</v>
      </c>
      <c r="F99" s="17" t="str">
        <f t="shared" si="4"/>
        <v>insert into ins_premium_det (premium_rcv_code,assorted_code, rec_amount,premium_rcv_detail_code,remaining_amt, payrec, mode_code,coinsurance_code,class_cd,it_remarks) values</v>
      </c>
      <c r="G99" s="18" t="str">
        <f t="shared" si="6"/>
        <v>('26Mar250058','070000177001','55713',(select max(to_number(i.premium_rcv_detail_code))+1
from ins_premium_det i),'55713','55713','02', '11000003','00','Request by Mr. Saqib Saleem 26-Mar-2025 Renewal');</v>
      </c>
      <c r="H99" s="19" t="str">
        <f t="shared" si="7"/>
        <v>insert into ins_premium_det (premium_rcv_code,assorted_code, rec_amount,premium_rcv_detail_code,remaining_amt, payrec, mode_code,coinsurance_code,class_cd,it_remarks) values('26Mar250058','070000177001','55713',(select max(to_number(i.premium_rcv_detail_code))+1
from ins_premium_det i),'55713','55713','02', '11000003','00','Request by Mr. Saqib Saleem 26-Mar-2025 Renewal');</v>
      </c>
    </row>
    <row r="100" spans="1:8" ht="89.25" x14ac:dyDescent="0.2">
      <c r="A100" s="4" t="s">
        <v>1348</v>
      </c>
      <c r="B100" t="str">
        <f>VLOOKUP(A100,plicy!B:C,2,0)</f>
        <v>070000177003</v>
      </c>
      <c r="C100" s="6">
        <f>VLOOKUP(A100,[1]Sheet1!$B$2:$AA$595,26,0)</f>
        <v>44494</v>
      </c>
      <c r="D100" s="16">
        <f t="shared" si="5"/>
        <v>44494</v>
      </c>
      <c r="E100" s="20" t="s">
        <v>2238</v>
      </c>
      <c r="F100" s="17" t="str">
        <f t="shared" si="4"/>
        <v>insert into ins_premium_det (premium_rcv_code,assorted_code, rec_amount,premium_rcv_detail_code,remaining_amt, payrec, mode_code,coinsurance_code,class_cd,it_remarks) values</v>
      </c>
      <c r="G100" s="18" t="str">
        <f t="shared" si="6"/>
        <v>('26Mar250058','070000177003','44494',(select max(to_number(i.premium_rcv_detail_code))+1
from ins_premium_det i),'44494','44494','02', '11000003','00','Request by Mr. Saqib Saleem 26-Mar-2025 Renewal');</v>
      </c>
      <c r="H100" s="19" t="str">
        <f t="shared" si="7"/>
        <v>insert into ins_premium_det (premium_rcv_code,assorted_code, rec_amount,premium_rcv_detail_code,remaining_amt, payrec, mode_code,coinsurance_code,class_cd,it_remarks) values('26Mar250058','070000177003','44494',(select max(to_number(i.premium_rcv_detail_code))+1
from ins_premium_det i),'44494','44494','02', '11000003','00','Request by Mr. Saqib Saleem 26-Mar-2025 Renewal');</v>
      </c>
    </row>
    <row r="101" spans="1:8" ht="89.25" x14ac:dyDescent="0.2">
      <c r="A101" s="4" t="s">
        <v>1355</v>
      </c>
      <c r="B101" t="str">
        <f>VLOOKUP(A101,plicy!B:C,2,0)</f>
        <v>070000177004</v>
      </c>
      <c r="C101" s="6">
        <f>VLOOKUP(A101,[1]Sheet1!$B$2:$AA$595,26,0)</f>
        <v>35525</v>
      </c>
      <c r="D101" s="16">
        <f t="shared" si="5"/>
        <v>35525</v>
      </c>
      <c r="E101" s="20" t="s">
        <v>2238</v>
      </c>
      <c r="F101" s="17" t="str">
        <f t="shared" si="4"/>
        <v>insert into ins_premium_det (premium_rcv_code,assorted_code, rec_amount,premium_rcv_detail_code,remaining_amt, payrec, mode_code,coinsurance_code,class_cd,it_remarks) values</v>
      </c>
      <c r="G101" s="18" t="str">
        <f t="shared" si="6"/>
        <v>('26Mar250058','070000177004','35525',(select max(to_number(i.premium_rcv_detail_code))+1
from ins_premium_det i),'35525','35525','02', '11000003','00','Request by Mr. Saqib Saleem 26-Mar-2025 Renewal');</v>
      </c>
      <c r="H101" s="19" t="str">
        <f t="shared" si="7"/>
        <v>insert into ins_premium_det (premium_rcv_code,assorted_code, rec_amount,premium_rcv_detail_code,remaining_amt, payrec, mode_code,coinsurance_code,class_cd,it_remarks) values('26Mar250058','070000177004','35525',(select max(to_number(i.premium_rcv_detail_code))+1
from ins_premium_det i),'35525','35525','02', '11000003','00','Request by Mr. Saqib Saleem 26-Mar-2025 Renewal');</v>
      </c>
    </row>
    <row r="102" spans="1:8" ht="89.25" x14ac:dyDescent="0.2">
      <c r="A102" s="4" t="s">
        <v>1364</v>
      </c>
      <c r="B102" t="str">
        <f>VLOOKUP(A102,plicy!B:C,2,0)</f>
        <v>070000177006</v>
      </c>
      <c r="C102" s="6">
        <f>VLOOKUP(A102,[1]Sheet1!$B$2:$AA$595,26,0)</f>
        <v>73579</v>
      </c>
      <c r="D102" s="16">
        <f t="shared" si="5"/>
        <v>73579</v>
      </c>
      <c r="E102" s="20" t="s">
        <v>2238</v>
      </c>
      <c r="F102" s="17" t="str">
        <f t="shared" si="4"/>
        <v>insert into ins_premium_det (premium_rcv_code,assorted_code, rec_amount,premium_rcv_detail_code,remaining_amt, payrec, mode_code,coinsurance_code,class_cd,it_remarks) values</v>
      </c>
      <c r="G102" s="18" t="str">
        <f t="shared" si="6"/>
        <v>('26Mar250058','070000177006','73579',(select max(to_number(i.premium_rcv_detail_code))+1
from ins_premium_det i),'73579','73579','02', '11000003','00','Request by Mr. Saqib Saleem 26-Mar-2025 Renewal');</v>
      </c>
      <c r="H102" s="19" t="str">
        <f t="shared" si="7"/>
        <v>insert into ins_premium_det (premium_rcv_code,assorted_code, rec_amount,premium_rcv_detail_code,remaining_amt, payrec, mode_code,coinsurance_code,class_cd,it_remarks) values('26Mar250058','070000177006','73579',(select max(to_number(i.premium_rcv_detail_code))+1
from ins_premium_det i),'73579','73579','02', '11000003','00','Request by Mr. Saqib Saleem 26-Mar-2025 Renewal');</v>
      </c>
    </row>
    <row r="103" spans="1:8" ht="89.25" x14ac:dyDescent="0.2">
      <c r="A103" s="4" t="s">
        <v>1372</v>
      </c>
      <c r="B103" t="str">
        <f>VLOOKUP(A103,plicy!B:C,2,0)</f>
        <v>070000176809</v>
      </c>
      <c r="C103" s="6">
        <f>VLOOKUP(A103,[1]Sheet1!$B$2:$AA$595,26,0)</f>
        <v>47016</v>
      </c>
      <c r="D103" s="16">
        <f t="shared" si="5"/>
        <v>47016</v>
      </c>
      <c r="E103" s="20" t="s">
        <v>2238</v>
      </c>
      <c r="F103" s="17" t="str">
        <f t="shared" si="4"/>
        <v>insert into ins_premium_det (premium_rcv_code,assorted_code, rec_amount,premium_rcv_detail_code,remaining_amt, payrec, mode_code,coinsurance_code,class_cd,it_remarks) values</v>
      </c>
      <c r="G103" s="18" t="str">
        <f t="shared" si="6"/>
        <v>('26Mar250058','070000176809','47016',(select max(to_number(i.premium_rcv_detail_code))+1
from ins_premium_det i),'47016','47016','02', '11000003','00','Request by Mr. Saqib Saleem 26-Mar-2025 Renewal');</v>
      </c>
      <c r="H103" s="19" t="str">
        <f t="shared" si="7"/>
        <v>insert into ins_premium_det (premium_rcv_code,assorted_code, rec_amount,premium_rcv_detail_code,remaining_amt, payrec, mode_code,coinsurance_code,class_cd,it_remarks) values('26Mar250058','070000176809','47016',(select max(to_number(i.premium_rcv_detail_code))+1
from ins_premium_det i),'47016','47016','02', '11000003','00','Request by Mr. Saqib Saleem 26-Mar-2025 Renewal');</v>
      </c>
    </row>
    <row r="104" spans="1:8" ht="89.25" x14ac:dyDescent="0.2">
      <c r="A104" s="4" t="s">
        <v>1379</v>
      </c>
      <c r="B104" t="str">
        <f>VLOOKUP(A104,plicy!B:C,2,0)</f>
        <v>070000176827</v>
      </c>
      <c r="C104" s="6">
        <f>VLOOKUP(A104,[1]Sheet1!$B$2:$AA$595,26,0)</f>
        <v>39600</v>
      </c>
      <c r="D104" s="16">
        <f t="shared" si="5"/>
        <v>39600</v>
      </c>
      <c r="E104" s="20" t="s">
        <v>2238</v>
      </c>
      <c r="F104" s="17" t="str">
        <f t="shared" si="4"/>
        <v>insert into ins_premium_det (premium_rcv_code,assorted_code, rec_amount,premium_rcv_detail_code,remaining_amt, payrec, mode_code,coinsurance_code,class_cd,it_remarks) values</v>
      </c>
      <c r="G104" s="18" t="str">
        <f t="shared" si="6"/>
        <v>('26Mar250058','070000176827','39600',(select max(to_number(i.premium_rcv_detail_code))+1
from ins_premium_det i),'39600','39600','02', '11000003','00','Request by Mr. Saqib Saleem 26-Mar-2025 Renewal');</v>
      </c>
      <c r="H104" s="19" t="str">
        <f t="shared" si="7"/>
        <v>insert into ins_premium_det (premium_rcv_code,assorted_code, rec_amount,premium_rcv_detail_code,remaining_amt, payrec, mode_code,coinsurance_code,class_cd,it_remarks) values('26Mar250058','070000176827','39600',(select max(to_number(i.premium_rcv_detail_code))+1
from ins_premium_det i),'39600','39600','02', '11000003','00','Request by Mr. Saqib Saleem 26-Mar-2025 Renewal');</v>
      </c>
    </row>
    <row r="105" spans="1:8" ht="89.25" x14ac:dyDescent="0.2">
      <c r="A105" s="4" t="s">
        <v>1386</v>
      </c>
      <c r="B105" t="str">
        <f>VLOOKUP(A105,plicy!B:C,2,0)</f>
        <v>070000177007</v>
      </c>
      <c r="C105" s="6">
        <f>VLOOKUP(A105,[1]Sheet1!$B$2:$AA$595,26,0)</f>
        <v>42879</v>
      </c>
      <c r="D105" s="16">
        <f t="shared" si="5"/>
        <v>42879</v>
      </c>
      <c r="E105" s="20" t="s">
        <v>2238</v>
      </c>
      <c r="F105" s="17" t="str">
        <f t="shared" si="4"/>
        <v>insert into ins_premium_det (premium_rcv_code,assorted_code, rec_amount,premium_rcv_detail_code,remaining_amt, payrec, mode_code,coinsurance_code,class_cd,it_remarks) values</v>
      </c>
      <c r="G105" s="18" t="str">
        <f t="shared" si="6"/>
        <v>('26Mar250058','070000177007','42879',(select max(to_number(i.premium_rcv_detail_code))+1
from ins_premium_det i),'42879','42879','02', '11000003','00','Request by Mr. Saqib Saleem 26-Mar-2025 Renewal');</v>
      </c>
      <c r="H105" s="19" t="str">
        <f t="shared" si="7"/>
        <v>insert into ins_premium_det (premium_rcv_code,assorted_code, rec_amount,premium_rcv_detail_code,remaining_amt, payrec, mode_code,coinsurance_code,class_cd,it_remarks) values('26Mar250058','070000177007','42879',(select max(to_number(i.premium_rcv_detail_code))+1
from ins_premium_det i),'42879','42879','02', '11000003','00','Request by Mr. Saqib Saleem 26-Mar-2025 Renewal');</v>
      </c>
    </row>
    <row r="106" spans="1:8" ht="89.25" x14ac:dyDescent="0.2">
      <c r="A106" s="4" t="s">
        <v>1393</v>
      </c>
      <c r="B106" t="str">
        <f>VLOOKUP(A106,plicy!B:C,2,0)</f>
        <v>070000177008</v>
      </c>
      <c r="C106" s="6">
        <f>VLOOKUP(A106,[1]Sheet1!$B$2:$AA$595,26,0)</f>
        <v>20816</v>
      </c>
      <c r="D106" s="16">
        <f t="shared" si="5"/>
        <v>20816</v>
      </c>
      <c r="E106" s="20" t="s">
        <v>2238</v>
      </c>
      <c r="F106" s="17" t="str">
        <f t="shared" si="4"/>
        <v>insert into ins_premium_det (premium_rcv_code,assorted_code, rec_amount,premium_rcv_detail_code,remaining_amt, payrec, mode_code,coinsurance_code,class_cd,it_remarks) values</v>
      </c>
      <c r="G106" s="18" t="str">
        <f t="shared" si="6"/>
        <v>('26Mar250058','070000177008','20816',(select max(to_number(i.premium_rcv_detail_code))+1
from ins_premium_det i),'20816','20816','02', '11000003','00','Request by Mr. Saqib Saleem 26-Mar-2025 Renewal');</v>
      </c>
      <c r="H106" s="19" t="str">
        <f t="shared" si="7"/>
        <v>insert into ins_premium_det (premium_rcv_code,assorted_code, rec_amount,premium_rcv_detail_code,remaining_amt, payrec, mode_code,coinsurance_code,class_cd,it_remarks) values('26Mar250058','070000177008','20816',(select max(to_number(i.premium_rcv_detail_code))+1
from ins_premium_det i),'20816','20816','02', '11000003','00','Request by Mr. Saqib Saleem 26-Mar-2025 Renewal');</v>
      </c>
    </row>
    <row r="107" spans="1:8" ht="89.25" x14ac:dyDescent="0.2">
      <c r="A107" s="4" t="s">
        <v>1401</v>
      </c>
      <c r="B107" t="str">
        <f>VLOOKUP(A107,plicy!B:C,2,0)</f>
        <v>070000177009</v>
      </c>
      <c r="C107" s="6">
        <f>VLOOKUP(A107,[1]Sheet1!$B$2:$AA$595,26,0)</f>
        <v>64000</v>
      </c>
      <c r="D107" s="16">
        <f t="shared" si="5"/>
        <v>64000</v>
      </c>
      <c r="E107" s="20" t="s">
        <v>2238</v>
      </c>
      <c r="F107" s="17" t="str">
        <f t="shared" si="4"/>
        <v>insert into ins_premium_det (premium_rcv_code,assorted_code, rec_amount,premium_rcv_detail_code,remaining_amt, payrec, mode_code,coinsurance_code,class_cd,it_remarks) values</v>
      </c>
      <c r="G107" s="18" t="str">
        <f t="shared" si="6"/>
        <v>('26Mar250058','070000177009','64000',(select max(to_number(i.premium_rcv_detail_code))+1
from ins_premium_det i),'64000','64000','02', '11000003','00','Request by Mr. Saqib Saleem 26-Mar-2025 Renewal');</v>
      </c>
      <c r="H107" s="19" t="str">
        <f t="shared" si="7"/>
        <v>insert into ins_premium_det (premium_rcv_code,assorted_code, rec_amount,premium_rcv_detail_code,remaining_amt, payrec, mode_code,coinsurance_code,class_cd,it_remarks) values('26Mar250058','070000177009','64000',(select max(to_number(i.premium_rcv_detail_code))+1
from ins_premium_det i),'64000','64000','02', '11000003','00','Request by Mr. Saqib Saleem 26-Mar-2025 Renewal');</v>
      </c>
    </row>
    <row r="108" spans="1:8" ht="89.25" x14ac:dyDescent="0.2">
      <c r="A108" s="4" t="s">
        <v>1408</v>
      </c>
      <c r="B108" t="str">
        <f>VLOOKUP(A108,plicy!B:C,2,0)</f>
        <v>070000176828</v>
      </c>
      <c r="C108" s="6">
        <f>VLOOKUP(A108,[1]Sheet1!$B$2:$AA$595,26,0)</f>
        <v>70200</v>
      </c>
      <c r="D108" s="16">
        <f t="shared" si="5"/>
        <v>70200</v>
      </c>
      <c r="E108" s="20" t="s">
        <v>2238</v>
      </c>
      <c r="F108" s="17" t="str">
        <f t="shared" si="4"/>
        <v>insert into ins_premium_det (premium_rcv_code,assorted_code, rec_amount,premium_rcv_detail_code,remaining_amt, payrec, mode_code,coinsurance_code,class_cd,it_remarks) values</v>
      </c>
      <c r="G108" s="18" t="str">
        <f t="shared" si="6"/>
        <v>('26Mar250058','070000176828','70200',(select max(to_number(i.premium_rcv_detail_code))+1
from ins_premium_det i),'70200','70200','02', '11000003','00','Request by Mr. Saqib Saleem 26-Mar-2025 Renewal');</v>
      </c>
      <c r="H108" s="19" t="str">
        <f t="shared" si="7"/>
        <v>insert into ins_premium_det (premium_rcv_code,assorted_code, rec_amount,premium_rcv_detail_code,remaining_amt, payrec, mode_code,coinsurance_code,class_cd,it_remarks) values('26Mar250058','070000176828','70200',(select max(to_number(i.premium_rcv_detail_code))+1
from ins_premium_det i),'70200','70200','02', '11000003','00','Request by Mr. Saqib Saleem 26-Mar-2025 Renewal');</v>
      </c>
    </row>
    <row r="109" spans="1:8" ht="89.25" x14ac:dyDescent="0.2">
      <c r="A109" s="4" t="s">
        <v>1416</v>
      </c>
      <c r="B109" t="str">
        <f>VLOOKUP(A109,plicy!B:C,2,0)</f>
        <v>070000176829</v>
      </c>
      <c r="C109" s="6">
        <f>VLOOKUP(A109,[1]Sheet1!$B$2:$AA$595,26,0)</f>
        <v>53550</v>
      </c>
      <c r="D109" s="16">
        <f t="shared" si="5"/>
        <v>53550</v>
      </c>
      <c r="E109" s="20" t="s">
        <v>2238</v>
      </c>
      <c r="F109" s="17" t="str">
        <f t="shared" si="4"/>
        <v>insert into ins_premium_det (premium_rcv_code,assorted_code, rec_amount,premium_rcv_detail_code,remaining_amt, payrec, mode_code,coinsurance_code,class_cd,it_remarks) values</v>
      </c>
      <c r="G109" s="18" t="str">
        <f t="shared" si="6"/>
        <v>('26Mar250058','070000176829','53550',(select max(to_number(i.premium_rcv_detail_code))+1
from ins_premium_det i),'53550','53550','02', '11000003','00','Request by Mr. Saqib Saleem 26-Mar-2025 Renewal');</v>
      </c>
      <c r="H109" s="19" t="str">
        <f t="shared" si="7"/>
        <v>insert into ins_premium_det (premium_rcv_code,assorted_code, rec_amount,premium_rcv_detail_code,remaining_amt, payrec, mode_code,coinsurance_code,class_cd,it_remarks) values('26Mar250058','070000176829','53550',(select max(to_number(i.premium_rcv_detail_code))+1
from ins_premium_det i),'53550','53550','02', '11000003','00','Request by Mr. Saqib Saleem 26-Mar-2025 Renewal');</v>
      </c>
    </row>
    <row r="110" spans="1:8" ht="89.25" x14ac:dyDescent="0.2">
      <c r="A110" s="4" t="s">
        <v>1424</v>
      </c>
      <c r="B110" t="str">
        <f>VLOOKUP(A110,plicy!B:C,2,0)</f>
        <v>070000176831</v>
      </c>
      <c r="C110" s="6">
        <f>VLOOKUP(A110,[1]Sheet1!$B$2:$AA$595,26,0)</f>
        <v>70200</v>
      </c>
      <c r="D110" s="16">
        <f t="shared" si="5"/>
        <v>70200</v>
      </c>
      <c r="E110" s="20" t="s">
        <v>2238</v>
      </c>
      <c r="F110" s="17" t="str">
        <f t="shared" si="4"/>
        <v>insert into ins_premium_det (premium_rcv_code,assorted_code, rec_amount,premium_rcv_detail_code,remaining_amt, payrec, mode_code,coinsurance_code,class_cd,it_remarks) values</v>
      </c>
      <c r="G110" s="18" t="str">
        <f t="shared" si="6"/>
        <v>('26Mar250058','070000176831','70200',(select max(to_number(i.premium_rcv_detail_code))+1
from ins_premium_det i),'70200','70200','02', '11000003','00','Request by Mr. Saqib Saleem 26-Mar-2025 Renewal');</v>
      </c>
      <c r="H110" s="19" t="str">
        <f t="shared" si="7"/>
        <v>insert into ins_premium_det (premium_rcv_code,assorted_code, rec_amount,premium_rcv_detail_code,remaining_amt, payrec, mode_code,coinsurance_code,class_cd,it_remarks) values('26Mar250058','070000176831','70200',(select max(to_number(i.premium_rcv_detail_code))+1
from ins_premium_det i),'70200','70200','02', '11000003','00','Request by Mr. Saqib Saleem 26-Mar-2025 Renewal');</v>
      </c>
    </row>
    <row r="111" spans="1:8" ht="89.25" x14ac:dyDescent="0.2">
      <c r="A111" s="4" t="s">
        <v>1431</v>
      </c>
      <c r="B111" t="str">
        <f>VLOOKUP(A111,plicy!B:C,2,0)</f>
        <v>070000176833</v>
      </c>
      <c r="C111" s="6">
        <f>VLOOKUP(A111,[1]Sheet1!$B$2:$AA$595,26,0)</f>
        <v>59400</v>
      </c>
      <c r="D111" s="16">
        <f t="shared" si="5"/>
        <v>59400</v>
      </c>
      <c r="E111" s="20" t="s">
        <v>2238</v>
      </c>
      <c r="F111" s="17" t="str">
        <f t="shared" si="4"/>
        <v>insert into ins_premium_det (premium_rcv_code,assorted_code, rec_amount,premium_rcv_detail_code,remaining_amt, payrec, mode_code,coinsurance_code,class_cd,it_remarks) values</v>
      </c>
      <c r="G111" s="18" t="str">
        <f t="shared" si="6"/>
        <v>('26Mar250058','070000176833','59400',(select max(to_number(i.premium_rcv_detail_code))+1
from ins_premium_det i),'59400','59400','02', '11000003','00','Request by Mr. Saqib Saleem 26-Mar-2025 Renewal');</v>
      </c>
      <c r="H111" s="19" t="str">
        <f t="shared" si="7"/>
        <v>insert into ins_premium_det (premium_rcv_code,assorted_code, rec_amount,premium_rcv_detail_code,remaining_amt, payrec, mode_code,coinsurance_code,class_cd,it_remarks) values('26Mar250058','070000176833','59400',(select max(to_number(i.premium_rcv_detail_code))+1
from ins_premium_det i),'59400','59400','02', '11000003','00','Request by Mr. Saqib Saleem 26-Mar-2025 Renewal');</v>
      </c>
    </row>
    <row r="112" spans="1:8" ht="89.25" x14ac:dyDescent="0.2">
      <c r="A112" s="4" t="s">
        <v>1438</v>
      </c>
      <c r="B112" t="str">
        <f>VLOOKUP(A112,plicy!B:C,2,0)</f>
        <v>070000176834</v>
      </c>
      <c r="C112" s="6">
        <f>VLOOKUP(A112,[1]Sheet1!$B$2:$AA$595,26,0)</f>
        <v>32400</v>
      </c>
      <c r="D112" s="16">
        <f t="shared" si="5"/>
        <v>32400</v>
      </c>
      <c r="E112" s="20" t="s">
        <v>2238</v>
      </c>
      <c r="F112" s="17" t="str">
        <f t="shared" si="4"/>
        <v>insert into ins_premium_det (premium_rcv_code,assorted_code, rec_amount,premium_rcv_detail_code,remaining_amt, payrec, mode_code,coinsurance_code,class_cd,it_remarks) values</v>
      </c>
      <c r="G112" s="18" t="str">
        <f t="shared" si="6"/>
        <v>('26Mar250058','070000176834','32400',(select max(to_number(i.premium_rcv_detail_code))+1
from ins_premium_det i),'32400','32400','02', '11000003','00','Request by Mr. Saqib Saleem 26-Mar-2025 Renewal');</v>
      </c>
      <c r="H112" s="19" t="str">
        <f t="shared" si="7"/>
        <v>insert into ins_premium_det (premium_rcv_code,assorted_code, rec_amount,premium_rcv_detail_code,remaining_amt, payrec, mode_code,coinsurance_code,class_cd,it_remarks) values('26Mar250058','070000176834','32400',(select max(to_number(i.premium_rcv_detail_code))+1
from ins_premium_det i),'32400','32400','02', '11000003','00','Request by Mr. Saqib Saleem 26-Mar-2025 Renewal');</v>
      </c>
    </row>
    <row r="113" spans="1:8" ht="89.25" x14ac:dyDescent="0.2">
      <c r="A113" s="4" t="s">
        <v>1445</v>
      </c>
      <c r="B113" t="str">
        <f>VLOOKUP(A113,plicy!B:C,2,0)</f>
        <v>070000176835</v>
      </c>
      <c r="C113" s="6">
        <f>VLOOKUP(A113,[1]Sheet1!$B$2:$AA$595,26,0)</f>
        <v>46800</v>
      </c>
      <c r="D113" s="16">
        <f t="shared" si="5"/>
        <v>46800</v>
      </c>
      <c r="E113" s="20" t="s">
        <v>2238</v>
      </c>
      <c r="F113" s="17" t="str">
        <f t="shared" si="4"/>
        <v>insert into ins_premium_det (premium_rcv_code,assorted_code, rec_amount,premium_rcv_detail_code,remaining_amt, payrec, mode_code,coinsurance_code,class_cd,it_remarks) values</v>
      </c>
      <c r="G113" s="18" t="str">
        <f t="shared" si="6"/>
        <v>('26Mar250058','070000176835','46800',(select max(to_number(i.premium_rcv_detail_code))+1
from ins_premium_det i),'46800','46800','02', '11000003','00','Request by Mr. Saqib Saleem 26-Mar-2025 Renewal');</v>
      </c>
      <c r="H113" s="19" t="str">
        <f t="shared" si="7"/>
        <v>insert into ins_premium_det (premium_rcv_code,assorted_code, rec_amount,premium_rcv_detail_code,remaining_amt, payrec, mode_code,coinsurance_code,class_cd,it_remarks) values('26Mar250058','070000176835','46800',(select max(to_number(i.premium_rcv_detail_code))+1
from ins_premium_det i),'46800','46800','02', '11000003','00','Request by Mr. Saqib Saleem 26-Mar-2025 Renewal');</v>
      </c>
    </row>
    <row r="114" spans="1:8" ht="89.25" x14ac:dyDescent="0.2">
      <c r="A114" s="4" t="s">
        <v>1452</v>
      </c>
      <c r="B114" t="str">
        <f>VLOOKUP(A114,plicy!B:C,2,0)</f>
        <v>070000176836</v>
      </c>
      <c r="C114" s="6">
        <f>VLOOKUP(A114,[1]Sheet1!$B$2:$AA$595,26,0)</f>
        <v>23400</v>
      </c>
      <c r="D114" s="16">
        <f t="shared" si="5"/>
        <v>23400</v>
      </c>
      <c r="E114" s="20" t="s">
        <v>2238</v>
      </c>
      <c r="F114" s="17" t="str">
        <f t="shared" si="4"/>
        <v>insert into ins_premium_det (premium_rcv_code,assorted_code, rec_amount,premium_rcv_detail_code,remaining_amt, payrec, mode_code,coinsurance_code,class_cd,it_remarks) values</v>
      </c>
      <c r="G114" s="18" t="str">
        <f t="shared" si="6"/>
        <v>('26Mar250058','070000176836','23400',(select max(to_number(i.premium_rcv_detail_code))+1
from ins_premium_det i),'23400','23400','02', '11000003','00','Request by Mr. Saqib Saleem 26-Mar-2025 Renewal');</v>
      </c>
      <c r="H114" s="19" t="str">
        <f t="shared" si="7"/>
        <v>insert into ins_premium_det (premium_rcv_code,assorted_code, rec_amount,premium_rcv_detail_code,remaining_amt, payrec, mode_code,coinsurance_code,class_cd,it_remarks) values('26Mar250058','070000176836','23400',(select max(to_number(i.premium_rcv_detail_code))+1
from ins_premium_det i),'23400','23400','02', '11000003','00','Request by Mr. Saqib Saleem 26-Mar-2025 Renewal');</v>
      </c>
    </row>
    <row r="115" spans="1:8" ht="89.25" x14ac:dyDescent="0.2">
      <c r="A115" s="4" t="s">
        <v>1460</v>
      </c>
      <c r="B115" t="str">
        <f>VLOOKUP(A115,plicy!B:C,2,0)</f>
        <v>070000176810</v>
      </c>
      <c r="C115" s="6">
        <f>VLOOKUP(A115,[1]Sheet1!$B$2:$AA$595,26,0)</f>
        <v>94500</v>
      </c>
      <c r="D115" s="16">
        <f t="shared" si="5"/>
        <v>94500</v>
      </c>
      <c r="E115" s="20" t="s">
        <v>2238</v>
      </c>
      <c r="F115" s="17" t="str">
        <f t="shared" si="4"/>
        <v>insert into ins_premium_det (premium_rcv_code,assorted_code, rec_amount,premium_rcv_detail_code,remaining_amt, payrec, mode_code,coinsurance_code,class_cd,it_remarks) values</v>
      </c>
      <c r="G115" s="18" t="str">
        <f t="shared" si="6"/>
        <v>('26Mar250058','070000176810','94500',(select max(to_number(i.premium_rcv_detail_code))+1
from ins_premium_det i),'94500','94500','02', '11000003','00','Request by Mr. Saqib Saleem 26-Mar-2025 Renewal');</v>
      </c>
      <c r="H115" s="19" t="str">
        <f t="shared" si="7"/>
        <v>insert into ins_premium_det (premium_rcv_code,assorted_code, rec_amount,premium_rcv_detail_code,remaining_amt, payrec, mode_code,coinsurance_code,class_cd,it_remarks) values('26Mar250058','070000176810','94500',(select max(to_number(i.premium_rcv_detail_code))+1
from ins_premium_det i),'94500','94500','02', '11000003','00','Request by Mr. Saqib Saleem 26-Mar-2025 Renewal');</v>
      </c>
    </row>
    <row r="116" spans="1:8" ht="89.25" x14ac:dyDescent="0.2">
      <c r="A116" s="4" t="s">
        <v>1467</v>
      </c>
      <c r="B116" t="str">
        <f>VLOOKUP(A116,plicy!B:C,2,0)</f>
        <v>070000176837</v>
      </c>
      <c r="C116" s="6">
        <f>VLOOKUP(A116,[1]Sheet1!$B$2:$AA$595,26,0)</f>
        <v>54000</v>
      </c>
      <c r="D116" s="16">
        <f t="shared" si="5"/>
        <v>54000</v>
      </c>
      <c r="E116" s="20" t="s">
        <v>2238</v>
      </c>
      <c r="F116" s="17" t="str">
        <f t="shared" si="4"/>
        <v>insert into ins_premium_det (premium_rcv_code,assorted_code, rec_amount,premium_rcv_detail_code,remaining_amt, payrec, mode_code,coinsurance_code,class_cd,it_remarks) values</v>
      </c>
      <c r="G116" s="18" t="str">
        <f t="shared" si="6"/>
        <v>('26Mar250058','070000176837','54000',(select max(to_number(i.premium_rcv_detail_code))+1
from ins_premium_det i),'54000','54000','02', '11000003','00','Request by Mr. Saqib Saleem 26-Mar-2025 Renewal');</v>
      </c>
      <c r="H116" s="19" t="str">
        <f t="shared" si="7"/>
        <v>insert into ins_premium_det (premium_rcv_code,assorted_code, rec_amount,premium_rcv_detail_code,remaining_amt, payrec, mode_code,coinsurance_code,class_cd,it_remarks) values('26Mar250058','070000176837','54000',(select max(to_number(i.premium_rcv_detail_code))+1
from ins_premium_det i),'54000','54000','02', '11000003','00','Request by Mr. Saqib Saleem 26-Mar-2025 Renewal');</v>
      </c>
    </row>
    <row r="117" spans="1:8" ht="89.25" x14ac:dyDescent="0.2">
      <c r="A117" s="4" t="s">
        <v>1475</v>
      </c>
      <c r="B117" t="str">
        <f>VLOOKUP(A117,plicy!B:C,2,0)</f>
        <v>070000176838</v>
      </c>
      <c r="C117" s="6">
        <f>VLOOKUP(A117,[1]Sheet1!$B$2:$AA$595,26,0)</f>
        <v>45000</v>
      </c>
      <c r="D117" s="16">
        <f t="shared" si="5"/>
        <v>45000</v>
      </c>
      <c r="E117" s="20" t="s">
        <v>2238</v>
      </c>
      <c r="F117" s="17" t="str">
        <f t="shared" si="4"/>
        <v>insert into ins_premium_det (premium_rcv_code,assorted_code, rec_amount,premium_rcv_detail_code,remaining_amt, payrec, mode_code,coinsurance_code,class_cd,it_remarks) values</v>
      </c>
      <c r="G117" s="18" t="str">
        <f t="shared" si="6"/>
        <v>('26Mar250058','070000176838','45000',(select max(to_number(i.premium_rcv_detail_code))+1
from ins_premium_det i),'45000','45000','02', '11000003','00','Request by Mr. Saqib Saleem 26-Mar-2025 Renewal');</v>
      </c>
      <c r="H117" s="19" t="str">
        <f t="shared" si="7"/>
        <v>insert into ins_premium_det (premium_rcv_code,assorted_code, rec_amount,premium_rcv_detail_code,remaining_amt, payrec, mode_code,coinsurance_code,class_cd,it_remarks) values('26Mar250058','070000176838','45000',(select max(to_number(i.premium_rcv_detail_code))+1
from ins_premium_det i),'45000','45000','02', '11000003','00','Request by Mr. Saqib Saleem 26-Mar-2025 Renewal');</v>
      </c>
    </row>
    <row r="118" spans="1:8" ht="89.25" x14ac:dyDescent="0.2">
      <c r="A118" s="4" t="s">
        <v>1483</v>
      </c>
      <c r="B118" t="str">
        <f>VLOOKUP(A118,plicy!B:C,2,0)</f>
        <v>070000176839</v>
      </c>
      <c r="C118" s="6">
        <f>VLOOKUP(A118,[1]Sheet1!$B$2:$AA$595,26,0)</f>
        <v>43200</v>
      </c>
      <c r="D118" s="16">
        <f t="shared" si="5"/>
        <v>43200</v>
      </c>
      <c r="E118" s="20" t="s">
        <v>2238</v>
      </c>
      <c r="F118" s="17" t="str">
        <f t="shared" si="4"/>
        <v>insert into ins_premium_det (premium_rcv_code,assorted_code, rec_amount,premium_rcv_detail_code,remaining_amt, payrec, mode_code,coinsurance_code,class_cd,it_remarks) values</v>
      </c>
      <c r="G118" s="18" t="str">
        <f t="shared" si="6"/>
        <v>('26Mar250058','070000176839','43200',(select max(to_number(i.premium_rcv_detail_code))+1
from ins_premium_det i),'43200','43200','02', '11000003','00','Request by Mr. Saqib Saleem 26-Mar-2025 Renewal');</v>
      </c>
      <c r="H118" s="19" t="str">
        <f t="shared" si="7"/>
        <v>insert into ins_premium_det (premium_rcv_code,assorted_code, rec_amount,premium_rcv_detail_code,remaining_amt, payrec, mode_code,coinsurance_code,class_cd,it_remarks) values('26Mar250058','070000176839','43200',(select max(to_number(i.premium_rcv_detail_code))+1
from ins_premium_det i),'43200','43200','02', '11000003','00','Request by Mr. Saqib Saleem 26-Mar-2025 Renewal');</v>
      </c>
    </row>
    <row r="119" spans="1:8" ht="89.25" x14ac:dyDescent="0.2">
      <c r="A119" s="4" t="s">
        <v>1490</v>
      </c>
      <c r="B119" t="str">
        <f>VLOOKUP(A119,plicy!B:C,2,0)</f>
        <v>070000176840</v>
      </c>
      <c r="C119" s="6">
        <f>VLOOKUP(A119,[1]Sheet1!$B$2:$AA$595,26,0)</f>
        <v>65475</v>
      </c>
      <c r="D119" s="16">
        <f t="shared" si="5"/>
        <v>65475</v>
      </c>
      <c r="E119" s="20" t="s">
        <v>2238</v>
      </c>
      <c r="F119" s="17" t="str">
        <f t="shared" si="4"/>
        <v>insert into ins_premium_det (premium_rcv_code,assorted_code, rec_amount,premium_rcv_detail_code,remaining_amt, payrec, mode_code,coinsurance_code,class_cd,it_remarks) values</v>
      </c>
      <c r="G119" s="18" t="str">
        <f t="shared" si="6"/>
        <v>('26Mar250058','070000176840','65475',(select max(to_number(i.premium_rcv_detail_code))+1
from ins_premium_det i),'65475','65475','02', '11000003','00','Request by Mr. Saqib Saleem 26-Mar-2025 Renewal');</v>
      </c>
      <c r="H119" s="19" t="str">
        <f t="shared" si="7"/>
        <v>insert into ins_premium_det (premium_rcv_code,assorted_code, rec_amount,premium_rcv_detail_code,remaining_amt, payrec, mode_code,coinsurance_code,class_cd,it_remarks) values('26Mar250058','070000176840','65475',(select max(to_number(i.premium_rcv_detail_code))+1
from ins_premium_det i),'65475','65475','02', '11000003','00','Request by Mr. Saqib Saleem 26-Mar-2025 Renewal');</v>
      </c>
    </row>
    <row r="120" spans="1:8" ht="89.25" x14ac:dyDescent="0.2">
      <c r="A120" s="4" t="s">
        <v>1497</v>
      </c>
      <c r="B120" t="str">
        <f>VLOOKUP(A120,plicy!B:C,2,0)</f>
        <v>070000176841</v>
      </c>
      <c r="C120" s="6">
        <f>VLOOKUP(A120,[1]Sheet1!$B$2:$AA$595,26,0)</f>
        <v>58050</v>
      </c>
      <c r="D120" s="16">
        <f t="shared" si="5"/>
        <v>58050</v>
      </c>
      <c r="E120" s="20" t="s">
        <v>2238</v>
      </c>
      <c r="F120" s="17" t="str">
        <f t="shared" si="4"/>
        <v>insert into ins_premium_det (premium_rcv_code,assorted_code, rec_amount,premium_rcv_detail_code,remaining_amt, payrec, mode_code,coinsurance_code,class_cd,it_remarks) values</v>
      </c>
      <c r="G120" s="18" t="str">
        <f t="shared" si="6"/>
        <v>('26Mar250058','070000176841','58050',(select max(to_number(i.premium_rcv_detail_code))+1
from ins_premium_det i),'58050','58050','02', '11000003','00','Request by Mr. Saqib Saleem 26-Mar-2025 Renewal');</v>
      </c>
      <c r="H120" s="19" t="str">
        <f t="shared" si="7"/>
        <v>insert into ins_premium_det (premium_rcv_code,assorted_code, rec_amount,premium_rcv_detail_code,remaining_amt, payrec, mode_code,coinsurance_code,class_cd,it_remarks) values('26Mar250058','070000176841','58050',(select max(to_number(i.premium_rcv_detail_code))+1
from ins_premium_det i),'58050','58050','02', '11000003','00','Request by Mr. Saqib Saleem 26-Mar-2025 Renewal');</v>
      </c>
    </row>
    <row r="121" spans="1:8" ht="89.25" x14ac:dyDescent="0.2">
      <c r="A121" s="4" t="s">
        <v>1504</v>
      </c>
      <c r="B121" t="str">
        <f>VLOOKUP(A121,plicy!B:C,2,0)</f>
        <v>070000176842</v>
      </c>
      <c r="C121" s="6">
        <f>VLOOKUP(A121,[1]Sheet1!$B$2:$AA$595,26,0)</f>
        <v>43200</v>
      </c>
      <c r="D121" s="16">
        <f t="shared" si="5"/>
        <v>43200</v>
      </c>
      <c r="E121" s="20" t="s">
        <v>2238</v>
      </c>
      <c r="F121" s="17" t="str">
        <f t="shared" si="4"/>
        <v>insert into ins_premium_det (premium_rcv_code,assorted_code, rec_amount,premium_rcv_detail_code,remaining_amt, payrec, mode_code,coinsurance_code,class_cd,it_remarks) values</v>
      </c>
      <c r="G121" s="18" t="str">
        <f t="shared" si="6"/>
        <v>('26Mar250058','070000176842','43200',(select max(to_number(i.premium_rcv_detail_code))+1
from ins_premium_det i),'43200','43200','02', '11000003','00','Request by Mr. Saqib Saleem 26-Mar-2025 Renewal');</v>
      </c>
      <c r="H121" s="19" t="str">
        <f t="shared" si="7"/>
        <v>insert into ins_premium_det (premium_rcv_code,assorted_code, rec_amount,premium_rcv_detail_code,remaining_amt, payrec, mode_code,coinsurance_code,class_cd,it_remarks) values('26Mar250058','070000176842','43200',(select max(to_number(i.premium_rcv_detail_code))+1
from ins_premium_det i),'43200','43200','02', '11000003','00','Request by Mr. Saqib Saleem 26-Mar-2025 Renewal');</v>
      </c>
    </row>
    <row r="122" spans="1:8" ht="89.25" x14ac:dyDescent="0.2">
      <c r="A122" s="4" t="s">
        <v>1511</v>
      </c>
      <c r="B122" t="str">
        <f>VLOOKUP(A122,plicy!B:C,2,0)</f>
        <v>070000176843</v>
      </c>
      <c r="C122" s="6">
        <f>VLOOKUP(A122,[1]Sheet1!$B$2:$AA$595,26,0)</f>
        <v>52650</v>
      </c>
      <c r="D122" s="16">
        <f t="shared" si="5"/>
        <v>52650</v>
      </c>
      <c r="E122" s="20" t="s">
        <v>2238</v>
      </c>
      <c r="F122" s="17" t="str">
        <f t="shared" si="4"/>
        <v>insert into ins_premium_det (premium_rcv_code,assorted_code, rec_amount,premium_rcv_detail_code,remaining_amt, payrec, mode_code,coinsurance_code,class_cd,it_remarks) values</v>
      </c>
      <c r="G122" s="18" t="str">
        <f t="shared" si="6"/>
        <v>('26Mar250058','070000176843','52650',(select max(to_number(i.premium_rcv_detail_code))+1
from ins_premium_det i),'52650','52650','02', '11000003','00','Request by Mr. Saqib Saleem 26-Mar-2025 Renewal');</v>
      </c>
      <c r="H122" s="19" t="str">
        <f t="shared" si="7"/>
        <v>insert into ins_premium_det (premium_rcv_code,assorted_code, rec_amount,premium_rcv_detail_code,remaining_amt, payrec, mode_code,coinsurance_code,class_cd,it_remarks) values('26Mar250058','070000176843','52650',(select max(to_number(i.premium_rcv_detail_code))+1
from ins_premium_det i),'52650','52650','02', '11000003','00','Request by Mr. Saqib Saleem 26-Mar-2025 Renewal');</v>
      </c>
    </row>
    <row r="123" spans="1:8" ht="89.25" x14ac:dyDescent="0.2">
      <c r="A123" s="4" t="s">
        <v>1518</v>
      </c>
      <c r="B123" t="str">
        <f>VLOOKUP(A123,plicy!B:C,2,0)</f>
        <v>070000176844</v>
      </c>
      <c r="C123" s="6">
        <f>VLOOKUP(A123,[1]Sheet1!$B$2:$AA$595,26,0)</f>
        <v>49613</v>
      </c>
      <c r="D123" s="16">
        <f t="shared" si="5"/>
        <v>49613</v>
      </c>
      <c r="E123" s="20" t="s">
        <v>2238</v>
      </c>
      <c r="F123" s="17" t="str">
        <f t="shared" si="4"/>
        <v>insert into ins_premium_det (premium_rcv_code,assorted_code, rec_amount,premium_rcv_detail_code,remaining_amt, payrec, mode_code,coinsurance_code,class_cd,it_remarks) values</v>
      </c>
      <c r="G123" s="18" t="str">
        <f t="shared" si="6"/>
        <v>('26Mar250058','070000176844','49613',(select max(to_number(i.premium_rcv_detail_code))+1
from ins_premium_det i),'49613','49613','02', '11000003','00','Request by Mr. Saqib Saleem 26-Mar-2025 Renewal');</v>
      </c>
      <c r="H123" s="19" t="str">
        <f t="shared" si="7"/>
        <v>insert into ins_premium_det (premium_rcv_code,assorted_code, rec_amount,premium_rcv_detail_code,remaining_amt, payrec, mode_code,coinsurance_code,class_cd,it_remarks) values('26Mar250058','070000176844','49613',(select max(to_number(i.premium_rcv_detail_code))+1
from ins_premium_det i),'49613','49613','02', '11000003','00','Request by Mr. Saqib Saleem 26-Mar-2025 Renewal');</v>
      </c>
    </row>
    <row r="124" spans="1:8" ht="89.25" x14ac:dyDescent="0.2">
      <c r="A124" s="4" t="s">
        <v>1525</v>
      </c>
      <c r="B124" t="str">
        <f>VLOOKUP(A124,plicy!B:C,2,0)</f>
        <v>070000176845</v>
      </c>
      <c r="C124" s="6">
        <f>VLOOKUP(A124,[1]Sheet1!$B$2:$AA$595,26,0)</f>
        <v>55350</v>
      </c>
      <c r="D124" s="16">
        <f t="shared" si="5"/>
        <v>55350</v>
      </c>
      <c r="E124" s="20" t="s">
        <v>2238</v>
      </c>
      <c r="F124" s="17" t="str">
        <f t="shared" si="4"/>
        <v>insert into ins_premium_det (premium_rcv_code,assorted_code, rec_amount,premium_rcv_detail_code,remaining_amt, payrec, mode_code,coinsurance_code,class_cd,it_remarks) values</v>
      </c>
      <c r="G124" s="18" t="str">
        <f t="shared" si="6"/>
        <v>('26Mar250058','070000176845','55350',(select max(to_number(i.premium_rcv_detail_code))+1
from ins_premium_det i),'55350','55350','02', '11000003','00','Request by Mr. Saqib Saleem 26-Mar-2025 Renewal');</v>
      </c>
      <c r="H124" s="19" t="str">
        <f t="shared" si="7"/>
        <v>insert into ins_premium_det (premium_rcv_code,assorted_code, rec_amount,premium_rcv_detail_code,remaining_amt, payrec, mode_code,coinsurance_code,class_cd,it_remarks) values('26Mar250058','070000176845','55350',(select max(to_number(i.premium_rcv_detail_code))+1
from ins_premium_det i),'55350','55350','02', '11000003','00','Request by Mr. Saqib Saleem 26-Mar-2025 Renewal');</v>
      </c>
    </row>
    <row r="125" spans="1:8" ht="89.25" x14ac:dyDescent="0.2">
      <c r="A125" s="4" t="s">
        <v>1532</v>
      </c>
      <c r="B125" t="str">
        <f>VLOOKUP(A125,plicy!B:C,2,0)</f>
        <v>070000176846</v>
      </c>
      <c r="C125" s="6">
        <f>VLOOKUP(A125,[1]Sheet1!$B$2:$AA$595,26,0)</f>
        <v>61200</v>
      </c>
      <c r="D125" s="16">
        <f t="shared" si="5"/>
        <v>61200</v>
      </c>
      <c r="E125" s="20" t="s">
        <v>2238</v>
      </c>
      <c r="F125" s="17" t="str">
        <f t="shared" si="4"/>
        <v>insert into ins_premium_det (premium_rcv_code,assorted_code, rec_amount,premium_rcv_detail_code,remaining_amt, payrec, mode_code,coinsurance_code,class_cd,it_remarks) values</v>
      </c>
      <c r="G125" s="18" t="str">
        <f t="shared" si="6"/>
        <v>('26Mar250058','070000176846','61200',(select max(to_number(i.premium_rcv_detail_code))+1
from ins_premium_det i),'61200','61200','02', '11000003','00','Request by Mr. Saqib Saleem 26-Mar-2025 Renewal');</v>
      </c>
      <c r="H125" s="19" t="str">
        <f t="shared" si="7"/>
        <v>insert into ins_premium_det (premium_rcv_code,assorted_code, rec_amount,premium_rcv_detail_code,remaining_amt, payrec, mode_code,coinsurance_code,class_cd,it_remarks) values('26Mar250058','070000176846','61200',(select max(to_number(i.premium_rcv_detail_code))+1
from ins_premium_det i),'61200','61200','02', '11000003','00','Request by Mr. Saqib Saleem 26-Mar-2025 Renewal');</v>
      </c>
    </row>
    <row r="126" spans="1:8" ht="89.25" x14ac:dyDescent="0.2">
      <c r="A126" s="4" t="s">
        <v>1539</v>
      </c>
      <c r="B126" t="str">
        <f>VLOOKUP(A126,plicy!B:C,2,0)</f>
        <v>070000176811</v>
      </c>
      <c r="C126" s="6">
        <f>VLOOKUP(A126,[1]Sheet1!$B$2:$AA$595,26,0)</f>
        <v>52830</v>
      </c>
      <c r="D126" s="16">
        <f t="shared" si="5"/>
        <v>52830</v>
      </c>
      <c r="E126" s="20" t="s">
        <v>2238</v>
      </c>
      <c r="F126" s="17" t="str">
        <f t="shared" si="4"/>
        <v>insert into ins_premium_det (premium_rcv_code,assorted_code, rec_amount,premium_rcv_detail_code,remaining_amt, payrec, mode_code,coinsurance_code,class_cd,it_remarks) values</v>
      </c>
      <c r="G126" s="18" t="str">
        <f t="shared" si="6"/>
        <v>('26Mar250058','070000176811','52830',(select max(to_number(i.premium_rcv_detail_code))+1
from ins_premium_det i),'52830','52830','02', '11000003','00','Request by Mr. Saqib Saleem 26-Mar-2025 Renewal');</v>
      </c>
      <c r="H126" s="19" t="str">
        <f t="shared" si="7"/>
        <v>insert into ins_premium_det (premium_rcv_code,assorted_code, rec_amount,premium_rcv_detail_code,remaining_amt, payrec, mode_code,coinsurance_code,class_cd,it_remarks) values('26Mar250058','070000176811','52830',(select max(to_number(i.premium_rcv_detail_code))+1
from ins_premium_det i),'52830','52830','02', '11000003','00','Request by Mr. Saqib Saleem 26-Mar-2025 Renewal');</v>
      </c>
    </row>
    <row r="127" spans="1:8" ht="89.25" x14ac:dyDescent="0.2">
      <c r="A127" s="4" t="s">
        <v>1546</v>
      </c>
      <c r="B127" t="str">
        <f>VLOOKUP(A127,plicy!B:C,2,0)</f>
        <v>070000176847</v>
      </c>
      <c r="C127" s="6">
        <f>VLOOKUP(A127,[1]Sheet1!$B$2:$AA$595,26,0)</f>
        <v>41958</v>
      </c>
      <c r="D127" s="16">
        <f t="shared" si="5"/>
        <v>41958</v>
      </c>
      <c r="E127" s="20" t="s">
        <v>2238</v>
      </c>
      <c r="F127" s="17" t="str">
        <f t="shared" si="4"/>
        <v>insert into ins_premium_det (premium_rcv_code,assorted_code, rec_amount,premium_rcv_detail_code,remaining_amt, payrec, mode_code,coinsurance_code,class_cd,it_remarks) values</v>
      </c>
      <c r="G127" s="18" t="str">
        <f t="shared" si="6"/>
        <v>('26Mar250058','070000176847','41958',(select max(to_number(i.premium_rcv_detail_code))+1
from ins_premium_det i),'41958','41958','02', '11000003','00','Request by Mr. Saqib Saleem 26-Mar-2025 Renewal');</v>
      </c>
      <c r="H127" s="19" t="str">
        <f t="shared" si="7"/>
        <v>insert into ins_premium_det (premium_rcv_code,assorted_code, rec_amount,premium_rcv_detail_code,remaining_amt, payrec, mode_code,coinsurance_code,class_cd,it_remarks) values('26Mar250058','070000176847','41958',(select max(to_number(i.premium_rcv_detail_code))+1
from ins_premium_det i),'41958','41958','02', '11000003','00','Request by Mr. Saqib Saleem 26-Mar-2025 Renewal');</v>
      </c>
    </row>
    <row r="128" spans="1:8" ht="89.25" x14ac:dyDescent="0.2">
      <c r="A128" s="4" t="s">
        <v>1552</v>
      </c>
      <c r="B128" t="str">
        <f>VLOOKUP(A128,plicy!B:C,2,0)</f>
        <v>070000176848</v>
      </c>
      <c r="C128" s="6">
        <f>VLOOKUP(A128,[1]Sheet1!$B$2:$AA$595,26,0)</f>
        <v>60750</v>
      </c>
      <c r="D128" s="16">
        <f t="shared" si="5"/>
        <v>60750</v>
      </c>
      <c r="E128" s="20" t="s">
        <v>2238</v>
      </c>
      <c r="F128" s="17" t="str">
        <f t="shared" si="4"/>
        <v>insert into ins_premium_det (premium_rcv_code,assorted_code, rec_amount,premium_rcv_detail_code,remaining_amt, payrec, mode_code,coinsurance_code,class_cd,it_remarks) values</v>
      </c>
      <c r="G128" s="18" t="str">
        <f t="shared" si="6"/>
        <v>('26Mar250058','070000176848','60750',(select max(to_number(i.premium_rcv_detail_code))+1
from ins_premium_det i),'60750','60750','02', '11000003','00','Request by Mr. Saqib Saleem 26-Mar-2025 Renewal');</v>
      </c>
      <c r="H128" s="19" t="str">
        <f t="shared" si="7"/>
        <v>insert into ins_premium_det (premium_rcv_code,assorted_code, rec_amount,premium_rcv_detail_code,remaining_amt, payrec, mode_code,coinsurance_code,class_cd,it_remarks) values('26Mar250058','070000176848','60750',(select max(to_number(i.premium_rcv_detail_code))+1
from ins_premium_det i),'60750','60750','02', '11000003','00','Request by Mr. Saqib Saleem 26-Mar-2025 Renewal');</v>
      </c>
    </row>
    <row r="129" spans="1:8" ht="89.25" x14ac:dyDescent="0.2">
      <c r="A129" s="4" t="s">
        <v>1559</v>
      </c>
      <c r="B129" t="str">
        <f>VLOOKUP(A129,plicy!B:C,2,0)</f>
        <v>070000176849</v>
      </c>
      <c r="C129" s="6">
        <f>VLOOKUP(A129,[1]Sheet1!$B$2:$AA$595,26,0)</f>
        <v>56700</v>
      </c>
      <c r="D129" s="16">
        <f t="shared" si="5"/>
        <v>56700</v>
      </c>
      <c r="E129" s="20" t="s">
        <v>2238</v>
      </c>
      <c r="F129" s="17" t="str">
        <f t="shared" si="4"/>
        <v>insert into ins_premium_det (premium_rcv_code,assorted_code, rec_amount,premium_rcv_detail_code,remaining_amt, payrec, mode_code,coinsurance_code,class_cd,it_remarks) values</v>
      </c>
      <c r="G129" s="18" t="str">
        <f t="shared" si="6"/>
        <v>('26Mar250058','070000176849','56700',(select max(to_number(i.premium_rcv_detail_code))+1
from ins_premium_det i),'56700','56700','02', '11000003','00','Request by Mr. Saqib Saleem 26-Mar-2025 Renewal');</v>
      </c>
      <c r="H129" s="19" t="str">
        <f t="shared" si="7"/>
        <v>insert into ins_premium_det (premium_rcv_code,assorted_code, rec_amount,premium_rcv_detail_code,remaining_amt, payrec, mode_code,coinsurance_code,class_cd,it_remarks) values('26Mar250058','070000176849','56700',(select max(to_number(i.premium_rcv_detail_code))+1
from ins_premium_det i),'56700','56700','02', '11000003','00','Request by Mr. Saqib Saleem 26-Mar-2025 Renewal');</v>
      </c>
    </row>
    <row r="130" spans="1:8" ht="89.25" x14ac:dyDescent="0.2">
      <c r="A130" s="4" t="s">
        <v>1566</v>
      </c>
      <c r="B130" t="str">
        <f>VLOOKUP(A130,plicy!B:C,2,0)</f>
        <v>070000176850</v>
      </c>
      <c r="C130" s="6">
        <f>VLOOKUP(A130,[1]Sheet1!$B$2:$AA$595,26,0)</f>
        <v>43200</v>
      </c>
      <c r="D130" s="16">
        <f t="shared" si="5"/>
        <v>43200</v>
      </c>
      <c r="E130" s="20" t="s">
        <v>2238</v>
      </c>
      <c r="F130" s="17" t="str">
        <f t="shared" ref="F130:F193" si="8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130" s="18" t="str">
        <f t="shared" si="6"/>
        <v>('26Mar250058','070000176850','43200',(select max(to_number(i.premium_rcv_detail_code))+1
from ins_premium_det i),'43200','43200','02', '11000003','00','Request by Mr. Saqib Saleem 26-Mar-2025 Renewal');</v>
      </c>
      <c r="H130" s="19" t="str">
        <f t="shared" si="7"/>
        <v>insert into ins_premium_det (premium_rcv_code,assorted_code, rec_amount,premium_rcv_detail_code,remaining_amt, payrec, mode_code,coinsurance_code,class_cd,it_remarks) values('26Mar250058','070000176850','43200',(select max(to_number(i.premium_rcv_detail_code))+1
from ins_premium_det i),'43200','43200','02', '11000003','00','Request by Mr. Saqib Saleem 26-Mar-2025 Renewal');</v>
      </c>
    </row>
    <row r="131" spans="1:8" ht="89.25" x14ac:dyDescent="0.2">
      <c r="A131" s="4" t="s">
        <v>1573</v>
      </c>
      <c r="B131" t="str">
        <f>VLOOKUP(A131,plicy!B:C,2,0)</f>
        <v>070000176851</v>
      </c>
      <c r="C131" s="6">
        <f>VLOOKUP(A131,[1]Sheet1!$B$2:$AA$595,26,0)</f>
        <v>46800</v>
      </c>
      <c r="D131" s="16">
        <f t="shared" ref="D131:D194" si="9">ROUND(C131,0)</f>
        <v>46800</v>
      </c>
      <c r="E131" s="20" t="s">
        <v>2238</v>
      </c>
      <c r="F131" s="17" t="str">
        <f t="shared" si="8"/>
        <v>insert into ins_premium_det (premium_rcv_code,assorted_code, rec_amount,premium_rcv_detail_code,remaining_amt, payrec, mode_code,coinsurance_code,class_cd,it_remarks) values</v>
      </c>
      <c r="G131" s="18" t="str">
        <f t="shared" ref="G131:G194" si="10">"('"&amp;E131&amp;"','"&amp;B131&amp;"','"&amp;D131&amp;"',(select max(to_number(i.premium_rcv_detail_code))+1
from ins_premium_det i),'"&amp;D131&amp;"','"&amp;D131&amp;"','02', '11000003','00','Request by Mr. Saqib Saleem 26-Mar-2025 Renewal');"</f>
        <v>('26Mar250058','070000176851','46800',(select max(to_number(i.premium_rcv_detail_code))+1
from ins_premium_det i),'46800','46800','02', '11000003','00','Request by Mr. Saqib Saleem 26-Mar-2025 Renewal');</v>
      </c>
      <c r="H131" s="19" t="str">
        <f t="shared" ref="H131:H194" si="11">F131&amp;G131</f>
        <v>insert into ins_premium_det (premium_rcv_code,assorted_code, rec_amount,premium_rcv_detail_code,remaining_amt, payrec, mode_code,coinsurance_code,class_cd,it_remarks) values('26Mar250058','070000176851','46800',(select max(to_number(i.premium_rcv_detail_code))+1
from ins_premium_det i),'46800','46800','02', '11000003','00','Request by Mr. Saqib Saleem 26-Mar-2025 Renewal');</v>
      </c>
    </row>
    <row r="132" spans="1:8" ht="89.25" x14ac:dyDescent="0.2">
      <c r="A132" s="4" t="s">
        <v>1580</v>
      </c>
      <c r="B132" t="str">
        <f>VLOOKUP(A132,plicy!B:C,2,0)</f>
        <v>070000176852</v>
      </c>
      <c r="C132" s="6">
        <f>VLOOKUP(A132,[1]Sheet1!$B$2:$AA$595,26,0)</f>
        <v>60750</v>
      </c>
      <c r="D132" s="16">
        <f t="shared" si="9"/>
        <v>60750</v>
      </c>
      <c r="E132" s="20" t="s">
        <v>2238</v>
      </c>
      <c r="F132" s="17" t="str">
        <f t="shared" si="8"/>
        <v>insert into ins_premium_det (premium_rcv_code,assorted_code, rec_amount,premium_rcv_detail_code,remaining_amt, payrec, mode_code,coinsurance_code,class_cd,it_remarks) values</v>
      </c>
      <c r="G132" s="18" t="str">
        <f t="shared" si="10"/>
        <v>('26Mar250058','070000176852','60750',(select max(to_number(i.premium_rcv_detail_code))+1
from ins_premium_det i),'60750','60750','02', '11000003','00','Request by Mr. Saqib Saleem 26-Mar-2025 Renewal');</v>
      </c>
      <c r="H132" s="19" t="str">
        <f t="shared" si="11"/>
        <v>insert into ins_premium_det (premium_rcv_code,assorted_code, rec_amount,premium_rcv_detail_code,remaining_amt, payrec, mode_code,coinsurance_code,class_cd,it_remarks) values('26Mar250058','070000176852','60750',(select max(to_number(i.premium_rcv_detail_code))+1
from ins_premium_det i),'60750','60750','02', '11000003','00','Request by Mr. Saqib Saleem 26-Mar-2025 Renewal');</v>
      </c>
    </row>
    <row r="133" spans="1:8" ht="89.25" x14ac:dyDescent="0.2">
      <c r="A133" s="4" t="s">
        <v>1587</v>
      </c>
      <c r="B133" t="str">
        <f>VLOOKUP(A133,plicy!B:C,2,0)</f>
        <v>070000176855</v>
      </c>
      <c r="C133" s="6">
        <f>VLOOKUP(A133,[1]Sheet1!$B$2:$AA$595,26,0)</f>
        <v>51300</v>
      </c>
      <c r="D133" s="16">
        <f t="shared" si="9"/>
        <v>51300</v>
      </c>
      <c r="E133" s="20" t="s">
        <v>2238</v>
      </c>
      <c r="F133" s="17" t="str">
        <f t="shared" si="8"/>
        <v>insert into ins_premium_det (premium_rcv_code,assorted_code, rec_amount,premium_rcv_detail_code,remaining_amt, payrec, mode_code,coinsurance_code,class_cd,it_remarks) values</v>
      </c>
      <c r="G133" s="18" t="str">
        <f t="shared" si="10"/>
        <v>('26Mar250058','070000176855','51300',(select max(to_number(i.premium_rcv_detail_code))+1
from ins_premium_det i),'51300','51300','02', '11000003','00','Request by Mr. Saqib Saleem 26-Mar-2025 Renewal');</v>
      </c>
      <c r="H133" s="19" t="str">
        <f t="shared" si="11"/>
        <v>insert into ins_premium_det (premium_rcv_code,assorted_code, rec_amount,premium_rcv_detail_code,remaining_amt, payrec, mode_code,coinsurance_code,class_cd,it_remarks) values('26Mar250058','070000176855','51300',(select max(to_number(i.premium_rcv_detail_code))+1
from ins_premium_det i),'51300','51300','02', '11000003','00','Request by Mr. Saqib Saleem 26-Mar-2025 Renewal');</v>
      </c>
    </row>
    <row r="134" spans="1:8" ht="89.25" x14ac:dyDescent="0.2">
      <c r="A134" s="4" t="s">
        <v>1594</v>
      </c>
      <c r="B134" t="str">
        <f>VLOOKUP(A134,plicy!B:C,2,0)</f>
        <v>070000176856</v>
      </c>
      <c r="C134" s="6">
        <f>VLOOKUP(A134,[1]Sheet1!$B$2:$AA$595,26,0)</f>
        <v>47016</v>
      </c>
      <c r="D134" s="16">
        <f t="shared" si="9"/>
        <v>47016</v>
      </c>
      <c r="E134" s="20" t="s">
        <v>2238</v>
      </c>
      <c r="F134" s="17" t="str">
        <f t="shared" si="8"/>
        <v>insert into ins_premium_det (premium_rcv_code,assorted_code, rec_amount,premium_rcv_detail_code,remaining_amt, payrec, mode_code,coinsurance_code,class_cd,it_remarks) values</v>
      </c>
      <c r="G134" s="18" t="str">
        <f t="shared" si="10"/>
        <v>('26Mar250058','070000176856','47016',(select max(to_number(i.premium_rcv_detail_code))+1
from ins_premium_det i),'47016','47016','02', '11000003','00','Request by Mr. Saqib Saleem 26-Mar-2025 Renewal');</v>
      </c>
      <c r="H134" s="19" t="str">
        <f t="shared" si="11"/>
        <v>insert into ins_premium_det (premium_rcv_code,assorted_code, rec_amount,premium_rcv_detail_code,remaining_amt, payrec, mode_code,coinsurance_code,class_cd,it_remarks) values('26Mar250058','070000176856','47016',(select max(to_number(i.premium_rcv_detail_code))+1
from ins_premium_det i),'47016','47016','02', '11000003','00','Request by Mr. Saqib Saleem 26-Mar-2025 Renewal');</v>
      </c>
    </row>
    <row r="135" spans="1:8" ht="89.25" x14ac:dyDescent="0.2">
      <c r="A135" s="4" t="s">
        <v>1601</v>
      </c>
      <c r="B135" t="str">
        <f>VLOOKUP(A135,plicy!B:C,2,0)</f>
        <v>070000176812</v>
      </c>
      <c r="C135" s="6">
        <f>VLOOKUP(A135,[1]Sheet1!$B$2:$AA$595,26,0)</f>
        <v>116762</v>
      </c>
      <c r="D135" s="16">
        <f t="shared" si="9"/>
        <v>116762</v>
      </c>
      <c r="E135" s="20" t="s">
        <v>2238</v>
      </c>
      <c r="F135" s="17" t="str">
        <f t="shared" si="8"/>
        <v>insert into ins_premium_det (premium_rcv_code,assorted_code, rec_amount,premium_rcv_detail_code,remaining_amt, payrec, mode_code,coinsurance_code,class_cd,it_remarks) values</v>
      </c>
      <c r="G135" s="18" t="str">
        <f t="shared" si="10"/>
        <v>('26Mar250058','070000176812','116762',(select max(to_number(i.premium_rcv_detail_code))+1
from ins_premium_det i),'116762','116762','02', '11000003','00','Request by Mr. Saqib Saleem 26-Mar-2025 Renewal');</v>
      </c>
      <c r="H135" s="19" t="str">
        <f t="shared" si="11"/>
        <v>insert into ins_premium_det (premium_rcv_code,assorted_code, rec_amount,premium_rcv_detail_code,remaining_amt, payrec, mode_code,coinsurance_code,class_cd,it_remarks) values('26Mar250058','070000176812','116762',(select max(to_number(i.premium_rcv_detail_code))+1
from ins_premium_det i),'116762','116762','02', '11000003','00','Request by Mr. Saqib Saleem 26-Mar-2025 Renewal');</v>
      </c>
    </row>
    <row r="136" spans="1:8" ht="89.25" x14ac:dyDescent="0.2">
      <c r="A136" s="4" t="s">
        <v>1609</v>
      </c>
      <c r="B136" t="str">
        <f>VLOOKUP(A136,plicy!B:C,2,0)</f>
        <v>070000176858</v>
      </c>
      <c r="C136" s="6">
        <f>VLOOKUP(A136,[1]Sheet1!$B$2:$AA$595,26,0)</f>
        <v>86959</v>
      </c>
      <c r="D136" s="16">
        <f t="shared" si="9"/>
        <v>86959</v>
      </c>
      <c r="E136" s="20" t="s">
        <v>2238</v>
      </c>
      <c r="F136" s="17" t="str">
        <f t="shared" si="8"/>
        <v>insert into ins_premium_det (premium_rcv_code,assorted_code, rec_amount,premium_rcv_detail_code,remaining_amt, payrec, mode_code,coinsurance_code,class_cd,it_remarks) values</v>
      </c>
      <c r="G136" s="18" t="str">
        <f t="shared" si="10"/>
        <v>('26Mar250058','070000176858','86959',(select max(to_number(i.premium_rcv_detail_code))+1
from ins_premium_det i),'86959','86959','02', '11000003','00','Request by Mr. Saqib Saleem 26-Mar-2025 Renewal');</v>
      </c>
      <c r="H136" s="19" t="str">
        <f t="shared" si="11"/>
        <v>insert into ins_premium_det (premium_rcv_code,assorted_code, rec_amount,premium_rcv_detail_code,remaining_amt, payrec, mode_code,coinsurance_code,class_cd,it_remarks) values('26Mar250058','070000176858','86959',(select max(to_number(i.premium_rcv_detail_code))+1
from ins_premium_det i),'86959','86959','02', '11000003','00','Request by Mr. Saqib Saleem 26-Mar-2025 Renewal');</v>
      </c>
    </row>
    <row r="137" spans="1:8" ht="89.25" x14ac:dyDescent="0.2">
      <c r="A137" s="4" t="s">
        <v>1618</v>
      </c>
      <c r="B137" t="str">
        <f>VLOOKUP(A137,plicy!B:C,2,0)</f>
        <v>070000176859</v>
      </c>
      <c r="C137" s="6">
        <f>VLOOKUP(A137,[1]Sheet1!$B$2:$AA$595,26,0)</f>
        <v>57375</v>
      </c>
      <c r="D137" s="16">
        <f t="shared" si="9"/>
        <v>57375</v>
      </c>
      <c r="E137" s="20" t="s">
        <v>2238</v>
      </c>
      <c r="F137" s="17" t="str">
        <f t="shared" si="8"/>
        <v>insert into ins_premium_det (premium_rcv_code,assorted_code, rec_amount,premium_rcv_detail_code,remaining_amt, payrec, mode_code,coinsurance_code,class_cd,it_remarks) values</v>
      </c>
      <c r="G137" s="18" t="str">
        <f t="shared" si="10"/>
        <v>('26Mar250058','070000176859','57375',(select max(to_number(i.premium_rcv_detail_code))+1
from ins_premium_det i),'57375','57375','02', '11000003','00','Request by Mr. Saqib Saleem 26-Mar-2025 Renewal');</v>
      </c>
      <c r="H137" s="19" t="str">
        <f t="shared" si="11"/>
        <v>insert into ins_premium_det (premium_rcv_code,assorted_code, rec_amount,premium_rcv_detail_code,remaining_amt, payrec, mode_code,coinsurance_code,class_cd,it_remarks) values('26Mar250058','070000176859','57375',(select max(to_number(i.premium_rcv_detail_code))+1
from ins_premium_det i),'57375','57375','02', '11000003','00','Request by Mr. Saqib Saleem 26-Mar-2025 Renewal');</v>
      </c>
    </row>
    <row r="138" spans="1:8" ht="89.25" x14ac:dyDescent="0.2">
      <c r="A138" s="4" t="s">
        <v>1625</v>
      </c>
      <c r="B138" t="str">
        <f>VLOOKUP(A138,plicy!B:C,2,0)</f>
        <v>070000176860</v>
      </c>
      <c r="C138" s="6">
        <f>VLOOKUP(A138,[1]Sheet1!$B$2:$AA$595,26,0)</f>
        <v>36805</v>
      </c>
      <c r="D138" s="16">
        <f t="shared" si="9"/>
        <v>36805</v>
      </c>
      <c r="E138" s="20" t="s">
        <v>2238</v>
      </c>
      <c r="F138" s="17" t="str">
        <f t="shared" si="8"/>
        <v>insert into ins_premium_det (premium_rcv_code,assorted_code, rec_amount,premium_rcv_detail_code,remaining_amt, payrec, mode_code,coinsurance_code,class_cd,it_remarks) values</v>
      </c>
      <c r="G138" s="18" t="str">
        <f t="shared" si="10"/>
        <v>('26Mar250058','070000176860','36805',(select max(to_number(i.premium_rcv_detail_code))+1
from ins_premium_det i),'36805','36805','02', '11000003','00','Request by Mr. Saqib Saleem 26-Mar-2025 Renewal');</v>
      </c>
      <c r="H138" s="19" t="str">
        <f t="shared" si="11"/>
        <v>insert into ins_premium_det (premium_rcv_code,assorted_code, rec_amount,premium_rcv_detail_code,remaining_amt, payrec, mode_code,coinsurance_code,class_cd,it_remarks) values('26Mar250058','070000176860','36805',(select max(to_number(i.premium_rcv_detail_code))+1
from ins_premium_det i),'36805','36805','02', '11000003','00','Request by Mr. Saqib Saleem 26-Mar-2025 Renewal');</v>
      </c>
    </row>
    <row r="139" spans="1:8" ht="89.25" x14ac:dyDescent="0.2">
      <c r="A139" s="4" t="s">
        <v>1632</v>
      </c>
      <c r="B139" t="str">
        <f>VLOOKUP(A139,plicy!B:C,2,0)</f>
        <v>070000176861</v>
      </c>
      <c r="C139" s="6">
        <f>VLOOKUP(A139,[1]Sheet1!$B$2:$AA$595,26,0)</f>
        <v>26138</v>
      </c>
      <c r="D139" s="16">
        <f t="shared" si="9"/>
        <v>26138</v>
      </c>
      <c r="E139" s="20" t="s">
        <v>2238</v>
      </c>
      <c r="F139" s="17" t="str">
        <f t="shared" si="8"/>
        <v>insert into ins_premium_det (premium_rcv_code,assorted_code, rec_amount,premium_rcv_detail_code,remaining_amt, payrec, mode_code,coinsurance_code,class_cd,it_remarks) values</v>
      </c>
      <c r="G139" s="18" t="str">
        <f t="shared" si="10"/>
        <v>('26Mar250058','070000176861','26138',(select max(to_number(i.premium_rcv_detail_code))+1
from ins_premium_det i),'26138','26138','02', '11000003','00','Request by Mr. Saqib Saleem 26-Mar-2025 Renewal');</v>
      </c>
      <c r="H139" s="19" t="str">
        <f t="shared" si="11"/>
        <v>insert into ins_premium_det (premium_rcv_code,assorted_code, rec_amount,premium_rcv_detail_code,remaining_amt, payrec, mode_code,coinsurance_code,class_cd,it_remarks) values('26Mar250058','070000176861','26138',(select max(to_number(i.premium_rcv_detail_code))+1
from ins_premium_det i),'26138','26138','02', '11000003','00','Request by Mr. Saqib Saleem 26-Mar-2025 Renewal');</v>
      </c>
    </row>
    <row r="140" spans="1:8" ht="89.25" x14ac:dyDescent="0.2">
      <c r="A140" s="4" t="s">
        <v>1639</v>
      </c>
      <c r="B140" t="str">
        <f>VLOOKUP(A140,plicy!B:C,2,0)</f>
        <v>070000176862</v>
      </c>
      <c r="C140" s="6">
        <f>VLOOKUP(A140,[1]Sheet1!$B$2:$AA$595,26,0)</f>
        <v>40800</v>
      </c>
      <c r="D140" s="16">
        <f t="shared" si="9"/>
        <v>40800</v>
      </c>
      <c r="E140" s="20" t="s">
        <v>2238</v>
      </c>
      <c r="F140" s="17" t="str">
        <f t="shared" si="8"/>
        <v>insert into ins_premium_det (premium_rcv_code,assorted_code, rec_amount,premium_rcv_detail_code,remaining_amt, payrec, mode_code,coinsurance_code,class_cd,it_remarks) values</v>
      </c>
      <c r="G140" s="18" t="str">
        <f t="shared" si="10"/>
        <v>('26Mar250058','070000176862','40800',(select max(to_number(i.premium_rcv_detail_code))+1
from ins_premium_det i),'40800','40800','02', '11000003','00','Request by Mr. Saqib Saleem 26-Mar-2025 Renewal');</v>
      </c>
      <c r="H140" s="19" t="str">
        <f t="shared" si="11"/>
        <v>insert into ins_premium_det (premium_rcv_code,assorted_code, rec_amount,premium_rcv_detail_code,remaining_amt, payrec, mode_code,coinsurance_code,class_cd,it_remarks) values('26Mar250058','070000176862','40800',(select max(to_number(i.premium_rcv_detail_code))+1
from ins_premium_det i),'40800','40800','02', '11000003','00','Request by Mr. Saqib Saleem 26-Mar-2025 Renewal');</v>
      </c>
    </row>
    <row r="141" spans="1:8" ht="89.25" x14ac:dyDescent="0.2">
      <c r="A141" s="4" t="s">
        <v>1646</v>
      </c>
      <c r="B141" t="str">
        <f>VLOOKUP(A141,plicy!B:C,2,0)</f>
        <v>070000176863</v>
      </c>
      <c r="C141" s="6">
        <f>VLOOKUP(A141,[1]Sheet1!$B$2:$AA$595,26,0)</f>
        <v>39950</v>
      </c>
      <c r="D141" s="16">
        <f t="shared" si="9"/>
        <v>39950</v>
      </c>
      <c r="E141" s="20" t="s">
        <v>2238</v>
      </c>
      <c r="F141" s="17" t="str">
        <f t="shared" si="8"/>
        <v>insert into ins_premium_det (premium_rcv_code,assorted_code, rec_amount,premium_rcv_detail_code,remaining_amt, payrec, mode_code,coinsurance_code,class_cd,it_remarks) values</v>
      </c>
      <c r="G141" s="18" t="str">
        <f t="shared" si="10"/>
        <v>('26Mar250058','070000176863','39950',(select max(to_number(i.premium_rcv_detail_code))+1
from ins_premium_det i),'39950','39950','02', '11000003','00','Request by Mr. Saqib Saleem 26-Mar-2025 Renewal');</v>
      </c>
      <c r="H141" s="19" t="str">
        <f t="shared" si="11"/>
        <v>insert into ins_premium_det (premium_rcv_code,assorted_code, rec_amount,premium_rcv_detail_code,remaining_amt, payrec, mode_code,coinsurance_code,class_cd,it_remarks) values('26Mar250058','070000176863','39950',(select max(to_number(i.premium_rcv_detail_code))+1
from ins_premium_det i),'39950','39950','02', '11000003','00','Request by Mr. Saqib Saleem 26-Mar-2025 Renewal');</v>
      </c>
    </row>
    <row r="142" spans="1:8" ht="89.25" x14ac:dyDescent="0.2">
      <c r="A142" s="4" t="s">
        <v>1652</v>
      </c>
      <c r="B142" t="str">
        <f>VLOOKUP(A142,plicy!B:C,2,0)</f>
        <v>070000176864</v>
      </c>
      <c r="C142" s="6">
        <f>VLOOKUP(A142,[1]Sheet1!$B$2:$AA$595,26,0)</f>
        <v>52913</v>
      </c>
      <c r="D142" s="16">
        <f t="shared" si="9"/>
        <v>52913</v>
      </c>
      <c r="E142" s="20" t="s">
        <v>2238</v>
      </c>
      <c r="F142" s="17" t="str">
        <f t="shared" si="8"/>
        <v>insert into ins_premium_det (premium_rcv_code,assorted_code, rec_amount,premium_rcv_detail_code,remaining_amt, payrec, mode_code,coinsurance_code,class_cd,it_remarks) values</v>
      </c>
      <c r="G142" s="18" t="str">
        <f t="shared" si="10"/>
        <v>('26Mar250058','070000176864','52913',(select max(to_number(i.premium_rcv_detail_code))+1
from ins_premium_det i),'52913','52913','02', '11000003','00','Request by Mr. Saqib Saleem 26-Mar-2025 Renewal');</v>
      </c>
      <c r="H142" s="19" t="str">
        <f t="shared" si="11"/>
        <v>insert into ins_premium_det (premium_rcv_code,assorted_code, rec_amount,premium_rcv_detail_code,remaining_amt, payrec, mode_code,coinsurance_code,class_cd,it_remarks) values('26Mar250058','070000176864','52913',(select max(to_number(i.premium_rcv_detail_code))+1
from ins_premium_det i),'52913','52913','02', '11000003','00','Request by Mr. Saqib Saleem 26-Mar-2025 Renewal');</v>
      </c>
    </row>
    <row r="143" spans="1:8" ht="89.25" x14ac:dyDescent="0.2">
      <c r="A143" s="4" t="s">
        <v>1660</v>
      </c>
      <c r="B143" t="str">
        <f>VLOOKUP(A143,plicy!B:C,2,0)</f>
        <v>070000176865</v>
      </c>
      <c r="C143" s="6">
        <f>VLOOKUP(A143,[1]Sheet1!$B$2:$AA$595,26,0)</f>
        <v>39950</v>
      </c>
      <c r="D143" s="16">
        <f t="shared" si="9"/>
        <v>39950</v>
      </c>
      <c r="E143" s="20" t="s">
        <v>2238</v>
      </c>
      <c r="F143" s="17" t="str">
        <f t="shared" si="8"/>
        <v>insert into ins_premium_det (premium_rcv_code,assorted_code, rec_amount,premium_rcv_detail_code,remaining_amt, payrec, mode_code,coinsurance_code,class_cd,it_remarks) values</v>
      </c>
      <c r="G143" s="18" t="str">
        <f t="shared" si="10"/>
        <v>('26Mar250058','070000176865','39950',(select max(to_number(i.premium_rcv_detail_code))+1
from ins_premium_det i),'39950','39950','02', '11000003','00','Request by Mr. Saqib Saleem 26-Mar-2025 Renewal');</v>
      </c>
      <c r="H143" s="19" t="str">
        <f t="shared" si="11"/>
        <v>insert into ins_premium_det (premium_rcv_code,assorted_code, rec_amount,premium_rcv_detail_code,remaining_amt, payrec, mode_code,coinsurance_code,class_cd,it_remarks) values('26Mar250058','070000176865','39950',(select max(to_number(i.premium_rcv_detail_code))+1
from ins_premium_det i),'39950','39950','02', '11000003','00','Request by Mr. Saqib Saleem 26-Mar-2025 Renewal');</v>
      </c>
    </row>
    <row r="144" spans="1:8" ht="89.25" x14ac:dyDescent="0.2">
      <c r="A144" s="4" t="s">
        <v>1667</v>
      </c>
      <c r="B144" t="str">
        <f>VLOOKUP(A144,plicy!B:C,2,0)</f>
        <v>070000176866</v>
      </c>
      <c r="C144" s="6">
        <f>VLOOKUP(A144,[1]Sheet1!$B$2:$AA$595,26,0)</f>
        <v>56100</v>
      </c>
      <c r="D144" s="16">
        <f t="shared" si="9"/>
        <v>56100</v>
      </c>
      <c r="E144" s="20" t="s">
        <v>2238</v>
      </c>
      <c r="F144" s="17" t="str">
        <f t="shared" si="8"/>
        <v>insert into ins_premium_det (premium_rcv_code,assorted_code, rec_amount,premium_rcv_detail_code,remaining_amt, payrec, mode_code,coinsurance_code,class_cd,it_remarks) values</v>
      </c>
      <c r="G144" s="18" t="str">
        <f t="shared" si="10"/>
        <v>('26Mar250058','070000176866','56100',(select max(to_number(i.premium_rcv_detail_code))+1
from ins_premium_det i),'56100','56100','02', '11000003','00','Request by Mr. Saqib Saleem 26-Mar-2025 Renewal');</v>
      </c>
      <c r="H144" s="19" t="str">
        <f t="shared" si="11"/>
        <v>insert into ins_premium_det (premium_rcv_code,assorted_code, rec_amount,premium_rcv_detail_code,remaining_amt, payrec, mode_code,coinsurance_code,class_cd,it_remarks) values('26Mar250058','070000176866','56100',(select max(to_number(i.premium_rcv_detail_code))+1
from ins_premium_det i),'56100','56100','02', '11000003','00','Request by Mr. Saqib Saleem 26-Mar-2025 Renewal');</v>
      </c>
    </row>
    <row r="145" spans="1:8" ht="89.25" x14ac:dyDescent="0.2">
      <c r="A145" s="4" t="s">
        <v>1674</v>
      </c>
      <c r="B145" t="str">
        <f>VLOOKUP(A145,plicy!B:C,2,0)</f>
        <v>070000176813</v>
      </c>
      <c r="C145" s="6">
        <f>VLOOKUP(A145,[1]Sheet1!$B$2:$AA$595,26,0)</f>
        <v>45900</v>
      </c>
      <c r="D145" s="16">
        <f t="shared" si="9"/>
        <v>45900</v>
      </c>
      <c r="E145" s="20" t="s">
        <v>2238</v>
      </c>
      <c r="F145" s="17" t="str">
        <f t="shared" si="8"/>
        <v>insert into ins_premium_det (premium_rcv_code,assorted_code, rec_amount,premium_rcv_detail_code,remaining_amt, payrec, mode_code,coinsurance_code,class_cd,it_remarks) values</v>
      </c>
      <c r="G145" s="18" t="str">
        <f t="shared" si="10"/>
        <v>('26Mar250058','070000176813','45900',(select max(to_number(i.premium_rcv_detail_code))+1
from ins_premium_det i),'45900','45900','02', '11000003','00','Request by Mr. Saqib Saleem 26-Mar-2025 Renewal');</v>
      </c>
      <c r="H145" s="19" t="str">
        <f t="shared" si="11"/>
        <v>insert into ins_premium_det (premium_rcv_code,assorted_code, rec_amount,premium_rcv_detail_code,remaining_amt, payrec, mode_code,coinsurance_code,class_cd,it_remarks) values('26Mar250058','070000176813','45900',(select max(to_number(i.premium_rcv_detail_code))+1
from ins_premium_det i),'45900','45900','02', '11000003','00','Request by Mr. Saqib Saleem 26-Mar-2025 Renewal');</v>
      </c>
    </row>
    <row r="146" spans="1:8" ht="89.25" x14ac:dyDescent="0.2">
      <c r="A146" s="4" t="s">
        <v>1681</v>
      </c>
      <c r="B146" t="str">
        <f>VLOOKUP(A146,plicy!B:C,2,0)</f>
        <v>070000176867</v>
      </c>
      <c r="C146" s="6">
        <f>VLOOKUP(A146,[1]Sheet1!$B$2:$AA$595,26,0)</f>
        <v>86687</v>
      </c>
      <c r="D146" s="16">
        <f t="shared" si="9"/>
        <v>86687</v>
      </c>
      <c r="E146" s="20" t="s">
        <v>2238</v>
      </c>
      <c r="F146" s="17" t="str">
        <f t="shared" si="8"/>
        <v>insert into ins_premium_det (premium_rcv_code,assorted_code, rec_amount,premium_rcv_detail_code,remaining_amt, payrec, mode_code,coinsurance_code,class_cd,it_remarks) values</v>
      </c>
      <c r="G146" s="18" t="str">
        <f t="shared" si="10"/>
        <v>('26Mar250058','070000176867','86687',(select max(to_number(i.premium_rcv_detail_code))+1
from ins_premium_det i),'86687','86687','02', '11000003','00','Request by Mr. Saqib Saleem 26-Mar-2025 Renewal');</v>
      </c>
      <c r="H146" s="19" t="str">
        <f t="shared" si="11"/>
        <v>insert into ins_premium_det (premium_rcv_code,assorted_code, rec_amount,premium_rcv_detail_code,remaining_amt, payrec, mode_code,coinsurance_code,class_cd,it_remarks) values('26Mar250058','070000176867','86687',(select max(to_number(i.premium_rcv_detail_code))+1
from ins_premium_det i),'86687','86687','02', '11000003','00','Request by Mr. Saqib Saleem 26-Mar-2025 Renewal');</v>
      </c>
    </row>
    <row r="147" spans="1:8" ht="89.25" x14ac:dyDescent="0.2">
      <c r="A147" s="4" t="s">
        <v>1688</v>
      </c>
      <c r="B147" t="str">
        <f>VLOOKUP(A147,plicy!B:C,2,0)</f>
        <v>070000176868</v>
      </c>
      <c r="C147" s="6">
        <f>VLOOKUP(A147,[1]Sheet1!$B$2:$AA$595,26,0)</f>
        <v>36848</v>
      </c>
      <c r="D147" s="16">
        <f t="shared" si="9"/>
        <v>36848</v>
      </c>
      <c r="E147" s="20" t="s">
        <v>2238</v>
      </c>
      <c r="F147" s="17" t="str">
        <f t="shared" si="8"/>
        <v>insert into ins_premium_det (premium_rcv_code,assorted_code, rec_amount,premium_rcv_detail_code,remaining_amt, payrec, mode_code,coinsurance_code,class_cd,it_remarks) values</v>
      </c>
      <c r="G147" s="18" t="str">
        <f t="shared" si="10"/>
        <v>('26Mar250058','070000176868','36848',(select max(to_number(i.premium_rcv_detail_code))+1
from ins_premium_det i),'36848','36848','02', '11000003','00','Request by Mr. Saqib Saleem 26-Mar-2025 Renewal');</v>
      </c>
      <c r="H147" s="19" t="str">
        <f t="shared" si="11"/>
        <v>insert into ins_premium_det (premium_rcv_code,assorted_code, rec_amount,premium_rcv_detail_code,remaining_amt, payrec, mode_code,coinsurance_code,class_cd,it_remarks) values('26Mar250058','070000176868','36848',(select max(to_number(i.premium_rcv_detail_code))+1
from ins_premium_det i),'36848','36848','02', '11000003','00','Request by Mr. Saqib Saleem 26-Mar-2025 Renewal');</v>
      </c>
    </row>
    <row r="148" spans="1:8" ht="89.25" x14ac:dyDescent="0.2">
      <c r="A148" s="4" t="s">
        <v>1695</v>
      </c>
      <c r="B148" t="str">
        <f>VLOOKUP(A148,plicy!B:C,2,0)</f>
        <v>070000176869</v>
      </c>
      <c r="C148" s="6">
        <f>VLOOKUP(A148,[1]Sheet1!$B$2:$AA$595,26,0)</f>
        <v>38250</v>
      </c>
      <c r="D148" s="16">
        <f t="shared" si="9"/>
        <v>38250</v>
      </c>
      <c r="E148" s="20" t="s">
        <v>2238</v>
      </c>
      <c r="F148" s="17" t="str">
        <f t="shared" si="8"/>
        <v>insert into ins_premium_det (premium_rcv_code,assorted_code, rec_amount,premium_rcv_detail_code,remaining_amt, payrec, mode_code,coinsurance_code,class_cd,it_remarks) values</v>
      </c>
      <c r="G148" s="18" t="str">
        <f t="shared" si="10"/>
        <v>('26Mar250058','070000176869','38250',(select max(to_number(i.premium_rcv_detail_code))+1
from ins_premium_det i),'38250','38250','02', '11000003','00','Request by Mr. Saqib Saleem 26-Mar-2025 Renewal');</v>
      </c>
      <c r="H148" s="19" t="str">
        <f t="shared" si="11"/>
        <v>insert into ins_premium_det (premium_rcv_code,assorted_code, rec_amount,premium_rcv_detail_code,remaining_amt, payrec, mode_code,coinsurance_code,class_cd,it_remarks) values('26Mar250058','070000176869','38250',(select max(to_number(i.premium_rcv_detail_code))+1
from ins_premium_det i),'38250','38250','02', '11000003','00','Request by Mr. Saqib Saleem 26-Mar-2025 Renewal');</v>
      </c>
    </row>
    <row r="149" spans="1:8" ht="89.25" x14ac:dyDescent="0.2">
      <c r="A149" s="4" t="s">
        <v>1701</v>
      </c>
      <c r="B149" t="str">
        <f>VLOOKUP(A149,plicy!B:C,2,0)</f>
        <v>070000176870</v>
      </c>
      <c r="C149" s="6">
        <f>VLOOKUP(A149,[1]Sheet1!$B$2:$AA$595,26,0)</f>
        <v>48875</v>
      </c>
      <c r="D149" s="16">
        <f t="shared" si="9"/>
        <v>48875</v>
      </c>
      <c r="E149" s="20" t="s">
        <v>2238</v>
      </c>
      <c r="F149" s="17" t="str">
        <f t="shared" si="8"/>
        <v>insert into ins_premium_det (premium_rcv_code,assorted_code, rec_amount,premium_rcv_detail_code,remaining_amt, payrec, mode_code,coinsurance_code,class_cd,it_remarks) values</v>
      </c>
      <c r="G149" s="18" t="str">
        <f t="shared" si="10"/>
        <v>('26Mar250058','070000176870','48875',(select max(to_number(i.premium_rcv_detail_code))+1
from ins_premium_det i),'48875','48875','02', '11000003','00','Request by Mr. Saqib Saleem 26-Mar-2025 Renewal');</v>
      </c>
      <c r="H149" s="19" t="str">
        <f t="shared" si="11"/>
        <v>insert into ins_premium_det (premium_rcv_code,assorted_code, rec_amount,premium_rcv_detail_code,remaining_amt, payrec, mode_code,coinsurance_code,class_cd,it_remarks) values('26Mar250058','070000176870','48875',(select max(to_number(i.premium_rcv_detail_code))+1
from ins_premium_det i),'48875','48875','02', '11000003','00','Request by Mr. Saqib Saleem 26-Mar-2025 Renewal');</v>
      </c>
    </row>
    <row r="150" spans="1:8" ht="89.25" x14ac:dyDescent="0.2">
      <c r="A150" s="4" t="s">
        <v>1708</v>
      </c>
      <c r="B150" t="str">
        <f>VLOOKUP(A150,plicy!B:C,2,0)</f>
        <v>070000176871</v>
      </c>
      <c r="C150" s="6">
        <f>VLOOKUP(A150,[1]Sheet1!$B$2:$AA$595,26,0)</f>
        <v>49300</v>
      </c>
      <c r="D150" s="16">
        <f t="shared" si="9"/>
        <v>49300</v>
      </c>
      <c r="E150" s="20" t="s">
        <v>2238</v>
      </c>
      <c r="F150" s="17" t="str">
        <f t="shared" si="8"/>
        <v>insert into ins_premium_det (premium_rcv_code,assorted_code, rec_amount,premium_rcv_detail_code,remaining_amt, payrec, mode_code,coinsurance_code,class_cd,it_remarks) values</v>
      </c>
      <c r="G150" s="18" t="str">
        <f t="shared" si="10"/>
        <v>('26Mar250058','070000176871','49300',(select max(to_number(i.premium_rcv_detail_code))+1
from ins_premium_det i),'49300','49300','02', '11000003','00','Request by Mr. Saqib Saleem 26-Mar-2025 Renewal');</v>
      </c>
      <c r="H150" s="19" t="str">
        <f t="shared" si="11"/>
        <v>insert into ins_premium_det (premium_rcv_code,assorted_code, rec_amount,premium_rcv_detail_code,remaining_amt, payrec, mode_code,coinsurance_code,class_cd,it_remarks) values('26Mar250058','070000176871','49300',(select max(to_number(i.premium_rcv_detail_code))+1
from ins_premium_det i),'49300','49300','02', '11000003','00','Request by Mr. Saqib Saleem 26-Mar-2025 Renewal');</v>
      </c>
    </row>
    <row r="151" spans="1:8" ht="89.25" x14ac:dyDescent="0.2">
      <c r="A151" s="4" t="s">
        <v>1715</v>
      </c>
      <c r="B151" t="str">
        <f>VLOOKUP(A151,plicy!B:C,2,0)</f>
        <v>070000176872</v>
      </c>
      <c r="C151" s="6">
        <f>VLOOKUP(A151,[1]Sheet1!$B$2:$AA$595,26,0)</f>
        <v>37995</v>
      </c>
      <c r="D151" s="16">
        <f t="shared" si="9"/>
        <v>37995</v>
      </c>
      <c r="E151" s="20" t="s">
        <v>2238</v>
      </c>
      <c r="F151" s="17" t="str">
        <f t="shared" si="8"/>
        <v>insert into ins_premium_det (premium_rcv_code,assorted_code, rec_amount,premium_rcv_detail_code,remaining_amt, payrec, mode_code,coinsurance_code,class_cd,it_remarks) values</v>
      </c>
      <c r="G151" s="18" t="str">
        <f t="shared" si="10"/>
        <v>('26Mar250058','070000176872','37995',(select max(to_number(i.premium_rcv_detail_code))+1
from ins_premium_det i),'37995','37995','02', '11000003','00','Request by Mr. Saqib Saleem 26-Mar-2025 Renewal');</v>
      </c>
      <c r="H151" s="19" t="str">
        <f t="shared" si="11"/>
        <v>insert into ins_premium_det (premium_rcv_code,assorted_code, rec_amount,premium_rcv_detail_code,remaining_amt, payrec, mode_code,coinsurance_code,class_cd,it_remarks) values('26Mar250058','070000176872','37995',(select max(to_number(i.premium_rcv_detail_code))+1
from ins_premium_det i),'37995','37995','02', '11000003','00','Request by Mr. Saqib Saleem 26-Mar-2025 Renewal');</v>
      </c>
    </row>
    <row r="152" spans="1:8" ht="89.25" x14ac:dyDescent="0.2">
      <c r="A152" s="4" t="s">
        <v>1722</v>
      </c>
      <c r="B152" t="str">
        <f>VLOOKUP(A152,plicy!B:C,2,0)</f>
        <v>070000176873</v>
      </c>
      <c r="C152" s="6">
        <f>VLOOKUP(A152,[1]Sheet1!$B$2:$AA$595,26,0)</f>
        <v>27413</v>
      </c>
      <c r="D152" s="16">
        <f t="shared" si="9"/>
        <v>27413</v>
      </c>
      <c r="E152" s="20" t="s">
        <v>2238</v>
      </c>
      <c r="F152" s="17" t="str">
        <f t="shared" si="8"/>
        <v>insert into ins_premium_det (premium_rcv_code,assorted_code, rec_amount,premium_rcv_detail_code,remaining_amt, payrec, mode_code,coinsurance_code,class_cd,it_remarks) values</v>
      </c>
      <c r="G152" s="18" t="str">
        <f t="shared" si="10"/>
        <v>('26Mar250058','070000176873','27413',(select max(to_number(i.premium_rcv_detail_code))+1
from ins_premium_det i),'27413','27413','02', '11000003','00','Request by Mr. Saqib Saleem 26-Mar-2025 Renewal');</v>
      </c>
      <c r="H152" s="19" t="str">
        <f t="shared" si="11"/>
        <v>insert into ins_premium_det (premium_rcv_code,assorted_code, rec_amount,premium_rcv_detail_code,remaining_amt, payrec, mode_code,coinsurance_code,class_cd,it_remarks) values('26Mar250058','070000176873','27413',(select max(to_number(i.premium_rcv_detail_code))+1
from ins_premium_det i),'27413','27413','02', '11000003','00','Request by Mr. Saqib Saleem 26-Mar-2025 Renewal');</v>
      </c>
    </row>
    <row r="153" spans="1:8" ht="89.25" x14ac:dyDescent="0.2">
      <c r="A153" s="4" t="s">
        <v>1729</v>
      </c>
      <c r="B153" t="str">
        <f>VLOOKUP(A153,plicy!B:C,2,0)</f>
        <v>070000176874</v>
      </c>
      <c r="C153" s="6">
        <f>VLOOKUP(A153,[1]Sheet1!$B$2:$AA$595,26,0)</f>
        <v>79356</v>
      </c>
      <c r="D153" s="16">
        <f t="shared" si="9"/>
        <v>79356</v>
      </c>
      <c r="E153" s="20" t="s">
        <v>2238</v>
      </c>
      <c r="F153" s="17" t="str">
        <f t="shared" si="8"/>
        <v>insert into ins_premium_det (premium_rcv_code,assorted_code, rec_amount,premium_rcv_detail_code,remaining_amt, payrec, mode_code,coinsurance_code,class_cd,it_remarks) values</v>
      </c>
      <c r="G153" s="18" t="str">
        <f t="shared" si="10"/>
        <v>('26Mar250058','070000176874','79356',(select max(to_number(i.premium_rcv_detail_code))+1
from ins_premium_det i),'79356','79356','02', '11000003','00','Request by Mr. Saqib Saleem 26-Mar-2025 Renewal');</v>
      </c>
      <c r="H153" s="19" t="str">
        <f t="shared" si="11"/>
        <v>insert into ins_premium_det (premium_rcv_code,assorted_code, rec_amount,premium_rcv_detail_code,remaining_amt, payrec, mode_code,coinsurance_code,class_cd,it_remarks) values('26Mar250058','070000176874','79356',(select max(to_number(i.premium_rcv_detail_code))+1
from ins_premium_det i),'79356','79356','02', '11000003','00','Request by Mr. Saqib Saleem 26-Mar-2025 Renewal');</v>
      </c>
    </row>
    <row r="154" spans="1:8" ht="89.25" x14ac:dyDescent="0.2">
      <c r="A154" s="4" t="s">
        <v>1736</v>
      </c>
      <c r="B154" t="str">
        <f>VLOOKUP(A154,plicy!B:C,2,0)</f>
        <v>070000176875</v>
      </c>
      <c r="C154" s="6">
        <f>VLOOKUP(A154,[1]Sheet1!$B$2:$AA$595,26,0)</f>
        <v>39100</v>
      </c>
      <c r="D154" s="16">
        <f t="shared" si="9"/>
        <v>39100</v>
      </c>
      <c r="E154" s="20" t="s">
        <v>2238</v>
      </c>
      <c r="F154" s="17" t="str">
        <f t="shared" si="8"/>
        <v>insert into ins_premium_det (premium_rcv_code,assorted_code, rec_amount,premium_rcv_detail_code,remaining_amt, payrec, mode_code,coinsurance_code,class_cd,it_remarks) values</v>
      </c>
      <c r="G154" s="18" t="str">
        <f t="shared" si="10"/>
        <v>('26Mar250058','070000176875','39100',(select max(to_number(i.premium_rcv_detail_code))+1
from ins_premium_det i),'39100','39100','02', '11000003','00','Request by Mr. Saqib Saleem 26-Mar-2025 Renewal');</v>
      </c>
      <c r="H154" s="19" t="str">
        <f t="shared" si="11"/>
        <v>insert into ins_premium_det (premium_rcv_code,assorted_code, rec_amount,premium_rcv_detail_code,remaining_amt, payrec, mode_code,coinsurance_code,class_cd,it_remarks) values('26Mar250058','070000176875','39100',(select max(to_number(i.premium_rcv_detail_code))+1
from ins_premium_det i),'39100','39100','02', '11000003','00','Request by Mr. Saqib Saleem 26-Mar-2025 Renewal');</v>
      </c>
    </row>
    <row r="155" spans="1:8" ht="89.25" x14ac:dyDescent="0.2">
      <c r="A155" s="4" t="s">
        <v>1743</v>
      </c>
      <c r="B155" t="str">
        <f>VLOOKUP(A155,plicy!B:C,2,0)</f>
        <v>070000176876</v>
      </c>
      <c r="C155" s="6">
        <f>VLOOKUP(A155,[1]Sheet1!$B$2:$AA$595,26,0)</f>
        <v>55080</v>
      </c>
      <c r="D155" s="16">
        <f t="shared" si="9"/>
        <v>55080</v>
      </c>
      <c r="E155" s="20" t="s">
        <v>2238</v>
      </c>
      <c r="F155" s="17" t="str">
        <f t="shared" si="8"/>
        <v>insert into ins_premium_det (premium_rcv_code,assorted_code, rec_amount,premium_rcv_detail_code,remaining_amt, payrec, mode_code,coinsurance_code,class_cd,it_remarks) values</v>
      </c>
      <c r="G155" s="18" t="str">
        <f t="shared" si="10"/>
        <v>('26Mar250058','070000176876','55080',(select max(to_number(i.premium_rcv_detail_code))+1
from ins_premium_det i),'55080','55080','02', '11000003','00','Request by Mr. Saqib Saleem 26-Mar-2025 Renewal');</v>
      </c>
      <c r="H155" s="19" t="str">
        <f t="shared" si="11"/>
        <v>insert into ins_premium_det (premium_rcv_code,assorted_code, rec_amount,premium_rcv_detail_code,remaining_amt, payrec, mode_code,coinsurance_code,class_cd,it_remarks) values('26Mar250058','070000176876','55080',(select max(to_number(i.premium_rcv_detail_code))+1
from ins_premium_det i),'55080','55080','02', '11000003','00','Request by Mr. Saqib Saleem 26-Mar-2025 Renewal');</v>
      </c>
    </row>
    <row r="156" spans="1:8" ht="89.25" x14ac:dyDescent="0.2">
      <c r="A156" s="4" t="s">
        <v>1750</v>
      </c>
      <c r="B156" t="str">
        <f>VLOOKUP(A156,plicy!B:C,2,0)</f>
        <v>070000176814</v>
      </c>
      <c r="C156" s="6">
        <f>VLOOKUP(A156,[1]Sheet1!$B$2:$AA$595,26,0)</f>
        <v>52056</v>
      </c>
      <c r="D156" s="16">
        <f t="shared" si="9"/>
        <v>52056</v>
      </c>
      <c r="E156" s="20" t="s">
        <v>2238</v>
      </c>
      <c r="F156" s="17" t="str">
        <f t="shared" si="8"/>
        <v>insert into ins_premium_det (premium_rcv_code,assorted_code, rec_amount,premium_rcv_detail_code,remaining_amt, payrec, mode_code,coinsurance_code,class_cd,it_remarks) values</v>
      </c>
      <c r="G156" s="18" t="str">
        <f t="shared" si="10"/>
        <v>('26Mar250058','070000176814','52056',(select max(to_number(i.premium_rcv_detail_code))+1
from ins_premium_det i),'52056','52056','02', '11000003','00','Request by Mr. Saqib Saleem 26-Mar-2025 Renewal');</v>
      </c>
      <c r="H156" s="19" t="str">
        <f t="shared" si="11"/>
        <v>insert into ins_premium_det (premium_rcv_code,assorted_code, rec_amount,premium_rcv_detail_code,remaining_amt, payrec, mode_code,coinsurance_code,class_cd,it_remarks) values('26Mar250058','070000176814','52056',(select max(to_number(i.premium_rcv_detail_code))+1
from ins_premium_det i),'52056','52056','02', '11000003','00','Request by Mr. Saqib Saleem 26-Mar-2025 Renewal');</v>
      </c>
    </row>
    <row r="157" spans="1:8" ht="89.25" x14ac:dyDescent="0.2">
      <c r="A157" s="4" t="s">
        <v>1757</v>
      </c>
      <c r="B157" t="str">
        <f>VLOOKUP(A157,plicy!B:C,2,0)</f>
        <v>070000176877</v>
      </c>
      <c r="C157" s="6">
        <f>VLOOKUP(A157,[1]Sheet1!$B$2:$AA$595,26,0)</f>
        <v>53550</v>
      </c>
      <c r="D157" s="16">
        <f t="shared" si="9"/>
        <v>53550</v>
      </c>
      <c r="E157" s="20" t="s">
        <v>2238</v>
      </c>
      <c r="F157" s="17" t="str">
        <f t="shared" si="8"/>
        <v>insert into ins_premium_det (premium_rcv_code,assorted_code, rec_amount,premium_rcv_detail_code,remaining_amt, payrec, mode_code,coinsurance_code,class_cd,it_remarks) values</v>
      </c>
      <c r="G157" s="18" t="str">
        <f t="shared" si="10"/>
        <v>('26Mar250058','070000176877','53550',(select max(to_number(i.premium_rcv_detail_code))+1
from ins_premium_det i),'53550','53550','02', '11000003','00','Request by Mr. Saqib Saleem 26-Mar-2025 Renewal');</v>
      </c>
      <c r="H157" s="19" t="str">
        <f t="shared" si="11"/>
        <v>insert into ins_premium_det (premium_rcv_code,assorted_code, rec_amount,premium_rcv_detail_code,remaining_amt, payrec, mode_code,coinsurance_code,class_cd,it_remarks) values('26Mar250058','070000176877','53550',(select max(to_number(i.premium_rcv_detail_code))+1
from ins_premium_det i),'53550','53550','02', '11000003','00','Request by Mr. Saqib Saleem 26-Mar-2025 Renewal');</v>
      </c>
    </row>
    <row r="158" spans="1:8" ht="89.25" x14ac:dyDescent="0.2">
      <c r="A158" s="4" t="s">
        <v>1764</v>
      </c>
      <c r="B158" t="str">
        <f>VLOOKUP(A158,plicy!B:C,2,0)</f>
        <v>070000176878</v>
      </c>
      <c r="C158" s="6">
        <f>VLOOKUP(A158,[1]Sheet1!$B$2:$AA$595,26,0)</f>
        <v>34000</v>
      </c>
      <c r="D158" s="16">
        <f t="shared" si="9"/>
        <v>34000</v>
      </c>
      <c r="E158" s="20" t="s">
        <v>2238</v>
      </c>
      <c r="F158" s="17" t="str">
        <f t="shared" si="8"/>
        <v>insert into ins_premium_det (premium_rcv_code,assorted_code, rec_amount,premium_rcv_detail_code,remaining_amt, payrec, mode_code,coinsurance_code,class_cd,it_remarks) values</v>
      </c>
      <c r="G158" s="18" t="str">
        <f t="shared" si="10"/>
        <v>('26Mar250058','070000176878','34000',(select max(to_number(i.premium_rcv_detail_code))+1
from ins_premium_det i),'34000','34000','02', '11000003','00','Request by Mr. Saqib Saleem 26-Mar-2025 Renewal');</v>
      </c>
      <c r="H158" s="19" t="str">
        <f t="shared" si="11"/>
        <v>insert into ins_premium_det (premium_rcv_code,assorted_code, rec_amount,premium_rcv_detail_code,remaining_amt, payrec, mode_code,coinsurance_code,class_cd,it_remarks) values('26Mar250058','070000176878','34000',(select max(to_number(i.premium_rcv_detail_code))+1
from ins_premium_det i),'34000','34000','02', '11000003','00','Request by Mr. Saqib Saleem 26-Mar-2025 Renewal');</v>
      </c>
    </row>
    <row r="159" spans="1:8" ht="89.25" x14ac:dyDescent="0.2">
      <c r="A159" s="4" t="s">
        <v>1771</v>
      </c>
      <c r="B159" t="str">
        <f>VLOOKUP(A159,plicy!B:C,2,0)</f>
        <v>070000176879</v>
      </c>
      <c r="C159" s="6">
        <f>VLOOKUP(A159,[1]Sheet1!$B$2:$AA$595,26,0)</f>
        <v>47430</v>
      </c>
      <c r="D159" s="16">
        <f t="shared" si="9"/>
        <v>47430</v>
      </c>
      <c r="E159" s="20" t="s">
        <v>2238</v>
      </c>
      <c r="F159" s="17" t="str">
        <f t="shared" si="8"/>
        <v>insert into ins_premium_det (premium_rcv_code,assorted_code, rec_amount,premium_rcv_detail_code,remaining_amt, payrec, mode_code,coinsurance_code,class_cd,it_remarks) values</v>
      </c>
      <c r="G159" s="18" t="str">
        <f t="shared" si="10"/>
        <v>('26Mar250058','070000176879','47430',(select max(to_number(i.premium_rcv_detail_code))+1
from ins_premium_det i),'47430','47430','02', '11000003','00','Request by Mr. Saqib Saleem 26-Mar-2025 Renewal');</v>
      </c>
      <c r="H159" s="19" t="str">
        <f t="shared" si="11"/>
        <v>insert into ins_premium_det (premium_rcv_code,assorted_code, rec_amount,premium_rcv_detail_code,remaining_amt, payrec, mode_code,coinsurance_code,class_cd,it_remarks) values('26Mar250058','070000176879','47430',(select max(to_number(i.premium_rcv_detail_code))+1
from ins_premium_det i),'47430','47430','02', '11000003','00','Request by Mr. Saqib Saleem 26-Mar-2025 Renewal');</v>
      </c>
    </row>
    <row r="160" spans="1:8" ht="89.25" x14ac:dyDescent="0.2">
      <c r="A160" s="4" t="s">
        <v>1778</v>
      </c>
      <c r="B160" t="str">
        <f>VLOOKUP(A160,plicy!B:C,2,0)</f>
        <v>070000176880</v>
      </c>
      <c r="C160" s="6">
        <f>VLOOKUP(A160,[1]Sheet1!$B$2:$AA$595,26,0)</f>
        <v>16830</v>
      </c>
      <c r="D160" s="16">
        <f t="shared" si="9"/>
        <v>16830</v>
      </c>
      <c r="E160" s="20" t="s">
        <v>2238</v>
      </c>
      <c r="F160" s="17" t="str">
        <f t="shared" si="8"/>
        <v>insert into ins_premium_det (premium_rcv_code,assorted_code, rec_amount,premium_rcv_detail_code,remaining_amt, payrec, mode_code,coinsurance_code,class_cd,it_remarks) values</v>
      </c>
      <c r="G160" s="18" t="str">
        <f t="shared" si="10"/>
        <v>('26Mar250058','070000176880','16830',(select max(to_number(i.premium_rcv_detail_code))+1
from ins_premium_det i),'16830','16830','02', '11000003','00','Request by Mr. Saqib Saleem 26-Mar-2025 Renewal');</v>
      </c>
      <c r="H160" s="19" t="str">
        <f t="shared" si="11"/>
        <v>insert into ins_premium_det (premium_rcv_code,assorted_code, rec_amount,premium_rcv_detail_code,remaining_amt, payrec, mode_code,coinsurance_code,class_cd,it_remarks) values('26Mar250058','070000176880','16830',(select max(to_number(i.premium_rcv_detail_code))+1
from ins_premium_det i),'16830','16830','02', '11000003','00','Request by Mr. Saqib Saleem 26-Mar-2025 Renewal');</v>
      </c>
    </row>
    <row r="161" spans="1:8" ht="89.25" x14ac:dyDescent="0.2">
      <c r="A161" s="4" t="s">
        <v>1785</v>
      </c>
      <c r="B161" t="str">
        <f>VLOOKUP(A161,plicy!B:C,2,0)</f>
        <v>070000176881</v>
      </c>
      <c r="C161" s="6">
        <f>VLOOKUP(A161,[1]Sheet1!$B$2:$AA$595,26,0)</f>
        <v>37400</v>
      </c>
      <c r="D161" s="16">
        <f t="shared" si="9"/>
        <v>37400</v>
      </c>
      <c r="E161" s="20" t="s">
        <v>2238</v>
      </c>
      <c r="F161" s="17" t="str">
        <f t="shared" si="8"/>
        <v>insert into ins_premium_det (premium_rcv_code,assorted_code, rec_amount,premium_rcv_detail_code,remaining_amt, payrec, mode_code,coinsurance_code,class_cd,it_remarks) values</v>
      </c>
      <c r="G161" s="18" t="str">
        <f t="shared" si="10"/>
        <v>('26Mar250058','070000176881','37400',(select max(to_number(i.premium_rcv_detail_code))+1
from ins_premium_det i),'37400','37400','02', '11000003','00','Request by Mr. Saqib Saleem 26-Mar-2025 Renewal');</v>
      </c>
      <c r="H161" s="19" t="str">
        <f t="shared" si="11"/>
        <v>insert into ins_premium_det (premium_rcv_code,assorted_code, rec_amount,premium_rcv_detail_code,remaining_amt, payrec, mode_code,coinsurance_code,class_cd,it_remarks) values('26Mar250058','070000176881','37400',(select max(to_number(i.premium_rcv_detail_code))+1
from ins_premium_det i),'37400','37400','02', '11000003','00','Request by Mr. Saqib Saleem 26-Mar-2025 Renewal');</v>
      </c>
    </row>
    <row r="162" spans="1:8" ht="89.25" x14ac:dyDescent="0.2">
      <c r="A162" s="4" t="s">
        <v>1793</v>
      </c>
      <c r="B162" t="str">
        <f>VLOOKUP(A162,plicy!B:C,2,0)</f>
        <v>070000176882</v>
      </c>
      <c r="C162" s="6">
        <f>VLOOKUP(A162,[1]Sheet1!$B$2:$AA$595,26,0)</f>
        <v>41055</v>
      </c>
      <c r="D162" s="16">
        <f t="shared" si="9"/>
        <v>41055</v>
      </c>
      <c r="E162" s="20" t="s">
        <v>2238</v>
      </c>
      <c r="F162" s="17" t="str">
        <f t="shared" si="8"/>
        <v>insert into ins_premium_det (premium_rcv_code,assorted_code, rec_amount,premium_rcv_detail_code,remaining_amt, payrec, mode_code,coinsurance_code,class_cd,it_remarks) values</v>
      </c>
      <c r="G162" s="18" t="str">
        <f t="shared" si="10"/>
        <v>('26Mar250058','070000176882','41055',(select max(to_number(i.premium_rcv_detail_code))+1
from ins_premium_det i),'41055','41055','02', '11000003','00','Request by Mr. Saqib Saleem 26-Mar-2025 Renewal');</v>
      </c>
      <c r="H162" s="19" t="str">
        <f t="shared" si="11"/>
        <v>insert into ins_premium_det (premium_rcv_code,assorted_code, rec_amount,premium_rcv_detail_code,remaining_amt, payrec, mode_code,coinsurance_code,class_cd,it_remarks) values('26Mar250058','070000176882','41055',(select max(to_number(i.premium_rcv_detail_code))+1
from ins_premium_det i),'41055','41055','02', '11000003','00','Request by Mr. Saqib Saleem 26-Mar-2025 Renewal');</v>
      </c>
    </row>
    <row r="163" spans="1:8" ht="89.25" x14ac:dyDescent="0.2">
      <c r="A163" s="4" t="s">
        <v>1800</v>
      </c>
      <c r="B163" t="str">
        <f>VLOOKUP(A163,plicy!B:C,2,0)</f>
        <v>070000176883</v>
      </c>
      <c r="C163" s="6">
        <f>VLOOKUP(A163,[1]Sheet1!$B$2:$AA$595,26,0)</f>
        <v>51000</v>
      </c>
      <c r="D163" s="16">
        <f t="shared" si="9"/>
        <v>51000</v>
      </c>
      <c r="E163" s="20" t="s">
        <v>2238</v>
      </c>
      <c r="F163" s="17" t="str">
        <f t="shared" si="8"/>
        <v>insert into ins_premium_det (premium_rcv_code,assorted_code, rec_amount,premium_rcv_detail_code,remaining_amt, payrec, mode_code,coinsurance_code,class_cd,it_remarks) values</v>
      </c>
      <c r="G163" s="18" t="str">
        <f t="shared" si="10"/>
        <v>('26Mar250058','070000176883','51000',(select max(to_number(i.premium_rcv_detail_code))+1
from ins_premium_det i),'51000','51000','02', '11000003','00','Request by Mr. Saqib Saleem 26-Mar-2025 Renewal');</v>
      </c>
      <c r="H163" s="19" t="str">
        <f t="shared" si="11"/>
        <v>insert into ins_premium_det (premium_rcv_code,assorted_code, rec_amount,premium_rcv_detail_code,remaining_amt, payrec, mode_code,coinsurance_code,class_cd,it_remarks) values('26Mar250058','070000176883','51000',(select max(to_number(i.premium_rcv_detail_code))+1
from ins_premium_det i),'51000','51000','02', '11000003','00','Request by Mr. Saqib Saleem 26-Mar-2025 Renewal');</v>
      </c>
    </row>
    <row r="164" spans="1:8" ht="89.25" x14ac:dyDescent="0.2">
      <c r="A164" s="4" t="s">
        <v>1807</v>
      </c>
      <c r="B164" t="str">
        <f>VLOOKUP(A164,plicy!B:C,2,0)</f>
        <v>070000176884</v>
      </c>
      <c r="C164" s="6">
        <f>VLOOKUP(A164,[1]Sheet1!$B$2:$AA$595,26,0)</f>
        <v>34850</v>
      </c>
      <c r="D164" s="16">
        <f t="shared" si="9"/>
        <v>34850</v>
      </c>
      <c r="E164" s="20" t="s">
        <v>2238</v>
      </c>
      <c r="F164" s="17" t="str">
        <f t="shared" si="8"/>
        <v>insert into ins_premium_det (premium_rcv_code,assorted_code, rec_amount,premium_rcv_detail_code,remaining_amt, payrec, mode_code,coinsurance_code,class_cd,it_remarks) values</v>
      </c>
      <c r="G164" s="18" t="str">
        <f t="shared" si="10"/>
        <v>('26Mar250058','070000176884','34850',(select max(to_number(i.premium_rcv_detail_code))+1
from ins_premium_det i),'34850','34850','02', '11000003','00','Request by Mr. Saqib Saleem 26-Mar-2025 Renewal');</v>
      </c>
      <c r="H164" s="19" t="str">
        <f t="shared" si="11"/>
        <v>insert into ins_premium_det (premium_rcv_code,assorted_code, rec_amount,premium_rcv_detail_code,remaining_amt, payrec, mode_code,coinsurance_code,class_cd,it_remarks) values('26Mar250058','070000176884','34850',(select max(to_number(i.premium_rcv_detail_code))+1
from ins_premium_det i),'34850','34850','02', '11000003','00','Request by Mr. Saqib Saleem 26-Mar-2025 Renewal');</v>
      </c>
    </row>
    <row r="165" spans="1:8" ht="89.25" x14ac:dyDescent="0.2">
      <c r="A165" s="4" t="s">
        <v>1814</v>
      </c>
      <c r="B165" t="str">
        <f>VLOOKUP(A165,plicy!B:C,2,0)</f>
        <v>070000176885</v>
      </c>
      <c r="C165" s="6">
        <f>VLOOKUP(A165,[1]Sheet1!$B$2:$AA$595,26,0)</f>
        <v>30940</v>
      </c>
      <c r="D165" s="16">
        <f t="shared" si="9"/>
        <v>30940</v>
      </c>
      <c r="E165" s="20" t="s">
        <v>2238</v>
      </c>
      <c r="F165" s="17" t="str">
        <f t="shared" si="8"/>
        <v>insert into ins_premium_det (premium_rcv_code,assorted_code, rec_amount,premium_rcv_detail_code,remaining_amt, payrec, mode_code,coinsurance_code,class_cd,it_remarks) values</v>
      </c>
      <c r="G165" s="18" t="str">
        <f t="shared" si="10"/>
        <v>('26Mar250058','070000176885','30940',(select max(to_number(i.premium_rcv_detail_code))+1
from ins_premium_det i),'30940','30940','02', '11000003','00','Request by Mr. Saqib Saleem 26-Mar-2025 Renewal');</v>
      </c>
      <c r="H165" s="19" t="str">
        <f t="shared" si="11"/>
        <v>insert into ins_premium_det (premium_rcv_code,assorted_code, rec_amount,premium_rcv_detail_code,remaining_amt, payrec, mode_code,coinsurance_code,class_cd,it_remarks) values('26Mar250058','070000176885','30940',(select max(to_number(i.premium_rcv_detail_code))+1
from ins_premium_det i),'30940','30940','02', '11000003','00','Request by Mr. Saqib Saleem 26-Mar-2025 Renewal');</v>
      </c>
    </row>
    <row r="166" spans="1:8" ht="89.25" x14ac:dyDescent="0.2">
      <c r="A166" s="4" t="s">
        <v>1821</v>
      </c>
      <c r="B166" t="str">
        <f>VLOOKUP(A166,plicy!B:C,2,0)</f>
        <v>070000176886</v>
      </c>
      <c r="C166" s="6">
        <f>VLOOKUP(A166,[1]Sheet1!$B$2:$AA$595,26,0)</f>
        <v>34000</v>
      </c>
      <c r="D166" s="16">
        <f t="shared" si="9"/>
        <v>34000</v>
      </c>
      <c r="E166" s="20" t="s">
        <v>2238</v>
      </c>
      <c r="F166" s="17" t="str">
        <f t="shared" si="8"/>
        <v>insert into ins_premium_det (premium_rcv_code,assorted_code, rec_amount,premium_rcv_detail_code,remaining_amt, payrec, mode_code,coinsurance_code,class_cd,it_remarks) values</v>
      </c>
      <c r="G166" s="18" t="str">
        <f t="shared" si="10"/>
        <v>('26Mar250058','070000176886','34000',(select max(to_number(i.premium_rcv_detail_code))+1
from ins_premium_det i),'34000','34000','02', '11000003','00','Request by Mr. Saqib Saleem 26-Mar-2025 Renewal');</v>
      </c>
      <c r="H166" s="19" t="str">
        <f t="shared" si="11"/>
        <v>insert into ins_premium_det (premium_rcv_code,assorted_code, rec_amount,premium_rcv_detail_code,remaining_amt, payrec, mode_code,coinsurance_code,class_cd,it_remarks) values('26Mar250058','070000176886','34000',(select max(to_number(i.premium_rcv_detail_code))+1
from ins_premium_det i),'34000','34000','02', '11000003','00','Request by Mr. Saqib Saleem 26-Mar-2025 Renewal');</v>
      </c>
    </row>
    <row r="167" spans="1:8" ht="89.25" x14ac:dyDescent="0.2">
      <c r="A167" s="4" t="s">
        <v>1828</v>
      </c>
      <c r="B167" t="str">
        <f>VLOOKUP(A167,plicy!B:C,2,0)</f>
        <v>070000176815</v>
      </c>
      <c r="C167" s="6">
        <f>VLOOKUP(A167,[1]Sheet1!$B$2:$AA$595,26,0)</f>
        <v>54000</v>
      </c>
      <c r="D167" s="16">
        <f t="shared" si="9"/>
        <v>54000</v>
      </c>
      <c r="E167" s="20" t="s">
        <v>2238</v>
      </c>
      <c r="F167" s="17" t="str">
        <f t="shared" si="8"/>
        <v>insert into ins_premium_det (premium_rcv_code,assorted_code, rec_amount,premium_rcv_detail_code,remaining_amt, payrec, mode_code,coinsurance_code,class_cd,it_remarks) values</v>
      </c>
      <c r="G167" s="18" t="str">
        <f t="shared" si="10"/>
        <v>('26Mar250058','070000176815','54000',(select max(to_number(i.premium_rcv_detail_code))+1
from ins_premium_det i),'54000','54000','02', '11000003','00','Request by Mr. Saqib Saleem 26-Mar-2025 Renewal');</v>
      </c>
      <c r="H167" s="19" t="str">
        <f t="shared" si="11"/>
        <v>insert into ins_premium_det (premium_rcv_code,assorted_code, rec_amount,premium_rcv_detail_code,remaining_amt, payrec, mode_code,coinsurance_code,class_cd,it_remarks) values('26Mar250058','070000176815','54000',(select max(to_number(i.premium_rcv_detail_code))+1
from ins_premium_det i),'54000','54000','02', '11000003','00','Request by Mr. Saqib Saleem 26-Mar-2025 Renewal');</v>
      </c>
    </row>
    <row r="168" spans="1:8" ht="89.25" x14ac:dyDescent="0.2">
      <c r="A168" s="4" t="s">
        <v>1835</v>
      </c>
      <c r="B168" t="str">
        <f>VLOOKUP(A168,plicy!B:C,2,0)</f>
        <v>070000176887</v>
      </c>
      <c r="C168" s="6">
        <f>VLOOKUP(A168,[1]Sheet1!$B$2:$AA$595,26,0)</f>
        <v>47600</v>
      </c>
      <c r="D168" s="16">
        <f t="shared" si="9"/>
        <v>47600</v>
      </c>
      <c r="E168" s="20" t="s">
        <v>2238</v>
      </c>
      <c r="F168" s="17" t="str">
        <f t="shared" si="8"/>
        <v>insert into ins_premium_det (premium_rcv_code,assorted_code, rec_amount,premium_rcv_detail_code,remaining_amt, payrec, mode_code,coinsurance_code,class_cd,it_remarks) values</v>
      </c>
      <c r="G168" s="18" t="str">
        <f t="shared" si="10"/>
        <v>('26Mar250058','070000176887','47600',(select max(to_number(i.premium_rcv_detail_code))+1
from ins_premium_det i),'47600','47600','02', '11000003','00','Request by Mr. Saqib Saleem 26-Mar-2025 Renewal');</v>
      </c>
      <c r="H168" s="19" t="str">
        <f t="shared" si="11"/>
        <v>insert into ins_premium_det (premium_rcv_code,assorted_code, rec_amount,premium_rcv_detail_code,remaining_amt, payrec, mode_code,coinsurance_code,class_cd,it_remarks) values('26Mar250058','070000176887','47600',(select max(to_number(i.premium_rcv_detail_code))+1
from ins_premium_det i),'47600','47600','02', '11000003','00','Request by Mr. Saqib Saleem 26-Mar-2025 Renewal');</v>
      </c>
    </row>
    <row r="169" spans="1:8" ht="89.25" x14ac:dyDescent="0.2">
      <c r="A169" s="4" t="s">
        <v>1842</v>
      </c>
      <c r="B169" t="str">
        <f>VLOOKUP(A169,plicy!B:C,2,0)</f>
        <v>070000176888</v>
      </c>
      <c r="C169" s="6">
        <f>VLOOKUP(A169,[1]Sheet1!$B$2:$AA$595,26,0)</f>
        <v>45900</v>
      </c>
      <c r="D169" s="16">
        <f t="shared" si="9"/>
        <v>45900</v>
      </c>
      <c r="E169" s="20" t="s">
        <v>2238</v>
      </c>
      <c r="F169" s="17" t="str">
        <f t="shared" si="8"/>
        <v>insert into ins_premium_det (premium_rcv_code,assorted_code, rec_amount,premium_rcv_detail_code,remaining_amt, payrec, mode_code,coinsurance_code,class_cd,it_remarks) values</v>
      </c>
      <c r="G169" s="18" t="str">
        <f t="shared" si="10"/>
        <v>('26Mar250058','070000176888','45900',(select max(to_number(i.premium_rcv_detail_code))+1
from ins_premium_det i),'45900','45900','02', '11000003','00','Request by Mr. Saqib Saleem 26-Mar-2025 Renewal');</v>
      </c>
      <c r="H169" s="19" t="str">
        <f t="shared" si="11"/>
        <v>insert into ins_premium_det (premium_rcv_code,assorted_code, rec_amount,premium_rcv_detail_code,remaining_amt, payrec, mode_code,coinsurance_code,class_cd,it_remarks) values('26Mar250058','070000176888','45900',(select max(to_number(i.premium_rcv_detail_code))+1
from ins_premium_det i),'45900','45900','02', '11000003','00','Request by Mr. Saqib Saleem 26-Mar-2025 Renewal');</v>
      </c>
    </row>
    <row r="170" spans="1:8" ht="89.25" x14ac:dyDescent="0.2">
      <c r="A170" s="4" t="s">
        <v>1849</v>
      </c>
      <c r="B170" t="str">
        <f>VLOOKUP(A170,plicy!B:C,2,0)</f>
        <v>070000176889</v>
      </c>
      <c r="C170" s="6">
        <f>VLOOKUP(A170,[1]Sheet1!$B$2:$AA$595,26,0)</f>
        <v>58633</v>
      </c>
      <c r="D170" s="16">
        <f t="shared" si="9"/>
        <v>58633</v>
      </c>
      <c r="E170" s="20" t="s">
        <v>2238</v>
      </c>
      <c r="F170" s="17" t="str">
        <f t="shared" si="8"/>
        <v>insert into ins_premium_det (premium_rcv_code,assorted_code, rec_amount,premium_rcv_detail_code,remaining_amt, payrec, mode_code,coinsurance_code,class_cd,it_remarks) values</v>
      </c>
      <c r="G170" s="18" t="str">
        <f t="shared" si="10"/>
        <v>('26Mar250058','070000176889','58633',(select max(to_number(i.premium_rcv_detail_code))+1
from ins_premium_det i),'58633','58633','02', '11000003','00','Request by Mr. Saqib Saleem 26-Mar-2025 Renewal');</v>
      </c>
      <c r="H170" s="19" t="str">
        <f t="shared" si="11"/>
        <v>insert into ins_premium_det (premium_rcv_code,assorted_code, rec_amount,premium_rcv_detail_code,remaining_amt, payrec, mode_code,coinsurance_code,class_cd,it_remarks) values('26Mar250058','070000176889','58633',(select max(to_number(i.premium_rcv_detail_code))+1
from ins_premium_det i),'58633','58633','02', '11000003','00','Request by Mr. Saqib Saleem 26-Mar-2025 Renewal');</v>
      </c>
    </row>
    <row r="171" spans="1:8" ht="89.25" x14ac:dyDescent="0.2">
      <c r="A171" s="4" t="s">
        <v>1856</v>
      </c>
      <c r="B171" t="str">
        <f>VLOOKUP(A171,plicy!B:C,2,0)</f>
        <v>070000176890</v>
      </c>
      <c r="C171" s="6">
        <f>VLOOKUP(A171,[1]Sheet1!$B$2:$AA$595,26,0)</f>
        <v>35700</v>
      </c>
      <c r="D171" s="16">
        <f t="shared" si="9"/>
        <v>35700</v>
      </c>
      <c r="E171" s="20" t="s">
        <v>2238</v>
      </c>
      <c r="F171" s="17" t="str">
        <f t="shared" si="8"/>
        <v>insert into ins_premium_det (premium_rcv_code,assorted_code, rec_amount,premium_rcv_detail_code,remaining_amt, payrec, mode_code,coinsurance_code,class_cd,it_remarks) values</v>
      </c>
      <c r="G171" s="18" t="str">
        <f t="shared" si="10"/>
        <v>('26Mar250058','070000176890','35700',(select max(to_number(i.premium_rcv_detail_code))+1
from ins_premium_det i),'35700','35700','02', '11000003','00','Request by Mr. Saqib Saleem 26-Mar-2025 Renewal');</v>
      </c>
      <c r="H171" s="19" t="str">
        <f t="shared" si="11"/>
        <v>insert into ins_premium_det (premium_rcv_code,assorted_code, rec_amount,premium_rcv_detail_code,remaining_amt, payrec, mode_code,coinsurance_code,class_cd,it_remarks) values('26Mar250058','070000176890','35700',(select max(to_number(i.premium_rcv_detail_code))+1
from ins_premium_det i),'35700','35700','02', '11000003','00','Request by Mr. Saqib Saleem 26-Mar-2025 Renewal');</v>
      </c>
    </row>
    <row r="172" spans="1:8" ht="89.25" x14ac:dyDescent="0.2">
      <c r="A172" s="4" t="s">
        <v>1864</v>
      </c>
      <c r="B172" t="str">
        <f>VLOOKUP(A172,plicy!B:C,2,0)</f>
        <v>070000176891</v>
      </c>
      <c r="C172" s="6">
        <f>VLOOKUP(A172,[1]Sheet1!$B$2:$AA$595,26,0)</f>
        <v>27650</v>
      </c>
      <c r="D172" s="16">
        <f t="shared" si="9"/>
        <v>27650</v>
      </c>
      <c r="E172" s="20" t="s">
        <v>2238</v>
      </c>
      <c r="F172" s="17" t="str">
        <f t="shared" si="8"/>
        <v>insert into ins_premium_det (premium_rcv_code,assorted_code, rec_amount,premium_rcv_detail_code,remaining_amt, payrec, mode_code,coinsurance_code,class_cd,it_remarks) values</v>
      </c>
      <c r="G172" s="18" t="str">
        <f t="shared" si="10"/>
        <v>('26Mar250058','070000176891','27650',(select max(to_number(i.premium_rcv_detail_code))+1
from ins_premium_det i),'27650','27650','02', '11000003','00','Request by Mr. Saqib Saleem 26-Mar-2025 Renewal');</v>
      </c>
      <c r="H172" s="19" t="str">
        <f t="shared" si="11"/>
        <v>insert into ins_premium_det (premium_rcv_code,assorted_code, rec_amount,premium_rcv_detail_code,remaining_amt, payrec, mode_code,coinsurance_code,class_cd,it_remarks) values('26Mar250058','070000176891','27650',(select max(to_number(i.premium_rcv_detail_code))+1
from ins_premium_det i),'27650','27650','02', '11000003','00','Request by Mr. Saqib Saleem 26-Mar-2025 Renewal');</v>
      </c>
    </row>
    <row r="173" spans="1:8" ht="89.25" x14ac:dyDescent="0.2">
      <c r="A173" s="4" t="s">
        <v>1871</v>
      </c>
      <c r="B173" t="str">
        <f>VLOOKUP(A173,plicy!B:C,2,0)</f>
        <v>070000176892</v>
      </c>
      <c r="C173" s="6">
        <f>VLOOKUP(A173,[1]Sheet1!$B$2:$AA$595,26,0)</f>
        <v>21000</v>
      </c>
      <c r="D173" s="16">
        <f t="shared" si="9"/>
        <v>21000</v>
      </c>
      <c r="E173" s="20" t="s">
        <v>2238</v>
      </c>
      <c r="F173" s="17" t="str">
        <f t="shared" si="8"/>
        <v>insert into ins_premium_det (premium_rcv_code,assorted_code, rec_amount,premium_rcv_detail_code,remaining_amt, payrec, mode_code,coinsurance_code,class_cd,it_remarks) values</v>
      </c>
      <c r="G173" s="18" t="str">
        <f t="shared" si="10"/>
        <v>('26Mar250058','070000176892','21000',(select max(to_number(i.premium_rcv_detail_code))+1
from ins_premium_det i),'21000','21000','02', '11000003','00','Request by Mr. Saqib Saleem 26-Mar-2025 Renewal');</v>
      </c>
      <c r="H173" s="19" t="str">
        <f t="shared" si="11"/>
        <v>insert into ins_premium_det (premium_rcv_code,assorted_code, rec_amount,premium_rcv_detail_code,remaining_amt, payrec, mode_code,coinsurance_code,class_cd,it_remarks) values('26Mar250058','070000176892','21000',(select max(to_number(i.premium_rcv_detail_code))+1
from ins_premium_det i),'21000','21000','02', '11000003','00','Request by Mr. Saqib Saleem 26-Mar-2025 Renewal');</v>
      </c>
    </row>
    <row r="174" spans="1:8" ht="89.25" x14ac:dyDescent="0.2">
      <c r="A174" s="4" t="s">
        <v>1878</v>
      </c>
      <c r="B174" t="str">
        <f>VLOOKUP(A174,plicy!B:C,2,0)</f>
        <v>070000176893</v>
      </c>
      <c r="C174" s="6">
        <f>VLOOKUP(A174,[1]Sheet1!$B$2:$AA$595,26,0)</f>
        <v>22260</v>
      </c>
      <c r="D174" s="16">
        <f t="shared" si="9"/>
        <v>22260</v>
      </c>
      <c r="E174" s="20" t="s">
        <v>2238</v>
      </c>
      <c r="F174" s="17" t="str">
        <f t="shared" si="8"/>
        <v>insert into ins_premium_det (premium_rcv_code,assorted_code, rec_amount,premium_rcv_detail_code,remaining_amt, payrec, mode_code,coinsurance_code,class_cd,it_remarks) values</v>
      </c>
      <c r="G174" s="18" t="str">
        <f t="shared" si="10"/>
        <v>('26Mar250058','070000176893','22260',(select max(to_number(i.premium_rcv_detail_code))+1
from ins_premium_det i),'22260','22260','02', '11000003','00','Request by Mr. Saqib Saleem 26-Mar-2025 Renewal');</v>
      </c>
      <c r="H174" s="19" t="str">
        <f t="shared" si="11"/>
        <v>insert into ins_premium_det (premium_rcv_code,assorted_code, rec_amount,premium_rcv_detail_code,remaining_amt, payrec, mode_code,coinsurance_code,class_cd,it_remarks) values('26Mar250058','070000176893','22260',(select max(to_number(i.premium_rcv_detail_code))+1
from ins_premium_det i),'22260','22260','02', '11000003','00','Request by Mr. Saqib Saleem 26-Mar-2025 Renewal');</v>
      </c>
    </row>
    <row r="175" spans="1:8" ht="89.25" x14ac:dyDescent="0.2">
      <c r="A175" s="4" t="s">
        <v>1885</v>
      </c>
      <c r="B175" t="str">
        <f>VLOOKUP(A175,plicy!B:C,2,0)</f>
        <v>070000176894</v>
      </c>
      <c r="C175" s="6">
        <f>VLOOKUP(A175,[1]Sheet1!$B$2:$AA$595,26,0)</f>
        <v>21644</v>
      </c>
      <c r="D175" s="16">
        <f t="shared" si="9"/>
        <v>21644</v>
      </c>
      <c r="E175" s="20" t="s">
        <v>2238</v>
      </c>
      <c r="F175" s="17" t="str">
        <f t="shared" si="8"/>
        <v>insert into ins_premium_det (premium_rcv_code,assorted_code, rec_amount,premium_rcv_detail_code,remaining_amt, payrec, mode_code,coinsurance_code,class_cd,it_remarks) values</v>
      </c>
      <c r="G175" s="18" t="str">
        <f t="shared" si="10"/>
        <v>('26Mar250058','070000176894','21644',(select max(to_number(i.premium_rcv_detail_code))+1
from ins_premium_det i),'21644','21644','02', '11000003','00','Request by Mr. Saqib Saleem 26-Mar-2025 Renewal');</v>
      </c>
      <c r="H175" s="19" t="str">
        <f t="shared" si="11"/>
        <v>insert into ins_premium_det (premium_rcv_code,assorted_code, rec_amount,premium_rcv_detail_code,remaining_amt, payrec, mode_code,coinsurance_code,class_cd,it_remarks) values('26Mar250058','070000176894','21644',(select max(to_number(i.premium_rcv_detail_code))+1
from ins_premium_det i),'21644','21644','02', '11000003','00','Request by Mr. Saqib Saleem 26-Mar-2025 Renewal');</v>
      </c>
    </row>
    <row r="176" spans="1:8" ht="89.25" x14ac:dyDescent="0.2">
      <c r="A176" s="4" t="s">
        <v>1891</v>
      </c>
      <c r="B176" t="str">
        <f>VLOOKUP(A176,plicy!B:C,2,0)</f>
        <v>070000176895</v>
      </c>
      <c r="C176" s="6">
        <f>VLOOKUP(A176,[1]Sheet1!$B$2:$AA$595,26,0)</f>
        <v>39100</v>
      </c>
      <c r="D176" s="16">
        <f t="shared" si="9"/>
        <v>39100</v>
      </c>
      <c r="E176" s="20" t="s">
        <v>2238</v>
      </c>
      <c r="F176" s="17" t="str">
        <f t="shared" si="8"/>
        <v>insert into ins_premium_det (premium_rcv_code,assorted_code, rec_amount,premium_rcv_detail_code,remaining_amt, payrec, mode_code,coinsurance_code,class_cd,it_remarks) values</v>
      </c>
      <c r="G176" s="18" t="str">
        <f t="shared" si="10"/>
        <v>('26Mar250058','070000176895','39100',(select max(to_number(i.premium_rcv_detail_code))+1
from ins_premium_det i),'39100','39100','02', '11000003','00','Request by Mr. Saqib Saleem 26-Mar-2025 Renewal');</v>
      </c>
      <c r="H176" s="19" t="str">
        <f t="shared" si="11"/>
        <v>insert into ins_premium_det (premium_rcv_code,assorted_code, rec_amount,premium_rcv_detail_code,remaining_amt, payrec, mode_code,coinsurance_code,class_cd,it_remarks) values('26Mar250058','070000176895','39100',(select max(to_number(i.premium_rcv_detail_code))+1
from ins_premium_det i),'39100','39100','02', '11000003','00','Request by Mr. Saqib Saleem 26-Mar-2025 Renewal');</v>
      </c>
    </row>
    <row r="177" spans="1:8" ht="89.25" x14ac:dyDescent="0.2">
      <c r="A177" s="4" t="s">
        <v>1898</v>
      </c>
      <c r="B177" t="str">
        <f>VLOOKUP(A177,plicy!B:C,2,0)</f>
        <v>070000176896</v>
      </c>
      <c r="C177" s="6">
        <f>VLOOKUP(A177,[1]Sheet1!$B$2:$AA$595,26,0)</f>
        <v>44466</v>
      </c>
      <c r="D177" s="16">
        <f t="shared" si="9"/>
        <v>44466</v>
      </c>
      <c r="E177" s="20" t="s">
        <v>2238</v>
      </c>
      <c r="F177" s="17" t="str">
        <f t="shared" si="8"/>
        <v>insert into ins_premium_det (premium_rcv_code,assorted_code, rec_amount,premium_rcv_detail_code,remaining_amt, payrec, mode_code,coinsurance_code,class_cd,it_remarks) values</v>
      </c>
      <c r="G177" s="18" t="str">
        <f t="shared" si="10"/>
        <v>('26Mar250058','070000176896','44466',(select max(to_number(i.premium_rcv_detail_code))+1
from ins_premium_det i),'44466','44466','02', '11000003','00','Request by Mr. Saqib Saleem 26-Mar-2025 Renewal');</v>
      </c>
      <c r="H177" s="19" t="str">
        <f t="shared" si="11"/>
        <v>insert into ins_premium_det (premium_rcv_code,assorted_code, rec_amount,premium_rcv_detail_code,remaining_amt, payrec, mode_code,coinsurance_code,class_cd,it_remarks) values('26Mar250058','070000176896','44466',(select max(to_number(i.premium_rcv_detail_code))+1
from ins_premium_det i),'44466','44466','02', '11000003','00','Request by Mr. Saqib Saleem 26-Mar-2025 Renewal');</v>
      </c>
    </row>
    <row r="178" spans="1:8" ht="89.25" x14ac:dyDescent="0.2">
      <c r="A178" s="4" t="s">
        <v>1905</v>
      </c>
      <c r="B178" t="str">
        <f>VLOOKUP(A178,plicy!B:C,2,0)</f>
        <v>070000176816</v>
      </c>
      <c r="C178" s="6">
        <f>VLOOKUP(A178,[1]Sheet1!$B$2:$AA$595,26,0)</f>
        <v>47016</v>
      </c>
      <c r="D178" s="16">
        <f t="shared" si="9"/>
        <v>47016</v>
      </c>
      <c r="E178" s="20" t="s">
        <v>2238</v>
      </c>
      <c r="F178" s="17" t="str">
        <f t="shared" si="8"/>
        <v>insert into ins_premium_det (premium_rcv_code,assorted_code, rec_amount,premium_rcv_detail_code,remaining_amt, payrec, mode_code,coinsurance_code,class_cd,it_remarks) values</v>
      </c>
      <c r="G178" s="18" t="str">
        <f t="shared" si="10"/>
        <v>('26Mar250058','070000176816','47016',(select max(to_number(i.premium_rcv_detail_code))+1
from ins_premium_det i),'47016','47016','02', '11000003','00','Request by Mr. Saqib Saleem 26-Mar-2025 Renewal');</v>
      </c>
      <c r="H178" s="19" t="str">
        <f t="shared" si="11"/>
        <v>insert into ins_premium_det (premium_rcv_code,assorted_code, rec_amount,premium_rcv_detail_code,remaining_amt, payrec, mode_code,coinsurance_code,class_cd,it_remarks) values('26Mar250058','070000176816','47016',(select max(to_number(i.premium_rcv_detail_code))+1
from ins_premium_det i),'47016','47016','02', '11000003','00','Request by Mr. Saqib Saleem 26-Mar-2025 Renewal');</v>
      </c>
    </row>
    <row r="179" spans="1:8" ht="89.25" x14ac:dyDescent="0.2">
      <c r="A179" s="4" t="s">
        <v>1912</v>
      </c>
      <c r="B179" t="str">
        <f>VLOOKUP(A179,plicy!B:C,2,0)</f>
        <v>070000176897</v>
      </c>
      <c r="C179" s="6">
        <f>VLOOKUP(A179,[1]Sheet1!$B$2:$AA$595,26,0)</f>
        <v>31780</v>
      </c>
      <c r="D179" s="16">
        <f t="shared" si="9"/>
        <v>31780</v>
      </c>
      <c r="E179" s="20" t="s">
        <v>2238</v>
      </c>
      <c r="F179" s="17" t="str">
        <f t="shared" si="8"/>
        <v>insert into ins_premium_det (premium_rcv_code,assorted_code, rec_amount,premium_rcv_detail_code,remaining_amt, payrec, mode_code,coinsurance_code,class_cd,it_remarks) values</v>
      </c>
      <c r="G179" s="18" t="str">
        <f t="shared" si="10"/>
        <v>('26Mar250058','070000176897','31780',(select max(to_number(i.premium_rcv_detail_code))+1
from ins_premium_det i),'31780','31780','02', '11000003','00','Request by Mr. Saqib Saleem 26-Mar-2025 Renewal');</v>
      </c>
      <c r="H179" s="19" t="str">
        <f t="shared" si="11"/>
        <v>insert into ins_premium_det (premium_rcv_code,assorted_code, rec_amount,premium_rcv_detail_code,remaining_amt, payrec, mode_code,coinsurance_code,class_cd,it_remarks) values('26Mar250058','070000176897','31780',(select max(to_number(i.premium_rcv_detail_code))+1
from ins_premium_det i),'31780','31780','02', '11000003','00','Request by Mr. Saqib Saleem 26-Mar-2025 Renewal');</v>
      </c>
    </row>
    <row r="180" spans="1:8" ht="89.25" x14ac:dyDescent="0.2">
      <c r="A180" s="4" t="s">
        <v>1920</v>
      </c>
      <c r="B180" t="str">
        <f>VLOOKUP(A180,plicy!B:C,2,0)</f>
        <v>070000176898</v>
      </c>
      <c r="C180" s="6">
        <f>VLOOKUP(A180,[1]Sheet1!$B$2:$AA$595,26,0)</f>
        <v>23100</v>
      </c>
      <c r="D180" s="16">
        <f t="shared" si="9"/>
        <v>23100</v>
      </c>
      <c r="E180" s="20" t="s">
        <v>2238</v>
      </c>
      <c r="F180" s="17" t="str">
        <f t="shared" si="8"/>
        <v>insert into ins_premium_det (premium_rcv_code,assorted_code, rec_amount,premium_rcv_detail_code,remaining_amt, payrec, mode_code,coinsurance_code,class_cd,it_remarks) values</v>
      </c>
      <c r="G180" s="18" t="str">
        <f t="shared" si="10"/>
        <v>('26Mar250058','070000176898','23100',(select max(to_number(i.premium_rcv_detail_code))+1
from ins_premium_det i),'23100','23100','02', '11000003','00','Request by Mr. Saqib Saleem 26-Mar-2025 Renewal');</v>
      </c>
      <c r="H180" s="19" t="str">
        <f t="shared" si="11"/>
        <v>insert into ins_premium_det (premium_rcv_code,assorted_code, rec_amount,premium_rcv_detail_code,remaining_amt, payrec, mode_code,coinsurance_code,class_cd,it_remarks) values('26Mar250058','070000176898','23100',(select max(to_number(i.premium_rcv_detail_code))+1
from ins_premium_det i),'23100','23100','02', '11000003','00','Request by Mr. Saqib Saleem 26-Mar-2025 Renewal');</v>
      </c>
    </row>
    <row r="181" spans="1:8" ht="89.25" x14ac:dyDescent="0.2">
      <c r="A181" s="4" t="s">
        <v>1927</v>
      </c>
      <c r="B181" t="str">
        <f>VLOOKUP(A181,plicy!B:C,2,0)</f>
        <v>070000176899</v>
      </c>
      <c r="C181" s="6">
        <f>VLOOKUP(A181,[1]Sheet1!$B$2:$AA$595,26,0)</f>
        <v>32200</v>
      </c>
      <c r="D181" s="16">
        <f t="shared" si="9"/>
        <v>32200</v>
      </c>
      <c r="E181" s="20" t="s">
        <v>2238</v>
      </c>
      <c r="F181" s="17" t="str">
        <f t="shared" si="8"/>
        <v>insert into ins_premium_det (premium_rcv_code,assorted_code, rec_amount,premium_rcv_detail_code,remaining_amt, payrec, mode_code,coinsurance_code,class_cd,it_remarks) values</v>
      </c>
      <c r="G181" s="18" t="str">
        <f t="shared" si="10"/>
        <v>('26Mar250058','070000176899','32200',(select max(to_number(i.premium_rcv_detail_code))+1
from ins_premium_det i),'32200','32200','02', '11000003','00','Request by Mr. Saqib Saleem 26-Mar-2025 Renewal');</v>
      </c>
      <c r="H181" s="19" t="str">
        <f t="shared" si="11"/>
        <v>insert into ins_premium_det (premium_rcv_code,assorted_code, rec_amount,premium_rcv_detail_code,remaining_amt, payrec, mode_code,coinsurance_code,class_cd,it_remarks) values('26Mar250058','070000176899','32200',(select max(to_number(i.premium_rcv_detail_code))+1
from ins_premium_det i),'32200','32200','02', '11000003','00','Request by Mr. Saqib Saleem 26-Mar-2025 Renewal');</v>
      </c>
    </row>
    <row r="182" spans="1:8" ht="89.25" x14ac:dyDescent="0.2">
      <c r="A182" s="4" t="s">
        <v>1934</v>
      </c>
      <c r="B182" t="str">
        <f>VLOOKUP(A182,plicy!B:C,2,0)</f>
        <v>070000176900</v>
      </c>
      <c r="C182" s="6">
        <f>VLOOKUP(A182,[1]Sheet1!$B$2:$AA$595,26,0)</f>
        <v>23800</v>
      </c>
      <c r="D182" s="16">
        <f t="shared" si="9"/>
        <v>23800</v>
      </c>
      <c r="E182" s="20" t="s">
        <v>2238</v>
      </c>
      <c r="F182" s="17" t="str">
        <f t="shared" si="8"/>
        <v>insert into ins_premium_det (premium_rcv_code,assorted_code, rec_amount,premium_rcv_detail_code,remaining_amt, payrec, mode_code,coinsurance_code,class_cd,it_remarks) values</v>
      </c>
      <c r="G182" s="18" t="str">
        <f t="shared" si="10"/>
        <v>('26Mar250058','070000176900','23800',(select max(to_number(i.premium_rcv_detail_code))+1
from ins_premium_det i),'23800','23800','02', '11000003','00','Request by Mr. Saqib Saleem 26-Mar-2025 Renewal');</v>
      </c>
      <c r="H182" s="19" t="str">
        <f t="shared" si="11"/>
        <v>insert into ins_premium_det (premium_rcv_code,assorted_code, rec_amount,premium_rcv_detail_code,remaining_amt, payrec, mode_code,coinsurance_code,class_cd,it_remarks) values('26Mar250058','070000176900','23800',(select max(to_number(i.premium_rcv_detail_code))+1
from ins_premium_det i),'23800','23800','02', '11000003','00','Request by Mr. Saqib Saleem 26-Mar-2025 Renewal');</v>
      </c>
    </row>
    <row r="183" spans="1:8" ht="89.25" x14ac:dyDescent="0.2">
      <c r="A183" s="4" t="s">
        <v>1941</v>
      </c>
      <c r="B183" t="str">
        <f>VLOOKUP(A183,plicy!B:C,2,0)</f>
        <v>070000176901</v>
      </c>
      <c r="C183" s="6">
        <f>VLOOKUP(A183,[1]Sheet1!$B$2:$AA$595,26,0)</f>
        <v>26700</v>
      </c>
      <c r="D183" s="16">
        <f t="shared" si="9"/>
        <v>26700</v>
      </c>
      <c r="E183" s="20" t="s">
        <v>2238</v>
      </c>
      <c r="F183" s="17" t="str">
        <f t="shared" si="8"/>
        <v>insert into ins_premium_det (premium_rcv_code,assorted_code, rec_amount,premium_rcv_detail_code,remaining_amt, payrec, mode_code,coinsurance_code,class_cd,it_remarks) values</v>
      </c>
      <c r="G183" s="18" t="str">
        <f t="shared" si="10"/>
        <v>('26Mar250058','070000176901','26700',(select max(to_number(i.premium_rcv_detail_code))+1
from ins_premium_det i),'26700','26700','02', '11000003','00','Request by Mr. Saqib Saleem 26-Mar-2025 Renewal');</v>
      </c>
      <c r="H183" s="19" t="str">
        <f t="shared" si="11"/>
        <v>insert into ins_premium_det (premium_rcv_code,assorted_code, rec_amount,premium_rcv_detail_code,remaining_amt, payrec, mode_code,coinsurance_code,class_cd,it_remarks) values('26Mar250058','070000176901','26700',(select max(to_number(i.premium_rcv_detail_code))+1
from ins_premium_det i),'26700','26700','02', '11000003','00','Request by Mr. Saqib Saleem 26-Mar-2025 Renewal');</v>
      </c>
    </row>
    <row r="184" spans="1:8" ht="89.25" x14ac:dyDescent="0.2">
      <c r="A184" s="4" t="s">
        <v>1948</v>
      </c>
      <c r="B184" t="str">
        <f>VLOOKUP(A184,plicy!B:C,2,0)</f>
        <v>070000176902</v>
      </c>
      <c r="C184" s="6">
        <f>VLOOKUP(A184,[1]Sheet1!$B$2:$AA$595,26,0)</f>
        <v>43160</v>
      </c>
      <c r="D184" s="16">
        <f t="shared" si="9"/>
        <v>43160</v>
      </c>
      <c r="E184" s="20" t="s">
        <v>2238</v>
      </c>
      <c r="F184" s="17" t="str">
        <f t="shared" si="8"/>
        <v>insert into ins_premium_det (premium_rcv_code,assorted_code, rec_amount,premium_rcv_detail_code,remaining_amt, payrec, mode_code,coinsurance_code,class_cd,it_remarks) values</v>
      </c>
      <c r="G184" s="18" t="str">
        <f t="shared" si="10"/>
        <v>('26Mar250058','070000176902','43160',(select max(to_number(i.premium_rcv_detail_code))+1
from ins_premium_det i),'43160','43160','02', '11000003','00','Request by Mr. Saqib Saleem 26-Mar-2025 Renewal');</v>
      </c>
      <c r="H184" s="19" t="str">
        <f t="shared" si="11"/>
        <v>insert into ins_premium_det (premium_rcv_code,assorted_code, rec_amount,premium_rcv_detail_code,remaining_amt, payrec, mode_code,coinsurance_code,class_cd,it_remarks) values('26Mar250058','070000176902','43160',(select max(to_number(i.premium_rcv_detail_code))+1
from ins_premium_det i),'43160','43160','02', '11000003','00','Request by Mr. Saqib Saleem 26-Mar-2025 Renewal');</v>
      </c>
    </row>
    <row r="185" spans="1:8" ht="89.25" x14ac:dyDescent="0.2">
      <c r="A185" s="4" t="s">
        <v>1955</v>
      </c>
      <c r="B185" t="str">
        <f>VLOOKUP(A185,plicy!B:C,2,0)</f>
        <v>070000176903</v>
      </c>
      <c r="C185" s="6">
        <f>VLOOKUP(A185,[1]Sheet1!$B$2:$AA$595,26,0)</f>
        <v>16492</v>
      </c>
      <c r="D185" s="16">
        <f t="shared" si="9"/>
        <v>16492</v>
      </c>
      <c r="E185" s="20" t="s">
        <v>2238</v>
      </c>
      <c r="F185" s="17" t="str">
        <f t="shared" si="8"/>
        <v>insert into ins_premium_det (premium_rcv_code,assorted_code, rec_amount,premium_rcv_detail_code,remaining_amt, payrec, mode_code,coinsurance_code,class_cd,it_remarks) values</v>
      </c>
      <c r="G185" s="18" t="str">
        <f t="shared" si="10"/>
        <v>('26Mar250058','070000176903','16492',(select max(to_number(i.premium_rcv_detail_code))+1
from ins_premium_det i),'16492','16492','02', '11000003','00','Request by Mr. Saqib Saleem 26-Mar-2025 Renewal');</v>
      </c>
      <c r="H185" s="19" t="str">
        <f t="shared" si="11"/>
        <v>insert into ins_premium_det (premium_rcv_code,assorted_code, rec_amount,premium_rcv_detail_code,remaining_amt, payrec, mode_code,coinsurance_code,class_cd,it_remarks) values('26Mar250058','070000176903','16492',(select max(to_number(i.premium_rcv_detail_code))+1
from ins_premium_det i),'16492','16492','02', '11000003','00','Request by Mr. Saqib Saleem 26-Mar-2025 Renewal');</v>
      </c>
    </row>
    <row r="186" spans="1:8" ht="89.25" x14ac:dyDescent="0.2">
      <c r="A186" s="4" t="s">
        <v>1963</v>
      </c>
      <c r="B186" t="str">
        <f>VLOOKUP(A186,plicy!B:C,2,0)</f>
        <v>070000176904</v>
      </c>
      <c r="C186" s="6">
        <f>VLOOKUP(A186,[1]Sheet1!$B$2:$AA$595,26,0)</f>
        <v>44700</v>
      </c>
      <c r="D186" s="16">
        <f t="shared" si="9"/>
        <v>44700</v>
      </c>
      <c r="E186" s="20" t="s">
        <v>2238</v>
      </c>
      <c r="F186" s="17" t="str">
        <f t="shared" si="8"/>
        <v>insert into ins_premium_det (premium_rcv_code,assorted_code, rec_amount,premium_rcv_detail_code,remaining_amt, payrec, mode_code,coinsurance_code,class_cd,it_remarks) values</v>
      </c>
      <c r="G186" s="18" t="str">
        <f t="shared" si="10"/>
        <v>('26Mar250058','070000176904','44700',(select max(to_number(i.premium_rcv_detail_code))+1
from ins_premium_det i),'44700','44700','02', '11000003','00','Request by Mr. Saqib Saleem 26-Mar-2025 Renewal');</v>
      </c>
      <c r="H186" s="19" t="str">
        <f t="shared" si="11"/>
        <v>insert into ins_premium_det (premium_rcv_code,assorted_code, rec_amount,premium_rcv_detail_code,remaining_amt, payrec, mode_code,coinsurance_code,class_cd,it_remarks) values('26Mar250058','070000176904','44700',(select max(to_number(i.premium_rcv_detail_code))+1
from ins_premium_det i),'44700','44700','02', '11000003','00','Request by Mr. Saqib Saleem 26-Mar-2025 Renewal');</v>
      </c>
    </row>
    <row r="187" spans="1:8" ht="89.25" x14ac:dyDescent="0.2">
      <c r="A187" s="4" t="s">
        <v>1970</v>
      </c>
      <c r="B187" t="str">
        <f>VLOOKUP(A187,plicy!B:C,2,0)</f>
        <v>070000176905</v>
      </c>
      <c r="C187" s="6">
        <f>VLOOKUP(A187,[1]Sheet1!$B$2:$AA$595,26,0)</f>
        <v>41370</v>
      </c>
      <c r="D187" s="16">
        <f t="shared" si="9"/>
        <v>41370</v>
      </c>
      <c r="E187" s="20" t="s">
        <v>2238</v>
      </c>
      <c r="F187" s="17" t="str">
        <f t="shared" si="8"/>
        <v>insert into ins_premium_det (premium_rcv_code,assorted_code, rec_amount,premium_rcv_detail_code,remaining_amt, payrec, mode_code,coinsurance_code,class_cd,it_remarks) values</v>
      </c>
      <c r="G187" s="18" t="str">
        <f t="shared" si="10"/>
        <v>('26Mar250058','070000176905','41370',(select max(to_number(i.premium_rcv_detail_code))+1
from ins_premium_det i),'41370','41370','02', '11000003','00','Request by Mr. Saqib Saleem 26-Mar-2025 Renewal');</v>
      </c>
      <c r="H187" s="19" t="str">
        <f t="shared" si="11"/>
        <v>insert into ins_premium_det (premium_rcv_code,assorted_code, rec_amount,premium_rcv_detail_code,remaining_amt, payrec, mode_code,coinsurance_code,class_cd,it_remarks) values('26Mar250058','070000176905','41370',(select max(to_number(i.premium_rcv_detail_code))+1
from ins_premium_det i),'41370','41370','02', '11000003','00','Request by Mr. Saqib Saleem 26-Mar-2025 Renewal');</v>
      </c>
    </row>
    <row r="188" spans="1:8" ht="89.25" x14ac:dyDescent="0.2">
      <c r="A188" s="4" t="s">
        <v>1977</v>
      </c>
      <c r="B188" t="str">
        <f>VLOOKUP(A188,plicy!B:C,2,0)</f>
        <v>070000176906</v>
      </c>
      <c r="C188" s="6">
        <f>VLOOKUP(A188,[1]Sheet1!$B$2:$AA$595,26,0)</f>
        <v>39000</v>
      </c>
      <c r="D188" s="16">
        <f t="shared" si="9"/>
        <v>39000</v>
      </c>
      <c r="E188" s="20" t="s">
        <v>2238</v>
      </c>
      <c r="F188" s="17" t="str">
        <f t="shared" si="8"/>
        <v>insert into ins_premium_det (premium_rcv_code,assorted_code, rec_amount,premium_rcv_detail_code,remaining_amt, payrec, mode_code,coinsurance_code,class_cd,it_remarks) values</v>
      </c>
      <c r="G188" s="18" t="str">
        <f t="shared" si="10"/>
        <v>('26Mar250058','070000176906','39000',(select max(to_number(i.premium_rcv_detail_code))+1
from ins_premium_det i),'39000','39000','02', '11000003','00','Request by Mr. Saqib Saleem 26-Mar-2025 Renewal');</v>
      </c>
      <c r="H188" s="19" t="str">
        <f t="shared" si="11"/>
        <v>insert into ins_premium_det (premium_rcv_code,assorted_code, rec_amount,premium_rcv_detail_code,remaining_amt, payrec, mode_code,coinsurance_code,class_cd,it_remarks) values('26Mar250058','070000176906','39000',(select max(to_number(i.premium_rcv_detail_code))+1
from ins_premium_det i),'39000','39000','02', '11000003','00','Request by Mr. Saqib Saleem 26-Mar-2025 Renewal');</v>
      </c>
    </row>
    <row r="189" spans="1:8" ht="89.25" x14ac:dyDescent="0.2">
      <c r="A189" s="4" t="s">
        <v>1984</v>
      </c>
      <c r="B189" t="str">
        <f>VLOOKUP(A189,plicy!B:C,2,0)</f>
        <v>070000177075</v>
      </c>
      <c r="C189" s="6">
        <f>VLOOKUP(A189,[1]Sheet1!$B$2:$AA$595,26,0)</f>
        <v>15510</v>
      </c>
      <c r="D189" s="16">
        <f t="shared" si="9"/>
        <v>15510</v>
      </c>
      <c r="E189" s="20" t="s">
        <v>2238</v>
      </c>
      <c r="F189" s="17" t="str">
        <f t="shared" si="8"/>
        <v>insert into ins_premium_det (premium_rcv_code,assorted_code, rec_amount,premium_rcv_detail_code,remaining_amt, payrec, mode_code,coinsurance_code,class_cd,it_remarks) values</v>
      </c>
      <c r="G189" s="18" t="str">
        <f t="shared" si="10"/>
        <v>('26Mar250058','070000177075','15510',(select max(to_number(i.premium_rcv_detail_code))+1
from ins_premium_det i),'15510','15510','02', '11000003','00','Request by Mr. Saqib Saleem 26-Mar-2025 Renewal');</v>
      </c>
      <c r="H189" s="19" t="str">
        <f t="shared" si="11"/>
        <v>insert into ins_premium_det (premium_rcv_code,assorted_code, rec_amount,premium_rcv_detail_code,remaining_amt, payrec, mode_code,coinsurance_code,class_cd,it_remarks) values('26Mar250058','070000177075','15510',(select max(to_number(i.premium_rcv_detail_code))+1
from ins_premium_det i),'15510','15510','02', '11000003','00','Request by Mr. Saqib Saleem 26-Mar-2025 Renewal');</v>
      </c>
    </row>
    <row r="190" spans="1:8" ht="89.25" x14ac:dyDescent="0.2">
      <c r="A190" s="4" t="s">
        <v>1991</v>
      </c>
      <c r="B190" t="str">
        <f>VLOOKUP(A190,plicy!B:C,2,0)</f>
        <v>070000177076</v>
      </c>
      <c r="C190" s="6">
        <f>VLOOKUP(A190,[1]Sheet1!$B$2:$AA$595,26,0)</f>
        <v>22340</v>
      </c>
      <c r="D190" s="16">
        <f t="shared" si="9"/>
        <v>22340</v>
      </c>
      <c r="E190" s="20" t="s">
        <v>2238</v>
      </c>
      <c r="F190" s="17" t="str">
        <f t="shared" si="8"/>
        <v>insert into ins_premium_det (premium_rcv_code,assorted_code, rec_amount,premium_rcv_detail_code,remaining_amt, payrec, mode_code,coinsurance_code,class_cd,it_remarks) values</v>
      </c>
      <c r="G190" s="18" t="str">
        <f t="shared" si="10"/>
        <v>('26Mar250058','070000177076','22340',(select max(to_number(i.premium_rcv_detail_code))+1
from ins_premium_det i),'22340','22340','02', '11000003','00','Request by Mr. Saqib Saleem 26-Mar-2025 Renewal');</v>
      </c>
      <c r="H190" s="19" t="str">
        <f t="shared" si="11"/>
        <v>insert into ins_premium_det (premium_rcv_code,assorted_code, rec_amount,premium_rcv_detail_code,remaining_amt, payrec, mode_code,coinsurance_code,class_cd,it_remarks) values('26Mar250058','070000177076','22340',(select max(to_number(i.premium_rcv_detail_code))+1
from ins_premium_det i),'22340','22340','02', '11000003','00','Request by Mr. Saqib Saleem 26-Mar-2025 Renewal');</v>
      </c>
    </row>
    <row r="191" spans="1:8" ht="89.25" x14ac:dyDescent="0.2">
      <c r="A191" s="4" t="s">
        <v>1997</v>
      </c>
      <c r="B191" t="str">
        <f>VLOOKUP(A191,plicy!B:C,2,0)</f>
        <v>070000177078</v>
      </c>
      <c r="C191" s="6">
        <f>VLOOKUP(A191,[1]Sheet1!$B$2:$AA$595,26,0)</f>
        <v>22340</v>
      </c>
      <c r="D191" s="16">
        <f t="shared" si="9"/>
        <v>22340</v>
      </c>
      <c r="E191" s="20" t="s">
        <v>2238</v>
      </c>
      <c r="F191" s="17" t="str">
        <f t="shared" si="8"/>
        <v>insert into ins_premium_det (premium_rcv_code,assorted_code, rec_amount,premium_rcv_detail_code,remaining_amt, payrec, mode_code,coinsurance_code,class_cd,it_remarks) values</v>
      </c>
      <c r="G191" s="18" t="str">
        <f t="shared" si="10"/>
        <v>('26Mar250058','070000177078','22340',(select max(to_number(i.premium_rcv_detail_code))+1
from ins_premium_det i),'22340','22340','02', '11000003','00','Request by Mr. Saqib Saleem 26-Mar-2025 Renewal');</v>
      </c>
      <c r="H191" s="19" t="str">
        <f t="shared" si="11"/>
        <v>insert into ins_premium_det (premium_rcv_code,assorted_code, rec_amount,premium_rcv_detail_code,remaining_amt, payrec, mode_code,coinsurance_code,class_cd,it_remarks) values('26Mar250058','070000177078','22340',(select max(to_number(i.premium_rcv_detail_code))+1
from ins_premium_det i),'22340','22340','02', '11000003','00','Request by Mr. Saqib Saleem 26-Mar-2025 Renewal');</v>
      </c>
    </row>
    <row r="192" spans="1:8" ht="89.25" x14ac:dyDescent="0.2">
      <c r="A192" s="4" t="s">
        <v>2004</v>
      </c>
      <c r="B192" t="str">
        <f>VLOOKUP(A192,plicy!B:C,2,0)</f>
        <v>070000177079</v>
      </c>
      <c r="C192" s="6">
        <f>VLOOKUP(A192,[1]Sheet1!$B$2:$AA$595,26,0)</f>
        <v>22340</v>
      </c>
      <c r="D192" s="16">
        <f t="shared" si="9"/>
        <v>22340</v>
      </c>
      <c r="E192" s="20" t="s">
        <v>2238</v>
      </c>
      <c r="F192" s="17" t="str">
        <f t="shared" si="8"/>
        <v>insert into ins_premium_det (premium_rcv_code,assorted_code, rec_amount,premium_rcv_detail_code,remaining_amt, payrec, mode_code,coinsurance_code,class_cd,it_remarks) values</v>
      </c>
      <c r="G192" s="18" t="str">
        <f t="shared" si="10"/>
        <v>('26Mar250058','070000177079','22340',(select max(to_number(i.premium_rcv_detail_code))+1
from ins_premium_det i),'22340','22340','02', '11000003','00','Request by Mr. Saqib Saleem 26-Mar-2025 Renewal');</v>
      </c>
      <c r="H192" s="19" t="str">
        <f t="shared" si="11"/>
        <v>insert into ins_premium_det (premium_rcv_code,assorted_code, rec_amount,premium_rcv_detail_code,remaining_amt, payrec, mode_code,coinsurance_code,class_cd,it_remarks) values('26Mar250058','070000177079','22340',(select max(to_number(i.premium_rcv_detail_code))+1
from ins_premium_det i),'22340','22340','02', '11000003','00','Request by Mr. Saqib Saleem 26-Mar-2025 Renewal');</v>
      </c>
    </row>
    <row r="193" spans="1:8" ht="89.25" x14ac:dyDescent="0.2">
      <c r="A193" s="4" t="s">
        <v>2011</v>
      </c>
      <c r="B193" t="str">
        <f>VLOOKUP(A193,plicy!B:C,2,0)</f>
        <v>070000177080</v>
      </c>
      <c r="C193" s="6">
        <f>VLOOKUP(A193,[1]Sheet1!$B$2:$AA$595,26,0)</f>
        <v>19110</v>
      </c>
      <c r="D193" s="16">
        <f t="shared" si="9"/>
        <v>19110</v>
      </c>
      <c r="E193" s="20" t="s">
        <v>2238</v>
      </c>
      <c r="F193" s="17" t="str">
        <f t="shared" si="8"/>
        <v>insert into ins_premium_det (premium_rcv_code,assorted_code, rec_amount,premium_rcv_detail_code,remaining_amt, payrec, mode_code,coinsurance_code,class_cd,it_remarks) values</v>
      </c>
      <c r="G193" s="18" t="str">
        <f t="shared" si="10"/>
        <v>('26Mar250058','070000177080','19110',(select max(to_number(i.premium_rcv_detail_code))+1
from ins_premium_det i),'19110','19110','02', '11000003','00','Request by Mr. Saqib Saleem 26-Mar-2025 Renewal');</v>
      </c>
      <c r="H193" s="19" t="str">
        <f t="shared" si="11"/>
        <v>insert into ins_premium_det (premium_rcv_code,assorted_code, rec_amount,premium_rcv_detail_code,remaining_amt, payrec, mode_code,coinsurance_code,class_cd,it_remarks) values('26Mar250058','070000177080','19110',(select max(to_number(i.premium_rcv_detail_code))+1
from ins_premium_det i),'19110','19110','02', '11000003','00','Request by Mr. Saqib Saleem 26-Mar-2025 Renewal');</v>
      </c>
    </row>
    <row r="194" spans="1:8" ht="89.25" x14ac:dyDescent="0.2">
      <c r="A194" s="4" t="s">
        <v>2019</v>
      </c>
      <c r="B194" t="str">
        <f>VLOOKUP(A194,plicy!B:C,2,0)</f>
        <v>070000177081</v>
      </c>
      <c r="C194" s="6">
        <f>VLOOKUP(A194,[1]Sheet1!$B$2:$AA$595,26,0)</f>
        <v>22340</v>
      </c>
      <c r="D194" s="16">
        <f t="shared" si="9"/>
        <v>22340</v>
      </c>
      <c r="E194" s="20" t="s">
        <v>2238</v>
      </c>
      <c r="F194" s="17" t="str">
        <f t="shared" ref="F194:F204" si="12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194" s="18" t="str">
        <f t="shared" si="10"/>
        <v>('26Mar250058','070000177081','22340',(select max(to_number(i.premium_rcv_detail_code))+1
from ins_premium_det i),'22340','22340','02', '11000003','00','Request by Mr. Saqib Saleem 26-Mar-2025 Renewal');</v>
      </c>
      <c r="H194" s="19" t="str">
        <f t="shared" si="11"/>
        <v>insert into ins_premium_det (premium_rcv_code,assorted_code, rec_amount,premium_rcv_detail_code,remaining_amt, payrec, mode_code,coinsurance_code,class_cd,it_remarks) values('26Mar250058','070000177081','22340',(select max(to_number(i.premium_rcv_detail_code))+1
from ins_premium_det i),'22340','22340','02', '11000003','00','Request by Mr. Saqib Saleem 26-Mar-2025 Renewal');</v>
      </c>
    </row>
    <row r="195" spans="1:8" ht="89.25" x14ac:dyDescent="0.2">
      <c r="A195" s="4" t="s">
        <v>2026</v>
      </c>
      <c r="B195" t="str">
        <f>VLOOKUP(A195,plicy!B:C,2,0)</f>
        <v>070000177082</v>
      </c>
      <c r="C195" s="6">
        <f>VLOOKUP(A195,[1]Sheet1!$B$2:$AA$595,26,0)</f>
        <v>19388</v>
      </c>
      <c r="D195" s="16">
        <f t="shared" ref="D195:D204" si="13">ROUND(C195,0)</f>
        <v>19388</v>
      </c>
      <c r="E195" s="20" t="s">
        <v>2238</v>
      </c>
      <c r="F195" s="17" t="str">
        <f t="shared" si="12"/>
        <v>insert into ins_premium_det (premium_rcv_code,assorted_code, rec_amount,premium_rcv_detail_code,remaining_amt, payrec, mode_code,coinsurance_code,class_cd,it_remarks) values</v>
      </c>
      <c r="G195" s="18" t="str">
        <f t="shared" ref="G195:G204" si="14">"('"&amp;E195&amp;"','"&amp;B195&amp;"','"&amp;D195&amp;"',(select max(to_number(i.premium_rcv_detail_code))+1
from ins_premium_det i),'"&amp;D195&amp;"','"&amp;D195&amp;"','02', '11000003','00','Request by Mr. Saqib Saleem 26-Mar-2025 Renewal');"</f>
        <v>('26Mar250058','070000177082','19388',(select max(to_number(i.premium_rcv_detail_code))+1
from ins_premium_det i),'19388','19388','02', '11000003','00','Request by Mr. Saqib Saleem 26-Mar-2025 Renewal');</v>
      </c>
      <c r="H195" s="19" t="str">
        <f t="shared" ref="H195:H204" si="15">F195&amp;G195</f>
        <v>insert into ins_premium_det (premium_rcv_code,assorted_code, rec_amount,premium_rcv_detail_code,remaining_amt, payrec, mode_code,coinsurance_code,class_cd,it_remarks) values('26Mar250058','070000177082','19388',(select max(to_number(i.premium_rcv_detail_code))+1
from ins_premium_det i),'19388','19388','02', '11000003','00','Request by Mr. Saqib Saleem 26-Mar-2025 Renewal');</v>
      </c>
    </row>
    <row r="196" spans="1:8" ht="89.25" x14ac:dyDescent="0.2">
      <c r="A196" s="4" t="s">
        <v>2033</v>
      </c>
      <c r="B196" t="str">
        <f>VLOOKUP(A196,plicy!B:C,2,0)</f>
        <v>070000177071</v>
      </c>
      <c r="C196" s="6">
        <f>VLOOKUP(A196,[1]Sheet1!$B$2:$AA$595,26,0)</f>
        <v>19388</v>
      </c>
      <c r="D196" s="16">
        <f t="shared" si="13"/>
        <v>19388</v>
      </c>
      <c r="E196" s="20" t="s">
        <v>2238</v>
      </c>
      <c r="F196" s="17" t="str">
        <f t="shared" si="12"/>
        <v>insert into ins_premium_det (premium_rcv_code,assorted_code, rec_amount,premium_rcv_detail_code,remaining_amt, payrec, mode_code,coinsurance_code,class_cd,it_remarks) values</v>
      </c>
      <c r="G196" s="18" t="str">
        <f t="shared" si="14"/>
        <v>('26Mar250058','070000177071','19388',(select max(to_number(i.premium_rcv_detail_code))+1
from ins_premium_det i),'19388','19388','02', '11000003','00','Request by Mr. Saqib Saleem 26-Mar-2025 Renewal');</v>
      </c>
      <c r="H196" s="19" t="str">
        <f t="shared" si="15"/>
        <v>insert into ins_premium_det (premium_rcv_code,assorted_code, rec_amount,premium_rcv_detail_code,remaining_amt, payrec, mode_code,coinsurance_code,class_cd,it_remarks) values('26Mar250058','070000177071','19388',(select max(to_number(i.premium_rcv_detail_code))+1
from ins_premium_det i),'19388','19388','02', '11000003','00','Request by Mr. Saqib Saleem 26-Mar-2025 Renewal');</v>
      </c>
    </row>
    <row r="197" spans="1:8" ht="89.25" x14ac:dyDescent="0.2">
      <c r="A197" s="4" t="s">
        <v>2040</v>
      </c>
      <c r="B197" t="str">
        <f>VLOOKUP(A197,plicy!B:C,2,0)</f>
        <v>070000177072</v>
      </c>
      <c r="C197" s="6">
        <f>VLOOKUP(A197,[1]Sheet1!$B$2:$AA$595,26,0)</f>
        <v>19388</v>
      </c>
      <c r="D197" s="16">
        <f t="shared" si="13"/>
        <v>19388</v>
      </c>
      <c r="E197" s="20" t="s">
        <v>2238</v>
      </c>
      <c r="F197" s="17" t="str">
        <f t="shared" si="12"/>
        <v>insert into ins_premium_det (premium_rcv_code,assorted_code, rec_amount,premium_rcv_detail_code,remaining_amt, payrec, mode_code,coinsurance_code,class_cd,it_remarks) values</v>
      </c>
      <c r="G197" s="18" t="str">
        <f t="shared" si="14"/>
        <v>('26Mar250058','070000177072','19388',(select max(to_number(i.premium_rcv_detail_code))+1
from ins_premium_det i),'19388','19388','02', '11000003','00','Request by Mr. Saqib Saleem 26-Mar-2025 Renewal');</v>
      </c>
      <c r="H197" s="19" t="str">
        <f t="shared" si="15"/>
        <v>insert into ins_premium_det (premium_rcv_code,assorted_code, rec_amount,premium_rcv_detail_code,remaining_amt, payrec, mode_code,coinsurance_code,class_cd,it_remarks) values('26Mar250058','070000177072','19388',(select max(to_number(i.premium_rcv_detail_code))+1
from ins_premium_det i),'19388','19388','02', '11000003','00','Request by Mr. Saqib Saleem 26-Mar-2025 Renewal');</v>
      </c>
    </row>
    <row r="198" spans="1:8" ht="89.25" x14ac:dyDescent="0.2">
      <c r="A198" s="4" t="s">
        <v>2047</v>
      </c>
      <c r="B198" t="str">
        <f>VLOOKUP(A198,plicy!B:C,2,0)</f>
        <v>070000177073</v>
      </c>
      <c r="C198" s="6">
        <f>VLOOKUP(A198,[1]Sheet1!$B$2:$AA$595,26,0)</f>
        <v>19388</v>
      </c>
      <c r="D198" s="16">
        <f t="shared" si="13"/>
        <v>19388</v>
      </c>
      <c r="E198" s="20" t="s">
        <v>2238</v>
      </c>
      <c r="F198" s="17" t="str">
        <f t="shared" si="12"/>
        <v>insert into ins_premium_det (premium_rcv_code,assorted_code, rec_amount,premium_rcv_detail_code,remaining_amt, payrec, mode_code,coinsurance_code,class_cd,it_remarks) values</v>
      </c>
      <c r="G198" s="18" t="str">
        <f t="shared" si="14"/>
        <v>('26Mar250058','070000177073','19388',(select max(to_number(i.premium_rcv_detail_code))+1
from ins_premium_det i),'19388','19388','02', '11000003','00','Request by Mr. Saqib Saleem 26-Mar-2025 Renewal');</v>
      </c>
      <c r="H198" s="19" t="str">
        <f t="shared" si="15"/>
        <v>insert into ins_premium_det (premium_rcv_code,assorted_code, rec_amount,premium_rcv_detail_code,remaining_amt, payrec, mode_code,coinsurance_code,class_cd,it_remarks) values('26Mar250058','070000177073','19388',(select max(to_number(i.premium_rcv_detail_code))+1
from ins_premium_det i),'19388','19388','02', '11000003','00','Request by Mr. Saqib Saleem 26-Mar-2025 Renewal');</v>
      </c>
    </row>
    <row r="199" spans="1:8" ht="89.25" x14ac:dyDescent="0.2">
      <c r="A199" s="4" t="s">
        <v>2054</v>
      </c>
      <c r="B199" t="str">
        <f>VLOOKUP(A199,plicy!B:C,2,0)</f>
        <v>070000177074</v>
      </c>
      <c r="C199" s="6">
        <f>VLOOKUP(A199,[1]Sheet1!$B$2:$AA$595,26,0)</f>
        <v>19388</v>
      </c>
      <c r="D199" s="16">
        <f t="shared" si="13"/>
        <v>19388</v>
      </c>
      <c r="E199" s="20" t="s">
        <v>2238</v>
      </c>
      <c r="F199" s="17" t="str">
        <f t="shared" si="12"/>
        <v>insert into ins_premium_det (premium_rcv_code,assorted_code, rec_amount,premium_rcv_detail_code,remaining_amt, payrec, mode_code,coinsurance_code,class_cd,it_remarks) values</v>
      </c>
      <c r="G199" s="18" t="str">
        <f t="shared" si="14"/>
        <v>('26Mar250058','070000177074','19388',(select max(to_number(i.premium_rcv_detail_code))+1
from ins_premium_det i),'19388','19388','02', '11000003','00','Request by Mr. Saqib Saleem 26-Mar-2025 Renewal');</v>
      </c>
      <c r="H199" s="19" t="str">
        <f t="shared" si="15"/>
        <v>insert into ins_premium_det (premium_rcv_code,assorted_code, rec_amount,premium_rcv_detail_code,remaining_amt, payrec, mode_code,coinsurance_code,class_cd,it_remarks) values('26Mar250058','070000177074','19388',(select max(to_number(i.premium_rcv_detail_code))+1
from ins_premium_det i),'19388','19388','02', '11000003','00','Request by Mr. Saqib Saleem 26-Mar-2025 Renewal');</v>
      </c>
    </row>
    <row r="200" spans="1:8" ht="89.25" x14ac:dyDescent="0.2">
      <c r="A200" s="4" t="s">
        <v>2061</v>
      </c>
      <c r="B200" t="str">
        <f>VLOOKUP(A200,plicy!B:C,2,0)</f>
        <v>070000170074</v>
      </c>
      <c r="C200" s="6">
        <f>VLOOKUP(A200,[2]Sheet1!$B$2:$AA$1455,26,0)</f>
        <v>34850</v>
      </c>
      <c r="D200" s="16">
        <f t="shared" si="13"/>
        <v>34850</v>
      </c>
      <c r="E200" s="20" t="s">
        <v>2238</v>
      </c>
      <c r="F200" s="17" t="str">
        <f t="shared" si="12"/>
        <v>insert into ins_premium_det (premium_rcv_code,assorted_code, rec_amount,premium_rcv_detail_code,remaining_amt, payrec, mode_code,coinsurance_code,class_cd,it_remarks) values</v>
      </c>
      <c r="G200" s="18" t="str">
        <f t="shared" si="14"/>
        <v>('26Mar250058','070000170074','34850',(select max(to_number(i.premium_rcv_detail_code))+1
from ins_premium_det i),'34850','34850','02', '11000003','00','Request by Mr. Saqib Saleem 26-Mar-2025 Renewal');</v>
      </c>
      <c r="H200" s="19" t="str">
        <f t="shared" si="15"/>
        <v>insert into ins_premium_det (premium_rcv_code,assorted_code, rec_amount,premium_rcv_detail_code,remaining_amt, payrec, mode_code,coinsurance_code,class_cd,it_remarks) values('26Mar250058','070000170074','34850',(select max(to_number(i.premium_rcv_detail_code))+1
from ins_premium_det i),'34850','34850','02', '11000003','00','Request by Mr. Saqib Saleem 26-Mar-2025 Renewal');</v>
      </c>
    </row>
    <row r="201" spans="1:8" ht="89.25" x14ac:dyDescent="0.2">
      <c r="A201" s="4" t="s">
        <v>2067</v>
      </c>
      <c r="B201" t="str">
        <f>VLOOKUP(A201,plicy!B:C,2,0)</f>
        <v>070000170089</v>
      </c>
      <c r="C201" s="6">
        <f>VLOOKUP(A201,[2]Sheet1!$B$2:$AA$1455,26,0)</f>
        <v>34584</v>
      </c>
      <c r="D201" s="16">
        <f t="shared" si="13"/>
        <v>34584</v>
      </c>
      <c r="E201" s="20" t="s">
        <v>2238</v>
      </c>
      <c r="F201" s="17" t="str">
        <f t="shared" si="12"/>
        <v>insert into ins_premium_det (premium_rcv_code,assorted_code, rec_amount,premium_rcv_detail_code,remaining_amt, payrec, mode_code,coinsurance_code,class_cd,it_remarks) values</v>
      </c>
      <c r="G201" s="18" t="str">
        <f t="shared" si="14"/>
        <v>('26Mar250058','070000170089','34584',(select max(to_number(i.premium_rcv_detail_code))+1
from ins_premium_det i),'34584','34584','02', '11000003','00','Request by Mr. Saqib Saleem 26-Mar-2025 Renewal');</v>
      </c>
      <c r="H201" s="19" t="str">
        <f t="shared" si="15"/>
        <v>insert into ins_premium_det (premium_rcv_code,assorted_code, rec_amount,premium_rcv_detail_code,remaining_amt, payrec, mode_code,coinsurance_code,class_cd,it_remarks) values('26Mar250058','070000170089','34584',(select max(to_number(i.premium_rcv_detail_code))+1
from ins_premium_det i),'34584','34584','02', '11000003','00','Request by Mr. Saqib Saleem 26-Mar-2025 Renewal');</v>
      </c>
    </row>
    <row r="202" spans="1:8" ht="89.25" x14ac:dyDescent="0.2">
      <c r="A202" s="4" t="s">
        <v>2075</v>
      </c>
      <c r="B202" t="str">
        <f>VLOOKUP(A202,plicy!B:C,2,0)</f>
        <v>070000174365</v>
      </c>
      <c r="C202" s="6">
        <f>VLOOKUP(A202,[1]Sheet1!$B$2:$AA$595,26,0)</f>
        <v>41370</v>
      </c>
      <c r="D202" s="16">
        <f t="shared" si="13"/>
        <v>41370</v>
      </c>
      <c r="E202" s="20" t="s">
        <v>2238</v>
      </c>
      <c r="F202" s="17" t="str">
        <f t="shared" si="12"/>
        <v>insert into ins_premium_det (premium_rcv_code,assorted_code, rec_amount,premium_rcv_detail_code,remaining_amt, payrec, mode_code,coinsurance_code,class_cd,it_remarks) values</v>
      </c>
      <c r="G202" s="18" t="str">
        <f t="shared" si="14"/>
        <v>('26Mar250058','070000174365','41370',(select max(to_number(i.premium_rcv_detail_code))+1
from ins_premium_det i),'41370','41370','02', '11000003','00','Request by Mr. Saqib Saleem 26-Mar-2025 Renewal');</v>
      </c>
      <c r="H202" s="19" t="str">
        <f t="shared" si="15"/>
        <v>insert into ins_premium_det (premium_rcv_code,assorted_code, rec_amount,premium_rcv_detail_code,remaining_amt, payrec, mode_code,coinsurance_code,class_cd,it_remarks) values('26Mar250058','070000174365','41370',(select max(to_number(i.premium_rcv_detail_code))+1
from ins_premium_det i),'41370','41370','02', '11000003','00','Request by Mr. Saqib Saleem 26-Mar-2025 Renewal');</v>
      </c>
    </row>
    <row r="203" spans="1:8" ht="89.25" x14ac:dyDescent="0.2">
      <c r="A203" s="4" t="s">
        <v>2082</v>
      </c>
      <c r="B203" t="str">
        <f>VLOOKUP(A203,plicy!B:C,2,0)</f>
        <v>070000174390</v>
      </c>
      <c r="C203" s="6">
        <f>VLOOKUP(A203,[1]Sheet1!$B$2:$AA$595,26,0)</f>
        <v>48106</v>
      </c>
      <c r="D203" s="16">
        <f t="shared" si="13"/>
        <v>48106</v>
      </c>
      <c r="E203" s="20" t="s">
        <v>2238</v>
      </c>
      <c r="F203" s="17" t="str">
        <f t="shared" si="12"/>
        <v>insert into ins_premium_det (premium_rcv_code,assorted_code, rec_amount,premium_rcv_detail_code,remaining_amt, payrec, mode_code,coinsurance_code,class_cd,it_remarks) values</v>
      </c>
      <c r="G203" s="18" t="str">
        <f t="shared" si="14"/>
        <v>('26Mar250058','070000174390','48106',(select max(to_number(i.premium_rcv_detail_code))+1
from ins_premium_det i),'48106','48106','02', '11000003','00','Request by Mr. Saqib Saleem 26-Mar-2025 Renewal');</v>
      </c>
      <c r="H203" s="19" t="str">
        <f t="shared" si="15"/>
        <v>insert into ins_premium_det (premium_rcv_code,assorted_code, rec_amount,premium_rcv_detail_code,remaining_amt, payrec, mode_code,coinsurance_code,class_cd,it_remarks) values('26Mar250058','070000174390','48106',(select max(to_number(i.premium_rcv_detail_code))+1
from ins_premium_det i),'48106','48106','02', '11000003','00','Request by Mr. Saqib Saleem 26-Mar-2025 Renewal');</v>
      </c>
    </row>
    <row r="204" spans="1:8" ht="89.25" x14ac:dyDescent="0.2">
      <c r="A204" s="4" t="s">
        <v>2094</v>
      </c>
      <c r="B204" t="str">
        <f>VLOOKUP(A204,plicy!B:C,2,0)</f>
        <v>070000178624</v>
      </c>
      <c r="C204" s="6">
        <f>VLOOKUP(A204,[2]Sheet1!$B$2:$AA$1455,26,0)</f>
        <v>75841</v>
      </c>
      <c r="D204" s="16">
        <f t="shared" si="13"/>
        <v>75841</v>
      </c>
      <c r="E204" s="20" t="s">
        <v>2238</v>
      </c>
      <c r="F204" s="17" t="str">
        <f t="shared" si="12"/>
        <v>insert into ins_premium_det (premium_rcv_code,assorted_code, rec_amount,premium_rcv_detail_code,remaining_amt, payrec, mode_code,coinsurance_code,class_cd,it_remarks) values</v>
      </c>
      <c r="G204" s="18" t="str">
        <f t="shared" si="14"/>
        <v>('26Mar250058','070000178624','75841',(select max(to_number(i.premium_rcv_detail_code))+1
from ins_premium_det i),'75841','75841','02', '11000003','00','Request by Mr. Saqib Saleem 26-Mar-2025 Renewal');</v>
      </c>
      <c r="H204" s="19" t="str">
        <f t="shared" si="15"/>
        <v>insert into ins_premium_det (premium_rcv_code,assorted_code, rec_amount,premium_rcv_detail_code,remaining_amt, payrec, mode_code,coinsurance_code,class_cd,it_remarks) values('26Mar250058','070000178624','75841',(select max(to_number(i.premium_rcv_detail_code))+1
from ins_premium_det i),'75841','75841','02', '11000003','00','Request by Mr. Saqib Saleem 26-Mar-2025 Renewal');</v>
      </c>
    </row>
    <row r="205" spans="1:8" x14ac:dyDescent="0.2">
      <c r="C205" s="3">
        <f>SUM(C2:C204)</f>
        <v>8190939</v>
      </c>
    </row>
  </sheetData>
  <conditionalFormatting sqref="A1">
    <cfRule type="duplicateValues" dxfId="3" priority="1"/>
  </conditionalFormatting>
  <conditionalFormatting sqref="B2:B204">
    <cfRule type="duplicateValues" dxfId="2" priority="2"/>
    <cfRule type="duplicateValues" dxfId="1" priority="3"/>
    <cfRule type="duplicateValues" dxfId="0" priority="4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1EF0A-0552-4F13-87B8-6C1712341D68}">
  <dimension ref="A2:J204"/>
  <sheetViews>
    <sheetView topLeftCell="A163" workbookViewId="0">
      <selection activeCell="J2" sqref="J2:J204"/>
    </sheetView>
  </sheetViews>
  <sheetFormatPr defaultRowHeight="12.75" x14ac:dyDescent="0.2"/>
  <cols>
    <col min="1" max="1" width="42.28515625" bestFit="1" customWidth="1"/>
  </cols>
  <sheetData>
    <row r="2" spans="1:10" x14ac:dyDescent="0.2">
      <c r="A2" s="4" t="s">
        <v>655</v>
      </c>
      <c r="B2" s="1" t="s">
        <v>2099</v>
      </c>
      <c r="H2">
        <v>107407</v>
      </c>
      <c r="I2" t="s">
        <v>2117</v>
      </c>
      <c r="J2" s="12" t="str">
        <f t="shared" ref="J2:J65" si="0">"ia.assorted_string like '%"&amp;H2&amp;"-"&amp;I2&amp;B2&amp;"%' or"</f>
        <v>ia.assorted_string like '%107407-00001-02-2025%' or</v>
      </c>
    </row>
    <row r="3" spans="1:10" x14ac:dyDescent="0.2">
      <c r="A3" s="4" t="s">
        <v>662</v>
      </c>
      <c r="B3" s="1" t="s">
        <v>2099</v>
      </c>
      <c r="H3">
        <v>107407</v>
      </c>
      <c r="I3" t="s">
        <v>2118</v>
      </c>
      <c r="J3" s="12" t="str">
        <f t="shared" si="0"/>
        <v>ia.assorted_string like '%107407-00010-02-2025%' or</v>
      </c>
    </row>
    <row r="4" spans="1:10" x14ac:dyDescent="0.2">
      <c r="A4" s="4" t="s">
        <v>669</v>
      </c>
      <c r="B4" s="1" t="s">
        <v>2099</v>
      </c>
      <c r="H4">
        <v>107407</v>
      </c>
      <c r="I4" t="s">
        <v>2241</v>
      </c>
      <c r="J4" s="12" t="str">
        <f t="shared" si="0"/>
        <v>ia.assorted_string like '%107407-00100-02-2025%' or</v>
      </c>
    </row>
    <row r="5" spans="1:10" x14ac:dyDescent="0.2">
      <c r="A5" s="4" t="s">
        <v>676</v>
      </c>
      <c r="B5" s="1" t="s">
        <v>2099</v>
      </c>
      <c r="H5">
        <v>107407</v>
      </c>
      <c r="I5" t="s">
        <v>2242</v>
      </c>
      <c r="J5" s="12" t="str">
        <f t="shared" si="0"/>
        <v>ia.assorted_string like '%107407-00101-02-2025%' or</v>
      </c>
    </row>
    <row r="6" spans="1:10" x14ac:dyDescent="0.2">
      <c r="A6" s="4" t="s">
        <v>681</v>
      </c>
      <c r="B6" s="1" t="s">
        <v>2099</v>
      </c>
      <c r="H6">
        <v>107407</v>
      </c>
      <c r="I6" t="s">
        <v>2243</v>
      </c>
      <c r="J6" s="12" t="str">
        <f t="shared" si="0"/>
        <v>ia.assorted_string like '%107407-00102-02-2025%' or</v>
      </c>
    </row>
    <row r="7" spans="1:10" x14ac:dyDescent="0.2">
      <c r="A7" s="4" t="s">
        <v>688</v>
      </c>
      <c r="B7" s="1" t="s">
        <v>2099</v>
      </c>
      <c r="H7">
        <v>107407</v>
      </c>
      <c r="I7" t="s">
        <v>2244</v>
      </c>
      <c r="J7" s="12" t="str">
        <f t="shared" si="0"/>
        <v>ia.assorted_string like '%107407-00104-02-2025%' or</v>
      </c>
    </row>
    <row r="8" spans="1:10" x14ac:dyDescent="0.2">
      <c r="A8" s="4" t="s">
        <v>695</v>
      </c>
      <c r="B8" s="1" t="s">
        <v>2099</v>
      </c>
      <c r="H8">
        <v>107407</v>
      </c>
      <c r="I8" t="s">
        <v>2245</v>
      </c>
      <c r="J8" s="12" t="str">
        <f t="shared" si="0"/>
        <v>ia.assorted_string like '%107407-00105-02-2025%' or</v>
      </c>
    </row>
    <row r="9" spans="1:10" x14ac:dyDescent="0.2">
      <c r="A9" s="4" t="s">
        <v>702</v>
      </c>
      <c r="B9" s="1" t="s">
        <v>2099</v>
      </c>
      <c r="H9">
        <v>107407</v>
      </c>
      <c r="I9" t="s">
        <v>2246</v>
      </c>
      <c r="J9" s="12" t="str">
        <f t="shared" si="0"/>
        <v>ia.assorted_string like '%107407-00106-02-2025%' or</v>
      </c>
    </row>
    <row r="10" spans="1:10" x14ac:dyDescent="0.2">
      <c r="A10" s="4" t="s">
        <v>709</v>
      </c>
      <c r="B10" s="1" t="s">
        <v>2099</v>
      </c>
      <c r="H10">
        <v>107407</v>
      </c>
      <c r="I10" t="s">
        <v>2247</v>
      </c>
      <c r="J10" s="12" t="str">
        <f t="shared" si="0"/>
        <v>ia.assorted_string like '%107407-00107-02-2025%' or</v>
      </c>
    </row>
    <row r="11" spans="1:10" x14ac:dyDescent="0.2">
      <c r="A11" s="4" t="s">
        <v>716</v>
      </c>
      <c r="B11" s="1" t="s">
        <v>2099</v>
      </c>
      <c r="H11">
        <v>107407</v>
      </c>
      <c r="I11" t="s">
        <v>2248</v>
      </c>
      <c r="J11" s="12" t="str">
        <f t="shared" si="0"/>
        <v>ia.assorted_string like '%107407-00108-02-2025%' or</v>
      </c>
    </row>
    <row r="12" spans="1:10" x14ac:dyDescent="0.2">
      <c r="A12" s="4" t="s">
        <v>722</v>
      </c>
      <c r="B12" s="1" t="s">
        <v>2099</v>
      </c>
      <c r="H12">
        <v>107407</v>
      </c>
      <c r="I12" t="s">
        <v>2249</v>
      </c>
      <c r="J12" s="12" t="str">
        <f t="shared" si="0"/>
        <v>ia.assorted_string like '%107407-00109-02-2025%' or</v>
      </c>
    </row>
    <row r="13" spans="1:10" x14ac:dyDescent="0.2">
      <c r="A13" s="4" t="s">
        <v>729</v>
      </c>
      <c r="B13" s="1" t="s">
        <v>2099</v>
      </c>
      <c r="H13">
        <v>107407</v>
      </c>
      <c r="I13" t="s">
        <v>2119</v>
      </c>
      <c r="J13" s="12" t="str">
        <f t="shared" si="0"/>
        <v>ia.assorted_string like '%107407-00011-02-2025%' or</v>
      </c>
    </row>
    <row r="14" spans="1:10" x14ac:dyDescent="0.2">
      <c r="A14" s="4" t="s">
        <v>736</v>
      </c>
      <c r="B14" s="1" t="s">
        <v>2099</v>
      </c>
      <c r="H14">
        <v>107407</v>
      </c>
      <c r="I14" t="s">
        <v>2250</v>
      </c>
      <c r="J14" s="12" t="str">
        <f t="shared" si="0"/>
        <v>ia.assorted_string like '%107407-00110-02-2025%' or</v>
      </c>
    </row>
    <row r="15" spans="1:10" x14ac:dyDescent="0.2">
      <c r="A15" s="4" t="s">
        <v>743</v>
      </c>
      <c r="B15" s="1" t="s">
        <v>2099</v>
      </c>
      <c r="H15">
        <v>107407</v>
      </c>
      <c r="I15" t="s">
        <v>2251</v>
      </c>
      <c r="J15" s="12" t="str">
        <f t="shared" si="0"/>
        <v>ia.assorted_string like '%107407-00111-02-2025%' or</v>
      </c>
    </row>
    <row r="16" spans="1:10" x14ac:dyDescent="0.2">
      <c r="A16" s="4" t="s">
        <v>751</v>
      </c>
      <c r="B16" s="1" t="s">
        <v>2099</v>
      </c>
      <c r="H16">
        <v>107407</v>
      </c>
      <c r="I16" t="s">
        <v>2252</v>
      </c>
      <c r="J16" s="12" t="str">
        <f t="shared" si="0"/>
        <v>ia.assorted_string like '%107407-00112-02-2025%' or</v>
      </c>
    </row>
    <row r="17" spans="1:10" x14ac:dyDescent="0.2">
      <c r="A17" s="4" t="s">
        <v>758</v>
      </c>
      <c r="B17" s="1" t="s">
        <v>2099</v>
      </c>
      <c r="H17">
        <v>107407</v>
      </c>
      <c r="I17" t="s">
        <v>2253</v>
      </c>
      <c r="J17" s="12" t="str">
        <f t="shared" si="0"/>
        <v>ia.assorted_string like '%107407-00113-02-2025%' or</v>
      </c>
    </row>
    <row r="18" spans="1:10" x14ac:dyDescent="0.2">
      <c r="A18" s="4" t="s">
        <v>766</v>
      </c>
      <c r="B18" s="1" t="s">
        <v>2099</v>
      </c>
      <c r="H18">
        <v>107407</v>
      </c>
      <c r="I18" t="s">
        <v>2254</v>
      </c>
      <c r="J18" s="12" t="str">
        <f t="shared" si="0"/>
        <v>ia.assorted_string like '%107407-00114-02-2025%' or</v>
      </c>
    </row>
    <row r="19" spans="1:10" x14ac:dyDescent="0.2">
      <c r="A19" s="4" t="s">
        <v>772</v>
      </c>
      <c r="B19" s="1" t="s">
        <v>2099</v>
      </c>
      <c r="H19">
        <v>107407</v>
      </c>
      <c r="I19" t="s">
        <v>2255</v>
      </c>
      <c r="J19" s="12" t="str">
        <f t="shared" si="0"/>
        <v>ia.assorted_string like '%107407-00115-02-2025%' or</v>
      </c>
    </row>
    <row r="20" spans="1:10" x14ac:dyDescent="0.2">
      <c r="A20" s="4" t="s">
        <v>779</v>
      </c>
      <c r="B20" s="1" t="s">
        <v>2099</v>
      </c>
      <c r="H20">
        <v>107407</v>
      </c>
      <c r="I20" t="s">
        <v>2256</v>
      </c>
      <c r="J20" s="12" t="str">
        <f t="shared" si="0"/>
        <v>ia.assorted_string like '%107407-00116-02-2025%' or</v>
      </c>
    </row>
    <row r="21" spans="1:10" x14ac:dyDescent="0.2">
      <c r="A21" s="4" t="s">
        <v>786</v>
      </c>
      <c r="B21" s="1" t="s">
        <v>2099</v>
      </c>
      <c r="H21">
        <v>107407</v>
      </c>
      <c r="I21" t="s">
        <v>2257</v>
      </c>
      <c r="J21" s="12" t="str">
        <f t="shared" si="0"/>
        <v>ia.assorted_string like '%107407-00117-02-2025%' or</v>
      </c>
    </row>
    <row r="22" spans="1:10" x14ac:dyDescent="0.2">
      <c r="A22" s="4" t="s">
        <v>793</v>
      </c>
      <c r="B22" s="1" t="s">
        <v>2099</v>
      </c>
      <c r="H22">
        <v>107407</v>
      </c>
      <c r="I22" t="s">
        <v>2258</v>
      </c>
      <c r="J22" s="12" t="str">
        <f t="shared" si="0"/>
        <v>ia.assorted_string like '%107407-00118-02-2025%' or</v>
      </c>
    </row>
    <row r="23" spans="1:10" x14ac:dyDescent="0.2">
      <c r="A23" s="4" t="s">
        <v>800</v>
      </c>
      <c r="B23" s="1" t="s">
        <v>2099</v>
      </c>
      <c r="H23">
        <v>107407</v>
      </c>
      <c r="I23" t="s">
        <v>2259</v>
      </c>
      <c r="J23" s="12" t="str">
        <f t="shared" si="0"/>
        <v>ia.assorted_string like '%107407-00119-02-2025%' or</v>
      </c>
    </row>
    <row r="24" spans="1:10" x14ac:dyDescent="0.2">
      <c r="A24" s="4" t="s">
        <v>807</v>
      </c>
      <c r="B24" s="1" t="s">
        <v>2099</v>
      </c>
      <c r="H24">
        <v>107407</v>
      </c>
      <c r="I24" t="s">
        <v>2120</v>
      </c>
      <c r="J24" s="12" t="str">
        <f t="shared" si="0"/>
        <v>ia.assorted_string like '%107407-00012-02-2025%' or</v>
      </c>
    </row>
    <row r="25" spans="1:10" x14ac:dyDescent="0.2">
      <c r="A25" s="4" t="s">
        <v>814</v>
      </c>
      <c r="B25" s="1" t="s">
        <v>2099</v>
      </c>
      <c r="H25">
        <v>107407</v>
      </c>
      <c r="I25" t="s">
        <v>2260</v>
      </c>
      <c r="J25" s="12" t="str">
        <f t="shared" si="0"/>
        <v>ia.assorted_string like '%107407-00120-02-2025%' or</v>
      </c>
    </row>
    <row r="26" spans="1:10" x14ac:dyDescent="0.2">
      <c r="A26" s="4" t="s">
        <v>821</v>
      </c>
      <c r="B26" s="1" t="s">
        <v>2099</v>
      </c>
      <c r="H26">
        <v>107407</v>
      </c>
      <c r="I26" t="s">
        <v>2261</v>
      </c>
      <c r="J26" s="12" t="str">
        <f t="shared" si="0"/>
        <v>ia.assorted_string like '%107407-00121-02-2025%' or</v>
      </c>
    </row>
    <row r="27" spans="1:10" x14ac:dyDescent="0.2">
      <c r="A27" s="4" t="s">
        <v>829</v>
      </c>
      <c r="B27" s="1" t="s">
        <v>2099</v>
      </c>
      <c r="H27">
        <v>107407</v>
      </c>
      <c r="I27" t="s">
        <v>2262</v>
      </c>
      <c r="J27" s="12" t="str">
        <f t="shared" si="0"/>
        <v>ia.assorted_string like '%107407-00122-02-2025%' or</v>
      </c>
    </row>
    <row r="28" spans="1:10" x14ac:dyDescent="0.2">
      <c r="A28" s="4" t="s">
        <v>836</v>
      </c>
      <c r="B28" s="1" t="s">
        <v>2099</v>
      </c>
      <c r="H28">
        <v>107407</v>
      </c>
      <c r="I28" t="s">
        <v>2263</v>
      </c>
      <c r="J28" s="12" t="str">
        <f t="shared" si="0"/>
        <v>ia.assorted_string like '%107407-00123-02-2025%' or</v>
      </c>
    </row>
    <row r="29" spans="1:10" x14ac:dyDescent="0.2">
      <c r="A29" s="4" t="s">
        <v>843</v>
      </c>
      <c r="B29" s="1" t="s">
        <v>2099</v>
      </c>
      <c r="H29">
        <v>107407</v>
      </c>
      <c r="I29" t="s">
        <v>2264</v>
      </c>
      <c r="J29" s="12" t="str">
        <f t="shared" si="0"/>
        <v>ia.assorted_string like '%107407-00124-02-2025%' or</v>
      </c>
    </row>
    <row r="30" spans="1:10" x14ac:dyDescent="0.2">
      <c r="A30" s="4" t="s">
        <v>850</v>
      </c>
      <c r="B30" s="1" t="s">
        <v>2099</v>
      </c>
      <c r="H30">
        <v>107407</v>
      </c>
      <c r="I30" t="s">
        <v>2265</v>
      </c>
      <c r="J30" s="12" t="str">
        <f t="shared" si="0"/>
        <v>ia.assorted_string like '%107407-00125-02-2025%' or</v>
      </c>
    </row>
    <row r="31" spans="1:10" x14ac:dyDescent="0.2">
      <c r="A31" s="4" t="s">
        <v>856</v>
      </c>
      <c r="B31" s="1" t="s">
        <v>2099</v>
      </c>
      <c r="H31">
        <v>107407</v>
      </c>
      <c r="I31" t="s">
        <v>2266</v>
      </c>
      <c r="J31" s="12" t="str">
        <f t="shared" si="0"/>
        <v>ia.assorted_string like '%107407-00126-02-2025%' or</v>
      </c>
    </row>
    <row r="32" spans="1:10" x14ac:dyDescent="0.2">
      <c r="A32" s="4" t="s">
        <v>864</v>
      </c>
      <c r="B32" s="1" t="s">
        <v>2099</v>
      </c>
      <c r="H32">
        <v>107407</v>
      </c>
      <c r="I32" t="s">
        <v>2267</v>
      </c>
      <c r="J32" s="12" t="str">
        <f t="shared" si="0"/>
        <v>ia.assorted_string like '%107407-00128-02-2025%' or</v>
      </c>
    </row>
    <row r="33" spans="1:10" x14ac:dyDescent="0.2">
      <c r="A33" s="4" t="s">
        <v>871</v>
      </c>
      <c r="B33" s="1" t="s">
        <v>2099</v>
      </c>
      <c r="H33">
        <v>107407</v>
      </c>
      <c r="I33" t="s">
        <v>2268</v>
      </c>
      <c r="J33" s="12" t="str">
        <f t="shared" si="0"/>
        <v>ia.assorted_string like '%107407-00129-02-2025%' or</v>
      </c>
    </row>
    <row r="34" spans="1:10" x14ac:dyDescent="0.2">
      <c r="A34" s="4" t="s">
        <v>878</v>
      </c>
      <c r="B34" s="1" t="s">
        <v>2099</v>
      </c>
      <c r="H34">
        <v>107407</v>
      </c>
      <c r="I34" t="s">
        <v>2269</v>
      </c>
      <c r="J34" s="12" t="str">
        <f t="shared" si="0"/>
        <v>ia.assorted_string like '%107407-00130-02-2025%' or</v>
      </c>
    </row>
    <row r="35" spans="1:10" x14ac:dyDescent="0.2">
      <c r="A35" s="4" t="s">
        <v>885</v>
      </c>
      <c r="B35" s="1" t="s">
        <v>2099</v>
      </c>
      <c r="H35">
        <v>107407</v>
      </c>
      <c r="I35" t="s">
        <v>2270</v>
      </c>
      <c r="J35" s="12" t="str">
        <f t="shared" si="0"/>
        <v>ia.assorted_string like '%107407-00131-02-2025%' or</v>
      </c>
    </row>
    <row r="36" spans="1:10" x14ac:dyDescent="0.2">
      <c r="A36" s="4" t="s">
        <v>892</v>
      </c>
      <c r="B36" s="1" t="s">
        <v>2099</v>
      </c>
      <c r="H36">
        <v>107407</v>
      </c>
      <c r="I36" t="s">
        <v>2271</v>
      </c>
      <c r="J36" s="12" t="str">
        <f t="shared" si="0"/>
        <v>ia.assorted_string like '%107407-00132-02-2025%' or</v>
      </c>
    </row>
    <row r="37" spans="1:10" x14ac:dyDescent="0.2">
      <c r="A37" s="4" t="s">
        <v>900</v>
      </c>
      <c r="B37" s="1" t="s">
        <v>2099</v>
      </c>
      <c r="H37">
        <v>107407</v>
      </c>
      <c r="I37" t="s">
        <v>2272</v>
      </c>
      <c r="J37" s="12" t="str">
        <f t="shared" si="0"/>
        <v>ia.assorted_string like '%107407-00133-02-2025%' or</v>
      </c>
    </row>
    <row r="38" spans="1:10" x14ac:dyDescent="0.2">
      <c r="A38" s="4" t="s">
        <v>907</v>
      </c>
      <c r="B38" s="1" t="s">
        <v>2099</v>
      </c>
      <c r="H38">
        <v>107407</v>
      </c>
      <c r="I38" t="s">
        <v>2273</v>
      </c>
      <c r="J38" s="12" t="str">
        <f t="shared" si="0"/>
        <v>ia.assorted_string like '%107407-00134-02-2025%' or</v>
      </c>
    </row>
    <row r="39" spans="1:10" x14ac:dyDescent="0.2">
      <c r="A39" s="4" t="s">
        <v>914</v>
      </c>
      <c r="B39" s="1" t="s">
        <v>2099</v>
      </c>
      <c r="H39">
        <v>107407</v>
      </c>
      <c r="I39" t="s">
        <v>2274</v>
      </c>
      <c r="J39" s="12" t="str">
        <f t="shared" si="0"/>
        <v>ia.assorted_string like '%107407-00135-02-2025%' or</v>
      </c>
    </row>
    <row r="40" spans="1:10" x14ac:dyDescent="0.2">
      <c r="A40" s="4" t="s">
        <v>921</v>
      </c>
      <c r="B40" s="1" t="s">
        <v>2099</v>
      </c>
      <c r="H40">
        <v>107407</v>
      </c>
      <c r="I40" t="s">
        <v>2275</v>
      </c>
      <c r="J40" s="12" t="str">
        <f t="shared" si="0"/>
        <v>ia.assorted_string like '%107407-00136-02-2025%' or</v>
      </c>
    </row>
    <row r="41" spans="1:10" x14ac:dyDescent="0.2">
      <c r="A41" s="4" t="s">
        <v>928</v>
      </c>
      <c r="B41" s="1" t="s">
        <v>2099</v>
      </c>
      <c r="H41">
        <v>107407</v>
      </c>
      <c r="I41" t="s">
        <v>2276</v>
      </c>
      <c r="J41" s="12" t="str">
        <f t="shared" si="0"/>
        <v>ia.assorted_string like '%107407-00137-02-2025%' or</v>
      </c>
    </row>
    <row r="42" spans="1:10" x14ac:dyDescent="0.2">
      <c r="A42" s="4" t="s">
        <v>934</v>
      </c>
      <c r="B42" s="1" t="s">
        <v>2099</v>
      </c>
      <c r="H42">
        <v>107407</v>
      </c>
      <c r="I42" t="s">
        <v>2277</v>
      </c>
      <c r="J42" s="12" t="str">
        <f t="shared" si="0"/>
        <v>ia.assorted_string like '%107407-00139-02-2025%' or</v>
      </c>
    </row>
    <row r="43" spans="1:10" x14ac:dyDescent="0.2">
      <c r="A43" s="4" t="s">
        <v>941</v>
      </c>
      <c r="B43" s="1" t="s">
        <v>2099</v>
      </c>
      <c r="H43">
        <v>107407</v>
      </c>
      <c r="I43" t="s">
        <v>2122</v>
      </c>
      <c r="J43" s="12" t="str">
        <f t="shared" si="0"/>
        <v>ia.assorted_string like '%107407-00014-02-2025%' or</v>
      </c>
    </row>
    <row r="44" spans="1:10" x14ac:dyDescent="0.2">
      <c r="A44" s="4" t="s">
        <v>948</v>
      </c>
      <c r="B44" s="1" t="s">
        <v>2099</v>
      </c>
      <c r="H44">
        <v>107407</v>
      </c>
      <c r="I44" t="s">
        <v>2278</v>
      </c>
      <c r="J44" s="12" t="str">
        <f t="shared" si="0"/>
        <v>ia.assorted_string like '%107407-00140-02-2025%' or</v>
      </c>
    </row>
    <row r="45" spans="1:10" x14ac:dyDescent="0.2">
      <c r="A45" s="4" t="s">
        <v>956</v>
      </c>
      <c r="B45" s="1" t="s">
        <v>2099</v>
      </c>
      <c r="H45">
        <v>107407</v>
      </c>
      <c r="I45" t="s">
        <v>2279</v>
      </c>
      <c r="J45" s="12" t="str">
        <f t="shared" si="0"/>
        <v>ia.assorted_string like '%107407-00141-02-2025%' or</v>
      </c>
    </row>
    <row r="46" spans="1:10" x14ac:dyDescent="0.2">
      <c r="A46" s="4" t="s">
        <v>963</v>
      </c>
      <c r="B46" s="1" t="s">
        <v>2099</v>
      </c>
      <c r="H46">
        <v>107407</v>
      </c>
      <c r="I46" t="s">
        <v>2280</v>
      </c>
      <c r="J46" s="12" t="str">
        <f t="shared" si="0"/>
        <v>ia.assorted_string like '%107407-00142-02-2025%' or</v>
      </c>
    </row>
    <row r="47" spans="1:10" x14ac:dyDescent="0.2">
      <c r="A47" s="4" t="s">
        <v>970</v>
      </c>
      <c r="B47" s="1" t="s">
        <v>2099</v>
      </c>
      <c r="H47">
        <v>107407</v>
      </c>
      <c r="I47" t="s">
        <v>2281</v>
      </c>
      <c r="J47" s="12" t="str">
        <f t="shared" si="0"/>
        <v>ia.assorted_string like '%107407-00143-02-2025%' or</v>
      </c>
    </row>
    <row r="48" spans="1:10" x14ac:dyDescent="0.2">
      <c r="A48" s="4" t="s">
        <v>977</v>
      </c>
      <c r="B48" s="1" t="s">
        <v>2099</v>
      </c>
      <c r="H48">
        <v>107407</v>
      </c>
      <c r="I48" t="s">
        <v>2282</v>
      </c>
      <c r="J48" s="12" t="str">
        <f t="shared" si="0"/>
        <v>ia.assorted_string like '%107407-00144-02-2025%' or</v>
      </c>
    </row>
    <row r="49" spans="1:10" x14ac:dyDescent="0.2">
      <c r="A49" s="4" t="s">
        <v>984</v>
      </c>
      <c r="B49" s="1" t="s">
        <v>2099</v>
      </c>
      <c r="H49">
        <v>107407</v>
      </c>
      <c r="I49" t="s">
        <v>2283</v>
      </c>
      <c r="J49" s="12" t="str">
        <f t="shared" si="0"/>
        <v>ia.assorted_string like '%107407-00145-02-2025%' or</v>
      </c>
    </row>
    <row r="50" spans="1:10" x14ac:dyDescent="0.2">
      <c r="A50" s="4" t="s">
        <v>991</v>
      </c>
      <c r="B50" s="1" t="s">
        <v>2099</v>
      </c>
      <c r="H50">
        <v>107407</v>
      </c>
      <c r="I50" t="s">
        <v>2284</v>
      </c>
      <c r="J50" s="12" t="str">
        <f t="shared" si="0"/>
        <v>ia.assorted_string like '%107407-00146-02-2025%' or</v>
      </c>
    </row>
    <row r="51" spans="1:10" x14ac:dyDescent="0.2">
      <c r="A51" s="4" t="s">
        <v>998</v>
      </c>
      <c r="B51" s="1" t="s">
        <v>2099</v>
      </c>
      <c r="H51">
        <v>107407</v>
      </c>
      <c r="I51" t="s">
        <v>2285</v>
      </c>
      <c r="J51" s="12" t="str">
        <f t="shared" si="0"/>
        <v>ia.assorted_string like '%107407-00147-02-2025%' or</v>
      </c>
    </row>
    <row r="52" spans="1:10" x14ac:dyDescent="0.2">
      <c r="A52" s="4" t="s">
        <v>1005</v>
      </c>
      <c r="B52" s="1" t="s">
        <v>2099</v>
      </c>
      <c r="H52">
        <v>107407</v>
      </c>
      <c r="I52" t="s">
        <v>2286</v>
      </c>
      <c r="J52" s="12" t="str">
        <f t="shared" si="0"/>
        <v>ia.assorted_string like '%107407-00148-02-2025%' or</v>
      </c>
    </row>
    <row r="53" spans="1:10" x14ac:dyDescent="0.2">
      <c r="A53" s="4" t="s">
        <v>1012</v>
      </c>
      <c r="B53" s="1" t="s">
        <v>2099</v>
      </c>
      <c r="H53">
        <v>107407</v>
      </c>
      <c r="I53" t="s">
        <v>2287</v>
      </c>
      <c r="J53" s="12" t="str">
        <f t="shared" si="0"/>
        <v>ia.assorted_string like '%107407-00149-02-2025%' or</v>
      </c>
    </row>
    <row r="54" spans="1:10" x14ac:dyDescent="0.2">
      <c r="A54" s="4" t="s">
        <v>1020</v>
      </c>
      <c r="B54" s="1" t="s">
        <v>2099</v>
      </c>
      <c r="H54">
        <v>107407</v>
      </c>
      <c r="I54" t="s">
        <v>2123</v>
      </c>
      <c r="J54" s="12" t="str">
        <f t="shared" si="0"/>
        <v>ia.assorted_string like '%107407-00015-02-2025%' or</v>
      </c>
    </row>
    <row r="55" spans="1:10" x14ac:dyDescent="0.2">
      <c r="A55" s="4" t="s">
        <v>1028</v>
      </c>
      <c r="B55" s="1" t="s">
        <v>2099</v>
      </c>
      <c r="H55">
        <v>107407</v>
      </c>
      <c r="I55" t="s">
        <v>2288</v>
      </c>
      <c r="J55" s="12" t="str">
        <f t="shared" si="0"/>
        <v>ia.assorted_string like '%107407-00150-02-2025%' or</v>
      </c>
    </row>
    <row r="56" spans="1:10" x14ac:dyDescent="0.2">
      <c r="A56" s="4" t="s">
        <v>1035</v>
      </c>
      <c r="B56" s="1" t="s">
        <v>2099</v>
      </c>
      <c r="H56">
        <v>107407</v>
      </c>
      <c r="I56" t="s">
        <v>2289</v>
      </c>
      <c r="J56" s="12" t="str">
        <f t="shared" si="0"/>
        <v>ia.assorted_string like '%107407-00151-02-2025%' or</v>
      </c>
    </row>
    <row r="57" spans="1:10" x14ac:dyDescent="0.2">
      <c r="A57" s="4" t="s">
        <v>1042</v>
      </c>
      <c r="B57" s="1" t="s">
        <v>2099</v>
      </c>
      <c r="H57">
        <v>107407</v>
      </c>
      <c r="I57" t="s">
        <v>2290</v>
      </c>
      <c r="J57" s="12" t="str">
        <f t="shared" si="0"/>
        <v>ia.assorted_string like '%107407-00152-02-2025%' or</v>
      </c>
    </row>
    <row r="58" spans="1:10" x14ac:dyDescent="0.2">
      <c r="A58" s="4" t="s">
        <v>1050</v>
      </c>
      <c r="B58" s="1" t="s">
        <v>2099</v>
      </c>
      <c r="H58">
        <v>107407</v>
      </c>
      <c r="I58" t="s">
        <v>2291</v>
      </c>
      <c r="J58" s="12" t="str">
        <f t="shared" si="0"/>
        <v>ia.assorted_string like '%107407-00153-02-2025%' or</v>
      </c>
    </row>
    <row r="59" spans="1:10" x14ac:dyDescent="0.2">
      <c r="A59" s="4" t="s">
        <v>1057</v>
      </c>
      <c r="B59" s="1" t="s">
        <v>2099</v>
      </c>
      <c r="H59">
        <v>107407</v>
      </c>
      <c r="I59" t="s">
        <v>2292</v>
      </c>
      <c r="J59" s="12" t="str">
        <f t="shared" si="0"/>
        <v>ia.assorted_string like '%107407-00154-02-2025%' or</v>
      </c>
    </row>
    <row r="60" spans="1:10" x14ac:dyDescent="0.2">
      <c r="A60" s="4" t="s">
        <v>1065</v>
      </c>
      <c r="B60" s="1" t="s">
        <v>2099</v>
      </c>
      <c r="H60">
        <v>107407</v>
      </c>
      <c r="I60" t="s">
        <v>2293</v>
      </c>
      <c r="J60" s="12" t="str">
        <f t="shared" si="0"/>
        <v>ia.assorted_string like '%107407-00155-02-2025%' or</v>
      </c>
    </row>
    <row r="61" spans="1:10" x14ac:dyDescent="0.2">
      <c r="A61" s="4" t="s">
        <v>1072</v>
      </c>
      <c r="B61" s="1" t="s">
        <v>2099</v>
      </c>
      <c r="H61">
        <v>107407</v>
      </c>
      <c r="I61" t="s">
        <v>2294</v>
      </c>
      <c r="J61" s="12" t="str">
        <f t="shared" si="0"/>
        <v>ia.assorted_string like '%107407-00156-02-2025%' or</v>
      </c>
    </row>
    <row r="62" spans="1:10" x14ac:dyDescent="0.2">
      <c r="A62" s="4" t="s">
        <v>1079</v>
      </c>
      <c r="B62" s="1" t="s">
        <v>2099</v>
      </c>
      <c r="H62">
        <v>107407</v>
      </c>
      <c r="I62" t="s">
        <v>2295</v>
      </c>
      <c r="J62" s="12" t="str">
        <f t="shared" si="0"/>
        <v>ia.assorted_string like '%107407-00157-02-2025%' or</v>
      </c>
    </row>
    <row r="63" spans="1:10" x14ac:dyDescent="0.2">
      <c r="A63" s="4" t="s">
        <v>1086</v>
      </c>
      <c r="B63" s="1" t="s">
        <v>2099</v>
      </c>
      <c r="H63">
        <v>107407</v>
      </c>
      <c r="I63" t="s">
        <v>2296</v>
      </c>
      <c r="J63" s="12" t="str">
        <f t="shared" si="0"/>
        <v>ia.assorted_string like '%107407-00158-02-2025%' or</v>
      </c>
    </row>
    <row r="64" spans="1:10" x14ac:dyDescent="0.2">
      <c r="A64" s="4" t="s">
        <v>1093</v>
      </c>
      <c r="B64" s="1" t="s">
        <v>2099</v>
      </c>
      <c r="H64">
        <v>107407</v>
      </c>
      <c r="I64" t="s">
        <v>2297</v>
      </c>
      <c r="J64" s="12" t="str">
        <f t="shared" si="0"/>
        <v>ia.assorted_string like '%107407-00159-02-2025%' or</v>
      </c>
    </row>
    <row r="65" spans="1:10" x14ac:dyDescent="0.2">
      <c r="A65" s="4" t="s">
        <v>1101</v>
      </c>
      <c r="B65" s="1" t="s">
        <v>2099</v>
      </c>
      <c r="H65">
        <v>107407</v>
      </c>
      <c r="I65" t="s">
        <v>2104</v>
      </c>
      <c r="J65" s="12" t="str">
        <f t="shared" si="0"/>
        <v>ia.assorted_string like '%107407-00016-02-2025%' or</v>
      </c>
    </row>
    <row r="66" spans="1:10" x14ac:dyDescent="0.2">
      <c r="A66" s="4" t="s">
        <v>1108</v>
      </c>
      <c r="B66" s="1" t="s">
        <v>2099</v>
      </c>
      <c r="H66">
        <v>107407</v>
      </c>
      <c r="I66" t="s">
        <v>2298</v>
      </c>
      <c r="J66" s="12" t="str">
        <f t="shared" ref="J66:J129" si="1">"ia.assorted_string like '%"&amp;H66&amp;"-"&amp;I66&amp;B66&amp;"%' or"</f>
        <v>ia.assorted_string like '%107407-00160-02-2025%' or</v>
      </c>
    </row>
    <row r="67" spans="1:10" x14ac:dyDescent="0.2">
      <c r="A67" s="4" t="s">
        <v>1115</v>
      </c>
      <c r="B67" s="1" t="s">
        <v>2099</v>
      </c>
      <c r="H67">
        <v>107407</v>
      </c>
      <c r="I67" t="s">
        <v>2299</v>
      </c>
      <c r="J67" s="12" t="str">
        <f t="shared" si="1"/>
        <v>ia.assorted_string like '%107407-00161-02-2025%' or</v>
      </c>
    </row>
    <row r="68" spans="1:10" x14ac:dyDescent="0.2">
      <c r="A68" s="4" t="s">
        <v>1122</v>
      </c>
      <c r="B68" s="1" t="s">
        <v>2099</v>
      </c>
      <c r="H68">
        <v>107407</v>
      </c>
      <c r="I68" t="s">
        <v>2300</v>
      </c>
      <c r="J68" s="12" t="str">
        <f t="shared" si="1"/>
        <v>ia.assorted_string like '%107407-00162-02-2025%' or</v>
      </c>
    </row>
    <row r="69" spans="1:10" x14ac:dyDescent="0.2">
      <c r="A69" s="4" t="s">
        <v>1129</v>
      </c>
      <c r="B69" s="1" t="s">
        <v>2099</v>
      </c>
      <c r="H69">
        <v>107407</v>
      </c>
      <c r="I69" t="s">
        <v>2301</v>
      </c>
      <c r="J69" s="12" t="str">
        <f t="shared" si="1"/>
        <v>ia.assorted_string like '%107407-00163-02-2025%' or</v>
      </c>
    </row>
    <row r="70" spans="1:10" x14ac:dyDescent="0.2">
      <c r="A70" s="4" t="s">
        <v>1136</v>
      </c>
      <c r="B70" s="1" t="s">
        <v>2099</v>
      </c>
      <c r="H70">
        <v>107407</v>
      </c>
      <c r="I70" t="s">
        <v>2302</v>
      </c>
      <c r="J70" s="12" t="str">
        <f t="shared" si="1"/>
        <v>ia.assorted_string like '%107407-00164-02-2025%' or</v>
      </c>
    </row>
    <row r="71" spans="1:10" x14ac:dyDescent="0.2">
      <c r="A71" s="4" t="s">
        <v>1144</v>
      </c>
      <c r="B71" s="1" t="s">
        <v>2099</v>
      </c>
      <c r="H71">
        <v>107407</v>
      </c>
      <c r="I71" t="s">
        <v>2303</v>
      </c>
      <c r="J71" s="12" t="str">
        <f t="shared" si="1"/>
        <v>ia.assorted_string like '%107407-00165-02-2025%' or</v>
      </c>
    </row>
    <row r="72" spans="1:10" x14ac:dyDescent="0.2">
      <c r="A72" s="4" t="s">
        <v>1151</v>
      </c>
      <c r="B72" s="1" t="s">
        <v>2099</v>
      </c>
      <c r="H72">
        <v>107407</v>
      </c>
      <c r="I72" t="s">
        <v>2304</v>
      </c>
      <c r="J72" s="12" t="str">
        <f t="shared" si="1"/>
        <v>ia.assorted_string like '%107407-00166-02-2025%' or</v>
      </c>
    </row>
    <row r="73" spans="1:10" x14ac:dyDescent="0.2">
      <c r="A73" s="4" t="s">
        <v>1159</v>
      </c>
      <c r="B73" s="1" t="s">
        <v>2099</v>
      </c>
      <c r="H73">
        <v>107407</v>
      </c>
      <c r="I73" t="s">
        <v>2305</v>
      </c>
      <c r="J73" s="12" t="str">
        <f t="shared" si="1"/>
        <v>ia.assorted_string like '%107407-00167-02-2025%' or</v>
      </c>
    </row>
    <row r="74" spans="1:10" x14ac:dyDescent="0.2">
      <c r="A74" s="4" t="s">
        <v>1167</v>
      </c>
      <c r="B74" s="1" t="s">
        <v>2099</v>
      </c>
      <c r="H74">
        <v>107407</v>
      </c>
      <c r="I74" t="s">
        <v>2306</v>
      </c>
      <c r="J74" s="12" t="str">
        <f t="shared" si="1"/>
        <v>ia.assorted_string like '%107407-00168-02-2025%' or</v>
      </c>
    </row>
    <row r="75" spans="1:10" x14ac:dyDescent="0.2">
      <c r="A75" s="4" t="s">
        <v>1174</v>
      </c>
      <c r="B75" s="1" t="s">
        <v>2099</v>
      </c>
      <c r="H75">
        <v>107407</v>
      </c>
      <c r="I75" t="s">
        <v>2307</v>
      </c>
      <c r="J75" s="12" t="str">
        <f t="shared" si="1"/>
        <v>ia.assorted_string like '%107407-00169-02-2025%' or</v>
      </c>
    </row>
    <row r="76" spans="1:10" x14ac:dyDescent="0.2">
      <c r="A76" s="4" t="s">
        <v>1181</v>
      </c>
      <c r="B76" s="1" t="s">
        <v>2099</v>
      </c>
      <c r="H76">
        <v>107407</v>
      </c>
      <c r="I76" t="s">
        <v>2124</v>
      </c>
      <c r="J76" s="12" t="str">
        <f t="shared" si="1"/>
        <v>ia.assorted_string like '%107407-00017-02-2025%' or</v>
      </c>
    </row>
    <row r="77" spans="1:10" x14ac:dyDescent="0.2">
      <c r="A77" s="4" t="s">
        <v>1188</v>
      </c>
      <c r="B77" s="1" t="s">
        <v>2099</v>
      </c>
      <c r="H77">
        <v>107407</v>
      </c>
      <c r="I77" t="s">
        <v>2308</v>
      </c>
      <c r="J77" s="12" t="str">
        <f t="shared" si="1"/>
        <v>ia.assorted_string like '%107407-00170-02-2025%' or</v>
      </c>
    </row>
    <row r="78" spans="1:10" x14ac:dyDescent="0.2">
      <c r="A78" s="4" t="s">
        <v>1195</v>
      </c>
      <c r="B78" s="1" t="s">
        <v>2099</v>
      </c>
      <c r="H78">
        <v>107407</v>
      </c>
      <c r="I78" t="s">
        <v>2309</v>
      </c>
      <c r="J78" s="12" t="str">
        <f t="shared" si="1"/>
        <v>ia.assorted_string like '%107407-00171-02-2025%' or</v>
      </c>
    </row>
    <row r="79" spans="1:10" x14ac:dyDescent="0.2">
      <c r="A79" s="4" t="s">
        <v>1202</v>
      </c>
      <c r="B79" s="1" t="s">
        <v>2099</v>
      </c>
      <c r="H79">
        <v>107407</v>
      </c>
      <c r="I79" t="s">
        <v>2310</v>
      </c>
      <c r="J79" s="12" t="str">
        <f t="shared" si="1"/>
        <v>ia.assorted_string like '%107407-00172-02-2025%' or</v>
      </c>
    </row>
    <row r="80" spans="1:10" x14ac:dyDescent="0.2">
      <c r="A80" s="4" t="s">
        <v>1209</v>
      </c>
      <c r="B80" s="1" t="s">
        <v>2099</v>
      </c>
      <c r="H80">
        <v>107407</v>
      </c>
      <c r="I80" t="s">
        <v>2311</v>
      </c>
      <c r="J80" s="12" t="str">
        <f t="shared" si="1"/>
        <v>ia.assorted_string like '%107407-00173-02-2025%' or</v>
      </c>
    </row>
    <row r="81" spans="1:10" x14ac:dyDescent="0.2">
      <c r="A81" s="4" t="s">
        <v>1216</v>
      </c>
      <c r="B81" s="1" t="s">
        <v>2099</v>
      </c>
      <c r="H81">
        <v>107407</v>
      </c>
      <c r="I81" t="s">
        <v>2312</v>
      </c>
      <c r="J81" s="12" t="str">
        <f t="shared" si="1"/>
        <v>ia.assorted_string like '%107407-00174-02-2025%' or</v>
      </c>
    </row>
    <row r="82" spans="1:10" x14ac:dyDescent="0.2">
      <c r="A82" s="4" t="s">
        <v>1223</v>
      </c>
      <c r="B82" s="1" t="s">
        <v>2099</v>
      </c>
      <c r="H82">
        <v>107407</v>
      </c>
      <c r="I82" t="s">
        <v>2313</v>
      </c>
      <c r="J82" s="12" t="str">
        <f t="shared" si="1"/>
        <v>ia.assorted_string like '%107407-00175-02-2025%' or</v>
      </c>
    </row>
    <row r="83" spans="1:10" x14ac:dyDescent="0.2">
      <c r="A83" s="4" t="s">
        <v>1230</v>
      </c>
      <c r="B83" s="1" t="s">
        <v>2099</v>
      </c>
      <c r="H83">
        <v>107407</v>
      </c>
      <c r="I83" t="s">
        <v>2314</v>
      </c>
      <c r="J83" s="12" t="str">
        <f t="shared" si="1"/>
        <v>ia.assorted_string like '%107407-00176-02-2025%' or</v>
      </c>
    </row>
    <row r="84" spans="1:10" x14ac:dyDescent="0.2">
      <c r="A84" s="4" t="s">
        <v>1237</v>
      </c>
      <c r="B84" s="1" t="s">
        <v>2099</v>
      </c>
      <c r="H84">
        <v>107407</v>
      </c>
      <c r="I84" t="s">
        <v>2315</v>
      </c>
      <c r="J84" s="12" t="str">
        <f t="shared" si="1"/>
        <v>ia.assorted_string like '%107407-00177-02-2025%' or</v>
      </c>
    </row>
    <row r="85" spans="1:10" x14ac:dyDescent="0.2">
      <c r="A85" s="4" t="s">
        <v>1243</v>
      </c>
      <c r="B85" s="1" t="s">
        <v>2099</v>
      </c>
      <c r="H85">
        <v>107407</v>
      </c>
      <c r="I85" t="s">
        <v>2316</v>
      </c>
      <c r="J85" s="12" t="str">
        <f t="shared" si="1"/>
        <v>ia.assorted_string like '%107407-00178-02-2025%' or</v>
      </c>
    </row>
    <row r="86" spans="1:10" x14ac:dyDescent="0.2">
      <c r="A86" s="4" t="s">
        <v>1250</v>
      </c>
      <c r="B86" s="1" t="s">
        <v>2099</v>
      </c>
      <c r="H86">
        <v>107407</v>
      </c>
      <c r="I86" t="s">
        <v>2125</v>
      </c>
      <c r="J86" s="12" t="str">
        <f t="shared" si="1"/>
        <v>ia.assorted_string like '%107407-00018-02-2025%' or</v>
      </c>
    </row>
    <row r="87" spans="1:10" x14ac:dyDescent="0.2">
      <c r="A87" s="4" t="s">
        <v>1257</v>
      </c>
      <c r="B87" s="1" t="s">
        <v>2099</v>
      </c>
      <c r="H87">
        <v>107407</v>
      </c>
      <c r="I87" t="s">
        <v>2317</v>
      </c>
      <c r="J87" s="12" t="str">
        <f t="shared" si="1"/>
        <v>ia.assorted_string like '%107407-00180-02-2025%' or</v>
      </c>
    </row>
    <row r="88" spans="1:10" x14ac:dyDescent="0.2">
      <c r="A88" s="4" t="s">
        <v>1264</v>
      </c>
      <c r="B88" s="1" t="s">
        <v>2099</v>
      </c>
      <c r="H88">
        <v>107407</v>
      </c>
      <c r="I88" t="s">
        <v>2318</v>
      </c>
      <c r="J88" s="12" t="str">
        <f t="shared" si="1"/>
        <v>ia.assorted_string like '%107407-00181-02-2025%' or</v>
      </c>
    </row>
    <row r="89" spans="1:10" x14ac:dyDescent="0.2">
      <c r="A89" s="4" t="s">
        <v>1271</v>
      </c>
      <c r="B89" s="1" t="s">
        <v>2099</v>
      </c>
      <c r="H89">
        <v>107407</v>
      </c>
      <c r="I89" t="s">
        <v>2319</v>
      </c>
      <c r="J89" s="12" t="str">
        <f t="shared" si="1"/>
        <v>ia.assorted_string like '%107407-00182-02-2025%' or</v>
      </c>
    </row>
    <row r="90" spans="1:10" x14ac:dyDescent="0.2">
      <c r="A90" s="4" t="s">
        <v>1278</v>
      </c>
      <c r="B90" s="1" t="s">
        <v>2099</v>
      </c>
      <c r="H90">
        <v>107407</v>
      </c>
      <c r="I90" t="s">
        <v>2320</v>
      </c>
      <c r="J90" s="12" t="str">
        <f t="shared" si="1"/>
        <v>ia.assorted_string like '%107407-00183-02-2025%' or</v>
      </c>
    </row>
    <row r="91" spans="1:10" x14ac:dyDescent="0.2">
      <c r="A91" s="4" t="s">
        <v>1286</v>
      </c>
      <c r="B91" s="1" t="s">
        <v>2099</v>
      </c>
      <c r="H91">
        <v>107407</v>
      </c>
      <c r="I91" t="s">
        <v>2321</v>
      </c>
      <c r="J91" s="12" t="str">
        <f t="shared" si="1"/>
        <v>ia.assorted_string like '%107407-00185-02-2025%' or</v>
      </c>
    </row>
    <row r="92" spans="1:10" x14ac:dyDescent="0.2">
      <c r="A92" s="4" t="s">
        <v>1292</v>
      </c>
      <c r="B92" s="1" t="s">
        <v>2099</v>
      </c>
      <c r="H92">
        <v>107407</v>
      </c>
      <c r="I92" t="s">
        <v>2322</v>
      </c>
      <c r="J92" s="12" t="str">
        <f t="shared" si="1"/>
        <v>ia.assorted_string like '%107407-00187-02-2025%' or</v>
      </c>
    </row>
    <row r="93" spans="1:10" x14ac:dyDescent="0.2">
      <c r="A93" s="4" t="s">
        <v>1299</v>
      </c>
      <c r="B93" s="1" t="s">
        <v>2099</v>
      </c>
      <c r="H93">
        <v>107407</v>
      </c>
      <c r="I93" t="s">
        <v>2323</v>
      </c>
      <c r="J93" s="12" t="str">
        <f t="shared" si="1"/>
        <v>ia.assorted_string like '%107407-00188-02-2025%' or</v>
      </c>
    </row>
    <row r="94" spans="1:10" x14ac:dyDescent="0.2">
      <c r="A94" s="4" t="s">
        <v>1306</v>
      </c>
      <c r="B94" s="1" t="s">
        <v>2099</v>
      </c>
      <c r="H94">
        <v>107407</v>
      </c>
      <c r="I94" t="s">
        <v>2324</v>
      </c>
      <c r="J94" s="12" t="str">
        <f t="shared" si="1"/>
        <v>ia.assorted_string like '%107407-00189-02-2025%' or</v>
      </c>
    </row>
    <row r="95" spans="1:10" x14ac:dyDescent="0.2">
      <c r="A95" s="4" t="s">
        <v>1313</v>
      </c>
      <c r="B95" s="1" t="s">
        <v>2099</v>
      </c>
      <c r="H95">
        <v>107407</v>
      </c>
      <c r="I95" t="s">
        <v>2126</v>
      </c>
      <c r="J95" s="12" t="str">
        <f t="shared" si="1"/>
        <v>ia.assorted_string like '%107407-00019-02-2025%' or</v>
      </c>
    </row>
    <row r="96" spans="1:10" x14ac:dyDescent="0.2">
      <c r="A96" s="4" t="s">
        <v>1320</v>
      </c>
      <c r="B96" s="1" t="s">
        <v>2099</v>
      </c>
      <c r="H96">
        <v>107407</v>
      </c>
      <c r="I96" t="s">
        <v>2325</v>
      </c>
      <c r="J96" s="12" t="str">
        <f t="shared" si="1"/>
        <v>ia.assorted_string like '%107407-00190-02-2025%' or</v>
      </c>
    </row>
    <row r="97" spans="1:10" x14ac:dyDescent="0.2">
      <c r="A97" s="4" t="s">
        <v>1327</v>
      </c>
      <c r="B97" s="1" t="s">
        <v>2099</v>
      </c>
      <c r="H97">
        <v>107407</v>
      </c>
      <c r="I97" t="s">
        <v>2326</v>
      </c>
      <c r="J97" s="12" t="str">
        <f t="shared" si="1"/>
        <v>ia.assorted_string like '%107407-00192-02-2025%' or</v>
      </c>
    </row>
    <row r="98" spans="1:10" x14ac:dyDescent="0.2">
      <c r="A98" s="4" t="s">
        <v>1334</v>
      </c>
      <c r="B98" s="1" t="s">
        <v>2099</v>
      </c>
      <c r="H98">
        <v>107407</v>
      </c>
      <c r="I98" t="s">
        <v>2327</v>
      </c>
      <c r="J98" s="12" t="str">
        <f t="shared" si="1"/>
        <v>ia.assorted_string like '%107407-00193-02-2025%' or</v>
      </c>
    </row>
    <row r="99" spans="1:10" x14ac:dyDescent="0.2">
      <c r="A99" s="4" t="s">
        <v>1341</v>
      </c>
      <c r="B99" s="1" t="s">
        <v>2099</v>
      </c>
      <c r="H99">
        <v>107407</v>
      </c>
      <c r="I99" t="s">
        <v>2328</v>
      </c>
      <c r="J99" s="12" t="str">
        <f t="shared" si="1"/>
        <v>ia.assorted_string like '%107407-00194-02-2025%' or</v>
      </c>
    </row>
    <row r="100" spans="1:10" x14ac:dyDescent="0.2">
      <c r="A100" s="4" t="s">
        <v>1348</v>
      </c>
      <c r="B100" s="1" t="s">
        <v>2099</v>
      </c>
      <c r="H100">
        <v>107407</v>
      </c>
      <c r="I100" t="s">
        <v>2329</v>
      </c>
      <c r="J100" s="12" t="str">
        <f t="shared" si="1"/>
        <v>ia.assorted_string like '%107407-00196-02-2025%' or</v>
      </c>
    </row>
    <row r="101" spans="1:10" x14ac:dyDescent="0.2">
      <c r="A101" s="4" t="s">
        <v>1355</v>
      </c>
      <c r="B101" s="1" t="s">
        <v>2099</v>
      </c>
      <c r="H101">
        <v>107407</v>
      </c>
      <c r="I101" t="s">
        <v>2330</v>
      </c>
      <c r="J101" s="12" t="str">
        <f t="shared" si="1"/>
        <v>ia.assorted_string like '%107407-00197-02-2025%' or</v>
      </c>
    </row>
    <row r="102" spans="1:10" x14ac:dyDescent="0.2">
      <c r="A102" s="4" t="s">
        <v>1364</v>
      </c>
      <c r="B102" s="1" t="s">
        <v>2099</v>
      </c>
      <c r="H102">
        <v>107407</v>
      </c>
      <c r="I102" t="s">
        <v>2331</v>
      </c>
      <c r="J102" s="12" t="str">
        <f t="shared" si="1"/>
        <v>ia.assorted_string like '%107407-00199-02-2025%' or</v>
      </c>
    </row>
    <row r="103" spans="1:10" x14ac:dyDescent="0.2">
      <c r="A103" s="4" t="s">
        <v>1372</v>
      </c>
      <c r="B103" s="1" t="s">
        <v>2099</v>
      </c>
      <c r="H103">
        <v>107407</v>
      </c>
      <c r="I103" t="s">
        <v>2332</v>
      </c>
      <c r="J103" s="12" t="str">
        <f t="shared" si="1"/>
        <v>ia.assorted_string like '%107407-00002-02-2025%' or</v>
      </c>
    </row>
    <row r="104" spans="1:10" x14ac:dyDescent="0.2">
      <c r="A104" s="4" t="s">
        <v>1379</v>
      </c>
      <c r="B104" s="1" t="s">
        <v>2099</v>
      </c>
      <c r="H104">
        <v>107407</v>
      </c>
      <c r="I104" t="s">
        <v>2127</v>
      </c>
      <c r="J104" s="12" t="str">
        <f t="shared" si="1"/>
        <v>ia.assorted_string like '%107407-00020-02-2025%' or</v>
      </c>
    </row>
    <row r="105" spans="1:10" x14ac:dyDescent="0.2">
      <c r="A105" s="4" t="s">
        <v>1386</v>
      </c>
      <c r="B105" s="1" t="s">
        <v>2099</v>
      </c>
      <c r="H105">
        <v>107407</v>
      </c>
      <c r="I105" t="s">
        <v>2333</v>
      </c>
      <c r="J105" s="12" t="str">
        <f t="shared" si="1"/>
        <v>ia.assorted_string like '%107407-00200-02-2025%' or</v>
      </c>
    </row>
    <row r="106" spans="1:10" x14ac:dyDescent="0.2">
      <c r="A106" s="4" t="s">
        <v>1393</v>
      </c>
      <c r="B106" s="1" t="s">
        <v>2099</v>
      </c>
      <c r="H106">
        <v>107407</v>
      </c>
      <c r="I106" t="s">
        <v>2334</v>
      </c>
      <c r="J106" s="12" t="str">
        <f t="shared" si="1"/>
        <v>ia.assorted_string like '%107407-00201-02-2025%' or</v>
      </c>
    </row>
    <row r="107" spans="1:10" x14ac:dyDescent="0.2">
      <c r="A107" s="4" t="s">
        <v>1401</v>
      </c>
      <c r="B107" s="1" t="s">
        <v>2099</v>
      </c>
      <c r="H107">
        <v>107407</v>
      </c>
      <c r="I107" t="s">
        <v>2335</v>
      </c>
      <c r="J107" s="12" t="str">
        <f t="shared" si="1"/>
        <v>ia.assorted_string like '%107407-00202-02-2025%' or</v>
      </c>
    </row>
    <row r="108" spans="1:10" x14ac:dyDescent="0.2">
      <c r="A108" s="4" t="s">
        <v>1408</v>
      </c>
      <c r="B108" s="1" t="s">
        <v>2099</v>
      </c>
      <c r="H108">
        <v>107407</v>
      </c>
      <c r="I108" t="s">
        <v>2336</v>
      </c>
      <c r="J108" s="12" t="str">
        <f t="shared" si="1"/>
        <v>ia.assorted_string like '%107407-00021-02-2025%' or</v>
      </c>
    </row>
    <row r="109" spans="1:10" x14ac:dyDescent="0.2">
      <c r="A109" s="4" t="s">
        <v>1416</v>
      </c>
      <c r="B109" s="1" t="s">
        <v>2099</v>
      </c>
      <c r="H109">
        <v>107407</v>
      </c>
      <c r="I109" t="s">
        <v>2128</v>
      </c>
      <c r="J109" s="12" t="str">
        <f t="shared" si="1"/>
        <v>ia.assorted_string like '%107407-00022-02-2025%' or</v>
      </c>
    </row>
    <row r="110" spans="1:10" x14ac:dyDescent="0.2">
      <c r="A110" s="4" t="s">
        <v>1424</v>
      </c>
      <c r="B110" s="1" t="s">
        <v>2099</v>
      </c>
      <c r="H110">
        <v>107407</v>
      </c>
      <c r="I110" t="s">
        <v>2130</v>
      </c>
      <c r="J110" s="12" t="str">
        <f t="shared" si="1"/>
        <v>ia.assorted_string like '%107407-00024-02-2025%' or</v>
      </c>
    </row>
    <row r="111" spans="1:10" x14ac:dyDescent="0.2">
      <c r="A111" s="4" t="s">
        <v>1431</v>
      </c>
      <c r="B111" s="1" t="s">
        <v>2099</v>
      </c>
      <c r="H111">
        <v>107407</v>
      </c>
      <c r="I111" t="s">
        <v>2132</v>
      </c>
      <c r="J111" s="12" t="str">
        <f t="shared" si="1"/>
        <v>ia.assorted_string like '%107407-00026-02-2025%' or</v>
      </c>
    </row>
    <row r="112" spans="1:10" x14ac:dyDescent="0.2">
      <c r="A112" s="4" t="s">
        <v>1438</v>
      </c>
      <c r="B112" s="1" t="s">
        <v>2099</v>
      </c>
      <c r="H112">
        <v>107407</v>
      </c>
      <c r="I112" t="s">
        <v>2133</v>
      </c>
      <c r="J112" s="12" t="str">
        <f t="shared" si="1"/>
        <v>ia.assorted_string like '%107407-00027-02-2025%' or</v>
      </c>
    </row>
    <row r="113" spans="1:10" x14ac:dyDescent="0.2">
      <c r="A113" s="4" t="s">
        <v>1445</v>
      </c>
      <c r="B113" s="1" t="s">
        <v>2099</v>
      </c>
      <c r="H113">
        <v>107407</v>
      </c>
      <c r="I113" t="s">
        <v>2134</v>
      </c>
      <c r="J113" s="12" t="str">
        <f t="shared" si="1"/>
        <v>ia.assorted_string like '%107407-00028-02-2025%' or</v>
      </c>
    </row>
    <row r="114" spans="1:10" x14ac:dyDescent="0.2">
      <c r="A114" s="4" t="s">
        <v>1452</v>
      </c>
      <c r="B114" s="1" t="s">
        <v>2099</v>
      </c>
      <c r="H114">
        <v>107407</v>
      </c>
      <c r="I114" t="s">
        <v>2105</v>
      </c>
      <c r="J114" s="12" t="str">
        <f t="shared" si="1"/>
        <v>ia.assorted_string like '%107407-00029-02-2025%' or</v>
      </c>
    </row>
    <row r="115" spans="1:10" x14ac:dyDescent="0.2">
      <c r="A115" s="4" t="s">
        <v>1460</v>
      </c>
      <c r="B115" s="1" t="s">
        <v>2099</v>
      </c>
      <c r="H115">
        <v>107407</v>
      </c>
      <c r="I115" t="s">
        <v>2135</v>
      </c>
      <c r="J115" s="12" t="str">
        <f t="shared" si="1"/>
        <v>ia.assorted_string like '%107407-00003-02-2025%' or</v>
      </c>
    </row>
    <row r="116" spans="1:10" x14ac:dyDescent="0.2">
      <c r="A116" s="4" t="s">
        <v>1467</v>
      </c>
      <c r="B116" s="1" t="s">
        <v>2099</v>
      </c>
      <c r="H116">
        <v>107407</v>
      </c>
      <c r="I116" t="s">
        <v>2136</v>
      </c>
      <c r="J116" s="12" t="str">
        <f t="shared" si="1"/>
        <v>ia.assorted_string like '%107407-00030-02-2025%' or</v>
      </c>
    </row>
    <row r="117" spans="1:10" x14ac:dyDescent="0.2">
      <c r="A117" s="4" t="s">
        <v>1475</v>
      </c>
      <c r="B117" s="1" t="s">
        <v>2099</v>
      </c>
      <c r="H117">
        <v>107407</v>
      </c>
      <c r="I117" t="s">
        <v>2137</v>
      </c>
      <c r="J117" s="12" t="str">
        <f t="shared" si="1"/>
        <v>ia.assorted_string like '%107407-00031-02-2025%' or</v>
      </c>
    </row>
    <row r="118" spans="1:10" x14ac:dyDescent="0.2">
      <c r="A118" s="4" t="s">
        <v>1483</v>
      </c>
      <c r="B118" s="1" t="s">
        <v>2099</v>
      </c>
      <c r="H118">
        <v>107407</v>
      </c>
      <c r="I118" t="s">
        <v>2106</v>
      </c>
      <c r="J118" s="12" t="str">
        <f t="shared" si="1"/>
        <v>ia.assorted_string like '%107407-00032-02-2025%' or</v>
      </c>
    </row>
    <row r="119" spans="1:10" x14ac:dyDescent="0.2">
      <c r="A119" s="4" t="s">
        <v>1490</v>
      </c>
      <c r="B119" s="1" t="s">
        <v>2099</v>
      </c>
      <c r="H119">
        <v>107407</v>
      </c>
      <c r="I119" t="s">
        <v>2138</v>
      </c>
      <c r="J119" s="12" t="str">
        <f t="shared" si="1"/>
        <v>ia.assorted_string like '%107407-00033-02-2025%' or</v>
      </c>
    </row>
    <row r="120" spans="1:10" x14ac:dyDescent="0.2">
      <c r="A120" s="4" t="s">
        <v>1497</v>
      </c>
      <c r="B120" s="1" t="s">
        <v>2099</v>
      </c>
      <c r="H120">
        <v>107407</v>
      </c>
      <c r="I120" t="s">
        <v>2139</v>
      </c>
      <c r="J120" s="12" t="str">
        <f t="shared" si="1"/>
        <v>ia.assorted_string like '%107407-00034-02-2025%' or</v>
      </c>
    </row>
    <row r="121" spans="1:10" x14ac:dyDescent="0.2">
      <c r="A121" s="4" t="s">
        <v>1504</v>
      </c>
      <c r="B121" s="1" t="s">
        <v>2099</v>
      </c>
      <c r="H121">
        <v>107407</v>
      </c>
      <c r="I121" t="s">
        <v>2107</v>
      </c>
      <c r="J121" s="12" t="str">
        <f t="shared" si="1"/>
        <v>ia.assorted_string like '%107407-00035-02-2025%' or</v>
      </c>
    </row>
    <row r="122" spans="1:10" x14ac:dyDescent="0.2">
      <c r="A122" s="4" t="s">
        <v>1511</v>
      </c>
      <c r="B122" s="1" t="s">
        <v>2099</v>
      </c>
      <c r="H122">
        <v>107407</v>
      </c>
      <c r="I122" t="s">
        <v>2108</v>
      </c>
      <c r="J122" s="12" t="str">
        <f t="shared" si="1"/>
        <v>ia.assorted_string like '%107407-00036-02-2025%' or</v>
      </c>
    </row>
    <row r="123" spans="1:10" x14ac:dyDescent="0.2">
      <c r="A123" s="4" t="s">
        <v>1518</v>
      </c>
      <c r="B123" s="1" t="s">
        <v>2099</v>
      </c>
      <c r="H123">
        <v>107407</v>
      </c>
      <c r="I123" t="s">
        <v>2140</v>
      </c>
      <c r="J123" s="12" t="str">
        <f t="shared" si="1"/>
        <v>ia.assorted_string like '%107407-00037-02-2025%' or</v>
      </c>
    </row>
    <row r="124" spans="1:10" x14ac:dyDescent="0.2">
      <c r="A124" s="4" t="s">
        <v>1525</v>
      </c>
      <c r="B124" s="1" t="s">
        <v>2099</v>
      </c>
      <c r="H124">
        <v>107407</v>
      </c>
      <c r="I124" t="s">
        <v>2141</v>
      </c>
      <c r="J124" s="12" t="str">
        <f t="shared" si="1"/>
        <v>ia.assorted_string like '%107407-00038-02-2025%' or</v>
      </c>
    </row>
    <row r="125" spans="1:10" x14ac:dyDescent="0.2">
      <c r="A125" s="4" t="s">
        <v>1532</v>
      </c>
      <c r="B125" s="1" t="s">
        <v>2099</v>
      </c>
      <c r="H125">
        <v>107407</v>
      </c>
      <c r="I125" t="s">
        <v>2142</v>
      </c>
      <c r="J125" s="12" t="str">
        <f t="shared" si="1"/>
        <v>ia.assorted_string like '%107407-00039-02-2025%' or</v>
      </c>
    </row>
    <row r="126" spans="1:10" x14ac:dyDescent="0.2">
      <c r="A126" s="4" t="s">
        <v>1539</v>
      </c>
      <c r="B126" s="1" t="s">
        <v>2099</v>
      </c>
      <c r="H126">
        <v>107407</v>
      </c>
      <c r="I126" t="s">
        <v>2143</v>
      </c>
      <c r="J126" s="12" t="str">
        <f t="shared" si="1"/>
        <v>ia.assorted_string like '%107407-00004-02-2025%' or</v>
      </c>
    </row>
    <row r="127" spans="1:10" x14ac:dyDescent="0.2">
      <c r="A127" s="4" t="s">
        <v>1546</v>
      </c>
      <c r="B127" s="1" t="s">
        <v>2099</v>
      </c>
      <c r="H127">
        <v>107407</v>
      </c>
      <c r="I127" t="s">
        <v>2102</v>
      </c>
      <c r="J127" s="12" t="str">
        <f t="shared" si="1"/>
        <v>ia.assorted_string like '%107407-00040-02-2025%' or</v>
      </c>
    </row>
    <row r="128" spans="1:10" x14ac:dyDescent="0.2">
      <c r="A128" s="4" t="s">
        <v>1552</v>
      </c>
      <c r="B128" s="1" t="s">
        <v>2099</v>
      </c>
      <c r="H128">
        <v>107407</v>
      </c>
      <c r="I128" t="s">
        <v>2144</v>
      </c>
      <c r="J128" s="12" t="str">
        <f t="shared" si="1"/>
        <v>ia.assorted_string like '%107407-00041-02-2025%' or</v>
      </c>
    </row>
    <row r="129" spans="1:10" x14ac:dyDescent="0.2">
      <c r="A129" s="4" t="s">
        <v>1559</v>
      </c>
      <c r="B129" s="1" t="s">
        <v>2099</v>
      </c>
      <c r="H129">
        <v>107407</v>
      </c>
      <c r="I129" t="s">
        <v>2145</v>
      </c>
      <c r="J129" s="12" t="str">
        <f t="shared" si="1"/>
        <v>ia.assorted_string like '%107407-00042-02-2025%' or</v>
      </c>
    </row>
    <row r="130" spans="1:10" x14ac:dyDescent="0.2">
      <c r="A130" s="4" t="s">
        <v>1566</v>
      </c>
      <c r="B130" s="1" t="s">
        <v>2099</v>
      </c>
      <c r="H130">
        <v>107407</v>
      </c>
      <c r="I130" t="s">
        <v>2109</v>
      </c>
      <c r="J130" s="12" t="str">
        <f t="shared" ref="J130:J193" si="2">"ia.assorted_string like '%"&amp;H130&amp;"-"&amp;I130&amp;B130&amp;"%' or"</f>
        <v>ia.assorted_string like '%107407-00043-02-2025%' or</v>
      </c>
    </row>
    <row r="131" spans="1:10" x14ac:dyDescent="0.2">
      <c r="A131" s="4" t="s">
        <v>1573</v>
      </c>
      <c r="B131" s="1" t="s">
        <v>2099</v>
      </c>
      <c r="H131">
        <v>107407</v>
      </c>
      <c r="I131" t="s">
        <v>2103</v>
      </c>
      <c r="J131" s="12" t="str">
        <f t="shared" si="2"/>
        <v>ia.assorted_string like '%107407-00044-02-2025%' or</v>
      </c>
    </row>
    <row r="132" spans="1:10" x14ac:dyDescent="0.2">
      <c r="A132" s="4" t="s">
        <v>1580</v>
      </c>
      <c r="B132" s="1" t="s">
        <v>2099</v>
      </c>
      <c r="H132">
        <v>107407</v>
      </c>
      <c r="I132" t="s">
        <v>2146</v>
      </c>
      <c r="J132" s="12" t="str">
        <f t="shared" si="2"/>
        <v>ia.assorted_string like '%107407-00045-02-2025%' or</v>
      </c>
    </row>
    <row r="133" spans="1:10" x14ac:dyDescent="0.2">
      <c r="A133" s="4" t="s">
        <v>1587</v>
      </c>
      <c r="B133" s="1" t="s">
        <v>2099</v>
      </c>
      <c r="H133">
        <v>107407</v>
      </c>
      <c r="I133" t="s">
        <v>2110</v>
      </c>
      <c r="J133" s="12" t="str">
        <f t="shared" si="2"/>
        <v>ia.assorted_string like '%107407-00048-02-2025%' or</v>
      </c>
    </row>
    <row r="134" spans="1:10" x14ac:dyDescent="0.2">
      <c r="A134" s="4" t="s">
        <v>1594</v>
      </c>
      <c r="B134" s="1" t="s">
        <v>2099</v>
      </c>
      <c r="H134">
        <v>107407</v>
      </c>
      <c r="I134" t="s">
        <v>2111</v>
      </c>
      <c r="J134" s="12" t="str">
        <f t="shared" si="2"/>
        <v>ia.assorted_string like '%107407-00049-02-2025%' or</v>
      </c>
    </row>
    <row r="135" spans="1:10" x14ac:dyDescent="0.2">
      <c r="A135" s="4" t="s">
        <v>1601</v>
      </c>
      <c r="B135" s="1" t="s">
        <v>2099</v>
      </c>
      <c r="H135">
        <v>107407</v>
      </c>
      <c r="I135" t="s">
        <v>2148</v>
      </c>
      <c r="J135" s="12" t="str">
        <f t="shared" si="2"/>
        <v>ia.assorted_string like '%107407-00005-02-2025%' or</v>
      </c>
    </row>
    <row r="136" spans="1:10" x14ac:dyDescent="0.2">
      <c r="A136" s="4" t="s">
        <v>1609</v>
      </c>
      <c r="B136" s="1" t="s">
        <v>2099</v>
      </c>
      <c r="H136">
        <v>107407</v>
      </c>
      <c r="I136" t="s">
        <v>2113</v>
      </c>
      <c r="J136" s="12" t="str">
        <f t="shared" si="2"/>
        <v>ia.assorted_string like '%107407-00051-02-2025%' or</v>
      </c>
    </row>
    <row r="137" spans="1:10" x14ac:dyDescent="0.2">
      <c r="A137" s="4" t="s">
        <v>1618</v>
      </c>
      <c r="B137" s="1" t="s">
        <v>2099</v>
      </c>
      <c r="H137">
        <v>107407</v>
      </c>
      <c r="I137" t="s">
        <v>2114</v>
      </c>
      <c r="J137" s="12" t="str">
        <f t="shared" si="2"/>
        <v>ia.assorted_string like '%107407-00052-02-2025%' or</v>
      </c>
    </row>
    <row r="138" spans="1:10" x14ac:dyDescent="0.2">
      <c r="A138" s="4" t="s">
        <v>1625</v>
      </c>
      <c r="B138" s="1" t="s">
        <v>2099</v>
      </c>
      <c r="H138">
        <v>107407</v>
      </c>
      <c r="I138" t="s">
        <v>2153</v>
      </c>
      <c r="J138" s="12" t="str">
        <f t="shared" si="2"/>
        <v>ia.assorted_string like '%107407-00053-02-2025%' or</v>
      </c>
    </row>
    <row r="139" spans="1:10" x14ac:dyDescent="0.2">
      <c r="A139" s="4" t="s">
        <v>1632</v>
      </c>
      <c r="B139" s="1" t="s">
        <v>2099</v>
      </c>
      <c r="H139">
        <v>107407</v>
      </c>
      <c r="I139" t="s">
        <v>2116</v>
      </c>
      <c r="J139" s="12" t="str">
        <f t="shared" si="2"/>
        <v>ia.assorted_string like '%107407-00054-02-2025%' or</v>
      </c>
    </row>
    <row r="140" spans="1:10" x14ac:dyDescent="0.2">
      <c r="A140" s="4" t="s">
        <v>1639</v>
      </c>
      <c r="B140" s="1" t="s">
        <v>2099</v>
      </c>
      <c r="H140">
        <v>107407</v>
      </c>
      <c r="I140" t="s">
        <v>2154</v>
      </c>
      <c r="J140" s="12" t="str">
        <f t="shared" si="2"/>
        <v>ia.assorted_string like '%107407-00055-02-2025%' or</v>
      </c>
    </row>
    <row r="141" spans="1:10" x14ac:dyDescent="0.2">
      <c r="A141" s="4" t="s">
        <v>1646</v>
      </c>
      <c r="B141" s="1" t="s">
        <v>2099</v>
      </c>
      <c r="H141">
        <v>107407</v>
      </c>
      <c r="I141" t="s">
        <v>2155</v>
      </c>
      <c r="J141" s="12" t="str">
        <f t="shared" si="2"/>
        <v>ia.assorted_string like '%107407-00056-02-2025%' or</v>
      </c>
    </row>
    <row r="142" spans="1:10" x14ac:dyDescent="0.2">
      <c r="A142" s="4" t="s">
        <v>1652</v>
      </c>
      <c r="B142" s="1" t="s">
        <v>2099</v>
      </c>
      <c r="H142">
        <v>107407</v>
      </c>
      <c r="I142" t="s">
        <v>2337</v>
      </c>
      <c r="J142" s="12" t="str">
        <f t="shared" si="2"/>
        <v>ia.assorted_string like '%107407-00057-02-2025%' or</v>
      </c>
    </row>
    <row r="143" spans="1:10" x14ac:dyDescent="0.2">
      <c r="A143" s="4" t="s">
        <v>1660</v>
      </c>
      <c r="B143" s="1" t="s">
        <v>2099</v>
      </c>
      <c r="H143">
        <v>107407</v>
      </c>
      <c r="I143" t="s">
        <v>2338</v>
      </c>
      <c r="J143" s="12" t="str">
        <f t="shared" si="2"/>
        <v>ia.assorted_string like '%107407-00058-02-2025%' or</v>
      </c>
    </row>
    <row r="144" spans="1:10" x14ac:dyDescent="0.2">
      <c r="A144" s="4" t="s">
        <v>1667</v>
      </c>
      <c r="B144" s="1" t="s">
        <v>2099</v>
      </c>
      <c r="H144">
        <v>107407</v>
      </c>
      <c r="I144" t="s">
        <v>2339</v>
      </c>
      <c r="J144" s="12" t="str">
        <f t="shared" si="2"/>
        <v>ia.assorted_string like '%107407-00059-02-2025%' or</v>
      </c>
    </row>
    <row r="145" spans="1:10" x14ac:dyDescent="0.2">
      <c r="A145" s="4" t="s">
        <v>1674</v>
      </c>
      <c r="B145" s="1" t="s">
        <v>2099</v>
      </c>
      <c r="H145">
        <v>107407</v>
      </c>
      <c r="I145" t="s">
        <v>2149</v>
      </c>
      <c r="J145" s="12" t="str">
        <f t="shared" si="2"/>
        <v>ia.assorted_string like '%107407-00006-02-2025%' or</v>
      </c>
    </row>
    <row r="146" spans="1:10" x14ac:dyDescent="0.2">
      <c r="A146" s="4" t="s">
        <v>1681</v>
      </c>
      <c r="B146" s="1" t="s">
        <v>2099</v>
      </c>
      <c r="H146">
        <v>107407</v>
      </c>
      <c r="I146" t="s">
        <v>2340</v>
      </c>
      <c r="J146" s="12" t="str">
        <f t="shared" si="2"/>
        <v>ia.assorted_string like '%107407-00060-02-2025%' or</v>
      </c>
    </row>
    <row r="147" spans="1:10" x14ac:dyDescent="0.2">
      <c r="A147" s="4" t="s">
        <v>1688</v>
      </c>
      <c r="B147" s="1" t="s">
        <v>2099</v>
      </c>
      <c r="H147">
        <v>107407</v>
      </c>
      <c r="I147" t="s">
        <v>2341</v>
      </c>
      <c r="J147" s="12" t="str">
        <f t="shared" si="2"/>
        <v>ia.assorted_string like '%107407-00061-02-2025%' or</v>
      </c>
    </row>
    <row r="148" spans="1:10" x14ac:dyDescent="0.2">
      <c r="A148" s="4" t="s">
        <v>1695</v>
      </c>
      <c r="B148" s="1" t="s">
        <v>2099</v>
      </c>
      <c r="H148">
        <v>107407</v>
      </c>
      <c r="I148" t="s">
        <v>2342</v>
      </c>
      <c r="J148" s="12" t="str">
        <f t="shared" si="2"/>
        <v>ia.assorted_string like '%107407-00062-02-2025%' or</v>
      </c>
    </row>
    <row r="149" spans="1:10" x14ac:dyDescent="0.2">
      <c r="A149" s="4" t="s">
        <v>1701</v>
      </c>
      <c r="B149" s="1" t="s">
        <v>2099</v>
      </c>
      <c r="H149">
        <v>107407</v>
      </c>
      <c r="I149" t="s">
        <v>2343</v>
      </c>
      <c r="J149" s="12" t="str">
        <f t="shared" si="2"/>
        <v>ia.assorted_string like '%107407-00063-02-2025%' or</v>
      </c>
    </row>
    <row r="150" spans="1:10" x14ac:dyDescent="0.2">
      <c r="A150" s="4" t="s">
        <v>1708</v>
      </c>
      <c r="B150" s="1" t="s">
        <v>2099</v>
      </c>
      <c r="H150">
        <v>107407</v>
      </c>
      <c r="I150" t="s">
        <v>2344</v>
      </c>
      <c r="J150" s="12" t="str">
        <f t="shared" si="2"/>
        <v>ia.assorted_string like '%107407-00064-02-2025%' or</v>
      </c>
    </row>
    <row r="151" spans="1:10" x14ac:dyDescent="0.2">
      <c r="A151" s="4" t="s">
        <v>1715</v>
      </c>
      <c r="B151" s="1" t="s">
        <v>2099</v>
      </c>
      <c r="H151">
        <v>107407</v>
      </c>
      <c r="I151" t="s">
        <v>2345</v>
      </c>
      <c r="J151" s="12" t="str">
        <f t="shared" si="2"/>
        <v>ia.assorted_string like '%107407-00065-02-2025%' or</v>
      </c>
    </row>
    <row r="152" spans="1:10" x14ac:dyDescent="0.2">
      <c r="A152" s="4" t="s">
        <v>1722</v>
      </c>
      <c r="B152" s="1" t="s">
        <v>2099</v>
      </c>
      <c r="H152">
        <v>107407</v>
      </c>
      <c r="I152" t="s">
        <v>2346</v>
      </c>
      <c r="J152" s="12" t="str">
        <f t="shared" si="2"/>
        <v>ia.assorted_string like '%107407-00066-02-2025%' or</v>
      </c>
    </row>
    <row r="153" spans="1:10" x14ac:dyDescent="0.2">
      <c r="A153" s="4" t="s">
        <v>1729</v>
      </c>
      <c r="B153" s="1" t="s">
        <v>2099</v>
      </c>
      <c r="H153">
        <v>107407</v>
      </c>
      <c r="I153" t="s">
        <v>2347</v>
      </c>
      <c r="J153" s="12" t="str">
        <f t="shared" si="2"/>
        <v>ia.assorted_string like '%107407-00067-02-2025%' or</v>
      </c>
    </row>
    <row r="154" spans="1:10" x14ac:dyDescent="0.2">
      <c r="A154" s="4" t="s">
        <v>1736</v>
      </c>
      <c r="B154" s="1" t="s">
        <v>2099</v>
      </c>
      <c r="H154">
        <v>107407</v>
      </c>
      <c r="I154" t="s">
        <v>2348</v>
      </c>
      <c r="J154" s="12" t="str">
        <f t="shared" si="2"/>
        <v>ia.assorted_string like '%107407-00068-02-2025%' or</v>
      </c>
    </row>
    <row r="155" spans="1:10" x14ac:dyDescent="0.2">
      <c r="A155" s="4" t="s">
        <v>1743</v>
      </c>
      <c r="B155" s="1" t="s">
        <v>2099</v>
      </c>
      <c r="H155">
        <v>107407</v>
      </c>
      <c r="I155" t="s">
        <v>2349</v>
      </c>
      <c r="J155" s="12" t="str">
        <f t="shared" si="2"/>
        <v>ia.assorted_string like '%107407-00069-02-2025%' or</v>
      </c>
    </row>
    <row r="156" spans="1:10" x14ac:dyDescent="0.2">
      <c r="A156" s="4" t="s">
        <v>1750</v>
      </c>
      <c r="B156" s="1" t="s">
        <v>2099</v>
      </c>
      <c r="H156">
        <v>107407</v>
      </c>
      <c r="I156" t="s">
        <v>2150</v>
      </c>
      <c r="J156" s="12" t="str">
        <f t="shared" si="2"/>
        <v>ia.assorted_string like '%107407-00007-02-2025%' or</v>
      </c>
    </row>
    <row r="157" spans="1:10" x14ac:dyDescent="0.2">
      <c r="A157" s="4" t="s">
        <v>1757</v>
      </c>
      <c r="B157" s="1" t="s">
        <v>2099</v>
      </c>
      <c r="H157">
        <v>107407</v>
      </c>
      <c r="I157" t="s">
        <v>2350</v>
      </c>
      <c r="J157" s="12" t="str">
        <f t="shared" si="2"/>
        <v>ia.assorted_string like '%107407-00070-02-2025%' or</v>
      </c>
    </row>
    <row r="158" spans="1:10" x14ac:dyDescent="0.2">
      <c r="A158" s="4" t="s">
        <v>1764</v>
      </c>
      <c r="B158" s="1" t="s">
        <v>2099</v>
      </c>
      <c r="H158">
        <v>107407</v>
      </c>
      <c r="I158" t="s">
        <v>2351</v>
      </c>
      <c r="J158" s="12" t="str">
        <f t="shared" si="2"/>
        <v>ia.assorted_string like '%107407-00071-02-2025%' or</v>
      </c>
    </row>
    <row r="159" spans="1:10" x14ac:dyDescent="0.2">
      <c r="A159" s="4" t="s">
        <v>1771</v>
      </c>
      <c r="B159" s="1" t="s">
        <v>2099</v>
      </c>
      <c r="H159">
        <v>107407</v>
      </c>
      <c r="I159" t="s">
        <v>2352</v>
      </c>
      <c r="J159" s="12" t="str">
        <f t="shared" si="2"/>
        <v>ia.assorted_string like '%107407-00072-02-2025%' or</v>
      </c>
    </row>
    <row r="160" spans="1:10" x14ac:dyDescent="0.2">
      <c r="A160" s="4" t="s">
        <v>1778</v>
      </c>
      <c r="B160" s="1" t="s">
        <v>2099</v>
      </c>
      <c r="H160">
        <v>107407</v>
      </c>
      <c r="I160" t="s">
        <v>2353</v>
      </c>
      <c r="J160" s="12" t="str">
        <f t="shared" si="2"/>
        <v>ia.assorted_string like '%107407-00073-02-2025%' or</v>
      </c>
    </row>
    <row r="161" spans="1:10" x14ac:dyDescent="0.2">
      <c r="A161" s="4" t="s">
        <v>1785</v>
      </c>
      <c r="B161" s="1" t="s">
        <v>2099</v>
      </c>
      <c r="H161">
        <v>107407</v>
      </c>
      <c r="I161" t="s">
        <v>2354</v>
      </c>
      <c r="J161" s="12" t="str">
        <f t="shared" si="2"/>
        <v>ia.assorted_string like '%107407-00074-02-2025%' or</v>
      </c>
    </row>
    <row r="162" spans="1:10" x14ac:dyDescent="0.2">
      <c r="A162" s="4" t="s">
        <v>1793</v>
      </c>
      <c r="B162" s="1" t="s">
        <v>2099</v>
      </c>
      <c r="H162">
        <v>107407</v>
      </c>
      <c r="I162" t="s">
        <v>2355</v>
      </c>
      <c r="J162" s="12" t="str">
        <f t="shared" si="2"/>
        <v>ia.assorted_string like '%107407-00075-02-2025%' or</v>
      </c>
    </row>
    <row r="163" spans="1:10" x14ac:dyDescent="0.2">
      <c r="A163" s="4" t="s">
        <v>1800</v>
      </c>
      <c r="B163" s="1" t="s">
        <v>2099</v>
      </c>
      <c r="H163">
        <v>107407</v>
      </c>
      <c r="I163" t="s">
        <v>2356</v>
      </c>
      <c r="J163" s="12" t="str">
        <f t="shared" si="2"/>
        <v>ia.assorted_string like '%107407-00076-02-2025%' or</v>
      </c>
    </row>
    <row r="164" spans="1:10" x14ac:dyDescent="0.2">
      <c r="A164" s="4" t="s">
        <v>1807</v>
      </c>
      <c r="B164" s="1" t="s">
        <v>2099</v>
      </c>
      <c r="H164">
        <v>107407</v>
      </c>
      <c r="I164" t="s">
        <v>2357</v>
      </c>
      <c r="J164" s="12" t="str">
        <f t="shared" si="2"/>
        <v>ia.assorted_string like '%107407-00077-02-2025%' or</v>
      </c>
    </row>
    <row r="165" spans="1:10" x14ac:dyDescent="0.2">
      <c r="A165" s="4" t="s">
        <v>1814</v>
      </c>
      <c r="B165" s="1" t="s">
        <v>2099</v>
      </c>
      <c r="H165">
        <v>107407</v>
      </c>
      <c r="I165" t="s">
        <v>2358</v>
      </c>
      <c r="J165" s="12" t="str">
        <f t="shared" si="2"/>
        <v>ia.assorted_string like '%107407-00078-02-2025%' or</v>
      </c>
    </row>
    <row r="166" spans="1:10" x14ac:dyDescent="0.2">
      <c r="A166" s="4" t="s">
        <v>1821</v>
      </c>
      <c r="B166" s="1" t="s">
        <v>2099</v>
      </c>
      <c r="H166">
        <v>107407</v>
      </c>
      <c r="I166" t="s">
        <v>2359</v>
      </c>
      <c r="J166" s="12" t="str">
        <f t="shared" si="2"/>
        <v>ia.assorted_string like '%107407-00079-02-2025%' or</v>
      </c>
    </row>
    <row r="167" spans="1:10" x14ac:dyDescent="0.2">
      <c r="A167" s="4" t="s">
        <v>1828</v>
      </c>
      <c r="B167" s="1" t="s">
        <v>2099</v>
      </c>
      <c r="H167">
        <v>107407</v>
      </c>
      <c r="I167" t="s">
        <v>2151</v>
      </c>
      <c r="J167" s="12" t="str">
        <f t="shared" si="2"/>
        <v>ia.assorted_string like '%107407-00008-02-2025%' or</v>
      </c>
    </row>
    <row r="168" spans="1:10" x14ac:dyDescent="0.2">
      <c r="A168" s="4" t="s">
        <v>1835</v>
      </c>
      <c r="B168" s="1" t="s">
        <v>2099</v>
      </c>
      <c r="H168">
        <v>107407</v>
      </c>
      <c r="I168" t="s">
        <v>2360</v>
      </c>
      <c r="J168" s="12" t="str">
        <f t="shared" si="2"/>
        <v>ia.assorted_string like '%107407-00080-02-2025%' or</v>
      </c>
    </row>
    <row r="169" spans="1:10" x14ac:dyDescent="0.2">
      <c r="A169" s="4" t="s">
        <v>1842</v>
      </c>
      <c r="B169" s="1" t="s">
        <v>2099</v>
      </c>
      <c r="H169">
        <v>107407</v>
      </c>
      <c r="I169" t="s">
        <v>2361</v>
      </c>
      <c r="J169" s="12" t="str">
        <f t="shared" si="2"/>
        <v>ia.assorted_string like '%107407-00081-02-2025%' or</v>
      </c>
    </row>
    <row r="170" spans="1:10" x14ac:dyDescent="0.2">
      <c r="A170" s="4" t="s">
        <v>1849</v>
      </c>
      <c r="B170" s="1" t="s">
        <v>2099</v>
      </c>
      <c r="H170">
        <v>107407</v>
      </c>
      <c r="I170" t="s">
        <v>2362</v>
      </c>
      <c r="J170" s="12" t="str">
        <f t="shared" si="2"/>
        <v>ia.assorted_string like '%107407-00082-02-2025%' or</v>
      </c>
    </row>
    <row r="171" spans="1:10" x14ac:dyDescent="0.2">
      <c r="A171" s="4" t="s">
        <v>1856</v>
      </c>
      <c r="B171" s="1" t="s">
        <v>2099</v>
      </c>
      <c r="H171">
        <v>107407</v>
      </c>
      <c r="I171" t="s">
        <v>2363</v>
      </c>
      <c r="J171" s="12" t="str">
        <f t="shared" si="2"/>
        <v>ia.assorted_string like '%107407-00083-02-2025%' or</v>
      </c>
    </row>
    <row r="172" spans="1:10" x14ac:dyDescent="0.2">
      <c r="A172" s="4" t="s">
        <v>1864</v>
      </c>
      <c r="B172" s="1" t="s">
        <v>2099</v>
      </c>
      <c r="H172">
        <v>107407</v>
      </c>
      <c r="I172" t="s">
        <v>2364</v>
      </c>
      <c r="J172" s="12" t="str">
        <f t="shared" si="2"/>
        <v>ia.assorted_string like '%107407-00084-02-2025%' or</v>
      </c>
    </row>
    <row r="173" spans="1:10" x14ac:dyDescent="0.2">
      <c r="A173" s="4" t="s">
        <v>1871</v>
      </c>
      <c r="B173" s="1" t="s">
        <v>2099</v>
      </c>
      <c r="H173">
        <v>107407</v>
      </c>
      <c r="I173" t="s">
        <v>2365</v>
      </c>
      <c r="J173" s="12" t="str">
        <f t="shared" si="2"/>
        <v>ia.assorted_string like '%107407-00085-02-2025%' or</v>
      </c>
    </row>
    <row r="174" spans="1:10" x14ac:dyDescent="0.2">
      <c r="A174" s="4" t="s">
        <v>1878</v>
      </c>
      <c r="B174" s="1" t="s">
        <v>2099</v>
      </c>
      <c r="H174">
        <v>107407</v>
      </c>
      <c r="I174" t="s">
        <v>2366</v>
      </c>
      <c r="J174" s="12" t="str">
        <f t="shared" si="2"/>
        <v>ia.assorted_string like '%107407-00086-02-2025%' or</v>
      </c>
    </row>
    <row r="175" spans="1:10" x14ac:dyDescent="0.2">
      <c r="A175" s="4" t="s">
        <v>1885</v>
      </c>
      <c r="B175" s="1" t="s">
        <v>2099</v>
      </c>
      <c r="H175">
        <v>107407</v>
      </c>
      <c r="I175" t="s">
        <v>2367</v>
      </c>
      <c r="J175" s="12" t="str">
        <f t="shared" si="2"/>
        <v>ia.assorted_string like '%107407-00087-02-2025%' or</v>
      </c>
    </row>
    <row r="176" spans="1:10" x14ac:dyDescent="0.2">
      <c r="A176" s="4" t="s">
        <v>1891</v>
      </c>
      <c r="B176" s="1" t="s">
        <v>2099</v>
      </c>
      <c r="H176">
        <v>107407</v>
      </c>
      <c r="I176" t="s">
        <v>2368</v>
      </c>
      <c r="J176" s="12" t="str">
        <f t="shared" si="2"/>
        <v>ia.assorted_string like '%107407-00088-02-2025%' or</v>
      </c>
    </row>
    <row r="177" spans="1:10" x14ac:dyDescent="0.2">
      <c r="A177" s="4" t="s">
        <v>1898</v>
      </c>
      <c r="B177" s="1" t="s">
        <v>2099</v>
      </c>
      <c r="H177">
        <v>107407</v>
      </c>
      <c r="I177" t="s">
        <v>2369</v>
      </c>
      <c r="J177" s="12" t="str">
        <f t="shared" si="2"/>
        <v>ia.assorted_string like '%107407-00089-02-2025%' or</v>
      </c>
    </row>
    <row r="178" spans="1:10" x14ac:dyDescent="0.2">
      <c r="A178" s="4" t="s">
        <v>1905</v>
      </c>
      <c r="B178" s="1" t="s">
        <v>2099</v>
      </c>
      <c r="H178">
        <v>107407</v>
      </c>
      <c r="I178" t="s">
        <v>2152</v>
      </c>
      <c r="J178" s="12" t="str">
        <f t="shared" si="2"/>
        <v>ia.assorted_string like '%107407-00009-02-2025%' or</v>
      </c>
    </row>
    <row r="179" spans="1:10" x14ac:dyDescent="0.2">
      <c r="A179" s="4" t="s">
        <v>1912</v>
      </c>
      <c r="B179" s="1" t="s">
        <v>2099</v>
      </c>
      <c r="H179">
        <v>107407</v>
      </c>
      <c r="I179" t="s">
        <v>2370</v>
      </c>
      <c r="J179" s="12" t="str">
        <f t="shared" si="2"/>
        <v>ia.assorted_string like '%107407-00090-02-2025%' or</v>
      </c>
    </row>
    <row r="180" spans="1:10" x14ac:dyDescent="0.2">
      <c r="A180" s="4" t="s">
        <v>1920</v>
      </c>
      <c r="B180" s="1" t="s">
        <v>2099</v>
      </c>
      <c r="H180">
        <v>107407</v>
      </c>
      <c r="I180" t="s">
        <v>2371</v>
      </c>
      <c r="J180" s="12" t="str">
        <f t="shared" si="2"/>
        <v>ia.assorted_string like '%107407-00091-02-2025%' or</v>
      </c>
    </row>
    <row r="181" spans="1:10" x14ac:dyDescent="0.2">
      <c r="A181" s="4" t="s">
        <v>1927</v>
      </c>
      <c r="B181" s="1" t="s">
        <v>2099</v>
      </c>
      <c r="H181">
        <v>107407</v>
      </c>
      <c r="I181" t="s">
        <v>2372</v>
      </c>
      <c r="J181" s="12" t="str">
        <f t="shared" si="2"/>
        <v>ia.assorted_string like '%107407-00092-02-2025%' or</v>
      </c>
    </row>
    <row r="182" spans="1:10" x14ac:dyDescent="0.2">
      <c r="A182" s="4" t="s">
        <v>1934</v>
      </c>
      <c r="B182" s="1" t="s">
        <v>2099</v>
      </c>
      <c r="H182">
        <v>107407</v>
      </c>
      <c r="I182" t="s">
        <v>2373</v>
      </c>
      <c r="J182" s="12" t="str">
        <f t="shared" si="2"/>
        <v>ia.assorted_string like '%107407-00093-02-2025%' or</v>
      </c>
    </row>
    <row r="183" spans="1:10" x14ac:dyDescent="0.2">
      <c r="A183" s="4" t="s">
        <v>1941</v>
      </c>
      <c r="B183" s="1" t="s">
        <v>2099</v>
      </c>
      <c r="H183">
        <v>107407</v>
      </c>
      <c r="I183" t="s">
        <v>2374</v>
      </c>
      <c r="J183" s="12" t="str">
        <f t="shared" si="2"/>
        <v>ia.assorted_string like '%107407-00094-02-2025%' or</v>
      </c>
    </row>
    <row r="184" spans="1:10" x14ac:dyDescent="0.2">
      <c r="A184" s="4" t="s">
        <v>1948</v>
      </c>
      <c r="B184" s="1" t="s">
        <v>2099</v>
      </c>
      <c r="H184">
        <v>107407</v>
      </c>
      <c r="I184" t="s">
        <v>2375</v>
      </c>
      <c r="J184" s="12" t="str">
        <f t="shared" si="2"/>
        <v>ia.assorted_string like '%107407-00095-02-2025%' or</v>
      </c>
    </row>
    <row r="185" spans="1:10" x14ac:dyDescent="0.2">
      <c r="A185" s="4" t="s">
        <v>1955</v>
      </c>
      <c r="B185" s="1" t="s">
        <v>2099</v>
      </c>
      <c r="H185">
        <v>107407</v>
      </c>
      <c r="I185" t="s">
        <v>2376</v>
      </c>
      <c r="J185" s="12" t="str">
        <f t="shared" si="2"/>
        <v>ia.assorted_string like '%107407-00096-02-2025%' or</v>
      </c>
    </row>
    <row r="186" spans="1:10" x14ac:dyDescent="0.2">
      <c r="A186" s="4" t="s">
        <v>1963</v>
      </c>
      <c r="B186" s="1" t="s">
        <v>2099</v>
      </c>
      <c r="H186">
        <v>107407</v>
      </c>
      <c r="I186" t="s">
        <v>2377</v>
      </c>
      <c r="J186" s="12" t="str">
        <f t="shared" si="2"/>
        <v>ia.assorted_string like '%107407-00097-02-2025%' or</v>
      </c>
    </row>
    <row r="187" spans="1:10" x14ac:dyDescent="0.2">
      <c r="A187" s="4" t="s">
        <v>1970</v>
      </c>
      <c r="B187" s="1" t="s">
        <v>2099</v>
      </c>
      <c r="H187">
        <v>107407</v>
      </c>
      <c r="I187" t="s">
        <v>2378</v>
      </c>
      <c r="J187" s="12" t="str">
        <f t="shared" si="2"/>
        <v>ia.assorted_string like '%107407-00098-02-2025%' or</v>
      </c>
    </row>
    <row r="188" spans="1:10" x14ac:dyDescent="0.2">
      <c r="A188" s="4" t="s">
        <v>1977</v>
      </c>
      <c r="B188" s="1" t="s">
        <v>2099</v>
      </c>
      <c r="H188">
        <v>107407</v>
      </c>
      <c r="I188" t="s">
        <v>2379</v>
      </c>
      <c r="J188" s="12" t="str">
        <f t="shared" si="2"/>
        <v>ia.assorted_string like '%107407-00099-02-2025%' or</v>
      </c>
    </row>
    <row r="189" spans="1:10" x14ac:dyDescent="0.2">
      <c r="A189" s="4" t="s">
        <v>1984</v>
      </c>
      <c r="B189" s="1" t="s">
        <v>2099</v>
      </c>
      <c r="H189">
        <v>107453</v>
      </c>
      <c r="I189" t="s">
        <v>2117</v>
      </c>
      <c r="J189" s="12" t="str">
        <f t="shared" si="2"/>
        <v>ia.assorted_string like '%107453-00001-02-2025%' or</v>
      </c>
    </row>
    <row r="190" spans="1:10" x14ac:dyDescent="0.2">
      <c r="A190" s="4" t="s">
        <v>1991</v>
      </c>
      <c r="B190" s="1" t="s">
        <v>2099</v>
      </c>
      <c r="H190">
        <v>107453</v>
      </c>
      <c r="I190" t="s">
        <v>2332</v>
      </c>
      <c r="J190" s="12" t="str">
        <f t="shared" si="2"/>
        <v>ia.assorted_string like '%107453-00002-02-2025%' or</v>
      </c>
    </row>
    <row r="191" spans="1:10" x14ac:dyDescent="0.2">
      <c r="A191" s="4" t="s">
        <v>1997</v>
      </c>
      <c r="B191" s="1" t="s">
        <v>2099</v>
      </c>
      <c r="H191">
        <v>107453</v>
      </c>
      <c r="I191" t="s">
        <v>2135</v>
      </c>
      <c r="J191" s="12" t="str">
        <f t="shared" si="2"/>
        <v>ia.assorted_string like '%107453-00003-02-2025%' or</v>
      </c>
    </row>
    <row r="192" spans="1:10" x14ac:dyDescent="0.2">
      <c r="A192" s="4" t="s">
        <v>2004</v>
      </c>
      <c r="B192" s="1" t="s">
        <v>2099</v>
      </c>
      <c r="H192">
        <v>107453</v>
      </c>
      <c r="I192" t="s">
        <v>2143</v>
      </c>
      <c r="J192" s="12" t="str">
        <f t="shared" si="2"/>
        <v>ia.assorted_string like '%107453-00004-02-2025%' or</v>
      </c>
    </row>
    <row r="193" spans="1:10" x14ac:dyDescent="0.2">
      <c r="A193" s="4" t="s">
        <v>2011</v>
      </c>
      <c r="B193" s="1" t="s">
        <v>2099</v>
      </c>
      <c r="H193">
        <v>107453</v>
      </c>
      <c r="I193" t="s">
        <v>2148</v>
      </c>
      <c r="J193" s="12" t="str">
        <f t="shared" si="2"/>
        <v>ia.assorted_string like '%107453-00005-02-2025%' or</v>
      </c>
    </row>
    <row r="194" spans="1:10" x14ac:dyDescent="0.2">
      <c r="A194" s="4" t="s">
        <v>2019</v>
      </c>
      <c r="B194" s="1" t="s">
        <v>2099</v>
      </c>
      <c r="H194">
        <v>107453</v>
      </c>
      <c r="I194" t="s">
        <v>2149</v>
      </c>
      <c r="J194" s="12" t="str">
        <f t="shared" ref="J194:J204" si="3">"ia.assorted_string like '%"&amp;H194&amp;"-"&amp;I194&amp;B194&amp;"%' or"</f>
        <v>ia.assorted_string like '%107453-00006-02-2025%' or</v>
      </c>
    </row>
    <row r="195" spans="1:10" x14ac:dyDescent="0.2">
      <c r="A195" s="4" t="s">
        <v>2026</v>
      </c>
      <c r="B195" s="1" t="s">
        <v>2099</v>
      </c>
      <c r="H195">
        <v>107453</v>
      </c>
      <c r="I195" t="s">
        <v>2150</v>
      </c>
      <c r="J195" s="12" t="str">
        <f t="shared" si="3"/>
        <v>ia.assorted_string like '%107453-00007-02-2025%' or</v>
      </c>
    </row>
    <row r="196" spans="1:10" x14ac:dyDescent="0.2">
      <c r="A196" s="4" t="s">
        <v>2033</v>
      </c>
      <c r="B196" s="1" t="s">
        <v>2099</v>
      </c>
      <c r="H196">
        <v>107454</v>
      </c>
      <c r="I196" t="s">
        <v>2117</v>
      </c>
      <c r="J196" s="12" t="str">
        <f t="shared" si="3"/>
        <v>ia.assorted_string like '%107454-00001-02-2025%' or</v>
      </c>
    </row>
    <row r="197" spans="1:10" x14ac:dyDescent="0.2">
      <c r="A197" s="4" t="s">
        <v>2040</v>
      </c>
      <c r="B197" s="1" t="s">
        <v>2099</v>
      </c>
      <c r="H197">
        <v>107454</v>
      </c>
      <c r="I197" t="s">
        <v>2332</v>
      </c>
      <c r="J197" s="12" t="str">
        <f t="shared" si="3"/>
        <v>ia.assorted_string like '%107454-00002-02-2025%' or</v>
      </c>
    </row>
    <row r="198" spans="1:10" x14ac:dyDescent="0.2">
      <c r="A198" s="4" t="s">
        <v>2047</v>
      </c>
      <c r="B198" s="1" t="s">
        <v>2099</v>
      </c>
      <c r="H198">
        <v>107454</v>
      </c>
      <c r="I198" t="s">
        <v>2135</v>
      </c>
      <c r="J198" s="12" t="str">
        <f t="shared" si="3"/>
        <v>ia.assorted_string like '%107454-00003-02-2025%' or</v>
      </c>
    </row>
    <row r="199" spans="1:10" x14ac:dyDescent="0.2">
      <c r="A199" s="4" t="s">
        <v>2054</v>
      </c>
      <c r="B199" s="1" t="s">
        <v>2099</v>
      </c>
      <c r="H199">
        <v>107454</v>
      </c>
      <c r="I199" t="s">
        <v>2143</v>
      </c>
      <c r="J199" s="12" t="str">
        <f t="shared" si="3"/>
        <v>ia.assorted_string like '%107454-00004-02-2025%' or</v>
      </c>
    </row>
    <row r="200" spans="1:10" x14ac:dyDescent="0.2">
      <c r="A200" s="4" t="s">
        <v>2061</v>
      </c>
      <c r="B200" s="1" t="s">
        <v>2239</v>
      </c>
      <c r="H200">
        <v>102208</v>
      </c>
      <c r="I200" t="s">
        <v>2104</v>
      </c>
      <c r="J200" s="12" t="str">
        <f t="shared" si="3"/>
        <v>ia.assorted_string like '%102208-00016-11-2024%' or</v>
      </c>
    </row>
    <row r="201" spans="1:10" x14ac:dyDescent="0.2">
      <c r="A201" s="4" t="s">
        <v>2067</v>
      </c>
      <c r="B201" s="1" t="s">
        <v>2239</v>
      </c>
      <c r="H201">
        <v>102208</v>
      </c>
      <c r="I201" t="s">
        <v>2134</v>
      </c>
      <c r="J201" s="12" t="str">
        <f t="shared" si="3"/>
        <v>ia.assorted_string like '%102208-00028-11-2024%' or</v>
      </c>
    </row>
    <row r="202" spans="1:10" x14ac:dyDescent="0.2">
      <c r="A202" s="4" t="s">
        <v>2075</v>
      </c>
      <c r="B202" s="1" t="s">
        <v>2101</v>
      </c>
      <c r="H202">
        <v>105499</v>
      </c>
      <c r="I202" t="s">
        <v>2300</v>
      </c>
      <c r="J202" s="12" t="str">
        <f t="shared" si="3"/>
        <v>ia.assorted_string like '%105499-00162-01-2025%' or</v>
      </c>
    </row>
    <row r="203" spans="1:10" x14ac:dyDescent="0.2">
      <c r="A203" s="4" t="s">
        <v>2082</v>
      </c>
      <c r="B203" s="1" t="s">
        <v>2101</v>
      </c>
      <c r="H203">
        <v>105499</v>
      </c>
      <c r="I203" t="s">
        <v>2322</v>
      </c>
      <c r="J203" s="12" t="str">
        <f t="shared" si="3"/>
        <v>ia.assorted_string like '%105499-00187-01-2025%' or</v>
      </c>
    </row>
    <row r="204" spans="1:10" x14ac:dyDescent="0.2">
      <c r="A204" s="4" t="s">
        <v>2094</v>
      </c>
      <c r="B204" s="1" t="s">
        <v>2240</v>
      </c>
      <c r="H204">
        <v>108053</v>
      </c>
      <c r="I204" t="s">
        <v>2117</v>
      </c>
      <c r="J204" s="12" t="str">
        <f t="shared" si="3"/>
        <v>ia.assorted_string like '%108053-00001-03-2025%' or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DA5D6-ED27-4DD5-87F8-37821BE53D70}">
  <dimension ref="A1:C204"/>
  <sheetViews>
    <sheetView workbookViewId="0">
      <selection activeCell="H13" sqref="H13"/>
    </sheetView>
  </sheetViews>
  <sheetFormatPr defaultColWidth="7.85546875" defaultRowHeight="12.75" x14ac:dyDescent="0.2"/>
  <cols>
    <col min="1" max="1" width="3.140625" style="12" customWidth="1"/>
    <col min="2" max="2" width="34.28515625" style="12" customWidth="1"/>
    <col min="3" max="3" width="14" style="12" customWidth="1"/>
    <col min="4" max="16384" width="7.85546875" style="12"/>
  </cols>
  <sheetData>
    <row r="1" spans="1:3" s="13" customFormat="1" ht="12" x14ac:dyDescent="0.2">
      <c r="A1" s="13" t="s">
        <v>2156</v>
      </c>
      <c r="B1" s="13" t="s">
        <v>2157</v>
      </c>
      <c r="C1" s="13" t="s">
        <v>2158</v>
      </c>
    </row>
    <row r="2" spans="1:3" x14ac:dyDescent="0.2">
      <c r="A2" s="12">
        <v>1</v>
      </c>
      <c r="B2" s="12" t="s">
        <v>2033</v>
      </c>
      <c r="C2" s="12" t="s">
        <v>2380</v>
      </c>
    </row>
    <row r="3" spans="1:3" x14ac:dyDescent="0.2">
      <c r="A3" s="12">
        <v>2</v>
      </c>
      <c r="B3" s="12" t="s">
        <v>2040</v>
      </c>
      <c r="C3" s="12" t="s">
        <v>2381</v>
      </c>
    </row>
    <row r="4" spans="1:3" x14ac:dyDescent="0.2">
      <c r="A4" s="12">
        <v>3</v>
      </c>
      <c r="B4" s="12" t="s">
        <v>2047</v>
      </c>
      <c r="C4" s="12" t="s">
        <v>2382</v>
      </c>
    </row>
    <row r="5" spans="1:3" x14ac:dyDescent="0.2">
      <c r="A5" s="12">
        <v>4</v>
      </c>
      <c r="B5" s="12" t="s">
        <v>2054</v>
      </c>
      <c r="C5" s="12" t="s">
        <v>2383</v>
      </c>
    </row>
    <row r="6" spans="1:3" x14ac:dyDescent="0.2">
      <c r="A6" s="12">
        <v>5</v>
      </c>
      <c r="B6" s="12" t="s">
        <v>1984</v>
      </c>
      <c r="C6" s="12" t="s">
        <v>2384</v>
      </c>
    </row>
    <row r="7" spans="1:3" x14ac:dyDescent="0.2">
      <c r="A7" s="12">
        <v>6</v>
      </c>
      <c r="B7" s="12" t="s">
        <v>1991</v>
      </c>
      <c r="C7" s="12" t="s">
        <v>2385</v>
      </c>
    </row>
    <row r="8" spans="1:3" x14ac:dyDescent="0.2">
      <c r="A8" s="12">
        <v>7</v>
      </c>
      <c r="B8" s="12" t="s">
        <v>1997</v>
      </c>
      <c r="C8" s="12" t="s">
        <v>2386</v>
      </c>
    </row>
    <row r="9" spans="1:3" x14ac:dyDescent="0.2">
      <c r="A9" s="12">
        <v>8</v>
      </c>
      <c r="B9" s="12" t="s">
        <v>2004</v>
      </c>
      <c r="C9" s="12" t="s">
        <v>2387</v>
      </c>
    </row>
    <row r="10" spans="1:3" x14ac:dyDescent="0.2">
      <c r="A10" s="12">
        <v>9</v>
      </c>
      <c r="B10" s="12" t="s">
        <v>2011</v>
      </c>
      <c r="C10" s="12" t="s">
        <v>2388</v>
      </c>
    </row>
    <row r="11" spans="1:3" x14ac:dyDescent="0.2">
      <c r="A11" s="12">
        <v>10</v>
      </c>
      <c r="B11" s="12" t="s">
        <v>2019</v>
      </c>
      <c r="C11" s="12" t="s">
        <v>2389</v>
      </c>
    </row>
    <row r="12" spans="1:3" x14ac:dyDescent="0.2">
      <c r="A12" s="12">
        <v>11</v>
      </c>
      <c r="B12" s="12" t="s">
        <v>2026</v>
      </c>
      <c r="C12" s="12" t="s">
        <v>2390</v>
      </c>
    </row>
    <row r="13" spans="1:3" x14ac:dyDescent="0.2">
      <c r="A13" s="12">
        <v>12</v>
      </c>
      <c r="B13" s="12" t="s">
        <v>2061</v>
      </c>
      <c r="C13" s="12" t="s">
        <v>2391</v>
      </c>
    </row>
    <row r="14" spans="1:3" x14ac:dyDescent="0.2">
      <c r="A14" s="12">
        <v>13</v>
      </c>
      <c r="B14" s="12" t="s">
        <v>2067</v>
      </c>
      <c r="C14" s="12" t="s">
        <v>2392</v>
      </c>
    </row>
    <row r="15" spans="1:3" x14ac:dyDescent="0.2">
      <c r="A15" s="12">
        <v>14</v>
      </c>
      <c r="B15" s="12" t="s">
        <v>2082</v>
      </c>
      <c r="C15" s="12" t="s">
        <v>2393</v>
      </c>
    </row>
    <row r="16" spans="1:3" x14ac:dyDescent="0.2">
      <c r="A16" s="12">
        <v>15</v>
      </c>
      <c r="B16" s="12" t="s">
        <v>2075</v>
      </c>
      <c r="C16" s="12" t="s">
        <v>2394</v>
      </c>
    </row>
    <row r="17" spans="1:3" x14ac:dyDescent="0.2">
      <c r="A17" s="12">
        <v>16</v>
      </c>
      <c r="B17" s="12" t="s">
        <v>2094</v>
      </c>
      <c r="C17" s="12" t="s">
        <v>2395</v>
      </c>
    </row>
    <row r="18" spans="1:3" x14ac:dyDescent="0.2">
      <c r="A18" s="12">
        <v>17</v>
      </c>
      <c r="B18" s="12" t="s">
        <v>1800</v>
      </c>
      <c r="C18" s="12" t="s">
        <v>2396</v>
      </c>
    </row>
    <row r="19" spans="1:3" x14ac:dyDescent="0.2">
      <c r="A19" s="12">
        <v>18</v>
      </c>
      <c r="B19" s="12" t="s">
        <v>1891</v>
      </c>
      <c r="C19" s="12" t="s">
        <v>2397</v>
      </c>
    </row>
    <row r="20" spans="1:3" x14ac:dyDescent="0.2">
      <c r="A20" s="12">
        <v>19</v>
      </c>
      <c r="B20" s="12" t="s">
        <v>1927</v>
      </c>
      <c r="C20" s="12" t="s">
        <v>2398</v>
      </c>
    </row>
    <row r="21" spans="1:3" x14ac:dyDescent="0.2">
      <c r="A21" s="12">
        <v>20</v>
      </c>
      <c r="B21" s="12" t="s">
        <v>1948</v>
      </c>
      <c r="C21" s="12" t="s">
        <v>2399</v>
      </c>
    </row>
    <row r="22" spans="1:3" x14ac:dyDescent="0.2">
      <c r="A22" s="12">
        <v>21</v>
      </c>
      <c r="B22" s="12" t="s">
        <v>1020</v>
      </c>
      <c r="C22" s="12" t="s">
        <v>2400</v>
      </c>
    </row>
    <row r="23" spans="1:3" x14ac:dyDescent="0.2">
      <c r="A23" s="12">
        <v>22</v>
      </c>
      <c r="B23" s="12" t="s">
        <v>1250</v>
      </c>
      <c r="C23" s="12" t="s">
        <v>2401</v>
      </c>
    </row>
    <row r="24" spans="1:3" x14ac:dyDescent="0.2">
      <c r="A24" s="12">
        <v>23</v>
      </c>
      <c r="B24" s="12" t="s">
        <v>1416</v>
      </c>
      <c r="C24" s="12" t="s">
        <v>2402</v>
      </c>
    </row>
    <row r="25" spans="1:3" x14ac:dyDescent="0.2">
      <c r="A25" s="12">
        <v>24</v>
      </c>
      <c r="B25" s="12" t="s">
        <v>1334</v>
      </c>
      <c r="C25" s="12" t="s">
        <v>2403</v>
      </c>
    </row>
    <row r="26" spans="1:3" x14ac:dyDescent="0.2">
      <c r="A26" s="12">
        <v>25</v>
      </c>
      <c r="B26" s="12" t="s">
        <v>1355</v>
      </c>
      <c r="C26" s="12" t="s">
        <v>2404</v>
      </c>
    </row>
    <row r="27" spans="1:3" x14ac:dyDescent="0.2">
      <c r="A27" s="12">
        <v>26</v>
      </c>
      <c r="B27" s="12" t="s">
        <v>1386</v>
      </c>
      <c r="C27" s="12" t="s">
        <v>2405</v>
      </c>
    </row>
    <row r="28" spans="1:3" x14ac:dyDescent="0.2">
      <c r="A28" s="12">
        <v>27</v>
      </c>
      <c r="B28" s="12" t="s">
        <v>1136</v>
      </c>
      <c r="C28" s="12" t="s">
        <v>2406</v>
      </c>
    </row>
    <row r="29" spans="1:3" x14ac:dyDescent="0.2">
      <c r="A29" s="12">
        <v>28</v>
      </c>
      <c r="B29" s="12" t="s">
        <v>1167</v>
      </c>
      <c r="C29" s="12" t="s">
        <v>2407</v>
      </c>
    </row>
    <row r="30" spans="1:3" x14ac:dyDescent="0.2">
      <c r="A30" s="12">
        <v>29</v>
      </c>
      <c r="B30" s="12" t="s">
        <v>1511</v>
      </c>
      <c r="C30" s="12" t="s">
        <v>2408</v>
      </c>
    </row>
    <row r="31" spans="1:3" x14ac:dyDescent="0.2">
      <c r="A31" s="12">
        <v>30</v>
      </c>
      <c r="B31" s="12" t="s">
        <v>1546</v>
      </c>
      <c r="C31" s="12" t="s">
        <v>2409</v>
      </c>
    </row>
    <row r="32" spans="1:3" x14ac:dyDescent="0.2">
      <c r="A32" s="12">
        <v>31</v>
      </c>
      <c r="B32" s="12" t="s">
        <v>1566</v>
      </c>
      <c r="C32" s="12" t="s">
        <v>2410</v>
      </c>
    </row>
    <row r="33" spans="1:3" x14ac:dyDescent="0.2">
      <c r="A33" s="12">
        <v>32</v>
      </c>
      <c r="B33" s="12" t="s">
        <v>1828</v>
      </c>
      <c r="C33" s="12" t="s">
        <v>2411</v>
      </c>
    </row>
    <row r="34" spans="1:3" x14ac:dyDescent="0.2">
      <c r="A34" s="12">
        <v>33</v>
      </c>
      <c r="B34" s="12" t="s">
        <v>729</v>
      </c>
      <c r="C34" s="12" t="s">
        <v>2412</v>
      </c>
    </row>
    <row r="35" spans="1:3" x14ac:dyDescent="0.2">
      <c r="A35" s="12">
        <v>34</v>
      </c>
      <c r="B35" s="12" t="s">
        <v>1695</v>
      </c>
      <c r="C35" s="12" t="s">
        <v>2413</v>
      </c>
    </row>
    <row r="36" spans="1:3" x14ac:dyDescent="0.2">
      <c r="A36" s="12">
        <v>35</v>
      </c>
      <c r="B36" s="12" t="s">
        <v>1722</v>
      </c>
      <c r="C36" s="12" t="s">
        <v>2414</v>
      </c>
    </row>
    <row r="37" spans="1:3" x14ac:dyDescent="0.2">
      <c r="A37" s="12">
        <v>36</v>
      </c>
      <c r="B37" s="12" t="s">
        <v>1743</v>
      </c>
      <c r="C37" s="12" t="s">
        <v>2415</v>
      </c>
    </row>
    <row r="38" spans="1:3" x14ac:dyDescent="0.2">
      <c r="A38" s="12">
        <v>37</v>
      </c>
      <c r="B38" s="12" t="s">
        <v>1771</v>
      </c>
      <c r="C38" s="12" t="s">
        <v>2416</v>
      </c>
    </row>
    <row r="39" spans="1:3" x14ac:dyDescent="0.2">
      <c r="A39" s="12">
        <v>38</v>
      </c>
      <c r="B39" s="12" t="s">
        <v>1970</v>
      </c>
      <c r="C39" s="12" t="s">
        <v>2417</v>
      </c>
    </row>
    <row r="40" spans="1:3" x14ac:dyDescent="0.2">
      <c r="A40" s="12">
        <v>39</v>
      </c>
      <c r="B40" s="12" t="s">
        <v>681</v>
      </c>
      <c r="C40" s="12" t="s">
        <v>2418</v>
      </c>
    </row>
    <row r="41" spans="1:3" x14ac:dyDescent="0.2">
      <c r="A41" s="12">
        <v>40</v>
      </c>
      <c r="B41" s="12" t="s">
        <v>766</v>
      </c>
      <c r="C41" s="12" t="s">
        <v>2419</v>
      </c>
    </row>
    <row r="42" spans="1:3" x14ac:dyDescent="0.2">
      <c r="A42" s="12">
        <v>41</v>
      </c>
      <c r="B42" s="12" t="s">
        <v>793</v>
      </c>
      <c r="C42" s="12" t="s">
        <v>2420</v>
      </c>
    </row>
    <row r="43" spans="1:3" x14ac:dyDescent="0.2">
      <c r="A43" s="12">
        <v>42</v>
      </c>
      <c r="B43" s="12" t="s">
        <v>821</v>
      </c>
      <c r="C43" s="12" t="s">
        <v>2421</v>
      </c>
    </row>
    <row r="44" spans="1:3" x14ac:dyDescent="0.2">
      <c r="A44" s="12">
        <v>43</v>
      </c>
      <c r="B44" s="12" t="s">
        <v>843</v>
      </c>
      <c r="C44" s="12" t="s">
        <v>2422</v>
      </c>
    </row>
    <row r="45" spans="1:3" x14ac:dyDescent="0.2">
      <c r="A45" s="12">
        <v>44</v>
      </c>
      <c r="B45" s="12" t="s">
        <v>864</v>
      </c>
      <c r="C45" s="12" t="s">
        <v>2423</v>
      </c>
    </row>
    <row r="46" spans="1:3" x14ac:dyDescent="0.2">
      <c r="A46" s="12">
        <v>45</v>
      </c>
      <c r="B46" s="12" t="s">
        <v>948</v>
      </c>
      <c r="C46" s="12" t="s">
        <v>2424</v>
      </c>
    </row>
    <row r="47" spans="1:3" x14ac:dyDescent="0.2">
      <c r="A47" s="12">
        <v>46</v>
      </c>
      <c r="B47" s="12" t="s">
        <v>977</v>
      </c>
      <c r="C47" s="12" t="s">
        <v>2425</v>
      </c>
    </row>
    <row r="48" spans="1:3" x14ac:dyDescent="0.2">
      <c r="A48" s="12">
        <v>47</v>
      </c>
      <c r="B48" s="12" t="s">
        <v>998</v>
      </c>
      <c r="C48" s="12" t="s">
        <v>2426</v>
      </c>
    </row>
    <row r="49" spans="1:3" x14ac:dyDescent="0.2">
      <c r="A49" s="12">
        <v>48</v>
      </c>
      <c r="B49" s="12" t="s">
        <v>1035</v>
      </c>
      <c r="C49" s="12" t="s">
        <v>2427</v>
      </c>
    </row>
    <row r="50" spans="1:3" x14ac:dyDescent="0.2">
      <c r="A50" s="12">
        <v>49</v>
      </c>
      <c r="B50" s="12" t="s">
        <v>1057</v>
      </c>
      <c r="C50" s="12" t="s">
        <v>2428</v>
      </c>
    </row>
    <row r="51" spans="1:3" x14ac:dyDescent="0.2">
      <c r="A51" s="12">
        <v>50</v>
      </c>
      <c r="B51" s="12" t="s">
        <v>1195</v>
      </c>
      <c r="C51" s="12" t="s">
        <v>2429</v>
      </c>
    </row>
    <row r="52" spans="1:3" x14ac:dyDescent="0.2">
      <c r="A52" s="12">
        <v>51</v>
      </c>
      <c r="B52" s="12" t="s">
        <v>1223</v>
      </c>
      <c r="C52" s="12" t="s">
        <v>2430</v>
      </c>
    </row>
    <row r="53" spans="1:3" x14ac:dyDescent="0.2">
      <c r="A53" s="12">
        <v>52</v>
      </c>
      <c r="B53" s="12" t="s">
        <v>1243</v>
      </c>
      <c r="C53" s="12" t="s">
        <v>2431</v>
      </c>
    </row>
    <row r="54" spans="1:3" x14ac:dyDescent="0.2">
      <c r="A54" s="12">
        <v>53</v>
      </c>
      <c r="B54" s="12" t="s">
        <v>655</v>
      </c>
      <c r="C54" s="12" t="s">
        <v>2432</v>
      </c>
    </row>
    <row r="55" spans="1:3" x14ac:dyDescent="0.2">
      <c r="A55" s="12">
        <v>54</v>
      </c>
      <c r="B55" s="12" t="s">
        <v>1372</v>
      </c>
      <c r="C55" s="12" t="s">
        <v>2433</v>
      </c>
    </row>
    <row r="56" spans="1:3" x14ac:dyDescent="0.2">
      <c r="A56" s="12">
        <v>55</v>
      </c>
      <c r="B56" s="12" t="s">
        <v>1460</v>
      </c>
      <c r="C56" s="12" t="s">
        <v>2434</v>
      </c>
    </row>
    <row r="57" spans="1:3" x14ac:dyDescent="0.2">
      <c r="A57" s="12">
        <v>56</v>
      </c>
      <c r="B57" s="12" t="s">
        <v>1539</v>
      </c>
      <c r="C57" s="12" t="s">
        <v>2435</v>
      </c>
    </row>
    <row r="58" spans="1:3" x14ac:dyDescent="0.2">
      <c r="A58" s="12">
        <v>57</v>
      </c>
      <c r="B58" s="12" t="s">
        <v>1601</v>
      </c>
      <c r="C58" s="12" t="s">
        <v>2436</v>
      </c>
    </row>
    <row r="59" spans="1:3" x14ac:dyDescent="0.2">
      <c r="A59" s="12">
        <v>58</v>
      </c>
      <c r="B59" s="12" t="s">
        <v>1674</v>
      </c>
      <c r="C59" s="12" t="s">
        <v>2437</v>
      </c>
    </row>
    <row r="60" spans="1:3" x14ac:dyDescent="0.2">
      <c r="A60" s="12">
        <v>59</v>
      </c>
      <c r="B60" s="12" t="s">
        <v>1750</v>
      </c>
      <c r="C60" s="12" t="s">
        <v>2438</v>
      </c>
    </row>
    <row r="61" spans="1:3" x14ac:dyDescent="0.2">
      <c r="A61" s="12">
        <v>60</v>
      </c>
      <c r="B61" s="12" t="s">
        <v>1905</v>
      </c>
      <c r="C61" s="12" t="s">
        <v>2439</v>
      </c>
    </row>
    <row r="62" spans="1:3" x14ac:dyDescent="0.2">
      <c r="A62" s="12">
        <v>61</v>
      </c>
      <c r="B62" s="12" t="s">
        <v>662</v>
      </c>
      <c r="C62" s="12" t="s">
        <v>2440</v>
      </c>
    </row>
    <row r="63" spans="1:3" x14ac:dyDescent="0.2">
      <c r="A63" s="12">
        <v>62</v>
      </c>
      <c r="B63" s="12" t="s">
        <v>807</v>
      </c>
      <c r="C63" s="12" t="s">
        <v>2441</v>
      </c>
    </row>
    <row r="64" spans="1:3" x14ac:dyDescent="0.2">
      <c r="A64" s="12">
        <v>63</v>
      </c>
      <c r="B64" s="12" t="s">
        <v>941</v>
      </c>
      <c r="C64" s="12" t="s">
        <v>2442</v>
      </c>
    </row>
    <row r="65" spans="1:3" x14ac:dyDescent="0.2">
      <c r="A65" s="12">
        <v>64</v>
      </c>
      <c r="B65" s="12" t="s">
        <v>1101</v>
      </c>
      <c r="C65" s="12" t="s">
        <v>2443</v>
      </c>
    </row>
    <row r="66" spans="1:3" x14ac:dyDescent="0.2">
      <c r="A66" s="12">
        <v>65</v>
      </c>
      <c r="B66" s="12" t="s">
        <v>1181</v>
      </c>
      <c r="C66" s="12" t="s">
        <v>2444</v>
      </c>
    </row>
    <row r="67" spans="1:3" x14ac:dyDescent="0.2">
      <c r="A67" s="12">
        <v>66</v>
      </c>
      <c r="B67" s="12" t="s">
        <v>1313</v>
      </c>
      <c r="C67" s="12" t="s">
        <v>2445</v>
      </c>
    </row>
    <row r="68" spans="1:3" x14ac:dyDescent="0.2">
      <c r="A68" s="12">
        <v>67</v>
      </c>
      <c r="B68" s="12" t="s">
        <v>1379</v>
      </c>
      <c r="C68" s="12" t="s">
        <v>2446</v>
      </c>
    </row>
    <row r="69" spans="1:3" x14ac:dyDescent="0.2">
      <c r="A69" s="12">
        <v>68</v>
      </c>
      <c r="B69" s="12" t="s">
        <v>1408</v>
      </c>
      <c r="C69" s="12" t="s">
        <v>2447</v>
      </c>
    </row>
    <row r="70" spans="1:3" x14ac:dyDescent="0.2">
      <c r="A70" s="12">
        <v>69</v>
      </c>
      <c r="B70" s="12" t="s">
        <v>1424</v>
      </c>
      <c r="C70" s="12" t="s">
        <v>2448</v>
      </c>
    </row>
    <row r="71" spans="1:3" x14ac:dyDescent="0.2">
      <c r="A71" s="12">
        <v>70</v>
      </c>
      <c r="B71" s="12" t="s">
        <v>1431</v>
      </c>
      <c r="C71" s="12" t="s">
        <v>2449</v>
      </c>
    </row>
    <row r="72" spans="1:3" x14ac:dyDescent="0.2">
      <c r="A72" s="12">
        <v>71</v>
      </c>
      <c r="B72" s="12" t="s">
        <v>1438</v>
      </c>
      <c r="C72" s="12" t="s">
        <v>2450</v>
      </c>
    </row>
    <row r="73" spans="1:3" x14ac:dyDescent="0.2">
      <c r="A73" s="12">
        <v>72</v>
      </c>
      <c r="B73" s="12" t="s">
        <v>1445</v>
      </c>
      <c r="C73" s="12" t="s">
        <v>2451</v>
      </c>
    </row>
    <row r="74" spans="1:3" x14ac:dyDescent="0.2">
      <c r="A74" s="12">
        <v>73</v>
      </c>
      <c r="B74" s="12" t="s">
        <v>1452</v>
      </c>
      <c r="C74" s="12" t="s">
        <v>2452</v>
      </c>
    </row>
    <row r="75" spans="1:3" x14ac:dyDescent="0.2">
      <c r="A75" s="12">
        <v>74</v>
      </c>
      <c r="B75" s="12" t="s">
        <v>1467</v>
      </c>
      <c r="C75" s="12" t="s">
        <v>2453</v>
      </c>
    </row>
    <row r="76" spans="1:3" x14ac:dyDescent="0.2">
      <c r="A76" s="12">
        <v>75</v>
      </c>
      <c r="B76" s="12" t="s">
        <v>1475</v>
      </c>
      <c r="C76" s="12" t="s">
        <v>2454</v>
      </c>
    </row>
    <row r="77" spans="1:3" x14ac:dyDescent="0.2">
      <c r="A77" s="12">
        <v>76</v>
      </c>
      <c r="B77" s="12" t="s">
        <v>1483</v>
      </c>
      <c r="C77" s="12" t="s">
        <v>2455</v>
      </c>
    </row>
    <row r="78" spans="1:3" x14ac:dyDescent="0.2">
      <c r="A78" s="12">
        <v>77</v>
      </c>
      <c r="B78" s="12" t="s">
        <v>1490</v>
      </c>
      <c r="C78" s="12" t="s">
        <v>2456</v>
      </c>
    </row>
    <row r="79" spans="1:3" x14ac:dyDescent="0.2">
      <c r="A79" s="12">
        <v>78</v>
      </c>
      <c r="B79" s="12" t="s">
        <v>1497</v>
      </c>
      <c r="C79" s="12" t="s">
        <v>2457</v>
      </c>
    </row>
    <row r="80" spans="1:3" x14ac:dyDescent="0.2">
      <c r="A80" s="12">
        <v>79</v>
      </c>
      <c r="B80" s="12" t="s">
        <v>1504</v>
      </c>
      <c r="C80" s="12" t="s">
        <v>2458</v>
      </c>
    </row>
    <row r="81" spans="1:3" x14ac:dyDescent="0.2">
      <c r="A81" s="12">
        <v>80</v>
      </c>
      <c r="B81" s="12" t="s">
        <v>1518</v>
      </c>
      <c r="C81" s="12" t="s">
        <v>2459</v>
      </c>
    </row>
    <row r="82" spans="1:3" x14ac:dyDescent="0.2">
      <c r="A82" s="12">
        <v>81</v>
      </c>
      <c r="B82" s="12" t="s">
        <v>1525</v>
      </c>
      <c r="C82" s="12" t="s">
        <v>2460</v>
      </c>
    </row>
    <row r="83" spans="1:3" x14ac:dyDescent="0.2">
      <c r="A83" s="12">
        <v>82</v>
      </c>
      <c r="B83" s="12" t="s">
        <v>1532</v>
      </c>
      <c r="C83" s="12" t="s">
        <v>2461</v>
      </c>
    </row>
    <row r="84" spans="1:3" x14ac:dyDescent="0.2">
      <c r="A84" s="12">
        <v>83</v>
      </c>
      <c r="B84" s="12" t="s">
        <v>1552</v>
      </c>
      <c r="C84" s="12" t="s">
        <v>2462</v>
      </c>
    </row>
    <row r="85" spans="1:3" x14ac:dyDescent="0.2">
      <c r="A85" s="12">
        <v>84</v>
      </c>
      <c r="B85" s="12" t="s">
        <v>1559</v>
      </c>
      <c r="C85" s="12" t="s">
        <v>2463</v>
      </c>
    </row>
    <row r="86" spans="1:3" x14ac:dyDescent="0.2">
      <c r="A86" s="12">
        <v>85</v>
      </c>
      <c r="B86" s="12" t="s">
        <v>1573</v>
      </c>
      <c r="C86" s="12" t="s">
        <v>2464</v>
      </c>
    </row>
    <row r="87" spans="1:3" x14ac:dyDescent="0.2">
      <c r="A87" s="12">
        <v>86</v>
      </c>
      <c r="B87" s="12" t="s">
        <v>1580</v>
      </c>
      <c r="C87" s="12" t="s">
        <v>2465</v>
      </c>
    </row>
    <row r="88" spans="1:3" x14ac:dyDescent="0.2">
      <c r="A88" s="12">
        <v>87</v>
      </c>
      <c r="B88" s="12" t="s">
        <v>1587</v>
      </c>
      <c r="C88" s="12" t="s">
        <v>2466</v>
      </c>
    </row>
    <row r="89" spans="1:3" x14ac:dyDescent="0.2">
      <c r="A89" s="12">
        <v>88</v>
      </c>
      <c r="B89" s="12" t="s">
        <v>1594</v>
      </c>
      <c r="C89" s="12" t="s">
        <v>2467</v>
      </c>
    </row>
    <row r="90" spans="1:3" x14ac:dyDescent="0.2">
      <c r="A90" s="12">
        <v>89</v>
      </c>
      <c r="B90" s="12" t="s">
        <v>1609</v>
      </c>
      <c r="C90" s="12" t="s">
        <v>2468</v>
      </c>
    </row>
    <row r="91" spans="1:3" x14ac:dyDescent="0.2">
      <c r="A91" s="12">
        <v>90</v>
      </c>
      <c r="B91" s="12" t="s">
        <v>1618</v>
      </c>
      <c r="C91" s="12" t="s">
        <v>2469</v>
      </c>
    </row>
    <row r="92" spans="1:3" x14ac:dyDescent="0.2">
      <c r="A92" s="12">
        <v>91</v>
      </c>
      <c r="B92" s="12" t="s">
        <v>1625</v>
      </c>
      <c r="C92" s="12" t="s">
        <v>2470</v>
      </c>
    </row>
    <row r="93" spans="1:3" x14ac:dyDescent="0.2">
      <c r="A93" s="12">
        <v>92</v>
      </c>
      <c r="B93" s="12" t="s">
        <v>1632</v>
      </c>
      <c r="C93" s="12" t="s">
        <v>2471</v>
      </c>
    </row>
    <row r="94" spans="1:3" x14ac:dyDescent="0.2">
      <c r="A94" s="12">
        <v>93</v>
      </c>
      <c r="B94" s="12" t="s">
        <v>1639</v>
      </c>
      <c r="C94" s="12" t="s">
        <v>2472</v>
      </c>
    </row>
    <row r="95" spans="1:3" x14ac:dyDescent="0.2">
      <c r="A95" s="12">
        <v>94</v>
      </c>
      <c r="B95" s="12" t="s">
        <v>1646</v>
      </c>
      <c r="C95" s="12" t="s">
        <v>2473</v>
      </c>
    </row>
    <row r="96" spans="1:3" x14ac:dyDescent="0.2">
      <c r="A96" s="12">
        <v>95</v>
      </c>
      <c r="B96" s="12" t="s">
        <v>1652</v>
      </c>
      <c r="C96" s="12" t="s">
        <v>2474</v>
      </c>
    </row>
    <row r="97" spans="1:3" x14ac:dyDescent="0.2">
      <c r="A97" s="12">
        <v>96</v>
      </c>
      <c r="B97" s="12" t="s">
        <v>1660</v>
      </c>
      <c r="C97" s="12" t="s">
        <v>2475</v>
      </c>
    </row>
    <row r="98" spans="1:3" x14ac:dyDescent="0.2">
      <c r="A98" s="12">
        <v>97</v>
      </c>
      <c r="B98" s="12" t="s">
        <v>1667</v>
      </c>
      <c r="C98" s="12" t="s">
        <v>2476</v>
      </c>
    </row>
    <row r="99" spans="1:3" x14ac:dyDescent="0.2">
      <c r="A99" s="12">
        <v>98</v>
      </c>
      <c r="B99" s="12" t="s">
        <v>1681</v>
      </c>
      <c r="C99" s="12" t="s">
        <v>2477</v>
      </c>
    </row>
    <row r="100" spans="1:3" x14ac:dyDescent="0.2">
      <c r="A100" s="12">
        <v>99</v>
      </c>
      <c r="B100" s="12" t="s">
        <v>1688</v>
      </c>
      <c r="C100" s="12" t="s">
        <v>2478</v>
      </c>
    </row>
    <row r="101" spans="1:3" x14ac:dyDescent="0.2">
      <c r="A101" s="12">
        <v>100</v>
      </c>
      <c r="B101" s="12" t="s">
        <v>1701</v>
      </c>
      <c r="C101" s="12" t="s">
        <v>2479</v>
      </c>
    </row>
    <row r="102" spans="1:3" x14ac:dyDescent="0.2">
      <c r="A102" s="12">
        <v>101</v>
      </c>
      <c r="B102" s="12" t="s">
        <v>1708</v>
      </c>
      <c r="C102" s="12" t="s">
        <v>2480</v>
      </c>
    </row>
    <row r="103" spans="1:3" x14ac:dyDescent="0.2">
      <c r="A103" s="12">
        <v>102</v>
      </c>
      <c r="B103" s="12" t="s">
        <v>1715</v>
      </c>
      <c r="C103" s="12" t="s">
        <v>2481</v>
      </c>
    </row>
    <row r="104" spans="1:3" x14ac:dyDescent="0.2">
      <c r="A104" s="12">
        <v>103</v>
      </c>
      <c r="B104" s="12" t="s">
        <v>1729</v>
      </c>
      <c r="C104" s="12" t="s">
        <v>2482</v>
      </c>
    </row>
    <row r="105" spans="1:3" x14ac:dyDescent="0.2">
      <c r="A105" s="12">
        <v>104</v>
      </c>
      <c r="B105" s="12" t="s">
        <v>1736</v>
      </c>
      <c r="C105" s="12" t="s">
        <v>2483</v>
      </c>
    </row>
    <row r="106" spans="1:3" x14ac:dyDescent="0.2">
      <c r="A106" s="12">
        <v>105</v>
      </c>
      <c r="B106" s="12" t="s">
        <v>1757</v>
      </c>
      <c r="C106" s="12" t="s">
        <v>2484</v>
      </c>
    </row>
    <row r="107" spans="1:3" x14ac:dyDescent="0.2">
      <c r="A107" s="12">
        <v>106</v>
      </c>
      <c r="B107" s="12" t="s">
        <v>1764</v>
      </c>
      <c r="C107" s="12" t="s">
        <v>2485</v>
      </c>
    </row>
    <row r="108" spans="1:3" x14ac:dyDescent="0.2">
      <c r="A108" s="12">
        <v>107</v>
      </c>
      <c r="B108" s="12" t="s">
        <v>1778</v>
      </c>
      <c r="C108" s="12" t="s">
        <v>2486</v>
      </c>
    </row>
    <row r="109" spans="1:3" x14ac:dyDescent="0.2">
      <c r="A109" s="12">
        <v>108</v>
      </c>
      <c r="B109" s="12" t="s">
        <v>1785</v>
      </c>
      <c r="C109" s="12" t="s">
        <v>2487</v>
      </c>
    </row>
    <row r="110" spans="1:3" x14ac:dyDescent="0.2">
      <c r="A110" s="12">
        <v>109</v>
      </c>
      <c r="B110" s="12" t="s">
        <v>1793</v>
      </c>
      <c r="C110" s="12" t="s">
        <v>2488</v>
      </c>
    </row>
    <row r="111" spans="1:3" x14ac:dyDescent="0.2">
      <c r="A111" s="12">
        <v>110</v>
      </c>
      <c r="B111" s="12" t="s">
        <v>1807</v>
      </c>
      <c r="C111" s="12" t="s">
        <v>2489</v>
      </c>
    </row>
    <row r="112" spans="1:3" x14ac:dyDescent="0.2">
      <c r="A112" s="12">
        <v>111</v>
      </c>
      <c r="B112" s="12" t="s">
        <v>1814</v>
      </c>
      <c r="C112" s="12" t="s">
        <v>2490</v>
      </c>
    </row>
    <row r="113" spans="1:3" x14ac:dyDescent="0.2">
      <c r="A113" s="12">
        <v>112</v>
      </c>
      <c r="B113" s="12" t="s">
        <v>1821</v>
      </c>
      <c r="C113" s="12" t="s">
        <v>2491</v>
      </c>
    </row>
    <row r="114" spans="1:3" x14ac:dyDescent="0.2">
      <c r="A114" s="12">
        <v>113</v>
      </c>
      <c r="B114" s="12" t="s">
        <v>1835</v>
      </c>
      <c r="C114" s="12" t="s">
        <v>2492</v>
      </c>
    </row>
    <row r="115" spans="1:3" x14ac:dyDescent="0.2">
      <c r="A115" s="12">
        <v>114</v>
      </c>
      <c r="B115" s="12" t="s">
        <v>1842</v>
      </c>
      <c r="C115" s="12" t="s">
        <v>2493</v>
      </c>
    </row>
    <row r="116" spans="1:3" x14ac:dyDescent="0.2">
      <c r="A116" s="12">
        <v>115</v>
      </c>
      <c r="B116" s="12" t="s">
        <v>1849</v>
      </c>
      <c r="C116" s="12" t="s">
        <v>2494</v>
      </c>
    </row>
    <row r="117" spans="1:3" x14ac:dyDescent="0.2">
      <c r="A117" s="12">
        <v>116</v>
      </c>
      <c r="B117" s="12" t="s">
        <v>1856</v>
      </c>
      <c r="C117" s="12" t="s">
        <v>2495</v>
      </c>
    </row>
    <row r="118" spans="1:3" x14ac:dyDescent="0.2">
      <c r="A118" s="12">
        <v>117</v>
      </c>
      <c r="B118" s="12" t="s">
        <v>1864</v>
      </c>
      <c r="C118" s="12" t="s">
        <v>2496</v>
      </c>
    </row>
    <row r="119" spans="1:3" x14ac:dyDescent="0.2">
      <c r="A119" s="12">
        <v>118</v>
      </c>
      <c r="B119" s="12" t="s">
        <v>1871</v>
      </c>
      <c r="C119" s="12" t="s">
        <v>2497</v>
      </c>
    </row>
    <row r="120" spans="1:3" x14ac:dyDescent="0.2">
      <c r="A120" s="12">
        <v>119</v>
      </c>
      <c r="B120" s="12" t="s">
        <v>1878</v>
      </c>
      <c r="C120" s="12" t="s">
        <v>2498</v>
      </c>
    </row>
    <row r="121" spans="1:3" x14ac:dyDescent="0.2">
      <c r="A121" s="12">
        <v>120</v>
      </c>
      <c r="B121" s="12" t="s">
        <v>1885</v>
      </c>
      <c r="C121" s="12" t="s">
        <v>2499</v>
      </c>
    </row>
    <row r="122" spans="1:3" x14ac:dyDescent="0.2">
      <c r="A122" s="12">
        <v>121</v>
      </c>
      <c r="B122" s="12" t="s">
        <v>1898</v>
      </c>
      <c r="C122" s="12" t="s">
        <v>2500</v>
      </c>
    </row>
    <row r="123" spans="1:3" x14ac:dyDescent="0.2">
      <c r="A123" s="12">
        <v>122</v>
      </c>
      <c r="B123" s="12" t="s">
        <v>1912</v>
      </c>
      <c r="C123" s="12" t="s">
        <v>2501</v>
      </c>
    </row>
    <row r="124" spans="1:3" x14ac:dyDescent="0.2">
      <c r="A124" s="12">
        <v>123</v>
      </c>
      <c r="B124" s="12" t="s">
        <v>1920</v>
      </c>
      <c r="C124" s="12" t="s">
        <v>2502</v>
      </c>
    </row>
    <row r="125" spans="1:3" x14ac:dyDescent="0.2">
      <c r="A125" s="12">
        <v>124</v>
      </c>
      <c r="B125" s="12" t="s">
        <v>1934</v>
      </c>
      <c r="C125" s="12" t="s">
        <v>2503</v>
      </c>
    </row>
    <row r="126" spans="1:3" x14ac:dyDescent="0.2">
      <c r="A126" s="12">
        <v>125</v>
      </c>
      <c r="B126" s="12" t="s">
        <v>1941</v>
      </c>
      <c r="C126" s="12" t="s">
        <v>2504</v>
      </c>
    </row>
    <row r="127" spans="1:3" x14ac:dyDescent="0.2">
      <c r="A127" s="12">
        <v>126</v>
      </c>
      <c r="B127" s="12" t="s">
        <v>1955</v>
      </c>
      <c r="C127" s="12" t="s">
        <v>2505</v>
      </c>
    </row>
    <row r="128" spans="1:3" x14ac:dyDescent="0.2">
      <c r="A128" s="12">
        <v>127</v>
      </c>
      <c r="B128" s="12" t="s">
        <v>1963</v>
      </c>
      <c r="C128" s="12" t="s">
        <v>2506</v>
      </c>
    </row>
    <row r="129" spans="1:3" x14ac:dyDescent="0.2">
      <c r="A129" s="12">
        <v>128</v>
      </c>
      <c r="B129" s="12" t="s">
        <v>1977</v>
      </c>
      <c r="C129" s="12" t="s">
        <v>2507</v>
      </c>
    </row>
    <row r="130" spans="1:3" x14ac:dyDescent="0.2">
      <c r="A130" s="12">
        <v>129</v>
      </c>
      <c r="B130" s="12" t="s">
        <v>669</v>
      </c>
      <c r="C130" s="12" t="s">
        <v>2508</v>
      </c>
    </row>
    <row r="131" spans="1:3" x14ac:dyDescent="0.2">
      <c r="A131" s="12">
        <v>130</v>
      </c>
      <c r="B131" s="12" t="s">
        <v>676</v>
      </c>
      <c r="C131" s="12" t="s">
        <v>2509</v>
      </c>
    </row>
    <row r="132" spans="1:3" x14ac:dyDescent="0.2">
      <c r="A132" s="12">
        <v>131</v>
      </c>
      <c r="B132" s="12" t="s">
        <v>688</v>
      </c>
      <c r="C132" s="12" t="s">
        <v>2510</v>
      </c>
    </row>
    <row r="133" spans="1:3" x14ac:dyDescent="0.2">
      <c r="A133" s="12">
        <v>132</v>
      </c>
      <c r="B133" s="12" t="s">
        <v>695</v>
      </c>
      <c r="C133" s="12" t="s">
        <v>2511</v>
      </c>
    </row>
    <row r="134" spans="1:3" x14ac:dyDescent="0.2">
      <c r="A134" s="12">
        <v>133</v>
      </c>
      <c r="B134" s="12" t="s">
        <v>702</v>
      </c>
      <c r="C134" s="12" t="s">
        <v>2512</v>
      </c>
    </row>
    <row r="135" spans="1:3" x14ac:dyDescent="0.2">
      <c r="A135" s="12">
        <v>134</v>
      </c>
      <c r="B135" s="12" t="s">
        <v>709</v>
      </c>
      <c r="C135" s="12" t="s">
        <v>2513</v>
      </c>
    </row>
    <row r="136" spans="1:3" x14ac:dyDescent="0.2">
      <c r="A136" s="12">
        <v>135</v>
      </c>
      <c r="B136" s="12" t="s">
        <v>716</v>
      </c>
      <c r="C136" s="12" t="s">
        <v>2514</v>
      </c>
    </row>
    <row r="137" spans="1:3" x14ac:dyDescent="0.2">
      <c r="A137" s="12">
        <v>136</v>
      </c>
      <c r="B137" s="12" t="s">
        <v>722</v>
      </c>
      <c r="C137" s="12" t="s">
        <v>2515</v>
      </c>
    </row>
    <row r="138" spans="1:3" x14ac:dyDescent="0.2">
      <c r="A138" s="12">
        <v>137</v>
      </c>
      <c r="B138" s="12" t="s">
        <v>736</v>
      </c>
      <c r="C138" s="12" t="s">
        <v>2516</v>
      </c>
    </row>
    <row r="139" spans="1:3" x14ac:dyDescent="0.2">
      <c r="A139" s="12">
        <v>138</v>
      </c>
      <c r="B139" s="12" t="s">
        <v>743</v>
      </c>
      <c r="C139" s="12" t="s">
        <v>2517</v>
      </c>
    </row>
    <row r="140" spans="1:3" x14ac:dyDescent="0.2">
      <c r="A140" s="12">
        <v>139</v>
      </c>
      <c r="B140" s="12" t="s">
        <v>751</v>
      </c>
      <c r="C140" s="12" t="s">
        <v>2518</v>
      </c>
    </row>
    <row r="141" spans="1:3" x14ac:dyDescent="0.2">
      <c r="A141" s="12">
        <v>140</v>
      </c>
      <c r="B141" s="12" t="s">
        <v>758</v>
      </c>
      <c r="C141" s="12" t="s">
        <v>2519</v>
      </c>
    </row>
    <row r="142" spans="1:3" x14ac:dyDescent="0.2">
      <c r="A142" s="12">
        <v>141</v>
      </c>
      <c r="B142" s="12" t="s">
        <v>772</v>
      </c>
      <c r="C142" s="12" t="s">
        <v>2520</v>
      </c>
    </row>
    <row r="143" spans="1:3" x14ac:dyDescent="0.2">
      <c r="A143" s="12">
        <v>142</v>
      </c>
      <c r="B143" s="12" t="s">
        <v>779</v>
      </c>
      <c r="C143" s="12" t="s">
        <v>2521</v>
      </c>
    </row>
    <row r="144" spans="1:3" x14ac:dyDescent="0.2">
      <c r="A144" s="12">
        <v>143</v>
      </c>
      <c r="B144" s="12" t="s">
        <v>786</v>
      </c>
      <c r="C144" s="12" t="s">
        <v>2522</v>
      </c>
    </row>
    <row r="145" spans="1:3" x14ac:dyDescent="0.2">
      <c r="A145" s="12">
        <v>144</v>
      </c>
      <c r="B145" s="12" t="s">
        <v>800</v>
      </c>
      <c r="C145" s="12" t="s">
        <v>2523</v>
      </c>
    </row>
    <row r="146" spans="1:3" x14ac:dyDescent="0.2">
      <c r="A146" s="12">
        <v>145</v>
      </c>
      <c r="B146" s="12" t="s">
        <v>814</v>
      </c>
      <c r="C146" s="12" t="s">
        <v>2524</v>
      </c>
    </row>
    <row r="147" spans="1:3" x14ac:dyDescent="0.2">
      <c r="A147" s="12">
        <v>146</v>
      </c>
      <c r="B147" s="12" t="s">
        <v>829</v>
      </c>
      <c r="C147" s="12" t="s">
        <v>2525</v>
      </c>
    </row>
    <row r="148" spans="1:3" x14ac:dyDescent="0.2">
      <c r="A148" s="12">
        <v>147</v>
      </c>
      <c r="B148" s="12" t="s">
        <v>836</v>
      </c>
      <c r="C148" s="12" t="s">
        <v>2526</v>
      </c>
    </row>
    <row r="149" spans="1:3" x14ac:dyDescent="0.2">
      <c r="A149" s="12">
        <v>148</v>
      </c>
      <c r="B149" s="12" t="s">
        <v>850</v>
      </c>
      <c r="C149" s="12" t="s">
        <v>2527</v>
      </c>
    </row>
    <row r="150" spans="1:3" x14ac:dyDescent="0.2">
      <c r="A150" s="12">
        <v>149</v>
      </c>
      <c r="B150" s="12" t="s">
        <v>856</v>
      </c>
      <c r="C150" s="12" t="s">
        <v>2528</v>
      </c>
    </row>
    <row r="151" spans="1:3" x14ac:dyDescent="0.2">
      <c r="A151" s="12">
        <v>150</v>
      </c>
      <c r="B151" s="12" t="s">
        <v>871</v>
      </c>
      <c r="C151" s="12" t="s">
        <v>2529</v>
      </c>
    </row>
    <row r="152" spans="1:3" x14ac:dyDescent="0.2">
      <c r="A152" s="12">
        <v>151</v>
      </c>
      <c r="B152" s="12" t="s">
        <v>878</v>
      </c>
      <c r="C152" s="12" t="s">
        <v>2530</v>
      </c>
    </row>
    <row r="153" spans="1:3" x14ac:dyDescent="0.2">
      <c r="A153" s="12">
        <v>152</v>
      </c>
      <c r="B153" s="12" t="s">
        <v>885</v>
      </c>
      <c r="C153" s="12" t="s">
        <v>2531</v>
      </c>
    </row>
    <row r="154" spans="1:3" x14ac:dyDescent="0.2">
      <c r="A154" s="12">
        <v>153</v>
      </c>
      <c r="B154" s="12" t="s">
        <v>892</v>
      </c>
      <c r="C154" s="12" t="s">
        <v>2532</v>
      </c>
    </row>
    <row r="155" spans="1:3" x14ac:dyDescent="0.2">
      <c r="A155" s="12">
        <v>154</v>
      </c>
      <c r="B155" s="12" t="s">
        <v>900</v>
      </c>
      <c r="C155" s="12" t="s">
        <v>2533</v>
      </c>
    </row>
    <row r="156" spans="1:3" x14ac:dyDescent="0.2">
      <c r="A156" s="12">
        <v>155</v>
      </c>
      <c r="B156" s="12" t="s">
        <v>907</v>
      </c>
      <c r="C156" s="12" t="s">
        <v>2534</v>
      </c>
    </row>
    <row r="157" spans="1:3" x14ac:dyDescent="0.2">
      <c r="A157" s="12">
        <v>156</v>
      </c>
      <c r="B157" s="12" t="s">
        <v>914</v>
      </c>
      <c r="C157" s="12" t="s">
        <v>2535</v>
      </c>
    </row>
    <row r="158" spans="1:3" x14ac:dyDescent="0.2">
      <c r="A158" s="12">
        <v>157</v>
      </c>
      <c r="B158" s="12" t="s">
        <v>921</v>
      </c>
      <c r="C158" s="12" t="s">
        <v>2536</v>
      </c>
    </row>
    <row r="159" spans="1:3" x14ac:dyDescent="0.2">
      <c r="A159" s="12">
        <v>158</v>
      </c>
      <c r="B159" s="12" t="s">
        <v>928</v>
      </c>
      <c r="C159" s="12" t="s">
        <v>2537</v>
      </c>
    </row>
    <row r="160" spans="1:3" x14ac:dyDescent="0.2">
      <c r="A160" s="12">
        <v>159</v>
      </c>
      <c r="B160" s="12" t="s">
        <v>934</v>
      </c>
      <c r="C160" s="12" t="s">
        <v>2538</v>
      </c>
    </row>
    <row r="161" spans="1:3" x14ac:dyDescent="0.2">
      <c r="A161" s="12">
        <v>160</v>
      </c>
      <c r="B161" s="12" t="s">
        <v>956</v>
      </c>
      <c r="C161" s="12" t="s">
        <v>2539</v>
      </c>
    </row>
    <row r="162" spans="1:3" x14ac:dyDescent="0.2">
      <c r="A162" s="12">
        <v>161</v>
      </c>
      <c r="B162" s="12" t="s">
        <v>963</v>
      </c>
      <c r="C162" s="12" t="s">
        <v>2540</v>
      </c>
    </row>
    <row r="163" spans="1:3" x14ac:dyDescent="0.2">
      <c r="A163" s="12">
        <v>162</v>
      </c>
      <c r="B163" s="12" t="s">
        <v>970</v>
      </c>
      <c r="C163" s="12" t="s">
        <v>2541</v>
      </c>
    </row>
    <row r="164" spans="1:3" x14ac:dyDescent="0.2">
      <c r="A164" s="12">
        <v>163</v>
      </c>
      <c r="B164" s="12" t="s">
        <v>984</v>
      </c>
      <c r="C164" s="12" t="s">
        <v>2542</v>
      </c>
    </row>
    <row r="165" spans="1:3" x14ac:dyDescent="0.2">
      <c r="A165" s="12">
        <v>164</v>
      </c>
      <c r="B165" s="12" t="s">
        <v>991</v>
      </c>
      <c r="C165" s="12" t="s">
        <v>2543</v>
      </c>
    </row>
    <row r="166" spans="1:3" x14ac:dyDescent="0.2">
      <c r="A166" s="12">
        <v>165</v>
      </c>
      <c r="B166" s="12" t="s">
        <v>1005</v>
      </c>
      <c r="C166" s="12" t="s">
        <v>2544</v>
      </c>
    </row>
    <row r="167" spans="1:3" x14ac:dyDescent="0.2">
      <c r="A167" s="12">
        <v>166</v>
      </c>
      <c r="B167" s="12" t="s">
        <v>1012</v>
      </c>
      <c r="C167" s="12" t="s">
        <v>2545</v>
      </c>
    </row>
    <row r="168" spans="1:3" x14ac:dyDescent="0.2">
      <c r="A168" s="12">
        <v>167</v>
      </c>
      <c r="B168" s="12" t="s">
        <v>1028</v>
      </c>
      <c r="C168" s="12" t="s">
        <v>2546</v>
      </c>
    </row>
    <row r="169" spans="1:3" x14ac:dyDescent="0.2">
      <c r="A169" s="12">
        <v>168</v>
      </c>
      <c r="B169" s="12" t="s">
        <v>1042</v>
      </c>
      <c r="C169" s="12" t="s">
        <v>2547</v>
      </c>
    </row>
    <row r="170" spans="1:3" x14ac:dyDescent="0.2">
      <c r="A170" s="12">
        <v>169</v>
      </c>
      <c r="B170" s="12" t="s">
        <v>1050</v>
      </c>
      <c r="C170" s="12" t="s">
        <v>2548</v>
      </c>
    </row>
    <row r="171" spans="1:3" x14ac:dyDescent="0.2">
      <c r="A171" s="12">
        <v>170</v>
      </c>
      <c r="B171" s="12" t="s">
        <v>1065</v>
      </c>
      <c r="C171" s="12" t="s">
        <v>2549</v>
      </c>
    </row>
    <row r="172" spans="1:3" x14ac:dyDescent="0.2">
      <c r="A172" s="12">
        <v>171</v>
      </c>
      <c r="B172" s="12" t="s">
        <v>1072</v>
      </c>
      <c r="C172" s="12" t="s">
        <v>2550</v>
      </c>
    </row>
    <row r="173" spans="1:3" x14ac:dyDescent="0.2">
      <c r="A173" s="12">
        <v>172</v>
      </c>
      <c r="B173" s="12" t="s">
        <v>1079</v>
      </c>
      <c r="C173" s="12" t="s">
        <v>2551</v>
      </c>
    </row>
    <row r="174" spans="1:3" x14ac:dyDescent="0.2">
      <c r="A174" s="12">
        <v>173</v>
      </c>
      <c r="B174" s="12" t="s">
        <v>1086</v>
      </c>
      <c r="C174" s="12" t="s">
        <v>2552</v>
      </c>
    </row>
    <row r="175" spans="1:3" x14ac:dyDescent="0.2">
      <c r="A175" s="12">
        <v>174</v>
      </c>
      <c r="B175" s="12" t="s">
        <v>1093</v>
      </c>
      <c r="C175" s="12" t="s">
        <v>2553</v>
      </c>
    </row>
    <row r="176" spans="1:3" x14ac:dyDescent="0.2">
      <c r="A176" s="12">
        <v>175</v>
      </c>
      <c r="B176" s="12" t="s">
        <v>1108</v>
      </c>
      <c r="C176" s="12" t="s">
        <v>2554</v>
      </c>
    </row>
    <row r="177" spans="1:3" x14ac:dyDescent="0.2">
      <c r="A177" s="12">
        <v>176</v>
      </c>
      <c r="B177" s="12" t="s">
        <v>1115</v>
      </c>
      <c r="C177" s="12" t="s">
        <v>2555</v>
      </c>
    </row>
    <row r="178" spans="1:3" x14ac:dyDescent="0.2">
      <c r="A178" s="12">
        <v>177</v>
      </c>
      <c r="B178" s="12" t="s">
        <v>1122</v>
      </c>
      <c r="C178" s="12" t="s">
        <v>2556</v>
      </c>
    </row>
    <row r="179" spans="1:3" x14ac:dyDescent="0.2">
      <c r="A179" s="12">
        <v>178</v>
      </c>
      <c r="B179" s="12" t="s">
        <v>1129</v>
      </c>
      <c r="C179" s="12" t="s">
        <v>2557</v>
      </c>
    </row>
    <row r="180" spans="1:3" x14ac:dyDescent="0.2">
      <c r="A180" s="12">
        <v>179</v>
      </c>
      <c r="B180" s="12" t="s">
        <v>1144</v>
      </c>
      <c r="C180" s="12" t="s">
        <v>2558</v>
      </c>
    </row>
    <row r="181" spans="1:3" x14ac:dyDescent="0.2">
      <c r="A181" s="12">
        <v>180</v>
      </c>
      <c r="B181" s="12" t="s">
        <v>1151</v>
      </c>
      <c r="C181" s="12" t="s">
        <v>2559</v>
      </c>
    </row>
    <row r="182" spans="1:3" x14ac:dyDescent="0.2">
      <c r="A182" s="12">
        <v>181</v>
      </c>
      <c r="B182" s="12" t="s">
        <v>1159</v>
      </c>
      <c r="C182" s="12" t="s">
        <v>2560</v>
      </c>
    </row>
    <row r="183" spans="1:3" x14ac:dyDescent="0.2">
      <c r="A183" s="12">
        <v>182</v>
      </c>
      <c r="B183" s="12" t="s">
        <v>1174</v>
      </c>
      <c r="C183" s="12" t="s">
        <v>2561</v>
      </c>
    </row>
    <row r="184" spans="1:3" x14ac:dyDescent="0.2">
      <c r="A184" s="12">
        <v>183</v>
      </c>
      <c r="B184" s="12" t="s">
        <v>1188</v>
      </c>
      <c r="C184" s="12" t="s">
        <v>2562</v>
      </c>
    </row>
    <row r="185" spans="1:3" x14ac:dyDescent="0.2">
      <c r="A185" s="12">
        <v>184</v>
      </c>
      <c r="B185" s="12" t="s">
        <v>1202</v>
      </c>
      <c r="C185" s="12" t="s">
        <v>2563</v>
      </c>
    </row>
    <row r="186" spans="1:3" x14ac:dyDescent="0.2">
      <c r="A186" s="12">
        <v>185</v>
      </c>
      <c r="B186" s="12" t="s">
        <v>1209</v>
      </c>
      <c r="C186" s="12" t="s">
        <v>2564</v>
      </c>
    </row>
    <row r="187" spans="1:3" x14ac:dyDescent="0.2">
      <c r="A187" s="12">
        <v>186</v>
      </c>
      <c r="B187" s="12" t="s">
        <v>1216</v>
      </c>
      <c r="C187" s="12" t="s">
        <v>2565</v>
      </c>
    </row>
    <row r="188" spans="1:3" x14ac:dyDescent="0.2">
      <c r="A188" s="12">
        <v>187</v>
      </c>
      <c r="B188" s="12" t="s">
        <v>1230</v>
      </c>
      <c r="C188" s="12" t="s">
        <v>2566</v>
      </c>
    </row>
    <row r="189" spans="1:3" x14ac:dyDescent="0.2">
      <c r="A189" s="12">
        <v>188</v>
      </c>
      <c r="B189" s="12" t="s">
        <v>1237</v>
      </c>
      <c r="C189" s="12" t="s">
        <v>2567</v>
      </c>
    </row>
    <row r="190" spans="1:3" x14ac:dyDescent="0.2">
      <c r="A190" s="12">
        <v>189</v>
      </c>
      <c r="B190" s="12" t="s">
        <v>1257</v>
      </c>
      <c r="C190" s="12" t="s">
        <v>2568</v>
      </c>
    </row>
    <row r="191" spans="1:3" x14ac:dyDescent="0.2">
      <c r="A191" s="12">
        <v>190</v>
      </c>
      <c r="B191" s="12" t="s">
        <v>1264</v>
      </c>
      <c r="C191" s="12" t="s">
        <v>2569</v>
      </c>
    </row>
    <row r="192" spans="1:3" x14ac:dyDescent="0.2">
      <c r="A192" s="12">
        <v>191</v>
      </c>
      <c r="B192" s="12" t="s">
        <v>1271</v>
      </c>
      <c r="C192" s="12" t="s">
        <v>2570</v>
      </c>
    </row>
    <row r="193" spans="1:3" x14ac:dyDescent="0.2">
      <c r="A193" s="12">
        <v>192</v>
      </c>
      <c r="B193" s="12" t="s">
        <v>1278</v>
      </c>
      <c r="C193" s="12" t="s">
        <v>2571</v>
      </c>
    </row>
    <row r="194" spans="1:3" x14ac:dyDescent="0.2">
      <c r="A194" s="12">
        <v>193</v>
      </c>
      <c r="B194" s="12" t="s">
        <v>1286</v>
      </c>
      <c r="C194" s="12" t="s">
        <v>2572</v>
      </c>
    </row>
    <row r="195" spans="1:3" x14ac:dyDescent="0.2">
      <c r="A195" s="12">
        <v>194</v>
      </c>
      <c r="B195" s="12" t="s">
        <v>1292</v>
      </c>
      <c r="C195" s="12" t="s">
        <v>2573</v>
      </c>
    </row>
    <row r="196" spans="1:3" x14ac:dyDescent="0.2">
      <c r="A196" s="12">
        <v>195</v>
      </c>
      <c r="B196" s="12" t="s">
        <v>1299</v>
      </c>
      <c r="C196" s="12" t="s">
        <v>2574</v>
      </c>
    </row>
    <row r="197" spans="1:3" x14ac:dyDescent="0.2">
      <c r="A197" s="12">
        <v>196</v>
      </c>
      <c r="B197" s="12" t="s">
        <v>1306</v>
      </c>
      <c r="C197" s="12" t="s">
        <v>2575</v>
      </c>
    </row>
    <row r="198" spans="1:3" x14ac:dyDescent="0.2">
      <c r="A198" s="12">
        <v>197</v>
      </c>
      <c r="B198" s="12" t="s">
        <v>1320</v>
      </c>
      <c r="C198" s="12" t="s">
        <v>2576</v>
      </c>
    </row>
    <row r="199" spans="1:3" x14ac:dyDescent="0.2">
      <c r="A199" s="12">
        <v>198</v>
      </c>
      <c r="B199" s="12" t="s">
        <v>1327</v>
      </c>
      <c r="C199" s="12" t="s">
        <v>2577</v>
      </c>
    </row>
    <row r="200" spans="1:3" x14ac:dyDescent="0.2">
      <c r="A200" s="12">
        <v>199</v>
      </c>
      <c r="B200" s="12" t="s">
        <v>1341</v>
      </c>
      <c r="C200" s="12" t="s">
        <v>2578</v>
      </c>
    </row>
    <row r="201" spans="1:3" x14ac:dyDescent="0.2">
      <c r="A201" s="12">
        <v>200</v>
      </c>
      <c r="B201" s="12" t="s">
        <v>1348</v>
      </c>
      <c r="C201" s="12" t="s">
        <v>2579</v>
      </c>
    </row>
    <row r="202" spans="1:3" x14ac:dyDescent="0.2">
      <c r="A202" s="12">
        <v>201</v>
      </c>
      <c r="B202" s="12" t="s">
        <v>1364</v>
      </c>
      <c r="C202" s="12" t="s">
        <v>2580</v>
      </c>
    </row>
    <row r="203" spans="1:3" x14ac:dyDescent="0.2">
      <c r="A203" s="12">
        <v>202</v>
      </c>
      <c r="B203" s="12" t="s">
        <v>1393</v>
      </c>
      <c r="C203" s="12" t="s">
        <v>2581</v>
      </c>
    </row>
    <row r="204" spans="1:3" x14ac:dyDescent="0.2">
      <c r="A204" s="12">
        <v>203</v>
      </c>
      <c r="B204" s="12" t="s">
        <v>1401</v>
      </c>
      <c r="C204" s="12" t="s">
        <v>2582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Fresh</vt:lpstr>
      <vt:lpstr>working</vt:lpstr>
      <vt:lpstr>Sheet2</vt:lpstr>
      <vt:lpstr>policy</vt:lpstr>
      <vt:lpstr>Renewal</vt:lpstr>
      <vt:lpstr>wrking</vt:lpstr>
      <vt:lpstr>Sheet5</vt:lpstr>
      <vt:lpstr>plicy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STL User2</dc:creator>
  <cp:lastModifiedBy>IT User Software</cp:lastModifiedBy>
  <dcterms:created xsi:type="dcterms:W3CDTF">2025-03-20T05:33:59Z</dcterms:created>
  <dcterms:modified xsi:type="dcterms:W3CDTF">2025-03-27T04:00:48Z</dcterms:modified>
</cp:coreProperties>
</file>