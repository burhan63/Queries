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emium\Premium\Saqib Saleem\26-Mar-2025\"/>
    </mc:Choice>
  </mc:AlternateContent>
  <xr:revisionPtr revIDLastSave="0" documentId="8_{8090BA9B-506A-40D5-9ABE-5808CC35545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working" sheetId="2" r:id="rId2"/>
    <sheet name="Sheet3" sheetId="3" r:id="rId3"/>
    <sheet name="policy" sheetId="4" r:id="rId4"/>
  </sheets>
  <externalReferences>
    <externalReference r:id="rId5"/>
  </externalReferences>
  <definedNames>
    <definedName name="_xlnm._FilterDatabase" localSheetId="0" hidden="1">Sheet1!$A$1:$R$92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C9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2" i="2"/>
  <c r="F2" i="2"/>
  <c r="D2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1" i="3"/>
  <c r="H2" i="2" l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2" i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2" i="1"/>
  <c r="R2" i="1" s="1"/>
  <c r="R92" i="1" s="1"/>
  <c r="L92" i="1"/>
  <c r="Q92" i="1" l="1"/>
</calcChain>
</file>

<file path=xl/sharedStrings.xml><?xml version="1.0" encoding="utf-8"?>
<sst xmlns="http://schemas.openxmlformats.org/spreadsheetml/2006/main" count="1648" uniqueCount="733">
  <si>
    <t>Loan ID</t>
  </si>
  <si>
    <t>Hub Code</t>
  </si>
  <si>
    <t>Name of Lessee</t>
  </si>
  <si>
    <t>Vehicle Description</t>
  </si>
  <si>
    <t xml:space="preserve">Engine </t>
  </si>
  <si>
    <t xml:space="preserve">Chasis </t>
  </si>
  <si>
    <t xml:space="preserve">Registration </t>
  </si>
  <si>
    <t>Start Date</t>
  </si>
  <si>
    <t>Expiry Date</t>
  </si>
  <si>
    <t>TENURE</t>
  </si>
  <si>
    <t>SUM COVERED</t>
  </si>
  <si>
    <t>Bank Ins Premium</t>
  </si>
  <si>
    <t xml:space="preserve">Bank Premium Rate </t>
  </si>
  <si>
    <t>New Takaful Company</t>
  </si>
  <si>
    <t>CI-2021-0000-2853</t>
  </si>
  <si>
    <t>PK0010002</t>
  </si>
  <si>
    <t>Zohaib Shaikh</t>
  </si>
  <si>
    <t>Alto VXR</t>
  </si>
  <si>
    <t>R198370</t>
  </si>
  <si>
    <t>H1098363</t>
  </si>
  <si>
    <t>BVY-389</t>
  </si>
  <si>
    <t xml:space="preserve"> 12 MONTHS</t>
  </si>
  <si>
    <t>1.50</t>
  </si>
  <si>
    <t>SALAM TAKAFUL Insurance Ltd-WTO</t>
  </si>
  <si>
    <t>CI-2021-0143-1264</t>
  </si>
  <si>
    <t>AKHLAQ UR REHMAN</t>
  </si>
  <si>
    <t>Yaris 1.3 GLI MT</t>
  </si>
  <si>
    <t>2A46684</t>
  </si>
  <si>
    <t>R-7029280</t>
  </si>
  <si>
    <t>BVU-937</t>
  </si>
  <si>
    <t>CI-2021-0174-2064</t>
  </si>
  <si>
    <t>MUHAMMAD SAJJAD</t>
  </si>
  <si>
    <t>Alto VXL</t>
  </si>
  <si>
    <t>R205617</t>
  </si>
  <si>
    <t>H1105599</t>
  </si>
  <si>
    <t>BVV-239</t>
  </si>
  <si>
    <t>CI-2021-1602-2742</t>
  </si>
  <si>
    <t>MUNWAR ALI ALMANI</t>
  </si>
  <si>
    <t>R215640</t>
  </si>
  <si>
    <t>H1115626</t>
  </si>
  <si>
    <t>BVY-385</t>
  </si>
  <si>
    <t>CI-2021-9938-2647</t>
  </si>
  <si>
    <t>NABI BUX</t>
  </si>
  <si>
    <t>Cultus VXR</t>
  </si>
  <si>
    <t>193350</t>
  </si>
  <si>
    <t>10093336</t>
  </si>
  <si>
    <t>BVX-527</t>
  </si>
  <si>
    <t>CI-2021-9956-1079</t>
  </si>
  <si>
    <t>ANUM ALTAF HUSSAIN</t>
  </si>
  <si>
    <t>SUZUKI ALTO VXR CNG METALLIC</t>
  </si>
  <si>
    <t>R215993</t>
  </si>
  <si>
    <t>H1116006</t>
  </si>
  <si>
    <t>BVY-533</t>
  </si>
  <si>
    <t>CI-2022-0135-0001</t>
  </si>
  <si>
    <t>MUHAMMAD FAHAD</t>
  </si>
  <si>
    <t>Swift NAV MT</t>
  </si>
  <si>
    <t>S13038866</t>
  </si>
  <si>
    <t>K10038850</t>
  </si>
  <si>
    <t>-</t>
  </si>
  <si>
    <t>CI-2023-0156-0003</t>
  </si>
  <si>
    <t>ASHAR ASLAM</t>
  </si>
  <si>
    <t>Changan Karvaan Plus</t>
  </si>
  <si>
    <t>U501164</t>
  </si>
  <si>
    <t>N1017507</t>
  </si>
  <si>
    <t>SA-2081</t>
  </si>
  <si>
    <t>CI-2023-1038-0001</t>
  </si>
  <si>
    <t>MUNIR KHAN</t>
  </si>
  <si>
    <t>Civic 1.8 i VTEC CVT Oriel</t>
  </si>
  <si>
    <t>Z16919352</t>
  </si>
  <si>
    <t>R071483</t>
  </si>
  <si>
    <t>BTP-563</t>
  </si>
  <si>
    <t>CI-2023-1241-0003</t>
  </si>
  <si>
    <t>SYED ALI HUSSAIN SHAH</t>
  </si>
  <si>
    <t>6R292366</t>
  </si>
  <si>
    <t>NF1AET306H1192446</t>
  </si>
  <si>
    <t>CI-2023-2671-0003</t>
  </si>
  <si>
    <t>WAQAR AHMED</t>
  </si>
  <si>
    <t>6R292976</t>
  </si>
  <si>
    <t>NF1AET306H1193030</t>
  </si>
  <si>
    <t>CI-2023-7501-0001</t>
  </si>
  <si>
    <t>REHMAT ULLAH</t>
  </si>
  <si>
    <t>Corolla Altis Grande AT</t>
  </si>
  <si>
    <t>Q346782</t>
  </si>
  <si>
    <t>R7046014</t>
  </si>
  <si>
    <t>BSR-578</t>
  </si>
  <si>
    <t>CI-2023-9902-0003</t>
  </si>
  <si>
    <t>AMJAD ALI FARAZ</t>
  </si>
  <si>
    <t>Z12954733</t>
  </si>
  <si>
    <t>R058465</t>
  </si>
  <si>
    <t>BRK-585</t>
  </si>
  <si>
    <t>CI-2024-0116-0003</t>
  </si>
  <si>
    <t>MUHAMMAD ABU NOMAN KHAN</t>
  </si>
  <si>
    <t>City PT 1.3L</t>
  </si>
  <si>
    <t>L13Z17520305</t>
  </si>
  <si>
    <t>NFBGM1643JR236166</t>
  </si>
  <si>
    <t>BNN-813</t>
  </si>
  <si>
    <t>CI-2024-0131-0001</t>
  </si>
  <si>
    <t>MUDASSIR UMER</t>
  </si>
  <si>
    <t>2A17543</t>
  </si>
  <si>
    <t>NSP150R7010252</t>
  </si>
  <si>
    <t>BSX-085</t>
  </si>
  <si>
    <t>CI-2024-0163-0001</t>
  </si>
  <si>
    <t>SAHIRA AGHA</t>
  </si>
  <si>
    <t>City PT 1.2</t>
  </si>
  <si>
    <t>L12B51021250</t>
  </si>
  <si>
    <t>NFBGN8624RR036252</t>
  </si>
  <si>
    <t>CI-2024-0168-0002</t>
  </si>
  <si>
    <t>SALIM MALIK</t>
  </si>
  <si>
    <t>Cultus AGS</t>
  </si>
  <si>
    <t>PK10K182815</t>
  </si>
  <si>
    <t>NF1AVK31H10082811</t>
  </si>
  <si>
    <t>BVB-076</t>
  </si>
  <si>
    <t>CI-2024-1038-0002</t>
  </si>
  <si>
    <t>HASNAIN SHABBIR</t>
  </si>
  <si>
    <t>R18Z12917438</t>
  </si>
  <si>
    <t>NFBFC6665HRO20777</t>
  </si>
  <si>
    <t>BJY-655</t>
  </si>
  <si>
    <t>CI-2024-9911-0001</t>
  </si>
  <si>
    <t>MUHAMMAD SALEEM</t>
  </si>
  <si>
    <t>Picanto AT</t>
  </si>
  <si>
    <t>G3LAPP194647</t>
  </si>
  <si>
    <t>NNATA52AZRP713268</t>
  </si>
  <si>
    <t>CM-2018-3701-1442</t>
  </si>
  <si>
    <t>AMJAD ALI KHUHAWAR</t>
  </si>
  <si>
    <t>SUZUKI MEHRAN VXR</t>
  </si>
  <si>
    <t>755824</t>
  </si>
  <si>
    <t>1294346</t>
  </si>
  <si>
    <t>BPM-299</t>
  </si>
  <si>
    <t>3.3</t>
  </si>
  <si>
    <t>CM-2019-0001-0005</t>
  </si>
  <si>
    <t>SARFARAZ UDDIN</t>
  </si>
  <si>
    <t>TOYOTA COROLLA ALTIS GRANDE A.T.</t>
  </si>
  <si>
    <t>322851</t>
  </si>
  <si>
    <t>7021933</t>
  </si>
  <si>
    <t>BJU-586</t>
  </si>
  <si>
    <t>CM-2019-0001-0299</t>
  </si>
  <si>
    <t>MUHAMMAD HAMZA ALI</t>
  </si>
  <si>
    <t>SUZUKI BOLAN VX IM</t>
  </si>
  <si>
    <t>991836</t>
  </si>
  <si>
    <t>01108344</t>
  </si>
  <si>
    <t>CY-3954</t>
  </si>
  <si>
    <t>CI-2022-0703-0030</t>
  </si>
  <si>
    <t>PK0010007</t>
  </si>
  <si>
    <t>ABDULLAH .</t>
  </si>
  <si>
    <t>Toyota Corolla GLI AT</t>
  </si>
  <si>
    <t>Z573698</t>
  </si>
  <si>
    <t>NZE170R-4199502</t>
  </si>
  <si>
    <t>BAK-364</t>
  </si>
  <si>
    <t>CM-2021-0701-0229</t>
  </si>
  <si>
    <t>KHALID ZAMEER AFRIDI</t>
  </si>
  <si>
    <t>KIA SPORTAGE FWD</t>
  </si>
  <si>
    <t>G4NALH328477</t>
  </si>
  <si>
    <t>NNAQL51AZLP100549</t>
  </si>
  <si>
    <t>ASV-749</t>
  </si>
  <si>
    <t>2</t>
  </si>
  <si>
    <t>CI-2023-0337-0009</t>
  </si>
  <si>
    <t>PK0010010</t>
  </si>
  <si>
    <t>SYED MUSHAF ZAMAN KAZMI</t>
  </si>
  <si>
    <t>R18Z12947125</t>
  </si>
  <si>
    <t>NFBFC6669KR050551</t>
  </si>
  <si>
    <t>AMT-622</t>
  </si>
  <si>
    <t>CI-2021-0321-7081</t>
  </si>
  <si>
    <t>MUHAMMAD RIZWAN QASAM</t>
  </si>
  <si>
    <t>Yaris 1.5 ATIV X AT</t>
  </si>
  <si>
    <t>2A42512</t>
  </si>
  <si>
    <t>NSP151R-9515755</t>
  </si>
  <si>
    <t>AWZ-403</t>
  </si>
  <si>
    <t>CI-2024-0330-0001</t>
  </si>
  <si>
    <t>WAQAS AHMAD SUBHAN</t>
  </si>
  <si>
    <t>Changan Alsvin Lumiere 1.5L DCT</t>
  </si>
  <si>
    <t>JL473QFN3CAD517435</t>
  </si>
  <si>
    <t>NKMA2ASE5P1011321</t>
  </si>
  <si>
    <t>BDC-568</t>
  </si>
  <si>
    <t>CI-2023-0302-0016</t>
  </si>
  <si>
    <t>KHUSHDIL KHAN</t>
  </si>
  <si>
    <t>6R295294</t>
  </si>
  <si>
    <t>NF1AET306H1195208</t>
  </si>
  <si>
    <t>BDD-591</t>
  </si>
  <si>
    <t>CI-2022-3501-0030</t>
  </si>
  <si>
    <t>PK0010011</t>
  </si>
  <si>
    <t>MUHAMMAD ALI</t>
  </si>
  <si>
    <t>BOLAN VX</t>
  </si>
  <si>
    <t>PKT1027453</t>
  </si>
  <si>
    <t>SV308PK01143932</t>
  </si>
  <si>
    <t>ANF-829</t>
  </si>
  <si>
    <t>CI-2023-0503-0002</t>
  </si>
  <si>
    <t>SYED REHAN BUKHARI</t>
  </si>
  <si>
    <t>L12B51017599</t>
  </si>
  <si>
    <t>NFBGN8621PR030972</t>
  </si>
  <si>
    <t>BBT-840</t>
  </si>
  <si>
    <t>CI-2023-2646-0002</t>
  </si>
  <si>
    <t>MUHAMMAD ASIF</t>
  </si>
  <si>
    <t>L12B51017639</t>
  </si>
  <si>
    <t>NFBGN8622PR031015</t>
  </si>
  <si>
    <t>ANL-849</t>
  </si>
  <si>
    <t>CI-2023-9813-0007</t>
  </si>
  <si>
    <t>GHULAM DASTGEER</t>
  </si>
  <si>
    <t>6R291434</t>
  </si>
  <si>
    <t>NF1AET306H1191524</t>
  </si>
  <si>
    <t/>
  </si>
  <si>
    <t>CI-2024-1270-0002</t>
  </si>
  <si>
    <t>MUHAMMAD WAQAS</t>
  </si>
  <si>
    <t>6R147074</t>
  </si>
  <si>
    <t>NF1AET306H1047056</t>
  </si>
  <si>
    <t>CI-2024-9501-0001</t>
  </si>
  <si>
    <t>MUHAMMAD NAEEM</t>
  </si>
  <si>
    <t>City CVT 1.2L, CVT Transmission</t>
  </si>
  <si>
    <t>L12B51021424</t>
  </si>
  <si>
    <t>NFBGN8620RR036569</t>
  </si>
  <si>
    <t>CM-2021-0011-1080</t>
  </si>
  <si>
    <t>SADIA SALEEM</t>
  </si>
  <si>
    <t>KIA PICANTO 1.0 M/T</t>
  </si>
  <si>
    <t>G3LAMP193574</t>
  </si>
  <si>
    <t>NNATA52AXKP503268</t>
  </si>
  <si>
    <t>AHJ-838</t>
  </si>
  <si>
    <t>CM-2021-0011-1704</t>
  </si>
  <si>
    <t>HUSNAIN YOUSAF</t>
  </si>
  <si>
    <t>SUZUKI WAGAN R VXL</t>
  </si>
  <si>
    <t>PK10B229082</t>
  </si>
  <si>
    <t>A1J310PK10129072</t>
  </si>
  <si>
    <t>CM-2021-0508-1534</t>
  </si>
  <si>
    <t>ANEEL MANZOOR</t>
  </si>
  <si>
    <t>HYUNDAI ELANTRA SEDAN</t>
  </si>
  <si>
    <t>G4NAMU962475</t>
  </si>
  <si>
    <t>PMHD841FMNN302537</t>
  </si>
  <si>
    <t>CM-2022-2104-0153</t>
  </si>
  <si>
    <t>MUHAMMAD AMIR</t>
  </si>
  <si>
    <t>HONDA CITY 1.2 A/T</t>
  </si>
  <si>
    <t>L12B51006663</t>
  </si>
  <si>
    <t>NFBGN8623NR010641</t>
  </si>
  <si>
    <t>AHP-818</t>
  </si>
  <si>
    <t>CI-2022-5001-0013</t>
  </si>
  <si>
    <t>PK0010014</t>
  </si>
  <si>
    <t>HAJI MEHBOOB ELAHI</t>
  </si>
  <si>
    <t>City MT 1.5L</t>
  </si>
  <si>
    <t>L15Z81000141</t>
  </si>
  <si>
    <t>NFBGN956XMR000441</t>
  </si>
  <si>
    <t>AFE-015</t>
  </si>
  <si>
    <t>CI-2023-2201-0007</t>
  </si>
  <si>
    <t>ABDUL MAJID</t>
  </si>
  <si>
    <t>L12B51017477</t>
  </si>
  <si>
    <t>NFBGN8621PR030888</t>
  </si>
  <si>
    <t>BBS-204</t>
  </si>
  <si>
    <t>CI-2024-2203-0001</t>
  </si>
  <si>
    <t>HAFIZ SHAKIR MAHMOOD</t>
  </si>
  <si>
    <t>City PT Aspire 1.5L</t>
  </si>
  <si>
    <t>L15Z81015097</t>
  </si>
  <si>
    <t>NFBGN9667RR036335</t>
  </si>
  <si>
    <t>AQV-343</t>
  </si>
  <si>
    <t>CM-2020-0014-0010</t>
  </si>
  <si>
    <t>MUHAMMAD ASGHAR</t>
  </si>
  <si>
    <t>SUZUKI WAGON R VXL</t>
  </si>
  <si>
    <t>PK10B210243</t>
  </si>
  <si>
    <t>A1J310PK10110198</t>
  </si>
  <si>
    <t>ASU-156</t>
  </si>
  <si>
    <t>CM-2021-1294-0469</t>
  </si>
  <si>
    <t>MUJAHID IQBAL</t>
  </si>
  <si>
    <t>CULTUS VXR A/C</t>
  </si>
  <si>
    <t>PK10K192511</t>
  </si>
  <si>
    <t>NF1AVK31H10092501</t>
  </si>
  <si>
    <t>AHQ-390</t>
  </si>
  <si>
    <t>CM-2021-2201-0379</t>
  </si>
  <si>
    <t>ASAD KHAN</t>
  </si>
  <si>
    <t>SUZUKI ALTO VXL AGS</t>
  </si>
  <si>
    <t>6R210617</t>
  </si>
  <si>
    <t>NF1AET306H1110673</t>
  </si>
  <si>
    <t>AHJ-710</t>
  </si>
  <si>
    <t>CM-2021-4701-0457</t>
  </si>
  <si>
    <t>KHAWAJA ABDUL REHMAN</t>
  </si>
  <si>
    <t>6R212194</t>
  </si>
  <si>
    <t>NF1AET306H1112138</t>
  </si>
  <si>
    <t>AHT-167</t>
  </si>
  <si>
    <t>CM-2021-7401-0028</t>
  </si>
  <si>
    <t>MUHAMMAD SAFDAR</t>
  </si>
  <si>
    <t>TOYOTA COROLLA ALTIS 1.6 AT</t>
  </si>
  <si>
    <t>Q089453</t>
  </si>
  <si>
    <t>ZRE171R-6067319</t>
  </si>
  <si>
    <t>AXD-653</t>
  </si>
  <si>
    <t>CM-2021-9812-0024</t>
  </si>
  <si>
    <t>MUHAMMAD HASSAN</t>
  </si>
  <si>
    <t>SUZUKI CULTUS</t>
  </si>
  <si>
    <t>PK10K192951</t>
  </si>
  <si>
    <t>NF1AVK31H10092943</t>
  </si>
  <si>
    <t>AHM-925</t>
  </si>
  <si>
    <t>CM-2021-9812-0493</t>
  </si>
  <si>
    <t>MUHAMAMD RAMZAN</t>
  </si>
  <si>
    <t>SUZUKI ALTO VXR</t>
  </si>
  <si>
    <t>6R210521</t>
  </si>
  <si>
    <t>NF1AET306H1110487</t>
  </si>
  <si>
    <t>AHH-708</t>
  </si>
  <si>
    <t>CM-2021-9838-0399</t>
  </si>
  <si>
    <t>MUHAMMAD RAFIQUE</t>
  </si>
  <si>
    <t>6R209836</t>
  </si>
  <si>
    <t>NF1AET306H1109708</t>
  </si>
  <si>
    <t>AHE-628</t>
  </si>
  <si>
    <t>CM-2021-9838-0436</t>
  </si>
  <si>
    <t>MUHAMMAD FAISAL</t>
  </si>
  <si>
    <t>ALTO VX STD</t>
  </si>
  <si>
    <t>6R212647</t>
  </si>
  <si>
    <t>NF1AET306H1112520</t>
  </si>
  <si>
    <t>AHM-883</t>
  </si>
  <si>
    <t>CI-2021-9868-6928</t>
  </si>
  <si>
    <t>PK0010015</t>
  </si>
  <si>
    <t>MUHAMMAD AMJAD</t>
  </si>
  <si>
    <t>R18Z16930982</t>
  </si>
  <si>
    <t>NFBFC6660NR083555</t>
  </si>
  <si>
    <t>AXH-819 (ICT)</t>
  </si>
  <si>
    <t>CI-2022-0681-0002</t>
  </si>
  <si>
    <t>ATIF UL ZAMAN</t>
  </si>
  <si>
    <t>G3LANP131395</t>
  </si>
  <si>
    <t>NNATA52AZKP708523</t>
  </si>
  <si>
    <t>AHE-983 (PUNJAB)</t>
  </si>
  <si>
    <t>CI-2022-2670-0002</t>
  </si>
  <si>
    <t>Muhammad Rafique Shad</t>
  </si>
  <si>
    <t>PKT1027306</t>
  </si>
  <si>
    <t>SV308PK01143820</t>
  </si>
  <si>
    <t>ANG-637 (PUNJAB)</t>
  </si>
  <si>
    <t>CI-2022-4001-0005</t>
  </si>
  <si>
    <t>AMMAR MASOOD</t>
  </si>
  <si>
    <t>Oshan X7 Future Sense</t>
  </si>
  <si>
    <t>JL473ZQ7NN8AH371537</t>
  </si>
  <si>
    <t>NKMASE2E6P1002837</t>
  </si>
  <si>
    <t>BBT-194 (ICT)</t>
  </si>
  <si>
    <t>CI-2023-0908-0007</t>
  </si>
  <si>
    <t>NAVEED AHMAD MUGHAL</t>
  </si>
  <si>
    <t>MG HS</t>
  </si>
  <si>
    <t>15E4E5MGM5190120</t>
  </si>
  <si>
    <t>NFPA24U96NP000348</t>
  </si>
  <si>
    <t>BBH-143 (ICT)</t>
  </si>
  <si>
    <t>CI-2024-0902-0003</t>
  </si>
  <si>
    <t>WAQAR SARWAR</t>
  </si>
  <si>
    <t>6R292009</t>
  </si>
  <si>
    <t>NF1AET306H1192152</t>
  </si>
  <si>
    <t>AQT-154</t>
  </si>
  <si>
    <t>CI-2024-0914-0001</t>
  </si>
  <si>
    <t>HAMMAD RAZA</t>
  </si>
  <si>
    <t>Swift GLX CVT</t>
  </si>
  <si>
    <t>K12MR1018439</t>
  </si>
  <si>
    <t>NF1SZC63S00201086</t>
  </si>
  <si>
    <t>AQW-567 (PUNJAB)</t>
  </si>
  <si>
    <t>CM-2020-9875-0065</t>
  </si>
  <si>
    <t>FAKHRA ADEEBA</t>
  </si>
  <si>
    <t>HONDA CIVIC I VTEC ORIEL 1.8</t>
  </si>
  <si>
    <t>R18Z12956323</t>
  </si>
  <si>
    <t>NFBFC6669LR060224</t>
  </si>
  <si>
    <t>AQF-931</t>
  </si>
  <si>
    <t>CM-2020-9885-0100</t>
  </si>
  <si>
    <t>HUMAYOUN</t>
  </si>
  <si>
    <t>WAGON R VXL</t>
  </si>
  <si>
    <t>PK10B201890</t>
  </si>
  <si>
    <t>A1J310PK10101861</t>
  </si>
  <si>
    <t>LEA-20-3220</t>
  </si>
  <si>
    <t>CM-2021-7301-0215</t>
  </si>
  <si>
    <t>MUHAMMAD NASIR</t>
  </si>
  <si>
    <t>PK10B162267</t>
  </si>
  <si>
    <t>A1J310PK10062257</t>
  </si>
  <si>
    <t>AJT-597</t>
  </si>
  <si>
    <t>CI-2023-0881-0005</t>
  </si>
  <si>
    <t>PK0010016</t>
  </si>
  <si>
    <t>SOHAIL AKRAM</t>
  </si>
  <si>
    <t>Alto VX</t>
  </si>
  <si>
    <t>6R295374</t>
  </si>
  <si>
    <t>NF1AET306H1195403</t>
  </si>
  <si>
    <t>BDC-831</t>
  </si>
  <si>
    <t>CI-2024-0808-0001</t>
  </si>
  <si>
    <t>HAZRAT WAHAB</t>
  </si>
  <si>
    <t>GLI MT</t>
  </si>
  <si>
    <t>Z514774</t>
  </si>
  <si>
    <t>NZE170R-4141266</t>
  </si>
  <si>
    <t>AJF-79</t>
  </si>
  <si>
    <t>CM-2021-0808-0417</t>
  </si>
  <si>
    <t>EJAZ KHAN</t>
  </si>
  <si>
    <t>ALTO VXR</t>
  </si>
  <si>
    <t>6R152663</t>
  </si>
  <si>
    <t>NF1AET306H1052725</t>
  </si>
  <si>
    <t>ASV-573</t>
  </si>
  <si>
    <t>CI-2023-1201-0004</t>
  </si>
  <si>
    <t>PK0010017</t>
  </si>
  <si>
    <t>MAJID HUSSAIN</t>
  </si>
  <si>
    <t>L12B51017411</t>
  </si>
  <si>
    <t>NFBGN8627PR031012</t>
  </si>
  <si>
    <t>ANJ-425</t>
  </si>
  <si>
    <t>CI-2023-1288-0001</t>
  </si>
  <si>
    <t>ZUBAIR AHMAD ABBASI</t>
  </si>
  <si>
    <t>6R162867</t>
  </si>
  <si>
    <t>NF1AET306H1062913</t>
  </si>
  <si>
    <t>ALC-176</t>
  </si>
  <si>
    <t>CM-2019-1202-0083</t>
  </si>
  <si>
    <t>MUHAMMAD ABBAS</t>
  </si>
  <si>
    <t>SUZUKI WAGONR VXL</t>
  </si>
  <si>
    <t>PK10B186418</t>
  </si>
  <si>
    <t>A1J310PK10086336</t>
  </si>
  <si>
    <t>BPV-661</t>
  </si>
  <si>
    <t>CM-2020-1201-0036</t>
  </si>
  <si>
    <t>TABINDA ALI</t>
  </si>
  <si>
    <t>TOYOTA COROLLA GLI M/T</t>
  </si>
  <si>
    <t>Z576816</t>
  </si>
  <si>
    <t>NZE170R-4204307</t>
  </si>
  <si>
    <t>BRR-354</t>
  </si>
  <si>
    <t>CI-2022-0209-0009</t>
  </si>
  <si>
    <t>PK0010299</t>
  </si>
  <si>
    <t>BILAL BIN ILYAS</t>
  </si>
  <si>
    <t>6R267544</t>
  </si>
  <si>
    <t>NF1AET306H1167563</t>
  </si>
  <si>
    <t>AMX-215</t>
  </si>
  <si>
    <t>CI-2023-1161-0007</t>
  </si>
  <si>
    <t>USMAN .</t>
  </si>
  <si>
    <t>JL473QFM3CAD522159</t>
  </si>
  <si>
    <t>NKMA2ASE5M1004341</t>
  </si>
  <si>
    <t>AGJ 864</t>
  </si>
  <si>
    <t>CM-2021-1153-1101</t>
  </si>
  <si>
    <t>MUHAMMAD WAQAR HAIDER</t>
  </si>
  <si>
    <t>Q087226</t>
  </si>
  <si>
    <t>ZRE171R-6064680</t>
  </si>
  <si>
    <t>1.5</t>
  </si>
  <si>
    <t>CI-2023-0273-0001</t>
  </si>
  <si>
    <t>RAFAY AHMAD ALVI</t>
  </si>
  <si>
    <t>Yaris 1.3ATIV MT</t>
  </si>
  <si>
    <t>2A43583</t>
  </si>
  <si>
    <t>NSP150R-7027317</t>
  </si>
  <si>
    <t>AKG-301</t>
  </si>
  <si>
    <t>CI-2024-1145-0001</t>
  </si>
  <si>
    <t>MUHAMMAD AHMAD</t>
  </si>
  <si>
    <t>Wagon R VXL</t>
  </si>
  <si>
    <t>PK10B225047</t>
  </si>
  <si>
    <t>A1J310PK10125067</t>
  </si>
  <si>
    <t>AGH 201</t>
  </si>
  <si>
    <t>CI-2024-0000-0007</t>
  </si>
  <si>
    <t>SYED AWAIS MEHDI ZAIDI</t>
  </si>
  <si>
    <t>Elantra 1.6</t>
  </si>
  <si>
    <t>G4FGPU105203</t>
  </si>
  <si>
    <t>PMHD841CMPN307404</t>
  </si>
  <si>
    <t>AQT 933</t>
  </si>
  <si>
    <t>CI-2023-0232-0012</t>
  </si>
  <si>
    <t>PK0010300</t>
  </si>
  <si>
    <t>MUHAMMAD SHAFIQUE</t>
  </si>
  <si>
    <t>Alto VXL AGS</t>
  </si>
  <si>
    <t>6R290584</t>
  </si>
  <si>
    <t>NF1AET306H1190790</t>
  </si>
  <si>
    <t>AQQ 741</t>
  </si>
  <si>
    <t>CI-2023-0261-0002</t>
  </si>
  <si>
    <t>Alto VXR AGS</t>
  </si>
  <si>
    <t>6R289545</t>
  </si>
  <si>
    <t>NF1AET306H1189536</t>
  </si>
  <si>
    <t>AQQ 504</t>
  </si>
  <si>
    <t>CI-2023-0282-0009</t>
  </si>
  <si>
    <t>BILAWAL NAWAZ</t>
  </si>
  <si>
    <t>6R295023</t>
  </si>
  <si>
    <t>NF1AET306H1195073</t>
  </si>
  <si>
    <t>AQT 580</t>
  </si>
  <si>
    <t>CI-2022-0210-0025</t>
  </si>
  <si>
    <t>MOEEN FAYYAZ</t>
  </si>
  <si>
    <t>L15Z81012451</t>
  </si>
  <si>
    <t>NFBGN9665NR028891</t>
  </si>
  <si>
    <t>ANH-394</t>
  </si>
  <si>
    <t>CM-2021-0211-0985</t>
  </si>
  <si>
    <t>SHAHID HUSSAIN</t>
  </si>
  <si>
    <t>6R209443</t>
  </si>
  <si>
    <t>NF1AET306H1109616</t>
  </si>
  <si>
    <t>AHG-659</t>
  </si>
  <si>
    <t>CI-2023-0202-0001</t>
  </si>
  <si>
    <t>NABEEL .</t>
  </si>
  <si>
    <t>Tucson FWD AT GLS Sport</t>
  </si>
  <si>
    <t>G4NANU264046</t>
  </si>
  <si>
    <t>PMHJ2813MPN212041</t>
  </si>
  <si>
    <t>ANY-474</t>
  </si>
  <si>
    <t>CI-2024-0215-0001</t>
  </si>
  <si>
    <t>MUHAMMAD AHMED KHAN</t>
  </si>
  <si>
    <t>R18Z12906219</t>
  </si>
  <si>
    <t>NFBFC6669GR008808</t>
  </si>
  <si>
    <t>LE-17-2771</t>
  </si>
  <si>
    <t>CI-2022-0000-1486</t>
  </si>
  <si>
    <t>PK0010499</t>
  </si>
  <si>
    <t>MUHAMMAD AWAIS</t>
  </si>
  <si>
    <t>City 1.5LS CVT</t>
  </si>
  <si>
    <t>L15Z81013367</t>
  </si>
  <si>
    <t>NFBGN9645PR030352</t>
  </si>
  <si>
    <t>BBH-736-ICT</t>
  </si>
  <si>
    <t>CI-2022-0432-0002</t>
  </si>
  <si>
    <t>FAHAD WAHEED</t>
  </si>
  <si>
    <t>2A43360</t>
  </si>
  <si>
    <t>NSP151R-9516116</t>
  </si>
  <si>
    <t>AXC-559-ICT</t>
  </si>
  <si>
    <t>CI-2023-0415-0010</t>
  </si>
  <si>
    <t>FAHEEM GHAFFAR</t>
  </si>
  <si>
    <t>PK10B245401</t>
  </si>
  <si>
    <t>A1J310PK10145402</t>
  </si>
  <si>
    <t>AQV-501-PUNJAB</t>
  </si>
  <si>
    <t>CI-2023-0420-0001</t>
  </si>
  <si>
    <t>MUHAMMAD AKRAM NASIR</t>
  </si>
  <si>
    <t>HR-V VTI -S</t>
  </si>
  <si>
    <t>L15ZG1000772</t>
  </si>
  <si>
    <t>NFBRV3857NR000777</t>
  </si>
  <si>
    <t>ANJ-397-PUNJAB</t>
  </si>
  <si>
    <t>CI-2024-0420-0001</t>
  </si>
  <si>
    <t>ALI HUSSAIN</t>
  </si>
  <si>
    <t>JL473QFN3CAD506160</t>
  </si>
  <si>
    <t>NKMA2ASER5R1011450</t>
  </si>
  <si>
    <t>AQX-242-Punjab</t>
  </si>
  <si>
    <t>CI-2024-2647-0004</t>
  </si>
  <si>
    <t>Muhammad Abid</t>
  </si>
  <si>
    <t>Corolla Altis 1.6 AT</t>
  </si>
  <si>
    <t>Q106823</t>
  </si>
  <si>
    <t>ZRE171R-6084309</t>
  </si>
  <si>
    <t>BDB-105-ICT</t>
  </si>
  <si>
    <t>CM-2020-0402-0428</t>
  </si>
  <si>
    <t>MUHAMMAD SHAFIQ KASHIF</t>
  </si>
  <si>
    <t>SUZUKI ALTO VXL</t>
  </si>
  <si>
    <t>6R122847</t>
  </si>
  <si>
    <t>NF1AET306H1022766</t>
  </si>
  <si>
    <t>AQC-293</t>
  </si>
  <si>
    <t>CM-2020-0405-0160</t>
  </si>
  <si>
    <t>HASSAN MUHAMMAD RANA</t>
  </si>
  <si>
    <t>TOYOTA COROLLA GLI A/T</t>
  </si>
  <si>
    <t>Z529558</t>
  </si>
  <si>
    <t>NZE170R-4155615</t>
  </si>
  <si>
    <t>AJV-872</t>
  </si>
  <si>
    <t xml:space="preserve"> 7 MONTHS</t>
  </si>
  <si>
    <t>CM-2021-9858-0185</t>
  </si>
  <si>
    <t>M AZMAT ULLAH</t>
  </si>
  <si>
    <t>TOYOTA COROLLA ALTIS A/T 1.6</t>
  </si>
  <si>
    <t>Q072188</t>
  </si>
  <si>
    <t>ZRE171R-6049677</t>
  </si>
  <si>
    <t>ASX-710-ICT</t>
  </si>
  <si>
    <t>CM-2021-9867-0231</t>
  </si>
  <si>
    <t>MUHAMMAD KHALID</t>
  </si>
  <si>
    <t>Suzuki Cultus VXR</t>
  </si>
  <si>
    <t>PK10K193465</t>
  </si>
  <si>
    <t>NF1AVK31H10093447</t>
  </si>
  <si>
    <t>APL</t>
  </si>
  <si>
    <t xml:space="preserve">Policy No. </t>
  </si>
  <si>
    <t>TMS Premium</t>
  </si>
  <si>
    <t>Difference Amount</t>
  </si>
  <si>
    <t xml:space="preserve">Endorsement No. </t>
  </si>
  <si>
    <t>KHI/HO/D/MO/PC COMP/E/58973/00003/03/2025</t>
  </si>
  <si>
    <t>KHI/HO/D/MO/PC COMP/E/58974/00002/03/2025</t>
  </si>
  <si>
    <t>Tagging</t>
  </si>
  <si>
    <t>KHI/HO/D/MO/PC COMP/C/107535/7/02/2025</t>
  </si>
  <si>
    <t>KHI/HO/D/MO/PC COMP/C/107437/1/02/2025</t>
  </si>
  <si>
    <t>KHI/HO/D/MO/PC COMP/C/107437/2/02/2025</t>
  </si>
  <si>
    <t>KHI/HO/D/MO/PC COMP/C/107535/6/02/2025</t>
  </si>
  <si>
    <t>KHI/HO/D/MO/PC COMP/C/107437/3/02/2025</t>
  </si>
  <si>
    <t>KHI/HO/D/MO/PC COMP/C/107535/4/02/2025</t>
  </si>
  <si>
    <t>KHI/HO/D/MO/PC COMP/C/107437/4/02/2025</t>
  </si>
  <si>
    <t>KHI/HO/D/MO/PC COMP/C/107533/3/02/2025</t>
  </si>
  <si>
    <t>KHI/HO/D/MO/PC COMP/C/107533/1/02/2025</t>
  </si>
  <si>
    <t>KHI/HO/D/MO/PC COMP/C/107127/2/02/2025</t>
  </si>
  <si>
    <t>KHI/HO/D/MO/PC COMP/C/107127/1/02/2025</t>
  </si>
  <si>
    <t>KHI/HO/D/MO/PC COMP/C/107533/2/02/2025</t>
  </si>
  <si>
    <t>KHI/HO/D/MO/PC COMP/C/107535/8/02/2025</t>
  </si>
  <si>
    <t>KHI/HO/D/MO/PC COMP/C/107127/4/02/2025</t>
  </si>
  <si>
    <t>KHI/HO/D/MO/PC COMP/C/107127/3/02/2025</t>
  </si>
  <si>
    <t>KHI/HO/D/MO/PC COMP/C/107127/6/02/2025</t>
  </si>
  <si>
    <t>KHI/HO/D/MO/PC COMP/C/107127/5/02/2025</t>
  </si>
  <si>
    <t>KHI/HO/D/MO/PC COMP/C/107127/8/02/2025</t>
  </si>
  <si>
    <t>KHI/HO/D/MO/PC COMP/C/107127/7/02/2025</t>
  </si>
  <si>
    <t>KHI/HO/D/MO/PC COMP/C/107535/1/02/2025</t>
  </si>
  <si>
    <t>KHI/HO/D/MO/PC COMP/C/107535/2/02/2025</t>
  </si>
  <si>
    <t>KHI/HO/D/MO/PC COMP/C/107535/3/02/2025</t>
  </si>
  <si>
    <t>KHI/HO/D/MO/PC COMP/C/107561/1/02/2025</t>
  </si>
  <si>
    <t>KHI/HO/D/MO/PC COMP/C/107559/1/02/2025</t>
  </si>
  <si>
    <t>KHI/HO/D/MO/PC COMP/C/107461/1/02/2025</t>
  </si>
  <si>
    <t>KHI/HO/D/MO/PC COMP/C/107459/1/02/2025</t>
  </si>
  <si>
    <t>KHI/HO/D/MO/PC COMP/C/107464/1/02/2025</t>
  </si>
  <si>
    <t>KHI/HO/D/MO/PC COMP/C/107464/2/02/2025</t>
  </si>
  <si>
    <t>KHI/HO/D/MO/PC COMP/C/107550/1/02/2025</t>
  </si>
  <si>
    <t>KHI/HO/D/MO/PC COMP/C/107550/3/02/2025</t>
  </si>
  <si>
    <t>KHI/HO/D/MO/PC COMP/C/107550/5/02/2025</t>
  </si>
  <si>
    <t>KHI/HO/D/MO/PC COMP/C/107541/2/02/2025</t>
  </si>
  <si>
    <t>KHI/HO/D/MO/PC COMP/C/107541/3/02/2025</t>
  </si>
  <si>
    <t>KHI/HO/D/MO/PC COMP/C/107541/1/02/2025</t>
  </si>
  <si>
    <t>KHI/HO/D/MO/PC COMP/C/107554/1/02/2025</t>
  </si>
  <si>
    <t>KHI/HO/D/MO/PC COMP/C/107554/2/02/2025</t>
  </si>
  <si>
    <t>KHI/HO/D/MO/PC COMP/C/107554/3/02/2025</t>
  </si>
  <si>
    <t>KHI/HO/D/MO/PC COMP/C/107554/4/02/2025</t>
  </si>
  <si>
    <t>KHI/HO/D/MO/PC COMP/C/107470/1/02/2025</t>
  </si>
  <si>
    <t>KHI/HO/D/MO/PC COMP/C/107470/2/02/2025</t>
  </si>
  <si>
    <t>KHI/HO/D/MO/PC COMP/C/107473/1/02/2025</t>
  </si>
  <si>
    <t>KHI/HO/D/MO/PC COMP/C/107472/1/02/2025</t>
  </si>
  <si>
    <t>KHI/HO/D/MO/PC COMP/C/107468/8/02/2025</t>
  </si>
  <si>
    <t>KHI/HO/D/MO/PC COMP/C/107468/4/02/2025</t>
  </si>
  <si>
    <t>KHI/HO/D/MO/PC COMP/C/107468/5/02/2025</t>
  </si>
  <si>
    <t>KHI/HO/D/MO/PC COMP/C/107468/3/02/2025</t>
  </si>
  <si>
    <t>KHI/HO/D/MO/PC COMP/C/107468/7/02/2025</t>
  </si>
  <si>
    <t>KHI/HO/D/MO/PC COMP/C/107468/2/02/2025</t>
  </si>
  <si>
    <t>KHI/HO/D/MO/PC COMP/C/107468/1/02/2025</t>
  </si>
  <si>
    <t>KHI/HO/D/MO/PC COMP/C/107468/6/02/2025</t>
  </si>
  <si>
    <t>KHI/HO/D/MO/PC COMP/C/107556/2/02/2025</t>
  </si>
  <si>
    <t>KHI/HO/D/MO/PC COMP/C/107556/1/02/2025</t>
  </si>
  <si>
    <t>KHI/HO/D/MO/PC COMP/C/107557/2/02/2025</t>
  </si>
  <si>
    <t>KHI/HO/D/MO/PC COMP/C/107557/1/02/2025</t>
  </si>
  <si>
    <t>KHI/HO/D/MO/PC COMP/C/107555/3/02/2025</t>
  </si>
  <si>
    <t>KHI/HO/D/MO/PC COMP/C/107555/1/02/2025</t>
  </si>
  <si>
    <t>KHI/HO/D/MO/PC COMP/C/107555/2/02/2025</t>
  </si>
  <si>
    <t>KHI/HO/D/MO/PC COMP/C/107558/1/02/2025</t>
  </si>
  <si>
    <t>KHI/HO/D/MO/PC COMP/C/107558/3/02/2025</t>
  </si>
  <si>
    <t>KHI/HO/D/MO/PC COMP/C/107558/2/02/2025</t>
  </si>
  <si>
    <t>KHI/HO/D/MO/PC COMP/C/107570/2/02/2025</t>
  </si>
  <si>
    <t>KHI/HO/D/MO/PC COMP/C/107570/1/02/2025</t>
  </si>
  <si>
    <t>KHI/HO/D/MO/PC COMP/C/107568/1/02/2025</t>
  </si>
  <si>
    <t>KHI/HO/D/MO/PC COMP/C/107550/2/02/2025</t>
  </si>
  <si>
    <t>KHI/HO/D/MO/PC COMP/C/107550/4/02/2025</t>
  </si>
  <si>
    <t>KHI/HO/D/MO/PC COMP/C/107563/1/02/2025</t>
  </si>
  <si>
    <t>KHI/HO/D/MO/PC COMP/C/107565/1/02/2025</t>
  </si>
  <si>
    <t>KHI/HO/D/MO/PC COMP/C/107458/5/02/2025</t>
  </si>
  <si>
    <t>KHI/HO/D/MO/PC COMP/C/107458/2/02/2025</t>
  </si>
  <si>
    <t>KHI/HO/D/MO/PC COMP/C/107459/2/02/2025</t>
  </si>
  <si>
    <t>KHI/HO/D/MO/PC COMP/C/107459/3/02/2025</t>
  </si>
  <si>
    <t>KHI/HO/D/MO/PC COMP/C/107462/1/02/2025</t>
  </si>
  <si>
    <t>KHI/HO/D/MO/PC COMP/C/107462/2/02/2025</t>
  </si>
  <si>
    <t>KHI/HO/D/MO/PC COMP/C/107458/1/02/2025</t>
  </si>
  <si>
    <t>KHI/HO/D/MO/PC COMP/C/107458/4/02/2025</t>
  </si>
  <si>
    <t>KHI/HO/D/MO/PC COMP/C/107458/3/02/2025</t>
  </si>
  <si>
    <t>KHI/HO/D/MO/PC COMP/C/107466/1/02/2025</t>
  </si>
  <si>
    <t>KHI/HO/D/MO/PC COMP/C/107465/1/02/2025</t>
  </si>
  <si>
    <t>KHI/HO/D/MO/PC COMP/C/107466/2/02/2025</t>
  </si>
  <si>
    <t>KHI/HO/D/MO/PC COMP/C/107462/3/02/2025</t>
  </si>
  <si>
    <t>KHI/HO/D/MO/PC COMP/C/107574/3/02/2025</t>
  </si>
  <si>
    <t>KHI/HO/D/MO/PC COMP/C/107574/1/02/2025</t>
  </si>
  <si>
    <t>KHI/HO/D/MO/PC COMP/C/107572/1/02/2025</t>
  </si>
  <si>
    <t>KHI/HO/D/MO/PC COMP/C/107574/5/02/2025</t>
  </si>
  <si>
    <t>KHI/HO/D/MO/PC COMP/C/107572/2/02/2025</t>
  </si>
  <si>
    <t>KHI/HO/D/MO/PC COMP/C/107572/3/02/2025</t>
  </si>
  <si>
    <t>KHI/HO/D/MO/PC COMP/C/107573/1/02/2025</t>
  </si>
  <si>
    <t>KHI/HO/D/MO/PC COMP/C/107573/2/02/2025</t>
  </si>
  <si>
    <t>KHI/HO/D/MO/PC COMP/C/107574/4/02/2025</t>
  </si>
  <si>
    <t>KHI/HO/D/MO/PC COMP/C/107574/2/02/2025</t>
  </si>
  <si>
    <t>-02-2025</t>
  </si>
  <si>
    <t>00007</t>
  </si>
  <si>
    <t>00001</t>
  </si>
  <si>
    <t>00002</t>
  </si>
  <si>
    <t>00006</t>
  </si>
  <si>
    <t>00003</t>
  </si>
  <si>
    <t>00004</t>
  </si>
  <si>
    <t>00008</t>
  </si>
  <si>
    <t>00005</t>
  </si>
  <si>
    <t xml:space="preserve">   </t>
  </si>
  <si>
    <t>FUNC_ASSORTED_STRING(IA.ASSORTED_CODE)</t>
  </si>
  <si>
    <t>ASSORTED_CODE</t>
  </si>
  <si>
    <t>070000176441</t>
  </si>
  <si>
    <t>070000176442</t>
  </si>
  <si>
    <t>070000176443</t>
  </si>
  <si>
    <t>070000176445</t>
  </si>
  <si>
    <t>070000176446</t>
  </si>
  <si>
    <t>070000176448</t>
  </si>
  <si>
    <t>070000176450</t>
  </si>
  <si>
    <t>070000177054</t>
  </si>
  <si>
    <t>070000177055</t>
  </si>
  <si>
    <t>070000177057</t>
  </si>
  <si>
    <t>070000177058</t>
  </si>
  <si>
    <t>070000176449</t>
  </si>
  <si>
    <t>070000177265</t>
  </si>
  <si>
    <t>070000177274</t>
  </si>
  <si>
    <t>070000177263</t>
  </si>
  <si>
    <t>070000177267</t>
  </si>
  <si>
    <t>070000177205</t>
  </si>
  <si>
    <t>070000177220</t>
  </si>
  <si>
    <t>070000177117</t>
  </si>
  <si>
    <t>070000177120</t>
  </si>
  <si>
    <t>070000177128</t>
  </si>
  <si>
    <t>070000177129</t>
  </si>
  <si>
    <t>070000177133</t>
  </si>
  <si>
    <t>070000177134</t>
  </si>
  <si>
    <t>070000177135</t>
  </si>
  <si>
    <t>070000177137</t>
  </si>
  <si>
    <t>070000177138</t>
  </si>
  <si>
    <t>070000177139</t>
  </si>
  <si>
    <t>070000177196</t>
  </si>
  <si>
    <t>070000177199</t>
  </si>
  <si>
    <t>070000177201</t>
  </si>
  <si>
    <t>070000177202</t>
  </si>
  <si>
    <t>070000177204</t>
  </si>
  <si>
    <t>070000177208</t>
  </si>
  <si>
    <t>070000177218</t>
  </si>
  <si>
    <t>070000177219</t>
  </si>
  <si>
    <t>070000177281</t>
  </si>
  <si>
    <t>070000177283</t>
  </si>
  <si>
    <t>070000177284</t>
  </si>
  <si>
    <t>070000177285</t>
  </si>
  <si>
    <t>070000177288</t>
  </si>
  <si>
    <t>070000177097</t>
  </si>
  <si>
    <t>070000177301</t>
  </si>
  <si>
    <t>070000177271</t>
  </si>
  <si>
    <t>070000177277</t>
  </si>
  <si>
    <t>070000177278</t>
  </si>
  <si>
    <t>070000177296</t>
  </si>
  <si>
    <t>070000177298</t>
  </si>
  <si>
    <t>070000177299</t>
  </si>
  <si>
    <t>070000177300</t>
  </si>
  <si>
    <t>070000177101</t>
  </si>
  <si>
    <t>070000177102</t>
  </si>
  <si>
    <t>070000177103</t>
  </si>
  <si>
    <t>070000177106</t>
  </si>
  <si>
    <t>070000177109</t>
  </si>
  <si>
    <t>070000177192</t>
  </si>
  <si>
    <t>070000177193</t>
  </si>
  <si>
    <t>070000177195</t>
  </si>
  <si>
    <t>070000177147</t>
  </si>
  <si>
    <t>070000177141</t>
  </si>
  <si>
    <t>070000177142</t>
  </si>
  <si>
    <t>070000177143</t>
  </si>
  <si>
    <t>070000177231</t>
  </si>
  <si>
    <t>070000177232</t>
  </si>
  <si>
    <t>070000177233</t>
  </si>
  <si>
    <t>070000177234</t>
  </si>
  <si>
    <t>070000177235</t>
  </si>
  <si>
    <t>070000177240</t>
  </si>
  <si>
    <t>070000177241</t>
  </si>
  <si>
    <t>070000177242</t>
  </si>
  <si>
    <t>070000177243</t>
  </si>
  <si>
    <t>070000177259</t>
  </si>
  <si>
    <t>070000177260</t>
  </si>
  <si>
    <t>070000177261</t>
  </si>
  <si>
    <t>070000177089</t>
  </si>
  <si>
    <t>070000177090</t>
  </si>
  <si>
    <t>070000177091</t>
  </si>
  <si>
    <t>070000177092</t>
  </si>
  <si>
    <t>070000177100</t>
  </si>
  <si>
    <t>070000177115</t>
  </si>
  <si>
    <t>070000177247</t>
  </si>
  <si>
    <t>070000177248</t>
  </si>
  <si>
    <t>070000177249</t>
  </si>
  <si>
    <t>070000177093</t>
  </si>
  <si>
    <t>070000177098</t>
  </si>
  <si>
    <t>070000177099</t>
  </si>
  <si>
    <t>070000177255</t>
  </si>
  <si>
    <t>070000177256</t>
  </si>
  <si>
    <t>070000177251</t>
  </si>
  <si>
    <t>070000177252</t>
  </si>
  <si>
    <t>POLICY NO.</t>
  </si>
  <si>
    <t>Assorted_code</t>
  </si>
  <si>
    <t>Premium</t>
  </si>
  <si>
    <t>26Mar250052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</si>
</sst>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5" fontId="0" fillId="2" borderId="1" xfId="0" applyNumberFormat="1" applyFill="1" applyBorder="1"/>
    <xf numFmtId="15" fontId="0" fillId="0" borderId="1" xfId="0" applyNumberFormat="1" applyBorder="1"/>
    <xf numFmtId="165" fontId="0" fillId="0" borderId="1" xfId="1" applyNumberFormat="1" applyFont="1" applyBorder="1"/>
    <xf numFmtId="165" fontId="0" fillId="0" borderId="0" xfId="0" applyNumberFormat="1"/>
    <xf numFmtId="165" fontId="0" fillId="0" borderId="1" xfId="0" applyNumberFormat="1" applyBorder="1"/>
    <xf numFmtId="165" fontId="2" fillId="3" borderId="1" xfId="0" applyNumberFormat="1" applyFont="1" applyFill="1" applyBorder="1"/>
    <xf numFmtId="0" fontId="2" fillId="4" borderId="1" xfId="0" applyFont="1" applyFill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top"/>
    </xf>
    <xf numFmtId="165" fontId="4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165" fontId="2" fillId="0" borderId="0" xfId="0" applyNumberFormat="1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ubashir.ahmed\Desktop\New%20folder\MBL%20Feb%20Renewals%20Pa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E2" t="str">
            <v>R198370</v>
          </cell>
          <cell r="F2" t="str">
            <v>H1098363</v>
          </cell>
          <cell r="G2" t="str">
            <v>BVY-389</v>
          </cell>
          <cell r="H2">
            <v>45726</v>
          </cell>
          <cell r="I2">
            <v>46091</v>
          </cell>
          <cell r="J2" t="str">
            <v xml:space="preserve"> 12 MONTHS</v>
          </cell>
          <cell r="K2">
            <v>1000917</v>
          </cell>
          <cell r="L2">
            <v>15014</v>
          </cell>
          <cell r="M2" t="str">
            <v>1.50</v>
          </cell>
          <cell r="N2" t="str">
            <v>SALAM TAKAFUL Insurance Ltd-WTO</v>
          </cell>
          <cell r="O2" t="str">
            <v>KHI/HO/D/MO/PC COMP/C/107535/7/02/2025</v>
          </cell>
          <cell r="P2">
            <v>15014</v>
          </cell>
          <cell r="Q2">
            <v>0</v>
          </cell>
          <cell r="R2" t="str">
            <v>REN</v>
          </cell>
        </row>
        <row r="3">
          <cell r="E3" t="str">
            <v>2A46684</v>
          </cell>
          <cell r="F3" t="str">
            <v>R-7029280</v>
          </cell>
          <cell r="G3" t="str">
            <v>BVU-937</v>
          </cell>
          <cell r="H3">
            <v>45708</v>
          </cell>
          <cell r="I3">
            <v>46073</v>
          </cell>
          <cell r="J3" t="str">
            <v xml:space="preserve"> 12 MONTHS</v>
          </cell>
          <cell r="K3">
            <v>1909251</v>
          </cell>
          <cell r="L3">
            <v>28639</v>
          </cell>
          <cell r="M3" t="str">
            <v>1.50</v>
          </cell>
          <cell r="N3" t="str">
            <v>SALAM TAKAFUL Insurance Ltd-WTO</v>
          </cell>
          <cell r="O3" t="str">
            <v>KHI/HO/D/MO/PC COMP/C/107437/1/02/2025</v>
          </cell>
          <cell r="P3">
            <v>28639</v>
          </cell>
          <cell r="Q3">
            <v>0</v>
          </cell>
          <cell r="R3" t="str">
            <v>REN</v>
          </cell>
        </row>
        <row r="4">
          <cell r="E4" t="str">
            <v>R205617</v>
          </cell>
          <cell r="F4" t="str">
            <v>H1105599</v>
          </cell>
          <cell r="G4" t="str">
            <v>BVV-239</v>
          </cell>
          <cell r="H4">
            <v>45721</v>
          </cell>
          <cell r="I4">
            <v>46086</v>
          </cell>
          <cell r="J4" t="str">
            <v xml:space="preserve"> 12 MONTHS</v>
          </cell>
          <cell r="K4">
            <v>1108809</v>
          </cell>
          <cell r="L4">
            <v>16632</v>
          </cell>
          <cell r="M4" t="str">
            <v>1.50</v>
          </cell>
          <cell r="N4" t="str">
            <v>SALAM TAKAFUL Insurance Ltd-WTO</v>
          </cell>
          <cell r="O4" t="str">
            <v>KHI/HO/D/MO/PC COMP/C/107437/2/02/2025</v>
          </cell>
          <cell r="P4">
            <v>16632</v>
          </cell>
          <cell r="Q4">
            <v>0</v>
          </cell>
          <cell r="R4" t="str">
            <v>REN</v>
          </cell>
        </row>
        <row r="5">
          <cell r="E5" t="str">
            <v>R215640</v>
          </cell>
          <cell r="F5" t="str">
            <v>H1115626</v>
          </cell>
          <cell r="G5" t="str">
            <v>BVY-385</v>
          </cell>
          <cell r="H5">
            <v>45726</v>
          </cell>
          <cell r="I5">
            <v>46091</v>
          </cell>
          <cell r="J5" t="str">
            <v xml:space="preserve"> 12 MONTHS</v>
          </cell>
          <cell r="K5">
            <v>1000917</v>
          </cell>
          <cell r="L5">
            <v>15014</v>
          </cell>
          <cell r="M5" t="str">
            <v>1.50</v>
          </cell>
          <cell r="N5" t="str">
            <v>SALAM TAKAFUL Insurance Ltd-WTO</v>
          </cell>
          <cell r="O5" t="str">
            <v>KHI/HO/D/MO/PC COMP/C/107535/6/02/2025</v>
          </cell>
          <cell r="P5">
            <v>15014</v>
          </cell>
          <cell r="Q5">
            <v>0</v>
          </cell>
          <cell r="R5" t="str">
            <v>REN</v>
          </cell>
        </row>
        <row r="6">
          <cell r="E6" t="str">
            <v>193350</v>
          </cell>
          <cell r="F6" t="str">
            <v>10093336</v>
          </cell>
          <cell r="G6" t="str">
            <v>BVX-527</v>
          </cell>
          <cell r="H6">
            <v>45726</v>
          </cell>
          <cell r="I6">
            <v>46091</v>
          </cell>
          <cell r="J6" t="str">
            <v xml:space="preserve"> 12 MONTHS</v>
          </cell>
          <cell r="K6">
            <v>1298349</v>
          </cell>
          <cell r="L6">
            <v>19475</v>
          </cell>
          <cell r="M6" t="str">
            <v>1.50</v>
          </cell>
          <cell r="N6" t="str">
            <v>SALAM TAKAFUL Insurance Ltd-WTO</v>
          </cell>
          <cell r="O6" t="str">
            <v>KHI/HO/D/MO/PC COMP/C/107437/3/02/2025</v>
          </cell>
          <cell r="P6">
            <v>19475</v>
          </cell>
          <cell r="Q6">
            <v>0</v>
          </cell>
          <cell r="R6" t="str">
            <v>REN</v>
          </cell>
        </row>
        <row r="7">
          <cell r="E7" t="str">
            <v>R215993</v>
          </cell>
          <cell r="F7" t="str">
            <v>H1116006</v>
          </cell>
          <cell r="G7" t="str">
            <v>BVY-533</v>
          </cell>
          <cell r="H7">
            <v>45731</v>
          </cell>
          <cell r="I7">
            <v>46096</v>
          </cell>
          <cell r="J7" t="str">
            <v xml:space="preserve"> 12 MONTHS</v>
          </cell>
          <cell r="K7">
            <v>1140156</v>
          </cell>
          <cell r="L7">
            <v>17102</v>
          </cell>
          <cell r="M7" t="str">
            <v>1.50</v>
          </cell>
          <cell r="N7" t="str">
            <v>SALAM TAKAFUL Insurance Ltd-WTO</v>
          </cell>
          <cell r="O7" t="str">
            <v>KHI/HO/D/MO/PC COMP/C/107535/4/02/2025</v>
          </cell>
          <cell r="P7">
            <v>17102</v>
          </cell>
          <cell r="Q7">
            <v>0</v>
          </cell>
          <cell r="R7" t="str">
            <v>REN</v>
          </cell>
        </row>
        <row r="8">
          <cell r="E8" t="str">
            <v>S13038866</v>
          </cell>
          <cell r="F8" t="str">
            <v>K10038850</v>
          </cell>
          <cell r="G8" t="str">
            <v>-</v>
          </cell>
          <cell r="H8">
            <v>45721</v>
          </cell>
          <cell r="I8">
            <v>46086</v>
          </cell>
          <cell r="J8" t="str">
            <v xml:space="preserve"> 12 MONTHS</v>
          </cell>
          <cell r="K8">
            <v>1239300</v>
          </cell>
          <cell r="L8">
            <v>18590</v>
          </cell>
          <cell r="M8" t="str">
            <v>1.50</v>
          </cell>
          <cell r="N8" t="str">
            <v>SALAM TAKAFUL Insurance Ltd-WTO</v>
          </cell>
          <cell r="O8" t="str">
            <v>KHI/HO/D/MO/PC COMP/C/107437/4/02/2025</v>
          </cell>
          <cell r="P8">
            <v>18590</v>
          </cell>
          <cell r="Q8">
            <v>0</v>
          </cell>
          <cell r="R8" t="str">
            <v>REN</v>
          </cell>
        </row>
        <row r="9">
          <cell r="E9" t="str">
            <v>U501164</v>
          </cell>
          <cell r="F9" t="str">
            <v>N1017507</v>
          </cell>
          <cell r="G9" t="str">
            <v>SA-2081</v>
          </cell>
          <cell r="H9">
            <v>45721</v>
          </cell>
          <cell r="I9">
            <v>46086</v>
          </cell>
          <cell r="J9" t="str">
            <v xml:space="preserve"> 12 MONTHS</v>
          </cell>
          <cell r="K9">
            <v>1939140</v>
          </cell>
          <cell r="L9">
            <v>29087</v>
          </cell>
          <cell r="M9" t="str">
            <v>1.50</v>
          </cell>
          <cell r="N9" t="str">
            <v>SALAM TAKAFUL Insurance Ltd-WTO</v>
          </cell>
          <cell r="O9" t="str">
            <v>KHI/HO/D/MO/PC COMP/C/107533/3/02/2025</v>
          </cell>
          <cell r="P9">
            <v>29087</v>
          </cell>
          <cell r="Q9">
            <v>0</v>
          </cell>
          <cell r="R9" t="str">
            <v>REN</v>
          </cell>
        </row>
        <row r="10">
          <cell r="E10" t="str">
            <v>Z16919352</v>
          </cell>
          <cell r="F10" t="str">
            <v>R071483</v>
          </cell>
          <cell r="G10" t="str">
            <v>BTP-563</v>
          </cell>
          <cell r="H10">
            <v>45721</v>
          </cell>
          <cell r="I10">
            <v>46086</v>
          </cell>
          <cell r="J10" t="str">
            <v xml:space="preserve"> 12 MONTHS</v>
          </cell>
          <cell r="K10">
            <v>4455000</v>
          </cell>
          <cell r="L10">
            <v>66825</v>
          </cell>
          <cell r="M10" t="str">
            <v>1.50</v>
          </cell>
          <cell r="N10" t="str">
            <v>SALAM TAKAFUL Insurance Ltd-WTO</v>
          </cell>
          <cell r="O10" t="str">
            <v>KHI/HO/D/MO/PC COMP/C/107533/1/02/2025</v>
          </cell>
          <cell r="P10">
            <v>66825</v>
          </cell>
          <cell r="Q10">
            <v>0</v>
          </cell>
          <cell r="R10" t="str">
            <v>REN</v>
          </cell>
        </row>
        <row r="11">
          <cell r="E11" t="str">
            <v>6R292366</v>
          </cell>
          <cell r="F11" t="str">
            <v>NF1AET306H1192446</v>
          </cell>
          <cell r="G11" t="str">
            <v>-</v>
          </cell>
          <cell r="H11">
            <v>45703</v>
          </cell>
          <cell r="I11">
            <v>46068</v>
          </cell>
          <cell r="J11" t="str">
            <v xml:space="preserve"> 12 MONTHS</v>
          </cell>
          <cell r="K11">
            <v>2350800</v>
          </cell>
          <cell r="L11">
            <v>35262</v>
          </cell>
          <cell r="M11" t="str">
            <v>1.50</v>
          </cell>
          <cell r="N11" t="str">
            <v>SALAM TAKAFUL Insurance Ltd-WTO</v>
          </cell>
          <cell r="O11" t="str">
            <v>KHI/HO/D/MO/PC COMP/C/107127/2/02/2025</v>
          </cell>
          <cell r="P11">
            <v>35262</v>
          </cell>
          <cell r="Q11">
            <v>0</v>
          </cell>
          <cell r="R11" t="str">
            <v>REN</v>
          </cell>
        </row>
        <row r="12">
          <cell r="E12" t="str">
            <v>6R292976</v>
          </cell>
          <cell r="F12" t="str">
            <v>NF1AET306H1193030</v>
          </cell>
          <cell r="G12" t="str">
            <v>-</v>
          </cell>
          <cell r="H12">
            <v>45698</v>
          </cell>
          <cell r="I12">
            <v>46063</v>
          </cell>
          <cell r="J12" t="str">
            <v xml:space="preserve"> 12 MONTHS</v>
          </cell>
          <cell r="K12">
            <v>2350800</v>
          </cell>
          <cell r="L12">
            <v>35262</v>
          </cell>
          <cell r="M12" t="str">
            <v>1.50</v>
          </cell>
          <cell r="N12" t="str">
            <v>SALAM TAKAFUL Insurance Ltd-WTO</v>
          </cell>
          <cell r="O12" t="str">
            <v>KHI/HO/D/MO/PC COMP/C/107127/1/02/2025</v>
          </cell>
          <cell r="P12">
            <v>35262</v>
          </cell>
          <cell r="Q12">
            <v>0</v>
          </cell>
          <cell r="R12" t="str">
            <v>REN</v>
          </cell>
        </row>
        <row r="13">
          <cell r="E13" t="str">
            <v>Q346782</v>
          </cell>
          <cell r="F13" t="str">
            <v>R7046014</v>
          </cell>
          <cell r="G13" t="str">
            <v>BSR-578</v>
          </cell>
          <cell r="H13">
            <v>45721</v>
          </cell>
          <cell r="I13">
            <v>46086</v>
          </cell>
          <cell r="J13" t="str">
            <v xml:space="preserve"> 12 MONTHS</v>
          </cell>
          <cell r="K13">
            <v>3645000</v>
          </cell>
          <cell r="L13">
            <v>54675</v>
          </cell>
          <cell r="M13" t="str">
            <v>1.50</v>
          </cell>
          <cell r="N13" t="str">
            <v>SALAM TAKAFUL Insurance Ltd-WTO</v>
          </cell>
          <cell r="O13" t="str">
            <v>KHI/HO/D/MO/PC COMP/C/107533/2/02/2025</v>
          </cell>
          <cell r="P13">
            <v>54675</v>
          </cell>
          <cell r="Q13">
            <v>0</v>
          </cell>
          <cell r="R13" t="str">
            <v>REN</v>
          </cell>
        </row>
        <row r="14">
          <cell r="E14" t="str">
            <v>Z12954733</v>
          </cell>
          <cell r="F14" t="str">
            <v>R058465</v>
          </cell>
          <cell r="G14" t="str">
            <v>BRK-585</v>
          </cell>
          <cell r="H14">
            <v>45726</v>
          </cell>
          <cell r="I14">
            <v>46091</v>
          </cell>
          <cell r="J14" t="str">
            <v xml:space="preserve"> 12 MONTHS</v>
          </cell>
          <cell r="K14">
            <v>4050000</v>
          </cell>
          <cell r="L14">
            <v>60750</v>
          </cell>
          <cell r="M14" t="str">
            <v>1.50</v>
          </cell>
          <cell r="N14" t="str">
            <v>SALAM TAKAFUL Insurance Ltd-WTO</v>
          </cell>
          <cell r="O14" t="str">
            <v>KHI/HO/D/MO/PC COMP/C/107535/8/02/2025</v>
          </cell>
          <cell r="P14">
            <v>60750</v>
          </cell>
          <cell r="Q14">
            <v>0</v>
          </cell>
          <cell r="R14" t="str">
            <v>REN</v>
          </cell>
        </row>
        <row r="15">
          <cell r="E15" t="str">
            <v>L13Z17520305</v>
          </cell>
          <cell r="F15" t="str">
            <v>NFBGM1643JR236166</v>
          </cell>
          <cell r="G15" t="str">
            <v>BNN-813</v>
          </cell>
          <cell r="H15">
            <v>45713</v>
          </cell>
          <cell r="I15">
            <v>46078</v>
          </cell>
          <cell r="J15" t="str">
            <v xml:space="preserve"> 12 MONTHS</v>
          </cell>
          <cell r="K15">
            <v>2880000</v>
          </cell>
          <cell r="L15">
            <v>43200</v>
          </cell>
          <cell r="M15" t="str">
            <v>1.50</v>
          </cell>
          <cell r="N15" t="str">
            <v>SALAM TAKAFUL Insurance Ltd-WTO</v>
          </cell>
          <cell r="O15" t="str">
            <v>KHI/HO/D/MO/PC COMP/C/107127/4/02/2025</v>
          </cell>
          <cell r="P15">
            <v>43200</v>
          </cell>
          <cell r="Q15">
            <v>0</v>
          </cell>
          <cell r="R15" t="str">
            <v>REN</v>
          </cell>
        </row>
        <row r="16">
          <cell r="E16" t="str">
            <v>2A17543</v>
          </cell>
          <cell r="F16" t="str">
            <v>NSP150R7010252</v>
          </cell>
          <cell r="G16" t="str">
            <v>BSX-085</v>
          </cell>
          <cell r="H16">
            <v>45713</v>
          </cell>
          <cell r="I16">
            <v>46078</v>
          </cell>
          <cell r="J16" t="str">
            <v xml:space="preserve"> 12 MONTHS</v>
          </cell>
          <cell r="K16">
            <v>3015000</v>
          </cell>
          <cell r="L16">
            <v>45225</v>
          </cell>
          <cell r="M16" t="str">
            <v>1.50</v>
          </cell>
          <cell r="N16" t="str">
            <v>SALAM TAKAFUL Insurance Ltd-WTO</v>
          </cell>
          <cell r="O16" t="str">
            <v>KHI/HO/D/MO/PC COMP/C/107127/3/02/2025</v>
          </cell>
          <cell r="P16">
            <v>45225</v>
          </cell>
          <cell r="Q16">
            <v>0</v>
          </cell>
          <cell r="R16" t="str">
            <v>REN</v>
          </cell>
        </row>
        <row r="17">
          <cell r="E17" t="str">
            <v>L12B51021250</v>
          </cell>
          <cell r="F17" t="str">
            <v>NFBGN8624RR036252</v>
          </cell>
          <cell r="G17" t="str">
            <v>-</v>
          </cell>
          <cell r="H17">
            <v>45713</v>
          </cell>
          <cell r="I17">
            <v>46078</v>
          </cell>
          <cell r="J17" t="str">
            <v xml:space="preserve"> 12 MONTHS</v>
          </cell>
          <cell r="K17">
            <v>4372200</v>
          </cell>
          <cell r="L17">
            <v>65583</v>
          </cell>
          <cell r="M17" t="str">
            <v>1.50</v>
          </cell>
          <cell r="N17" t="str">
            <v>SALAM TAKAFUL Insurance Ltd-WTO</v>
          </cell>
          <cell r="O17" t="str">
            <v>KHI/HO/D/MO/PC COMP/C/107127/6/02/2025</v>
          </cell>
          <cell r="P17">
            <v>65583</v>
          </cell>
          <cell r="Q17">
            <v>0</v>
          </cell>
          <cell r="R17" t="str">
            <v>REN</v>
          </cell>
        </row>
        <row r="18">
          <cell r="E18" t="str">
            <v>PK10K182815</v>
          </cell>
          <cell r="F18" t="str">
            <v>NF1AVK31H10082811</v>
          </cell>
          <cell r="G18" t="str">
            <v>BVB-076</v>
          </cell>
          <cell r="H18">
            <v>45721</v>
          </cell>
          <cell r="I18">
            <v>46086</v>
          </cell>
          <cell r="J18" t="str">
            <v xml:space="preserve"> 12 MONTHS</v>
          </cell>
          <cell r="K18">
            <v>2700000</v>
          </cell>
          <cell r="L18">
            <v>40500</v>
          </cell>
          <cell r="M18" t="str">
            <v>1.50</v>
          </cell>
          <cell r="N18" t="str">
            <v>SALAM TAKAFUL Insurance Ltd-WTO</v>
          </cell>
          <cell r="O18" t="str">
            <v>KHI/HO/D/MO/PC COMP/C/107127/5/02/2025</v>
          </cell>
          <cell r="P18">
            <v>40500</v>
          </cell>
          <cell r="Q18">
            <v>0</v>
          </cell>
          <cell r="R18" t="str">
            <v>REN</v>
          </cell>
        </row>
        <row r="19">
          <cell r="E19" t="str">
            <v>R18Z12917438</v>
          </cell>
          <cell r="F19" t="str">
            <v>NFBFC6665HRO20777</v>
          </cell>
          <cell r="G19" t="str">
            <v>BJY-655</v>
          </cell>
          <cell r="H19">
            <v>45721</v>
          </cell>
          <cell r="I19">
            <v>46086</v>
          </cell>
          <cell r="J19" t="str">
            <v xml:space="preserve"> 12 MONTHS</v>
          </cell>
          <cell r="K19">
            <v>3870000</v>
          </cell>
          <cell r="L19">
            <v>58050</v>
          </cell>
          <cell r="M19" t="str">
            <v>1.50</v>
          </cell>
          <cell r="N19" t="str">
            <v>SALAM TAKAFUL Insurance Ltd-WTO</v>
          </cell>
          <cell r="O19" t="str">
            <v>KHI/HO/D/MO/PC COMP/C/107127/8/02/2025</v>
          </cell>
          <cell r="P19">
            <v>58050</v>
          </cell>
          <cell r="Q19">
            <v>0</v>
          </cell>
          <cell r="R19" t="str">
            <v>REN</v>
          </cell>
        </row>
        <row r="20">
          <cell r="E20" t="str">
            <v>G3LAPP194647</v>
          </cell>
          <cell r="F20" t="str">
            <v>NNATA52AZRP713268</v>
          </cell>
          <cell r="G20" t="str">
            <v>-</v>
          </cell>
          <cell r="H20">
            <v>45713</v>
          </cell>
          <cell r="I20">
            <v>46078</v>
          </cell>
          <cell r="J20" t="str">
            <v xml:space="preserve"> 12 MONTHS</v>
          </cell>
          <cell r="K20">
            <v>3474000</v>
          </cell>
          <cell r="L20">
            <v>52110</v>
          </cell>
          <cell r="M20" t="str">
            <v>1.50</v>
          </cell>
          <cell r="N20" t="str">
            <v>SALAM TAKAFUL Insurance Ltd-WTO</v>
          </cell>
          <cell r="O20" t="str">
            <v>KHI/HO/D/MO/PC COMP/C/107127/7/02/2025</v>
          </cell>
          <cell r="P20">
            <v>52110</v>
          </cell>
          <cell r="Q20">
            <v>0</v>
          </cell>
          <cell r="R20" t="str">
            <v>REN</v>
          </cell>
        </row>
        <row r="21">
          <cell r="E21" t="str">
            <v>755824</v>
          </cell>
          <cell r="F21" t="str">
            <v>1294346</v>
          </cell>
          <cell r="G21" t="str">
            <v>BPM-299</v>
          </cell>
          <cell r="H21">
            <v>45703</v>
          </cell>
          <cell r="I21">
            <v>46068</v>
          </cell>
          <cell r="J21" t="str">
            <v xml:space="preserve"> 12 MONTHS</v>
          </cell>
          <cell r="K21">
            <v>457039</v>
          </cell>
          <cell r="L21">
            <v>15082</v>
          </cell>
          <cell r="M21" t="str">
            <v>3.3</v>
          </cell>
          <cell r="N21" t="str">
            <v>SALAM TAKAFUL Insurance Ltd-WTO</v>
          </cell>
          <cell r="O21" t="str">
            <v>KHI/HO/D/MO/PC COMP/C/107535/1/02/2025</v>
          </cell>
          <cell r="P21">
            <v>15082</v>
          </cell>
          <cell r="Q21">
            <v>0</v>
          </cell>
          <cell r="R21" t="str">
            <v>REN</v>
          </cell>
        </row>
        <row r="22">
          <cell r="E22" t="str">
            <v>322851</v>
          </cell>
          <cell r="F22" t="str">
            <v>7021933</v>
          </cell>
          <cell r="G22" t="str">
            <v>BJU-586</v>
          </cell>
          <cell r="H22">
            <v>45713</v>
          </cell>
          <cell r="I22">
            <v>46078</v>
          </cell>
          <cell r="J22" t="str">
            <v xml:space="preserve"> 12 MONTHS</v>
          </cell>
          <cell r="K22">
            <v>1270144</v>
          </cell>
          <cell r="L22">
            <v>41915</v>
          </cell>
          <cell r="M22" t="str">
            <v>3.3</v>
          </cell>
          <cell r="N22" t="str">
            <v>SALAM TAKAFUL Insurance Ltd-WTO</v>
          </cell>
          <cell r="O22" t="str">
            <v>KHI/HO/D/MO/PC COMP/C/107535/2/02/2025</v>
          </cell>
          <cell r="P22">
            <v>41915</v>
          </cell>
          <cell r="Q22">
            <v>0</v>
          </cell>
          <cell r="R22" t="str">
            <v>REN</v>
          </cell>
        </row>
        <row r="23">
          <cell r="E23" t="str">
            <v>991836</v>
          </cell>
          <cell r="F23" t="str">
            <v>01108344</v>
          </cell>
          <cell r="G23" t="str">
            <v>CY-3954</v>
          </cell>
          <cell r="H23">
            <v>45726</v>
          </cell>
          <cell r="I23">
            <v>46091</v>
          </cell>
          <cell r="J23" t="str">
            <v xml:space="preserve"> 12 MONTHS</v>
          </cell>
          <cell r="K23">
            <v>453850</v>
          </cell>
          <cell r="L23">
            <v>14977</v>
          </cell>
          <cell r="M23" t="str">
            <v>3.3</v>
          </cell>
          <cell r="N23" t="str">
            <v>SALAM TAKAFUL Insurance Ltd-WTO</v>
          </cell>
          <cell r="O23" t="str">
            <v>KHI/HO/D/MO/PC COMP/C/107535/3/02/2025</v>
          </cell>
          <cell r="P23">
            <v>14977</v>
          </cell>
          <cell r="Q23">
            <v>0</v>
          </cell>
          <cell r="R23" t="str">
            <v>REN</v>
          </cell>
        </row>
        <row r="24">
          <cell r="E24" t="str">
            <v>Z573698</v>
          </cell>
          <cell r="F24" t="str">
            <v>NZE170R-4199502</v>
          </cell>
          <cell r="G24" t="str">
            <v>BAK-364</v>
          </cell>
          <cell r="H24">
            <v>45721</v>
          </cell>
          <cell r="I24">
            <v>46086</v>
          </cell>
          <cell r="J24" t="str">
            <v xml:space="preserve"> 12 MONTHS</v>
          </cell>
          <cell r="K24">
            <v>3483000</v>
          </cell>
          <cell r="L24">
            <v>52245</v>
          </cell>
          <cell r="M24" t="str">
            <v>1.50</v>
          </cell>
          <cell r="N24" t="str">
            <v>SALAM TAKAFUL Insurance Ltd-WTO</v>
          </cell>
          <cell r="O24" t="str">
            <v>KHI/HO/D/MO/PC COMP/C/107561/1/02/2025</v>
          </cell>
          <cell r="P24">
            <v>52245</v>
          </cell>
          <cell r="Q24">
            <v>0</v>
          </cell>
          <cell r="R24" t="str">
            <v>REN</v>
          </cell>
        </row>
        <row r="25">
          <cell r="E25" t="str">
            <v>G4NALH328477</v>
          </cell>
          <cell r="F25" t="str">
            <v>NNAQL51AZLP100549</v>
          </cell>
          <cell r="G25" t="str">
            <v>ASV-749</v>
          </cell>
          <cell r="H25">
            <v>45708</v>
          </cell>
          <cell r="I25">
            <v>46073</v>
          </cell>
          <cell r="J25" t="str">
            <v xml:space="preserve"> 12 MONTHS</v>
          </cell>
          <cell r="K25">
            <v>2909804</v>
          </cell>
          <cell r="L25">
            <v>58196</v>
          </cell>
          <cell r="M25" t="str">
            <v>2</v>
          </cell>
          <cell r="N25" t="str">
            <v>SALAM TAKAFUL Insurance Ltd-WTO</v>
          </cell>
          <cell r="O25" t="str">
            <v>KHI/HO/D/MO/PC COMP/C/107559/1/02/2025</v>
          </cell>
          <cell r="P25">
            <v>58196</v>
          </cell>
          <cell r="Q25">
            <v>0</v>
          </cell>
          <cell r="R25" t="str">
            <v>REN</v>
          </cell>
        </row>
        <row r="26">
          <cell r="E26" t="str">
            <v>R18Z12947125</v>
          </cell>
          <cell r="F26" t="str">
            <v>NFBFC6669KR050551</v>
          </cell>
          <cell r="G26" t="str">
            <v>AMT-622</v>
          </cell>
          <cell r="H26">
            <v>45693</v>
          </cell>
          <cell r="I26">
            <v>46058</v>
          </cell>
          <cell r="J26" t="str">
            <v xml:space="preserve"> 12 MONTHS</v>
          </cell>
          <cell r="K26">
            <v>4500000</v>
          </cell>
          <cell r="L26">
            <v>67500</v>
          </cell>
          <cell r="M26" t="str">
            <v>1.50</v>
          </cell>
          <cell r="N26" t="str">
            <v>SALAM TAKAFUL Insurance Ltd-WTO</v>
          </cell>
          <cell r="O26" t="str">
            <v>KHI/HO/D/MO/PC COMP/C/107461/1/02/2025</v>
          </cell>
          <cell r="P26">
            <v>67500</v>
          </cell>
          <cell r="Q26">
            <v>0</v>
          </cell>
          <cell r="R26" t="str">
            <v>REN</v>
          </cell>
        </row>
        <row r="27">
          <cell r="E27" t="str">
            <v>2A42512</v>
          </cell>
          <cell r="F27" t="str">
            <v>NSP151R-9515755</v>
          </cell>
          <cell r="G27" t="str">
            <v>AWZ-403</v>
          </cell>
          <cell r="H27">
            <v>45703</v>
          </cell>
          <cell r="I27">
            <v>46068</v>
          </cell>
          <cell r="J27" t="str">
            <v xml:space="preserve"> 12 MONTHS</v>
          </cell>
          <cell r="K27">
            <v>2138157</v>
          </cell>
          <cell r="L27">
            <v>32072</v>
          </cell>
          <cell r="M27" t="str">
            <v>1.50</v>
          </cell>
          <cell r="N27" t="str">
            <v>SALAM TAKAFUL Insurance Ltd-WTO</v>
          </cell>
          <cell r="O27" t="str">
            <v>KHI/HO/D/MO/PC COMP/C/107459/1/02/2025</v>
          </cell>
          <cell r="P27">
            <v>32072</v>
          </cell>
          <cell r="Q27">
            <v>0</v>
          </cell>
          <cell r="R27" t="str">
            <v>REN</v>
          </cell>
        </row>
        <row r="28">
          <cell r="E28" t="str">
            <v>JL473QFN3CAD517435</v>
          </cell>
          <cell r="F28" t="str">
            <v>NKMA2ASE5P1011321</v>
          </cell>
          <cell r="G28" t="str">
            <v>BDC-568</v>
          </cell>
          <cell r="H28">
            <v>45708</v>
          </cell>
          <cell r="I28">
            <v>46073</v>
          </cell>
          <cell r="J28" t="str">
            <v xml:space="preserve"> 12 MONTHS</v>
          </cell>
          <cell r="K28">
            <v>4094100</v>
          </cell>
          <cell r="L28">
            <v>61412</v>
          </cell>
          <cell r="M28" t="str">
            <v>1.50</v>
          </cell>
          <cell r="N28" t="str">
            <v>SALAM TAKAFUL Insurance Ltd-WTO</v>
          </cell>
          <cell r="O28" t="str">
            <v>KHI/HO/D/MO/PC COMP/C/107464/1/02/2025</v>
          </cell>
          <cell r="P28">
            <v>61412</v>
          </cell>
          <cell r="Q28">
            <v>0</v>
          </cell>
          <cell r="R28" t="str">
            <v>REN</v>
          </cell>
        </row>
        <row r="29">
          <cell r="E29" t="str">
            <v>6R295294</v>
          </cell>
          <cell r="F29" t="str">
            <v>NF1AET306H1195208</v>
          </cell>
          <cell r="G29" t="str">
            <v>BDD-591</v>
          </cell>
          <cell r="H29">
            <v>45713</v>
          </cell>
          <cell r="I29">
            <v>46078</v>
          </cell>
          <cell r="J29" t="str">
            <v xml:space="preserve"> 12 MONTHS</v>
          </cell>
          <cell r="K29">
            <v>2350800</v>
          </cell>
          <cell r="L29">
            <v>35262</v>
          </cell>
          <cell r="M29" t="str">
            <v>1.50</v>
          </cell>
          <cell r="N29" t="str">
            <v>SALAM TAKAFUL Insurance Ltd-WTO</v>
          </cell>
          <cell r="O29" t="str">
            <v>KHI/HO/D/MO/PC COMP/C/107464/2/02/2025</v>
          </cell>
          <cell r="P29">
            <v>35262</v>
          </cell>
          <cell r="Q29">
            <v>0</v>
          </cell>
          <cell r="R29" t="str">
            <v>REN</v>
          </cell>
        </row>
        <row r="30">
          <cell r="E30" t="str">
            <v>PKT1027453</v>
          </cell>
          <cell r="F30" t="str">
            <v>SV308PK01143932</v>
          </cell>
          <cell r="G30" t="str">
            <v>ANF-829</v>
          </cell>
          <cell r="H30">
            <v>45721</v>
          </cell>
          <cell r="I30">
            <v>46086</v>
          </cell>
          <cell r="J30" t="str">
            <v xml:space="preserve"> 12 MONTHS</v>
          </cell>
          <cell r="K30">
            <v>1215000</v>
          </cell>
          <cell r="L30">
            <v>18225</v>
          </cell>
          <cell r="M30" t="str">
            <v>1.50</v>
          </cell>
          <cell r="N30" t="str">
            <v>SALAM TAKAFUL Insurance Ltd-WTO</v>
          </cell>
          <cell r="O30" t="str">
            <v>KHI/HO/D/MO/PC COMP/C/107550/1/02/2025</v>
          </cell>
          <cell r="P30">
            <v>18225</v>
          </cell>
          <cell r="Q30">
            <v>0</v>
          </cell>
          <cell r="R30" t="str">
            <v>REN</v>
          </cell>
        </row>
        <row r="31">
          <cell r="E31" t="str">
            <v>L12B51017599</v>
          </cell>
          <cell r="F31" t="str">
            <v>NFBGN8621PR030972</v>
          </cell>
          <cell r="G31" t="str">
            <v>BBT-840</v>
          </cell>
          <cell r="H31">
            <v>45731</v>
          </cell>
          <cell r="I31">
            <v>46096</v>
          </cell>
          <cell r="J31" t="str">
            <v xml:space="preserve"> 12 MONTHS</v>
          </cell>
          <cell r="K31">
            <v>3178035</v>
          </cell>
          <cell r="L31">
            <v>47671</v>
          </cell>
          <cell r="M31" t="str">
            <v>1.50</v>
          </cell>
          <cell r="N31" t="str">
            <v>SALAM TAKAFUL Insurance Ltd-WTO</v>
          </cell>
          <cell r="O31" t="str">
            <v>KHI/HO/D/MO/PC COMP/C/107550/3/02/2025</v>
          </cell>
          <cell r="P31">
            <v>47671</v>
          </cell>
          <cell r="Q31">
            <v>0</v>
          </cell>
          <cell r="R31" t="str">
            <v>REN</v>
          </cell>
        </row>
        <row r="32">
          <cell r="E32" t="str">
            <v>L12B51017639</v>
          </cell>
          <cell r="F32" t="str">
            <v>NFBGN8622PR031015</v>
          </cell>
          <cell r="G32" t="str">
            <v>ANL-849</v>
          </cell>
          <cell r="H32">
            <v>45736</v>
          </cell>
          <cell r="I32">
            <v>46101</v>
          </cell>
          <cell r="J32" t="str">
            <v xml:space="preserve"> 12 MONTHS</v>
          </cell>
          <cell r="K32">
            <v>3166290</v>
          </cell>
          <cell r="L32">
            <v>47494</v>
          </cell>
          <cell r="M32" t="str">
            <v>1.50</v>
          </cell>
          <cell r="N32" t="str">
            <v>SALAM TAKAFUL Insurance Ltd-WTO</v>
          </cell>
          <cell r="O32" t="str">
            <v>KHI/HO/D/MO/PC COMP/C/107550/5/02/2025</v>
          </cell>
          <cell r="P32">
            <v>47494</v>
          </cell>
          <cell r="Q32">
            <v>0</v>
          </cell>
          <cell r="R32" t="str">
            <v>REN</v>
          </cell>
        </row>
        <row r="33">
          <cell r="E33" t="str">
            <v>6R291434</v>
          </cell>
          <cell r="F33" t="str">
            <v>NF1AET306H1191524</v>
          </cell>
          <cell r="G33"/>
          <cell r="H33">
            <v>45713</v>
          </cell>
          <cell r="I33">
            <v>46078</v>
          </cell>
          <cell r="J33" t="str">
            <v xml:space="preserve"> 12 MONTHS</v>
          </cell>
          <cell r="K33">
            <v>2350800</v>
          </cell>
          <cell r="L33">
            <v>35262</v>
          </cell>
          <cell r="M33" t="str">
            <v>1.50</v>
          </cell>
          <cell r="N33" t="str">
            <v>SALAM TAKAFUL Insurance Ltd-WTO</v>
          </cell>
          <cell r="O33" t="str">
            <v>KHI/HO/D/MO/PC COMP/C/107541/2/02/2025</v>
          </cell>
          <cell r="P33">
            <v>35262</v>
          </cell>
          <cell r="Q33">
            <v>0</v>
          </cell>
          <cell r="R33" t="str">
            <v>REN</v>
          </cell>
        </row>
        <row r="34">
          <cell r="E34" t="str">
            <v>6R147074</v>
          </cell>
          <cell r="F34" t="str">
            <v>NF1AET306H1047056</v>
          </cell>
          <cell r="G34"/>
          <cell r="H34">
            <v>45721</v>
          </cell>
          <cell r="I34">
            <v>46086</v>
          </cell>
          <cell r="J34" t="str">
            <v xml:space="preserve"> 12 MONTHS</v>
          </cell>
          <cell r="K34">
            <v>1800000</v>
          </cell>
          <cell r="L34">
            <v>27000</v>
          </cell>
          <cell r="M34" t="str">
            <v>1.50</v>
          </cell>
          <cell r="N34" t="str">
            <v>SALAM TAKAFUL Insurance Ltd-WTO</v>
          </cell>
          <cell r="O34" t="str">
            <v>KHI/HO/D/MO/PC COMP/C/107541/3/02/2025</v>
          </cell>
          <cell r="P34">
            <v>27000</v>
          </cell>
          <cell r="Q34">
            <v>0</v>
          </cell>
          <cell r="R34" t="str">
            <v>REN</v>
          </cell>
        </row>
        <row r="35">
          <cell r="E35" t="str">
            <v>L12B51021424</v>
          </cell>
          <cell r="F35" t="str">
            <v>NFBGN8620RR036569</v>
          </cell>
          <cell r="G35"/>
          <cell r="H35">
            <v>45713</v>
          </cell>
          <cell r="I35">
            <v>46078</v>
          </cell>
          <cell r="J35" t="str">
            <v xml:space="preserve"> 12 MONTHS</v>
          </cell>
          <cell r="K35">
            <v>4386150</v>
          </cell>
          <cell r="L35">
            <v>65792</v>
          </cell>
          <cell r="M35" t="str">
            <v>1.50</v>
          </cell>
          <cell r="N35" t="str">
            <v>SALAM TAKAFUL Insurance Ltd-WTO</v>
          </cell>
          <cell r="O35" t="str">
            <v>KHI/HO/D/MO/PC COMP/C/107541/1/02/2025</v>
          </cell>
          <cell r="P35">
            <v>65792</v>
          </cell>
          <cell r="Q35">
            <v>0</v>
          </cell>
          <cell r="R35" t="str">
            <v>REN</v>
          </cell>
        </row>
        <row r="36">
          <cell r="E36" t="str">
            <v>G3LAMP193574</v>
          </cell>
          <cell r="F36" t="str">
            <v>NNATA52AXKP503268</v>
          </cell>
          <cell r="G36" t="str">
            <v>AHJ-838</v>
          </cell>
          <cell r="H36">
            <v>45721</v>
          </cell>
          <cell r="I36">
            <v>46086</v>
          </cell>
          <cell r="J36" t="str">
            <v xml:space="preserve"> 12 MONTHS</v>
          </cell>
          <cell r="K36">
            <v>1614006</v>
          </cell>
          <cell r="L36">
            <v>24210</v>
          </cell>
          <cell r="M36" t="str">
            <v>1.50</v>
          </cell>
          <cell r="N36" t="str">
            <v>SALAM TAKAFUL Insurance Ltd-WTO</v>
          </cell>
          <cell r="O36" t="str">
            <v>KHI/HO/D/MO/PC COMP/C/107554/1/02/2025</v>
          </cell>
          <cell r="P36">
            <v>24210</v>
          </cell>
          <cell r="Q36">
            <v>0</v>
          </cell>
          <cell r="R36" t="str">
            <v>REN</v>
          </cell>
        </row>
        <row r="37">
          <cell r="E37" t="str">
            <v>PK10B229082</v>
          </cell>
          <cell r="F37" t="str">
            <v>A1J310PK10129072</v>
          </cell>
          <cell r="G37"/>
          <cell r="H37">
            <v>45721</v>
          </cell>
          <cell r="I37">
            <v>46086</v>
          </cell>
          <cell r="J37" t="str">
            <v xml:space="preserve"> 12 MONTHS</v>
          </cell>
          <cell r="K37">
            <v>1439775</v>
          </cell>
          <cell r="L37">
            <v>21597</v>
          </cell>
          <cell r="M37" t="str">
            <v>1.50</v>
          </cell>
          <cell r="N37" t="str">
            <v>SALAM TAKAFUL Insurance Ltd-WTO</v>
          </cell>
          <cell r="O37" t="str">
            <v>KHI/HO/D/MO/PC COMP/C/107554/2/02/2025</v>
          </cell>
          <cell r="P37">
            <v>21597</v>
          </cell>
          <cell r="Q37">
            <v>0</v>
          </cell>
          <cell r="R37" t="str">
            <v>REN</v>
          </cell>
        </row>
        <row r="38">
          <cell r="E38" t="str">
            <v>G4NAMU962475</v>
          </cell>
          <cell r="F38" t="str">
            <v>PMHD841FMNN302537</v>
          </cell>
          <cell r="G38" t="str">
            <v>-</v>
          </cell>
          <cell r="H38">
            <v>45721</v>
          </cell>
          <cell r="I38">
            <v>46086</v>
          </cell>
          <cell r="J38" t="str">
            <v xml:space="preserve"> 12 MONTHS</v>
          </cell>
          <cell r="K38">
            <v>2996555</v>
          </cell>
          <cell r="L38">
            <v>44948</v>
          </cell>
          <cell r="M38" t="str">
            <v>1.50</v>
          </cell>
          <cell r="N38" t="str">
            <v>SALAM TAKAFUL Insurance Ltd-WTO</v>
          </cell>
          <cell r="O38" t="str">
            <v>KHI/HO/D/MO/PC COMP/C/107554/3/02/2025</v>
          </cell>
          <cell r="P38">
            <v>43841</v>
          </cell>
          <cell r="Q38">
            <v>1107</v>
          </cell>
          <cell r="R38" t="str">
            <v>REN</v>
          </cell>
        </row>
        <row r="39">
          <cell r="E39" t="str">
            <v>L12B51006663</v>
          </cell>
          <cell r="F39" t="str">
            <v>NFBGN8623NR010641</v>
          </cell>
          <cell r="G39" t="str">
            <v>AHP-818</v>
          </cell>
          <cell r="H39">
            <v>45721</v>
          </cell>
          <cell r="I39">
            <v>46086</v>
          </cell>
          <cell r="J39" t="str">
            <v xml:space="preserve"> 12 MONTHS</v>
          </cell>
          <cell r="K39">
            <v>2159663</v>
          </cell>
          <cell r="L39">
            <v>32395</v>
          </cell>
          <cell r="M39" t="str">
            <v>1.50</v>
          </cell>
          <cell r="N39" t="str">
            <v>SALAM TAKAFUL Insurance Ltd-WTO</v>
          </cell>
          <cell r="O39" t="str">
            <v>KHI/HO/D/MO/PC COMP/C/107554/4/02/2025</v>
          </cell>
          <cell r="P39">
            <v>32395</v>
          </cell>
          <cell r="Q39">
            <v>0</v>
          </cell>
          <cell r="R39" t="str">
            <v>REN</v>
          </cell>
        </row>
        <row r="40">
          <cell r="E40" t="str">
            <v>L15Z81000141</v>
          </cell>
          <cell r="F40" t="str">
            <v>NFBGN956XMR000441</v>
          </cell>
          <cell r="G40" t="str">
            <v>AFE-015</v>
          </cell>
          <cell r="H40">
            <v>45713</v>
          </cell>
          <cell r="I40">
            <v>46078</v>
          </cell>
          <cell r="J40" t="str">
            <v xml:space="preserve"> 12 MONTHS</v>
          </cell>
          <cell r="K40">
            <v>2835000</v>
          </cell>
          <cell r="L40">
            <v>42525</v>
          </cell>
          <cell r="M40" t="str">
            <v>1.50</v>
          </cell>
          <cell r="N40" t="str">
            <v>SALAM TAKAFUL Insurance Ltd-WTO</v>
          </cell>
          <cell r="O40" t="str">
            <v>KHI/HO/D/MO/PC COMP/C/107470/1/02/2025</v>
          </cell>
          <cell r="P40">
            <v>42525</v>
          </cell>
          <cell r="Q40">
            <v>0</v>
          </cell>
          <cell r="R40" t="str">
            <v>REN</v>
          </cell>
        </row>
        <row r="41">
          <cell r="E41" t="str">
            <v>L12B51017477</v>
          </cell>
          <cell r="F41" t="str">
            <v>NFBGN8621PR030888</v>
          </cell>
          <cell r="G41" t="str">
            <v>BBS-204</v>
          </cell>
          <cell r="H41">
            <v>45721</v>
          </cell>
          <cell r="I41">
            <v>46086</v>
          </cell>
          <cell r="J41" t="str">
            <v xml:space="preserve"> 12 MONTHS</v>
          </cell>
          <cell r="K41">
            <v>3178035</v>
          </cell>
          <cell r="L41">
            <v>47671</v>
          </cell>
          <cell r="M41" t="str">
            <v>1.50</v>
          </cell>
          <cell r="N41" t="str">
            <v>SALAM TAKAFUL Insurance Ltd-WTO</v>
          </cell>
          <cell r="O41" t="str">
            <v>KHI/HO/D/MO/PC COMP/C/107470/2/02/2025</v>
          </cell>
          <cell r="P41">
            <v>47671</v>
          </cell>
          <cell r="Q41">
            <v>0</v>
          </cell>
          <cell r="R41" t="str">
            <v>REN</v>
          </cell>
        </row>
        <row r="42">
          <cell r="E42" t="str">
            <v>L15Z81015097</v>
          </cell>
          <cell r="F42" t="str">
            <v>NFBGN9667RR036335</v>
          </cell>
          <cell r="G42" t="str">
            <v>AQV-343</v>
          </cell>
          <cell r="H42">
            <v>45721</v>
          </cell>
          <cell r="I42">
            <v>46086</v>
          </cell>
          <cell r="J42" t="str">
            <v xml:space="preserve"> 12 MONTHS</v>
          </cell>
          <cell r="K42">
            <v>5286150</v>
          </cell>
          <cell r="L42">
            <v>79292</v>
          </cell>
          <cell r="M42" t="str">
            <v>1.50</v>
          </cell>
          <cell r="N42" t="str">
            <v>SALAM TAKAFUL Insurance Ltd-WTO</v>
          </cell>
          <cell r="O42" t="str">
            <v>KHI/HO/D/MO/PC COMP/C/107473/1/02/2025</v>
          </cell>
          <cell r="P42">
            <v>79292</v>
          </cell>
          <cell r="Q42">
            <v>0</v>
          </cell>
          <cell r="R42" t="str">
            <v>REN</v>
          </cell>
        </row>
        <row r="43">
          <cell r="E43" t="str">
            <v>PK10B210243</v>
          </cell>
          <cell r="F43" t="str">
            <v>A1J310PK10110198</v>
          </cell>
          <cell r="G43" t="str">
            <v>ASU-156</v>
          </cell>
          <cell r="H43">
            <v>45708</v>
          </cell>
          <cell r="I43">
            <v>46073</v>
          </cell>
          <cell r="J43" t="str">
            <v xml:space="preserve"> 12 MONTHS</v>
          </cell>
          <cell r="K43">
            <v>1135053</v>
          </cell>
          <cell r="L43">
            <v>22701</v>
          </cell>
          <cell r="M43" t="str">
            <v>2</v>
          </cell>
          <cell r="N43" t="str">
            <v>SALAM TAKAFUL Insurance Ltd-WTO</v>
          </cell>
          <cell r="O43" t="str">
            <v>KHI/HO/D/MO/PC COMP/C/107472/1/02/2025</v>
          </cell>
          <cell r="P43">
            <v>22701</v>
          </cell>
          <cell r="Q43">
            <v>0</v>
          </cell>
          <cell r="R43" t="str">
            <v>REN</v>
          </cell>
        </row>
        <row r="44">
          <cell r="E44" t="str">
            <v>PK10K192511</v>
          </cell>
          <cell r="F44" t="str">
            <v>NF1AVK31H10092501</v>
          </cell>
          <cell r="G44" t="str">
            <v>AHQ-390</v>
          </cell>
          <cell r="H44">
            <v>45721</v>
          </cell>
          <cell r="I44">
            <v>46086</v>
          </cell>
          <cell r="J44" t="str">
            <v xml:space="preserve"> 12 MONTHS</v>
          </cell>
          <cell r="K44">
            <v>1298349</v>
          </cell>
          <cell r="L44">
            <v>19475</v>
          </cell>
          <cell r="M44" t="str">
            <v>1.50</v>
          </cell>
          <cell r="N44" t="str">
            <v>SALAM TAKAFUL Insurance Ltd-WTO</v>
          </cell>
          <cell r="O44" t="str">
            <v>KHI/HO/D/MO/PC COMP/C/107468/8/02/2025</v>
          </cell>
          <cell r="P44">
            <v>19475</v>
          </cell>
          <cell r="Q44">
            <v>0</v>
          </cell>
          <cell r="R44" t="str">
            <v>REN</v>
          </cell>
        </row>
        <row r="45">
          <cell r="E45" t="str">
            <v>6R210617</v>
          </cell>
          <cell r="F45" t="str">
            <v>NF1AET306H1110673</v>
          </cell>
          <cell r="G45" t="str">
            <v>AHJ-710</v>
          </cell>
          <cell r="H45">
            <v>45713</v>
          </cell>
          <cell r="I45">
            <v>46078</v>
          </cell>
          <cell r="J45" t="str">
            <v xml:space="preserve"> 12 MONTHS</v>
          </cell>
          <cell r="K45">
            <v>1108809</v>
          </cell>
          <cell r="L45">
            <v>16632</v>
          </cell>
          <cell r="M45" t="str">
            <v>1.50</v>
          </cell>
          <cell r="N45" t="str">
            <v>SALAM TAKAFUL Insurance Ltd-WTO</v>
          </cell>
          <cell r="O45" t="str">
            <v>KHI/HO/D/MO/PC COMP/C/107468/4/02/2025</v>
          </cell>
          <cell r="P45">
            <v>16632</v>
          </cell>
          <cell r="Q45">
            <v>0</v>
          </cell>
          <cell r="R45" t="str">
            <v>REN</v>
          </cell>
        </row>
        <row r="46">
          <cell r="E46" t="str">
            <v>6R212194</v>
          </cell>
          <cell r="F46" t="str">
            <v>NF1AET306H1112138</v>
          </cell>
          <cell r="G46" t="str">
            <v>AHT-167</v>
          </cell>
          <cell r="H46">
            <v>45721</v>
          </cell>
          <cell r="I46">
            <v>46086</v>
          </cell>
          <cell r="J46" t="str">
            <v xml:space="preserve"> 12 MONTHS</v>
          </cell>
          <cell r="K46">
            <v>1108809</v>
          </cell>
          <cell r="L46">
            <v>16632</v>
          </cell>
          <cell r="M46" t="str">
            <v>1.50</v>
          </cell>
          <cell r="N46" t="str">
            <v>SALAM TAKAFUL Insurance Ltd-WTO</v>
          </cell>
          <cell r="O46" t="str">
            <v>KHI/HO/D/MO/PC COMP/C/107468/5/02/2025</v>
          </cell>
          <cell r="P46">
            <v>16632</v>
          </cell>
          <cell r="Q46">
            <v>0</v>
          </cell>
          <cell r="R46" t="str">
            <v>REN</v>
          </cell>
        </row>
        <row r="47">
          <cell r="E47" t="str">
            <v>Q089453</v>
          </cell>
          <cell r="F47" t="str">
            <v>ZRE171R-6067319</v>
          </cell>
          <cell r="G47" t="str">
            <v>AXD-653</v>
          </cell>
          <cell r="H47">
            <v>45713</v>
          </cell>
          <cell r="I47">
            <v>46078</v>
          </cell>
          <cell r="J47" t="str">
            <v xml:space="preserve"> 12 MONTHS</v>
          </cell>
          <cell r="K47">
            <v>2598885</v>
          </cell>
          <cell r="L47">
            <v>38983</v>
          </cell>
          <cell r="M47" t="str">
            <v>1.50</v>
          </cell>
          <cell r="N47" t="str">
            <v>SALAM TAKAFUL Insurance Ltd-WTO</v>
          </cell>
          <cell r="O47" t="str">
            <v>KHI/HO/D/MO/PC COMP/C/107468/3/02/2025</v>
          </cell>
          <cell r="P47">
            <v>38983</v>
          </cell>
          <cell r="Q47">
            <v>0</v>
          </cell>
          <cell r="R47" t="str">
            <v>REN</v>
          </cell>
        </row>
        <row r="48">
          <cell r="E48" t="str">
            <v>PK10K192951</v>
          </cell>
          <cell r="F48" t="str">
            <v>NF1AVK31H10092943</v>
          </cell>
          <cell r="G48" t="str">
            <v>AHM-925</v>
          </cell>
          <cell r="H48">
            <v>45721</v>
          </cell>
          <cell r="I48">
            <v>46086</v>
          </cell>
          <cell r="J48" t="str">
            <v xml:space="preserve"> 12 MONTHS</v>
          </cell>
          <cell r="K48">
            <v>1298349</v>
          </cell>
          <cell r="L48">
            <v>19475</v>
          </cell>
          <cell r="M48" t="str">
            <v>1.50</v>
          </cell>
          <cell r="N48" t="str">
            <v>SALAM TAKAFUL Insurance Ltd-WTO</v>
          </cell>
          <cell r="O48" t="str">
            <v>KHI/HO/D/MO/PC COMP/C/107468/7/02/2025</v>
          </cell>
          <cell r="P48">
            <v>19475</v>
          </cell>
          <cell r="Q48">
            <v>0</v>
          </cell>
          <cell r="R48" t="str">
            <v>REN</v>
          </cell>
        </row>
        <row r="49">
          <cell r="E49" t="str">
            <v>6R210521</v>
          </cell>
          <cell r="F49" t="str">
            <v>NF1AET306H1110487</v>
          </cell>
          <cell r="G49" t="str">
            <v>AHH-708</v>
          </cell>
          <cell r="H49">
            <v>45713</v>
          </cell>
          <cell r="I49">
            <v>46078</v>
          </cell>
          <cell r="J49" t="str">
            <v xml:space="preserve"> 12 MONTHS</v>
          </cell>
          <cell r="K49">
            <v>973215</v>
          </cell>
          <cell r="L49">
            <v>14598</v>
          </cell>
          <cell r="M49" t="str">
            <v>1.50</v>
          </cell>
          <cell r="N49" t="str">
            <v>SALAM TAKAFUL Insurance Ltd-WTO</v>
          </cell>
          <cell r="O49" t="str">
            <v>KHI/HO/D/MO/PC COMP/C/107468/2/02/2025</v>
          </cell>
          <cell r="P49">
            <v>14598</v>
          </cell>
          <cell r="Q49">
            <v>0</v>
          </cell>
          <cell r="R49" t="str">
            <v>REN</v>
          </cell>
        </row>
        <row r="50">
          <cell r="E50" t="str">
            <v>6R209836</v>
          </cell>
          <cell r="F50" t="str">
            <v>NF1AET306H1109708</v>
          </cell>
          <cell r="G50" t="str">
            <v>AHE-628</v>
          </cell>
          <cell r="H50">
            <v>45708</v>
          </cell>
          <cell r="I50">
            <v>46073</v>
          </cell>
          <cell r="J50" t="str">
            <v xml:space="preserve"> 12 MONTHS</v>
          </cell>
          <cell r="K50">
            <v>973215</v>
          </cell>
          <cell r="L50">
            <v>14598</v>
          </cell>
          <cell r="M50" t="str">
            <v>1.50</v>
          </cell>
          <cell r="N50" t="str">
            <v>SALAM TAKAFUL Insurance Ltd-WTO</v>
          </cell>
          <cell r="O50" t="str">
            <v>KHI/HO/D/MO/PC COMP/C/107468/1/02/2025</v>
          </cell>
          <cell r="P50">
            <v>14598</v>
          </cell>
          <cell r="Q50">
            <v>0</v>
          </cell>
          <cell r="R50" t="str">
            <v>REN</v>
          </cell>
        </row>
        <row r="51">
          <cell r="E51" t="str">
            <v>6R212647</v>
          </cell>
          <cell r="F51" t="str">
            <v>NF1AET306H1112520</v>
          </cell>
          <cell r="G51" t="str">
            <v>AHM-883</v>
          </cell>
          <cell r="H51">
            <v>45721</v>
          </cell>
          <cell r="I51">
            <v>46086</v>
          </cell>
          <cell r="J51" t="str">
            <v xml:space="preserve"> 12 MONTHS</v>
          </cell>
          <cell r="K51">
            <v>834705</v>
          </cell>
          <cell r="L51">
            <v>12521</v>
          </cell>
          <cell r="M51" t="str">
            <v>1.50</v>
          </cell>
          <cell r="N51" t="str">
            <v>SALAM TAKAFUL Insurance Ltd-WTO</v>
          </cell>
          <cell r="O51" t="str">
            <v>KHI/HO/D/MO/PC COMP/C/107468/6/02/2025</v>
          </cell>
          <cell r="P51">
            <v>12521</v>
          </cell>
          <cell r="Q51">
            <v>0</v>
          </cell>
          <cell r="R51" t="str">
            <v>REN</v>
          </cell>
        </row>
        <row r="52">
          <cell r="E52" t="str">
            <v>R18Z16930982</v>
          </cell>
          <cell r="F52" t="str">
            <v>NFBFC6660NR083555</v>
          </cell>
          <cell r="G52" t="str">
            <v>AXH-819 (ICT)</v>
          </cell>
          <cell r="H52">
            <v>45721</v>
          </cell>
          <cell r="I52">
            <v>46086</v>
          </cell>
          <cell r="J52" t="str">
            <v xml:space="preserve"> 12 MONTHS</v>
          </cell>
          <cell r="K52">
            <v>3217442</v>
          </cell>
          <cell r="L52">
            <v>48262</v>
          </cell>
          <cell r="M52" t="str">
            <v>1.50</v>
          </cell>
          <cell r="N52" t="str">
            <v>SALAM TAKAFUL Insurance Ltd-WTO</v>
          </cell>
          <cell r="O52" t="str">
            <v>KHI/HO/D/MO/PC COMP/C/107556/2/02/2025</v>
          </cell>
          <cell r="P52">
            <v>48262</v>
          </cell>
          <cell r="Q52">
            <v>0</v>
          </cell>
          <cell r="R52" t="str">
            <v>REN</v>
          </cell>
        </row>
        <row r="53">
          <cell r="E53" t="str">
            <v>G3LANP131395</v>
          </cell>
          <cell r="F53" t="str">
            <v>NNATA52AZKP708523</v>
          </cell>
          <cell r="G53" t="str">
            <v>AHE-983 (PUNJAB)</v>
          </cell>
          <cell r="H53">
            <v>45703</v>
          </cell>
          <cell r="I53">
            <v>46068</v>
          </cell>
          <cell r="J53" t="str">
            <v xml:space="preserve"> 12 MONTHS</v>
          </cell>
          <cell r="K53">
            <v>1419363</v>
          </cell>
          <cell r="L53">
            <v>21290</v>
          </cell>
          <cell r="M53" t="str">
            <v>1.50</v>
          </cell>
          <cell r="N53" t="str">
            <v>SALAM TAKAFUL Insurance Ltd-WTO</v>
          </cell>
          <cell r="O53" t="str">
            <v>KHI/HO/D/MO/PC COMP/C/107556/1/02/2025</v>
          </cell>
          <cell r="P53">
            <v>21290</v>
          </cell>
          <cell r="Q53">
            <v>0</v>
          </cell>
          <cell r="R53" t="str">
            <v>REN</v>
          </cell>
        </row>
        <row r="54">
          <cell r="E54" t="str">
            <v>PKT1027306</v>
          </cell>
          <cell r="F54" t="str">
            <v>SV308PK01143820</v>
          </cell>
          <cell r="G54" t="str">
            <v>ANG-637 (PUNJAB)</v>
          </cell>
          <cell r="H54">
            <v>45721</v>
          </cell>
          <cell r="I54">
            <v>46086</v>
          </cell>
          <cell r="J54" t="str">
            <v xml:space="preserve"> 12 MONTHS</v>
          </cell>
          <cell r="K54">
            <v>1215000</v>
          </cell>
          <cell r="L54">
            <v>18225</v>
          </cell>
          <cell r="M54" t="str">
            <v>1.50</v>
          </cell>
          <cell r="N54" t="str">
            <v>SALAM TAKAFUL Insurance Ltd-WTO</v>
          </cell>
          <cell r="O54" t="str">
            <v>KHI/HO/D/MO/PC COMP/C/107557/2/02/2025</v>
          </cell>
          <cell r="P54">
            <v>18225</v>
          </cell>
          <cell r="Q54">
            <v>0</v>
          </cell>
          <cell r="R54" t="str">
            <v>REN</v>
          </cell>
        </row>
        <row r="55">
          <cell r="E55" t="str">
            <v>JL473ZQ7NN8AH371537</v>
          </cell>
          <cell r="F55" t="str">
            <v>NKMASE2E6P1002837</v>
          </cell>
          <cell r="G55" t="str">
            <v>BBT-194 (ICT)</v>
          </cell>
          <cell r="H55">
            <v>45713</v>
          </cell>
          <cell r="I55">
            <v>46078</v>
          </cell>
          <cell r="J55" t="str">
            <v xml:space="preserve"> 12 MONTHS</v>
          </cell>
          <cell r="K55">
            <v>5985090</v>
          </cell>
          <cell r="L55">
            <v>89776</v>
          </cell>
          <cell r="M55" t="str">
            <v>1.50</v>
          </cell>
          <cell r="N55" t="str">
            <v>SALAM TAKAFUL Insurance Ltd-WTO</v>
          </cell>
          <cell r="O55" t="str">
            <v>KHI/HO/D/MO/PC COMP/C/107557/1/02/2025</v>
          </cell>
          <cell r="P55">
            <v>89776</v>
          </cell>
          <cell r="Q55">
            <v>0</v>
          </cell>
          <cell r="R55" t="str">
            <v>REN</v>
          </cell>
        </row>
        <row r="56">
          <cell r="E56" t="str">
            <v>15E4E5MGM5190120</v>
          </cell>
          <cell r="F56" t="str">
            <v>NFPA24U96NP000348</v>
          </cell>
          <cell r="G56" t="str">
            <v>BBH-143 (ICT)</v>
          </cell>
          <cell r="H56">
            <v>45721</v>
          </cell>
          <cell r="I56">
            <v>46086</v>
          </cell>
          <cell r="J56" t="str">
            <v xml:space="preserve"> 12 MONTHS</v>
          </cell>
          <cell r="K56">
            <v>5940000</v>
          </cell>
          <cell r="L56">
            <v>89100</v>
          </cell>
          <cell r="M56" t="str">
            <v>1.50</v>
          </cell>
          <cell r="N56" t="str">
            <v>SALAM TAKAFUL Insurance Ltd-WTO</v>
          </cell>
          <cell r="O56" t="str">
            <v>KHI/HO/D/MO/PC COMP/C/107555/3/02/2025</v>
          </cell>
          <cell r="P56">
            <v>89100</v>
          </cell>
          <cell r="Q56">
            <v>0</v>
          </cell>
          <cell r="R56" t="str">
            <v>REN</v>
          </cell>
        </row>
        <row r="57">
          <cell r="E57" t="str">
            <v>6R292009</v>
          </cell>
          <cell r="F57" t="str">
            <v>NF1AET306H1192152</v>
          </cell>
          <cell r="G57" t="str">
            <v>AQT-154</v>
          </cell>
          <cell r="H57">
            <v>45708</v>
          </cell>
          <cell r="I57">
            <v>46073</v>
          </cell>
          <cell r="J57" t="str">
            <v xml:space="preserve"> 12 MONTHS</v>
          </cell>
          <cell r="K57">
            <v>2350800</v>
          </cell>
          <cell r="L57">
            <v>35262</v>
          </cell>
          <cell r="M57" t="str">
            <v>1.50</v>
          </cell>
          <cell r="N57" t="str">
            <v>SALAM TAKAFUL Insurance Ltd-WTO</v>
          </cell>
          <cell r="O57" t="str">
            <v>KHI/HO/D/MO/PC COMP/C/107555/1/02/2025</v>
          </cell>
          <cell r="P57">
            <v>35262</v>
          </cell>
          <cell r="Q57">
            <v>0</v>
          </cell>
          <cell r="R57" t="str">
            <v>REN</v>
          </cell>
        </row>
        <row r="58">
          <cell r="E58" t="str">
            <v>K12MR1018439</v>
          </cell>
          <cell r="F58" t="str">
            <v>NF1SZC63S00201086</v>
          </cell>
          <cell r="G58" t="str">
            <v>AQW-567 (PUNJAB)</v>
          </cell>
          <cell r="H58">
            <v>45721</v>
          </cell>
          <cell r="I58">
            <v>46086</v>
          </cell>
          <cell r="J58" t="str">
            <v xml:space="preserve"> 12 MONTHS</v>
          </cell>
          <cell r="K58">
            <v>4536000</v>
          </cell>
          <cell r="L58">
            <v>68040</v>
          </cell>
          <cell r="M58" t="str">
            <v>1.50</v>
          </cell>
          <cell r="N58" t="str">
            <v>SALAM TAKAFUL Insurance Ltd-WTO</v>
          </cell>
          <cell r="O58" t="str">
            <v>KHI/HO/D/MO/PC COMP/C/107555/2/02/2025</v>
          </cell>
          <cell r="P58">
            <v>68040</v>
          </cell>
          <cell r="Q58">
            <v>0</v>
          </cell>
          <cell r="R58" t="str">
            <v>REN</v>
          </cell>
        </row>
        <row r="59">
          <cell r="E59" t="str">
            <v>R18Z12956323</v>
          </cell>
          <cell r="F59" t="str">
            <v>NFBFC6669LR060224</v>
          </cell>
          <cell r="G59" t="str">
            <v>AQF-931</v>
          </cell>
          <cell r="H59">
            <v>45713</v>
          </cell>
          <cell r="I59">
            <v>46078</v>
          </cell>
          <cell r="J59" t="str">
            <v xml:space="preserve"> 12 MONTHS</v>
          </cell>
          <cell r="K59">
            <v>2320626</v>
          </cell>
          <cell r="L59">
            <v>46413</v>
          </cell>
          <cell r="M59" t="str">
            <v>2</v>
          </cell>
          <cell r="N59" t="str">
            <v>SALAM TAKAFUL Insurance Ltd-WTO</v>
          </cell>
          <cell r="O59" t="str">
            <v>KHI/HO/D/MO/PC COMP/C/107558/1/02/2025</v>
          </cell>
          <cell r="P59">
            <v>46413</v>
          </cell>
          <cell r="Q59">
            <v>0</v>
          </cell>
          <cell r="R59" t="str">
            <v>REN</v>
          </cell>
        </row>
        <row r="60">
          <cell r="E60" t="str">
            <v>PK10B201890</v>
          </cell>
          <cell r="F60" t="str">
            <v>A1J310PK10101861</v>
          </cell>
          <cell r="G60" t="str">
            <v>LEA-20-3220</v>
          </cell>
          <cell r="H60">
            <v>45713</v>
          </cell>
          <cell r="I60">
            <v>46078</v>
          </cell>
          <cell r="J60" t="str">
            <v xml:space="preserve"> 12 MONTHS</v>
          </cell>
          <cell r="K60">
            <v>1000881</v>
          </cell>
          <cell r="L60">
            <v>20018</v>
          </cell>
          <cell r="M60" t="str">
            <v>2</v>
          </cell>
          <cell r="N60" t="str">
            <v>SALAM TAKAFUL Insurance Ltd-WTO</v>
          </cell>
          <cell r="O60" t="str">
            <v>KHI/HO/D/MO/PC COMP/C/107558/3/02/2025</v>
          </cell>
          <cell r="P60">
            <v>20018</v>
          </cell>
          <cell r="Q60">
            <v>0</v>
          </cell>
          <cell r="R60" t="str">
            <v>REN</v>
          </cell>
        </row>
        <row r="61">
          <cell r="E61" t="str">
            <v>PK10B162267</v>
          </cell>
          <cell r="F61" t="str">
            <v>A1J310PK10062257</v>
          </cell>
          <cell r="G61" t="str">
            <v>AJT-597</v>
          </cell>
          <cell r="H61">
            <v>45721</v>
          </cell>
          <cell r="I61">
            <v>46086</v>
          </cell>
          <cell r="J61" t="str">
            <v xml:space="preserve"> 12 MONTHS</v>
          </cell>
          <cell r="K61">
            <v>846369</v>
          </cell>
          <cell r="L61">
            <v>16927</v>
          </cell>
          <cell r="M61" t="str">
            <v>2</v>
          </cell>
          <cell r="N61" t="str">
            <v>SALAM TAKAFUL Insurance Ltd-WTO</v>
          </cell>
          <cell r="O61" t="str">
            <v>KHI/HO/D/MO/PC COMP/C/107558/2/02/2025</v>
          </cell>
          <cell r="P61">
            <v>16927</v>
          </cell>
          <cell r="Q61">
            <v>0</v>
          </cell>
          <cell r="R61" t="str">
            <v>REN</v>
          </cell>
        </row>
        <row r="62">
          <cell r="E62" t="str">
            <v>6R295374</v>
          </cell>
          <cell r="F62" t="str">
            <v>NF1AET306H1195403</v>
          </cell>
          <cell r="G62" t="str">
            <v>BDC-831</v>
          </cell>
          <cell r="H62">
            <v>45708</v>
          </cell>
          <cell r="I62">
            <v>46073</v>
          </cell>
          <cell r="J62" t="str">
            <v xml:space="preserve"> 12 MONTHS</v>
          </cell>
          <cell r="K62">
            <v>2025900</v>
          </cell>
          <cell r="L62">
            <v>30389</v>
          </cell>
          <cell r="M62" t="str">
            <v>1.50</v>
          </cell>
          <cell r="N62" t="str">
            <v>SALAM TAKAFUL Insurance Ltd-WTO</v>
          </cell>
          <cell r="O62" t="str">
            <v>KHI/HO/D/MO/PC COMP/C/107570/2/02/2025</v>
          </cell>
          <cell r="P62">
            <v>30389</v>
          </cell>
          <cell r="Q62">
            <v>0</v>
          </cell>
          <cell r="R62" t="str">
            <v>REN</v>
          </cell>
        </row>
        <row r="63">
          <cell r="E63" t="str">
            <v>Z514774</v>
          </cell>
          <cell r="F63" t="str">
            <v>NZE170R-4141266</v>
          </cell>
          <cell r="G63" t="str">
            <v>AJF-79</v>
          </cell>
          <cell r="H63">
            <v>45703</v>
          </cell>
          <cell r="I63">
            <v>46068</v>
          </cell>
          <cell r="J63" t="str">
            <v xml:space="preserve"> 12 MONTHS</v>
          </cell>
          <cell r="K63">
            <v>3150000</v>
          </cell>
          <cell r="L63">
            <v>47250</v>
          </cell>
          <cell r="M63" t="str">
            <v>1.50</v>
          </cell>
          <cell r="N63" t="str">
            <v>SALAM TAKAFUL Insurance Ltd-WTO</v>
          </cell>
          <cell r="O63" t="str">
            <v>KHI/HO/D/MO/PC COMP/C/107570/1/02/2025</v>
          </cell>
          <cell r="P63">
            <v>47250</v>
          </cell>
          <cell r="Q63">
            <v>0</v>
          </cell>
          <cell r="R63" t="str">
            <v>REN</v>
          </cell>
        </row>
        <row r="64">
          <cell r="E64" t="str">
            <v>6R152663</v>
          </cell>
          <cell r="F64" t="str">
            <v>NF1AET306H1052725</v>
          </cell>
          <cell r="G64" t="str">
            <v>ASV-573</v>
          </cell>
          <cell r="H64">
            <v>45708</v>
          </cell>
          <cell r="I64">
            <v>46073</v>
          </cell>
          <cell r="J64" t="str">
            <v xml:space="preserve"> 12 MONTHS</v>
          </cell>
          <cell r="K64">
            <v>940191</v>
          </cell>
          <cell r="L64">
            <v>18804</v>
          </cell>
          <cell r="M64" t="str">
            <v>2</v>
          </cell>
          <cell r="N64" t="str">
            <v>SALAM TAKAFUL Insurance Ltd-WTO</v>
          </cell>
          <cell r="O64" t="str">
            <v>KHI/HO/D/MO/PC COMP/C/107568/1/02/2025</v>
          </cell>
          <cell r="P64">
            <v>18804</v>
          </cell>
          <cell r="Q64">
            <v>0</v>
          </cell>
          <cell r="R64" t="str">
            <v>REN</v>
          </cell>
        </row>
        <row r="65">
          <cell r="E65" t="str">
            <v>L12B51017411</v>
          </cell>
          <cell r="F65" t="str">
            <v>NFBGN8627PR031012</v>
          </cell>
          <cell r="G65" t="str">
            <v>ANJ-425</v>
          </cell>
          <cell r="H65">
            <v>45731</v>
          </cell>
          <cell r="I65">
            <v>46096</v>
          </cell>
          <cell r="J65" t="str">
            <v xml:space="preserve"> 12 MONTHS</v>
          </cell>
          <cell r="K65">
            <v>3178035</v>
          </cell>
          <cell r="L65">
            <v>47671</v>
          </cell>
          <cell r="M65" t="str">
            <v>1.50</v>
          </cell>
          <cell r="N65" t="str">
            <v>SALAM TAKAFUL Insurance Ltd-WTO</v>
          </cell>
          <cell r="O65" t="str">
            <v>KHI/HO/D/MO/PC COMP/C/107550/2/02/2025</v>
          </cell>
          <cell r="P65">
            <v>47671</v>
          </cell>
          <cell r="Q65">
            <v>0</v>
          </cell>
          <cell r="R65" t="str">
            <v>REN</v>
          </cell>
        </row>
        <row r="66">
          <cell r="E66" t="str">
            <v>6R162867</v>
          </cell>
          <cell r="F66" t="str">
            <v>NF1AET306H1062913</v>
          </cell>
          <cell r="G66" t="str">
            <v>ALC-176</v>
          </cell>
          <cell r="H66">
            <v>45736</v>
          </cell>
          <cell r="I66">
            <v>46101</v>
          </cell>
          <cell r="J66" t="str">
            <v xml:space="preserve"> 12 MONTHS</v>
          </cell>
          <cell r="K66">
            <v>1620000</v>
          </cell>
          <cell r="L66">
            <v>24300</v>
          </cell>
          <cell r="M66" t="str">
            <v>1.50</v>
          </cell>
          <cell r="N66" t="str">
            <v>SALAM TAKAFUL Insurance Ltd-WTO</v>
          </cell>
          <cell r="O66" t="str">
            <v>KHI/HO/D/MO/PC COMP/C/107550/4/02/2025</v>
          </cell>
          <cell r="P66">
            <v>24300</v>
          </cell>
          <cell r="Q66">
            <v>0</v>
          </cell>
          <cell r="R66" t="str">
            <v>REN</v>
          </cell>
        </row>
        <row r="67">
          <cell r="E67" t="str">
            <v>PK10B186418</v>
          </cell>
          <cell r="F67" t="str">
            <v>A1J310PK10086336</v>
          </cell>
          <cell r="G67" t="str">
            <v>BPV-661</v>
          </cell>
          <cell r="H67">
            <v>45708</v>
          </cell>
          <cell r="I67">
            <v>46073</v>
          </cell>
          <cell r="J67" t="str">
            <v xml:space="preserve"> 12 MONTHS</v>
          </cell>
          <cell r="K67">
            <v>782400</v>
          </cell>
          <cell r="L67">
            <v>15648</v>
          </cell>
          <cell r="M67" t="str">
            <v>2</v>
          </cell>
          <cell r="N67" t="str">
            <v>SALAM TAKAFUL Insurance Ltd-WTO</v>
          </cell>
          <cell r="O67" t="str">
            <v>KHI/HO/D/MO/PC COMP/C/107563/1/02/2025</v>
          </cell>
          <cell r="P67">
            <v>15648</v>
          </cell>
          <cell r="Q67">
            <v>0</v>
          </cell>
          <cell r="R67" t="str">
            <v>REN</v>
          </cell>
        </row>
        <row r="68">
          <cell r="E68" t="str">
            <v>Z576816</v>
          </cell>
          <cell r="F68" t="str">
            <v>NZE170R-4204307</v>
          </cell>
          <cell r="G68" t="str">
            <v>BRR-354</v>
          </cell>
          <cell r="H68">
            <v>45736</v>
          </cell>
          <cell r="I68">
            <v>46101</v>
          </cell>
          <cell r="J68" t="str">
            <v xml:space="preserve"> 12 MONTHS</v>
          </cell>
          <cell r="K68">
            <v>1651010</v>
          </cell>
          <cell r="L68">
            <v>33020</v>
          </cell>
          <cell r="M68" t="str">
            <v>2</v>
          </cell>
          <cell r="N68" t="str">
            <v>SALAM TAKAFUL Insurance Ltd-WTO</v>
          </cell>
          <cell r="O68" t="str">
            <v>KHI/HO/D/MO/PC COMP/C/107565/1/02/2025</v>
          </cell>
          <cell r="P68">
            <v>33020</v>
          </cell>
          <cell r="Q68">
            <v>0</v>
          </cell>
          <cell r="R68" t="str">
            <v>REN</v>
          </cell>
        </row>
        <row r="69">
          <cell r="E69" t="str">
            <v>6R267544</v>
          </cell>
          <cell r="F69" t="str">
            <v>NF1AET306H1167563</v>
          </cell>
          <cell r="G69" t="str">
            <v>AMX-215</v>
          </cell>
          <cell r="H69">
            <v>45693</v>
          </cell>
          <cell r="I69">
            <v>46058</v>
          </cell>
          <cell r="J69" t="str">
            <v xml:space="preserve"> 12 MONTHS</v>
          </cell>
          <cell r="K69">
            <v>1600560</v>
          </cell>
          <cell r="L69">
            <v>24008</v>
          </cell>
          <cell r="M69" t="str">
            <v>1.50</v>
          </cell>
          <cell r="N69" t="str">
            <v>SALAM TAKAFUL Insurance Ltd-WTO</v>
          </cell>
          <cell r="O69" t="str">
            <v>KHI/HO/D/MO/PC COMP/C/107458/5/02/2025</v>
          </cell>
          <cell r="P69">
            <v>24008</v>
          </cell>
          <cell r="Q69">
            <v>0</v>
          </cell>
          <cell r="R69" t="str">
            <v>REN</v>
          </cell>
        </row>
        <row r="70">
          <cell r="E70" t="str">
            <v>JL473QFM3CAD522159</v>
          </cell>
          <cell r="F70" t="str">
            <v>NKMA2ASE5M1004341</v>
          </cell>
          <cell r="G70" t="str">
            <v>AGJ 864</v>
          </cell>
          <cell r="H70">
            <v>45693</v>
          </cell>
          <cell r="I70">
            <v>46058</v>
          </cell>
          <cell r="J70" t="str">
            <v xml:space="preserve"> 12 MONTHS</v>
          </cell>
          <cell r="K70">
            <v>3060000</v>
          </cell>
          <cell r="L70">
            <v>45900</v>
          </cell>
          <cell r="M70" t="str">
            <v>1.50</v>
          </cell>
          <cell r="N70" t="str">
            <v>SALAM TAKAFUL Insurance Ltd-WTO</v>
          </cell>
          <cell r="O70" t="str">
            <v>KHI/HO/D/MO/PC COMP/C/107458/2/02/2025</v>
          </cell>
          <cell r="P70">
            <v>45900</v>
          </cell>
          <cell r="Q70">
            <v>0</v>
          </cell>
          <cell r="R70" t="str">
            <v>REN</v>
          </cell>
        </row>
        <row r="71">
          <cell r="E71" t="str">
            <v>Q087226</v>
          </cell>
          <cell r="F71" t="str">
            <v>ZRE171R-6064680</v>
          </cell>
          <cell r="G71"/>
          <cell r="H71">
            <v>45693</v>
          </cell>
          <cell r="I71">
            <v>46058</v>
          </cell>
          <cell r="J71" t="str">
            <v xml:space="preserve"> 12 MONTHS</v>
          </cell>
          <cell r="K71">
            <v>2393307</v>
          </cell>
          <cell r="L71">
            <v>35900</v>
          </cell>
          <cell r="M71" t="str">
            <v>1.5</v>
          </cell>
          <cell r="N71" t="str">
            <v>SALAM TAKAFUL Insurance Ltd-WTO</v>
          </cell>
          <cell r="O71" t="str">
            <v>KHI/HO/D/MO/PC COMP/C/107459/2/02/2025</v>
          </cell>
          <cell r="P71">
            <v>35900</v>
          </cell>
          <cell r="Q71">
            <v>0</v>
          </cell>
          <cell r="R71" t="str">
            <v>REN</v>
          </cell>
        </row>
        <row r="72">
          <cell r="E72" t="str">
            <v>2A43583</v>
          </cell>
          <cell r="F72" t="str">
            <v>NSP150R-7027317</v>
          </cell>
          <cell r="G72" t="str">
            <v>AKG-301</v>
          </cell>
          <cell r="H72">
            <v>45698</v>
          </cell>
          <cell r="I72">
            <v>46063</v>
          </cell>
          <cell r="J72" t="str">
            <v xml:space="preserve"> 12 MONTHS</v>
          </cell>
          <cell r="K72">
            <v>2697300</v>
          </cell>
          <cell r="L72">
            <v>40460</v>
          </cell>
          <cell r="M72" t="str">
            <v>1.50</v>
          </cell>
          <cell r="N72" t="str">
            <v>SALAM TAKAFUL Insurance Ltd-WTO</v>
          </cell>
          <cell r="O72" t="str">
            <v>KHI/HO/D/MO/PC COMP/C/107459/3/02/2025</v>
          </cell>
          <cell r="P72">
            <v>40460</v>
          </cell>
          <cell r="Q72">
            <v>0</v>
          </cell>
          <cell r="R72" t="str">
            <v>REN</v>
          </cell>
        </row>
        <row r="73">
          <cell r="E73" t="str">
            <v>PK10B225047</v>
          </cell>
          <cell r="F73" t="str">
            <v>A1J310PK10125067</v>
          </cell>
          <cell r="G73" t="str">
            <v>AGH 201</v>
          </cell>
          <cell r="H73">
            <v>45703</v>
          </cell>
          <cell r="I73">
            <v>46068</v>
          </cell>
          <cell r="J73" t="str">
            <v xml:space="preserve"> 12 MONTHS</v>
          </cell>
          <cell r="K73">
            <v>2340000</v>
          </cell>
          <cell r="L73">
            <v>35100</v>
          </cell>
          <cell r="M73" t="str">
            <v>1.50</v>
          </cell>
          <cell r="N73" t="str">
            <v>SALAM TAKAFUL Insurance Ltd-WTO</v>
          </cell>
          <cell r="O73" t="str">
            <v>KHI/HO/D/MO/PC COMP/C/107462/1/02/2025</v>
          </cell>
          <cell r="P73">
            <v>35100</v>
          </cell>
          <cell r="Q73">
            <v>0</v>
          </cell>
          <cell r="R73" t="str">
            <v>REN</v>
          </cell>
        </row>
        <row r="74">
          <cell r="E74" t="str">
            <v>G4FGPU105203</v>
          </cell>
          <cell r="F74" t="str">
            <v>PMHD841CMPN307404</v>
          </cell>
          <cell r="G74" t="str">
            <v>AQT 933</v>
          </cell>
          <cell r="H74">
            <v>45708</v>
          </cell>
          <cell r="I74">
            <v>46073</v>
          </cell>
          <cell r="J74" t="str">
            <v xml:space="preserve"> 12 MONTHS</v>
          </cell>
          <cell r="K74">
            <v>5778900</v>
          </cell>
          <cell r="L74">
            <v>86684</v>
          </cell>
          <cell r="M74" t="str">
            <v>1.50</v>
          </cell>
          <cell r="N74" t="str">
            <v>SALAM TAKAFUL Insurance Ltd-WTO</v>
          </cell>
          <cell r="O74" t="str">
            <v>KHI/HO/D/MO/PC COMP/C/107462/2/02/2025</v>
          </cell>
          <cell r="P74">
            <v>86684</v>
          </cell>
          <cell r="Q74">
            <v>0</v>
          </cell>
          <cell r="R74" t="str">
            <v>REN</v>
          </cell>
        </row>
        <row r="75">
          <cell r="E75" t="str">
            <v>6R290584</v>
          </cell>
          <cell r="F75" t="str">
            <v>NF1AET306H1190790</v>
          </cell>
          <cell r="G75" t="str">
            <v>AQQ 741</v>
          </cell>
          <cell r="H75">
            <v>45693</v>
          </cell>
          <cell r="I75">
            <v>46058</v>
          </cell>
          <cell r="J75" t="str">
            <v xml:space="preserve"> 12 MONTHS</v>
          </cell>
          <cell r="K75">
            <v>2641500</v>
          </cell>
          <cell r="L75">
            <v>39623</v>
          </cell>
          <cell r="M75" t="str">
            <v>1.50</v>
          </cell>
          <cell r="N75" t="str">
            <v>SALAM TAKAFUL Insurance Ltd-WTO</v>
          </cell>
          <cell r="O75" t="str">
            <v>KHI/HO/D/MO/PC COMP/C/107458/1/02/2025</v>
          </cell>
          <cell r="P75">
            <v>39623</v>
          </cell>
          <cell r="Q75">
            <v>0</v>
          </cell>
          <cell r="R75" t="str">
            <v>REN</v>
          </cell>
        </row>
        <row r="76">
          <cell r="E76" t="str">
            <v>6R289545</v>
          </cell>
          <cell r="F76" t="str">
            <v>NF1AET306H1189536</v>
          </cell>
          <cell r="G76" t="str">
            <v>AQQ 504</v>
          </cell>
          <cell r="H76">
            <v>45693</v>
          </cell>
          <cell r="I76">
            <v>46058</v>
          </cell>
          <cell r="J76" t="str">
            <v xml:space="preserve"> 12 MONTHS</v>
          </cell>
          <cell r="K76">
            <v>2519100</v>
          </cell>
          <cell r="L76">
            <v>37787</v>
          </cell>
          <cell r="M76" t="str">
            <v>1.50</v>
          </cell>
          <cell r="N76" t="str">
            <v>SALAM TAKAFUL Insurance Ltd-WTO</v>
          </cell>
          <cell r="O76" t="str">
            <v>KHI/HO/D/MO/PC COMP/C/107458/4/02/2025</v>
          </cell>
          <cell r="P76">
            <v>37787</v>
          </cell>
          <cell r="Q76">
            <v>0</v>
          </cell>
          <cell r="R76" t="str">
            <v>REN</v>
          </cell>
        </row>
        <row r="77">
          <cell r="E77" t="str">
            <v>6R295023</v>
          </cell>
          <cell r="F77" t="str">
            <v>NF1AET306H1195073</v>
          </cell>
          <cell r="G77" t="str">
            <v>AQT 580</v>
          </cell>
          <cell r="H77">
            <v>45693</v>
          </cell>
          <cell r="I77">
            <v>46058</v>
          </cell>
          <cell r="J77" t="str">
            <v xml:space="preserve"> 12 MONTHS</v>
          </cell>
          <cell r="K77">
            <v>2641500</v>
          </cell>
          <cell r="L77">
            <v>39623</v>
          </cell>
          <cell r="M77" t="str">
            <v>1.50</v>
          </cell>
          <cell r="N77" t="str">
            <v>SALAM TAKAFUL Insurance Ltd-WTO</v>
          </cell>
          <cell r="O77" t="str">
            <v>KHI/HO/D/MO/PC COMP/C/107458/3/02/2025</v>
          </cell>
          <cell r="P77">
            <v>39623</v>
          </cell>
          <cell r="Q77">
            <v>0</v>
          </cell>
          <cell r="R77" t="str">
            <v>REN</v>
          </cell>
        </row>
        <row r="78">
          <cell r="E78" t="str">
            <v>L15Z81012451</v>
          </cell>
          <cell r="F78" t="str">
            <v>NFBGN9665NR028891</v>
          </cell>
          <cell r="G78" t="str">
            <v>ANH-394</v>
          </cell>
          <cell r="H78">
            <v>45708</v>
          </cell>
          <cell r="I78">
            <v>46073</v>
          </cell>
          <cell r="J78" t="str">
            <v xml:space="preserve"> 12 MONTHS</v>
          </cell>
          <cell r="K78">
            <v>3651480</v>
          </cell>
          <cell r="L78">
            <v>54772</v>
          </cell>
          <cell r="M78" t="str">
            <v>1.50</v>
          </cell>
          <cell r="N78" t="str">
            <v>SALAM TAKAFUL Insurance Ltd-WTO</v>
          </cell>
          <cell r="O78" t="str">
            <v>KHI/HO/D/MO/PC COMP/C/107466/1/02/2025</v>
          </cell>
          <cell r="P78">
            <v>54772</v>
          </cell>
          <cell r="Q78">
            <v>0</v>
          </cell>
          <cell r="R78" t="str">
            <v>REN</v>
          </cell>
        </row>
        <row r="79">
          <cell r="E79" t="str">
            <v>6R209443</v>
          </cell>
          <cell r="F79" t="str">
            <v>NF1AET306H1109616</v>
          </cell>
          <cell r="G79" t="str">
            <v>AHG-659</v>
          </cell>
          <cell r="H79">
            <v>45708</v>
          </cell>
          <cell r="I79">
            <v>46073</v>
          </cell>
          <cell r="J79" t="str">
            <v xml:space="preserve"> 12 MONTHS</v>
          </cell>
          <cell r="K79">
            <v>973215</v>
          </cell>
          <cell r="L79">
            <v>14598</v>
          </cell>
          <cell r="M79" t="str">
            <v>1.50</v>
          </cell>
          <cell r="N79" t="str">
            <v>SALAM TAKAFUL Insurance Ltd-WTO</v>
          </cell>
          <cell r="O79" t="str">
            <v>KHI/HO/D/MO/PC COMP/C/107465/1/02/2025</v>
          </cell>
          <cell r="P79">
            <v>14598</v>
          </cell>
          <cell r="Q79">
            <v>0</v>
          </cell>
          <cell r="R79" t="str">
            <v>REN</v>
          </cell>
        </row>
        <row r="80">
          <cell r="E80" t="str">
            <v>G4NANU264046</v>
          </cell>
          <cell r="F80" t="str">
            <v>PMHJ2813MPN212041</v>
          </cell>
          <cell r="G80" t="str">
            <v>ANY-474</v>
          </cell>
          <cell r="H80">
            <v>45713</v>
          </cell>
          <cell r="I80">
            <v>46078</v>
          </cell>
          <cell r="J80" t="str">
            <v xml:space="preserve"> 12 MONTHS</v>
          </cell>
          <cell r="K80">
            <v>5604390</v>
          </cell>
          <cell r="L80">
            <v>84066</v>
          </cell>
          <cell r="M80" t="str">
            <v>1.50</v>
          </cell>
          <cell r="N80" t="str">
            <v>SALAM TAKAFUL Insurance Ltd-WTO</v>
          </cell>
          <cell r="O80" t="str">
            <v>KHI/HO/D/MO/PC COMP/C/107466/2/02/2025</v>
          </cell>
          <cell r="P80">
            <v>84066</v>
          </cell>
          <cell r="Q80">
            <v>0</v>
          </cell>
          <cell r="R80" t="str">
            <v>REN</v>
          </cell>
        </row>
        <row r="81">
          <cell r="E81" t="str">
            <v>R18Z12906219</v>
          </cell>
          <cell r="F81" t="str">
            <v>NFBFC6669GR008808</v>
          </cell>
          <cell r="G81" t="str">
            <v>LE-17-2771</v>
          </cell>
          <cell r="H81">
            <v>45713</v>
          </cell>
          <cell r="I81">
            <v>46078</v>
          </cell>
          <cell r="J81" t="str">
            <v xml:space="preserve"> 12 MONTHS</v>
          </cell>
          <cell r="K81">
            <v>3735000</v>
          </cell>
          <cell r="L81">
            <v>56025</v>
          </cell>
          <cell r="M81" t="str">
            <v>1.50</v>
          </cell>
          <cell r="N81" t="str">
            <v>SALAM TAKAFUL Insurance Ltd-WTO</v>
          </cell>
          <cell r="O81" t="str">
            <v>KHI/HO/D/MO/PC COMP/C/107462/3/02/2025</v>
          </cell>
          <cell r="P81">
            <v>56025</v>
          </cell>
          <cell r="Q81">
            <v>0</v>
          </cell>
          <cell r="R81" t="str">
            <v>REN</v>
          </cell>
        </row>
        <row r="82">
          <cell r="E82" t="str">
            <v>L15Z81013367</v>
          </cell>
          <cell r="F82" t="str">
            <v>NFBGN9645PR030352</v>
          </cell>
          <cell r="G82" t="str">
            <v>BBH-736-ICT</v>
          </cell>
          <cell r="H82">
            <v>45703</v>
          </cell>
          <cell r="I82">
            <v>46068</v>
          </cell>
          <cell r="J82" t="str">
            <v xml:space="preserve"> 12 MONTHS</v>
          </cell>
          <cell r="K82">
            <v>3389040</v>
          </cell>
          <cell r="L82">
            <v>50836</v>
          </cell>
          <cell r="M82" t="str">
            <v>1.50</v>
          </cell>
          <cell r="N82" t="str">
            <v>SALAM TAKAFUL Insurance Ltd-WTO</v>
          </cell>
          <cell r="O82" t="str">
            <v>KHI/HO/D/MO/PC COMP/C/107574/3/02/2025</v>
          </cell>
          <cell r="P82">
            <v>50836</v>
          </cell>
          <cell r="Q82">
            <v>0</v>
          </cell>
          <cell r="R82" t="str">
            <v>REN</v>
          </cell>
        </row>
        <row r="83">
          <cell r="E83" t="str">
            <v>2A43360</v>
          </cell>
          <cell r="F83" t="str">
            <v>NSP151R-9516116</v>
          </cell>
          <cell r="G83" t="str">
            <v>AXC-559-ICT</v>
          </cell>
          <cell r="H83">
            <v>45708</v>
          </cell>
          <cell r="I83">
            <v>46073</v>
          </cell>
          <cell r="J83" t="str">
            <v xml:space="preserve"> 12 MONTHS</v>
          </cell>
          <cell r="K83">
            <v>2138157</v>
          </cell>
          <cell r="L83">
            <v>32072</v>
          </cell>
          <cell r="M83" t="str">
            <v>1.50</v>
          </cell>
          <cell r="N83" t="str">
            <v>SALAM TAKAFUL Insurance Ltd-WTO</v>
          </cell>
          <cell r="O83" t="str">
            <v>KHI/HO/D/MO/PC COMP/C/107574/1/02/2025</v>
          </cell>
          <cell r="P83">
            <v>32072</v>
          </cell>
          <cell r="Q83">
            <v>0</v>
          </cell>
          <cell r="R83" t="str">
            <v>REN</v>
          </cell>
        </row>
        <row r="84">
          <cell r="E84" t="str">
            <v>PK10B245401</v>
          </cell>
          <cell r="F84" t="str">
            <v>A1J310PK10145402</v>
          </cell>
          <cell r="G84" t="str">
            <v>AQV-501-PUNJAB</v>
          </cell>
          <cell r="H84">
            <v>45713</v>
          </cell>
          <cell r="I84">
            <v>46078</v>
          </cell>
          <cell r="J84" t="str">
            <v xml:space="preserve"> 12 MONTHS</v>
          </cell>
          <cell r="K84">
            <v>2980799</v>
          </cell>
          <cell r="L84">
            <v>44712</v>
          </cell>
          <cell r="M84" t="str">
            <v>1.50</v>
          </cell>
          <cell r="N84" t="str">
            <v>SALAM TAKAFUL Insurance Ltd-WTO</v>
          </cell>
          <cell r="O84" t="str">
            <v>KHI/HO/D/MO/PC COMP/C/107572/1/02/2025</v>
          </cell>
          <cell r="P84">
            <v>44712</v>
          </cell>
          <cell r="Q84">
            <v>0</v>
          </cell>
          <cell r="R84" t="str">
            <v>REN</v>
          </cell>
        </row>
        <row r="85">
          <cell r="E85" t="str">
            <v>L15ZG1000772</v>
          </cell>
          <cell r="F85" t="str">
            <v>NFBRV3857NR000777</v>
          </cell>
          <cell r="G85" t="str">
            <v>ANJ-397-PUNJAB</v>
          </cell>
          <cell r="H85">
            <v>45721</v>
          </cell>
          <cell r="I85">
            <v>46086</v>
          </cell>
          <cell r="J85" t="str">
            <v xml:space="preserve"> 12 MONTHS</v>
          </cell>
          <cell r="K85">
            <v>5041440</v>
          </cell>
          <cell r="L85">
            <v>75622</v>
          </cell>
          <cell r="M85" t="str">
            <v>1.50</v>
          </cell>
          <cell r="N85" t="str">
            <v>SALAM TAKAFUL Insurance Ltd-WTO</v>
          </cell>
          <cell r="O85" t="str">
            <v>KHI/HO/D/MO/PC COMP/C/107574/5/02/2025</v>
          </cell>
          <cell r="P85">
            <v>75622</v>
          </cell>
          <cell r="Q85">
            <v>0</v>
          </cell>
          <cell r="R85" t="str">
            <v>REN</v>
          </cell>
        </row>
        <row r="86">
          <cell r="E86" t="str">
            <v>JL473QFN3CAD506160</v>
          </cell>
          <cell r="F86" t="str">
            <v>NKMA2ASER5R1011450</v>
          </cell>
          <cell r="G86" t="str">
            <v>AQX-242-Punjab</v>
          </cell>
          <cell r="H86">
            <v>45721</v>
          </cell>
          <cell r="I86">
            <v>46086</v>
          </cell>
          <cell r="J86" t="str">
            <v xml:space="preserve"> 12 MONTHS</v>
          </cell>
          <cell r="K86">
            <v>4094100</v>
          </cell>
          <cell r="L86">
            <v>61412</v>
          </cell>
          <cell r="M86" t="str">
            <v>1.50</v>
          </cell>
          <cell r="N86" t="str">
            <v>SALAM TAKAFUL Insurance Ltd-WTO</v>
          </cell>
          <cell r="O86" t="str">
            <v>KHI/HO/D/MO/PC COMP/C/107572/2/02/2025</v>
          </cell>
          <cell r="P86">
            <v>61412</v>
          </cell>
          <cell r="Q86">
            <v>0</v>
          </cell>
          <cell r="R86" t="str">
            <v>REN</v>
          </cell>
        </row>
        <row r="87">
          <cell r="E87" t="str">
            <v>Q106823</v>
          </cell>
          <cell r="F87" t="str">
            <v>ZRE171R-6084309</v>
          </cell>
          <cell r="G87" t="str">
            <v>BDB-105-ICT</v>
          </cell>
          <cell r="H87">
            <v>45726</v>
          </cell>
          <cell r="I87">
            <v>46091</v>
          </cell>
          <cell r="J87" t="str">
            <v xml:space="preserve"> 12 MONTHS</v>
          </cell>
          <cell r="K87">
            <v>6543900</v>
          </cell>
          <cell r="L87">
            <v>98159</v>
          </cell>
          <cell r="M87" t="str">
            <v>1.50</v>
          </cell>
          <cell r="N87" t="str">
            <v>SALAM TAKAFUL Insurance Ltd-WTO</v>
          </cell>
          <cell r="O87" t="str">
            <v>KHI/HO/D/MO/PC COMP/C/107572/3/02/2025</v>
          </cell>
          <cell r="P87">
            <v>98159</v>
          </cell>
          <cell r="Q87">
            <v>0</v>
          </cell>
          <cell r="R87" t="str">
            <v>REN</v>
          </cell>
        </row>
        <row r="88">
          <cell r="E88" t="str">
            <v>6R122847</v>
          </cell>
          <cell r="F88" t="str">
            <v>NF1AET306H1022766</v>
          </cell>
          <cell r="G88" t="str">
            <v>AQC-293</v>
          </cell>
          <cell r="H88">
            <v>45693</v>
          </cell>
          <cell r="I88">
            <v>46058</v>
          </cell>
          <cell r="J88" t="str">
            <v xml:space="preserve"> 12 MONTHS</v>
          </cell>
          <cell r="K88">
            <v>943603</v>
          </cell>
          <cell r="L88">
            <v>18872</v>
          </cell>
          <cell r="M88" t="str">
            <v>2</v>
          </cell>
          <cell r="N88" t="str">
            <v>SALAM TAKAFUL Insurance Ltd-WTO</v>
          </cell>
          <cell r="O88" t="str">
            <v>KHI/HO/D/MO/PC COMP/C/107573/1/02/2025</v>
          </cell>
          <cell r="P88">
            <v>18872</v>
          </cell>
          <cell r="Q88">
            <v>0</v>
          </cell>
          <cell r="R88" t="str">
            <v>REN</v>
          </cell>
        </row>
        <row r="89">
          <cell r="E89" t="str">
            <v>Z529558</v>
          </cell>
          <cell r="F89" t="str">
            <v>NZE170R-4155615</v>
          </cell>
          <cell r="G89" t="str">
            <v>AJV-872</v>
          </cell>
          <cell r="H89">
            <v>45708</v>
          </cell>
          <cell r="I89">
            <v>45889</v>
          </cell>
          <cell r="J89" t="str">
            <v xml:space="preserve"> 7 MONTHS</v>
          </cell>
          <cell r="K89">
            <v>1325651</v>
          </cell>
          <cell r="L89">
            <v>13257</v>
          </cell>
          <cell r="M89" t="str">
            <v>2</v>
          </cell>
          <cell r="N89" t="str">
            <v>SALAM TAKAFUL Insurance Ltd-WTO</v>
          </cell>
          <cell r="O89" t="str">
            <v>KHI/HO/D/MO/PC COMP/C/107573/2/02/2025</v>
          </cell>
          <cell r="P89">
            <v>26513</v>
          </cell>
          <cell r="Q89">
            <v>-13256</v>
          </cell>
          <cell r="R89" t="str">
            <v>REN</v>
          </cell>
        </row>
        <row r="90">
          <cell r="E90" t="str">
            <v>Q072188</v>
          </cell>
          <cell r="F90" t="str">
            <v>ZRE171R-6049677</v>
          </cell>
          <cell r="G90" t="str">
            <v>ASX-710-ICT</v>
          </cell>
          <cell r="H90">
            <v>45713</v>
          </cell>
          <cell r="I90">
            <v>46078</v>
          </cell>
          <cell r="J90" t="str">
            <v xml:space="preserve"> 12 MONTHS</v>
          </cell>
          <cell r="K90">
            <v>2232708</v>
          </cell>
          <cell r="L90">
            <v>44654</v>
          </cell>
          <cell r="M90" t="str">
            <v>2</v>
          </cell>
          <cell r="N90" t="str">
            <v>SALAM TAKAFUL Insurance Ltd-WTO</v>
          </cell>
          <cell r="O90" t="str">
            <v>KHI/HO/D/MO/PC COMP/C/107574/4/02/2025</v>
          </cell>
          <cell r="P90">
            <v>44654</v>
          </cell>
          <cell r="Q90">
            <v>0</v>
          </cell>
          <cell r="R90" t="str">
            <v>REN</v>
          </cell>
        </row>
        <row r="91">
          <cell r="E91" t="str">
            <v>PK10K193465</v>
          </cell>
          <cell r="F91" t="str">
            <v>NF1AVK31H10093447</v>
          </cell>
          <cell r="G91" t="str">
            <v>APL</v>
          </cell>
          <cell r="H91">
            <v>45721</v>
          </cell>
          <cell r="I91">
            <v>46086</v>
          </cell>
          <cell r="J91" t="str">
            <v xml:space="preserve"> 12 MONTHS</v>
          </cell>
          <cell r="K91">
            <v>1298349</v>
          </cell>
          <cell r="L91">
            <v>19475</v>
          </cell>
          <cell r="M91" t="str">
            <v>1.50</v>
          </cell>
          <cell r="N91" t="str">
            <v>SALAM TAKAFUL Insurance Ltd-WTO</v>
          </cell>
          <cell r="O91" t="str">
            <v>KHI/HO/D/MO/PC COMP/C/107574/2/02/2025</v>
          </cell>
          <cell r="P91">
            <v>19475</v>
          </cell>
          <cell r="Q91">
            <v>0</v>
          </cell>
          <cell r="R91" t="str">
            <v>REN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"/>
  <sheetViews>
    <sheetView topLeftCell="O85" workbookViewId="0">
      <selection activeCell="Q2" sqref="Q2:Q91"/>
    </sheetView>
  </sheetViews>
  <sheetFormatPr defaultRowHeight="15" x14ac:dyDescent="0.25"/>
  <cols>
    <col min="1" max="1" width="18.28515625" hidden="1" customWidth="1"/>
    <col min="2" max="2" width="10.28515625" hidden="1" customWidth="1"/>
    <col min="3" max="3" width="30.7109375" hidden="1" customWidth="1"/>
    <col min="4" max="4" width="34.42578125" hidden="1" customWidth="1"/>
    <col min="5" max="5" width="21.85546875" hidden="1" customWidth="1"/>
    <col min="6" max="6" width="21.5703125" hidden="1" customWidth="1"/>
    <col min="7" max="7" width="18.42578125" hidden="1" customWidth="1"/>
    <col min="8" max="8" width="9.85546875" hidden="1" customWidth="1"/>
    <col min="9" max="9" width="11" hidden="1" customWidth="1"/>
    <col min="10" max="10" width="11.7109375" hidden="1" customWidth="1"/>
    <col min="11" max="11" width="14.140625" hidden="1" customWidth="1"/>
    <col min="12" max="12" width="17" hidden="1" customWidth="1"/>
    <col min="13" max="13" width="19" hidden="1" customWidth="1"/>
    <col min="14" max="14" width="33.28515625" hidden="1" customWidth="1"/>
    <col min="15" max="15" width="40.140625" bestFit="1" customWidth="1"/>
    <col min="16" max="16" width="43.140625" bestFit="1" customWidth="1"/>
    <col min="17" max="17" width="12.85546875" bestFit="1" customWidth="1"/>
    <col min="18" max="18" width="17.28515625" bestFit="1" customWidth="1"/>
  </cols>
  <sheetData>
    <row r="1" spans="1:19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530</v>
      </c>
      <c r="P1" s="8" t="s">
        <v>533</v>
      </c>
      <c r="Q1" s="8" t="s">
        <v>531</v>
      </c>
      <c r="R1" s="8" t="s">
        <v>532</v>
      </c>
      <c r="S1" s="8" t="s">
        <v>536</v>
      </c>
    </row>
    <row r="2" spans="1:19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2">
        <v>45726</v>
      </c>
      <c r="I2" s="3">
        <v>46091</v>
      </c>
      <c r="J2" s="1" t="s">
        <v>21</v>
      </c>
      <c r="K2" s="4">
        <v>1000917</v>
      </c>
      <c r="L2" s="4">
        <v>15014</v>
      </c>
      <c r="M2" s="1" t="s">
        <v>22</v>
      </c>
      <c r="N2" s="1" t="s">
        <v>23</v>
      </c>
      <c r="O2" s="1" t="s">
        <v>537</v>
      </c>
      <c r="P2" s="1"/>
      <c r="Q2" s="4">
        <f>VLOOKUP(O2,[1]Sheet1!$O$2:$P$91,2,0)</f>
        <v>15014</v>
      </c>
      <c r="R2" s="6">
        <f t="shared" ref="R2:R37" si="0">Q2-L2</f>
        <v>0</v>
      </c>
      <c r="S2" s="1" t="str">
        <f>VLOOKUP(E2,[1]Sheet1!$E$2:$R$91,14,0)</f>
        <v>REN</v>
      </c>
    </row>
    <row r="3" spans="1:19" x14ac:dyDescent="0.25">
      <c r="A3" s="1" t="s">
        <v>24</v>
      </c>
      <c r="B3" s="1" t="s">
        <v>15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2">
        <v>45708</v>
      </c>
      <c r="I3" s="3">
        <v>46073</v>
      </c>
      <c r="J3" s="1" t="s">
        <v>21</v>
      </c>
      <c r="K3" s="4">
        <v>1909251</v>
      </c>
      <c r="L3" s="4">
        <v>28639</v>
      </c>
      <c r="M3" s="1" t="s">
        <v>22</v>
      </c>
      <c r="N3" s="1" t="s">
        <v>23</v>
      </c>
      <c r="O3" s="1" t="s">
        <v>538</v>
      </c>
      <c r="P3" s="1"/>
      <c r="Q3" s="4">
        <f>VLOOKUP(O3,[1]Sheet1!$O$2:$P$91,2,0)</f>
        <v>28639</v>
      </c>
      <c r="R3" s="6">
        <f t="shared" si="0"/>
        <v>0</v>
      </c>
      <c r="S3" s="1" t="str">
        <f>VLOOKUP(E3,[1]Sheet1!$E$2:$R$91,14,0)</f>
        <v>REN</v>
      </c>
    </row>
    <row r="4" spans="1:19" x14ac:dyDescent="0.25">
      <c r="A4" s="1" t="s">
        <v>30</v>
      </c>
      <c r="B4" s="1" t="s">
        <v>15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2">
        <v>45721</v>
      </c>
      <c r="I4" s="3">
        <v>46086</v>
      </c>
      <c r="J4" s="1" t="s">
        <v>21</v>
      </c>
      <c r="K4" s="4">
        <v>1108809</v>
      </c>
      <c r="L4" s="4">
        <v>16632</v>
      </c>
      <c r="M4" s="1" t="s">
        <v>22</v>
      </c>
      <c r="N4" s="1" t="s">
        <v>23</v>
      </c>
      <c r="O4" s="1" t="s">
        <v>539</v>
      </c>
      <c r="P4" s="1"/>
      <c r="Q4" s="4">
        <f>VLOOKUP(O4,[1]Sheet1!$O$2:$P$91,2,0)</f>
        <v>16632</v>
      </c>
      <c r="R4" s="6">
        <f t="shared" si="0"/>
        <v>0</v>
      </c>
      <c r="S4" s="1" t="str">
        <f>VLOOKUP(E4,[1]Sheet1!$E$2:$R$91,14,0)</f>
        <v>REN</v>
      </c>
    </row>
    <row r="5" spans="1:19" x14ac:dyDescent="0.25">
      <c r="A5" s="1" t="s">
        <v>36</v>
      </c>
      <c r="B5" s="1" t="s">
        <v>15</v>
      </c>
      <c r="C5" s="1" t="s">
        <v>37</v>
      </c>
      <c r="D5" s="1" t="s">
        <v>17</v>
      </c>
      <c r="E5" s="1" t="s">
        <v>38</v>
      </c>
      <c r="F5" s="1" t="s">
        <v>39</v>
      </c>
      <c r="G5" s="1" t="s">
        <v>40</v>
      </c>
      <c r="H5" s="2">
        <v>45726</v>
      </c>
      <c r="I5" s="3">
        <v>46091</v>
      </c>
      <c r="J5" s="1" t="s">
        <v>21</v>
      </c>
      <c r="K5" s="4">
        <v>1000917</v>
      </c>
      <c r="L5" s="4">
        <v>15014</v>
      </c>
      <c r="M5" s="1" t="s">
        <v>22</v>
      </c>
      <c r="N5" s="1" t="s">
        <v>23</v>
      </c>
      <c r="O5" s="1" t="s">
        <v>540</v>
      </c>
      <c r="P5" s="1"/>
      <c r="Q5" s="4">
        <f>VLOOKUP(O5,[1]Sheet1!$O$2:$P$91,2,0)</f>
        <v>15014</v>
      </c>
      <c r="R5" s="6">
        <f t="shared" si="0"/>
        <v>0</v>
      </c>
      <c r="S5" s="1" t="str">
        <f>VLOOKUP(E5,[1]Sheet1!$E$2:$R$91,14,0)</f>
        <v>REN</v>
      </c>
    </row>
    <row r="6" spans="1:19" x14ac:dyDescent="0.25">
      <c r="A6" s="1" t="s">
        <v>41</v>
      </c>
      <c r="B6" s="1" t="s">
        <v>15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2">
        <v>45726</v>
      </c>
      <c r="I6" s="3">
        <v>46091</v>
      </c>
      <c r="J6" s="1" t="s">
        <v>21</v>
      </c>
      <c r="K6" s="4">
        <v>1298349</v>
      </c>
      <c r="L6" s="4">
        <v>19475</v>
      </c>
      <c r="M6" s="1" t="s">
        <v>22</v>
      </c>
      <c r="N6" s="1" t="s">
        <v>23</v>
      </c>
      <c r="O6" s="1" t="s">
        <v>541</v>
      </c>
      <c r="P6" s="1"/>
      <c r="Q6" s="4">
        <f>VLOOKUP(O6,[1]Sheet1!$O$2:$P$91,2,0)</f>
        <v>19475</v>
      </c>
      <c r="R6" s="6">
        <f t="shared" si="0"/>
        <v>0</v>
      </c>
      <c r="S6" s="1" t="str">
        <f>VLOOKUP(E6,[1]Sheet1!$E$2:$R$91,14,0)</f>
        <v>REN</v>
      </c>
    </row>
    <row r="7" spans="1:19" x14ac:dyDescent="0.25">
      <c r="A7" s="1" t="s">
        <v>47</v>
      </c>
      <c r="B7" s="1" t="s">
        <v>15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2">
        <v>45731</v>
      </c>
      <c r="I7" s="3">
        <v>46096</v>
      </c>
      <c r="J7" s="1" t="s">
        <v>21</v>
      </c>
      <c r="K7" s="4">
        <v>1140156</v>
      </c>
      <c r="L7" s="4">
        <v>17102</v>
      </c>
      <c r="M7" s="1" t="s">
        <v>22</v>
      </c>
      <c r="N7" s="1" t="s">
        <v>23</v>
      </c>
      <c r="O7" s="1" t="s">
        <v>542</v>
      </c>
      <c r="P7" s="1"/>
      <c r="Q7" s="4">
        <f>VLOOKUP(O7,[1]Sheet1!$O$2:$P$91,2,0)</f>
        <v>17102</v>
      </c>
      <c r="R7" s="6">
        <f t="shared" si="0"/>
        <v>0</v>
      </c>
      <c r="S7" s="1" t="str">
        <f>VLOOKUP(E7,[1]Sheet1!$E$2:$R$91,14,0)</f>
        <v>REN</v>
      </c>
    </row>
    <row r="8" spans="1:19" x14ac:dyDescent="0.25">
      <c r="A8" s="1" t="s">
        <v>53</v>
      </c>
      <c r="B8" s="1" t="s">
        <v>15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2">
        <v>45721</v>
      </c>
      <c r="I8" s="3">
        <v>46086</v>
      </c>
      <c r="J8" s="1" t="s">
        <v>21</v>
      </c>
      <c r="K8" s="4">
        <v>1239300</v>
      </c>
      <c r="L8" s="4">
        <v>18590</v>
      </c>
      <c r="M8" s="1" t="s">
        <v>22</v>
      </c>
      <c r="N8" s="1" t="s">
        <v>23</v>
      </c>
      <c r="O8" s="1" t="s">
        <v>543</v>
      </c>
      <c r="P8" s="1"/>
      <c r="Q8" s="4">
        <f>VLOOKUP(O8,[1]Sheet1!$O$2:$P$91,2,0)</f>
        <v>18590</v>
      </c>
      <c r="R8" s="6">
        <f t="shared" si="0"/>
        <v>0</v>
      </c>
      <c r="S8" s="1" t="str">
        <f>VLOOKUP(E8,[1]Sheet1!$E$2:$R$91,14,0)</f>
        <v>REN</v>
      </c>
    </row>
    <row r="9" spans="1:19" x14ac:dyDescent="0.25">
      <c r="A9" s="1" t="s">
        <v>59</v>
      </c>
      <c r="B9" s="1" t="s">
        <v>15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2">
        <v>45721</v>
      </c>
      <c r="I9" s="3">
        <v>46086</v>
      </c>
      <c r="J9" s="1" t="s">
        <v>21</v>
      </c>
      <c r="K9" s="4">
        <v>1939140</v>
      </c>
      <c r="L9" s="4">
        <v>29087</v>
      </c>
      <c r="M9" s="1" t="s">
        <v>22</v>
      </c>
      <c r="N9" s="1" t="s">
        <v>23</v>
      </c>
      <c r="O9" s="1" t="s">
        <v>544</v>
      </c>
      <c r="P9" s="1"/>
      <c r="Q9" s="4">
        <f>VLOOKUP(O9,[1]Sheet1!$O$2:$P$91,2,0)</f>
        <v>29087</v>
      </c>
      <c r="R9" s="6">
        <f t="shared" si="0"/>
        <v>0</v>
      </c>
      <c r="S9" s="1" t="str">
        <f>VLOOKUP(E9,[1]Sheet1!$E$2:$R$91,14,0)</f>
        <v>REN</v>
      </c>
    </row>
    <row r="10" spans="1:19" x14ac:dyDescent="0.25">
      <c r="A10" s="1" t="s">
        <v>65</v>
      </c>
      <c r="B10" s="1" t="s">
        <v>15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2">
        <v>45721</v>
      </c>
      <c r="I10" s="3">
        <v>46086</v>
      </c>
      <c r="J10" s="1" t="s">
        <v>21</v>
      </c>
      <c r="K10" s="4">
        <v>4455000</v>
      </c>
      <c r="L10" s="4">
        <v>66825</v>
      </c>
      <c r="M10" s="1" t="s">
        <v>22</v>
      </c>
      <c r="N10" s="1" t="s">
        <v>23</v>
      </c>
      <c r="O10" s="1" t="s">
        <v>545</v>
      </c>
      <c r="P10" s="1"/>
      <c r="Q10" s="4">
        <f>VLOOKUP(O10,[1]Sheet1!$O$2:$P$91,2,0)</f>
        <v>66825</v>
      </c>
      <c r="R10" s="6">
        <f t="shared" si="0"/>
        <v>0</v>
      </c>
      <c r="S10" s="1" t="str">
        <f>VLOOKUP(E10,[1]Sheet1!$E$2:$R$91,14,0)</f>
        <v>REN</v>
      </c>
    </row>
    <row r="11" spans="1:19" x14ac:dyDescent="0.25">
      <c r="A11" s="1" t="s">
        <v>71</v>
      </c>
      <c r="B11" s="1" t="s">
        <v>15</v>
      </c>
      <c r="C11" s="1" t="s">
        <v>72</v>
      </c>
      <c r="D11" s="1" t="s">
        <v>17</v>
      </c>
      <c r="E11" s="1" t="s">
        <v>73</v>
      </c>
      <c r="F11" s="1" t="s">
        <v>74</v>
      </c>
      <c r="G11" s="1" t="s">
        <v>58</v>
      </c>
      <c r="H11" s="2">
        <v>45703</v>
      </c>
      <c r="I11" s="3">
        <v>46068</v>
      </c>
      <c r="J11" s="1" t="s">
        <v>21</v>
      </c>
      <c r="K11" s="4">
        <v>2350800</v>
      </c>
      <c r="L11" s="4">
        <v>35262</v>
      </c>
      <c r="M11" s="1" t="s">
        <v>22</v>
      </c>
      <c r="N11" s="1" t="s">
        <v>23</v>
      </c>
      <c r="O11" s="1" t="s">
        <v>546</v>
      </c>
      <c r="P11" s="1"/>
      <c r="Q11" s="4">
        <f>VLOOKUP(O11,[1]Sheet1!$O$2:$P$91,2,0)</f>
        <v>35262</v>
      </c>
      <c r="R11" s="6">
        <f t="shared" si="0"/>
        <v>0</v>
      </c>
      <c r="S11" s="1" t="str">
        <f>VLOOKUP(E11,[1]Sheet1!$E$2:$R$91,14,0)</f>
        <v>REN</v>
      </c>
    </row>
    <row r="12" spans="1:19" x14ac:dyDescent="0.25">
      <c r="A12" s="1" t="s">
        <v>75</v>
      </c>
      <c r="B12" s="1" t="s">
        <v>15</v>
      </c>
      <c r="C12" s="1" t="s">
        <v>76</v>
      </c>
      <c r="D12" s="1" t="s">
        <v>17</v>
      </c>
      <c r="E12" s="1" t="s">
        <v>77</v>
      </c>
      <c r="F12" s="1" t="s">
        <v>78</v>
      </c>
      <c r="G12" s="1" t="s">
        <v>58</v>
      </c>
      <c r="H12" s="2">
        <v>45698</v>
      </c>
      <c r="I12" s="3">
        <v>46063</v>
      </c>
      <c r="J12" s="1" t="s">
        <v>21</v>
      </c>
      <c r="K12" s="4">
        <v>2350800</v>
      </c>
      <c r="L12" s="4">
        <v>35262</v>
      </c>
      <c r="M12" s="1" t="s">
        <v>22</v>
      </c>
      <c r="N12" s="1" t="s">
        <v>23</v>
      </c>
      <c r="O12" s="1" t="s">
        <v>547</v>
      </c>
      <c r="P12" s="1"/>
      <c r="Q12" s="4">
        <f>VLOOKUP(O12,[1]Sheet1!$O$2:$P$91,2,0)</f>
        <v>35262</v>
      </c>
      <c r="R12" s="6">
        <f t="shared" si="0"/>
        <v>0</v>
      </c>
      <c r="S12" s="1" t="str">
        <f>VLOOKUP(E12,[1]Sheet1!$E$2:$R$91,14,0)</f>
        <v>REN</v>
      </c>
    </row>
    <row r="13" spans="1:19" x14ac:dyDescent="0.25">
      <c r="A13" s="1" t="s">
        <v>79</v>
      </c>
      <c r="B13" s="1" t="s">
        <v>15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H13" s="2">
        <v>45721</v>
      </c>
      <c r="I13" s="3">
        <v>46086</v>
      </c>
      <c r="J13" s="1" t="s">
        <v>21</v>
      </c>
      <c r="K13" s="4">
        <v>3645000</v>
      </c>
      <c r="L13" s="4">
        <v>54675</v>
      </c>
      <c r="M13" s="1" t="s">
        <v>22</v>
      </c>
      <c r="N13" s="1" t="s">
        <v>23</v>
      </c>
      <c r="O13" s="1" t="s">
        <v>548</v>
      </c>
      <c r="P13" s="1"/>
      <c r="Q13" s="4">
        <f>VLOOKUP(O13,[1]Sheet1!$O$2:$P$91,2,0)</f>
        <v>54675</v>
      </c>
      <c r="R13" s="6">
        <f t="shared" si="0"/>
        <v>0</v>
      </c>
      <c r="S13" s="1" t="str">
        <f>VLOOKUP(E13,[1]Sheet1!$E$2:$R$91,14,0)</f>
        <v>REN</v>
      </c>
    </row>
    <row r="14" spans="1:19" x14ac:dyDescent="0.25">
      <c r="A14" s="1" t="s">
        <v>85</v>
      </c>
      <c r="B14" s="1" t="s">
        <v>15</v>
      </c>
      <c r="C14" s="1" t="s">
        <v>86</v>
      </c>
      <c r="D14" s="1" t="s">
        <v>67</v>
      </c>
      <c r="E14" s="1" t="s">
        <v>87</v>
      </c>
      <c r="F14" s="1" t="s">
        <v>88</v>
      </c>
      <c r="G14" s="1" t="s">
        <v>89</v>
      </c>
      <c r="H14" s="2">
        <v>45726</v>
      </c>
      <c r="I14" s="3">
        <v>46091</v>
      </c>
      <c r="J14" s="1" t="s">
        <v>21</v>
      </c>
      <c r="K14" s="4">
        <v>4050000</v>
      </c>
      <c r="L14" s="4">
        <v>60750</v>
      </c>
      <c r="M14" s="1" t="s">
        <v>22</v>
      </c>
      <c r="N14" s="1" t="s">
        <v>23</v>
      </c>
      <c r="O14" s="1" t="s">
        <v>549</v>
      </c>
      <c r="P14" s="1"/>
      <c r="Q14" s="4">
        <f>VLOOKUP(O14,[1]Sheet1!$O$2:$P$91,2,0)</f>
        <v>60750</v>
      </c>
      <c r="R14" s="6">
        <f t="shared" si="0"/>
        <v>0</v>
      </c>
      <c r="S14" s="1" t="str">
        <f>VLOOKUP(E14,[1]Sheet1!$E$2:$R$91,14,0)</f>
        <v>REN</v>
      </c>
    </row>
    <row r="15" spans="1:19" x14ac:dyDescent="0.25">
      <c r="A15" s="1" t="s">
        <v>90</v>
      </c>
      <c r="B15" s="1" t="s">
        <v>15</v>
      </c>
      <c r="C15" s="1" t="s">
        <v>91</v>
      </c>
      <c r="D15" s="1" t="s">
        <v>92</v>
      </c>
      <c r="E15" s="1" t="s">
        <v>93</v>
      </c>
      <c r="F15" s="1" t="s">
        <v>94</v>
      </c>
      <c r="G15" s="1" t="s">
        <v>95</v>
      </c>
      <c r="H15" s="2">
        <v>45713</v>
      </c>
      <c r="I15" s="3">
        <v>46078</v>
      </c>
      <c r="J15" s="1" t="s">
        <v>21</v>
      </c>
      <c r="K15" s="4">
        <v>2880000</v>
      </c>
      <c r="L15" s="4">
        <v>43200</v>
      </c>
      <c r="M15" s="1" t="s">
        <v>22</v>
      </c>
      <c r="N15" s="1" t="s">
        <v>23</v>
      </c>
      <c r="O15" s="1" t="s">
        <v>550</v>
      </c>
      <c r="P15" s="1"/>
      <c r="Q15" s="4">
        <f>VLOOKUP(O15,[1]Sheet1!$O$2:$P$91,2,0)</f>
        <v>43200</v>
      </c>
      <c r="R15" s="6">
        <f t="shared" si="0"/>
        <v>0</v>
      </c>
      <c r="S15" s="1" t="str">
        <f>VLOOKUP(E15,[1]Sheet1!$E$2:$R$91,14,0)</f>
        <v>REN</v>
      </c>
    </row>
    <row r="16" spans="1:19" x14ac:dyDescent="0.25">
      <c r="A16" s="1" t="s">
        <v>96</v>
      </c>
      <c r="B16" s="1" t="s">
        <v>15</v>
      </c>
      <c r="C16" s="1" t="s">
        <v>97</v>
      </c>
      <c r="D16" s="1" t="s">
        <v>26</v>
      </c>
      <c r="E16" s="1" t="s">
        <v>98</v>
      </c>
      <c r="F16" s="1" t="s">
        <v>99</v>
      </c>
      <c r="G16" s="1" t="s">
        <v>100</v>
      </c>
      <c r="H16" s="2">
        <v>45713</v>
      </c>
      <c r="I16" s="3">
        <v>46078</v>
      </c>
      <c r="J16" s="1" t="s">
        <v>21</v>
      </c>
      <c r="K16" s="4">
        <v>3015000</v>
      </c>
      <c r="L16" s="4">
        <v>45225</v>
      </c>
      <c r="M16" s="1" t="s">
        <v>22</v>
      </c>
      <c r="N16" s="1" t="s">
        <v>23</v>
      </c>
      <c r="O16" s="1" t="s">
        <v>551</v>
      </c>
      <c r="P16" s="1"/>
      <c r="Q16" s="4">
        <f>VLOOKUP(O16,[1]Sheet1!$O$2:$P$91,2,0)</f>
        <v>45225</v>
      </c>
      <c r="R16" s="6">
        <f t="shared" si="0"/>
        <v>0</v>
      </c>
      <c r="S16" s="1" t="str">
        <f>VLOOKUP(E16,[1]Sheet1!$E$2:$R$91,14,0)</f>
        <v>REN</v>
      </c>
    </row>
    <row r="17" spans="1:19" x14ac:dyDescent="0.25">
      <c r="A17" s="1" t="s">
        <v>101</v>
      </c>
      <c r="B17" s="1" t="s">
        <v>15</v>
      </c>
      <c r="C17" s="1" t="s">
        <v>102</v>
      </c>
      <c r="D17" s="1" t="s">
        <v>103</v>
      </c>
      <c r="E17" s="1" t="s">
        <v>104</v>
      </c>
      <c r="F17" s="1" t="s">
        <v>105</v>
      </c>
      <c r="G17" s="1" t="s">
        <v>58</v>
      </c>
      <c r="H17" s="2">
        <v>45713</v>
      </c>
      <c r="I17" s="3">
        <v>46078</v>
      </c>
      <c r="J17" s="1" t="s">
        <v>21</v>
      </c>
      <c r="K17" s="4">
        <v>4372200</v>
      </c>
      <c r="L17" s="4">
        <v>65583</v>
      </c>
      <c r="M17" s="1" t="s">
        <v>22</v>
      </c>
      <c r="N17" s="1" t="s">
        <v>23</v>
      </c>
      <c r="O17" s="1" t="s">
        <v>552</v>
      </c>
      <c r="P17" s="1"/>
      <c r="Q17" s="4">
        <f>VLOOKUP(O17,[1]Sheet1!$O$2:$P$91,2,0)</f>
        <v>65583</v>
      </c>
      <c r="R17" s="6">
        <f t="shared" si="0"/>
        <v>0</v>
      </c>
      <c r="S17" s="1" t="str">
        <f>VLOOKUP(E17,[1]Sheet1!$E$2:$R$91,14,0)</f>
        <v>REN</v>
      </c>
    </row>
    <row r="18" spans="1:19" x14ac:dyDescent="0.25">
      <c r="A18" s="1" t="s">
        <v>106</v>
      </c>
      <c r="B18" s="1" t="s">
        <v>15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111</v>
      </c>
      <c r="H18" s="2">
        <v>45721</v>
      </c>
      <c r="I18" s="3">
        <v>46086</v>
      </c>
      <c r="J18" s="1" t="s">
        <v>21</v>
      </c>
      <c r="K18" s="4">
        <v>2700000</v>
      </c>
      <c r="L18" s="4">
        <v>40500</v>
      </c>
      <c r="M18" s="1" t="s">
        <v>22</v>
      </c>
      <c r="N18" s="1" t="s">
        <v>23</v>
      </c>
      <c r="O18" s="1" t="s">
        <v>553</v>
      </c>
      <c r="P18" s="1"/>
      <c r="Q18" s="4">
        <f>VLOOKUP(O18,[1]Sheet1!$O$2:$P$91,2,0)</f>
        <v>40500</v>
      </c>
      <c r="R18" s="6">
        <f t="shared" si="0"/>
        <v>0</v>
      </c>
      <c r="S18" s="1" t="str">
        <f>VLOOKUP(E18,[1]Sheet1!$E$2:$R$91,14,0)</f>
        <v>REN</v>
      </c>
    </row>
    <row r="19" spans="1:19" x14ac:dyDescent="0.25">
      <c r="A19" s="1" t="s">
        <v>112</v>
      </c>
      <c r="B19" s="1" t="s">
        <v>15</v>
      </c>
      <c r="C19" s="1" t="s">
        <v>113</v>
      </c>
      <c r="D19" s="1" t="s">
        <v>67</v>
      </c>
      <c r="E19" s="1" t="s">
        <v>114</v>
      </c>
      <c r="F19" s="1" t="s">
        <v>115</v>
      </c>
      <c r="G19" s="1" t="s">
        <v>116</v>
      </c>
      <c r="H19" s="2">
        <v>45721</v>
      </c>
      <c r="I19" s="3">
        <v>46086</v>
      </c>
      <c r="J19" s="1" t="s">
        <v>21</v>
      </c>
      <c r="K19" s="4">
        <v>3870000</v>
      </c>
      <c r="L19" s="4">
        <v>58050</v>
      </c>
      <c r="M19" s="1" t="s">
        <v>22</v>
      </c>
      <c r="N19" s="1" t="s">
        <v>23</v>
      </c>
      <c r="O19" s="1" t="s">
        <v>554</v>
      </c>
      <c r="P19" s="1"/>
      <c r="Q19" s="4">
        <f>VLOOKUP(O19,[1]Sheet1!$O$2:$P$91,2,0)</f>
        <v>58050</v>
      </c>
      <c r="R19" s="6">
        <f t="shared" si="0"/>
        <v>0</v>
      </c>
      <c r="S19" s="1" t="str">
        <f>VLOOKUP(E19,[1]Sheet1!$E$2:$R$91,14,0)</f>
        <v>REN</v>
      </c>
    </row>
    <row r="20" spans="1:19" x14ac:dyDescent="0.25">
      <c r="A20" s="1" t="s">
        <v>117</v>
      </c>
      <c r="B20" s="1" t="s">
        <v>15</v>
      </c>
      <c r="C20" s="1" t="s">
        <v>118</v>
      </c>
      <c r="D20" s="1" t="s">
        <v>119</v>
      </c>
      <c r="E20" s="1" t="s">
        <v>120</v>
      </c>
      <c r="F20" s="1" t="s">
        <v>121</v>
      </c>
      <c r="G20" s="1" t="s">
        <v>58</v>
      </c>
      <c r="H20" s="2">
        <v>45713</v>
      </c>
      <c r="I20" s="3">
        <v>46078</v>
      </c>
      <c r="J20" s="1" t="s">
        <v>21</v>
      </c>
      <c r="K20" s="4">
        <v>3474000</v>
      </c>
      <c r="L20" s="4">
        <v>52110</v>
      </c>
      <c r="M20" s="1" t="s">
        <v>22</v>
      </c>
      <c r="N20" s="1" t="s">
        <v>23</v>
      </c>
      <c r="O20" s="1" t="s">
        <v>555</v>
      </c>
      <c r="P20" s="1"/>
      <c r="Q20" s="4">
        <f>VLOOKUP(O20,[1]Sheet1!$O$2:$P$91,2,0)</f>
        <v>52110</v>
      </c>
      <c r="R20" s="6">
        <f t="shared" si="0"/>
        <v>0</v>
      </c>
      <c r="S20" s="1" t="str">
        <f>VLOOKUP(E20,[1]Sheet1!$E$2:$R$91,14,0)</f>
        <v>REN</v>
      </c>
    </row>
    <row r="21" spans="1:19" x14ac:dyDescent="0.25">
      <c r="A21" s="1" t="s">
        <v>122</v>
      </c>
      <c r="B21" s="1" t="s">
        <v>15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127</v>
      </c>
      <c r="H21" s="2">
        <v>45703</v>
      </c>
      <c r="I21" s="3">
        <v>46068</v>
      </c>
      <c r="J21" s="1" t="s">
        <v>21</v>
      </c>
      <c r="K21" s="4">
        <v>457039</v>
      </c>
      <c r="L21" s="4">
        <v>15082</v>
      </c>
      <c r="M21" s="1" t="s">
        <v>128</v>
      </c>
      <c r="N21" s="1" t="s">
        <v>23</v>
      </c>
      <c r="O21" s="1" t="s">
        <v>556</v>
      </c>
      <c r="P21" s="1"/>
      <c r="Q21" s="4">
        <f>VLOOKUP(O21,[1]Sheet1!$O$2:$P$91,2,0)</f>
        <v>15082</v>
      </c>
      <c r="R21" s="6">
        <f t="shared" si="0"/>
        <v>0</v>
      </c>
      <c r="S21" s="1" t="str">
        <f>VLOOKUP(E21,[1]Sheet1!$E$2:$R$91,14,0)</f>
        <v>REN</v>
      </c>
    </row>
    <row r="22" spans="1:19" x14ac:dyDescent="0.25">
      <c r="A22" s="1" t="s">
        <v>129</v>
      </c>
      <c r="B22" s="1" t="s">
        <v>15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2">
        <v>45713</v>
      </c>
      <c r="I22" s="3">
        <v>46078</v>
      </c>
      <c r="J22" s="1" t="s">
        <v>21</v>
      </c>
      <c r="K22" s="4">
        <v>1270144</v>
      </c>
      <c r="L22" s="4">
        <v>41915</v>
      </c>
      <c r="M22" s="1" t="s">
        <v>128</v>
      </c>
      <c r="N22" s="1" t="s">
        <v>23</v>
      </c>
      <c r="O22" s="1" t="s">
        <v>557</v>
      </c>
      <c r="P22" s="1"/>
      <c r="Q22" s="4">
        <f>VLOOKUP(O22,[1]Sheet1!$O$2:$P$91,2,0)</f>
        <v>41915</v>
      </c>
      <c r="R22" s="6">
        <f t="shared" si="0"/>
        <v>0</v>
      </c>
      <c r="S22" s="1" t="str">
        <f>VLOOKUP(E22,[1]Sheet1!$E$2:$R$91,14,0)</f>
        <v>REN</v>
      </c>
    </row>
    <row r="23" spans="1:19" x14ac:dyDescent="0.25">
      <c r="A23" s="1" t="s">
        <v>135</v>
      </c>
      <c r="B23" s="1" t="s">
        <v>15</v>
      </c>
      <c r="C23" s="1" t="s">
        <v>136</v>
      </c>
      <c r="D23" s="1" t="s">
        <v>137</v>
      </c>
      <c r="E23" s="1" t="s">
        <v>138</v>
      </c>
      <c r="F23" s="1" t="s">
        <v>139</v>
      </c>
      <c r="G23" s="1" t="s">
        <v>140</v>
      </c>
      <c r="H23" s="2">
        <v>45726</v>
      </c>
      <c r="I23" s="3">
        <v>46091</v>
      </c>
      <c r="J23" s="1" t="s">
        <v>21</v>
      </c>
      <c r="K23" s="4">
        <v>453850</v>
      </c>
      <c r="L23" s="4">
        <v>14977</v>
      </c>
      <c r="M23" s="1" t="s">
        <v>128</v>
      </c>
      <c r="N23" s="1" t="s">
        <v>23</v>
      </c>
      <c r="O23" s="1" t="s">
        <v>558</v>
      </c>
      <c r="P23" s="1"/>
      <c r="Q23" s="4">
        <f>VLOOKUP(O23,[1]Sheet1!$O$2:$P$91,2,0)</f>
        <v>14977</v>
      </c>
      <c r="R23" s="6">
        <f t="shared" si="0"/>
        <v>0</v>
      </c>
      <c r="S23" s="1" t="str">
        <f>VLOOKUP(E23,[1]Sheet1!$E$2:$R$91,14,0)</f>
        <v>REN</v>
      </c>
    </row>
    <row r="24" spans="1:19" x14ac:dyDescent="0.25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145</v>
      </c>
      <c r="F24" s="1" t="s">
        <v>146</v>
      </c>
      <c r="G24" s="1" t="s">
        <v>147</v>
      </c>
      <c r="H24" s="2">
        <v>45721</v>
      </c>
      <c r="I24" s="3">
        <v>46086</v>
      </c>
      <c r="J24" s="1" t="s">
        <v>21</v>
      </c>
      <c r="K24" s="4">
        <v>3483000</v>
      </c>
      <c r="L24" s="4">
        <v>52245</v>
      </c>
      <c r="M24" s="1" t="s">
        <v>22</v>
      </c>
      <c r="N24" s="1" t="s">
        <v>23</v>
      </c>
      <c r="O24" s="1" t="s">
        <v>559</v>
      </c>
      <c r="P24" s="1"/>
      <c r="Q24" s="4">
        <f>VLOOKUP(O24,[1]Sheet1!$O$2:$P$91,2,0)</f>
        <v>52245</v>
      </c>
      <c r="R24" s="6">
        <f t="shared" si="0"/>
        <v>0</v>
      </c>
      <c r="S24" s="1" t="str">
        <f>VLOOKUP(E24,[1]Sheet1!$E$2:$R$91,14,0)</f>
        <v>REN</v>
      </c>
    </row>
    <row r="25" spans="1:19" x14ac:dyDescent="0.25">
      <c r="A25" s="1" t="s">
        <v>148</v>
      </c>
      <c r="B25" s="1" t="s">
        <v>142</v>
      </c>
      <c r="C25" s="1" t="s">
        <v>149</v>
      </c>
      <c r="D25" s="1" t="s">
        <v>150</v>
      </c>
      <c r="E25" s="1" t="s">
        <v>151</v>
      </c>
      <c r="F25" s="1" t="s">
        <v>152</v>
      </c>
      <c r="G25" s="1" t="s">
        <v>153</v>
      </c>
      <c r="H25" s="2">
        <v>45708</v>
      </c>
      <c r="I25" s="3">
        <v>46073</v>
      </c>
      <c r="J25" s="1" t="s">
        <v>21</v>
      </c>
      <c r="K25" s="4">
        <v>2909804</v>
      </c>
      <c r="L25" s="4">
        <v>58196</v>
      </c>
      <c r="M25" s="1" t="s">
        <v>154</v>
      </c>
      <c r="N25" s="1" t="s">
        <v>23</v>
      </c>
      <c r="O25" s="1" t="s">
        <v>560</v>
      </c>
      <c r="P25" s="1"/>
      <c r="Q25" s="4">
        <f>VLOOKUP(O25,[1]Sheet1!$O$2:$P$91,2,0)</f>
        <v>58196</v>
      </c>
      <c r="R25" s="6">
        <f t="shared" si="0"/>
        <v>0</v>
      </c>
      <c r="S25" s="1" t="str">
        <f>VLOOKUP(E25,[1]Sheet1!$E$2:$R$91,14,0)</f>
        <v>REN</v>
      </c>
    </row>
    <row r="26" spans="1:19" x14ac:dyDescent="0.25">
      <c r="A26" s="1" t="s">
        <v>155</v>
      </c>
      <c r="B26" s="1" t="s">
        <v>156</v>
      </c>
      <c r="C26" s="1" t="s">
        <v>157</v>
      </c>
      <c r="D26" s="1" t="s">
        <v>67</v>
      </c>
      <c r="E26" s="1" t="s">
        <v>158</v>
      </c>
      <c r="F26" s="1" t="s">
        <v>159</v>
      </c>
      <c r="G26" s="1" t="s">
        <v>160</v>
      </c>
      <c r="H26" s="2">
        <v>45693</v>
      </c>
      <c r="I26" s="3">
        <v>46058</v>
      </c>
      <c r="J26" s="1" t="s">
        <v>21</v>
      </c>
      <c r="K26" s="4">
        <v>4500000</v>
      </c>
      <c r="L26" s="4">
        <v>67500</v>
      </c>
      <c r="M26" s="1" t="s">
        <v>22</v>
      </c>
      <c r="N26" s="1" t="s">
        <v>23</v>
      </c>
      <c r="O26" s="1" t="s">
        <v>561</v>
      </c>
      <c r="P26" s="1"/>
      <c r="Q26" s="4">
        <f>VLOOKUP(O26,[1]Sheet1!$O$2:$P$91,2,0)</f>
        <v>67500</v>
      </c>
      <c r="R26" s="6">
        <f t="shared" si="0"/>
        <v>0</v>
      </c>
      <c r="S26" s="1" t="str">
        <f>VLOOKUP(E26,[1]Sheet1!$E$2:$R$91,14,0)</f>
        <v>REN</v>
      </c>
    </row>
    <row r="27" spans="1:19" x14ac:dyDescent="0.25">
      <c r="A27" s="1" t="s">
        <v>161</v>
      </c>
      <c r="B27" s="1" t="s">
        <v>156</v>
      </c>
      <c r="C27" s="1" t="s">
        <v>162</v>
      </c>
      <c r="D27" s="1" t="s">
        <v>163</v>
      </c>
      <c r="E27" s="1" t="s">
        <v>164</v>
      </c>
      <c r="F27" s="1" t="s">
        <v>165</v>
      </c>
      <c r="G27" s="1" t="s">
        <v>166</v>
      </c>
      <c r="H27" s="2">
        <v>45703</v>
      </c>
      <c r="I27" s="3">
        <v>46068</v>
      </c>
      <c r="J27" s="1" t="s">
        <v>21</v>
      </c>
      <c r="K27" s="4">
        <v>2138157</v>
      </c>
      <c r="L27" s="4">
        <v>32072</v>
      </c>
      <c r="M27" s="1" t="s">
        <v>22</v>
      </c>
      <c r="N27" s="1" t="s">
        <v>23</v>
      </c>
      <c r="O27" s="1" t="s">
        <v>562</v>
      </c>
      <c r="P27" s="1"/>
      <c r="Q27" s="4">
        <f>VLOOKUP(O27,[1]Sheet1!$O$2:$P$91,2,0)</f>
        <v>32072</v>
      </c>
      <c r="R27" s="6">
        <f t="shared" si="0"/>
        <v>0</v>
      </c>
      <c r="S27" s="1" t="str">
        <f>VLOOKUP(E27,[1]Sheet1!$E$2:$R$91,14,0)</f>
        <v>REN</v>
      </c>
    </row>
    <row r="28" spans="1:19" x14ac:dyDescent="0.25">
      <c r="A28" s="1" t="s">
        <v>167</v>
      </c>
      <c r="B28" s="1" t="s">
        <v>156</v>
      </c>
      <c r="C28" s="1" t="s">
        <v>168</v>
      </c>
      <c r="D28" s="1" t="s">
        <v>169</v>
      </c>
      <c r="E28" s="1" t="s">
        <v>170</v>
      </c>
      <c r="F28" s="1" t="s">
        <v>171</v>
      </c>
      <c r="G28" s="1" t="s">
        <v>172</v>
      </c>
      <c r="H28" s="2">
        <v>45708</v>
      </c>
      <c r="I28" s="3">
        <v>46073</v>
      </c>
      <c r="J28" s="1" t="s">
        <v>21</v>
      </c>
      <c r="K28" s="4">
        <v>4094100</v>
      </c>
      <c r="L28" s="4">
        <v>61412</v>
      </c>
      <c r="M28" s="1" t="s">
        <v>22</v>
      </c>
      <c r="N28" s="1" t="s">
        <v>23</v>
      </c>
      <c r="O28" s="1" t="s">
        <v>563</v>
      </c>
      <c r="P28" s="1"/>
      <c r="Q28" s="4">
        <f>VLOOKUP(O28,[1]Sheet1!$O$2:$P$91,2,0)</f>
        <v>61412</v>
      </c>
      <c r="R28" s="6">
        <f t="shared" si="0"/>
        <v>0</v>
      </c>
      <c r="S28" s="1" t="str">
        <f>VLOOKUP(E28,[1]Sheet1!$E$2:$R$91,14,0)</f>
        <v>REN</v>
      </c>
    </row>
    <row r="29" spans="1:19" x14ac:dyDescent="0.25">
      <c r="A29" s="1" t="s">
        <v>173</v>
      </c>
      <c r="B29" s="1" t="s">
        <v>156</v>
      </c>
      <c r="C29" s="1" t="s">
        <v>174</v>
      </c>
      <c r="D29" s="1" t="s">
        <v>17</v>
      </c>
      <c r="E29" s="1" t="s">
        <v>175</v>
      </c>
      <c r="F29" s="1" t="s">
        <v>176</v>
      </c>
      <c r="G29" s="1" t="s">
        <v>177</v>
      </c>
      <c r="H29" s="2">
        <v>45713</v>
      </c>
      <c r="I29" s="3">
        <v>46078</v>
      </c>
      <c r="J29" s="1" t="s">
        <v>21</v>
      </c>
      <c r="K29" s="4">
        <v>2350800</v>
      </c>
      <c r="L29" s="4">
        <v>35262</v>
      </c>
      <c r="M29" s="1" t="s">
        <v>22</v>
      </c>
      <c r="N29" s="1" t="s">
        <v>23</v>
      </c>
      <c r="O29" s="1" t="s">
        <v>564</v>
      </c>
      <c r="P29" s="1"/>
      <c r="Q29" s="4">
        <f>VLOOKUP(O29,[1]Sheet1!$O$2:$P$91,2,0)</f>
        <v>35262</v>
      </c>
      <c r="R29" s="6">
        <f t="shared" si="0"/>
        <v>0</v>
      </c>
      <c r="S29" s="1" t="str">
        <f>VLOOKUP(E29,[1]Sheet1!$E$2:$R$91,14,0)</f>
        <v>REN</v>
      </c>
    </row>
    <row r="30" spans="1:19" x14ac:dyDescent="0.25">
      <c r="A30" s="1" t="s">
        <v>178</v>
      </c>
      <c r="B30" s="1" t="s">
        <v>179</v>
      </c>
      <c r="C30" s="1" t="s">
        <v>180</v>
      </c>
      <c r="D30" s="1" t="s">
        <v>181</v>
      </c>
      <c r="E30" s="1" t="s">
        <v>182</v>
      </c>
      <c r="F30" s="1" t="s">
        <v>183</v>
      </c>
      <c r="G30" s="1" t="s">
        <v>184</v>
      </c>
      <c r="H30" s="2">
        <v>45721</v>
      </c>
      <c r="I30" s="3">
        <v>46086</v>
      </c>
      <c r="J30" s="1" t="s">
        <v>21</v>
      </c>
      <c r="K30" s="4">
        <v>1215000</v>
      </c>
      <c r="L30" s="4">
        <v>18225</v>
      </c>
      <c r="M30" s="1" t="s">
        <v>22</v>
      </c>
      <c r="N30" s="1" t="s">
        <v>23</v>
      </c>
      <c r="O30" s="1" t="s">
        <v>565</v>
      </c>
      <c r="P30" s="1"/>
      <c r="Q30" s="4">
        <f>VLOOKUP(O30,[1]Sheet1!$O$2:$P$91,2,0)</f>
        <v>18225</v>
      </c>
      <c r="R30" s="6">
        <f t="shared" si="0"/>
        <v>0</v>
      </c>
      <c r="S30" s="1" t="str">
        <f>VLOOKUP(E30,[1]Sheet1!$E$2:$R$91,14,0)</f>
        <v>REN</v>
      </c>
    </row>
    <row r="31" spans="1:19" x14ac:dyDescent="0.25">
      <c r="A31" s="1" t="s">
        <v>185</v>
      </c>
      <c r="B31" s="1" t="s">
        <v>179</v>
      </c>
      <c r="C31" s="1" t="s">
        <v>186</v>
      </c>
      <c r="D31" s="1" t="s">
        <v>103</v>
      </c>
      <c r="E31" s="1" t="s">
        <v>187</v>
      </c>
      <c r="F31" s="1" t="s">
        <v>188</v>
      </c>
      <c r="G31" s="1" t="s">
        <v>189</v>
      </c>
      <c r="H31" s="2">
        <v>45731</v>
      </c>
      <c r="I31" s="3">
        <v>46096</v>
      </c>
      <c r="J31" s="1" t="s">
        <v>21</v>
      </c>
      <c r="K31" s="4">
        <v>3178035</v>
      </c>
      <c r="L31" s="4">
        <v>47671</v>
      </c>
      <c r="M31" s="1" t="s">
        <v>22</v>
      </c>
      <c r="N31" s="1" t="s">
        <v>23</v>
      </c>
      <c r="O31" s="1" t="s">
        <v>566</v>
      </c>
      <c r="P31" s="1"/>
      <c r="Q31" s="4">
        <f>VLOOKUP(O31,[1]Sheet1!$O$2:$P$91,2,0)</f>
        <v>47671</v>
      </c>
      <c r="R31" s="6">
        <f t="shared" si="0"/>
        <v>0</v>
      </c>
      <c r="S31" s="1" t="str">
        <f>VLOOKUP(E31,[1]Sheet1!$E$2:$R$91,14,0)</f>
        <v>REN</v>
      </c>
    </row>
    <row r="32" spans="1:19" x14ac:dyDescent="0.25">
      <c r="A32" s="1" t="s">
        <v>190</v>
      </c>
      <c r="B32" s="1" t="s">
        <v>179</v>
      </c>
      <c r="C32" s="1" t="s">
        <v>191</v>
      </c>
      <c r="D32" s="1" t="s">
        <v>103</v>
      </c>
      <c r="E32" s="1" t="s">
        <v>192</v>
      </c>
      <c r="F32" s="1" t="s">
        <v>193</v>
      </c>
      <c r="G32" s="1" t="s">
        <v>194</v>
      </c>
      <c r="H32" s="2">
        <v>45736</v>
      </c>
      <c r="I32" s="3">
        <v>46101</v>
      </c>
      <c r="J32" s="1" t="s">
        <v>21</v>
      </c>
      <c r="K32" s="4">
        <v>3166290</v>
      </c>
      <c r="L32" s="4">
        <v>47494</v>
      </c>
      <c r="M32" s="1" t="s">
        <v>22</v>
      </c>
      <c r="N32" s="1" t="s">
        <v>23</v>
      </c>
      <c r="O32" s="1" t="s">
        <v>567</v>
      </c>
      <c r="P32" s="1"/>
      <c r="Q32" s="4">
        <f>VLOOKUP(O32,[1]Sheet1!$O$2:$P$91,2,0)</f>
        <v>47494</v>
      </c>
      <c r="R32" s="6">
        <f t="shared" si="0"/>
        <v>0</v>
      </c>
      <c r="S32" s="1" t="str">
        <f>VLOOKUP(E32,[1]Sheet1!$E$2:$R$91,14,0)</f>
        <v>REN</v>
      </c>
    </row>
    <row r="33" spans="1:19" x14ac:dyDescent="0.25">
      <c r="A33" s="1" t="s">
        <v>195</v>
      </c>
      <c r="B33" s="1" t="s">
        <v>179</v>
      </c>
      <c r="C33" s="1" t="s">
        <v>196</v>
      </c>
      <c r="D33" s="1" t="s">
        <v>17</v>
      </c>
      <c r="E33" s="1" t="s">
        <v>197</v>
      </c>
      <c r="F33" s="1" t="s">
        <v>198</v>
      </c>
      <c r="G33" s="1" t="s">
        <v>199</v>
      </c>
      <c r="H33" s="2">
        <v>45713</v>
      </c>
      <c r="I33" s="3">
        <v>46078</v>
      </c>
      <c r="J33" s="1" t="s">
        <v>21</v>
      </c>
      <c r="K33" s="4">
        <v>2350800</v>
      </c>
      <c r="L33" s="4">
        <v>35262</v>
      </c>
      <c r="M33" s="1" t="s">
        <v>22</v>
      </c>
      <c r="N33" s="1" t="s">
        <v>23</v>
      </c>
      <c r="O33" s="1" t="s">
        <v>568</v>
      </c>
      <c r="P33" s="1"/>
      <c r="Q33" s="4">
        <f>VLOOKUP(O33,[1]Sheet1!$O$2:$P$91,2,0)</f>
        <v>35262</v>
      </c>
      <c r="R33" s="6">
        <f t="shared" si="0"/>
        <v>0</v>
      </c>
      <c r="S33" s="1" t="str">
        <f>VLOOKUP(E33,[1]Sheet1!$E$2:$R$91,14,0)</f>
        <v>REN</v>
      </c>
    </row>
    <row r="34" spans="1:19" x14ac:dyDescent="0.25">
      <c r="A34" s="1" t="s">
        <v>200</v>
      </c>
      <c r="B34" s="1" t="s">
        <v>179</v>
      </c>
      <c r="C34" s="1" t="s">
        <v>201</v>
      </c>
      <c r="D34" s="1" t="s">
        <v>17</v>
      </c>
      <c r="E34" s="1" t="s">
        <v>202</v>
      </c>
      <c r="F34" s="1" t="s">
        <v>203</v>
      </c>
      <c r="G34" s="1" t="s">
        <v>199</v>
      </c>
      <c r="H34" s="2">
        <v>45721</v>
      </c>
      <c r="I34" s="3">
        <v>46086</v>
      </c>
      <c r="J34" s="1" t="s">
        <v>21</v>
      </c>
      <c r="K34" s="4">
        <v>1800000</v>
      </c>
      <c r="L34" s="4">
        <v>27000</v>
      </c>
      <c r="M34" s="1" t="s">
        <v>22</v>
      </c>
      <c r="N34" s="1" t="s">
        <v>23</v>
      </c>
      <c r="O34" s="1" t="s">
        <v>569</v>
      </c>
      <c r="P34" s="1"/>
      <c r="Q34" s="4">
        <f>VLOOKUP(O34,[1]Sheet1!$O$2:$P$91,2,0)</f>
        <v>27000</v>
      </c>
      <c r="R34" s="6">
        <f t="shared" si="0"/>
        <v>0</v>
      </c>
      <c r="S34" s="1" t="str">
        <f>VLOOKUP(E34,[1]Sheet1!$E$2:$R$91,14,0)</f>
        <v>REN</v>
      </c>
    </row>
    <row r="35" spans="1:19" x14ac:dyDescent="0.25">
      <c r="A35" s="1" t="s">
        <v>204</v>
      </c>
      <c r="B35" s="1" t="s">
        <v>179</v>
      </c>
      <c r="C35" s="1" t="s">
        <v>205</v>
      </c>
      <c r="D35" s="1" t="s">
        <v>206</v>
      </c>
      <c r="E35" s="1" t="s">
        <v>207</v>
      </c>
      <c r="F35" s="1" t="s">
        <v>208</v>
      </c>
      <c r="G35" s="1" t="s">
        <v>199</v>
      </c>
      <c r="H35" s="2">
        <v>45713</v>
      </c>
      <c r="I35" s="3">
        <v>46078</v>
      </c>
      <c r="J35" s="1" t="s">
        <v>21</v>
      </c>
      <c r="K35" s="4">
        <v>4386150</v>
      </c>
      <c r="L35" s="4">
        <v>65792</v>
      </c>
      <c r="M35" s="1" t="s">
        <v>22</v>
      </c>
      <c r="N35" s="1" t="s">
        <v>23</v>
      </c>
      <c r="O35" s="1" t="s">
        <v>570</v>
      </c>
      <c r="P35" s="1"/>
      <c r="Q35" s="4">
        <f>VLOOKUP(O35,[1]Sheet1!$O$2:$P$91,2,0)</f>
        <v>65792</v>
      </c>
      <c r="R35" s="6">
        <f t="shared" si="0"/>
        <v>0</v>
      </c>
      <c r="S35" s="1" t="str">
        <f>VLOOKUP(E35,[1]Sheet1!$E$2:$R$91,14,0)</f>
        <v>REN</v>
      </c>
    </row>
    <row r="36" spans="1:19" x14ac:dyDescent="0.25">
      <c r="A36" s="1" t="s">
        <v>209</v>
      </c>
      <c r="B36" s="1" t="s">
        <v>179</v>
      </c>
      <c r="C36" s="1" t="s">
        <v>210</v>
      </c>
      <c r="D36" s="1" t="s">
        <v>211</v>
      </c>
      <c r="E36" s="1" t="s">
        <v>212</v>
      </c>
      <c r="F36" s="1" t="s">
        <v>213</v>
      </c>
      <c r="G36" s="1" t="s">
        <v>214</v>
      </c>
      <c r="H36" s="2">
        <v>45721</v>
      </c>
      <c r="I36" s="3">
        <v>46086</v>
      </c>
      <c r="J36" s="1" t="s">
        <v>21</v>
      </c>
      <c r="K36" s="4">
        <v>1614006</v>
      </c>
      <c r="L36" s="4">
        <v>24210</v>
      </c>
      <c r="M36" s="1" t="s">
        <v>22</v>
      </c>
      <c r="N36" s="1" t="s">
        <v>23</v>
      </c>
      <c r="O36" s="1" t="s">
        <v>571</v>
      </c>
      <c r="P36" s="1"/>
      <c r="Q36" s="4">
        <f>VLOOKUP(O36,[1]Sheet1!$O$2:$P$91,2,0)</f>
        <v>24210</v>
      </c>
      <c r="R36" s="6">
        <f t="shared" si="0"/>
        <v>0</v>
      </c>
      <c r="S36" s="1" t="str">
        <f>VLOOKUP(E36,[1]Sheet1!$E$2:$R$91,14,0)</f>
        <v>REN</v>
      </c>
    </row>
    <row r="37" spans="1:19" x14ac:dyDescent="0.25">
      <c r="A37" s="1" t="s">
        <v>215</v>
      </c>
      <c r="B37" s="1" t="s">
        <v>179</v>
      </c>
      <c r="C37" s="1" t="s">
        <v>216</v>
      </c>
      <c r="D37" s="1" t="s">
        <v>217</v>
      </c>
      <c r="E37" s="1" t="s">
        <v>218</v>
      </c>
      <c r="F37" s="1" t="s">
        <v>219</v>
      </c>
      <c r="G37" s="1" t="s">
        <v>199</v>
      </c>
      <c r="H37" s="2">
        <v>45721</v>
      </c>
      <c r="I37" s="3">
        <v>46086</v>
      </c>
      <c r="J37" s="1" t="s">
        <v>21</v>
      </c>
      <c r="K37" s="4">
        <v>1439775</v>
      </c>
      <c r="L37" s="4">
        <v>21597</v>
      </c>
      <c r="M37" s="1" t="s">
        <v>22</v>
      </c>
      <c r="N37" s="1" t="s">
        <v>23</v>
      </c>
      <c r="O37" s="1" t="s">
        <v>572</v>
      </c>
      <c r="P37" s="1"/>
      <c r="Q37" s="4">
        <f>VLOOKUP(O37,[1]Sheet1!$O$2:$P$91,2,0)</f>
        <v>21597</v>
      </c>
      <c r="R37" s="6">
        <f t="shared" si="0"/>
        <v>0</v>
      </c>
      <c r="S37" s="1" t="str">
        <f>VLOOKUP(E37,[1]Sheet1!$E$2:$R$91,14,0)</f>
        <v>REN</v>
      </c>
    </row>
    <row r="38" spans="1:19" x14ac:dyDescent="0.25">
      <c r="A38" s="1" t="s">
        <v>220</v>
      </c>
      <c r="B38" s="1" t="s">
        <v>179</v>
      </c>
      <c r="C38" s="1" t="s">
        <v>221</v>
      </c>
      <c r="D38" s="1" t="s">
        <v>222</v>
      </c>
      <c r="E38" s="1" t="s">
        <v>223</v>
      </c>
      <c r="F38" s="1" t="s">
        <v>224</v>
      </c>
      <c r="G38" s="1" t="s">
        <v>58</v>
      </c>
      <c r="H38" s="2">
        <v>45721</v>
      </c>
      <c r="I38" s="3">
        <v>46086</v>
      </c>
      <c r="J38" s="1" t="s">
        <v>21</v>
      </c>
      <c r="K38" s="4">
        <v>2996555</v>
      </c>
      <c r="L38" s="4">
        <v>44948</v>
      </c>
      <c r="M38" s="1" t="s">
        <v>22</v>
      </c>
      <c r="N38" s="1" t="s">
        <v>23</v>
      </c>
      <c r="O38" s="1" t="s">
        <v>573</v>
      </c>
      <c r="P38" s="1" t="s">
        <v>534</v>
      </c>
      <c r="Q38" s="4">
        <f>VLOOKUP(O38,[1]Sheet1!$O$2:$P$91,2,0)</f>
        <v>43841</v>
      </c>
      <c r="R38" s="6">
        <f>L38-Q38</f>
        <v>1107</v>
      </c>
      <c r="S38" s="1" t="str">
        <f>VLOOKUP(E38,[1]Sheet1!$E$2:$R$91,14,0)</f>
        <v>REN</v>
      </c>
    </row>
    <row r="39" spans="1:19" x14ac:dyDescent="0.25">
      <c r="A39" s="1" t="s">
        <v>225</v>
      </c>
      <c r="B39" s="1" t="s">
        <v>179</v>
      </c>
      <c r="C39" s="1" t="s">
        <v>226</v>
      </c>
      <c r="D39" s="1" t="s">
        <v>227</v>
      </c>
      <c r="E39" s="1" t="s">
        <v>228</v>
      </c>
      <c r="F39" s="1" t="s">
        <v>229</v>
      </c>
      <c r="G39" s="1" t="s">
        <v>230</v>
      </c>
      <c r="H39" s="2">
        <v>45721</v>
      </c>
      <c r="I39" s="3">
        <v>46086</v>
      </c>
      <c r="J39" s="1" t="s">
        <v>21</v>
      </c>
      <c r="K39" s="4">
        <v>2159663</v>
      </c>
      <c r="L39" s="4">
        <v>32395</v>
      </c>
      <c r="M39" s="1" t="s">
        <v>22</v>
      </c>
      <c r="N39" s="1" t="s">
        <v>23</v>
      </c>
      <c r="O39" s="1" t="s">
        <v>574</v>
      </c>
      <c r="P39" s="1"/>
      <c r="Q39" s="4">
        <f>VLOOKUP(O39,[1]Sheet1!$O$2:$P$91,2,0)</f>
        <v>32395</v>
      </c>
      <c r="R39" s="6">
        <f t="shared" ref="R39:R70" si="1">Q39-L39</f>
        <v>0</v>
      </c>
      <c r="S39" s="1" t="str">
        <f>VLOOKUP(E39,[1]Sheet1!$E$2:$R$91,14,0)</f>
        <v>REN</v>
      </c>
    </row>
    <row r="40" spans="1:19" x14ac:dyDescent="0.25">
      <c r="A40" s="1" t="s">
        <v>231</v>
      </c>
      <c r="B40" s="1" t="s">
        <v>232</v>
      </c>
      <c r="C40" s="1" t="s">
        <v>233</v>
      </c>
      <c r="D40" s="1" t="s">
        <v>234</v>
      </c>
      <c r="E40" s="1" t="s">
        <v>235</v>
      </c>
      <c r="F40" s="1" t="s">
        <v>236</v>
      </c>
      <c r="G40" s="1" t="s">
        <v>237</v>
      </c>
      <c r="H40" s="2">
        <v>45713</v>
      </c>
      <c r="I40" s="3">
        <v>46078</v>
      </c>
      <c r="J40" s="1" t="s">
        <v>21</v>
      </c>
      <c r="K40" s="4">
        <v>2835000</v>
      </c>
      <c r="L40" s="4">
        <v>42525</v>
      </c>
      <c r="M40" s="1" t="s">
        <v>22</v>
      </c>
      <c r="N40" s="1" t="s">
        <v>23</v>
      </c>
      <c r="O40" s="1" t="s">
        <v>575</v>
      </c>
      <c r="P40" s="1"/>
      <c r="Q40" s="4">
        <f>VLOOKUP(O40,[1]Sheet1!$O$2:$P$91,2,0)</f>
        <v>42525</v>
      </c>
      <c r="R40" s="6">
        <f t="shared" si="1"/>
        <v>0</v>
      </c>
      <c r="S40" s="1" t="str">
        <f>VLOOKUP(E40,[1]Sheet1!$E$2:$R$91,14,0)</f>
        <v>REN</v>
      </c>
    </row>
    <row r="41" spans="1:19" x14ac:dyDescent="0.25">
      <c r="A41" s="1" t="s">
        <v>238</v>
      </c>
      <c r="B41" s="1" t="s">
        <v>232</v>
      </c>
      <c r="C41" s="1" t="s">
        <v>239</v>
      </c>
      <c r="D41" s="1" t="s">
        <v>103</v>
      </c>
      <c r="E41" s="1" t="s">
        <v>240</v>
      </c>
      <c r="F41" s="1" t="s">
        <v>241</v>
      </c>
      <c r="G41" s="1" t="s">
        <v>242</v>
      </c>
      <c r="H41" s="2">
        <v>45721</v>
      </c>
      <c r="I41" s="3">
        <v>46086</v>
      </c>
      <c r="J41" s="1" t="s">
        <v>21</v>
      </c>
      <c r="K41" s="4">
        <v>3178035</v>
      </c>
      <c r="L41" s="4">
        <v>47671</v>
      </c>
      <c r="M41" s="1" t="s">
        <v>22</v>
      </c>
      <c r="N41" s="1" t="s">
        <v>23</v>
      </c>
      <c r="O41" s="1" t="s">
        <v>576</v>
      </c>
      <c r="P41" s="1"/>
      <c r="Q41" s="4">
        <f>VLOOKUP(O41,[1]Sheet1!$O$2:$P$91,2,0)</f>
        <v>47671</v>
      </c>
      <c r="R41" s="6">
        <f t="shared" si="1"/>
        <v>0</v>
      </c>
      <c r="S41" s="1" t="str">
        <f>VLOOKUP(E41,[1]Sheet1!$E$2:$R$91,14,0)</f>
        <v>REN</v>
      </c>
    </row>
    <row r="42" spans="1:19" x14ac:dyDescent="0.25">
      <c r="A42" s="1" t="s">
        <v>243</v>
      </c>
      <c r="B42" s="1" t="s">
        <v>232</v>
      </c>
      <c r="C42" s="1" t="s">
        <v>244</v>
      </c>
      <c r="D42" s="1" t="s">
        <v>245</v>
      </c>
      <c r="E42" s="1" t="s">
        <v>246</v>
      </c>
      <c r="F42" s="1" t="s">
        <v>247</v>
      </c>
      <c r="G42" s="1" t="s">
        <v>248</v>
      </c>
      <c r="H42" s="2">
        <v>45721</v>
      </c>
      <c r="I42" s="3">
        <v>46086</v>
      </c>
      <c r="J42" s="1" t="s">
        <v>21</v>
      </c>
      <c r="K42" s="4">
        <v>5286150</v>
      </c>
      <c r="L42" s="4">
        <v>79292</v>
      </c>
      <c r="M42" s="1" t="s">
        <v>22</v>
      </c>
      <c r="N42" s="1" t="s">
        <v>23</v>
      </c>
      <c r="O42" s="1" t="s">
        <v>577</v>
      </c>
      <c r="P42" s="1"/>
      <c r="Q42" s="4">
        <f>VLOOKUP(O42,[1]Sheet1!$O$2:$P$91,2,0)</f>
        <v>79292</v>
      </c>
      <c r="R42" s="6">
        <f t="shared" si="1"/>
        <v>0</v>
      </c>
      <c r="S42" s="1" t="str">
        <f>VLOOKUP(E42,[1]Sheet1!$E$2:$R$91,14,0)</f>
        <v>REN</v>
      </c>
    </row>
    <row r="43" spans="1:19" x14ac:dyDescent="0.25">
      <c r="A43" s="1" t="s">
        <v>249</v>
      </c>
      <c r="B43" s="1" t="s">
        <v>232</v>
      </c>
      <c r="C43" s="1" t="s">
        <v>250</v>
      </c>
      <c r="D43" s="1" t="s">
        <v>251</v>
      </c>
      <c r="E43" s="1" t="s">
        <v>252</v>
      </c>
      <c r="F43" s="1" t="s">
        <v>253</v>
      </c>
      <c r="G43" s="1" t="s">
        <v>254</v>
      </c>
      <c r="H43" s="2">
        <v>45708</v>
      </c>
      <c r="I43" s="3">
        <v>46073</v>
      </c>
      <c r="J43" s="1" t="s">
        <v>21</v>
      </c>
      <c r="K43" s="4">
        <v>1135053</v>
      </c>
      <c r="L43" s="4">
        <v>22701</v>
      </c>
      <c r="M43" s="1" t="s">
        <v>154</v>
      </c>
      <c r="N43" s="1" t="s">
        <v>23</v>
      </c>
      <c r="O43" s="1" t="s">
        <v>578</v>
      </c>
      <c r="P43" s="1"/>
      <c r="Q43" s="4">
        <f>VLOOKUP(O43,[1]Sheet1!$O$2:$P$91,2,0)</f>
        <v>22701</v>
      </c>
      <c r="R43" s="6">
        <f t="shared" si="1"/>
        <v>0</v>
      </c>
      <c r="S43" s="1" t="str">
        <f>VLOOKUP(E43,[1]Sheet1!$E$2:$R$91,14,0)</f>
        <v>REN</v>
      </c>
    </row>
    <row r="44" spans="1:19" x14ac:dyDescent="0.25">
      <c r="A44" s="1" t="s">
        <v>255</v>
      </c>
      <c r="B44" s="1" t="s">
        <v>232</v>
      </c>
      <c r="C44" s="1" t="s">
        <v>256</v>
      </c>
      <c r="D44" s="1" t="s">
        <v>257</v>
      </c>
      <c r="E44" s="1" t="s">
        <v>258</v>
      </c>
      <c r="F44" s="1" t="s">
        <v>259</v>
      </c>
      <c r="G44" s="1" t="s">
        <v>260</v>
      </c>
      <c r="H44" s="2">
        <v>45721</v>
      </c>
      <c r="I44" s="3">
        <v>46086</v>
      </c>
      <c r="J44" s="1" t="s">
        <v>21</v>
      </c>
      <c r="K44" s="4">
        <v>1298349</v>
      </c>
      <c r="L44" s="4">
        <v>19475</v>
      </c>
      <c r="M44" s="1" t="s">
        <v>22</v>
      </c>
      <c r="N44" s="1" t="s">
        <v>23</v>
      </c>
      <c r="O44" s="1" t="s">
        <v>579</v>
      </c>
      <c r="P44" s="1"/>
      <c r="Q44" s="4">
        <f>VLOOKUP(O44,[1]Sheet1!$O$2:$P$91,2,0)</f>
        <v>19475</v>
      </c>
      <c r="R44" s="6">
        <f t="shared" si="1"/>
        <v>0</v>
      </c>
      <c r="S44" s="1" t="str">
        <f>VLOOKUP(E44,[1]Sheet1!$E$2:$R$91,14,0)</f>
        <v>REN</v>
      </c>
    </row>
    <row r="45" spans="1:19" x14ac:dyDescent="0.25">
      <c r="A45" s="1" t="s">
        <v>261</v>
      </c>
      <c r="B45" s="1" t="s">
        <v>232</v>
      </c>
      <c r="C45" s="1" t="s">
        <v>262</v>
      </c>
      <c r="D45" s="1" t="s">
        <v>263</v>
      </c>
      <c r="E45" s="1" t="s">
        <v>264</v>
      </c>
      <c r="F45" s="1" t="s">
        <v>265</v>
      </c>
      <c r="G45" s="1" t="s">
        <v>266</v>
      </c>
      <c r="H45" s="2">
        <v>45713</v>
      </c>
      <c r="I45" s="3">
        <v>46078</v>
      </c>
      <c r="J45" s="1" t="s">
        <v>21</v>
      </c>
      <c r="K45" s="4">
        <v>1108809</v>
      </c>
      <c r="L45" s="4">
        <v>16632</v>
      </c>
      <c r="M45" s="1" t="s">
        <v>22</v>
      </c>
      <c r="N45" s="1" t="s">
        <v>23</v>
      </c>
      <c r="O45" s="1" t="s">
        <v>580</v>
      </c>
      <c r="P45" s="1"/>
      <c r="Q45" s="4">
        <f>VLOOKUP(O45,[1]Sheet1!$O$2:$P$91,2,0)</f>
        <v>16632</v>
      </c>
      <c r="R45" s="6">
        <f t="shared" si="1"/>
        <v>0</v>
      </c>
      <c r="S45" s="1" t="str">
        <f>VLOOKUP(E45,[1]Sheet1!$E$2:$R$91,14,0)</f>
        <v>REN</v>
      </c>
    </row>
    <row r="46" spans="1:19" x14ac:dyDescent="0.25">
      <c r="A46" s="1" t="s">
        <v>267</v>
      </c>
      <c r="B46" s="1" t="s">
        <v>232</v>
      </c>
      <c r="C46" s="1" t="s">
        <v>268</v>
      </c>
      <c r="D46" s="1" t="s">
        <v>263</v>
      </c>
      <c r="E46" s="1" t="s">
        <v>269</v>
      </c>
      <c r="F46" s="1" t="s">
        <v>270</v>
      </c>
      <c r="G46" s="1" t="s">
        <v>271</v>
      </c>
      <c r="H46" s="2">
        <v>45721</v>
      </c>
      <c r="I46" s="3">
        <v>46086</v>
      </c>
      <c r="J46" s="1" t="s">
        <v>21</v>
      </c>
      <c r="K46" s="4">
        <v>1108809</v>
      </c>
      <c r="L46" s="4">
        <v>16632</v>
      </c>
      <c r="M46" s="1" t="s">
        <v>22</v>
      </c>
      <c r="N46" s="1" t="s">
        <v>23</v>
      </c>
      <c r="O46" s="1" t="s">
        <v>581</v>
      </c>
      <c r="P46" s="1"/>
      <c r="Q46" s="4">
        <f>VLOOKUP(O46,[1]Sheet1!$O$2:$P$91,2,0)</f>
        <v>16632</v>
      </c>
      <c r="R46" s="6">
        <f t="shared" si="1"/>
        <v>0</v>
      </c>
      <c r="S46" s="1" t="str">
        <f>VLOOKUP(E46,[1]Sheet1!$E$2:$R$91,14,0)</f>
        <v>REN</v>
      </c>
    </row>
    <row r="47" spans="1:19" x14ac:dyDescent="0.25">
      <c r="A47" s="1" t="s">
        <v>272</v>
      </c>
      <c r="B47" s="1" t="s">
        <v>232</v>
      </c>
      <c r="C47" s="1" t="s">
        <v>273</v>
      </c>
      <c r="D47" s="1" t="s">
        <v>274</v>
      </c>
      <c r="E47" s="1" t="s">
        <v>275</v>
      </c>
      <c r="F47" s="1" t="s">
        <v>276</v>
      </c>
      <c r="G47" s="1" t="s">
        <v>277</v>
      </c>
      <c r="H47" s="2">
        <v>45713</v>
      </c>
      <c r="I47" s="3">
        <v>46078</v>
      </c>
      <c r="J47" s="1" t="s">
        <v>21</v>
      </c>
      <c r="K47" s="4">
        <v>2598885</v>
      </c>
      <c r="L47" s="4">
        <v>38983</v>
      </c>
      <c r="M47" s="1" t="s">
        <v>22</v>
      </c>
      <c r="N47" s="1" t="s">
        <v>23</v>
      </c>
      <c r="O47" s="1" t="s">
        <v>582</v>
      </c>
      <c r="P47" s="1"/>
      <c r="Q47" s="4">
        <f>VLOOKUP(O47,[1]Sheet1!$O$2:$P$91,2,0)</f>
        <v>38983</v>
      </c>
      <c r="R47" s="6">
        <f t="shared" si="1"/>
        <v>0</v>
      </c>
      <c r="S47" s="1" t="str">
        <f>VLOOKUP(E47,[1]Sheet1!$E$2:$R$91,14,0)</f>
        <v>REN</v>
      </c>
    </row>
    <row r="48" spans="1:19" x14ac:dyDescent="0.25">
      <c r="A48" s="1" t="s">
        <v>278</v>
      </c>
      <c r="B48" s="1" t="s">
        <v>232</v>
      </c>
      <c r="C48" s="1" t="s">
        <v>279</v>
      </c>
      <c r="D48" s="1" t="s">
        <v>280</v>
      </c>
      <c r="E48" s="1" t="s">
        <v>281</v>
      </c>
      <c r="F48" s="1" t="s">
        <v>282</v>
      </c>
      <c r="G48" s="1" t="s">
        <v>283</v>
      </c>
      <c r="H48" s="2">
        <v>45721</v>
      </c>
      <c r="I48" s="3">
        <v>46086</v>
      </c>
      <c r="J48" s="1" t="s">
        <v>21</v>
      </c>
      <c r="K48" s="4">
        <v>1298349</v>
      </c>
      <c r="L48" s="4">
        <v>19475</v>
      </c>
      <c r="M48" s="1" t="s">
        <v>22</v>
      </c>
      <c r="N48" s="1" t="s">
        <v>23</v>
      </c>
      <c r="O48" s="1" t="s">
        <v>583</v>
      </c>
      <c r="P48" s="1"/>
      <c r="Q48" s="4">
        <f>VLOOKUP(O48,[1]Sheet1!$O$2:$P$91,2,0)</f>
        <v>19475</v>
      </c>
      <c r="R48" s="6">
        <f t="shared" si="1"/>
        <v>0</v>
      </c>
      <c r="S48" s="1" t="str">
        <f>VLOOKUP(E48,[1]Sheet1!$E$2:$R$91,14,0)</f>
        <v>REN</v>
      </c>
    </row>
    <row r="49" spans="1:19" x14ac:dyDescent="0.25">
      <c r="A49" s="1" t="s">
        <v>284</v>
      </c>
      <c r="B49" s="1" t="s">
        <v>232</v>
      </c>
      <c r="C49" s="1" t="s">
        <v>285</v>
      </c>
      <c r="D49" s="1" t="s">
        <v>286</v>
      </c>
      <c r="E49" s="1" t="s">
        <v>287</v>
      </c>
      <c r="F49" s="1" t="s">
        <v>288</v>
      </c>
      <c r="G49" s="1" t="s">
        <v>289</v>
      </c>
      <c r="H49" s="2">
        <v>45713</v>
      </c>
      <c r="I49" s="3">
        <v>46078</v>
      </c>
      <c r="J49" s="1" t="s">
        <v>21</v>
      </c>
      <c r="K49" s="4">
        <v>973215</v>
      </c>
      <c r="L49" s="4">
        <v>14598</v>
      </c>
      <c r="M49" s="1" t="s">
        <v>22</v>
      </c>
      <c r="N49" s="1" t="s">
        <v>23</v>
      </c>
      <c r="O49" s="1" t="s">
        <v>584</v>
      </c>
      <c r="P49" s="1"/>
      <c r="Q49" s="4">
        <f>VLOOKUP(O49,[1]Sheet1!$O$2:$P$91,2,0)</f>
        <v>14598</v>
      </c>
      <c r="R49" s="6">
        <f t="shared" si="1"/>
        <v>0</v>
      </c>
      <c r="S49" s="1" t="str">
        <f>VLOOKUP(E49,[1]Sheet1!$E$2:$R$91,14,0)</f>
        <v>REN</v>
      </c>
    </row>
    <row r="50" spans="1:19" x14ac:dyDescent="0.25">
      <c r="A50" s="1" t="s">
        <v>290</v>
      </c>
      <c r="B50" s="1" t="s">
        <v>232</v>
      </c>
      <c r="C50" s="1" t="s">
        <v>291</v>
      </c>
      <c r="D50" s="1" t="s">
        <v>286</v>
      </c>
      <c r="E50" s="1" t="s">
        <v>292</v>
      </c>
      <c r="F50" s="1" t="s">
        <v>293</v>
      </c>
      <c r="G50" s="1" t="s">
        <v>294</v>
      </c>
      <c r="H50" s="2">
        <v>45708</v>
      </c>
      <c r="I50" s="3">
        <v>46073</v>
      </c>
      <c r="J50" s="1" t="s">
        <v>21</v>
      </c>
      <c r="K50" s="4">
        <v>973215</v>
      </c>
      <c r="L50" s="4">
        <v>14598</v>
      </c>
      <c r="M50" s="1" t="s">
        <v>22</v>
      </c>
      <c r="N50" s="1" t="s">
        <v>23</v>
      </c>
      <c r="O50" s="1" t="s">
        <v>585</v>
      </c>
      <c r="P50" s="1"/>
      <c r="Q50" s="4">
        <f>VLOOKUP(O50,[1]Sheet1!$O$2:$P$91,2,0)</f>
        <v>14598</v>
      </c>
      <c r="R50" s="6">
        <f t="shared" si="1"/>
        <v>0</v>
      </c>
      <c r="S50" s="1" t="str">
        <f>VLOOKUP(E50,[1]Sheet1!$E$2:$R$91,14,0)</f>
        <v>REN</v>
      </c>
    </row>
    <row r="51" spans="1:19" x14ac:dyDescent="0.25">
      <c r="A51" s="1" t="s">
        <v>295</v>
      </c>
      <c r="B51" s="1" t="s">
        <v>232</v>
      </c>
      <c r="C51" s="1" t="s">
        <v>296</v>
      </c>
      <c r="D51" s="1" t="s">
        <v>297</v>
      </c>
      <c r="E51" s="1" t="s">
        <v>298</v>
      </c>
      <c r="F51" s="1" t="s">
        <v>299</v>
      </c>
      <c r="G51" s="1" t="s">
        <v>300</v>
      </c>
      <c r="H51" s="2">
        <v>45721</v>
      </c>
      <c r="I51" s="3">
        <v>46086</v>
      </c>
      <c r="J51" s="1" t="s">
        <v>21</v>
      </c>
      <c r="K51" s="4">
        <v>834705</v>
      </c>
      <c r="L51" s="4">
        <v>12521</v>
      </c>
      <c r="M51" s="1" t="s">
        <v>22</v>
      </c>
      <c r="N51" s="1" t="s">
        <v>23</v>
      </c>
      <c r="O51" s="1" t="s">
        <v>586</v>
      </c>
      <c r="P51" s="1"/>
      <c r="Q51" s="4">
        <f>VLOOKUP(O51,[1]Sheet1!$O$2:$P$91,2,0)</f>
        <v>12521</v>
      </c>
      <c r="R51" s="6">
        <f t="shared" si="1"/>
        <v>0</v>
      </c>
      <c r="S51" s="1" t="str">
        <f>VLOOKUP(E51,[1]Sheet1!$E$2:$R$91,14,0)</f>
        <v>REN</v>
      </c>
    </row>
    <row r="52" spans="1:19" x14ac:dyDescent="0.25">
      <c r="A52" s="1" t="s">
        <v>301</v>
      </c>
      <c r="B52" s="1" t="s">
        <v>302</v>
      </c>
      <c r="C52" s="1" t="s">
        <v>303</v>
      </c>
      <c r="D52" s="1" t="s">
        <v>67</v>
      </c>
      <c r="E52" s="1" t="s">
        <v>304</v>
      </c>
      <c r="F52" s="1" t="s">
        <v>305</v>
      </c>
      <c r="G52" s="1" t="s">
        <v>306</v>
      </c>
      <c r="H52" s="2">
        <v>45721</v>
      </c>
      <c r="I52" s="3">
        <v>46086</v>
      </c>
      <c r="J52" s="1" t="s">
        <v>21</v>
      </c>
      <c r="K52" s="4">
        <v>3217442</v>
      </c>
      <c r="L52" s="4">
        <v>48262</v>
      </c>
      <c r="M52" s="1" t="s">
        <v>22</v>
      </c>
      <c r="N52" s="1" t="s">
        <v>23</v>
      </c>
      <c r="O52" s="1" t="s">
        <v>587</v>
      </c>
      <c r="P52" s="1"/>
      <c r="Q52" s="4">
        <f>VLOOKUP(O52,[1]Sheet1!$O$2:$P$91,2,0)</f>
        <v>48262</v>
      </c>
      <c r="R52" s="6">
        <f t="shared" si="1"/>
        <v>0</v>
      </c>
      <c r="S52" s="1" t="str">
        <f>VLOOKUP(E52,[1]Sheet1!$E$2:$R$91,14,0)</f>
        <v>REN</v>
      </c>
    </row>
    <row r="53" spans="1:19" x14ac:dyDescent="0.25">
      <c r="A53" s="1" t="s">
        <v>307</v>
      </c>
      <c r="B53" s="1" t="s">
        <v>302</v>
      </c>
      <c r="C53" s="1" t="s">
        <v>308</v>
      </c>
      <c r="D53" s="1" t="s">
        <v>119</v>
      </c>
      <c r="E53" s="1" t="s">
        <v>309</v>
      </c>
      <c r="F53" s="1" t="s">
        <v>310</v>
      </c>
      <c r="G53" s="1" t="s">
        <v>311</v>
      </c>
      <c r="H53" s="2">
        <v>45703</v>
      </c>
      <c r="I53" s="3">
        <v>46068</v>
      </c>
      <c r="J53" s="1" t="s">
        <v>21</v>
      </c>
      <c r="K53" s="4">
        <v>1419363</v>
      </c>
      <c r="L53" s="4">
        <v>21290</v>
      </c>
      <c r="M53" s="1" t="s">
        <v>22</v>
      </c>
      <c r="N53" s="1" t="s">
        <v>23</v>
      </c>
      <c r="O53" s="1" t="s">
        <v>588</v>
      </c>
      <c r="P53" s="1"/>
      <c r="Q53" s="4">
        <f>VLOOKUP(O53,[1]Sheet1!$O$2:$P$91,2,0)</f>
        <v>21290</v>
      </c>
      <c r="R53" s="6">
        <f t="shared" si="1"/>
        <v>0</v>
      </c>
      <c r="S53" s="1" t="str">
        <f>VLOOKUP(E53,[1]Sheet1!$E$2:$R$91,14,0)</f>
        <v>REN</v>
      </c>
    </row>
    <row r="54" spans="1:19" x14ac:dyDescent="0.25">
      <c r="A54" s="1" t="s">
        <v>312</v>
      </c>
      <c r="B54" s="1" t="s">
        <v>302</v>
      </c>
      <c r="C54" s="1" t="s">
        <v>313</v>
      </c>
      <c r="D54" s="1" t="s">
        <v>181</v>
      </c>
      <c r="E54" s="1" t="s">
        <v>314</v>
      </c>
      <c r="F54" s="1" t="s">
        <v>315</v>
      </c>
      <c r="G54" s="1" t="s">
        <v>316</v>
      </c>
      <c r="H54" s="2">
        <v>45721</v>
      </c>
      <c r="I54" s="3">
        <v>46086</v>
      </c>
      <c r="J54" s="1" t="s">
        <v>21</v>
      </c>
      <c r="K54" s="4">
        <v>1215000</v>
      </c>
      <c r="L54" s="4">
        <v>18225</v>
      </c>
      <c r="M54" s="1" t="s">
        <v>22</v>
      </c>
      <c r="N54" s="1" t="s">
        <v>23</v>
      </c>
      <c r="O54" s="1" t="s">
        <v>589</v>
      </c>
      <c r="P54" s="1"/>
      <c r="Q54" s="4">
        <f>VLOOKUP(O54,[1]Sheet1!$O$2:$P$91,2,0)</f>
        <v>18225</v>
      </c>
      <c r="R54" s="6">
        <f t="shared" si="1"/>
        <v>0</v>
      </c>
      <c r="S54" s="1" t="str">
        <f>VLOOKUP(E54,[1]Sheet1!$E$2:$R$91,14,0)</f>
        <v>REN</v>
      </c>
    </row>
    <row r="55" spans="1:19" x14ac:dyDescent="0.25">
      <c r="A55" s="1" t="s">
        <v>317</v>
      </c>
      <c r="B55" s="1" t="s">
        <v>302</v>
      </c>
      <c r="C55" s="1" t="s">
        <v>318</v>
      </c>
      <c r="D55" s="1" t="s">
        <v>319</v>
      </c>
      <c r="E55" s="1" t="s">
        <v>320</v>
      </c>
      <c r="F55" s="1" t="s">
        <v>321</v>
      </c>
      <c r="G55" s="1" t="s">
        <v>322</v>
      </c>
      <c r="H55" s="2">
        <v>45713</v>
      </c>
      <c r="I55" s="3">
        <v>46078</v>
      </c>
      <c r="J55" s="1" t="s">
        <v>21</v>
      </c>
      <c r="K55" s="4">
        <v>5985090</v>
      </c>
      <c r="L55" s="4">
        <v>89776</v>
      </c>
      <c r="M55" s="1" t="s">
        <v>22</v>
      </c>
      <c r="N55" s="1" t="s">
        <v>23</v>
      </c>
      <c r="O55" s="1" t="s">
        <v>590</v>
      </c>
      <c r="P55" s="1"/>
      <c r="Q55" s="4">
        <f>VLOOKUP(O55,[1]Sheet1!$O$2:$P$91,2,0)</f>
        <v>89776</v>
      </c>
      <c r="R55" s="6">
        <f t="shared" si="1"/>
        <v>0</v>
      </c>
      <c r="S55" s="1" t="str">
        <f>VLOOKUP(E55,[1]Sheet1!$E$2:$R$91,14,0)</f>
        <v>REN</v>
      </c>
    </row>
    <row r="56" spans="1:19" x14ac:dyDescent="0.25">
      <c r="A56" s="1" t="s">
        <v>323</v>
      </c>
      <c r="B56" s="1" t="s">
        <v>302</v>
      </c>
      <c r="C56" s="1" t="s">
        <v>324</v>
      </c>
      <c r="D56" s="1" t="s">
        <v>325</v>
      </c>
      <c r="E56" s="1" t="s">
        <v>326</v>
      </c>
      <c r="F56" s="1" t="s">
        <v>327</v>
      </c>
      <c r="G56" s="1" t="s">
        <v>328</v>
      </c>
      <c r="H56" s="2">
        <v>45721</v>
      </c>
      <c r="I56" s="3">
        <v>46086</v>
      </c>
      <c r="J56" s="1" t="s">
        <v>21</v>
      </c>
      <c r="K56" s="4">
        <v>5940000</v>
      </c>
      <c r="L56" s="4">
        <v>89100</v>
      </c>
      <c r="M56" s="1" t="s">
        <v>22</v>
      </c>
      <c r="N56" s="1" t="s">
        <v>23</v>
      </c>
      <c r="O56" s="1" t="s">
        <v>591</v>
      </c>
      <c r="P56" s="1"/>
      <c r="Q56" s="4">
        <f>VLOOKUP(O56,[1]Sheet1!$O$2:$P$91,2,0)</f>
        <v>89100</v>
      </c>
      <c r="R56" s="6">
        <f t="shared" si="1"/>
        <v>0</v>
      </c>
      <c r="S56" s="1" t="str">
        <f>VLOOKUP(E56,[1]Sheet1!$E$2:$R$91,14,0)</f>
        <v>REN</v>
      </c>
    </row>
    <row r="57" spans="1:19" x14ac:dyDescent="0.25">
      <c r="A57" s="1" t="s">
        <v>329</v>
      </c>
      <c r="B57" s="1" t="s">
        <v>302</v>
      </c>
      <c r="C57" s="1" t="s">
        <v>330</v>
      </c>
      <c r="D57" s="1" t="s">
        <v>17</v>
      </c>
      <c r="E57" s="1" t="s">
        <v>331</v>
      </c>
      <c r="F57" s="1" t="s">
        <v>332</v>
      </c>
      <c r="G57" s="1" t="s">
        <v>333</v>
      </c>
      <c r="H57" s="2">
        <v>45708</v>
      </c>
      <c r="I57" s="3">
        <v>46073</v>
      </c>
      <c r="J57" s="1" t="s">
        <v>21</v>
      </c>
      <c r="K57" s="4">
        <v>2350800</v>
      </c>
      <c r="L57" s="4">
        <v>35262</v>
      </c>
      <c r="M57" s="1" t="s">
        <v>22</v>
      </c>
      <c r="N57" s="1" t="s">
        <v>23</v>
      </c>
      <c r="O57" s="1" t="s">
        <v>592</v>
      </c>
      <c r="P57" s="1"/>
      <c r="Q57" s="4">
        <f>VLOOKUP(O57,[1]Sheet1!$O$2:$P$91,2,0)</f>
        <v>35262</v>
      </c>
      <c r="R57" s="6">
        <f t="shared" si="1"/>
        <v>0</v>
      </c>
      <c r="S57" s="1" t="str">
        <f>VLOOKUP(E57,[1]Sheet1!$E$2:$R$91,14,0)</f>
        <v>REN</v>
      </c>
    </row>
    <row r="58" spans="1:19" x14ac:dyDescent="0.25">
      <c r="A58" s="1" t="s">
        <v>334</v>
      </c>
      <c r="B58" s="1" t="s">
        <v>302</v>
      </c>
      <c r="C58" s="1" t="s">
        <v>335</v>
      </c>
      <c r="D58" s="1" t="s">
        <v>336</v>
      </c>
      <c r="E58" s="1" t="s">
        <v>337</v>
      </c>
      <c r="F58" s="1" t="s">
        <v>338</v>
      </c>
      <c r="G58" s="1" t="s">
        <v>339</v>
      </c>
      <c r="H58" s="2">
        <v>45721</v>
      </c>
      <c r="I58" s="3">
        <v>46086</v>
      </c>
      <c r="J58" s="1" t="s">
        <v>21</v>
      </c>
      <c r="K58" s="4">
        <v>4536000</v>
      </c>
      <c r="L58" s="4">
        <v>68040</v>
      </c>
      <c r="M58" s="1" t="s">
        <v>22</v>
      </c>
      <c r="N58" s="1" t="s">
        <v>23</v>
      </c>
      <c r="O58" s="1" t="s">
        <v>593</v>
      </c>
      <c r="P58" s="1"/>
      <c r="Q58" s="4">
        <f>VLOOKUP(O58,[1]Sheet1!$O$2:$P$91,2,0)</f>
        <v>68040</v>
      </c>
      <c r="R58" s="6">
        <f t="shared" si="1"/>
        <v>0</v>
      </c>
      <c r="S58" s="1" t="str">
        <f>VLOOKUP(E58,[1]Sheet1!$E$2:$R$91,14,0)</f>
        <v>REN</v>
      </c>
    </row>
    <row r="59" spans="1:19" x14ac:dyDescent="0.25">
      <c r="A59" s="1" t="s">
        <v>340</v>
      </c>
      <c r="B59" s="1" t="s">
        <v>302</v>
      </c>
      <c r="C59" s="1" t="s">
        <v>341</v>
      </c>
      <c r="D59" s="1" t="s">
        <v>342</v>
      </c>
      <c r="E59" s="1" t="s">
        <v>343</v>
      </c>
      <c r="F59" s="1" t="s">
        <v>344</v>
      </c>
      <c r="G59" s="1" t="s">
        <v>345</v>
      </c>
      <c r="H59" s="2">
        <v>45713</v>
      </c>
      <c r="I59" s="3">
        <v>46078</v>
      </c>
      <c r="J59" s="1" t="s">
        <v>21</v>
      </c>
      <c r="K59" s="4">
        <v>2320626</v>
      </c>
      <c r="L59" s="4">
        <v>46413</v>
      </c>
      <c r="M59" s="1" t="s">
        <v>154</v>
      </c>
      <c r="N59" s="1" t="s">
        <v>23</v>
      </c>
      <c r="O59" s="1" t="s">
        <v>594</v>
      </c>
      <c r="P59" s="1"/>
      <c r="Q59" s="4">
        <f>VLOOKUP(O59,[1]Sheet1!$O$2:$P$91,2,0)</f>
        <v>46413</v>
      </c>
      <c r="R59" s="6">
        <f t="shared" si="1"/>
        <v>0</v>
      </c>
      <c r="S59" s="1" t="str">
        <f>VLOOKUP(E59,[1]Sheet1!$E$2:$R$91,14,0)</f>
        <v>REN</v>
      </c>
    </row>
    <row r="60" spans="1:19" x14ac:dyDescent="0.25">
      <c r="A60" s="1" t="s">
        <v>346</v>
      </c>
      <c r="B60" s="1" t="s">
        <v>302</v>
      </c>
      <c r="C60" s="1" t="s">
        <v>347</v>
      </c>
      <c r="D60" s="1" t="s">
        <v>348</v>
      </c>
      <c r="E60" s="1" t="s">
        <v>349</v>
      </c>
      <c r="F60" s="1" t="s">
        <v>350</v>
      </c>
      <c r="G60" s="1" t="s">
        <v>351</v>
      </c>
      <c r="H60" s="2">
        <v>45713</v>
      </c>
      <c r="I60" s="3">
        <v>46078</v>
      </c>
      <c r="J60" s="1" t="s">
        <v>21</v>
      </c>
      <c r="K60" s="4">
        <v>1000881</v>
      </c>
      <c r="L60" s="4">
        <v>20018</v>
      </c>
      <c r="M60" s="1" t="s">
        <v>154</v>
      </c>
      <c r="N60" s="1" t="s">
        <v>23</v>
      </c>
      <c r="O60" s="1" t="s">
        <v>595</v>
      </c>
      <c r="P60" s="1"/>
      <c r="Q60" s="4">
        <f>VLOOKUP(O60,[1]Sheet1!$O$2:$P$91,2,0)</f>
        <v>20018</v>
      </c>
      <c r="R60" s="6">
        <f t="shared" si="1"/>
        <v>0</v>
      </c>
      <c r="S60" s="1" t="str">
        <f>VLOOKUP(E60,[1]Sheet1!$E$2:$R$91,14,0)</f>
        <v>REN</v>
      </c>
    </row>
    <row r="61" spans="1:19" x14ac:dyDescent="0.25">
      <c r="A61" s="1" t="s">
        <v>352</v>
      </c>
      <c r="B61" s="1" t="s">
        <v>302</v>
      </c>
      <c r="C61" s="1" t="s">
        <v>353</v>
      </c>
      <c r="D61" s="1" t="s">
        <v>251</v>
      </c>
      <c r="E61" s="1" t="s">
        <v>354</v>
      </c>
      <c r="F61" s="1" t="s">
        <v>355</v>
      </c>
      <c r="G61" s="1" t="s">
        <v>356</v>
      </c>
      <c r="H61" s="2">
        <v>45721</v>
      </c>
      <c r="I61" s="3">
        <v>46086</v>
      </c>
      <c r="J61" s="1" t="s">
        <v>21</v>
      </c>
      <c r="K61" s="4">
        <v>846369</v>
      </c>
      <c r="L61" s="4">
        <v>16927</v>
      </c>
      <c r="M61" s="1" t="s">
        <v>154</v>
      </c>
      <c r="N61" s="1" t="s">
        <v>23</v>
      </c>
      <c r="O61" s="1" t="s">
        <v>596</v>
      </c>
      <c r="P61" s="1"/>
      <c r="Q61" s="4">
        <f>VLOOKUP(O61,[1]Sheet1!$O$2:$P$91,2,0)</f>
        <v>16927</v>
      </c>
      <c r="R61" s="6">
        <f t="shared" si="1"/>
        <v>0</v>
      </c>
      <c r="S61" s="1" t="str">
        <f>VLOOKUP(E61,[1]Sheet1!$E$2:$R$91,14,0)</f>
        <v>REN</v>
      </c>
    </row>
    <row r="62" spans="1:19" x14ac:dyDescent="0.25">
      <c r="A62" s="1" t="s">
        <v>357</v>
      </c>
      <c r="B62" s="1" t="s">
        <v>358</v>
      </c>
      <c r="C62" s="1" t="s">
        <v>359</v>
      </c>
      <c r="D62" s="1" t="s">
        <v>360</v>
      </c>
      <c r="E62" s="1" t="s">
        <v>361</v>
      </c>
      <c r="F62" s="1" t="s">
        <v>362</v>
      </c>
      <c r="G62" s="1" t="s">
        <v>363</v>
      </c>
      <c r="H62" s="2">
        <v>45708</v>
      </c>
      <c r="I62" s="3">
        <v>46073</v>
      </c>
      <c r="J62" s="1" t="s">
        <v>21</v>
      </c>
      <c r="K62" s="4">
        <v>2025900</v>
      </c>
      <c r="L62" s="4">
        <v>30389</v>
      </c>
      <c r="M62" s="1" t="s">
        <v>22</v>
      </c>
      <c r="N62" s="1" t="s">
        <v>23</v>
      </c>
      <c r="O62" s="1" t="s">
        <v>597</v>
      </c>
      <c r="P62" s="1"/>
      <c r="Q62" s="4">
        <f>VLOOKUP(O62,[1]Sheet1!$O$2:$P$91,2,0)</f>
        <v>30389</v>
      </c>
      <c r="R62" s="6">
        <f t="shared" si="1"/>
        <v>0</v>
      </c>
      <c r="S62" s="1" t="str">
        <f>VLOOKUP(E62,[1]Sheet1!$E$2:$R$91,14,0)</f>
        <v>REN</v>
      </c>
    </row>
    <row r="63" spans="1:19" x14ac:dyDescent="0.25">
      <c r="A63" s="1" t="s">
        <v>364</v>
      </c>
      <c r="B63" s="1" t="s">
        <v>358</v>
      </c>
      <c r="C63" s="1" t="s">
        <v>365</v>
      </c>
      <c r="D63" s="1" t="s">
        <v>366</v>
      </c>
      <c r="E63" s="1" t="s">
        <v>367</v>
      </c>
      <c r="F63" s="1" t="s">
        <v>368</v>
      </c>
      <c r="G63" s="1" t="s">
        <v>369</v>
      </c>
      <c r="H63" s="2">
        <v>45703</v>
      </c>
      <c r="I63" s="3">
        <v>46068</v>
      </c>
      <c r="J63" s="1" t="s">
        <v>21</v>
      </c>
      <c r="K63" s="4">
        <v>3150000</v>
      </c>
      <c r="L63" s="4">
        <v>47250</v>
      </c>
      <c r="M63" s="1" t="s">
        <v>22</v>
      </c>
      <c r="N63" s="1" t="s">
        <v>23</v>
      </c>
      <c r="O63" s="1" t="s">
        <v>598</v>
      </c>
      <c r="P63" s="1"/>
      <c r="Q63" s="4">
        <f>VLOOKUP(O63,[1]Sheet1!$O$2:$P$91,2,0)</f>
        <v>47250</v>
      </c>
      <c r="R63" s="6">
        <f t="shared" si="1"/>
        <v>0</v>
      </c>
      <c r="S63" s="1" t="str">
        <f>VLOOKUP(E63,[1]Sheet1!$E$2:$R$91,14,0)</f>
        <v>REN</v>
      </c>
    </row>
    <row r="64" spans="1:19" x14ac:dyDescent="0.25">
      <c r="A64" s="1" t="s">
        <v>370</v>
      </c>
      <c r="B64" s="1" t="s">
        <v>358</v>
      </c>
      <c r="C64" s="1" t="s">
        <v>371</v>
      </c>
      <c r="D64" s="1" t="s">
        <v>372</v>
      </c>
      <c r="E64" s="1" t="s">
        <v>373</v>
      </c>
      <c r="F64" s="1" t="s">
        <v>374</v>
      </c>
      <c r="G64" s="1" t="s">
        <v>375</v>
      </c>
      <c r="H64" s="2">
        <v>45708</v>
      </c>
      <c r="I64" s="3">
        <v>46073</v>
      </c>
      <c r="J64" s="1" t="s">
        <v>21</v>
      </c>
      <c r="K64" s="4">
        <v>940191</v>
      </c>
      <c r="L64" s="4">
        <v>18804</v>
      </c>
      <c r="M64" s="1" t="s">
        <v>154</v>
      </c>
      <c r="N64" s="1" t="s">
        <v>23</v>
      </c>
      <c r="O64" s="1" t="s">
        <v>599</v>
      </c>
      <c r="P64" s="1"/>
      <c r="Q64" s="4">
        <f>VLOOKUP(O64,[1]Sheet1!$O$2:$P$91,2,0)</f>
        <v>18804</v>
      </c>
      <c r="R64" s="6">
        <f t="shared" si="1"/>
        <v>0</v>
      </c>
      <c r="S64" s="1" t="str">
        <f>VLOOKUP(E64,[1]Sheet1!$E$2:$R$91,14,0)</f>
        <v>REN</v>
      </c>
    </row>
    <row r="65" spans="1:19" x14ac:dyDescent="0.25">
      <c r="A65" s="1" t="s">
        <v>376</v>
      </c>
      <c r="B65" s="1" t="s">
        <v>377</v>
      </c>
      <c r="C65" s="1" t="s">
        <v>378</v>
      </c>
      <c r="D65" s="1" t="s">
        <v>103</v>
      </c>
      <c r="E65" s="1" t="s">
        <v>379</v>
      </c>
      <c r="F65" s="1" t="s">
        <v>380</v>
      </c>
      <c r="G65" s="1" t="s">
        <v>381</v>
      </c>
      <c r="H65" s="2">
        <v>45731</v>
      </c>
      <c r="I65" s="3">
        <v>46096</v>
      </c>
      <c r="J65" s="1" t="s">
        <v>21</v>
      </c>
      <c r="K65" s="4">
        <v>3178035</v>
      </c>
      <c r="L65" s="4">
        <v>47671</v>
      </c>
      <c r="M65" s="1" t="s">
        <v>22</v>
      </c>
      <c r="N65" s="1" t="s">
        <v>23</v>
      </c>
      <c r="O65" s="1" t="s">
        <v>600</v>
      </c>
      <c r="P65" s="1"/>
      <c r="Q65" s="4">
        <f>VLOOKUP(O65,[1]Sheet1!$O$2:$P$91,2,0)</f>
        <v>47671</v>
      </c>
      <c r="R65" s="6">
        <f t="shared" si="1"/>
        <v>0</v>
      </c>
      <c r="S65" s="1" t="str">
        <f>VLOOKUP(E65,[1]Sheet1!$E$2:$R$91,14,0)</f>
        <v>REN</v>
      </c>
    </row>
    <row r="66" spans="1:19" x14ac:dyDescent="0.25">
      <c r="A66" s="1" t="s">
        <v>382</v>
      </c>
      <c r="B66" s="1" t="s">
        <v>377</v>
      </c>
      <c r="C66" s="1" t="s">
        <v>383</v>
      </c>
      <c r="D66" s="1" t="s">
        <v>17</v>
      </c>
      <c r="E66" s="1" t="s">
        <v>384</v>
      </c>
      <c r="F66" s="1" t="s">
        <v>385</v>
      </c>
      <c r="G66" s="1" t="s">
        <v>386</v>
      </c>
      <c r="H66" s="2">
        <v>45736</v>
      </c>
      <c r="I66" s="3">
        <v>46101</v>
      </c>
      <c r="J66" s="1" t="s">
        <v>21</v>
      </c>
      <c r="K66" s="4">
        <v>1620000</v>
      </c>
      <c r="L66" s="4">
        <v>24300</v>
      </c>
      <c r="M66" s="1" t="s">
        <v>22</v>
      </c>
      <c r="N66" s="1" t="s">
        <v>23</v>
      </c>
      <c r="O66" s="1" t="s">
        <v>601</v>
      </c>
      <c r="P66" s="1"/>
      <c r="Q66" s="4">
        <f>VLOOKUP(O66,[1]Sheet1!$O$2:$P$91,2,0)</f>
        <v>24300</v>
      </c>
      <c r="R66" s="6">
        <f t="shared" si="1"/>
        <v>0</v>
      </c>
      <c r="S66" s="1" t="str">
        <f>VLOOKUP(E66,[1]Sheet1!$E$2:$R$91,14,0)</f>
        <v>REN</v>
      </c>
    </row>
    <row r="67" spans="1:19" x14ac:dyDescent="0.25">
      <c r="A67" s="1" t="s">
        <v>387</v>
      </c>
      <c r="B67" s="1" t="s">
        <v>377</v>
      </c>
      <c r="C67" s="1" t="s">
        <v>388</v>
      </c>
      <c r="D67" s="1" t="s">
        <v>389</v>
      </c>
      <c r="E67" s="1" t="s">
        <v>390</v>
      </c>
      <c r="F67" s="1" t="s">
        <v>391</v>
      </c>
      <c r="G67" s="1" t="s">
        <v>392</v>
      </c>
      <c r="H67" s="2">
        <v>45708</v>
      </c>
      <c r="I67" s="3">
        <v>46073</v>
      </c>
      <c r="J67" s="1" t="s">
        <v>21</v>
      </c>
      <c r="K67" s="4">
        <v>782400</v>
      </c>
      <c r="L67" s="4">
        <v>15648</v>
      </c>
      <c r="M67" s="1" t="s">
        <v>154</v>
      </c>
      <c r="N67" s="1" t="s">
        <v>23</v>
      </c>
      <c r="O67" s="1" t="s">
        <v>602</v>
      </c>
      <c r="P67" s="1"/>
      <c r="Q67" s="4">
        <f>VLOOKUP(O67,[1]Sheet1!$O$2:$P$91,2,0)</f>
        <v>15648</v>
      </c>
      <c r="R67" s="6">
        <f t="shared" si="1"/>
        <v>0</v>
      </c>
      <c r="S67" s="1" t="str">
        <f>VLOOKUP(E67,[1]Sheet1!$E$2:$R$91,14,0)</f>
        <v>REN</v>
      </c>
    </row>
    <row r="68" spans="1:19" x14ac:dyDescent="0.25">
      <c r="A68" s="1" t="s">
        <v>393</v>
      </c>
      <c r="B68" s="1" t="s">
        <v>377</v>
      </c>
      <c r="C68" s="1" t="s">
        <v>394</v>
      </c>
      <c r="D68" s="1" t="s">
        <v>395</v>
      </c>
      <c r="E68" s="1" t="s">
        <v>396</v>
      </c>
      <c r="F68" s="1" t="s">
        <v>397</v>
      </c>
      <c r="G68" s="1" t="s">
        <v>398</v>
      </c>
      <c r="H68" s="2">
        <v>45736</v>
      </c>
      <c r="I68" s="3">
        <v>46101</v>
      </c>
      <c r="J68" s="1" t="s">
        <v>21</v>
      </c>
      <c r="K68" s="4">
        <v>1651010</v>
      </c>
      <c r="L68" s="4">
        <v>33020</v>
      </c>
      <c r="M68" s="1" t="s">
        <v>154</v>
      </c>
      <c r="N68" s="1" t="s">
        <v>23</v>
      </c>
      <c r="O68" s="1" t="s">
        <v>603</v>
      </c>
      <c r="P68" s="1"/>
      <c r="Q68" s="4">
        <f>VLOOKUP(O68,[1]Sheet1!$O$2:$P$91,2,0)</f>
        <v>33020</v>
      </c>
      <c r="R68" s="6">
        <f t="shared" si="1"/>
        <v>0</v>
      </c>
      <c r="S68" s="1" t="str">
        <f>VLOOKUP(E68,[1]Sheet1!$E$2:$R$91,14,0)</f>
        <v>REN</v>
      </c>
    </row>
    <row r="69" spans="1:19" x14ac:dyDescent="0.25">
      <c r="A69" s="1" t="s">
        <v>399</v>
      </c>
      <c r="B69" s="1" t="s">
        <v>400</v>
      </c>
      <c r="C69" s="1" t="s">
        <v>401</v>
      </c>
      <c r="D69" s="1" t="s">
        <v>17</v>
      </c>
      <c r="E69" s="1" t="s">
        <v>402</v>
      </c>
      <c r="F69" s="1" t="s">
        <v>403</v>
      </c>
      <c r="G69" s="1" t="s">
        <v>404</v>
      </c>
      <c r="H69" s="2">
        <v>45693</v>
      </c>
      <c r="I69" s="3">
        <v>46058</v>
      </c>
      <c r="J69" s="1" t="s">
        <v>21</v>
      </c>
      <c r="K69" s="4">
        <v>1600560</v>
      </c>
      <c r="L69" s="4">
        <v>24008</v>
      </c>
      <c r="M69" s="1" t="s">
        <v>22</v>
      </c>
      <c r="N69" s="1" t="s">
        <v>23</v>
      </c>
      <c r="O69" s="1" t="s">
        <v>604</v>
      </c>
      <c r="P69" s="1"/>
      <c r="Q69" s="4">
        <f>VLOOKUP(O69,[1]Sheet1!$O$2:$P$91,2,0)</f>
        <v>24008</v>
      </c>
      <c r="R69" s="6">
        <f t="shared" si="1"/>
        <v>0</v>
      </c>
      <c r="S69" s="1" t="str">
        <f>VLOOKUP(E69,[1]Sheet1!$E$2:$R$91,14,0)</f>
        <v>REN</v>
      </c>
    </row>
    <row r="70" spans="1:19" x14ac:dyDescent="0.25">
      <c r="A70" s="1" t="s">
        <v>405</v>
      </c>
      <c r="B70" s="1" t="s">
        <v>400</v>
      </c>
      <c r="C70" s="1" t="s">
        <v>406</v>
      </c>
      <c r="D70" s="1" t="s">
        <v>169</v>
      </c>
      <c r="E70" s="1" t="s">
        <v>407</v>
      </c>
      <c r="F70" s="1" t="s">
        <v>408</v>
      </c>
      <c r="G70" s="1" t="s">
        <v>409</v>
      </c>
      <c r="H70" s="2">
        <v>45693</v>
      </c>
      <c r="I70" s="3">
        <v>46058</v>
      </c>
      <c r="J70" s="1" t="s">
        <v>21</v>
      </c>
      <c r="K70" s="4">
        <v>3060000</v>
      </c>
      <c r="L70" s="4">
        <v>45900</v>
      </c>
      <c r="M70" s="1" t="s">
        <v>22</v>
      </c>
      <c r="N70" s="1" t="s">
        <v>23</v>
      </c>
      <c r="O70" s="1" t="s">
        <v>605</v>
      </c>
      <c r="P70" s="1"/>
      <c r="Q70" s="4">
        <f>VLOOKUP(O70,[1]Sheet1!$O$2:$P$91,2,0)</f>
        <v>45900</v>
      </c>
      <c r="R70" s="6">
        <f t="shared" si="1"/>
        <v>0</v>
      </c>
      <c r="S70" s="1" t="str">
        <f>VLOOKUP(E70,[1]Sheet1!$E$2:$R$91,14,0)</f>
        <v>REN</v>
      </c>
    </row>
    <row r="71" spans="1:19" x14ac:dyDescent="0.25">
      <c r="A71" s="1" t="s">
        <v>410</v>
      </c>
      <c r="B71" s="1" t="s">
        <v>400</v>
      </c>
      <c r="C71" s="1" t="s">
        <v>411</v>
      </c>
      <c r="D71" s="1" t="s">
        <v>274</v>
      </c>
      <c r="E71" s="1" t="s">
        <v>412</v>
      </c>
      <c r="F71" s="1" t="s">
        <v>413</v>
      </c>
      <c r="G71" s="1" t="s">
        <v>199</v>
      </c>
      <c r="H71" s="2">
        <v>45693</v>
      </c>
      <c r="I71" s="3">
        <v>46058</v>
      </c>
      <c r="J71" s="1" t="s">
        <v>21</v>
      </c>
      <c r="K71" s="4">
        <v>2393307</v>
      </c>
      <c r="L71" s="4">
        <v>35900</v>
      </c>
      <c r="M71" s="1" t="s">
        <v>414</v>
      </c>
      <c r="N71" s="1" t="s">
        <v>23</v>
      </c>
      <c r="O71" s="1" t="s">
        <v>606</v>
      </c>
      <c r="P71" s="1"/>
      <c r="Q71" s="4">
        <f>VLOOKUP(O71,[1]Sheet1!$O$2:$P$91,2,0)</f>
        <v>35900</v>
      </c>
      <c r="R71" s="6">
        <f t="shared" ref="R71:R88" si="2">Q71-L71</f>
        <v>0</v>
      </c>
      <c r="S71" s="1" t="str">
        <f>VLOOKUP(E71,[1]Sheet1!$E$2:$R$91,14,0)</f>
        <v>REN</v>
      </c>
    </row>
    <row r="72" spans="1:19" x14ac:dyDescent="0.25">
      <c r="A72" s="1" t="s">
        <v>415</v>
      </c>
      <c r="B72" s="1" t="s">
        <v>400</v>
      </c>
      <c r="C72" s="1" t="s">
        <v>416</v>
      </c>
      <c r="D72" s="1" t="s">
        <v>417</v>
      </c>
      <c r="E72" s="1" t="s">
        <v>418</v>
      </c>
      <c r="F72" s="1" t="s">
        <v>419</v>
      </c>
      <c r="G72" s="1" t="s">
        <v>420</v>
      </c>
      <c r="H72" s="2">
        <v>45698</v>
      </c>
      <c r="I72" s="3">
        <v>46063</v>
      </c>
      <c r="J72" s="1" t="s">
        <v>21</v>
      </c>
      <c r="K72" s="4">
        <v>2697300</v>
      </c>
      <c r="L72" s="4">
        <v>40460</v>
      </c>
      <c r="M72" s="1" t="s">
        <v>22</v>
      </c>
      <c r="N72" s="1" t="s">
        <v>23</v>
      </c>
      <c r="O72" s="1" t="s">
        <v>607</v>
      </c>
      <c r="P72" s="1"/>
      <c r="Q72" s="4">
        <f>VLOOKUP(O72,[1]Sheet1!$O$2:$P$91,2,0)</f>
        <v>40460</v>
      </c>
      <c r="R72" s="6">
        <f t="shared" si="2"/>
        <v>0</v>
      </c>
      <c r="S72" s="1" t="str">
        <f>VLOOKUP(E72,[1]Sheet1!$E$2:$R$91,14,0)</f>
        <v>REN</v>
      </c>
    </row>
    <row r="73" spans="1:19" x14ac:dyDescent="0.25">
      <c r="A73" s="1" t="s">
        <v>421</v>
      </c>
      <c r="B73" s="1" t="s">
        <v>400</v>
      </c>
      <c r="C73" s="1" t="s">
        <v>422</v>
      </c>
      <c r="D73" s="1" t="s">
        <v>423</v>
      </c>
      <c r="E73" s="1" t="s">
        <v>424</v>
      </c>
      <c r="F73" s="1" t="s">
        <v>425</v>
      </c>
      <c r="G73" s="1" t="s">
        <v>426</v>
      </c>
      <c r="H73" s="2">
        <v>45703</v>
      </c>
      <c r="I73" s="3">
        <v>46068</v>
      </c>
      <c r="J73" s="1" t="s">
        <v>21</v>
      </c>
      <c r="K73" s="4">
        <v>2340000</v>
      </c>
      <c r="L73" s="4">
        <v>35100</v>
      </c>
      <c r="M73" s="1" t="s">
        <v>22</v>
      </c>
      <c r="N73" s="1" t="s">
        <v>23</v>
      </c>
      <c r="O73" s="1" t="s">
        <v>608</v>
      </c>
      <c r="P73" s="1"/>
      <c r="Q73" s="4">
        <f>VLOOKUP(O73,[1]Sheet1!$O$2:$P$91,2,0)</f>
        <v>35100</v>
      </c>
      <c r="R73" s="6">
        <f t="shared" si="2"/>
        <v>0</v>
      </c>
      <c r="S73" s="1" t="str">
        <f>VLOOKUP(E73,[1]Sheet1!$E$2:$R$91,14,0)</f>
        <v>REN</v>
      </c>
    </row>
    <row r="74" spans="1:19" x14ac:dyDescent="0.25">
      <c r="A74" s="1" t="s">
        <v>427</v>
      </c>
      <c r="B74" s="1" t="s">
        <v>400</v>
      </c>
      <c r="C74" s="1" t="s">
        <v>428</v>
      </c>
      <c r="D74" s="1" t="s">
        <v>429</v>
      </c>
      <c r="E74" s="1" t="s">
        <v>430</v>
      </c>
      <c r="F74" s="1" t="s">
        <v>431</v>
      </c>
      <c r="G74" s="1" t="s">
        <v>432</v>
      </c>
      <c r="H74" s="2">
        <v>45708</v>
      </c>
      <c r="I74" s="3">
        <v>46073</v>
      </c>
      <c r="J74" s="1" t="s">
        <v>21</v>
      </c>
      <c r="K74" s="4">
        <v>5778900</v>
      </c>
      <c r="L74" s="4">
        <v>86684</v>
      </c>
      <c r="M74" s="1" t="s">
        <v>22</v>
      </c>
      <c r="N74" s="1" t="s">
        <v>23</v>
      </c>
      <c r="O74" s="1" t="s">
        <v>609</v>
      </c>
      <c r="P74" s="1"/>
      <c r="Q74" s="4">
        <f>VLOOKUP(O74,[1]Sheet1!$O$2:$P$91,2,0)</f>
        <v>86684</v>
      </c>
      <c r="R74" s="6">
        <f t="shared" si="2"/>
        <v>0</v>
      </c>
      <c r="S74" s="1" t="str">
        <f>VLOOKUP(E74,[1]Sheet1!$E$2:$R$91,14,0)</f>
        <v>REN</v>
      </c>
    </row>
    <row r="75" spans="1:19" x14ac:dyDescent="0.25">
      <c r="A75" s="1" t="s">
        <v>433</v>
      </c>
      <c r="B75" s="1" t="s">
        <v>434</v>
      </c>
      <c r="C75" s="1" t="s">
        <v>435</v>
      </c>
      <c r="D75" s="1" t="s">
        <v>436</v>
      </c>
      <c r="E75" s="1" t="s">
        <v>437</v>
      </c>
      <c r="F75" s="1" t="s">
        <v>438</v>
      </c>
      <c r="G75" s="1" t="s">
        <v>439</v>
      </c>
      <c r="H75" s="2">
        <v>45693</v>
      </c>
      <c r="I75" s="3">
        <v>46058</v>
      </c>
      <c r="J75" s="1" t="s">
        <v>21</v>
      </c>
      <c r="K75" s="4">
        <v>2641500</v>
      </c>
      <c r="L75" s="4">
        <v>39623</v>
      </c>
      <c r="M75" s="1" t="s">
        <v>22</v>
      </c>
      <c r="N75" s="1" t="s">
        <v>23</v>
      </c>
      <c r="O75" s="1" t="s">
        <v>610</v>
      </c>
      <c r="P75" s="1"/>
      <c r="Q75" s="4">
        <f>VLOOKUP(O75,[1]Sheet1!$O$2:$P$91,2,0)</f>
        <v>39623</v>
      </c>
      <c r="R75" s="6">
        <f t="shared" si="2"/>
        <v>0</v>
      </c>
      <c r="S75" s="1" t="str">
        <f>VLOOKUP(E75,[1]Sheet1!$E$2:$R$91,14,0)</f>
        <v>REN</v>
      </c>
    </row>
    <row r="76" spans="1:19" x14ac:dyDescent="0.25">
      <c r="A76" s="1" t="s">
        <v>440</v>
      </c>
      <c r="B76" s="1" t="s">
        <v>434</v>
      </c>
      <c r="C76" s="1" t="s">
        <v>180</v>
      </c>
      <c r="D76" s="1" t="s">
        <v>441</v>
      </c>
      <c r="E76" s="1" t="s">
        <v>442</v>
      </c>
      <c r="F76" s="1" t="s">
        <v>443</v>
      </c>
      <c r="G76" s="1" t="s">
        <v>444</v>
      </c>
      <c r="H76" s="2">
        <v>45693</v>
      </c>
      <c r="I76" s="3">
        <v>46058</v>
      </c>
      <c r="J76" s="1" t="s">
        <v>21</v>
      </c>
      <c r="K76" s="4">
        <v>2519100</v>
      </c>
      <c r="L76" s="4">
        <v>37787</v>
      </c>
      <c r="M76" s="1" t="s">
        <v>22</v>
      </c>
      <c r="N76" s="1" t="s">
        <v>23</v>
      </c>
      <c r="O76" s="1" t="s">
        <v>611</v>
      </c>
      <c r="P76" s="1"/>
      <c r="Q76" s="4">
        <f>VLOOKUP(O76,[1]Sheet1!$O$2:$P$91,2,0)</f>
        <v>37787</v>
      </c>
      <c r="R76" s="6">
        <f t="shared" si="2"/>
        <v>0</v>
      </c>
      <c r="S76" s="1" t="str">
        <f>VLOOKUP(E76,[1]Sheet1!$E$2:$R$91,14,0)</f>
        <v>REN</v>
      </c>
    </row>
    <row r="77" spans="1:19" x14ac:dyDescent="0.25">
      <c r="A77" s="1" t="s">
        <v>445</v>
      </c>
      <c r="B77" s="1" t="s">
        <v>434</v>
      </c>
      <c r="C77" s="1" t="s">
        <v>446</v>
      </c>
      <c r="D77" s="1" t="s">
        <v>436</v>
      </c>
      <c r="E77" s="1" t="s">
        <v>447</v>
      </c>
      <c r="F77" s="1" t="s">
        <v>448</v>
      </c>
      <c r="G77" s="1" t="s">
        <v>449</v>
      </c>
      <c r="H77" s="2">
        <v>45693</v>
      </c>
      <c r="I77" s="3">
        <v>46058</v>
      </c>
      <c r="J77" s="1" t="s">
        <v>21</v>
      </c>
      <c r="K77" s="4">
        <v>2641500</v>
      </c>
      <c r="L77" s="4">
        <v>39623</v>
      </c>
      <c r="M77" s="1" t="s">
        <v>22</v>
      </c>
      <c r="N77" s="1" t="s">
        <v>23</v>
      </c>
      <c r="O77" s="1" t="s">
        <v>612</v>
      </c>
      <c r="P77" s="1"/>
      <c r="Q77" s="4">
        <f>VLOOKUP(O77,[1]Sheet1!$O$2:$P$91,2,0)</f>
        <v>39623</v>
      </c>
      <c r="R77" s="6">
        <f t="shared" si="2"/>
        <v>0</v>
      </c>
      <c r="S77" s="1" t="str">
        <f>VLOOKUP(E77,[1]Sheet1!$E$2:$R$91,14,0)</f>
        <v>REN</v>
      </c>
    </row>
    <row r="78" spans="1:19" x14ac:dyDescent="0.25">
      <c r="A78" s="1" t="s">
        <v>450</v>
      </c>
      <c r="B78" s="1" t="s">
        <v>434</v>
      </c>
      <c r="C78" s="1" t="s">
        <v>451</v>
      </c>
      <c r="D78" s="1" t="s">
        <v>245</v>
      </c>
      <c r="E78" s="1" t="s">
        <v>452</v>
      </c>
      <c r="F78" s="1" t="s">
        <v>453</v>
      </c>
      <c r="G78" s="1" t="s">
        <v>454</v>
      </c>
      <c r="H78" s="2">
        <v>45708</v>
      </c>
      <c r="I78" s="3">
        <v>46073</v>
      </c>
      <c r="J78" s="1" t="s">
        <v>21</v>
      </c>
      <c r="K78" s="4">
        <v>3651480</v>
      </c>
      <c r="L78" s="4">
        <v>54772</v>
      </c>
      <c r="M78" s="1" t="s">
        <v>22</v>
      </c>
      <c r="N78" s="1" t="s">
        <v>23</v>
      </c>
      <c r="O78" s="1" t="s">
        <v>613</v>
      </c>
      <c r="P78" s="1"/>
      <c r="Q78" s="4">
        <f>VLOOKUP(O78,[1]Sheet1!$O$2:$P$91,2,0)</f>
        <v>54772</v>
      </c>
      <c r="R78" s="6">
        <f t="shared" si="2"/>
        <v>0</v>
      </c>
      <c r="S78" s="1" t="str">
        <f>VLOOKUP(E78,[1]Sheet1!$E$2:$R$91,14,0)</f>
        <v>REN</v>
      </c>
    </row>
    <row r="79" spans="1:19" x14ac:dyDescent="0.25">
      <c r="A79" s="1" t="s">
        <v>455</v>
      </c>
      <c r="B79" s="1" t="s">
        <v>434</v>
      </c>
      <c r="C79" s="1" t="s">
        <v>456</v>
      </c>
      <c r="D79" s="1" t="s">
        <v>286</v>
      </c>
      <c r="E79" s="1" t="s">
        <v>457</v>
      </c>
      <c r="F79" s="1" t="s">
        <v>458</v>
      </c>
      <c r="G79" s="1" t="s">
        <v>459</v>
      </c>
      <c r="H79" s="2">
        <v>45708</v>
      </c>
      <c r="I79" s="3">
        <v>46073</v>
      </c>
      <c r="J79" s="1" t="s">
        <v>21</v>
      </c>
      <c r="K79" s="4">
        <v>973215</v>
      </c>
      <c r="L79" s="4">
        <v>14598</v>
      </c>
      <c r="M79" s="1" t="s">
        <v>22</v>
      </c>
      <c r="N79" s="1" t="s">
        <v>23</v>
      </c>
      <c r="O79" s="1" t="s">
        <v>614</v>
      </c>
      <c r="P79" s="1"/>
      <c r="Q79" s="4">
        <f>VLOOKUP(O79,[1]Sheet1!$O$2:$P$91,2,0)</f>
        <v>14598</v>
      </c>
      <c r="R79" s="6">
        <f t="shared" si="2"/>
        <v>0</v>
      </c>
      <c r="S79" s="1" t="str">
        <f>VLOOKUP(E79,[1]Sheet1!$E$2:$R$91,14,0)</f>
        <v>REN</v>
      </c>
    </row>
    <row r="80" spans="1:19" x14ac:dyDescent="0.25">
      <c r="A80" s="1" t="s">
        <v>460</v>
      </c>
      <c r="B80" s="1" t="s">
        <v>434</v>
      </c>
      <c r="C80" s="1" t="s">
        <v>461</v>
      </c>
      <c r="D80" s="1" t="s">
        <v>462</v>
      </c>
      <c r="E80" s="1" t="s">
        <v>463</v>
      </c>
      <c r="F80" s="1" t="s">
        <v>464</v>
      </c>
      <c r="G80" s="1" t="s">
        <v>465</v>
      </c>
      <c r="H80" s="2">
        <v>45713</v>
      </c>
      <c r="I80" s="3">
        <v>46078</v>
      </c>
      <c r="J80" s="1" t="s">
        <v>21</v>
      </c>
      <c r="K80" s="4">
        <v>5604390</v>
      </c>
      <c r="L80" s="4">
        <v>84066</v>
      </c>
      <c r="M80" s="1" t="s">
        <v>22</v>
      </c>
      <c r="N80" s="1" t="s">
        <v>23</v>
      </c>
      <c r="O80" s="1" t="s">
        <v>615</v>
      </c>
      <c r="P80" s="1"/>
      <c r="Q80" s="4">
        <f>VLOOKUP(O80,[1]Sheet1!$O$2:$P$91,2,0)</f>
        <v>84066</v>
      </c>
      <c r="R80" s="6">
        <f t="shared" si="2"/>
        <v>0</v>
      </c>
      <c r="S80" s="1" t="str">
        <f>VLOOKUP(E80,[1]Sheet1!$E$2:$R$91,14,0)</f>
        <v>REN</v>
      </c>
    </row>
    <row r="81" spans="1:19" x14ac:dyDescent="0.25">
      <c r="A81" s="1" t="s">
        <v>466</v>
      </c>
      <c r="B81" s="1" t="s">
        <v>434</v>
      </c>
      <c r="C81" s="1" t="s">
        <v>467</v>
      </c>
      <c r="D81" s="1" t="s">
        <v>67</v>
      </c>
      <c r="E81" s="1" t="s">
        <v>468</v>
      </c>
      <c r="F81" s="1" t="s">
        <v>469</v>
      </c>
      <c r="G81" s="1" t="s">
        <v>470</v>
      </c>
      <c r="H81" s="2">
        <v>45713</v>
      </c>
      <c r="I81" s="3">
        <v>46078</v>
      </c>
      <c r="J81" s="1" t="s">
        <v>21</v>
      </c>
      <c r="K81" s="4">
        <v>3735000</v>
      </c>
      <c r="L81" s="4">
        <v>56025</v>
      </c>
      <c r="M81" s="1" t="s">
        <v>22</v>
      </c>
      <c r="N81" s="1" t="s">
        <v>23</v>
      </c>
      <c r="O81" s="1" t="s">
        <v>616</v>
      </c>
      <c r="P81" s="1"/>
      <c r="Q81" s="4">
        <f>VLOOKUP(O81,[1]Sheet1!$O$2:$P$91,2,0)</f>
        <v>56025</v>
      </c>
      <c r="R81" s="6">
        <f t="shared" si="2"/>
        <v>0</v>
      </c>
      <c r="S81" s="1" t="str">
        <f>VLOOKUP(E81,[1]Sheet1!$E$2:$R$91,14,0)</f>
        <v>REN</v>
      </c>
    </row>
    <row r="82" spans="1:19" x14ac:dyDescent="0.25">
      <c r="A82" s="1" t="s">
        <v>471</v>
      </c>
      <c r="B82" s="1" t="s">
        <v>472</v>
      </c>
      <c r="C82" s="1" t="s">
        <v>473</v>
      </c>
      <c r="D82" s="1" t="s">
        <v>474</v>
      </c>
      <c r="E82" s="1" t="s">
        <v>475</v>
      </c>
      <c r="F82" s="1" t="s">
        <v>476</v>
      </c>
      <c r="G82" s="1" t="s">
        <v>477</v>
      </c>
      <c r="H82" s="2">
        <v>45703</v>
      </c>
      <c r="I82" s="3">
        <v>46068</v>
      </c>
      <c r="J82" s="1" t="s">
        <v>21</v>
      </c>
      <c r="K82" s="4">
        <v>3389040</v>
      </c>
      <c r="L82" s="4">
        <v>50836</v>
      </c>
      <c r="M82" s="1" t="s">
        <v>22</v>
      </c>
      <c r="N82" s="1" t="s">
        <v>23</v>
      </c>
      <c r="O82" s="1" t="s">
        <v>617</v>
      </c>
      <c r="P82" s="1"/>
      <c r="Q82" s="4">
        <f>VLOOKUP(O82,[1]Sheet1!$O$2:$P$91,2,0)</f>
        <v>50836</v>
      </c>
      <c r="R82" s="6">
        <f t="shared" si="2"/>
        <v>0</v>
      </c>
      <c r="S82" s="1" t="str">
        <f>VLOOKUP(E82,[1]Sheet1!$E$2:$R$91,14,0)</f>
        <v>REN</v>
      </c>
    </row>
    <row r="83" spans="1:19" x14ac:dyDescent="0.25">
      <c r="A83" s="1" t="s">
        <v>478</v>
      </c>
      <c r="B83" s="1" t="s">
        <v>472</v>
      </c>
      <c r="C83" s="1" t="s">
        <v>479</v>
      </c>
      <c r="D83" s="1" t="s">
        <v>163</v>
      </c>
      <c r="E83" s="1" t="s">
        <v>480</v>
      </c>
      <c r="F83" s="1" t="s">
        <v>481</v>
      </c>
      <c r="G83" s="1" t="s">
        <v>482</v>
      </c>
      <c r="H83" s="2">
        <v>45708</v>
      </c>
      <c r="I83" s="3">
        <v>46073</v>
      </c>
      <c r="J83" s="1" t="s">
        <v>21</v>
      </c>
      <c r="K83" s="4">
        <v>2138157</v>
      </c>
      <c r="L83" s="4">
        <v>32072</v>
      </c>
      <c r="M83" s="1" t="s">
        <v>22</v>
      </c>
      <c r="N83" s="1" t="s">
        <v>23</v>
      </c>
      <c r="O83" s="1" t="s">
        <v>618</v>
      </c>
      <c r="P83" s="1"/>
      <c r="Q83" s="4">
        <f>VLOOKUP(O83,[1]Sheet1!$O$2:$P$91,2,0)</f>
        <v>32072</v>
      </c>
      <c r="R83" s="6">
        <f t="shared" si="2"/>
        <v>0</v>
      </c>
      <c r="S83" s="1" t="str">
        <f>VLOOKUP(E83,[1]Sheet1!$E$2:$R$91,14,0)</f>
        <v>REN</v>
      </c>
    </row>
    <row r="84" spans="1:19" x14ac:dyDescent="0.25">
      <c r="A84" s="1" t="s">
        <v>483</v>
      </c>
      <c r="B84" s="1" t="s">
        <v>472</v>
      </c>
      <c r="C84" s="1" t="s">
        <v>484</v>
      </c>
      <c r="D84" s="1" t="s">
        <v>423</v>
      </c>
      <c r="E84" s="1" t="s">
        <v>485</v>
      </c>
      <c r="F84" s="1" t="s">
        <v>486</v>
      </c>
      <c r="G84" s="1" t="s">
        <v>487</v>
      </c>
      <c r="H84" s="2">
        <v>45713</v>
      </c>
      <c r="I84" s="3">
        <v>46078</v>
      </c>
      <c r="J84" s="1" t="s">
        <v>21</v>
      </c>
      <c r="K84" s="4">
        <v>2980799</v>
      </c>
      <c r="L84" s="4">
        <v>44712</v>
      </c>
      <c r="M84" s="1" t="s">
        <v>22</v>
      </c>
      <c r="N84" s="1" t="s">
        <v>23</v>
      </c>
      <c r="O84" s="1" t="s">
        <v>619</v>
      </c>
      <c r="P84" s="1"/>
      <c r="Q84" s="4">
        <f>VLOOKUP(O84,[1]Sheet1!$O$2:$P$91,2,0)</f>
        <v>44712</v>
      </c>
      <c r="R84" s="6">
        <f t="shared" si="2"/>
        <v>0</v>
      </c>
      <c r="S84" s="1" t="str">
        <f>VLOOKUP(E84,[1]Sheet1!$E$2:$R$91,14,0)</f>
        <v>REN</v>
      </c>
    </row>
    <row r="85" spans="1:19" x14ac:dyDescent="0.25">
      <c r="A85" s="1" t="s">
        <v>488</v>
      </c>
      <c r="B85" s="1" t="s">
        <v>472</v>
      </c>
      <c r="C85" s="1" t="s">
        <v>489</v>
      </c>
      <c r="D85" s="1" t="s">
        <v>490</v>
      </c>
      <c r="E85" s="1" t="s">
        <v>491</v>
      </c>
      <c r="F85" s="1" t="s">
        <v>492</v>
      </c>
      <c r="G85" s="1" t="s">
        <v>493</v>
      </c>
      <c r="H85" s="2">
        <v>45721</v>
      </c>
      <c r="I85" s="3">
        <v>46086</v>
      </c>
      <c r="J85" s="1" t="s">
        <v>21</v>
      </c>
      <c r="K85" s="4">
        <v>5041440</v>
      </c>
      <c r="L85" s="4">
        <v>75622</v>
      </c>
      <c r="M85" s="1" t="s">
        <v>22</v>
      </c>
      <c r="N85" s="1" t="s">
        <v>23</v>
      </c>
      <c r="O85" s="1" t="s">
        <v>620</v>
      </c>
      <c r="P85" s="1"/>
      <c r="Q85" s="4">
        <f>VLOOKUP(O85,[1]Sheet1!$O$2:$P$91,2,0)</f>
        <v>75622</v>
      </c>
      <c r="R85" s="6">
        <f t="shared" si="2"/>
        <v>0</v>
      </c>
      <c r="S85" s="1" t="str">
        <f>VLOOKUP(E85,[1]Sheet1!$E$2:$R$91,14,0)</f>
        <v>REN</v>
      </c>
    </row>
    <row r="86" spans="1:19" x14ac:dyDescent="0.25">
      <c r="A86" s="1" t="s">
        <v>494</v>
      </c>
      <c r="B86" s="1" t="s">
        <v>472</v>
      </c>
      <c r="C86" s="1" t="s">
        <v>495</v>
      </c>
      <c r="D86" s="1" t="s">
        <v>169</v>
      </c>
      <c r="E86" s="1" t="s">
        <v>496</v>
      </c>
      <c r="F86" s="1" t="s">
        <v>497</v>
      </c>
      <c r="G86" s="1" t="s">
        <v>498</v>
      </c>
      <c r="H86" s="2">
        <v>45721</v>
      </c>
      <c r="I86" s="3">
        <v>46086</v>
      </c>
      <c r="J86" s="1" t="s">
        <v>21</v>
      </c>
      <c r="K86" s="4">
        <v>4094100</v>
      </c>
      <c r="L86" s="4">
        <v>61412</v>
      </c>
      <c r="M86" s="1" t="s">
        <v>22</v>
      </c>
      <c r="N86" s="1" t="s">
        <v>23</v>
      </c>
      <c r="O86" s="1" t="s">
        <v>621</v>
      </c>
      <c r="P86" s="1"/>
      <c r="Q86" s="4">
        <f>VLOOKUP(O86,[1]Sheet1!$O$2:$P$91,2,0)</f>
        <v>61412</v>
      </c>
      <c r="R86" s="6">
        <f t="shared" si="2"/>
        <v>0</v>
      </c>
      <c r="S86" s="1" t="str">
        <f>VLOOKUP(E86,[1]Sheet1!$E$2:$R$91,14,0)</f>
        <v>REN</v>
      </c>
    </row>
    <row r="87" spans="1:19" x14ac:dyDescent="0.25">
      <c r="A87" s="1" t="s">
        <v>499</v>
      </c>
      <c r="B87" s="1" t="s">
        <v>472</v>
      </c>
      <c r="C87" s="1" t="s">
        <v>500</v>
      </c>
      <c r="D87" s="1" t="s">
        <v>501</v>
      </c>
      <c r="E87" s="1" t="s">
        <v>502</v>
      </c>
      <c r="F87" s="1" t="s">
        <v>503</v>
      </c>
      <c r="G87" s="1" t="s">
        <v>504</v>
      </c>
      <c r="H87" s="2">
        <v>45726</v>
      </c>
      <c r="I87" s="3">
        <v>46091</v>
      </c>
      <c r="J87" s="1" t="s">
        <v>21</v>
      </c>
      <c r="K87" s="4">
        <v>6543900</v>
      </c>
      <c r="L87" s="4">
        <v>98159</v>
      </c>
      <c r="M87" s="1" t="s">
        <v>22</v>
      </c>
      <c r="N87" s="1" t="s">
        <v>23</v>
      </c>
      <c r="O87" s="1" t="s">
        <v>622</v>
      </c>
      <c r="P87" s="1"/>
      <c r="Q87" s="4">
        <f>VLOOKUP(O87,[1]Sheet1!$O$2:$P$91,2,0)</f>
        <v>98159</v>
      </c>
      <c r="R87" s="6">
        <f t="shared" si="2"/>
        <v>0</v>
      </c>
      <c r="S87" s="1" t="str">
        <f>VLOOKUP(E87,[1]Sheet1!$E$2:$R$91,14,0)</f>
        <v>REN</v>
      </c>
    </row>
    <row r="88" spans="1:19" x14ac:dyDescent="0.25">
      <c r="A88" s="1" t="s">
        <v>505</v>
      </c>
      <c r="B88" s="1" t="s">
        <v>472</v>
      </c>
      <c r="C88" s="1" t="s">
        <v>506</v>
      </c>
      <c r="D88" s="1" t="s">
        <v>507</v>
      </c>
      <c r="E88" s="1" t="s">
        <v>508</v>
      </c>
      <c r="F88" s="1" t="s">
        <v>509</v>
      </c>
      <c r="G88" s="1" t="s">
        <v>510</v>
      </c>
      <c r="H88" s="2">
        <v>45693</v>
      </c>
      <c r="I88" s="3">
        <v>46058</v>
      </c>
      <c r="J88" s="1" t="s">
        <v>21</v>
      </c>
      <c r="K88" s="4">
        <v>943603</v>
      </c>
      <c r="L88" s="4">
        <v>18872</v>
      </c>
      <c r="M88" s="1" t="s">
        <v>154</v>
      </c>
      <c r="N88" s="1" t="s">
        <v>23</v>
      </c>
      <c r="O88" s="1" t="s">
        <v>623</v>
      </c>
      <c r="P88" s="1"/>
      <c r="Q88" s="4">
        <f>VLOOKUP(O88,[1]Sheet1!$O$2:$P$91,2,0)</f>
        <v>18872</v>
      </c>
      <c r="R88" s="6">
        <f t="shared" si="2"/>
        <v>0</v>
      </c>
      <c r="S88" s="1" t="str">
        <f>VLOOKUP(E88,[1]Sheet1!$E$2:$R$91,14,0)</f>
        <v>REN</v>
      </c>
    </row>
    <row r="89" spans="1:19" x14ac:dyDescent="0.25">
      <c r="A89" s="1" t="s">
        <v>511</v>
      </c>
      <c r="B89" s="1" t="s">
        <v>472</v>
      </c>
      <c r="C89" s="1" t="s">
        <v>512</v>
      </c>
      <c r="D89" s="1" t="s">
        <v>513</v>
      </c>
      <c r="E89" s="1" t="s">
        <v>514</v>
      </c>
      <c r="F89" s="1" t="s">
        <v>515</v>
      </c>
      <c r="G89" s="1" t="s">
        <v>516</v>
      </c>
      <c r="H89" s="2">
        <v>45708</v>
      </c>
      <c r="I89" s="3">
        <v>45889</v>
      </c>
      <c r="J89" s="1" t="s">
        <v>517</v>
      </c>
      <c r="K89" s="4">
        <v>1325651</v>
      </c>
      <c r="L89" s="4">
        <v>13257</v>
      </c>
      <c r="M89" s="1" t="s">
        <v>154</v>
      </c>
      <c r="N89" s="1" t="s">
        <v>23</v>
      </c>
      <c r="O89" s="1" t="s">
        <v>624</v>
      </c>
      <c r="P89" s="1" t="s">
        <v>535</v>
      </c>
      <c r="Q89" s="4">
        <f>VLOOKUP(O89,[1]Sheet1!$O$2:$P$91,2,0)</f>
        <v>26513</v>
      </c>
      <c r="R89" s="6">
        <f>L89-Q89</f>
        <v>-13256</v>
      </c>
      <c r="S89" s="1" t="str">
        <f>VLOOKUP(E89,[1]Sheet1!$E$2:$R$91,14,0)</f>
        <v>REN</v>
      </c>
    </row>
    <row r="90" spans="1:19" x14ac:dyDescent="0.25">
      <c r="A90" s="1" t="s">
        <v>518</v>
      </c>
      <c r="B90" s="1" t="s">
        <v>472</v>
      </c>
      <c r="C90" s="1" t="s">
        <v>519</v>
      </c>
      <c r="D90" s="1" t="s">
        <v>520</v>
      </c>
      <c r="E90" s="1" t="s">
        <v>521</v>
      </c>
      <c r="F90" s="1" t="s">
        <v>522</v>
      </c>
      <c r="G90" s="1" t="s">
        <v>523</v>
      </c>
      <c r="H90" s="2">
        <v>45713</v>
      </c>
      <c r="I90" s="3">
        <v>46078</v>
      </c>
      <c r="J90" s="1" t="s">
        <v>21</v>
      </c>
      <c r="K90" s="4">
        <v>2232708</v>
      </c>
      <c r="L90" s="4">
        <v>44654</v>
      </c>
      <c r="M90" s="1" t="s">
        <v>154</v>
      </c>
      <c r="N90" s="1" t="s">
        <v>23</v>
      </c>
      <c r="O90" s="1" t="s">
        <v>625</v>
      </c>
      <c r="P90" s="1"/>
      <c r="Q90" s="4">
        <f>VLOOKUP(O90,[1]Sheet1!$O$2:$P$91,2,0)</f>
        <v>44654</v>
      </c>
      <c r="R90" s="6">
        <f>Q90-L90</f>
        <v>0</v>
      </c>
      <c r="S90" s="1" t="str">
        <f>VLOOKUP(E90,[1]Sheet1!$E$2:$R$91,14,0)</f>
        <v>REN</v>
      </c>
    </row>
    <row r="91" spans="1:19" x14ac:dyDescent="0.25">
      <c r="A91" s="1" t="s">
        <v>524</v>
      </c>
      <c r="B91" s="1" t="s">
        <v>472</v>
      </c>
      <c r="C91" s="1" t="s">
        <v>525</v>
      </c>
      <c r="D91" s="1" t="s">
        <v>526</v>
      </c>
      <c r="E91" s="1" t="s">
        <v>527</v>
      </c>
      <c r="F91" s="1" t="s">
        <v>528</v>
      </c>
      <c r="G91" s="1" t="s">
        <v>529</v>
      </c>
      <c r="H91" s="2">
        <v>45721</v>
      </c>
      <c r="I91" s="3">
        <v>46086</v>
      </c>
      <c r="J91" s="1" t="s">
        <v>21</v>
      </c>
      <c r="K91" s="4">
        <v>1298349</v>
      </c>
      <c r="L91" s="4">
        <v>19475</v>
      </c>
      <c r="M91" s="1" t="s">
        <v>22</v>
      </c>
      <c r="N91" s="1" t="s">
        <v>23</v>
      </c>
      <c r="O91" s="1" t="s">
        <v>626</v>
      </c>
      <c r="P91" s="1"/>
      <c r="Q91" s="4">
        <f>VLOOKUP(O91,[1]Sheet1!$O$2:$P$91,2,0)</f>
        <v>19475</v>
      </c>
      <c r="R91" s="6">
        <f>Q91-L91</f>
        <v>0</v>
      </c>
      <c r="S91" s="1" t="str">
        <f>VLOOKUP(E91,[1]Sheet1!$E$2:$R$91,14,0)</f>
        <v>REN</v>
      </c>
    </row>
    <row r="92" spans="1:1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7">
        <f>SUM(L2:L91)</f>
        <v>3529365</v>
      </c>
      <c r="M92" s="1"/>
      <c r="N92" s="1"/>
      <c r="O92" s="1"/>
      <c r="P92" s="1"/>
      <c r="Q92" s="7">
        <f>SUM(Q2:Q91)</f>
        <v>3541514</v>
      </c>
      <c r="R92" s="7">
        <f>SUBTOTAL(9,R2:R91)</f>
        <v>-12149</v>
      </c>
      <c r="S92" s="1"/>
    </row>
    <row r="93" spans="1:1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5" spans="1:19" x14ac:dyDescent="0.25">
      <c r="P9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C8C7-9A46-4D2C-B3CB-FC65FB0945DF}">
  <dimension ref="A1:H93"/>
  <sheetViews>
    <sheetView tabSelected="1" topLeftCell="A90" workbookViewId="0">
      <selection activeCell="C98" sqref="C98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4" bestFit="1" customWidth="1"/>
    <col min="4" max="4" width="9.5703125" bestFit="1" customWidth="1"/>
    <col min="5" max="5" width="13.7109375" bestFit="1" customWidth="1"/>
    <col min="6" max="6" width="95.42578125" customWidth="1"/>
    <col min="7" max="7" width="85.28515625" customWidth="1"/>
    <col min="8" max="8" width="77.28515625" customWidth="1"/>
  </cols>
  <sheetData>
    <row r="1" spans="1:8" x14ac:dyDescent="0.25">
      <c r="A1" s="10" t="s">
        <v>729</v>
      </c>
      <c r="B1" t="s">
        <v>730</v>
      </c>
      <c r="D1" s="11" t="s">
        <v>731</v>
      </c>
      <c r="E1" t="s">
        <v>732</v>
      </c>
    </row>
    <row r="2" spans="1:8" ht="93" customHeight="1" x14ac:dyDescent="0.25">
      <c r="A2" s="1" t="s">
        <v>537</v>
      </c>
      <c r="B2" s="12" t="str">
        <f>VLOOKUP(A2,policy!B:C,2,0)</f>
        <v>070000177205</v>
      </c>
      <c r="C2" s="4">
        <f>VLOOKUP(A2,[1]Sheet1!$O$2:$P$91,2,0)</f>
        <v>15014</v>
      </c>
      <c r="D2" s="13">
        <f>ROUND(C2,0)</f>
        <v>15014</v>
      </c>
      <c r="E2" t="s">
        <v>732</v>
      </c>
      <c r="F2" s="14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5" t="str">
        <f>"('"&amp;E2&amp;"','"&amp;B2&amp;"','"&amp;D2&amp;"',(select max(to_number(i.premium_rcv_detail_code))+1
from ins_premium_det i),'"&amp;D2&amp;"','"&amp;D2&amp;"','02', '11000003','00','Request by Mr. Saqib Saleem 26-Mar-2025');"</f>
        <v>('26Mar250052','070000177205','15014',(select max(to_number(i.premium_rcv_detail_code))+1
from ins_premium_det i),'15014','15014','02', '11000003','00','Request by Mr. Saqib Saleem 26-Mar-2025');</v>
      </c>
      <c r="H2" s="16" t="str">
        <f>F2&amp;G2</f>
        <v>insert into ins_premium_det (premium_rcv_code,assorted_code, rec_amount,premium_rcv_detail_code,remaining_amt, payrec, mode_code,coinsurance_code,class_cd,it_remarks) values('26Mar250052','070000177205','15014',(select max(to_number(i.premium_rcv_detail_code))+1
from ins_premium_det i),'15014','15014','02', '11000003','00','Request by Mr. Saqib Saleem 26-Mar-2025');</v>
      </c>
    </row>
    <row r="3" spans="1:8" ht="105" x14ac:dyDescent="0.25">
      <c r="A3" s="1" t="s">
        <v>538</v>
      </c>
      <c r="B3" s="12" t="str">
        <f>VLOOKUP(A3,policy!B:C,2,0)</f>
        <v>070000177054</v>
      </c>
      <c r="C3" s="4">
        <f>VLOOKUP(A3,[1]Sheet1!$O$2:$P$91,2,0)</f>
        <v>28639</v>
      </c>
      <c r="D3" s="13">
        <f t="shared" ref="D3:D66" si="1">ROUND(C3,0)</f>
        <v>28639</v>
      </c>
      <c r="E3" t="s">
        <v>732</v>
      </c>
      <c r="F3" s="14" t="str">
        <f t="shared" si="0"/>
        <v>insert into ins_premium_det (premium_rcv_code,assorted_code, rec_amount,premium_rcv_detail_code,remaining_amt, payrec, mode_code,coinsurance_code,class_cd,it_remarks) values</v>
      </c>
      <c r="G3" s="15" t="str">
        <f t="shared" ref="G3:G66" si="2">"('"&amp;E3&amp;"','"&amp;B3&amp;"','"&amp;D3&amp;"',(select max(to_number(i.premium_rcv_detail_code))+1
from ins_premium_det i),'"&amp;D3&amp;"','"&amp;D3&amp;"','02', '11000003','00','Request by Mr. Saqib Saleem 26-Mar-2025');"</f>
        <v>('26Mar250052','070000177054','28639',(select max(to_number(i.premium_rcv_detail_code))+1
from ins_premium_det i),'28639','28639','02', '11000003','00','Request by Mr. Saqib Saleem 26-Mar-2025');</v>
      </c>
      <c r="H3" s="16" t="str">
        <f t="shared" ref="H3:H66" si="3">F3&amp;G3</f>
        <v>insert into ins_premium_det (premium_rcv_code,assorted_code, rec_amount,premium_rcv_detail_code,remaining_amt, payrec, mode_code,coinsurance_code,class_cd,it_remarks) values('26Mar250052','070000177054','28639',(select max(to_number(i.premium_rcv_detail_code))+1
from ins_premium_det i),'28639','28639','02', '11000003','00','Request by Mr. Saqib Saleem 26-Mar-2025');</v>
      </c>
    </row>
    <row r="4" spans="1:8" ht="105" x14ac:dyDescent="0.25">
      <c r="A4" s="1" t="s">
        <v>539</v>
      </c>
      <c r="B4" s="12" t="str">
        <f>VLOOKUP(A4,policy!B:C,2,0)</f>
        <v>070000177055</v>
      </c>
      <c r="C4" s="4">
        <f>VLOOKUP(A4,[1]Sheet1!$O$2:$P$91,2,0)</f>
        <v>16632</v>
      </c>
      <c r="D4" s="13">
        <f t="shared" si="1"/>
        <v>16632</v>
      </c>
      <c r="E4" t="s">
        <v>732</v>
      </c>
      <c r="F4" s="14" t="str">
        <f t="shared" si="0"/>
        <v>insert into ins_premium_det (premium_rcv_code,assorted_code, rec_amount,premium_rcv_detail_code,remaining_amt, payrec, mode_code,coinsurance_code,class_cd,it_remarks) values</v>
      </c>
      <c r="G4" s="15" t="str">
        <f t="shared" si="2"/>
        <v>('26Mar250052','070000177055','16632',(select max(to_number(i.premium_rcv_detail_code))+1
from ins_premium_det i),'16632','16632','02', '11000003','00','Request by Mr. Saqib Saleem 26-Mar-2025');</v>
      </c>
      <c r="H4" s="16" t="str">
        <f t="shared" si="3"/>
        <v>insert into ins_premium_det (premium_rcv_code,assorted_code, rec_amount,premium_rcv_detail_code,remaining_amt, payrec, mode_code,coinsurance_code,class_cd,it_remarks) values('26Mar250052','070000177055','16632',(select max(to_number(i.premium_rcv_detail_code))+1
from ins_premium_det i),'16632','16632','02', '11000003','00','Request by Mr. Saqib Saleem 26-Mar-2025');</v>
      </c>
    </row>
    <row r="5" spans="1:8" ht="105" x14ac:dyDescent="0.25">
      <c r="A5" s="1" t="s">
        <v>540</v>
      </c>
      <c r="B5" s="12" t="str">
        <f>VLOOKUP(A5,policy!B:C,2,0)</f>
        <v>070000177204</v>
      </c>
      <c r="C5" s="4">
        <f>VLOOKUP(A5,[1]Sheet1!$O$2:$P$91,2,0)</f>
        <v>15014</v>
      </c>
      <c r="D5" s="13">
        <f t="shared" si="1"/>
        <v>15014</v>
      </c>
      <c r="E5" t="s">
        <v>732</v>
      </c>
      <c r="F5" s="14" t="str">
        <f t="shared" si="0"/>
        <v>insert into ins_premium_det (premium_rcv_code,assorted_code, rec_amount,premium_rcv_detail_code,remaining_amt, payrec, mode_code,coinsurance_code,class_cd,it_remarks) values</v>
      </c>
      <c r="G5" s="15" t="str">
        <f t="shared" si="2"/>
        <v>('26Mar250052','070000177204','15014',(select max(to_number(i.premium_rcv_detail_code))+1
from ins_premium_det i),'15014','15014','02', '11000003','00','Request by Mr. Saqib Saleem 26-Mar-2025');</v>
      </c>
      <c r="H5" s="16" t="str">
        <f t="shared" si="3"/>
        <v>insert into ins_premium_det (premium_rcv_code,assorted_code, rec_amount,premium_rcv_detail_code,remaining_amt, payrec, mode_code,coinsurance_code,class_cd,it_remarks) values('26Mar250052','070000177204','15014',(select max(to_number(i.premium_rcv_detail_code))+1
from ins_premium_det i),'15014','15014','02', '11000003','00','Request by Mr. Saqib Saleem 26-Mar-2025');</v>
      </c>
    </row>
    <row r="6" spans="1:8" ht="105" x14ac:dyDescent="0.25">
      <c r="A6" s="1" t="s">
        <v>541</v>
      </c>
      <c r="B6" s="12" t="str">
        <f>VLOOKUP(A6,policy!B:C,2,0)</f>
        <v>070000177057</v>
      </c>
      <c r="C6" s="4">
        <f>VLOOKUP(A6,[1]Sheet1!$O$2:$P$91,2,0)</f>
        <v>19475</v>
      </c>
      <c r="D6" s="13">
        <f t="shared" si="1"/>
        <v>19475</v>
      </c>
      <c r="E6" t="s">
        <v>732</v>
      </c>
      <c r="F6" s="14" t="str">
        <f t="shared" si="0"/>
        <v>insert into ins_premium_det (premium_rcv_code,assorted_code, rec_amount,premium_rcv_detail_code,remaining_amt, payrec, mode_code,coinsurance_code,class_cd,it_remarks) values</v>
      </c>
      <c r="G6" s="15" t="str">
        <f t="shared" si="2"/>
        <v>('26Mar250052','070000177057','19475',(select max(to_number(i.premium_rcv_detail_code))+1
from ins_premium_det i),'19475','19475','02', '11000003','00','Request by Mr. Saqib Saleem 26-Mar-2025');</v>
      </c>
      <c r="H6" s="16" t="str">
        <f t="shared" si="3"/>
        <v>insert into ins_premium_det (premium_rcv_code,assorted_code, rec_amount,premium_rcv_detail_code,remaining_amt, payrec, mode_code,coinsurance_code,class_cd,it_remarks) values('26Mar250052','070000177057','19475',(select max(to_number(i.premium_rcv_detail_code))+1
from ins_premium_det i),'19475','19475','02', '11000003','00','Request by Mr. Saqib Saleem 26-Mar-2025');</v>
      </c>
    </row>
    <row r="7" spans="1:8" ht="105" x14ac:dyDescent="0.25">
      <c r="A7" s="1" t="s">
        <v>542</v>
      </c>
      <c r="B7" s="12" t="str">
        <f>VLOOKUP(A7,policy!B:C,2,0)</f>
        <v>070000177202</v>
      </c>
      <c r="C7" s="4">
        <f>VLOOKUP(A7,[1]Sheet1!$O$2:$P$91,2,0)</f>
        <v>17102</v>
      </c>
      <c r="D7" s="13">
        <f t="shared" si="1"/>
        <v>17102</v>
      </c>
      <c r="E7" t="s">
        <v>732</v>
      </c>
      <c r="F7" s="14" t="str">
        <f t="shared" si="0"/>
        <v>insert into ins_premium_det (premium_rcv_code,assorted_code, rec_amount,premium_rcv_detail_code,remaining_amt, payrec, mode_code,coinsurance_code,class_cd,it_remarks) values</v>
      </c>
      <c r="G7" s="15" t="str">
        <f t="shared" si="2"/>
        <v>('26Mar250052','070000177202','17102',(select max(to_number(i.premium_rcv_detail_code))+1
from ins_premium_det i),'17102','17102','02', '11000003','00','Request by Mr. Saqib Saleem 26-Mar-2025');</v>
      </c>
      <c r="H7" s="16" t="str">
        <f t="shared" si="3"/>
        <v>insert into ins_premium_det (premium_rcv_code,assorted_code, rec_amount,premium_rcv_detail_code,remaining_amt, payrec, mode_code,coinsurance_code,class_cd,it_remarks) values('26Mar250052','070000177202','17102',(select max(to_number(i.premium_rcv_detail_code))+1
from ins_premium_det i),'17102','17102','02', '11000003','00','Request by Mr. Saqib Saleem 26-Mar-2025');</v>
      </c>
    </row>
    <row r="8" spans="1:8" ht="105" x14ac:dyDescent="0.25">
      <c r="A8" s="1" t="s">
        <v>543</v>
      </c>
      <c r="B8" s="12" t="str">
        <f>VLOOKUP(A8,policy!B:C,2,0)</f>
        <v>070000177058</v>
      </c>
      <c r="C8" s="4">
        <f>VLOOKUP(A8,[1]Sheet1!$O$2:$P$91,2,0)</f>
        <v>18590</v>
      </c>
      <c r="D8" s="13">
        <f t="shared" si="1"/>
        <v>18590</v>
      </c>
      <c r="E8" t="s">
        <v>732</v>
      </c>
      <c r="F8" s="14" t="str">
        <f t="shared" si="0"/>
        <v>insert into ins_premium_det (premium_rcv_code,assorted_code, rec_amount,premium_rcv_detail_code,remaining_amt, payrec, mode_code,coinsurance_code,class_cd,it_remarks) values</v>
      </c>
      <c r="G8" s="15" t="str">
        <f t="shared" si="2"/>
        <v>('26Mar250052','070000177058','18590',(select max(to_number(i.premium_rcv_detail_code))+1
from ins_premium_det i),'18590','18590','02', '11000003','00','Request by Mr. Saqib Saleem 26-Mar-2025');</v>
      </c>
      <c r="H8" s="16" t="str">
        <f t="shared" si="3"/>
        <v>insert into ins_premium_det (premium_rcv_code,assorted_code, rec_amount,premium_rcv_detail_code,remaining_amt, payrec, mode_code,coinsurance_code,class_cd,it_remarks) values('26Mar250052','070000177058','18590',(select max(to_number(i.premium_rcv_detail_code))+1
from ins_premium_det i),'18590','18590','02', '11000003','00','Request by Mr. Saqib Saleem 26-Mar-2025');</v>
      </c>
    </row>
    <row r="9" spans="1:8" ht="105" x14ac:dyDescent="0.25">
      <c r="A9" s="1" t="s">
        <v>544</v>
      </c>
      <c r="B9" s="12" t="str">
        <f>VLOOKUP(A9,policy!B:C,2,0)</f>
        <v>070000177195</v>
      </c>
      <c r="C9" s="4">
        <f>VLOOKUP(A9,[1]Sheet1!$O$2:$P$91,2,0)</f>
        <v>29087</v>
      </c>
      <c r="D9" s="13">
        <f t="shared" si="1"/>
        <v>29087</v>
      </c>
      <c r="E9" t="s">
        <v>732</v>
      </c>
      <c r="F9" s="14" t="str">
        <f t="shared" si="0"/>
        <v>insert into ins_premium_det (premium_rcv_code,assorted_code, rec_amount,premium_rcv_detail_code,remaining_amt, payrec, mode_code,coinsurance_code,class_cd,it_remarks) values</v>
      </c>
      <c r="G9" s="15" t="str">
        <f t="shared" si="2"/>
        <v>('26Mar250052','070000177195','29087',(select max(to_number(i.premium_rcv_detail_code))+1
from ins_premium_det i),'29087','29087','02', '11000003','00','Request by Mr. Saqib Saleem 26-Mar-2025');</v>
      </c>
      <c r="H9" s="16" t="str">
        <f t="shared" si="3"/>
        <v>insert into ins_premium_det (premium_rcv_code,assorted_code, rec_amount,premium_rcv_detail_code,remaining_amt, payrec, mode_code,coinsurance_code,class_cd,it_remarks) values('26Mar250052','070000177195','29087',(select max(to_number(i.premium_rcv_detail_code))+1
from ins_premium_det i),'29087','29087','02', '11000003','00','Request by Mr. Saqib Saleem 26-Mar-2025');</v>
      </c>
    </row>
    <row r="10" spans="1:8" ht="105" x14ac:dyDescent="0.25">
      <c r="A10" s="1" t="s">
        <v>545</v>
      </c>
      <c r="B10" s="12" t="str">
        <f>VLOOKUP(A10,policy!B:C,2,0)</f>
        <v>070000177192</v>
      </c>
      <c r="C10" s="4">
        <f>VLOOKUP(A10,[1]Sheet1!$O$2:$P$91,2,0)</f>
        <v>66825</v>
      </c>
      <c r="D10" s="13">
        <f t="shared" si="1"/>
        <v>66825</v>
      </c>
      <c r="E10" t="s">
        <v>732</v>
      </c>
      <c r="F10" s="14" t="str">
        <f t="shared" si="0"/>
        <v>insert into ins_premium_det (premium_rcv_code,assorted_code, rec_amount,premium_rcv_detail_code,remaining_amt, payrec, mode_code,coinsurance_code,class_cd,it_remarks) values</v>
      </c>
      <c r="G10" s="15" t="str">
        <f t="shared" si="2"/>
        <v>('26Mar250052','070000177192','66825',(select max(to_number(i.premium_rcv_detail_code))+1
from ins_premium_det i),'66825','66825','02', '11000003','00','Request by Mr. Saqib Saleem 26-Mar-2025');</v>
      </c>
      <c r="H10" s="16" t="str">
        <f t="shared" si="3"/>
        <v>insert into ins_premium_det (premium_rcv_code,assorted_code, rec_amount,premium_rcv_detail_code,remaining_amt, payrec, mode_code,coinsurance_code,class_cd,it_remarks) values('26Mar250052','070000177192','66825',(select max(to_number(i.premium_rcv_detail_code))+1
from ins_premium_det i),'66825','66825','02', '11000003','00','Request by Mr. Saqib Saleem 26-Mar-2025');</v>
      </c>
    </row>
    <row r="11" spans="1:8" ht="105" x14ac:dyDescent="0.25">
      <c r="A11" s="1" t="s">
        <v>546</v>
      </c>
      <c r="B11" s="12" t="str">
        <f>VLOOKUP(A11,policy!B:C,2,0)</f>
        <v>070000176442</v>
      </c>
      <c r="C11" s="4">
        <f>VLOOKUP(A11,[1]Sheet1!$O$2:$P$91,2,0)</f>
        <v>35262</v>
      </c>
      <c r="D11" s="13">
        <f t="shared" si="1"/>
        <v>35262</v>
      </c>
      <c r="E11" t="s">
        <v>732</v>
      </c>
      <c r="F11" s="14" t="str">
        <f t="shared" si="0"/>
        <v>insert into ins_premium_det (premium_rcv_code,assorted_code, rec_amount,premium_rcv_detail_code,remaining_amt, payrec, mode_code,coinsurance_code,class_cd,it_remarks) values</v>
      </c>
      <c r="G11" s="15" t="str">
        <f t="shared" si="2"/>
        <v>('26Mar250052','070000176442','35262',(select max(to_number(i.premium_rcv_detail_code))+1
from ins_premium_det i),'35262','35262','02', '11000003','00','Request by Mr. Saqib Saleem 26-Mar-2025');</v>
      </c>
      <c r="H11" s="16" t="str">
        <f t="shared" si="3"/>
        <v>insert into ins_premium_det (premium_rcv_code,assorted_code, rec_amount,premium_rcv_detail_code,remaining_amt, payrec, mode_code,coinsurance_code,class_cd,it_remarks) values('26Mar250052','070000176442','35262',(select max(to_number(i.premium_rcv_detail_code))+1
from ins_premium_det i),'35262','35262','02', '11000003','00','Request by Mr. Saqib Saleem 26-Mar-2025');</v>
      </c>
    </row>
    <row r="12" spans="1:8" ht="105" x14ac:dyDescent="0.25">
      <c r="A12" s="1" t="s">
        <v>547</v>
      </c>
      <c r="B12" s="12" t="str">
        <f>VLOOKUP(A12,policy!B:C,2,0)</f>
        <v>070000176441</v>
      </c>
      <c r="C12" s="4">
        <f>VLOOKUP(A12,[1]Sheet1!$O$2:$P$91,2,0)</f>
        <v>35262</v>
      </c>
      <c r="D12" s="13">
        <f t="shared" si="1"/>
        <v>35262</v>
      </c>
      <c r="E12" t="s">
        <v>732</v>
      </c>
      <c r="F12" s="14" t="str">
        <f t="shared" si="0"/>
        <v>insert into ins_premium_det (premium_rcv_code,assorted_code, rec_amount,premium_rcv_detail_code,remaining_amt, payrec, mode_code,coinsurance_code,class_cd,it_remarks) values</v>
      </c>
      <c r="G12" s="15" t="str">
        <f t="shared" si="2"/>
        <v>('26Mar250052','070000176441','35262',(select max(to_number(i.premium_rcv_detail_code))+1
from ins_premium_det i),'35262','35262','02', '11000003','00','Request by Mr. Saqib Saleem 26-Mar-2025');</v>
      </c>
      <c r="H12" s="16" t="str">
        <f t="shared" si="3"/>
        <v>insert into ins_premium_det (premium_rcv_code,assorted_code, rec_amount,premium_rcv_detail_code,remaining_amt, payrec, mode_code,coinsurance_code,class_cd,it_remarks) values('26Mar250052','070000176441','35262',(select max(to_number(i.premium_rcv_detail_code))+1
from ins_premium_det i),'35262','35262','02', '11000003','00','Request by Mr. Saqib Saleem 26-Mar-2025');</v>
      </c>
    </row>
    <row r="13" spans="1:8" ht="105" x14ac:dyDescent="0.25">
      <c r="A13" s="1" t="s">
        <v>548</v>
      </c>
      <c r="B13" s="12" t="str">
        <f>VLOOKUP(A13,policy!B:C,2,0)</f>
        <v>070000177193</v>
      </c>
      <c r="C13" s="4">
        <f>VLOOKUP(A13,[1]Sheet1!$O$2:$P$91,2,0)</f>
        <v>54675</v>
      </c>
      <c r="D13" s="13">
        <f t="shared" si="1"/>
        <v>54675</v>
      </c>
      <c r="E13" t="s">
        <v>732</v>
      </c>
      <c r="F13" s="14" t="str">
        <f t="shared" si="0"/>
        <v>insert into ins_premium_det (premium_rcv_code,assorted_code, rec_amount,premium_rcv_detail_code,remaining_amt, payrec, mode_code,coinsurance_code,class_cd,it_remarks) values</v>
      </c>
      <c r="G13" s="15" t="str">
        <f t="shared" si="2"/>
        <v>('26Mar250052','070000177193','54675',(select max(to_number(i.premium_rcv_detail_code))+1
from ins_premium_det i),'54675','54675','02', '11000003','00','Request by Mr. Saqib Saleem 26-Mar-2025');</v>
      </c>
      <c r="H13" s="16" t="str">
        <f t="shared" si="3"/>
        <v>insert into ins_premium_det (premium_rcv_code,assorted_code, rec_amount,premium_rcv_detail_code,remaining_amt, payrec, mode_code,coinsurance_code,class_cd,it_remarks) values('26Mar250052','070000177193','54675',(select max(to_number(i.premium_rcv_detail_code))+1
from ins_premium_det i),'54675','54675','02', '11000003','00','Request by Mr. Saqib Saleem 26-Mar-2025');</v>
      </c>
    </row>
    <row r="14" spans="1:8" ht="105" x14ac:dyDescent="0.25">
      <c r="A14" s="1" t="s">
        <v>549</v>
      </c>
      <c r="B14" s="12" t="str">
        <f>VLOOKUP(A14,policy!B:C,2,0)</f>
        <v>070000177208</v>
      </c>
      <c r="C14" s="4">
        <f>VLOOKUP(A14,[1]Sheet1!$O$2:$P$91,2,0)</f>
        <v>60750</v>
      </c>
      <c r="D14" s="13">
        <f t="shared" si="1"/>
        <v>60750</v>
      </c>
      <c r="E14" t="s">
        <v>732</v>
      </c>
      <c r="F14" s="14" t="str">
        <f t="shared" si="0"/>
        <v>insert into ins_premium_det (premium_rcv_code,assorted_code, rec_amount,premium_rcv_detail_code,remaining_amt, payrec, mode_code,coinsurance_code,class_cd,it_remarks) values</v>
      </c>
      <c r="G14" s="15" t="str">
        <f t="shared" si="2"/>
        <v>('26Mar250052','070000177208','60750',(select max(to_number(i.premium_rcv_detail_code))+1
from ins_premium_det i),'60750','60750','02', '11000003','00','Request by Mr. Saqib Saleem 26-Mar-2025');</v>
      </c>
      <c r="H14" s="16" t="str">
        <f t="shared" si="3"/>
        <v>insert into ins_premium_det (premium_rcv_code,assorted_code, rec_amount,premium_rcv_detail_code,remaining_amt, payrec, mode_code,coinsurance_code,class_cd,it_remarks) values('26Mar250052','070000177208','60750',(select max(to_number(i.premium_rcv_detail_code))+1
from ins_premium_det i),'60750','60750','02', '11000003','00','Request by Mr. Saqib Saleem 26-Mar-2025');</v>
      </c>
    </row>
    <row r="15" spans="1:8" ht="105" x14ac:dyDescent="0.25">
      <c r="A15" s="1" t="s">
        <v>550</v>
      </c>
      <c r="B15" s="12" t="str">
        <f>VLOOKUP(A15,policy!B:C,2,0)</f>
        <v>070000176445</v>
      </c>
      <c r="C15" s="4">
        <f>VLOOKUP(A15,[1]Sheet1!$O$2:$P$91,2,0)</f>
        <v>43200</v>
      </c>
      <c r="D15" s="13">
        <f t="shared" si="1"/>
        <v>43200</v>
      </c>
      <c r="E15" t="s">
        <v>732</v>
      </c>
      <c r="F15" s="14" t="str">
        <f t="shared" si="0"/>
        <v>insert into ins_premium_det (premium_rcv_code,assorted_code, rec_amount,premium_rcv_detail_code,remaining_amt, payrec, mode_code,coinsurance_code,class_cd,it_remarks) values</v>
      </c>
      <c r="G15" s="15" t="str">
        <f t="shared" si="2"/>
        <v>('26Mar250052','070000176445','43200',(select max(to_number(i.premium_rcv_detail_code))+1
from ins_premium_det i),'43200','43200','02', '11000003','00','Request by Mr. Saqib Saleem 26-Mar-2025');</v>
      </c>
      <c r="H15" s="16" t="str">
        <f t="shared" si="3"/>
        <v>insert into ins_premium_det (premium_rcv_code,assorted_code, rec_amount,premium_rcv_detail_code,remaining_amt, payrec, mode_code,coinsurance_code,class_cd,it_remarks) values('26Mar250052','070000176445','43200',(select max(to_number(i.premium_rcv_detail_code))+1
from ins_premium_det i),'43200','43200','02', '11000003','00','Request by Mr. Saqib Saleem 26-Mar-2025');</v>
      </c>
    </row>
    <row r="16" spans="1:8" ht="105" x14ac:dyDescent="0.25">
      <c r="A16" s="1" t="s">
        <v>551</v>
      </c>
      <c r="B16" s="12" t="str">
        <f>VLOOKUP(A16,policy!B:C,2,0)</f>
        <v>070000176443</v>
      </c>
      <c r="C16" s="4">
        <f>VLOOKUP(A16,[1]Sheet1!$O$2:$P$91,2,0)</f>
        <v>45225</v>
      </c>
      <c r="D16" s="13">
        <f t="shared" si="1"/>
        <v>45225</v>
      </c>
      <c r="E16" t="s">
        <v>732</v>
      </c>
      <c r="F16" s="14" t="str">
        <f t="shared" si="0"/>
        <v>insert into ins_premium_det (premium_rcv_code,assorted_code, rec_amount,premium_rcv_detail_code,remaining_amt, payrec, mode_code,coinsurance_code,class_cd,it_remarks) values</v>
      </c>
      <c r="G16" s="15" t="str">
        <f t="shared" si="2"/>
        <v>('26Mar250052','070000176443','45225',(select max(to_number(i.premium_rcv_detail_code))+1
from ins_premium_det i),'45225','45225','02', '11000003','00','Request by Mr. Saqib Saleem 26-Mar-2025');</v>
      </c>
      <c r="H16" s="16" t="str">
        <f t="shared" si="3"/>
        <v>insert into ins_premium_det (premium_rcv_code,assorted_code, rec_amount,premium_rcv_detail_code,remaining_amt, payrec, mode_code,coinsurance_code,class_cd,it_remarks) values('26Mar250052','070000176443','45225',(select max(to_number(i.premium_rcv_detail_code))+1
from ins_premium_det i),'45225','45225','02', '11000003','00','Request by Mr. Saqib Saleem 26-Mar-2025');</v>
      </c>
    </row>
    <row r="17" spans="1:8" ht="105" x14ac:dyDescent="0.25">
      <c r="A17" s="1" t="s">
        <v>552</v>
      </c>
      <c r="B17" s="12" t="str">
        <f>VLOOKUP(A17,policy!B:C,2,0)</f>
        <v>070000176448</v>
      </c>
      <c r="C17" s="4">
        <f>VLOOKUP(A17,[1]Sheet1!$O$2:$P$91,2,0)</f>
        <v>65583</v>
      </c>
      <c r="D17" s="13">
        <f t="shared" si="1"/>
        <v>65583</v>
      </c>
      <c r="E17" t="s">
        <v>732</v>
      </c>
      <c r="F17" s="14" t="str">
        <f t="shared" si="0"/>
        <v>insert into ins_premium_det (premium_rcv_code,assorted_code, rec_amount,premium_rcv_detail_code,remaining_amt, payrec, mode_code,coinsurance_code,class_cd,it_remarks) values</v>
      </c>
      <c r="G17" s="15" t="str">
        <f t="shared" si="2"/>
        <v>('26Mar250052','070000176448','65583',(select max(to_number(i.premium_rcv_detail_code))+1
from ins_premium_det i),'65583','65583','02', '11000003','00','Request by Mr. Saqib Saleem 26-Mar-2025');</v>
      </c>
      <c r="H17" s="16" t="str">
        <f t="shared" si="3"/>
        <v>insert into ins_premium_det (premium_rcv_code,assorted_code, rec_amount,premium_rcv_detail_code,remaining_amt, payrec, mode_code,coinsurance_code,class_cd,it_remarks) values('26Mar250052','070000176448','65583',(select max(to_number(i.premium_rcv_detail_code))+1
from ins_premium_det i),'65583','65583','02', '11000003','00','Request by Mr. Saqib Saleem 26-Mar-2025');</v>
      </c>
    </row>
    <row r="18" spans="1:8" ht="105" x14ac:dyDescent="0.25">
      <c r="A18" s="1" t="s">
        <v>553</v>
      </c>
      <c r="B18" s="12" t="str">
        <f>VLOOKUP(A18,policy!B:C,2,0)</f>
        <v>070000176446</v>
      </c>
      <c r="C18" s="4">
        <f>VLOOKUP(A18,[1]Sheet1!$O$2:$P$91,2,0)</f>
        <v>40500</v>
      </c>
      <c r="D18" s="13">
        <f t="shared" si="1"/>
        <v>40500</v>
      </c>
      <c r="E18" t="s">
        <v>732</v>
      </c>
      <c r="F18" s="14" t="str">
        <f t="shared" si="0"/>
        <v>insert into ins_premium_det (premium_rcv_code,assorted_code, rec_amount,premium_rcv_detail_code,remaining_amt, payrec, mode_code,coinsurance_code,class_cd,it_remarks) values</v>
      </c>
      <c r="G18" s="15" t="str">
        <f t="shared" si="2"/>
        <v>('26Mar250052','070000176446','40500',(select max(to_number(i.premium_rcv_detail_code))+1
from ins_premium_det i),'40500','40500','02', '11000003','00','Request by Mr. Saqib Saleem 26-Mar-2025');</v>
      </c>
      <c r="H18" s="16" t="str">
        <f t="shared" si="3"/>
        <v>insert into ins_premium_det (premium_rcv_code,assorted_code, rec_amount,premium_rcv_detail_code,remaining_amt, payrec, mode_code,coinsurance_code,class_cd,it_remarks) values('26Mar250052','070000176446','40500',(select max(to_number(i.premium_rcv_detail_code))+1
from ins_premium_det i),'40500','40500','02', '11000003','00','Request by Mr. Saqib Saleem 26-Mar-2025');</v>
      </c>
    </row>
    <row r="19" spans="1:8" ht="105" x14ac:dyDescent="0.25">
      <c r="A19" s="1" t="s">
        <v>554</v>
      </c>
      <c r="B19" s="12" t="str">
        <f>VLOOKUP(A19,policy!B:C,2,0)</f>
        <v>070000176450</v>
      </c>
      <c r="C19" s="4">
        <f>VLOOKUP(A19,[1]Sheet1!$O$2:$P$91,2,0)</f>
        <v>58050</v>
      </c>
      <c r="D19" s="13">
        <f t="shared" si="1"/>
        <v>58050</v>
      </c>
      <c r="E19" t="s">
        <v>732</v>
      </c>
      <c r="F19" s="14" t="str">
        <f t="shared" si="0"/>
        <v>insert into ins_premium_det (premium_rcv_code,assorted_code, rec_amount,premium_rcv_detail_code,remaining_amt, payrec, mode_code,coinsurance_code,class_cd,it_remarks) values</v>
      </c>
      <c r="G19" s="15" t="str">
        <f t="shared" si="2"/>
        <v>('26Mar250052','070000176450','58050',(select max(to_number(i.premium_rcv_detail_code))+1
from ins_premium_det i),'58050','58050','02', '11000003','00','Request by Mr. Saqib Saleem 26-Mar-2025');</v>
      </c>
      <c r="H19" s="16" t="str">
        <f t="shared" si="3"/>
        <v>insert into ins_premium_det (premium_rcv_code,assorted_code, rec_amount,premium_rcv_detail_code,remaining_amt, payrec, mode_code,coinsurance_code,class_cd,it_remarks) values('26Mar250052','070000176450','58050',(select max(to_number(i.premium_rcv_detail_code))+1
from ins_premium_det i),'58050','58050','02', '11000003','00','Request by Mr. Saqib Saleem 26-Mar-2025');</v>
      </c>
    </row>
    <row r="20" spans="1:8" ht="105" x14ac:dyDescent="0.25">
      <c r="A20" s="1" t="s">
        <v>555</v>
      </c>
      <c r="B20" s="12" t="str">
        <f>VLOOKUP(A20,policy!B:C,2,0)</f>
        <v>070000176449</v>
      </c>
      <c r="C20" s="4">
        <f>VLOOKUP(A20,[1]Sheet1!$O$2:$P$91,2,0)</f>
        <v>52110</v>
      </c>
      <c r="D20" s="13">
        <f t="shared" si="1"/>
        <v>52110</v>
      </c>
      <c r="E20" t="s">
        <v>732</v>
      </c>
      <c r="F20" s="14" t="str">
        <f t="shared" si="0"/>
        <v>insert into ins_premium_det (premium_rcv_code,assorted_code, rec_amount,premium_rcv_detail_code,remaining_amt, payrec, mode_code,coinsurance_code,class_cd,it_remarks) values</v>
      </c>
      <c r="G20" s="15" t="str">
        <f t="shared" si="2"/>
        <v>('26Mar250052','070000176449','52110',(select max(to_number(i.premium_rcv_detail_code))+1
from ins_premium_det i),'52110','52110','02', '11000003','00','Request by Mr. Saqib Saleem 26-Mar-2025');</v>
      </c>
      <c r="H20" s="16" t="str">
        <f t="shared" si="3"/>
        <v>insert into ins_premium_det (premium_rcv_code,assorted_code, rec_amount,premium_rcv_detail_code,remaining_amt, payrec, mode_code,coinsurance_code,class_cd,it_remarks) values('26Mar250052','070000176449','52110',(select max(to_number(i.premium_rcv_detail_code))+1
from ins_premium_det i),'52110','52110','02', '11000003','00','Request by Mr. Saqib Saleem 26-Mar-2025');</v>
      </c>
    </row>
    <row r="21" spans="1:8" ht="105" x14ac:dyDescent="0.25">
      <c r="A21" s="1" t="s">
        <v>556</v>
      </c>
      <c r="B21" s="12" t="str">
        <f>VLOOKUP(A21,policy!B:C,2,0)</f>
        <v>070000177196</v>
      </c>
      <c r="C21" s="4">
        <f>VLOOKUP(A21,[1]Sheet1!$O$2:$P$91,2,0)</f>
        <v>15082</v>
      </c>
      <c r="D21" s="13">
        <f t="shared" si="1"/>
        <v>15082</v>
      </c>
      <c r="E21" t="s">
        <v>732</v>
      </c>
      <c r="F21" s="14" t="str">
        <f t="shared" si="0"/>
        <v>insert into ins_premium_det (premium_rcv_code,assorted_code, rec_amount,premium_rcv_detail_code,remaining_amt, payrec, mode_code,coinsurance_code,class_cd,it_remarks) values</v>
      </c>
      <c r="G21" s="15" t="str">
        <f t="shared" si="2"/>
        <v>('26Mar250052','070000177196','15082',(select max(to_number(i.premium_rcv_detail_code))+1
from ins_premium_det i),'15082','15082','02', '11000003','00','Request by Mr. Saqib Saleem 26-Mar-2025');</v>
      </c>
      <c r="H21" s="16" t="str">
        <f t="shared" si="3"/>
        <v>insert into ins_premium_det (premium_rcv_code,assorted_code, rec_amount,premium_rcv_detail_code,remaining_amt, payrec, mode_code,coinsurance_code,class_cd,it_remarks) values('26Mar250052','070000177196','15082',(select max(to_number(i.premium_rcv_detail_code))+1
from ins_premium_det i),'15082','15082','02', '11000003','00','Request by Mr. Saqib Saleem 26-Mar-2025');</v>
      </c>
    </row>
    <row r="22" spans="1:8" ht="105" x14ac:dyDescent="0.25">
      <c r="A22" s="1" t="s">
        <v>557</v>
      </c>
      <c r="B22" s="12" t="str">
        <f>VLOOKUP(A22,policy!B:C,2,0)</f>
        <v>070000177199</v>
      </c>
      <c r="C22" s="4">
        <f>VLOOKUP(A22,[1]Sheet1!$O$2:$P$91,2,0)</f>
        <v>41915</v>
      </c>
      <c r="D22" s="13">
        <f t="shared" si="1"/>
        <v>41915</v>
      </c>
      <c r="E22" t="s">
        <v>732</v>
      </c>
      <c r="F22" s="14" t="str">
        <f t="shared" si="0"/>
        <v>insert into ins_premium_det (premium_rcv_code,assorted_code, rec_amount,premium_rcv_detail_code,remaining_amt, payrec, mode_code,coinsurance_code,class_cd,it_remarks) values</v>
      </c>
      <c r="G22" s="15" t="str">
        <f t="shared" si="2"/>
        <v>('26Mar250052','070000177199','41915',(select max(to_number(i.premium_rcv_detail_code))+1
from ins_premium_det i),'41915','41915','02', '11000003','00','Request by Mr. Saqib Saleem 26-Mar-2025');</v>
      </c>
      <c r="H22" s="16" t="str">
        <f t="shared" si="3"/>
        <v>insert into ins_premium_det (premium_rcv_code,assorted_code, rec_amount,premium_rcv_detail_code,remaining_amt, payrec, mode_code,coinsurance_code,class_cd,it_remarks) values('26Mar250052','070000177199','41915',(select max(to_number(i.premium_rcv_detail_code))+1
from ins_premium_det i),'41915','41915','02', '11000003','00','Request by Mr. Saqib Saleem 26-Mar-2025');</v>
      </c>
    </row>
    <row r="23" spans="1:8" ht="105" x14ac:dyDescent="0.25">
      <c r="A23" s="1" t="s">
        <v>558</v>
      </c>
      <c r="B23" s="12" t="str">
        <f>VLOOKUP(A23,policy!B:C,2,0)</f>
        <v>070000177201</v>
      </c>
      <c r="C23" s="4">
        <f>VLOOKUP(A23,[1]Sheet1!$O$2:$P$91,2,0)</f>
        <v>14977</v>
      </c>
      <c r="D23" s="13">
        <f t="shared" si="1"/>
        <v>14977</v>
      </c>
      <c r="E23" t="s">
        <v>732</v>
      </c>
      <c r="F23" s="14" t="str">
        <f t="shared" si="0"/>
        <v>insert into ins_premium_det (premium_rcv_code,assorted_code, rec_amount,premium_rcv_detail_code,remaining_amt, payrec, mode_code,coinsurance_code,class_cd,it_remarks) values</v>
      </c>
      <c r="G23" s="15" t="str">
        <f t="shared" si="2"/>
        <v>('26Mar250052','070000177201','14977',(select max(to_number(i.premium_rcv_detail_code))+1
from ins_premium_det i),'14977','14977','02', '11000003','00','Request by Mr. Saqib Saleem 26-Mar-2025');</v>
      </c>
      <c r="H23" s="16" t="str">
        <f t="shared" si="3"/>
        <v>insert into ins_premium_det (premium_rcv_code,assorted_code, rec_amount,premium_rcv_detail_code,remaining_amt, payrec, mode_code,coinsurance_code,class_cd,it_remarks) values('26Mar250052','070000177201','14977',(select max(to_number(i.premium_rcv_detail_code))+1
from ins_premium_det i),'14977','14977','02', '11000003','00','Request by Mr. Saqib Saleem 26-Mar-2025');</v>
      </c>
    </row>
    <row r="24" spans="1:8" ht="105" x14ac:dyDescent="0.25">
      <c r="A24" s="1" t="s">
        <v>559</v>
      </c>
      <c r="B24" s="12" t="str">
        <f>VLOOKUP(A24,policy!B:C,2,0)</f>
        <v>070000177265</v>
      </c>
      <c r="C24" s="4">
        <f>VLOOKUP(A24,[1]Sheet1!$O$2:$P$91,2,0)</f>
        <v>52245</v>
      </c>
      <c r="D24" s="13">
        <f t="shared" si="1"/>
        <v>52245</v>
      </c>
      <c r="E24" t="s">
        <v>732</v>
      </c>
      <c r="F24" s="14" t="str">
        <f t="shared" si="0"/>
        <v>insert into ins_premium_det (premium_rcv_code,assorted_code, rec_amount,premium_rcv_detail_code,remaining_amt, payrec, mode_code,coinsurance_code,class_cd,it_remarks) values</v>
      </c>
      <c r="G24" s="15" t="str">
        <f t="shared" si="2"/>
        <v>('26Mar250052','070000177265','52245',(select max(to_number(i.premium_rcv_detail_code))+1
from ins_premium_det i),'52245','52245','02', '11000003','00','Request by Mr. Saqib Saleem 26-Mar-2025');</v>
      </c>
      <c r="H24" s="16" t="str">
        <f t="shared" si="3"/>
        <v>insert into ins_premium_det (premium_rcv_code,assorted_code, rec_amount,premium_rcv_detail_code,remaining_amt, payrec, mode_code,coinsurance_code,class_cd,it_remarks) values('26Mar250052','070000177265','52245',(select max(to_number(i.premium_rcv_detail_code))+1
from ins_premium_det i),'52245','52245','02', '11000003','00','Request by Mr. Saqib Saleem 26-Mar-2025');</v>
      </c>
    </row>
    <row r="25" spans="1:8" ht="105" x14ac:dyDescent="0.25">
      <c r="A25" s="1" t="s">
        <v>560</v>
      </c>
      <c r="B25" s="12" t="str">
        <f>VLOOKUP(A25,policy!B:C,2,0)</f>
        <v>070000177263</v>
      </c>
      <c r="C25" s="4">
        <f>VLOOKUP(A25,[1]Sheet1!$O$2:$P$91,2,0)</f>
        <v>58196</v>
      </c>
      <c r="D25" s="13">
        <f t="shared" si="1"/>
        <v>58196</v>
      </c>
      <c r="E25" t="s">
        <v>732</v>
      </c>
      <c r="F25" s="14" t="str">
        <f t="shared" si="0"/>
        <v>insert into ins_premium_det (premium_rcv_code,assorted_code, rec_amount,premium_rcv_detail_code,remaining_amt, payrec, mode_code,coinsurance_code,class_cd,it_remarks) values</v>
      </c>
      <c r="G25" s="15" t="str">
        <f t="shared" si="2"/>
        <v>('26Mar250052','070000177263','58196',(select max(to_number(i.premium_rcv_detail_code))+1
from ins_premium_det i),'58196','58196','02', '11000003','00','Request by Mr. Saqib Saleem 26-Mar-2025');</v>
      </c>
      <c r="H25" s="16" t="str">
        <f t="shared" si="3"/>
        <v>insert into ins_premium_det (premium_rcv_code,assorted_code, rec_amount,premium_rcv_detail_code,remaining_amt, payrec, mode_code,coinsurance_code,class_cd,it_remarks) values('26Mar250052','070000177263','58196',(select max(to_number(i.premium_rcv_detail_code))+1
from ins_premium_det i),'58196','58196','02', '11000003','00','Request by Mr. Saqib Saleem 26-Mar-2025');</v>
      </c>
    </row>
    <row r="26" spans="1:8" ht="105" x14ac:dyDescent="0.25">
      <c r="A26" s="1" t="s">
        <v>561</v>
      </c>
      <c r="B26" s="12" t="str">
        <f>VLOOKUP(A26,policy!B:C,2,0)</f>
        <v>070000177100</v>
      </c>
      <c r="C26" s="4">
        <f>VLOOKUP(A26,[1]Sheet1!$O$2:$P$91,2,0)</f>
        <v>67500</v>
      </c>
      <c r="D26" s="13">
        <f t="shared" si="1"/>
        <v>67500</v>
      </c>
      <c r="E26" t="s">
        <v>732</v>
      </c>
      <c r="F26" s="14" t="str">
        <f t="shared" si="0"/>
        <v>insert into ins_premium_det (premium_rcv_code,assorted_code, rec_amount,premium_rcv_detail_code,remaining_amt, payrec, mode_code,coinsurance_code,class_cd,it_remarks) values</v>
      </c>
      <c r="G26" s="15" t="str">
        <f t="shared" si="2"/>
        <v>('26Mar250052','070000177100','67500',(select max(to_number(i.premium_rcv_detail_code))+1
from ins_premium_det i),'67500','67500','02', '11000003','00','Request by Mr. Saqib Saleem 26-Mar-2025');</v>
      </c>
      <c r="H26" s="16" t="str">
        <f t="shared" si="3"/>
        <v>insert into ins_premium_det (premium_rcv_code,assorted_code, rec_amount,premium_rcv_detail_code,remaining_amt, payrec, mode_code,coinsurance_code,class_cd,it_remarks) values('26Mar250052','070000177100','67500',(select max(to_number(i.premium_rcv_detail_code))+1
from ins_premium_det i),'67500','67500','02', '11000003','00','Request by Mr. Saqib Saleem 26-Mar-2025');</v>
      </c>
    </row>
    <row r="27" spans="1:8" ht="105" x14ac:dyDescent="0.25">
      <c r="A27" s="1" t="s">
        <v>562</v>
      </c>
      <c r="B27" s="12" t="str">
        <f>VLOOKUP(A27,policy!B:C,2,0)</f>
        <v>070000177097</v>
      </c>
      <c r="C27" s="4">
        <f>VLOOKUP(A27,[1]Sheet1!$O$2:$P$91,2,0)</f>
        <v>32072</v>
      </c>
      <c r="D27" s="13">
        <f t="shared" si="1"/>
        <v>32072</v>
      </c>
      <c r="E27" t="s">
        <v>732</v>
      </c>
      <c r="F27" s="14" t="str">
        <f t="shared" si="0"/>
        <v>insert into ins_premium_det (premium_rcv_code,assorted_code, rec_amount,premium_rcv_detail_code,remaining_amt, payrec, mode_code,coinsurance_code,class_cd,it_remarks) values</v>
      </c>
      <c r="G27" s="15" t="str">
        <f t="shared" si="2"/>
        <v>('26Mar250052','070000177097','32072',(select max(to_number(i.premium_rcv_detail_code))+1
from ins_premium_det i),'32072','32072','02', '11000003','00','Request by Mr. Saqib Saleem 26-Mar-2025');</v>
      </c>
      <c r="H27" s="16" t="str">
        <f t="shared" si="3"/>
        <v>insert into ins_premium_det (premium_rcv_code,assorted_code, rec_amount,premium_rcv_detail_code,remaining_amt, payrec, mode_code,coinsurance_code,class_cd,it_remarks) values('26Mar250052','070000177097','32072',(select max(to_number(i.premium_rcv_detail_code))+1
from ins_premium_det i),'32072','32072','02', '11000003','00','Request by Mr. Saqib Saleem 26-Mar-2025');</v>
      </c>
    </row>
    <row r="28" spans="1:8" ht="105" x14ac:dyDescent="0.25">
      <c r="A28" s="1" t="s">
        <v>563</v>
      </c>
      <c r="B28" s="12" t="str">
        <f>VLOOKUP(A28,policy!B:C,2,0)</f>
        <v>070000177106</v>
      </c>
      <c r="C28" s="4">
        <f>VLOOKUP(A28,[1]Sheet1!$O$2:$P$91,2,0)</f>
        <v>61412</v>
      </c>
      <c r="D28" s="13">
        <f t="shared" si="1"/>
        <v>61412</v>
      </c>
      <c r="E28" t="s">
        <v>732</v>
      </c>
      <c r="F28" s="14" t="str">
        <f t="shared" si="0"/>
        <v>insert into ins_premium_det (premium_rcv_code,assorted_code, rec_amount,premium_rcv_detail_code,remaining_amt, payrec, mode_code,coinsurance_code,class_cd,it_remarks) values</v>
      </c>
      <c r="G28" s="15" t="str">
        <f t="shared" si="2"/>
        <v>('26Mar250052','070000177106','61412',(select max(to_number(i.premium_rcv_detail_code))+1
from ins_premium_det i),'61412','61412','02', '11000003','00','Request by Mr. Saqib Saleem 26-Mar-2025');</v>
      </c>
      <c r="H28" s="16" t="str">
        <f t="shared" si="3"/>
        <v>insert into ins_premium_det (premium_rcv_code,assorted_code, rec_amount,premium_rcv_detail_code,remaining_amt, payrec, mode_code,coinsurance_code,class_cd,it_remarks) values('26Mar250052','070000177106','61412',(select max(to_number(i.premium_rcv_detail_code))+1
from ins_premium_det i),'61412','61412','02', '11000003','00','Request by Mr. Saqib Saleem 26-Mar-2025');</v>
      </c>
    </row>
    <row r="29" spans="1:8" ht="105" x14ac:dyDescent="0.25">
      <c r="A29" s="1" t="s">
        <v>564</v>
      </c>
      <c r="B29" s="12" t="str">
        <f>VLOOKUP(A29,policy!B:C,2,0)</f>
        <v>070000177109</v>
      </c>
      <c r="C29" s="4">
        <f>VLOOKUP(A29,[1]Sheet1!$O$2:$P$91,2,0)</f>
        <v>35262</v>
      </c>
      <c r="D29" s="13">
        <f t="shared" si="1"/>
        <v>35262</v>
      </c>
      <c r="E29" t="s">
        <v>732</v>
      </c>
      <c r="F29" s="14" t="str">
        <f t="shared" si="0"/>
        <v>insert into ins_premium_det (premium_rcv_code,assorted_code, rec_amount,premium_rcv_detail_code,remaining_amt, payrec, mode_code,coinsurance_code,class_cd,it_remarks) values</v>
      </c>
      <c r="G29" s="15" t="str">
        <f t="shared" si="2"/>
        <v>('26Mar250052','070000177109','35262',(select max(to_number(i.premium_rcv_detail_code))+1
from ins_premium_det i),'35262','35262','02', '11000003','00','Request by Mr. Saqib Saleem 26-Mar-2025');</v>
      </c>
      <c r="H29" s="16" t="str">
        <f t="shared" si="3"/>
        <v>insert into ins_premium_det (premium_rcv_code,assorted_code, rec_amount,premium_rcv_detail_code,remaining_amt, payrec, mode_code,coinsurance_code,class_cd,it_remarks) values('26Mar250052','070000177109','35262',(select max(to_number(i.premium_rcv_detail_code))+1
from ins_premium_det i),'35262','35262','02', '11000003','00','Request by Mr. Saqib Saleem 26-Mar-2025');</v>
      </c>
    </row>
    <row r="30" spans="1:8" ht="105" x14ac:dyDescent="0.25">
      <c r="A30" s="1" t="s">
        <v>565</v>
      </c>
      <c r="B30" s="12" t="str">
        <f>VLOOKUP(A30,policy!B:C,2,0)</f>
        <v>070000177231</v>
      </c>
      <c r="C30" s="4">
        <f>VLOOKUP(A30,[1]Sheet1!$O$2:$P$91,2,0)</f>
        <v>18225</v>
      </c>
      <c r="D30" s="13">
        <f t="shared" si="1"/>
        <v>18225</v>
      </c>
      <c r="E30" t="s">
        <v>732</v>
      </c>
      <c r="F30" s="14" t="str">
        <f t="shared" si="0"/>
        <v>insert into ins_premium_det (premium_rcv_code,assorted_code, rec_amount,premium_rcv_detail_code,remaining_amt, payrec, mode_code,coinsurance_code,class_cd,it_remarks) values</v>
      </c>
      <c r="G30" s="15" t="str">
        <f t="shared" si="2"/>
        <v>('26Mar250052','070000177231','18225',(select max(to_number(i.premium_rcv_detail_code))+1
from ins_premium_det i),'18225','18225','02', '11000003','00','Request by Mr. Saqib Saleem 26-Mar-2025');</v>
      </c>
      <c r="H30" s="16" t="str">
        <f t="shared" si="3"/>
        <v>insert into ins_premium_det (premium_rcv_code,assorted_code, rec_amount,premium_rcv_detail_code,remaining_amt, payrec, mode_code,coinsurance_code,class_cd,it_remarks) values('26Mar250052','070000177231','18225',(select max(to_number(i.premium_rcv_detail_code))+1
from ins_premium_det i),'18225','18225','02', '11000003','00','Request by Mr. Saqib Saleem 26-Mar-2025');</v>
      </c>
    </row>
    <row r="31" spans="1:8" ht="105" x14ac:dyDescent="0.25">
      <c r="A31" s="1" t="s">
        <v>566</v>
      </c>
      <c r="B31" s="12" t="str">
        <f>VLOOKUP(A31,policy!B:C,2,0)</f>
        <v>070000177233</v>
      </c>
      <c r="C31" s="4">
        <f>VLOOKUP(A31,[1]Sheet1!$O$2:$P$91,2,0)</f>
        <v>47671</v>
      </c>
      <c r="D31" s="13">
        <f t="shared" si="1"/>
        <v>47671</v>
      </c>
      <c r="E31" t="s">
        <v>732</v>
      </c>
      <c r="F31" s="14" t="str">
        <f t="shared" si="0"/>
        <v>insert into ins_premium_det (premium_rcv_code,assorted_code, rec_amount,premium_rcv_detail_code,remaining_amt, payrec, mode_code,coinsurance_code,class_cd,it_remarks) values</v>
      </c>
      <c r="G31" s="15" t="str">
        <f t="shared" si="2"/>
        <v>('26Mar250052','070000177233','47671',(select max(to_number(i.premium_rcv_detail_code))+1
from ins_premium_det i),'47671','47671','02', '11000003','00','Request by Mr. Saqib Saleem 26-Mar-2025');</v>
      </c>
      <c r="H31" s="16" t="str">
        <f t="shared" si="3"/>
        <v>insert into ins_premium_det (premium_rcv_code,assorted_code, rec_amount,premium_rcv_detail_code,remaining_amt, payrec, mode_code,coinsurance_code,class_cd,it_remarks) values('26Mar250052','070000177233','47671',(select max(to_number(i.premium_rcv_detail_code))+1
from ins_premium_det i),'47671','47671','02', '11000003','00','Request by Mr. Saqib Saleem 26-Mar-2025');</v>
      </c>
    </row>
    <row r="32" spans="1:8" ht="105" x14ac:dyDescent="0.25">
      <c r="A32" s="1" t="s">
        <v>567</v>
      </c>
      <c r="B32" s="12" t="str">
        <f>VLOOKUP(A32,policy!B:C,2,0)</f>
        <v>070000177235</v>
      </c>
      <c r="C32" s="4">
        <f>VLOOKUP(A32,[1]Sheet1!$O$2:$P$91,2,0)</f>
        <v>47494</v>
      </c>
      <c r="D32" s="13">
        <f t="shared" si="1"/>
        <v>47494</v>
      </c>
      <c r="E32" t="s">
        <v>732</v>
      </c>
      <c r="F32" s="14" t="str">
        <f t="shared" si="0"/>
        <v>insert into ins_premium_det (premium_rcv_code,assorted_code, rec_amount,premium_rcv_detail_code,remaining_amt, payrec, mode_code,coinsurance_code,class_cd,it_remarks) values</v>
      </c>
      <c r="G32" s="15" t="str">
        <f t="shared" si="2"/>
        <v>('26Mar250052','070000177235','47494',(select max(to_number(i.premium_rcv_detail_code))+1
from ins_premium_det i),'47494','47494','02', '11000003','00','Request by Mr. Saqib Saleem 26-Mar-2025');</v>
      </c>
      <c r="H32" s="16" t="str">
        <f t="shared" si="3"/>
        <v>insert into ins_premium_det (premium_rcv_code,assorted_code, rec_amount,premium_rcv_detail_code,remaining_amt, payrec, mode_code,coinsurance_code,class_cd,it_remarks) values('26Mar250052','070000177235','47494',(select max(to_number(i.premium_rcv_detail_code))+1
from ins_premium_det i),'47494','47494','02', '11000003','00','Request by Mr. Saqib Saleem 26-Mar-2025');</v>
      </c>
    </row>
    <row r="33" spans="1:8" ht="105" x14ac:dyDescent="0.25">
      <c r="A33" s="1" t="s">
        <v>568</v>
      </c>
      <c r="B33" s="12" t="str">
        <f>VLOOKUP(A33,policy!B:C,2,0)</f>
        <v>070000177219</v>
      </c>
      <c r="C33" s="4">
        <f>VLOOKUP(A33,[1]Sheet1!$O$2:$P$91,2,0)</f>
        <v>35262</v>
      </c>
      <c r="D33" s="13">
        <f t="shared" si="1"/>
        <v>35262</v>
      </c>
      <c r="E33" t="s">
        <v>732</v>
      </c>
      <c r="F33" s="14" t="str">
        <f t="shared" si="0"/>
        <v>insert into ins_premium_det (premium_rcv_code,assorted_code, rec_amount,premium_rcv_detail_code,remaining_amt, payrec, mode_code,coinsurance_code,class_cd,it_remarks) values</v>
      </c>
      <c r="G33" s="15" t="str">
        <f t="shared" si="2"/>
        <v>('26Mar250052','070000177219','35262',(select max(to_number(i.premium_rcv_detail_code))+1
from ins_premium_det i),'35262','35262','02', '11000003','00','Request by Mr. Saqib Saleem 26-Mar-2025');</v>
      </c>
      <c r="H33" s="16" t="str">
        <f t="shared" si="3"/>
        <v>insert into ins_premium_det (premium_rcv_code,assorted_code, rec_amount,premium_rcv_detail_code,remaining_amt, payrec, mode_code,coinsurance_code,class_cd,it_remarks) values('26Mar250052','070000177219','35262',(select max(to_number(i.premium_rcv_detail_code))+1
from ins_premium_det i),'35262','35262','02', '11000003','00','Request by Mr. Saqib Saleem 26-Mar-2025');</v>
      </c>
    </row>
    <row r="34" spans="1:8" ht="105" x14ac:dyDescent="0.25">
      <c r="A34" s="1" t="s">
        <v>569</v>
      </c>
      <c r="B34" s="12" t="str">
        <f>VLOOKUP(A34,policy!B:C,2,0)</f>
        <v>070000177220</v>
      </c>
      <c r="C34" s="4">
        <f>VLOOKUP(A34,[1]Sheet1!$O$2:$P$91,2,0)</f>
        <v>27000</v>
      </c>
      <c r="D34" s="13">
        <f t="shared" si="1"/>
        <v>27000</v>
      </c>
      <c r="E34" t="s">
        <v>732</v>
      </c>
      <c r="F34" s="14" t="str">
        <f t="shared" si="0"/>
        <v>insert into ins_premium_det (premium_rcv_code,assorted_code, rec_amount,premium_rcv_detail_code,remaining_amt, payrec, mode_code,coinsurance_code,class_cd,it_remarks) values</v>
      </c>
      <c r="G34" s="15" t="str">
        <f t="shared" si="2"/>
        <v>('26Mar250052','070000177220','27000',(select max(to_number(i.premium_rcv_detail_code))+1
from ins_premium_det i),'27000','27000','02', '11000003','00','Request by Mr. Saqib Saleem 26-Mar-2025');</v>
      </c>
      <c r="H34" s="16" t="str">
        <f t="shared" si="3"/>
        <v>insert into ins_premium_det (premium_rcv_code,assorted_code, rec_amount,premium_rcv_detail_code,remaining_amt, payrec, mode_code,coinsurance_code,class_cd,it_remarks) values('26Mar250052','070000177220','27000',(select max(to_number(i.premium_rcv_detail_code))+1
from ins_premium_det i),'27000','27000','02', '11000003','00','Request by Mr. Saqib Saleem 26-Mar-2025');</v>
      </c>
    </row>
    <row r="35" spans="1:8" ht="105" x14ac:dyDescent="0.25">
      <c r="A35" s="1" t="s">
        <v>570</v>
      </c>
      <c r="B35" s="12" t="str">
        <f>VLOOKUP(A35,policy!B:C,2,0)</f>
        <v>070000177218</v>
      </c>
      <c r="C35" s="4">
        <f>VLOOKUP(A35,[1]Sheet1!$O$2:$P$91,2,0)</f>
        <v>65792</v>
      </c>
      <c r="D35" s="13">
        <f t="shared" si="1"/>
        <v>65792</v>
      </c>
      <c r="E35" t="s">
        <v>732</v>
      </c>
      <c r="F35" s="14" t="str">
        <f t="shared" si="0"/>
        <v>insert into ins_premium_det (premium_rcv_code,assorted_code, rec_amount,premium_rcv_detail_code,remaining_amt, payrec, mode_code,coinsurance_code,class_cd,it_remarks) values</v>
      </c>
      <c r="G35" s="15" t="str">
        <f t="shared" si="2"/>
        <v>('26Mar250052','070000177218','65792',(select max(to_number(i.premium_rcv_detail_code))+1
from ins_premium_det i),'65792','65792','02', '11000003','00','Request by Mr. Saqib Saleem 26-Mar-2025');</v>
      </c>
      <c r="H35" s="16" t="str">
        <f t="shared" si="3"/>
        <v>insert into ins_premium_det (premium_rcv_code,assorted_code, rec_amount,premium_rcv_detail_code,remaining_amt, payrec, mode_code,coinsurance_code,class_cd,it_remarks) values('26Mar250052','070000177218','65792',(select max(to_number(i.premium_rcv_detail_code))+1
from ins_premium_det i),'65792','65792','02', '11000003','00','Request by Mr. Saqib Saleem 26-Mar-2025');</v>
      </c>
    </row>
    <row r="36" spans="1:8" ht="105" x14ac:dyDescent="0.25">
      <c r="A36" s="1" t="s">
        <v>571</v>
      </c>
      <c r="B36" s="12" t="str">
        <f>VLOOKUP(A36,policy!B:C,2,0)</f>
        <v>070000177240</v>
      </c>
      <c r="C36" s="4">
        <f>VLOOKUP(A36,[1]Sheet1!$O$2:$P$91,2,0)</f>
        <v>24210</v>
      </c>
      <c r="D36" s="13">
        <f t="shared" si="1"/>
        <v>24210</v>
      </c>
      <c r="E36" t="s">
        <v>732</v>
      </c>
      <c r="F36" s="14" t="str">
        <f t="shared" si="0"/>
        <v>insert into ins_premium_det (premium_rcv_code,assorted_code, rec_amount,premium_rcv_detail_code,remaining_amt, payrec, mode_code,coinsurance_code,class_cd,it_remarks) values</v>
      </c>
      <c r="G36" s="15" t="str">
        <f t="shared" si="2"/>
        <v>('26Mar250052','070000177240','24210',(select max(to_number(i.premium_rcv_detail_code))+1
from ins_premium_det i),'24210','24210','02', '11000003','00','Request by Mr. Saqib Saleem 26-Mar-2025');</v>
      </c>
      <c r="H36" s="16" t="str">
        <f t="shared" si="3"/>
        <v>insert into ins_premium_det (premium_rcv_code,assorted_code, rec_amount,premium_rcv_detail_code,remaining_amt, payrec, mode_code,coinsurance_code,class_cd,it_remarks) values('26Mar250052','070000177240','24210',(select max(to_number(i.premium_rcv_detail_code))+1
from ins_premium_det i),'24210','24210','02', '11000003','00','Request by Mr. Saqib Saleem 26-Mar-2025');</v>
      </c>
    </row>
    <row r="37" spans="1:8" ht="105" x14ac:dyDescent="0.25">
      <c r="A37" s="1" t="s">
        <v>572</v>
      </c>
      <c r="B37" s="12" t="str">
        <f>VLOOKUP(A37,policy!B:C,2,0)</f>
        <v>070000177241</v>
      </c>
      <c r="C37" s="4">
        <f>VLOOKUP(A37,[1]Sheet1!$O$2:$P$91,2,0)</f>
        <v>21597</v>
      </c>
      <c r="D37" s="13">
        <f t="shared" si="1"/>
        <v>21597</v>
      </c>
      <c r="E37" t="s">
        <v>732</v>
      </c>
      <c r="F37" s="14" t="str">
        <f t="shared" si="0"/>
        <v>insert into ins_premium_det (premium_rcv_code,assorted_code, rec_amount,premium_rcv_detail_code,remaining_amt, payrec, mode_code,coinsurance_code,class_cd,it_remarks) values</v>
      </c>
      <c r="G37" s="15" t="str">
        <f t="shared" si="2"/>
        <v>('26Mar250052','070000177241','21597',(select max(to_number(i.premium_rcv_detail_code))+1
from ins_premium_det i),'21597','21597','02', '11000003','00','Request by Mr. Saqib Saleem 26-Mar-2025');</v>
      </c>
      <c r="H37" s="16" t="str">
        <f t="shared" si="3"/>
        <v>insert into ins_premium_det (premium_rcv_code,assorted_code, rec_amount,premium_rcv_detail_code,remaining_amt, payrec, mode_code,coinsurance_code,class_cd,it_remarks) values('26Mar250052','070000177241','21597',(select max(to_number(i.premium_rcv_detail_code))+1
from ins_premium_det i),'21597','21597','02', '11000003','00','Request by Mr. Saqib Saleem 26-Mar-2025');</v>
      </c>
    </row>
    <row r="38" spans="1:8" ht="105" x14ac:dyDescent="0.25">
      <c r="A38" s="1" t="s">
        <v>573</v>
      </c>
      <c r="B38" s="12" t="str">
        <f>VLOOKUP(A38,policy!B:C,2,0)</f>
        <v>070000177242</v>
      </c>
      <c r="C38" s="4">
        <f>VLOOKUP(A38,[1]Sheet1!$O$2:$P$91,2,0)</f>
        <v>43841</v>
      </c>
      <c r="D38" s="13">
        <f t="shared" si="1"/>
        <v>43841</v>
      </c>
      <c r="E38" t="s">
        <v>732</v>
      </c>
      <c r="F38" s="14" t="str">
        <f t="shared" si="0"/>
        <v>insert into ins_premium_det (premium_rcv_code,assorted_code, rec_amount,premium_rcv_detail_code,remaining_amt, payrec, mode_code,coinsurance_code,class_cd,it_remarks) values</v>
      </c>
      <c r="G38" s="15" t="str">
        <f t="shared" si="2"/>
        <v>('26Mar250052','070000177242','43841',(select max(to_number(i.premium_rcv_detail_code))+1
from ins_premium_det i),'43841','43841','02', '11000003','00','Request by Mr. Saqib Saleem 26-Mar-2025');</v>
      </c>
      <c r="H38" s="16" t="str">
        <f t="shared" si="3"/>
        <v>insert into ins_premium_det (premium_rcv_code,assorted_code, rec_amount,premium_rcv_detail_code,remaining_amt, payrec, mode_code,coinsurance_code,class_cd,it_remarks) values('26Mar250052','070000177242','43841',(select max(to_number(i.premium_rcv_detail_code))+1
from ins_premium_det i),'43841','43841','02', '11000003','00','Request by Mr. Saqib Saleem 26-Mar-2025');</v>
      </c>
    </row>
    <row r="39" spans="1:8" ht="105" x14ac:dyDescent="0.25">
      <c r="A39" s="1" t="s">
        <v>574</v>
      </c>
      <c r="B39" s="12" t="str">
        <f>VLOOKUP(A39,policy!B:C,2,0)</f>
        <v>070000177243</v>
      </c>
      <c r="C39" s="4">
        <f>VLOOKUP(A39,[1]Sheet1!$O$2:$P$91,2,0)</f>
        <v>32395</v>
      </c>
      <c r="D39" s="13">
        <f t="shared" si="1"/>
        <v>32395</v>
      </c>
      <c r="E39" t="s">
        <v>732</v>
      </c>
      <c r="F39" s="14" t="str">
        <f t="shared" si="0"/>
        <v>insert into ins_premium_det (premium_rcv_code,assorted_code, rec_amount,premium_rcv_detail_code,remaining_amt, payrec, mode_code,coinsurance_code,class_cd,it_remarks) values</v>
      </c>
      <c r="G39" s="15" t="str">
        <f t="shared" si="2"/>
        <v>('26Mar250052','070000177243','32395',(select max(to_number(i.premium_rcv_detail_code))+1
from ins_premium_det i),'32395','32395','02', '11000003','00','Request by Mr. Saqib Saleem 26-Mar-2025');</v>
      </c>
      <c r="H39" s="16" t="str">
        <f t="shared" si="3"/>
        <v>insert into ins_premium_det (premium_rcv_code,assorted_code, rec_amount,premium_rcv_detail_code,remaining_amt, payrec, mode_code,coinsurance_code,class_cd,it_remarks) values('26Mar250052','070000177243','32395',(select max(to_number(i.premium_rcv_detail_code))+1
from ins_premium_det i),'32395','32395','02', '11000003','00','Request by Mr. Saqib Saleem 26-Mar-2025');</v>
      </c>
    </row>
    <row r="40" spans="1:8" ht="105" x14ac:dyDescent="0.25">
      <c r="A40" s="1" t="s">
        <v>575</v>
      </c>
      <c r="B40" s="12" t="str">
        <f>VLOOKUP(A40,policy!B:C,2,0)</f>
        <v>070000177141</v>
      </c>
      <c r="C40" s="4">
        <f>VLOOKUP(A40,[1]Sheet1!$O$2:$P$91,2,0)</f>
        <v>42525</v>
      </c>
      <c r="D40" s="13">
        <f t="shared" si="1"/>
        <v>42525</v>
      </c>
      <c r="E40" t="s">
        <v>732</v>
      </c>
      <c r="F40" s="14" t="str">
        <f t="shared" si="0"/>
        <v>insert into ins_premium_det (premium_rcv_code,assorted_code, rec_amount,premium_rcv_detail_code,remaining_amt, payrec, mode_code,coinsurance_code,class_cd,it_remarks) values</v>
      </c>
      <c r="G40" s="15" t="str">
        <f t="shared" si="2"/>
        <v>('26Mar250052','070000177141','42525',(select max(to_number(i.premium_rcv_detail_code))+1
from ins_premium_det i),'42525','42525','02', '11000003','00','Request by Mr. Saqib Saleem 26-Mar-2025');</v>
      </c>
      <c r="H40" s="16" t="str">
        <f t="shared" si="3"/>
        <v>insert into ins_premium_det (premium_rcv_code,assorted_code, rec_amount,premium_rcv_detail_code,remaining_amt, payrec, mode_code,coinsurance_code,class_cd,it_remarks) values('26Mar250052','070000177141','42525',(select max(to_number(i.premium_rcv_detail_code))+1
from ins_premium_det i),'42525','42525','02', '11000003','00','Request by Mr. Saqib Saleem 26-Mar-2025');</v>
      </c>
    </row>
    <row r="41" spans="1:8" ht="105" x14ac:dyDescent="0.25">
      <c r="A41" s="1" t="s">
        <v>576</v>
      </c>
      <c r="B41" s="12" t="str">
        <f>VLOOKUP(A41,policy!B:C,2,0)</f>
        <v>070000177142</v>
      </c>
      <c r="C41" s="4">
        <f>VLOOKUP(A41,[1]Sheet1!$O$2:$P$91,2,0)</f>
        <v>47671</v>
      </c>
      <c r="D41" s="13">
        <f t="shared" si="1"/>
        <v>47671</v>
      </c>
      <c r="E41" t="s">
        <v>732</v>
      </c>
      <c r="F41" s="14" t="str">
        <f t="shared" si="0"/>
        <v>insert into ins_premium_det (premium_rcv_code,assorted_code, rec_amount,premium_rcv_detail_code,remaining_amt, payrec, mode_code,coinsurance_code,class_cd,it_remarks) values</v>
      </c>
      <c r="G41" s="15" t="str">
        <f t="shared" si="2"/>
        <v>('26Mar250052','070000177142','47671',(select max(to_number(i.premium_rcv_detail_code))+1
from ins_premium_det i),'47671','47671','02', '11000003','00','Request by Mr. Saqib Saleem 26-Mar-2025');</v>
      </c>
      <c r="H41" s="16" t="str">
        <f t="shared" si="3"/>
        <v>insert into ins_premium_det (premium_rcv_code,assorted_code, rec_amount,premium_rcv_detail_code,remaining_amt, payrec, mode_code,coinsurance_code,class_cd,it_remarks) values('26Mar250052','070000177142','47671',(select max(to_number(i.premium_rcv_detail_code))+1
from ins_premium_det i),'47671','47671','02', '11000003','00','Request by Mr. Saqib Saleem 26-Mar-2025');</v>
      </c>
    </row>
    <row r="42" spans="1:8" ht="105" x14ac:dyDescent="0.25">
      <c r="A42" s="1" t="s">
        <v>577</v>
      </c>
      <c r="B42" s="12" t="str">
        <f>VLOOKUP(A42,policy!B:C,2,0)</f>
        <v>070000177147</v>
      </c>
      <c r="C42" s="4">
        <f>VLOOKUP(A42,[1]Sheet1!$O$2:$P$91,2,0)</f>
        <v>79292</v>
      </c>
      <c r="D42" s="13">
        <f t="shared" si="1"/>
        <v>79292</v>
      </c>
      <c r="E42" t="s">
        <v>732</v>
      </c>
      <c r="F42" s="14" t="str">
        <f t="shared" si="0"/>
        <v>insert into ins_premium_det (premium_rcv_code,assorted_code, rec_amount,premium_rcv_detail_code,remaining_amt, payrec, mode_code,coinsurance_code,class_cd,it_remarks) values</v>
      </c>
      <c r="G42" s="15" t="str">
        <f t="shared" si="2"/>
        <v>('26Mar250052','070000177147','79292',(select max(to_number(i.premium_rcv_detail_code))+1
from ins_premium_det i),'79292','79292','02', '11000003','00','Request by Mr. Saqib Saleem 26-Mar-2025');</v>
      </c>
      <c r="H42" s="16" t="str">
        <f t="shared" si="3"/>
        <v>insert into ins_premium_det (premium_rcv_code,assorted_code, rec_amount,premium_rcv_detail_code,remaining_amt, payrec, mode_code,coinsurance_code,class_cd,it_remarks) values('26Mar250052','070000177147','79292',(select max(to_number(i.premium_rcv_detail_code))+1
from ins_premium_det i),'79292','79292','02', '11000003','00','Request by Mr. Saqib Saleem 26-Mar-2025');</v>
      </c>
    </row>
    <row r="43" spans="1:8" ht="105" x14ac:dyDescent="0.25">
      <c r="A43" s="1" t="s">
        <v>578</v>
      </c>
      <c r="B43" s="12" t="str">
        <f>VLOOKUP(A43,policy!B:C,2,0)</f>
        <v>070000177143</v>
      </c>
      <c r="C43" s="4">
        <f>VLOOKUP(A43,[1]Sheet1!$O$2:$P$91,2,0)</f>
        <v>22701</v>
      </c>
      <c r="D43" s="13">
        <f t="shared" si="1"/>
        <v>22701</v>
      </c>
      <c r="E43" t="s">
        <v>732</v>
      </c>
      <c r="F43" s="14" t="str">
        <f t="shared" si="0"/>
        <v>insert into ins_premium_det (premium_rcv_code,assorted_code, rec_amount,premium_rcv_detail_code,remaining_amt, payrec, mode_code,coinsurance_code,class_cd,it_remarks) values</v>
      </c>
      <c r="G43" s="15" t="str">
        <f t="shared" si="2"/>
        <v>('26Mar250052','070000177143','22701',(select max(to_number(i.premium_rcv_detail_code))+1
from ins_premium_det i),'22701','22701','02', '11000003','00','Request by Mr. Saqib Saleem 26-Mar-2025');</v>
      </c>
      <c r="H43" s="16" t="str">
        <f t="shared" si="3"/>
        <v>insert into ins_premium_det (premium_rcv_code,assorted_code, rec_amount,premium_rcv_detail_code,remaining_amt, payrec, mode_code,coinsurance_code,class_cd,it_remarks) values('26Mar250052','070000177143','22701',(select max(to_number(i.premium_rcv_detail_code))+1
from ins_premium_det i),'22701','22701','02', '11000003','00','Request by Mr. Saqib Saleem 26-Mar-2025');</v>
      </c>
    </row>
    <row r="44" spans="1:8" ht="105" x14ac:dyDescent="0.25">
      <c r="A44" s="1" t="s">
        <v>579</v>
      </c>
      <c r="B44" s="12" t="str">
        <f>VLOOKUP(A44,policy!B:C,2,0)</f>
        <v>070000177139</v>
      </c>
      <c r="C44" s="4">
        <f>VLOOKUP(A44,[1]Sheet1!$O$2:$P$91,2,0)</f>
        <v>19475</v>
      </c>
      <c r="D44" s="13">
        <f t="shared" si="1"/>
        <v>19475</v>
      </c>
      <c r="E44" t="s">
        <v>732</v>
      </c>
      <c r="F44" s="14" t="str">
        <f t="shared" si="0"/>
        <v>insert into ins_premium_det (premium_rcv_code,assorted_code, rec_amount,premium_rcv_detail_code,remaining_amt, payrec, mode_code,coinsurance_code,class_cd,it_remarks) values</v>
      </c>
      <c r="G44" s="15" t="str">
        <f t="shared" si="2"/>
        <v>('26Mar250052','070000177139','19475',(select max(to_number(i.premium_rcv_detail_code))+1
from ins_premium_det i),'19475','19475','02', '11000003','00','Request by Mr. Saqib Saleem 26-Mar-2025');</v>
      </c>
      <c r="H44" s="16" t="str">
        <f t="shared" si="3"/>
        <v>insert into ins_premium_det (premium_rcv_code,assorted_code, rec_amount,premium_rcv_detail_code,remaining_amt, payrec, mode_code,coinsurance_code,class_cd,it_remarks) values('26Mar250052','070000177139','19475',(select max(to_number(i.premium_rcv_detail_code))+1
from ins_premium_det i),'19475','19475','02', '11000003','00','Request by Mr. Saqib Saleem 26-Mar-2025');</v>
      </c>
    </row>
    <row r="45" spans="1:8" ht="105" x14ac:dyDescent="0.25">
      <c r="A45" s="1" t="s">
        <v>580</v>
      </c>
      <c r="B45" s="12" t="str">
        <f>VLOOKUP(A45,policy!B:C,2,0)</f>
        <v>070000177134</v>
      </c>
      <c r="C45" s="4">
        <f>VLOOKUP(A45,[1]Sheet1!$O$2:$P$91,2,0)</f>
        <v>16632</v>
      </c>
      <c r="D45" s="13">
        <f t="shared" si="1"/>
        <v>16632</v>
      </c>
      <c r="E45" t="s">
        <v>732</v>
      </c>
      <c r="F45" s="14" t="str">
        <f t="shared" si="0"/>
        <v>insert into ins_premium_det (premium_rcv_code,assorted_code, rec_amount,premium_rcv_detail_code,remaining_amt, payrec, mode_code,coinsurance_code,class_cd,it_remarks) values</v>
      </c>
      <c r="G45" s="15" t="str">
        <f t="shared" si="2"/>
        <v>('26Mar250052','070000177134','16632',(select max(to_number(i.premium_rcv_detail_code))+1
from ins_premium_det i),'16632','16632','02', '11000003','00','Request by Mr. Saqib Saleem 26-Mar-2025');</v>
      </c>
      <c r="H45" s="16" t="str">
        <f t="shared" si="3"/>
        <v>insert into ins_premium_det (premium_rcv_code,assorted_code, rec_amount,premium_rcv_detail_code,remaining_amt, payrec, mode_code,coinsurance_code,class_cd,it_remarks) values('26Mar250052','070000177134','16632',(select max(to_number(i.premium_rcv_detail_code))+1
from ins_premium_det i),'16632','16632','02', '11000003','00','Request by Mr. Saqib Saleem 26-Mar-2025');</v>
      </c>
    </row>
    <row r="46" spans="1:8" ht="105" x14ac:dyDescent="0.25">
      <c r="A46" s="1" t="s">
        <v>581</v>
      </c>
      <c r="B46" s="12" t="str">
        <f>VLOOKUP(A46,policy!B:C,2,0)</f>
        <v>070000177135</v>
      </c>
      <c r="C46" s="4">
        <f>VLOOKUP(A46,[1]Sheet1!$O$2:$P$91,2,0)</f>
        <v>16632</v>
      </c>
      <c r="D46" s="13">
        <f t="shared" si="1"/>
        <v>16632</v>
      </c>
      <c r="E46" t="s">
        <v>732</v>
      </c>
      <c r="F46" s="14" t="str">
        <f t="shared" si="0"/>
        <v>insert into ins_premium_det (premium_rcv_code,assorted_code, rec_amount,premium_rcv_detail_code,remaining_amt, payrec, mode_code,coinsurance_code,class_cd,it_remarks) values</v>
      </c>
      <c r="G46" s="15" t="str">
        <f t="shared" si="2"/>
        <v>('26Mar250052','070000177135','16632',(select max(to_number(i.premium_rcv_detail_code))+1
from ins_premium_det i),'16632','16632','02', '11000003','00','Request by Mr. Saqib Saleem 26-Mar-2025');</v>
      </c>
      <c r="H46" s="16" t="str">
        <f t="shared" si="3"/>
        <v>insert into ins_premium_det (premium_rcv_code,assorted_code, rec_amount,premium_rcv_detail_code,remaining_amt, payrec, mode_code,coinsurance_code,class_cd,it_remarks) values('26Mar250052','070000177135','16632',(select max(to_number(i.premium_rcv_detail_code))+1
from ins_premium_det i),'16632','16632','02', '11000003','00','Request by Mr. Saqib Saleem 26-Mar-2025');</v>
      </c>
    </row>
    <row r="47" spans="1:8" ht="105" x14ac:dyDescent="0.25">
      <c r="A47" s="1" t="s">
        <v>582</v>
      </c>
      <c r="B47" s="12" t="str">
        <f>VLOOKUP(A47,policy!B:C,2,0)</f>
        <v>070000177133</v>
      </c>
      <c r="C47" s="4">
        <f>VLOOKUP(A47,[1]Sheet1!$O$2:$P$91,2,0)</f>
        <v>38983</v>
      </c>
      <c r="D47" s="13">
        <f t="shared" si="1"/>
        <v>38983</v>
      </c>
      <c r="E47" t="s">
        <v>732</v>
      </c>
      <c r="F47" s="14" t="str">
        <f t="shared" si="0"/>
        <v>insert into ins_premium_det (premium_rcv_code,assorted_code, rec_amount,premium_rcv_detail_code,remaining_amt, payrec, mode_code,coinsurance_code,class_cd,it_remarks) values</v>
      </c>
      <c r="G47" s="15" t="str">
        <f t="shared" si="2"/>
        <v>('26Mar250052','070000177133','38983',(select max(to_number(i.premium_rcv_detail_code))+1
from ins_premium_det i),'38983','38983','02', '11000003','00','Request by Mr. Saqib Saleem 26-Mar-2025');</v>
      </c>
      <c r="H47" s="16" t="str">
        <f t="shared" si="3"/>
        <v>insert into ins_premium_det (premium_rcv_code,assorted_code, rec_amount,premium_rcv_detail_code,remaining_amt, payrec, mode_code,coinsurance_code,class_cd,it_remarks) values('26Mar250052','070000177133','38983',(select max(to_number(i.premium_rcv_detail_code))+1
from ins_premium_det i),'38983','38983','02', '11000003','00','Request by Mr. Saqib Saleem 26-Mar-2025');</v>
      </c>
    </row>
    <row r="48" spans="1:8" ht="105" x14ac:dyDescent="0.25">
      <c r="A48" s="1" t="s">
        <v>583</v>
      </c>
      <c r="B48" s="12" t="str">
        <f>VLOOKUP(A48,policy!B:C,2,0)</f>
        <v>070000177138</v>
      </c>
      <c r="C48" s="4">
        <f>VLOOKUP(A48,[1]Sheet1!$O$2:$P$91,2,0)</f>
        <v>19475</v>
      </c>
      <c r="D48" s="13">
        <f t="shared" si="1"/>
        <v>19475</v>
      </c>
      <c r="E48" t="s">
        <v>732</v>
      </c>
      <c r="F48" s="14" t="str">
        <f t="shared" si="0"/>
        <v>insert into ins_premium_det (premium_rcv_code,assorted_code, rec_amount,premium_rcv_detail_code,remaining_amt, payrec, mode_code,coinsurance_code,class_cd,it_remarks) values</v>
      </c>
      <c r="G48" s="15" t="str">
        <f t="shared" si="2"/>
        <v>('26Mar250052','070000177138','19475',(select max(to_number(i.premium_rcv_detail_code))+1
from ins_premium_det i),'19475','19475','02', '11000003','00','Request by Mr. Saqib Saleem 26-Mar-2025');</v>
      </c>
      <c r="H48" s="16" t="str">
        <f t="shared" si="3"/>
        <v>insert into ins_premium_det (premium_rcv_code,assorted_code, rec_amount,premium_rcv_detail_code,remaining_amt, payrec, mode_code,coinsurance_code,class_cd,it_remarks) values('26Mar250052','070000177138','19475',(select max(to_number(i.premium_rcv_detail_code))+1
from ins_premium_det i),'19475','19475','02', '11000003','00','Request by Mr. Saqib Saleem 26-Mar-2025');</v>
      </c>
    </row>
    <row r="49" spans="1:8" ht="105" x14ac:dyDescent="0.25">
      <c r="A49" s="1" t="s">
        <v>584</v>
      </c>
      <c r="B49" s="12" t="str">
        <f>VLOOKUP(A49,policy!B:C,2,0)</f>
        <v>070000177129</v>
      </c>
      <c r="C49" s="4">
        <f>VLOOKUP(A49,[1]Sheet1!$O$2:$P$91,2,0)</f>
        <v>14598</v>
      </c>
      <c r="D49" s="13">
        <f t="shared" si="1"/>
        <v>14598</v>
      </c>
      <c r="E49" t="s">
        <v>732</v>
      </c>
      <c r="F49" s="14" t="str">
        <f t="shared" si="0"/>
        <v>insert into ins_premium_det (premium_rcv_code,assorted_code, rec_amount,premium_rcv_detail_code,remaining_amt, payrec, mode_code,coinsurance_code,class_cd,it_remarks) values</v>
      </c>
      <c r="G49" s="15" t="str">
        <f t="shared" si="2"/>
        <v>('26Mar250052','070000177129','14598',(select max(to_number(i.premium_rcv_detail_code))+1
from ins_premium_det i),'14598','14598','02', '11000003','00','Request by Mr. Saqib Saleem 26-Mar-2025');</v>
      </c>
      <c r="H49" s="16" t="str">
        <f t="shared" si="3"/>
        <v>insert into ins_premium_det (premium_rcv_code,assorted_code, rec_amount,premium_rcv_detail_code,remaining_amt, payrec, mode_code,coinsurance_code,class_cd,it_remarks) values('26Mar250052','070000177129','14598',(select max(to_number(i.premium_rcv_detail_code))+1
from ins_premium_det i),'14598','14598','02', '11000003','00','Request by Mr. Saqib Saleem 26-Mar-2025');</v>
      </c>
    </row>
    <row r="50" spans="1:8" ht="105" x14ac:dyDescent="0.25">
      <c r="A50" s="1" t="s">
        <v>585</v>
      </c>
      <c r="B50" s="12" t="str">
        <f>VLOOKUP(A50,policy!B:C,2,0)</f>
        <v>070000177128</v>
      </c>
      <c r="C50" s="4">
        <f>VLOOKUP(A50,[1]Sheet1!$O$2:$P$91,2,0)</f>
        <v>14598</v>
      </c>
      <c r="D50" s="13">
        <f t="shared" si="1"/>
        <v>14598</v>
      </c>
      <c r="E50" t="s">
        <v>732</v>
      </c>
      <c r="F50" s="14" t="str">
        <f t="shared" si="0"/>
        <v>insert into ins_premium_det (premium_rcv_code,assorted_code, rec_amount,premium_rcv_detail_code,remaining_amt, payrec, mode_code,coinsurance_code,class_cd,it_remarks) values</v>
      </c>
      <c r="G50" s="15" t="str">
        <f t="shared" si="2"/>
        <v>('26Mar250052','070000177128','14598',(select max(to_number(i.premium_rcv_detail_code))+1
from ins_premium_det i),'14598','14598','02', '11000003','00','Request by Mr. Saqib Saleem 26-Mar-2025');</v>
      </c>
      <c r="H50" s="16" t="str">
        <f t="shared" si="3"/>
        <v>insert into ins_premium_det (premium_rcv_code,assorted_code, rec_amount,premium_rcv_detail_code,remaining_amt, payrec, mode_code,coinsurance_code,class_cd,it_remarks) values('26Mar250052','070000177128','14598',(select max(to_number(i.premium_rcv_detail_code))+1
from ins_premium_det i),'14598','14598','02', '11000003','00','Request by Mr. Saqib Saleem 26-Mar-2025');</v>
      </c>
    </row>
    <row r="51" spans="1:8" ht="105" x14ac:dyDescent="0.25">
      <c r="A51" s="1" t="s">
        <v>586</v>
      </c>
      <c r="B51" s="12" t="str">
        <f>VLOOKUP(A51,policy!B:C,2,0)</f>
        <v>070000177137</v>
      </c>
      <c r="C51" s="4">
        <f>VLOOKUP(A51,[1]Sheet1!$O$2:$P$91,2,0)</f>
        <v>12521</v>
      </c>
      <c r="D51" s="13">
        <f t="shared" si="1"/>
        <v>12521</v>
      </c>
      <c r="E51" t="s">
        <v>732</v>
      </c>
      <c r="F51" s="14" t="str">
        <f t="shared" si="0"/>
        <v>insert into ins_premium_det (premium_rcv_code,assorted_code, rec_amount,premium_rcv_detail_code,remaining_amt, payrec, mode_code,coinsurance_code,class_cd,it_remarks) values</v>
      </c>
      <c r="G51" s="15" t="str">
        <f t="shared" si="2"/>
        <v>('26Mar250052','070000177137','12521',(select max(to_number(i.premium_rcv_detail_code))+1
from ins_premium_det i),'12521','12521','02', '11000003','00','Request by Mr. Saqib Saleem 26-Mar-2025');</v>
      </c>
      <c r="H51" s="16" t="str">
        <f t="shared" si="3"/>
        <v>insert into ins_premium_det (premium_rcv_code,assorted_code, rec_amount,premium_rcv_detail_code,remaining_amt, payrec, mode_code,coinsurance_code,class_cd,it_remarks) values('26Mar250052','070000177137','12521',(select max(to_number(i.premium_rcv_detail_code))+1
from ins_premium_det i),'12521','12521','02', '11000003','00','Request by Mr. Saqib Saleem 26-Mar-2025');</v>
      </c>
    </row>
    <row r="52" spans="1:8" ht="105" x14ac:dyDescent="0.25">
      <c r="A52" s="1" t="s">
        <v>587</v>
      </c>
      <c r="B52" s="12" t="str">
        <f>VLOOKUP(A52,policy!B:C,2,0)</f>
        <v>070000177252</v>
      </c>
      <c r="C52" s="4">
        <f>VLOOKUP(A52,[1]Sheet1!$O$2:$P$91,2,0)</f>
        <v>48262</v>
      </c>
      <c r="D52" s="13">
        <f t="shared" si="1"/>
        <v>48262</v>
      </c>
      <c r="E52" t="s">
        <v>732</v>
      </c>
      <c r="F52" s="14" t="str">
        <f t="shared" si="0"/>
        <v>insert into ins_premium_det (premium_rcv_code,assorted_code, rec_amount,premium_rcv_detail_code,remaining_amt, payrec, mode_code,coinsurance_code,class_cd,it_remarks) values</v>
      </c>
      <c r="G52" s="15" t="str">
        <f t="shared" si="2"/>
        <v>('26Mar250052','070000177252','48262',(select max(to_number(i.premium_rcv_detail_code))+1
from ins_premium_det i),'48262','48262','02', '11000003','00','Request by Mr. Saqib Saleem 26-Mar-2025');</v>
      </c>
      <c r="H52" s="16" t="str">
        <f t="shared" si="3"/>
        <v>insert into ins_premium_det (premium_rcv_code,assorted_code, rec_amount,premium_rcv_detail_code,remaining_amt, payrec, mode_code,coinsurance_code,class_cd,it_remarks) values('26Mar250052','070000177252','48262',(select max(to_number(i.premium_rcv_detail_code))+1
from ins_premium_det i),'48262','48262','02', '11000003','00','Request by Mr. Saqib Saleem 26-Mar-2025');</v>
      </c>
    </row>
    <row r="53" spans="1:8" ht="105" x14ac:dyDescent="0.25">
      <c r="A53" s="1" t="s">
        <v>588</v>
      </c>
      <c r="B53" s="12" t="str">
        <f>VLOOKUP(A53,policy!B:C,2,0)</f>
        <v>070000177251</v>
      </c>
      <c r="C53" s="4">
        <f>VLOOKUP(A53,[1]Sheet1!$O$2:$P$91,2,0)</f>
        <v>21290</v>
      </c>
      <c r="D53" s="13">
        <f t="shared" si="1"/>
        <v>21290</v>
      </c>
      <c r="E53" t="s">
        <v>732</v>
      </c>
      <c r="F53" s="14" t="str">
        <f t="shared" si="0"/>
        <v>insert into ins_premium_det (premium_rcv_code,assorted_code, rec_amount,premium_rcv_detail_code,remaining_amt, payrec, mode_code,coinsurance_code,class_cd,it_remarks) values</v>
      </c>
      <c r="G53" s="15" t="str">
        <f t="shared" si="2"/>
        <v>('26Mar250052','070000177251','21290',(select max(to_number(i.premium_rcv_detail_code))+1
from ins_premium_det i),'21290','21290','02', '11000003','00','Request by Mr. Saqib Saleem 26-Mar-2025');</v>
      </c>
      <c r="H53" s="16" t="str">
        <f t="shared" si="3"/>
        <v>insert into ins_premium_det (premium_rcv_code,assorted_code, rec_amount,premium_rcv_detail_code,remaining_amt, payrec, mode_code,coinsurance_code,class_cd,it_remarks) values('26Mar250052','070000177251','21290',(select max(to_number(i.premium_rcv_detail_code))+1
from ins_premium_det i),'21290','21290','02', '11000003','00','Request by Mr. Saqib Saleem 26-Mar-2025');</v>
      </c>
    </row>
    <row r="54" spans="1:8" ht="105" x14ac:dyDescent="0.25">
      <c r="A54" s="1" t="s">
        <v>589</v>
      </c>
      <c r="B54" s="12" t="str">
        <f>VLOOKUP(A54,policy!B:C,2,0)</f>
        <v>070000177256</v>
      </c>
      <c r="C54" s="4">
        <f>VLOOKUP(A54,[1]Sheet1!$O$2:$P$91,2,0)</f>
        <v>18225</v>
      </c>
      <c r="D54" s="13">
        <f t="shared" si="1"/>
        <v>18225</v>
      </c>
      <c r="E54" t="s">
        <v>732</v>
      </c>
      <c r="F54" s="14" t="str">
        <f t="shared" si="0"/>
        <v>insert into ins_premium_det (premium_rcv_code,assorted_code, rec_amount,premium_rcv_detail_code,remaining_amt, payrec, mode_code,coinsurance_code,class_cd,it_remarks) values</v>
      </c>
      <c r="G54" s="15" t="str">
        <f t="shared" si="2"/>
        <v>('26Mar250052','070000177256','18225',(select max(to_number(i.premium_rcv_detail_code))+1
from ins_premium_det i),'18225','18225','02', '11000003','00','Request by Mr. Saqib Saleem 26-Mar-2025');</v>
      </c>
      <c r="H54" s="16" t="str">
        <f t="shared" si="3"/>
        <v>insert into ins_premium_det (premium_rcv_code,assorted_code, rec_amount,premium_rcv_detail_code,remaining_amt, payrec, mode_code,coinsurance_code,class_cd,it_remarks) values('26Mar250052','070000177256','18225',(select max(to_number(i.premium_rcv_detail_code))+1
from ins_premium_det i),'18225','18225','02', '11000003','00','Request by Mr. Saqib Saleem 26-Mar-2025');</v>
      </c>
    </row>
    <row r="55" spans="1:8" ht="105" x14ac:dyDescent="0.25">
      <c r="A55" s="1" t="s">
        <v>590</v>
      </c>
      <c r="B55" s="12" t="str">
        <f>VLOOKUP(A55,policy!B:C,2,0)</f>
        <v>070000177255</v>
      </c>
      <c r="C55" s="4">
        <f>VLOOKUP(A55,[1]Sheet1!$O$2:$P$91,2,0)</f>
        <v>89776</v>
      </c>
      <c r="D55" s="13">
        <f t="shared" si="1"/>
        <v>89776</v>
      </c>
      <c r="E55" t="s">
        <v>732</v>
      </c>
      <c r="F55" s="14" t="str">
        <f t="shared" si="0"/>
        <v>insert into ins_premium_det (premium_rcv_code,assorted_code, rec_amount,premium_rcv_detail_code,remaining_amt, payrec, mode_code,coinsurance_code,class_cd,it_remarks) values</v>
      </c>
      <c r="G55" s="15" t="str">
        <f t="shared" si="2"/>
        <v>('26Mar250052','070000177255','89776',(select max(to_number(i.premium_rcv_detail_code))+1
from ins_premium_det i),'89776','89776','02', '11000003','00','Request by Mr. Saqib Saleem 26-Mar-2025');</v>
      </c>
      <c r="H55" s="16" t="str">
        <f t="shared" si="3"/>
        <v>insert into ins_premium_det (premium_rcv_code,assorted_code, rec_amount,premium_rcv_detail_code,remaining_amt, payrec, mode_code,coinsurance_code,class_cd,it_remarks) values('26Mar250052','070000177255','89776',(select max(to_number(i.premium_rcv_detail_code))+1
from ins_premium_det i),'89776','89776','02', '11000003','00','Request by Mr. Saqib Saleem 26-Mar-2025');</v>
      </c>
    </row>
    <row r="56" spans="1:8" ht="105" x14ac:dyDescent="0.25">
      <c r="A56" s="1" t="s">
        <v>591</v>
      </c>
      <c r="B56" s="12" t="str">
        <f>VLOOKUP(A56,policy!B:C,2,0)</f>
        <v>070000177249</v>
      </c>
      <c r="C56" s="4">
        <f>VLOOKUP(A56,[1]Sheet1!$O$2:$P$91,2,0)</f>
        <v>89100</v>
      </c>
      <c r="D56" s="13">
        <f t="shared" si="1"/>
        <v>89100</v>
      </c>
      <c r="E56" t="s">
        <v>732</v>
      </c>
      <c r="F56" s="14" t="str">
        <f t="shared" si="0"/>
        <v>insert into ins_premium_det (premium_rcv_code,assorted_code, rec_amount,premium_rcv_detail_code,remaining_amt, payrec, mode_code,coinsurance_code,class_cd,it_remarks) values</v>
      </c>
      <c r="G56" s="15" t="str">
        <f t="shared" si="2"/>
        <v>('26Mar250052','070000177249','89100',(select max(to_number(i.premium_rcv_detail_code))+1
from ins_premium_det i),'89100','89100','02', '11000003','00','Request by Mr. Saqib Saleem 26-Mar-2025');</v>
      </c>
      <c r="H56" s="16" t="str">
        <f t="shared" si="3"/>
        <v>insert into ins_premium_det (premium_rcv_code,assorted_code, rec_amount,premium_rcv_detail_code,remaining_amt, payrec, mode_code,coinsurance_code,class_cd,it_remarks) values('26Mar250052','070000177249','89100',(select max(to_number(i.premium_rcv_detail_code))+1
from ins_premium_det i),'89100','89100','02', '11000003','00','Request by Mr. Saqib Saleem 26-Mar-2025');</v>
      </c>
    </row>
    <row r="57" spans="1:8" ht="105" x14ac:dyDescent="0.25">
      <c r="A57" s="1" t="s">
        <v>592</v>
      </c>
      <c r="B57" s="12" t="str">
        <f>VLOOKUP(A57,policy!B:C,2,0)</f>
        <v>070000177247</v>
      </c>
      <c r="C57" s="4">
        <f>VLOOKUP(A57,[1]Sheet1!$O$2:$P$91,2,0)</f>
        <v>35262</v>
      </c>
      <c r="D57" s="13">
        <f t="shared" si="1"/>
        <v>35262</v>
      </c>
      <c r="E57" t="s">
        <v>732</v>
      </c>
      <c r="F57" s="14" t="str">
        <f t="shared" si="0"/>
        <v>insert into ins_premium_det (premium_rcv_code,assorted_code, rec_amount,premium_rcv_detail_code,remaining_amt, payrec, mode_code,coinsurance_code,class_cd,it_remarks) values</v>
      </c>
      <c r="G57" s="15" t="str">
        <f t="shared" si="2"/>
        <v>('26Mar250052','070000177247','35262',(select max(to_number(i.premium_rcv_detail_code))+1
from ins_premium_det i),'35262','35262','02', '11000003','00','Request by Mr. Saqib Saleem 26-Mar-2025');</v>
      </c>
      <c r="H57" s="16" t="str">
        <f t="shared" si="3"/>
        <v>insert into ins_premium_det (premium_rcv_code,assorted_code, rec_amount,premium_rcv_detail_code,remaining_amt, payrec, mode_code,coinsurance_code,class_cd,it_remarks) values('26Mar250052','070000177247','35262',(select max(to_number(i.premium_rcv_detail_code))+1
from ins_premium_det i),'35262','35262','02', '11000003','00','Request by Mr. Saqib Saleem 26-Mar-2025');</v>
      </c>
    </row>
    <row r="58" spans="1:8" ht="105" x14ac:dyDescent="0.25">
      <c r="A58" s="1" t="s">
        <v>593</v>
      </c>
      <c r="B58" s="12" t="str">
        <f>VLOOKUP(A58,policy!B:C,2,0)</f>
        <v>070000177248</v>
      </c>
      <c r="C58" s="4">
        <f>VLOOKUP(A58,[1]Sheet1!$O$2:$P$91,2,0)</f>
        <v>68040</v>
      </c>
      <c r="D58" s="13">
        <f t="shared" si="1"/>
        <v>68040</v>
      </c>
      <c r="E58" t="s">
        <v>732</v>
      </c>
      <c r="F58" s="14" t="str">
        <f t="shared" si="0"/>
        <v>insert into ins_premium_det (premium_rcv_code,assorted_code, rec_amount,premium_rcv_detail_code,remaining_amt, payrec, mode_code,coinsurance_code,class_cd,it_remarks) values</v>
      </c>
      <c r="G58" s="15" t="str">
        <f t="shared" si="2"/>
        <v>('26Mar250052','070000177248','68040',(select max(to_number(i.premium_rcv_detail_code))+1
from ins_premium_det i),'68040','68040','02', '11000003','00','Request by Mr. Saqib Saleem 26-Mar-2025');</v>
      </c>
      <c r="H58" s="16" t="str">
        <f t="shared" si="3"/>
        <v>insert into ins_premium_det (premium_rcv_code,assorted_code, rec_amount,premium_rcv_detail_code,remaining_amt, payrec, mode_code,coinsurance_code,class_cd,it_remarks) values('26Mar250052','070000177248','68040',(select max(to_number(i.premium_rcv_detail_code))+1
from ins_premium_det i),'68040','68040','02', '11000003','00','Request by Mr. Saqib Saleem 26-Mar-2025');</v>
      </c>
    </row>
    <row r="59" spans="1:8" ht="105" x14ac:dyDescent="0.25">
      <c r="A59" s="1" t="s">
        <v>594</v>
      </c>
      <c r="B59" s="12" t="str">
        <f>VLOOKUP(A59,policy!B:C,2,0)</f>
        <v>070000177259</v>
      </c>
      <c r="C59" s="4">
        <f>VLOOKUP(A59,[1]Sheet1!$O$2:$P$91,2,0)</f>
        <v>46413</v>
      </c>
      <c r="D59" s="13">
        <f t="shared" si="1"/>
        <v>46413</v>
      </c>
      <c r="E59" t="s">
        <v>732</v>
      </c>
      <c r="F59" s="14" t="str">
        <f t="shared" si="0"/>
        <v>insert into ins_premium_det (premium_rcv_code,assorted_code, rec_amount,premium_rcv_detail_code,remaining_amt, payrec, mode_code,coinsurance_code,class_cd,it_remarks) values</v>
      </c>
      <c r="G59" s="15" t="str">
        <f t="shared" si="2"/>
        <v>('26Mar250052','070000177259','46413',(select max(to_number(i.premium_rcv_detail_code))+1
from ins_premium_det i),'46413','46413','02', '11000003','00','Request by Mr. Saqib Saleem 26-Mar-2025');</v>
      </c>
      <c r="H59" s="16" t="str">
        <f t="shared" si="3"/>
        <v>insert into ins_premium_det (premium_rcv_code,assorted_code, rec_amount,premium_rcv_detail_code,remaining_amt, payrec, mode_code,coinsurance_code,class_cd,it_remarks) values('26Mar250052','070000177259','46413',(select max(to_number(i.premium_rcv_detail_code))+1
from ins_premium_det i),'46413','46413','02', '11000003','00','Request by Mr. Saqib Saleem 26-Mar-2025');</v>
      </c>
    </row>
    <row r="60" spans="1:8" ht="105" x14ac:dyDescent="0.25">
      <c r="A60" s="1" t="s">
        <v>595</v>
      </c>
      <c r="B60" s="12" t="str">
        <f>VLOOKUP(A60,policy!B:C,2,0)</f>
        <v>070000177261</v>
      </c>
      <c r="C60" s="4">
        <f>VLOOKUP(A60,[1]Sheet1!$O$2:$P$91,2,0)</f>
        <v>20018</v>
      </c>
      <c r="D60" s="13">
        <f t="shared" si="1"/>
        <v>20018</v>
      </c>
      <c r="E60" t="s">
        <v>732</v>
      </c>
      <c r="F60" s="14" t="str">
        <f t="shared" si="0"/>
        <v>insert into ins_premium_det (premium_rcv_code,assorted_code, rec_amount,premium_rcv_detail_code,remaining_amt, payrec, mode_code,coinsurance_code,class_cd,it_remarks) values</v>
      </c>
      <c r="G60" s="15" t="str">
        <f t="shared" si="2"/>
        <v>('26Mar250052','070000177261','20018',(select max(to_number(i.premium_rcv_detail_code))+1
from ins_premium_det i),'20018','20018','02', '11000003','00','Request by Mr. Saqib Saleem 26-Mar-2025');</v>
      </c>
      <c r="H60" s="16" t="str">
        <f t="shared" si="3"/>
        <v>insert into ins_premium_det (premium_rcv_code,assorted_code, rec_amount,premium_rcv_detail_code,remaining_amt, payrec, mode_code,coinsurance_code,class_cd,it_remarks) values('26Mar250052','070000177261','20018',(select max(to_number(i.premium_rcv_detail_code))+1
from ins_premium_det i),'20018','20018','02', '11000003','00','Request by Mr. Saqib Saleem 26-Mar-2025');</v>
      </c>
    </row>
    <row r="61" spans="1:8" ht="105" x14ac:dyDescent="0.25">
      <c r="A61" s="1" t="s">
        <v>596</v>
      </c>
      <c r="B61" s="12" t="str">
        <f>VLOOKUP(A61,policy!B:C,2,0)</f>
        <v>070000177260</v>
      </c>
      <c r="C61" s="4">
        <f>VLOOKUP(A61,[1]Sheet1!$O$2:$P$91,2,0)</f>
        <v>16927</v>
      </c>
      <c r="D61" s="13">
        <f t="shared" si="1"/>
        <v>16927</v>
      </c>
      <c r="E61" t="s">
        <v>732</v>
      </c>
      <c r="F61" s="14" t="str">
        <f t="shared" si="0"/>
        <v>insert into ins_premium_det (premium_rcv_code,assorted_code, rec_amount,premium_rcv_detail_code,remaining_amt, payrec, mode_code,coinsurance_code,class_cd,it_remarks) values</v>
      </c>
      <c r="G61" s="15" t="str">
        <f t="shared" si="2"/>
        <v>('26Mar250052','070000177260','16927',(select max(to_number(i.premium_rcv_detail_code))+1
from ins_premium_det i),'16927','16927','02', '11000003','00','Request by Mr. Saqib Saleem 26-Mar-2025');</v>
      </c>
      <c r="H61" s="16" t="str">
        <f t="shared" si="3"/>
        <v>insert into ins_premium_det (premium_rcv_code,assorted_code, rec_amount,premium_rcv_detail_code,remaining_amt, payrec, mode_code,coinsurance_code,class_cd,it_remarks) values('26Mar250052','070000177260','16927',(select max(to_number(i.premium_rcv_detail_code))+1
from ins_premium_det i),'16927','16927','02', '11000003','00','Request by Mr. Saqib Saleem 26-Mar-2025');</v>
      </c>
    </row>
    <row r="62" spans="1:8" ht="105" x14ac:dyDescent="0.25">
      <c r="A62" s="1" t="s">
        <v>597</v>
      </c>
      <c r="B62" s="12" t="str">
        <f>VLOOKUP(A62,policy!B:C,2,0)</f>
        <v>070000177278</v>
      </c>
      <c r="C62" s="4">
        <f>VLOOKUP(A62,[1]Sheet1!$O$2:$P$91,2,0)</f>
        <v>30389</v>
      </c>
      <c r="D62" s="13">
        <f t="shared" si="1"/>
        <v>30389</v>
      </c>
      <c r="E62" t="s">
        <v>732</v>
      </c>
      <c r="F62" s="14" t="str">
        <f t="shared" si="0"/>
        <v>insert into ins_premium_det (premium_rcv_code,assorted_code, rec_amount,premium_rcv_detail_code,remaining_amt, payrec, mode_code,coinsurance_code,class_cd,it_remarks) values</v>
      </c>
      <c r="G62" s="15" t="str">
        <f t="shared" si="2"/>
        <v>('26Mar250052','070000177278','30389',(select max(to_number(i.premium_rcv_detail_code))+1
from ins_premium_det i),'30389','30389','02', '11000003','00','Request by Mr. Saqib Saleem 26-Mar-2025');</v>
      </c>
      <c r="H62" s="16" t="str">
        <f t="shared" si="3"/>
        <v>insert into ins_premium_det (premium_rcv_code,assorted_code, rec_amount,premium_rcv_detail_code,remaining_amt, payrec, mode_code,coinsurance_code,class_cd,it_remarks) values('26Mar250052','070000177278','30389',(select max(to_number(i.premium_rcv_detail_code))+1
from ins_premium_det i),'30389','30389','02', '11000003','00','Request by Mr. Saqib Saleem 26-Mar-2025');</v>
      </c>
    </row>
    <row r="63" spans="1:8" ht="105" x14ac:dyDescent="0.25">
      <c r="A63" s="1" t="s">
        <v>598</v>
      </c>
      <c r="B63" s="12" t="str">
        <f>VLOOKUP(A63,policy!B:C,2,0)</f>
        <v>070000177277</v>
      </c>
      <c r="C63" s="4">
        <f>VLOOKUP(A63,[1]Sheet1!$O$2:$P$91,2,0)</f>
        <v>47250</v>
      </c>
      <c r="D63" s="13">
        <f t="shared" si="1"/>
        <v>47250</v>
      </c>
      <c r="E63" t="s">
        <v>732</v>
      </c>
      <c r="F63" s="14" t="str">
        <f t="shared" si="0"/>
        <v>insert into ins_premium_det (premium_rcv_code,assorted_code, rec_amount,premium_rcv_detail_code,remaining_amt, payrec, mode_code,coinsurance_code,class_cd,it_remarks) values</v>
      </c>
      <c r="G63" s="15" t="str">
        <f t="shared" si="2"/>
        <v>('26Mar250052','070000177277','47250',(select max(to_number(i.premium_rcv_detail_code))+1
from ins_premium_det i),'47250','47250','02', '11000003','00','Request by Mr. Saqib Saleem 26-Mar-2025');</v>
      </c>
      <c r="H63" s="16" t="str">
        <f t="shared" si="3"/>
        <v>insert into ins_premium_det (premium_rcv_code,assorted_code, rec_amount,premium_rcv_detail_code,remaining_amt, payrec, mode_code,coinsurance_code,class_cd,it_remarks) values('26Mar250052','070000177277','47250',(select max(to_number(i.premium_rcv_detail_code))+1
from ins_premium_det i),'47250','47250','02', '11000003','00','Request by Mr. Saqib Saleem 26-Mar-2025');</v>
      </c>
    </row>
    <row r="64" spans="1:8" ht="105" x14ac:dyDescent="0.25">
      <c r="A64" s="1" t="s">
        <v>599</v>
      </c>
      <c r="B64" s="12" t="str">
        <f>VLOOKUP(A64,policy!B:C,2,0)</f>
        <v>070000177274</v>
      </c>
      <c r="C64" s="4">
        <f>VLOOKUP(A64,[1]Sheet1!$O$2:$P$91,2,0)</f>
        <v>18804</v>
      </c>
      <c r="D64" s="13">
        <f t="shared" si="1"/>
        <v>18804</v>
      </c>
      <c r="E64" t="s">
        <v>732</v>
      </c>
      <c r="F64" s="14" t="str">
        <f t="shared" si="0"/>
        <v>insert into ins_premium_det (premium_rcv_code,assorted_code, rec_amount,premium_rcv_detail_code,remaining_amt, payrec, mode_code,coinsurance_code,class_cd,it_remarks) values</v>
      </c>
      <c r="G64" s="15" t="str">
        <f t="shared" si="2"/>
        <v>('26Mar250052','070000177274','18804',(select max(to_number(i.premium_rcv_detail_code))+1
from ins_premium_det i),'18804','18804','02', '11000003','00','Request by Mr. Saqib Saleem 26-Mar-2025');</v>
      </c>
      <c r="H64" s="16" t="str">
        <f t="shared" si="3"/>
        <v>insert into ins_premium_det (premium_rcv_code,assorted_code, rec_amount,premium_rcv_detail_code,remaining_amt, payrec, mode_code,coinsurance_code,class_cd,it_remarks) values('26Mar250052','070000177274','18804',(select max(to_number(i.premium_rcv_detail_code))+1
from ins_premium_det i),'18804','18804','02', '11000003','00','Request by Mr. Saqib Saleem 26-Mar-2025');</v>
      </c>
    </row>
    <row r="65" spans="1:8" ht="105" x14ac:dyDescent="0.25">
      <c r="A65" s="1" t="s">
        <v>600</v>
      </c>
      <c r="B65" s="12" t="str">
        <f>VLOOKUP(A65,policy!B:C,2,0)</f>
        <v>070000177232</v>
      </c>
      <c r="C65" s="4">
        <f>VLOOKUP(A65,[1]Sheet1!$O$2:$P$91,2,0)</f>
        <v>47671</v>
      </c>
      <c r="D65" s="13">
        <f t="shared" si="1"/>
        <v>47671</v>
      </c>
      <c r="E65" t="s">
        <v>732</v>
      </c>
      <c r="F65" s="14" t="str">
        <f t="shared" si="0"/>
        <v>insert into ins_premium_det (premium_rcv_code,assorted_code, rec_amount,premium_rcv_detail_code,remaining_amt, payrec, mode_code,coinsurance_code,class_cd,it_remarks) values</v>
      </c>
      <c r="G65" s="15" t="str">
        <f t="shared" si="2"/>
        <v>('26Mar250052','070000177232','47671',(select max(to_number(i.premium_rcv_detail_code))+1
from ins_premium_det i),'47671','47671','02', '11000003','00','Request by Mr. Saqib Saleem 26-Mar-2025');</v>
      </c>
      <c r="H65" s="16" t="str">
        <f t="shared" si="3"/>
        <v>insert into ins_premium_det (premium_rcv_code,assorted_code, rec_amount,premium_rcv_detail_code,remaining_amt, payrec, mode_code,coinsurance_code,class_cd,it_remarks) values('26Mar250052','070000177232','47671',(select max(to_number(i.premium_rcv_detail_code))+1
from ins_premium_det i),'47671','47671','02', '11000003','00','Request by Mr. Saqib Saleem 26-Mar-2025');</v>
      </c>
    </row>
    <row r="66" spans="1:8" ht="105" x14ac:dyDescent="0.25">
      <c r="A66" s="1" t="s">
        <v>601</v>
      </c>
      <c r="B66" s="12" t="str">
        <f>VLOOKUP(A66,policy!B:C,2,0)</f>
        <v>070000177234</v>
      </c>
      <c r="C66" s="4">
        <f>VLOOKUP(A66,[1]Sheet1!$O$2:$P$91,2,0)</f>
        <v>24300</v>
      </c>
      <c r="D66" s="13">
        <f t="shared" si="1"/>
        <v>24300</v>
      </c>
      <c r="E66" t="s">
        <v>732</v>
      </c>
      <c r="F66" s="14" t="str">
        <f t="shared" ref="F66:F91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5" t="str">
        <f t="shared" si="2"/>
        <v>('26Mar250052','070000177234','24300',(select max(to_number(i.premium_rcv_detail_code))+1
from ins_premium_det i),'24300','24300','02', '11000003','00','Request by Mr. Saqib Saleem 26-Mar-2025');</v>
      </c>
      <c r="H66" s="16" t="str">
        <f t="shared" si="3"/>
        <v>insert into ins_premium_det (premium_rcv_code,assorted_code, rec_amount,premium_rcv_detail_code,remaining_amt, payrec, mode_code,coinsurance_code,class_cd,it_remarks) values('26Mar250052','070000177234','24300',(select max(to_number(i.premium_rcv_detail_code))+1
from ins_premium_det i),'24300','24300','02', '11000003','00','Request by Mr. Saqib Saleem 26-Mar-2025');</v>
      </c>
    </row>
    <row r="67" spans="1:8" ht="105" x14ac:dyDescent="0.25">
      <c r="A67" s="1" t="s">
        <v>602</v>
      </c>
      <c r="B67" s="12" t="str">
        <f>VLOOKUP(A67,policy!B:C,2,0)</f>
        <v>070000177267</v>
      </c>
      <c r="C67" s="4">
        <f>VLOOKUP(A67,[1]Sheet1!$O$2:$P$91,2,0)</f>
        <v>15648</v>
      </c>
      <c r="D67" s="13">
        <f t="shared" ref="D67:D91" si="5">ROUND(C67,0)</f>
        <v>15648</v>
      </c>
      <c r="E67" t="s">
        <v>732</v>
      </c>
      <c r="F67" s="14" t="str">
        <f t="shared" si="4"/>
        <v>insert into ins_premium_det (premium_rcv_code,assorted_code, rec_amount,premium_rcv_detail_code,remaining_amt, payrec, mode_code,coinsurance_code,class_cd,it_remarks) values</v>
      </c>
      <c r="G67" s="15" t="str">
        <f t="shared" ref="G67:G91" si="6">"('"&amp;E67&amp;"','"&amp;B67&amp;"','"&amp;D67&amp;"',(select max(to_number(i.premium_rcv_detail_code))+1
from ins_premium_det i),'"&amp;D67&amp;"','"&amp;D67&amp;"','02', '11000003','00','Request by Mr. Saqib Saleem 26-Mar-2025');"</f>
        <v>('26Mar250052','070000177267','15648',(select max(to_number(i.premium_rcv_detail_code))+1
from ins_premium_det i),'15648','15648','02', '11000003','00','Request by Mr. Saqib Saleem 26-Mar-2025');</v>
      </c>
      <c r="H67" s="16" t="str">
        <f t="shared" ref="H67:H91" si="7">F67&amp;G67</f>
        <v>insert into ins_premium_det (premium_rcv_code,assorted_code, rec_amount,premium_rcv_detail_code,remaining_amt, payrec, mode_code,coinsurance_code,class_cd,it_remarks) values('26Mar250052','070000177267','15648',(select max(to_number(i.premium_rcv_detail_code))+1
from ins_premium_det i),'15648','15648','02', '11000003','00','Request by Mr. Saqib Saleem 26-Mar-2025');</v>
      </c>
    </row>
    <row r="68" spans="1:8" ht="105" x14ac:dyDescent="0.25">
      <c r="A68" s="1" t="s">
        <v>603</v>
      </c>
      <c r="B68" s="12" t="str">
        <f>VLOOKUP(A68,policy!B:C,2,0)</f>
        <v>070000177271</v>
      </c>
      <c r="C68" s="4">
        <f>VLOOKUP(A68,[1]Sheet1!$O$2:$P$91,2,0)</f>
        <v>33020</v>
      </c>
      <c r="D68" s="13">
        <f t="shared" si="5"/>
        <v>33020</v>
      </c>
      <c r="E68" t="s">
        <v>732</v>
      </c>
      <c r="F68" s="14" t="str">
        <f t="shared" si="4"/>
        <v>insert into ins_premium_det (premium_rcv_code,assorted_code, rec_amount,premium_rcv_detail_code,remaining_amt, payrec, mode_code,coinsurance_code,class_cd,it_remarks) values</v>
      </c>
      <c r="G68" s="15" t="str">
        <f t="shared" si="6"/>
        <v>('26Mar250052','070000177271','33020',(select max(to_number(i.premium_rcv_detail_code))+1
from ins_premium_det i),'33020','33020','02', '11000003','00','Request by Mr. Saqib Saleem 26-Mar-2025');</v>
      </c>
      <c r="H68" s="16" t="str">
        <f t="shared" si="7"/>
        <v>insert into ins_premium_det (premium_rcv_code,assorted_code, rec_amount,premium_rcv_detail_code,remaining_amt, payrec, mode_code,coinsurance_code,class_cd,it_remarks) values('26Mar250052','070000177271','33020',(select max(to_number(i.premium_rcv_detail_code))+1
from ins_premium_det i),'33020','33020','02', '11000003','00','Request by Mr. Saqib Saleem 26-Mar-2025');</v>
      </c>
    </row>
    <row r="69" spans="1:8" ht="105" x14ac:dyDescent="0.25">
      <c r="A69" s="1" t="s">
        <v>604</v>
      </c>
      <c r="B69" s="12" t="str">
        <f>VLOOKUP(A69,policy!B:C,2,0)</f>
        <v>070000177093</v>
      </c>
      <c r="C69" s="4">
        <f>VLOOKUP(A69,[1]Sheet1!$O$2:$P$91,2,0)</f>
        <v>24008</v>
      </c>
      <c r="D69" s="13">
        <f t="shared" si="5"/>
        <v>24008</v>
      </c>
      <c r="E69" t="s">
        <v>732</v>
      </c>
      <c r="F69" s="14" t="str">
        <f t="shared" si="4"/>
        <v>insert into ins_premium_det (premium_rcv_code,assorted_code, rec_amount,premium_rcv_detail_code,remaining_amt, payrec, mode_code,coinsurance_code,class_cd,it_remarks) values</v>
      </c>
      <c r="G69" s="15" t="str">
        <f t="shared" si="6"/>
        <v>('26Mar250052','070000177093','24008',(select max(to_number(i.premium_rcv_detail_code))+1
from ins_premium_det i),'24008','24008','02', '11000003','00','Request by Mr. Saqib Saleem 26-Mar-2025');</v>
      </c>
      <c r="H69" s="16" t="str">
        <f t="shared" si="7"/>
        <v>insert into ins_premium_det (premium_rcv_code,assorted_code, rec_amount,premium_rcv_detail_code,remaining_amt, payrec, mode_code,coinsurance_code,class_cd,it_remarks) values('26Mar250052','070000177093','24008',(select max(to_number(i.premium_rcv_detail_code))+1
from ins_premium_det i),'24008','24008','02', '11000003','00','Request by Mr. Saqib Saleem 26-Mar-2025');</v>
      </c>
    </row>
    <row r="70" spans="1:8" ht="105" x14ac:dyDescent="0.25">
      <c r="A70" s="1" t="s">
        <v>605</v>
      </c>
      <c r="B70" s="12" t="str">
        <f>VLOOKUP(A70,policy!B:C,2,0)</f>
        <v>070000177090</v>
      </c>
      <c r="C70" s="4">
        <f>VLOOKUP(A70,[1]Sheet1!$O$2:$P$91,2,0)</f>
        <v>45900</v>
      </c>
      <c r="D70" s="13">
        <f t="shared" si="5"/>
        <v>45900</v>
      </c>
      <c r="E70" t="s">
        <v>732</v>
      </c>
      <c r="F70" s="14" t="str">
        <f t="shared" si="4"/>
        <v>insert into ins_premium_det (premium_rcv_code,assorted_code, rec_amount,premium_rcv_detail_code,remaining_amt, payrec, mode_code,coinsurance_code,class_cd,it_remarks) values</v>
      </c>
      <c r="G70" s="15" t="str">
        <f t="shared" si="6"/>
        <v>('26Mar250052','070000177090','45900',(select max(to_number(i.premium_rcv_detail_code))+1
from ins_premium_det i),'45900','45900','02', '11000003','00','Request by Mr. Saqib Saleem 26-Mar-2025');</v>
      </c>
      <c r="H70" s="16" t="str">
        <f t="shared" si="7"/>
        <v>insert into ins_premium_det (premium_rcv_code,assorted_code, rec_amount,premium_rcv_detail_code,remaining_amt, payrec, mode_code,coinsurance_code,class_cd,it_remarks) values('26Mar250052','070000177090','45900',(select max(to_number(i.premium_rcv_detail_code))+1
from ins_premium_det i),'45900','45900','02', '11000003','00','Request by Mr. Saqib Saleem 26-Mar-2025');</v>
      </c>
    </row>
    <row r="71" spans="1:8" ht="105" x14ac:dyDescent="0.25">
      <c r="A71" s="1" t="s">
        <v>606</v>
      </c>
      <c r="B71" s="12" t="str">
        <f>VLOOKUP(A71,policy!B:C,2,0)</f>
        <v>070000177098</v>
      </c>
      <c r="C71" s="4">
        <f>VLOOKUP(A71,[1]Sheet1!$O$2:$P$91,2,0)</f>
        <v>35900</v>
      </c>
      <c r="D71" s="13">
        <f t="shared" si="5"/>
        <v>35900</v>
      </c>
      <c r="E71" t="s">
        <v>732</v>
      </c>
      <c r="F71" s="14" t="str">
        <f t="shared" si="4"/>
        <v>insert into ins_premium_det (premium_rcv_code,assorted_code, rec_amount,premium_rcv_detail_code,remaining_amt, payrec, mode_code,coinsurance_code,class_cd,it_remarks) values</v>
      </c>
      <c r="G71" s="15" t="str">
        <f t="shared" si="6"/>
        <v>('26Mar250052','070000177098','35900',(select max(to_number(i.premium_rcv_detail_code))+1
from ins_premium_det i),'35900','35900','02', '11000003','00','Request by Mr. Saqib Saleem 26-Mar-2025');</v>
      </c>
      <c r="H71" s="16" t="str">
        <f t="shared" si="7"/>
        <v>insert into ins_premium_det (premium_rcv_code,assorted_code, rec_amount,premium_rcv_detail_code,remaining_amt, payrec, mode_code,coinsurance_code,class_cd,it_remarks) values('26Mar250052','070000177098','35900',(select max(to_number(i.premium_rcv_detail_code))+1
from ins_premium_det i),'35900','35900','02', '11000003','00','Request by Mr. Saqib Saleem 26-Mar-2025');</v>
      </c>
    </row>
    <row r="72" spans="1:8" ht="105" x14ac:dyDescent="0.25">
      <c r="A72" s="1" t="s">
        <v>607</v>
      </c>
      <c r="B72" s="12" t="str">
        <f>VLOOKUP(A72,policy!B:C,2,0)</f>
        <v>070000177099</v>
      </c>
      <c r="C72" s="4">
        <f>VLOOKUP(A72,[1]Sheet1!$O$2:$P$91,2,0)</f>
        <v>40460</v>
      </c>
      <c r="D72" s="13">
        <f t="shared" si="5"/>
        <v>40460</v>
      </c>
      <c r="E72" t="s">
        <v>732</v>
      </c>
      <c r="F72" s="14" t="str">
        <f t="shared" si="4"/>
        <v>insert into ins_premium_det (premium_rcv_code,assorted_code, rec_amount,premium_rcv_detail_code,remaining_amt, payrec, mode_code,coinsurance_code,class_cd,it_remarks) values</v>
      </c>
      <c r="G72" s="15" t="str">
        <f t="shared" si="6"/>
        <v>('26Mar250052','070000177099','40460',(select max(to_number(i.premium_rcv_detail_code))+1
from ins_premium_det i),'40460','40460','02', '11000003','00','Request by Mr. Saqib Saleem 26-Mar-2025');</v>
      </c>
      <c r="H72" s="16" t="str">
        <f t="shared" si="7"/>
        <v>insert into ins_premium_det (premium_rcv_code,assorted_code, rec_amount,premium_rcv_detail_code,remaining_amt, payrec, mode_code,coinsurance_code,class_cd,it_remarks) values('26Mar250052','070000177099','40460',(select max(to_number(i.premium_rcv_detail_code))+1
from ins_premium_det i),'40460','40460','02', '11000003','00','Request by Mr. Saqib Saleem 26-Mar-2025');</v>
      </c>
    </row>
    <row r="73" spans="1:8" ht="105" x14ac:dyDescent="0.25">
      <c r="A73" s="1" t="s">
        <v>608</v>
      </c>
      <c r="B73" s="12" t="str">
        <f>VLOOKUP(A73,policy!B:C,2,0)</f>
        <v>070000177101</v>
      </c>
      <c r="C73" s="4">
        <f>VLOOKUP(A73,[1]Sheet1!$O$2:$P$91,2,0)</f>
        <v>35100</v>
      </c>
      <c r="D73" s="13">
        <f t="shared" si="5"/>
        <v>35100</v>
      </c>
      <c r="E73" t="s">
        <v>732</v>
      </c>
      <c r="F73" s="14" t="str">
        <f t="shared" si="4"/>
        <v>insert into ins_premium_det (premium_rcv_code,assorted_code, rec_amount,premium_rcv_detail_code,remaining_amt, payrec, mode_code,coinsurance_code,class_cd,it_remarks) values</v>
      </c>
      <c r="G73" s="15" t="str">
        <f t="shared" si="6"/>
        <v>('26Mar250052','070000177101','35100',(select max(to_number(i.premium_rcv_detail_code))+1
from ins_premium_det i),'35100','35100','02', '11000003','00','Request by Mr. Saqib Saleem 26-Mar-2025');</v>
      </c>
      <c r="H73" s="16" t="str">
        <f t="shared" si="7"/>
        <v>insert into ins_premium_det (premium_rcv_code,assorted_code, rec_amount,premium_rcv_detail_code,remaining_amt, payrec, mode_code,coinsurance_code,class_cd,it_remarks) values('26Mar250052','070000177101','35100',(select max(to_number(i.premium_rcv_detail_code))+1
from ins_premium_det i),'35100','35100','02', '11000003','00','Request by Mr. Saqib Saleem 26-Mar-2025');</v>
      </c>
    </row>
    <row r="74" spans="1:8" ht="105" x14ac:dyDescent="0.25">
      <c r="A74" s="1" t="s">
        <v>609</v>
      </c>
      <c r="B74" s="12" t="str">
        <f>VLOOKUP(A74,policy!B:C,2,0)</f>
        <v>070000177102</v>
      </c>
      <c r="C74" s="4">
        <f>VLOOKUP(A74,[1]Sheet1!$O$2:$P$91,2,0)</f>
        <v>86684</v>
      </c>
      <c r="D74" s="13">
        <f t="shared" si="5"/>
        <v>86684</v>
      </c>
      <c r="E74" t="s">
        <v>732</v>
      </c>
      <c r="F74" s="14" t="str">
        <f t="shared" si="4"/>
        <v>insert into ins_premium_det (premium_rcv_code,assorted_code, rec_amount,premium_rcv_detail_code,remaining_amt, payrec, mode_code,coinsurance_code,class_cd,it_remarks) values</v>
      </c>
      <c r="G74" s="15" t="str">
        <f t="shared" si="6"/>
        <v>('26Mar250052','070000177102','86684',(select max(to_number(i.premium_rcv_detail_code))+1
from ins_premium_det i),'86684','86684','02', '11000003','00','Request by Mr. Saqib Saleem 26-Mar-2025');</v>
      </c>
      <c r="H74" s="16" t="str">
        <f t="shared" si="7"/>
        <v>insert into ins_premium_det (premium_rcv_code,assorted_code, rec_amount,premium_rcv_detail_code,remaining_amt, payrec, mode_code,coinsurance_code,class_cd,it_remarks) values('26Mar250052','070000177102','86684',(select max(to_number(i.premium_rcv_detail_code))+1
from ins_premium_det i),'86684','86684','02', '11000003','00','Request by Mr. Saqib Saleem 26-Mar-2025');</v>
      </c>
    </row>
    <row r="75" spans="1:8" ht="105" x14ac:dyDescent="0.25">
      <c r="A75" s="1" t="s">
        <v>610</v>
      </c>
      <c r="B75" s="12" t="str">
        <f>VLOOKUP(A75,policy!B:C,2,0)</f>
        <v>070000177089</v>
      </c>
      <c r="C75" s="4">
        <f>VLOOKUP(A75,[1]Sheet1!$O$2:$P$91,2,0)</f>
        <v>39623</v>
      </c>
      <c r="D75" s="13">
        <f t="shared" si="5"/>
        <v>39623</v>
      </c>
      <c r="E75" t="s">
        <v>732</v>
      </c>
      <c r="F75" s="14" t="str">
        <f t="shared" si="4"/>
        <v>insert into ins_premium_det (premium_rcv_code,assorted_code, rec_amount,premium_rcv_detail_code,remaining_amt, payrec, mode_code,coinsurance_code,class_cd,it_remarks) values</v>
      </c>
      <c r="G75" s="15" t="str">
        <f t="shared" si="6"/>
        <v>('26Mar250052','070000177089','39623',(select max(to_number(i.premium_rcv_detail_code))+1
from ins_premium_det i),'39623','39623','02', '11000003','00','Request by Mr. Saqib Saleem 26-Mar-2025');</v>
      </c>
      <c r="H75" s="16" t="str">
        <f t="shared" si="7"/>
        <v>insert into ins_premium_det (premium_rcv_code,assorted_code, rec_amount,premium_rcv_detail_code,remaining_amt, payrec, mode_code,coinsurance_code,class_cd,it_remarks) values('26Mar250052','070000177089','39623',(select max(to_number(i.premium_rcv_detail_code))+1
from ins_premium_det i),'39623','39623','02', '11000003','00','Request by Mr. Saqib Saleem 26-Mar-2025');</v>
      </c>
    </row>
    <row r="76" spans="1:8" ht="105" x14ac:dyDescent="0.25">
      <c r="A76" s="1" t="s">
        <v>611</v>
      </c>
      <c r="B76" s="12" t="str">
        <f>VLOOKUP(A76,policy!B:C,2,0)</f>
        <v>070000177092</v>
      </c>
      <c r="C76" s="4">
        <f>VLOOKUP(A76,[1]Sheet1!$O$2:$P$91,2,0)</f>
        <v>37787</v>
      </c>
      <c r="D76" s="13">
        <f t="shared" si="5"/>
        <v>37787</v>
      </c>
      <c r="E76" t="s">
        <v>732</v>
      </c>
      <c r="F76" s="14" t="str">
        <f t="shared" si="4"/>
        <v>insert into ins_premium_det (premium_rcv_code,assorted_code, rec_amount,premium_rcv_detail_code,remaining_amt, payrec, mode_code,coinsurance_code,class_cd,it_remarks) values</v>
      </c>
      <c r="G76" s="15" t="str">
        <f t="shared" si="6"/>
        <v>('26Mar250052','070000177092','37787',(select max(to_number(i.premium_rcv_detail_code))+1
from ins_premium_det i),'37787','37787','02', '11000003','00','Request by Mr. Saqib Saleem 26-Mar-2025');</v>
      </c>
      <c r="H76" s="16" t="str">
        <f t="shared" si="7"/>
        <v>insert into ins_premium_det (premium_rcv_code,assorted_code, rec_amount,premium_rcv_detail_code,remaining_amt, payrec, mode_code,coinsurance_code,class_cd,it_remarks) values('26Mar250052','070000177092','37787',(select max(to_number(i.premium_rcv_detail_code))+1
from ins_premium_det i),'37787','37787','02', '11000003','00','Request by Mr. Saqib Saleem 26-Mar-2025');</v>
      </c>
    </row>
    <row r="77" spans="1:8" ht="105" x14ac:dyDescent="0.25">
      <c r="A77" s="1" t="s">
        <v>612</v>
      </c>
      <c r="B77" s="12" t="str">
        <f>VLOOKUP(A77,policy!B:C,2,0)</f>
        <v>070000177091</v>
      </c>
      <c r="C77" s="4">
        <f>VLOOKUP(A77,[1]Sheet1!$O$2:$P$91,2,0)</f>
        <v>39623</v>
      </c>
      <c r="D77" s="13">
        <f t="shared" si="5"/>
        <v>39623</v>
      </c>
      <c r="E77" t="s">
        <v>732</v>
      </c>
      <c r="F77" s="14" t="str">
        <f t="shared" si="4"/>
        <v>insert into ins_premium_det (premium_rcv_code,assorted_code, rec_amount,premium_rcv_detail_code,remaining_amt, payrec, mode_code,coinsurance_code,class_cd,it_remarks) values</v>
      </c>
      <c r="G77" s="15" t="str">
        <f t="shared" si="6"/>
        <v>('26Mar250052','070000177091','39623',(select max(to_number(i.premium_rcv_detail_code))+1
from ins_premium_det i),'39623','39623','02', '11000003','00','Request by Mr. Saqib Saleem 26-Mar-2025');</v>
      </c>
      <c r="H77" s="16" t="str">
        <f t="shared" si="7"/>
        <v>insert into ins_premium_det (premium_rcv_code,assorted_code, rec_amount,premium_rcv_detail_code,remaining_amt, payrec, mode_code,coinsurance_code,class_cd,it_remarks) values('26Mar250052','070000177091','39623',(select max(to_number(i.premium_rcv_detail_code))+1
from ins_premium_det i),'39623','39623','02', '11000003','00','Request by Mr. Saqib Saleem 26-Mar-2025');</v>
      </c>
    </row>
    <row r="78" spans="1:8" ht="105" x14ac:dyDescent="0.25">
      <c r="A78" s="1" t="s">
        <v>613</v>
      </c>
      <c r="B78" s="12" t="str">
        <f>VLOOKUP(A78,policy!B:C,2,0)</f>
        <v>070000177117</v>
      </c>
      <c r="C78" s="4">
        <f>VLOOKUP(A78,[1]Sheet1!$O$2:$P$91,2,0)</f>
        <v>54772</v>
      </c>
      <c r="D78" s="13">
        <f t="shared" si="5"/>
        <v>54772</v>
      </c>
      <c r="E78" t="s">
        <v>732</v>
      </c>
      <c r="F78" s="14" t="str">
        <f t="shared" si="4"/>
        <v>insert into ins_premium_det (premium_rcv_code,assorted_code, rec_amount,premium_rcv_detail_code,remaining_amt, payrec, mode_code,coinsurance_code,class_cd,it_remarks) values</v>
      </c>
      <c r="G78" s="15" t="str">
        <f t="shared" si="6"/>
        <v>('26Mar250052','070000177117','54772',(select max(to_number(i.premium_rcv_detail_code))+1
from ins_premium_det i),'54772','54772','02', '11000003','00','Request by Mr. Saqib Saleem 26-Mar-2025');</v>
      </c>
      <c r="H78" s="16" t="str">
        <f t="shared" si="7"/>
        <v>insert into ins_premium_det (premium_rcv_code,assorted_code, rec_amount,premium_rcv_detail_code,remaining_amt, payrec, mode_code,coinsurance_code,class_cd,it_remarks) values('26Mar250052','070000177117','54772',(select max(to_number(i.premium_rcv_detail_code))+1
from ins_premium_det i),'54772','54772','02', '11000003','00','Request by Mr. Saqib Saleem 26-Mar-2025');</v>
      </c>
    </row>
    <row r="79" spans="1:8" ht="105" x14ac:dyDescent="0.25">
      <c r="A79" s="1" t="s">
        <v>614</v>
      </c>
      <c r="B79" s="12" t="str">
        <f>VLOOKUP(A79,policy!B:C,2,0)</f>
        <v>070000177115</v>
      </c>
      <c r="C79" s="4">
        <f>VLOOKUP(A79,[1]Sheet1!$O$2:$P$91,2,0)</f>
        <v>14598</v>
      </c>
      <c r="D79" s="13">
        <f t="shared" si="5"/>
        <v>14598</v>
      </c>
      <c r="E79" t="s">
        <v>732</v>
      </c>
      <c r="F79" s="14" t="str">
        <f t="shared" si="4"/>
        <v>insert into ins_premium_det (premium_rcv_code,assorted_code, rec_amount,premium_rcv_detail_code,remaining_amt, payrec, mode_code,coinsurance_code,class_cd,it_remarks) values</v>
      </c>
      <c r="G79" s="15" t="str">
        <f t="shared" si="6"/>
        <v>('26Mar250052','070000177115','14598',(select max(to_number(i.premium_rcv_detail_code))+1
from ins_premium_det i),'14598','14598','02', '11000003','00','Request by Mr. Saqib Saleem 26-Mar-2025');</v>
      </c>
      <c r="H79" s="16" t="str">
        <f t="shared" si="7"/>
        <v>insert into ins_premium_det (premium_rcv_code,assorted_code, rec_amount,premium_rcv_detail_code,remaining_amt, payrec, mode_code,coinsurance_code,class_cd,it_remarks) values('26Mar250052','070000177115','14598',(select max(to_number(i.premium_rcv_detail_code))+1
from ins_premium_det i),'14598','14598','02', '11000003','00','Request by Mr. Saqib Saleem 26-Mar-2025');</v>
      </c>
    </row>
    <row r="80" spans="1:8" ht="105" x14ac:dyDescent="0.25">
      <c r="A80" s="1" t="s">
        <v>615</v>
      </c>
      <c r="B80" s="12" t="str">
        <f>VLOOKUP(A80,policy!B:C,2,0)</f>
        <v>070000177120</v>
      </c>
      <c r="C80" s="4">
        <f>VLOOKUP(A80,[1]Sheet1!$O$2:$P$91,2,0)</f>
        <v>84066</v>
      </c>
      <c r="D80" s="13">
        <f t="shared" si="5"/>
        <v>84066</v>
      </c>
      <c r="E80" t="s">
        <v>732</v>
      </c>
      <c r="F80" s="14" t="str">
        <f t="shared" si="4"/>
        <v>insert into ins_premium_det (premium_rcv_code,assorted_code, rec_amount,premium_rcv_detail_code,remaining_amt, payrec, mode_code,coinsurance_code,class_cd,it_remarks) values</v>
      </c>
      <c r="G80" s="15" t="str">
        <f t="shared" si="6"/>
        <v>('26Mar250052','070000177120','84066',(select max(to_number(i.premium_rcv_detail_code))+1
from ins_premium_det i),'84066','84066','02', '11000003','00','Request by Mr. Saqib Saleem 26-Mar-2025');</v>
      </c>
      <c r="H80" s="16" t="str">
        <f t="shared" si="7"/>
        <v>insert into ins_premium_det (premium_rcv_code,assorted_code, rec_amount,premium_rcv_detail_code,remaining_amt, payrec, mode_code,coinsurance_code,class_cd,it_remarks) values('26Mar250052','070000177120','84066',(select max(to_number(i.premium_rcv_detail_code))+1
from ins_premium_det i),'84066','84066','02', '11000003','00','Request by Mr. Saqib Saleem 26-Mar-2025');</v>
      </c>
    </row>
    <row r="81" spans="1:8" ht="105" x14ac:dyDescent="0.25">
      <c r="A81" s="1" t="s">
        <v>616</v>
      </c>
      <c r="B81" s="12" t="str">
        <f>VLOOKUP(A81,policy!B:C,2,0)</f>
        <v>070000177103</v>
      </c>
      <c r="C81" s="4">
        <f>VLOOKUP(A81,[1]Sheet1!$O$2:$P$91,2,0)</f>
        <v>56025</v>
      </c>
      <c r="D81" s="13">
        <f t="shared" si="5"/>
        <v>56025</v>
      </c>
      <c r="E81" t="s">
        <v>732</v>
      </c>
      <c r="F81" s="14" t="str">
        <f t="shared" si="4"/>
        <v>insert into ins_premium_det (premium_rcv_code,assorted_code, rec_amount,premium_rcv_detail_code,remaining_amt, payrec, mode_code,coinsurance_code,class_cd,it_remarks) values</v>
      </c>
      <c r="G81" s="15" t="str">
        <f t="shared" si="6"/>
        <v>('26Mar250052','070000177103','56025',(select max(to_number(i.premium_rcv_detail_code))+1
from ins_premium_det i),'56025','56025','02', '11000003','00','Request by Mr. Saqib Saleem 26-Mar-2025');</v>
      </c>
      <c r="H81" s="16" t="str">
        <f t="shared" si="7"/>
        <v>insert into ins_premium_det (premium_rcv_code,assorted_code, rec_amount,premium_rcv_detail_code,remaining_amt, payrec, mode_code,coinsurance_code,class_cd,it_remarks) values('26Mar250052','070000177103','56025',(select max(to_number(i.premium_rcv_detail_code))+1
from ins_premium_det i),'56025','56025','02', '11000003','00','Request by Mr. Saqib Saleem 26-Mar-2025');</v>
      </c>
    </row>
    <row r="82" spans="1:8" ht="105" x14ac:dyDescent="0.25">
      <c r="A82" s="1" t="s">
        <v>617</v>
      </c>
      <c r="B82" s="12" t="str">
        <f>VLOOKUP(A82,policy!B:C,2,0)</f>
        <v>070000177299</v>
      </c>
      <c r="C82" s="4">
        <f>VLOOKUP(A82,[1]Sheet1!$O$2:$P$91,2,0)</f>
        <v>50836</v>
      </c>
      <c r="D82" s="13">
        <f t="shared" si="5"/>
        <v>50836</v>
      </c>
      <c r="E82" t="s">
        <v>732</v>
      </c>
      <c r="F82" s="14" t="str">
        <f t="shared" si="4"/>
        <v>insert into ins_premium_det (premium_rcv_code,assorted_code, rec_amount,premium_rcv_detail_code,remaining_amt, payrec, mode_code,coinsurance_code,class_cd,it_remarks) values</v>
      </c>
      <c r="G82" s="15" t="str">
        <f t="shared" si="6"/>
        <v>('26Mar250052','070000177299','50836',(select max(to_number(i.premium_rcv_detail_code))+1
from ins_premium_det i),'50836','50836','02', '11000003','00','Request by Mr. Saqib Saleem 26-Mar-2025');</v>
      </c>
      <c r="H82" s="16" t="str">
        <f t="shared" si="7"/>
        <v>insert into ins_premium_det (premium_rcv_code,assorted_code, rec_amount,premium_rcv_detail_code,remaining_amt, payrec, mode_code,coinsurance_code,class_cd,it_remarks) values('26Mar250052','070000177299','50836',(select max(to_number(i.premium_rcv_detail_code))+1
from ins_premium_det i),'50836','50836','02', '11000003','00','Request by Mr. Saqib Saleem 26-Mar-2025');</v>
      </c>
    </row>
    <row r="83" spans="1:8" ht="105" x14ac:dyDescent="0.25">
      <c r="A83" s="1" t="s">
        <v>618</v>
      </c>
      <c r="B83" s="12" t="str">
        <f>VLOOKUP(A83,policy!B:C,2,0)</f>
        <v>070000177296</v>
      </c>
      <c r="C83" s="4">
        <f>VLOOKUP(A83,[1]Sheet1!$O$2:$P$91,2,0)</f>
        <v>32072</v>
      </c>
      <c r="D83" s="13">
        <f t="shared" si="5"/>
        <v>32072</v>
      </c>
      <c r="E83" t="s">
        <v>732</v>
      </c>
      <c r="F83" s="14" t="str">
        <f t="shared" si="4"/>
        <v>insert into ins_premium_det (premium_rcv_code,assorted_code, rec_amount,premium_rcv_detail_code,remaining_amt, payrec, mode_code,coinsurance_code,class_cd,it_remarks) values</v>
      </c>
      <c r="G83" s="15" t="str">
        <f t="shared" si="6"/>
        <v>('26Mar250052','070000177296','32072',(select max(to_number(i.premium_rcv_detail_code))+1
from ins_premium_det i),'32072','32072','02', '11000003','00','Request by Mr. Saqib Saleem 26-Mar-2025');</v>
      </c>
      <c r="H83" s="16" t="str">
        <f t="shared" si="7"/>
        <v>insert into ins_premium_det (premium_rcv_code,assorted_code, rec_amount,premium_rcv_detail_code,remaining_amt, payrec, mode_code,coinsurance_code,class_cd,it_remarks) values('26Mar250052','070000177296','32072',(select max(to_number(i.premium_rcv_detail_code))+1
from ins_premium_det i),'32072','32072','02', '11000003','00','Request by Mr. Saqib Saleem 26-Mar-2025');</v>
      </c>
    </row>
    <row r="84" spans="1:8" ht="105" x14ac:dyDescent="0.25">
      <c r="A84" s="1" t="s">
        <v>619</v>
      </c>
      <c r="B84" s="12" t="str">
        <f>VLOOKUP(A84,policy!B:C,2,0)</f>
        <v>070000177281</v>
      </c>
      <c r="C84" s="4">
        <f>VLOOKUP(A84,[1]Sheet1!$O$2:$P$91,2,0)</f>
        <v>44712</v>
      </c>
      <c r="D84" s="13">
        <f t="shared" si="5"/>
        <v>44712</v>
      </c>
      <c r="E84" t="s">
        <v>732</v>
      </c>
      <c r="F84" s="14" t="str">
        <f t="shared" si="4"/>
        <v>insert into ins_premium_det (premium_rcv_code,assorted_code, rec_amount,premium_rcv_detail_code,remaining_amt, payrec, mode_code,coinsurance_code,class_cd,it_remarks) values</v>
      </c>
      <c r="G84" s="15" t="str">
        <f t="shared" si="6"/>
        <v>('26Mar250052','070000177281','44712',(select max(to_number(i.premium_rcv_detail_code))+1
from ins_premium_det i),'44712','44712','02', '11000003','00','Request by Mr. Saqib Saleem 26-Mar-2025');</v>
      </c>
      <c r="H84" s="16" t="str">
        <f t="shared" si="7"/>
        <v>insert into ins_premium_det (premium_rcv_code,assorted_code, rec_amount,premium_rcv_detail_code,remaining_amt, payrec, mode_code,coinsurance_code,class_cd,it_remarks) values('26Mar250052','070000177281','44712',(select max(to_number(i.premium_rcv_detail_code))+1
from ins_premium_det i),'44712','44712','02', '11000003','00','Request by Mr. Saqib Saleem 26-Mar-2025');</v>
      </c>
    </row>
    <row r="85" spans="1:8" ht="105" x14ac:dyDescent="0.25">
      <c r="A85" s="1" t="s">
        <v>620</v>
      </c>
      <c r="B85" s="12" t="str">
        <f>VLOOKUP(A85,policy!B:C,2,0)</f>
        <v>070000177301</v>
      </c>
      <c r="C85" s="4">
        <f>VLOOKUP(A85,[1]Sheet1!$O$2:$P$91,2,0)</f>
        <v>75622</v>
      </c>
      <c r="D85" s="13">
        <f t="shared" si="5"/>
        <v>75622</v>
      </c>
      <c r="E85" t="s">
        <v>732</v>
      </c>
      <c r="F85" s="14" t="str">
        <f t="shared" si="4"/>
        <v>insert into ins_premium_det (premium_rcv_code,assorted_code, rec_amount,premium_rcv_detail_code,remaining_amt, payrec, mode_code,coinsurance_code,class_cd,it_remarks) values</v>
      </c>
      <c r="G85" s="15" t="str">
        <f t="shared" si="6"/>
        <v>('26Mar250052','070000177301','75622',(select max(to_number(i.premium_rcv_detail_code))+1
from ins_premium_det i),'75622','75622','02', '11000003','00','Request by Mr. Saqib Saleem 26-Mar-2025');</v>
      </c>
      <c r="H85" s="16" t="str">
        <f t="shared" si="7"/>
        <v>insert into ins_premium_det (premium_rcv_code,assorted_code, rec_amount,premium_rcv_detail_code,remaining_amt, payrec, mode_code,coinsurance_code,class_cd,it_remarks) values('26Mar250052','070000177301','75622',(select max(to_number(i.premium_rcv_detail_code))+1
from ins_premium_det i),'75622','75622','02', '11000003','00','Request by Mr. Saqib Saleem 26-Mar-2025');</v>
      </c>
    </row>
    <row r="86" spans="1:8" ht="105" x14ac:dyDescent="0.25">
      <c r="A86" s="1" t="s">
        <v>621</v>
      </c>
      <c r="B86" s="12" t="str">
        <f>VLOOKUP(A86,policy!B:C,2,0)</f>
        <v>070000177283</v>
      </c>
      <c r="C86" s="4">
        <f>VLOOKUP(A86,[1]Sheet1!$O$2:$P$91,2,0)</f>
        <v>61412</v>
      </c>
      <c r="D86" s="13">
        <f t="shared" si="5"/>
        <v>61412</v>
      </c>
      <c r="E86" t="s">
        <v>732</v>
      </c>
      <c r="F86" s="14" t="str">
        <f t="shared" si="4"/>
        <v>insert into ins_premium_det (premium_rcv_code,assorted_code, rec_amount,premium_rcv_detail_code,remaining_amt, payrec, mode_code,coinsurance_code,class_cd,it_remarks) values</v>
      </c>
      <c r="G86" s="15" t="str">
        <f t="shared" si="6"/>
        <v>('26Mar250052','070000177283','61412',(select max(to_number(i.premium_rcv_detail_code))+1
from ins_premium_det i),'61412','61412','02', '11000003','00','Request by Mr. Saqib Saleem 26-Mar-2025');</v>
      </c>
      <c r="H86" s="16" t="str">
        <f t="shared" si="7"/>
        <v>insert into ins_premium_det (premium_rcv_code,assorted_code, rec_amount,premium_rcv_detail_code,remaining_amt, payrec, mode_code,coinsurance_code,class_cd,it_remarks) values('26Mar250052','070000177283','61412',(select max(to_number(i.premium_rcv_detail_code))+1
from ins_premium_det i),'61412','61412','02', '11000003','00','Request by Mr. Saqib Saleem 26-Mar-2025');</v>
      </c>
    </row>
    <row r="87" spans="1:8" ht="105" x14ac:dyDescent="0.25">
      <c r="A87" s="1" t="s">
        <v>622</v>
      </c>
      <c r="B87" s="12" t="str">
        <f>VLOOKUP(A87,policy!B:C,2,0)</f>
        <v>070000177284</v>
      </c>
      <c r="C87" s="4">
        <f>VLOOKUP(A87,[1]Sheet1!$O$2:$P$91,2,0)</f>
        <v>98159</v>
      </c>
      <c r="D87" s="13">
        <f t="shared" si="5"/>
        <v>98159</v>
      </c>
      <c r="E87" t="s">
        <v>732</v>
      </c>
      <c r="F87" s="14" t="str">
        <f t="shared" si="4"/>
        <v>insert into ins_premium_det (premium_rcv_code,assorted_code, rec_amount,premium_rcv_detail_code,remaining_amt, payrec, mode_code,coinsurance_code,class_cd,it_remarks) values</v>
      </c>
      <c r="G87" s="15" t="str">
        <f t="shared" si="6"/>
        <v>('26Mar250052','070000177284','98159',(select max(to_number(i.premium_rcv_detail_code))+1
from ins_premium_det i),'98159','98159','02', '11000003','00','Request by Mr. Saqib Saleem 26-Mar-2025');</v>
      </c>
      <c r="H87" s="16" t="str">
        <f t="shared" si="7"/>
        <v>insert into ins_premium_det (premium_rcv_code,assorted_code, rec_amount,premium_rcv_detail_code,remaining_amt, payrec, mode_code,coinsurance_code,class_cd,it_remarks) values('26Mar250052','070000177284','98159',(select max(to_number(i.premium_rcv_detail_code))+1
from ins_premium_det i),'98159','98159','02', '11000003','00','Request by Mr. Saqib Saleem 26-Mar-2025');</v>
      </c>
    </row>
    <row r="88" spans="1:8" ht="105" x14ac:dyDescent="0.25">
      <c r="A88" s="1" t="s">
        <v>623</v>
      </c>
      <c r="B88" s="12" t="str">
        <f>VLOOKUP(A88,policy!B:C,2,0)</f>
        <v>070000177285</v>
      </c>
      <c r="C88" s="4">
        <f>VLOOKUP(A88,[1]Sheet1!$O$2:$P$91,2,0)</f>
        <v>18872</v>
      </c>
      <c r="D88" s="13">
        <f t="shared" si="5"/>
        <v>18872</v>
      </c>
      <c r="E88" t="s">
        <v>732</v>
      </c>
      <c r="F88" s="14" t="str">
        <f t="shared" si="4"/>
        <v>insert into ins_premium_det (premium_rcv_code,assorted_code, rec_amount,premium_rcv_detail_code,remaining_amt, payrec, mode_code,coinsurance_code,class_cd,it_remarks) values</v>
      </c>
      <c r="G88" s="15" t="str">
        <f t="shared" si="6"/>
        <v>('26Mar250052','070000177285','18872',(select max(to_number(i.premium_rcv_detail_code))+1
from ins_premium_det i),'18872','18872','02', '11000003','00','Request by Mr. Saqib Saleem 26-Mar-2025');</v>
      </c>
      <c r="H88" s="16" t="str">
        <f t="shared" si="7"/>
        <v>insert into ins_premium_det (premium_rcv_code,assorted_code, rec_amount,premium_rcv_detail_code,remaining_amt, payrec, mode_code,coinsurance_code,class_cd,it_remarks) values('26Mar250052','070000177285','18872',(select max(to_number(i.premium_rcv_detail_code))+1
from ins_premium_det i),'18872','18872','02', '11000003','00','Request by Mr. Saqib Saleem 26-Mar-2025');</v>
      </c>
    </row>
    <row r="89" spans="1:8" ht="105" x14ac:dyDescent="0.25">
      <c r="A89" s="1" t="s">
        <v>624</v>
      </c>
      <c r="B89" s="12" t="str">
        <f>VLOOKUP(A89,policy!B:C,2,0)</f>
        <v>070000177288</v>
      </c>
      <c r="C89" s="4">
        <f>VLOOKUP(A89,[1]Sheet1!$O$2:$P$91,2,0)</f>
        <v>26513</v>
      </c>
      <c r="D89" s="13">
        <f t="shared" si="5"/>
        <v>26513</v>
      </c>
      <c r="E89" t="s">
        <v>732</v>
      </c>
      <c r="F89" s="14" t="str">
        <f t="shared" si="4"/>
        <v>insert into ins_premium_det (premium_rcv_code,assorted_code, rec_amount,premium_rcv_detail_code,remaining_amt, payrec, mode_code,coinsurance_code,class_cd,it_remarks) values</v>
      </c>
      <c r="G89" s="15" t="str">
        <f t="shared" si="6"/>
        <v>('26Mar250052','070000177288','26513',(select max(to_number(i.premium_rcv_detail_code))+1
from ins_premium_det i),'26513','26513','02', '11000003','00','Request by Mr. Saqib Saleem 26-Mar-2025');</v>
      </c>
      <c r="H89" s="16" t="str">
        <f t="shared" si="7"/>
        <v>insert into ins_premium_det (premium_rcv_code,assorted_code, rec_amount,premium_rcv_detail_code,remaining_amt, payrec, mode_code,coinsurance_code,class_cd,it_remarks) values('26Mar250052','070000177288','26513',(select max(to_number(i.premium_rcv_detail_code))+1
from ins_premium_det i),'26513','26513','02', '11000003','00','Request by Mr. Saqib Saleem 26-Mar-2025');</v>
      </c>
    </row>
    <row r="90" spans="1:8" ht="105" x14ac:dyDescent="0.25">
      <c r="A90" s="1" t="s">
        <v>625</v>
      </c>
      <c r="B90" s="12" t="str">
        <f>VLOOKUP(A90,policy!B:C,2,0)</f>
        <v>070000177300</v>
      </c>
      <c r="C90" s="4">
        <f>VLOOKUP(A90,[1]Sheet1!$O$2:$P$91,2,0)</f>
        <v>44654</v>
      </c>
      <c r="D90" s="13">
        <f t="shared" si="5"/>
        <v>44654</v>
      </c>
      <c r="E90" t="s">
        <v>732</v>
      </c>
      <c r="F90" s="14" t="str">
        <f t="shared" si="4"/>
        <v>insert into ins_premium_det (premium_rcv_code,assorted_code, rec_amount,premium_rcv_detail_code,remaining_amt, payrec, mode_code,coinsurance_code,class_cd,it_remarks) values</v>
      </c>
      <c r="G90" s="15" t="str">
        <f t="shared" si="6"/>
        <v>('26Mar250052','070000177300','44654',(select max(to_number(i.premium_rcv_detail_code))+1
from ins_premium_det i),'44654','44654','02', '11000003','00','Request by Mr. Saqib Saleem 26-Mar-2025');</v>
      </c>
      <c r="H90" s="16" t="str">
        <f t="shared" si="7"/>
        <v>insert into ins_premium_det (premium_rcv_code,assorted_code, rec_amount,premium_rcv_detail_code,remaining_amt, payrec, mode_code,coinsurance_code,class_cd,it_remarks) values('26Mar250052','070000177300','44654',(select max(to_number(i.premium_rcv_detail_code))+1
from ins_premium_det i),'44654','44654','02', '11000003','00','Request by Mr. Saqib Saleem 26-Mar-2025');</v>
      </c>
    </row>
    <row r="91" spans="1:8" ht="105" x14ac:dyDescent="0.25">
      <c r="A91" s="1" t="s">
        <v>626</v>
      </c>
      <c r="B91" s="12" t="str">
        <f>VLOOKUP(A91,policy!B:C,2,0)</f>
        <v>070000177298</v>
      </c>
      <c r="C91" s="4">
        <f>VLOOKUP(A91,[1]Sheet1!$O$2:$P$91,2,0)</f>
        <v>19475</v>
      </c>
      <c r="D91" s="13">
        <f t="shared" si="5"/>
        <v>19475</v>
      </c>
      <c r="E91" t="s">
        <v>732</v>
      </c>
      <c r="F91" s="14" t="str">
        <f t="shared" si="4"/>
        <v>insert into ins_premium_det (premium_rcv_code,assorted_code, rec_amount,premium_rcv_detail_code,remaining_amt, payrec, mode_code,coinsurance_code,class_cd,it_remarks) values</v>
      </c>
      <c r="G91" s="15" t="str">
        <f t="shared" si="6"/>
        <v>('26Mar250052','070000177298','19475',(select max(to_number(i.premium_rcv_detail_code))+1
from ins_premium_det i),'19475','19475','02', '11000003','00','Request by Mr. Saqib Saleem 26-Mar-2025');</v>
      </c>
      <c r="H91" s="16" t="str">
        <f t="shared" si="7"/>
        <v>insert into ins_premium_det (premium_rcv_code,assorted_code, rec_amount,premium_rcv_detail_code,remaining_amt, payrec, mode_code,coinsurance_code,class_cd,it_remarks) values('26Mar250052','070000177298','19475',(select max(to_number(i.premium_rcv_detail_code))+1
from ins_premium_det i),'19475','19475','02', '11000003','00','Request by Mr. Saqib Saleem 26-Mar-2025');</v>
      </c>
    </row>
    <row r="93" spans="1:8" x14ac:dyDescent="0.25">
      <c r="C93" s="17">
        <f>SUM(C2:C91)</f>
        <v>3541514</v>
      </c>
    </row>
  </sheetData>
  <conditionalFormatting sqref="A1">
    <cfRule type="duplicateValues" dxfId="3" priority="1"/>
  </conditionalFormatting>
  <conditionalFormatting sqref="A2:B2 B3:B9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2F3C-8127-4718-9B0E-817829F34AE8}">
  <dimension ref="A1:J90"/>
  <sheetViews>
    <sheetView workbookViewId="0">
      <selection activeCell="E7" sqref="E7"/>
    </sheetView>
  </sheetViews>
  <sheetFormatPr defaultRowHeight="15" x14ac:dyDescent="0.25"/>
  <cols>
    <col min="1" max="1" width="42.28515625" bestFit="1" customWidth="1"/>
  </cols>
  <sheetData>
    <row r="1" spans="1:10" x14ac:dyDescent="0.25">
      <c r="A1" s="1" t="s">
        <v>537</v>
      </c>
      <c r="B1" t="s">
        <v>627</v>
      </c>
      <c r="H1">
        <v>107535</v>
      </c>
      <c r="I1" t="s">
        <v>628</v>
      </c>
      <c r="J1" t="str">
        <f>"ia.assorted_string like '%"&amp;H1&amp;"-"&amp;I1&amp;B1&amp;"%' or"</f>
        <v>ia.assorted_string like '%107535-00007-02-2025%' or</v>
      </c>
    </row>
    <row r="2" spans="1:10" x14ac:dyDescent="0.25">
      <c r="A2" s="1" t="s">
        <v>538</v>
      </c>
      <c r="B2" t="s">
        <v>627</v>
      </c>
      <c r="H2">
        <v>107437</v>
      </c>
      <c r="I2" t="s">
        <v>629</v>
      </c>
      <c r="J2" t="str">
        <f t="shared" ref="J2:J65" si="0">"ia.assorted_string like '%"&amp;H2&amp;"-"&amp;I2&amp;B2&amp;"%' or"</f>
        <v>ia.assorted_string like '%107437-00001-02-2025%' or</v>
      </c>
    </row>
    <row r="3" spans="1:10" x14ac:dyDescent="0.25">
      <c r="A3" s="1" t="s">
        <v>539</v>
      </c>
      <c r="B3" t="s">
        <v>627</v>
      </c>
      <c r="H3">
        <v>107437</v>
      </c>
      <c r="I3" t="s">
        <v>630</v>
      </c>
      <c r="J3" t="str">
        <f t="shared" si="0"/>
        <v>ia.assorted_string like '%107437-00002-02-2025%' or</v>
      </c>
    </row>
    <row r="4" spans="1:10" x14ac:dyDescent="0.25">
      <c r="A4" s="1" t="s">
        <v>540</v>
      </c>
      <c r="B4" t="s">
        <v>627</v>
      </c>
      <c r="H4">
        <v>107535</v>
      </c>
      <c r="I4" t="s">
        <v>631</v>
      </c>
      <c r="J4" t="str">
        <f t="shared" si="0"/>
        <v>ia.assorted_string like '%107535-00006-02-2025%' or</v>
      </c>
    </row>
    <row r="5" spans="1:10" x14ac:dyDescent="0.25">
      <c r="A5" s="1" t="s">
        <v>541</v>
      </c>
      <c r="B5" t="s">
        <v>627</v>
      </c>
      <c r="H5">
        <v>107437</v>
      </c>
      <c r="I5" t="s">
        <v>632</v>
      </c>
      <c r="J5" t="str">
        <f t="shared" si="0"/>
        <v>ia.assorted_string like '%107437-00003-02-2025%' or</v>
      </c>
    </row>
    <row r="6" spans="1:10" x14ac:dyDescent="0.25">
      <c r="A6" s="1" t="s">
        <v>542</v>
      </c>
      <c r="B6" t="s">
        <v>627</v>
      </c>
      <c r="H6">
        <v>107535</v>
      </c>
      <c r="I6" t="s">
        <v>633</v>
      </c>
      <c r="J6" t="str">
        <f t="shared" si="0"/>
        <v>ia.assorted_string like '%107535-00004-02-2025%' or</v>
      </c>
    </row>
    <row r="7" spans="1:10" x14ac:dyDescent="0.25">
      <c r="A7" s="1" t="s">
        <v>543</v>
      </c>
      <c r="B7" t="s">
        <v>627</v>
      </c>
      <c r="H7">
        <v>107437</v>
      </c>
      <c r="I7" t="s">
        <v>633</v>
      </c>
      <c r="J7" t="str">
        <f t="shared" si="0"/>
        <v>ia.assorted_string like '%107437-00004-02-2025%' or</v>
      </c>
    </row>
    <row r="8" spans="1:10" x14ac:dyDescent="0.25">
      <c r="A8" s="1" t="s">
        <v>544</v>
      </c>
      <c r="B8" t="s">
        <v>627</v>
      </c>
      <c r="H8">
        <v>107533</v>
      </c>
      <c r="I8" t="s">
        <v>632</v>
      </c>
      <c r="J8" t="str">
        <f t="shared" si="0"/>
        <v>ia.assorted_string like '%107533-00003-02-2025%' or</v>
      </c>
    </row>
    <row r="9" spans="1:10" x14ac:dyDescent="0.25">
      <c r="A9" s="1" t="s">
        <v>545</v>
      </c>
      <c r="B9" t="s">
        <v>627</v>
      </c>
      <c r="H9">
        <v>107533</v>
      </c>
      <c r="I9" t="s">
        <v>629</v>
      </c>
      <c r="J9" t="str">
        <f t="shared" si="0"/>
        <v>ia.assorted_string like '%107533-00001-02-2025%' or</v>
      </c>
    </row>
    <row r="10" spans="1:10" x14ac:dyDescent="0.25">
      <c r="A10" s="1" t="s">
        <v>546</v>
      </c>
      <c r="B10" t="s">
        <v>627</v>
      </c>
      <c r="H10">
        <v>107127</v>
      </c>
      <c r="I10" t="s">
        <v>630</v>
      </c>
      <c r="J10" t="str">
        <f t="shared" si="0"/>
        <v>ia.assorted_string like '%107127-00002-02-2025%' or</v>
      </c>
    </row>
    <row r="11" spans="1:10" x14ac:dyDescent="0.25">
      <c r="A11" s="1" t="s">
        <v>547</v>
      </c>
      <c r="B11" t="s">
        <v>627</v>
      </c>
      <c r="H11">
        <v>107127</v>
      </c>
      <c r="I11" t="s">
        <v>629</v>
      </c>
      <c r="J11" t="str">
        <f t="shared" si="0"/>
        <v>ia.assorted_string like '%107127-00001-02-2025%' or</v>
      </c>
    </row>
    <row r="12" spans="1:10" x14ac:dyDescent="0.25">
      <c r="A12" s="1" t="s">
        <v>548</v>
      </c>
      <c r="B12" t="s">
        <v>627</v>
      </c>
      <c r="H12">
        <v>107533</v>
      </c>
      <c r="I12" t="s">
        <v>630</v>
      </c>
      <c r="J12" t="str">
        <f t="shared" si="0"/>
        <v>ia.assorted_string like '%107533-00002-02-2025%' or</v>
      </c>
    </row>
    <row r="13" spans="1:10" x14ac:dyDescent="0.25">
      <c r="A13" s="1" t="s">
        <v>549</v>
      </c>
      <c r="B13" t="s">
        <v>627</v>
      </c>
      <c r="H13">
        <v>107535</v>
      </c>
      <c r="I13" t="s">
        <v>634</v>
      </c>
      <c r="J13" t="str">
        <f t="shared" si="0"/>
        <v>ia.assorted_string like '%107535-00008-02-2025%' or</v>
      </c>
    </row>
    <row r="14" spans="1:10" x14ac:dyDescent="0.25">
      <c r="A14" s="1" t="s">
        <v>550</v>
      </c>
      <c r="B14" t="s">
        <v>627</v>
      </c>
      <c r="H14">
        <v>107127</v>
      </c>
      <c r="I14" t="s">
        <v>633</v>
      </c>
      <c r="J14" t="str">
        <f t="shared" si="0"/>
        <v>ia.assorted_string like '%107127-00004-02-2025%' or</v>
      </c>
    </row>
    <row r="15" spans="1:10" x14ac:dyDescent="0.25">
      <c r="A15" s="1" t="s">
        <v>551</v>
      </c>
      <c r="B15" t="s">
        <v>627</v>
      </c>
      <c r="H15">
        <v>107127</v>
      </c>
      <c r="I15" t="s">
        <v>632</v>
      </c>
      <c r="J15" t="str">
        <f t="shared" si="0"/>
        <v>ia.assorted_string like '%107127-00003-02-2025%' or</v>
      </c>
    </row>
    <row r="16" spans="1:10" x14ac:dyDescent="0.25">
      <c r="A16" s="1" t="s">
        <v>552</v>
      </c>
      <c r="B16" t="s">
        <v>627</v>
      </c>
      <c r="H16">
        <v>107127</v>
      </c>
      <c r="I16" t="s">
        <v>631</v>
      </c>
      <c r="J16" t="str">
        <f t="shared" si="0"/>
        <v>ia.assorted_string like '%107127-00006-02-2025%' or</v>
      </c>
    </row>
    <row r="17" spans="1:10" x14ac:dyDescent="0.25">
      <c r="A17" s="1" t="s">
        <v>553</v>
      </c>
      <c r="B17" t="s">
        <v>627</v>
      </c>
      <c r="H17">
        <v>107127</v>
      </c>
      <c r="I17" t="s">
        <v>635</v>
      </c>
      <c r="J17" t="str">
        <f t="shared" si="0"/>
        <v>ia.assorted_string like '%107127-00005-02-2025%' or</v>
      </c>
    </row>
    <row r="18" spans="1:10" x14ac:dyDescent="0.25">
      <c r="A18" s="1" t="s">
        <v>554</v>
      </c>
      <c r="B18" t="s">
        <v>627</v>
      </c>
      <c r="H18">
        <v>107127</v>
      </c>
      <c r="I18" t="s">
        <v>634</v>
      </c>
      <c r="J18" t="str">
        <f t="shared" si="0"/>
        <v>ia.assorted_string like '%107127-00008-02-2025%' or</v>
      </c>
    </row>
    <row r="19" spans="1:10" x14ac:dyDescent="0.25">
      <c r="A19" s="1" t="s">
        <v>555</v>
      </c>
      <c r="B19" t="s">
        <v>627</v>
      </c>
      <c r="H19">
        <v>107127</v>
      </c>
      <c r="I19" t="s">
        <v>628</v>
      </c>
      <c r="J19" t="str">
        <f t="shared" si="0"/>
        <v>ia.assorted_string like '%107127-00007-02-2025%' or</v>
      </c>
    </row>
    <row r="20" spans="1:10" x14ac:dyDescent="0.25">
      <c r="A20" s="1" t="s">
        <v>556</v>
      </c>
      <c r="B20" t="s">
        <v>627</v>
      </c>
      <c r="H20">
        <v>107535</v>
      </c>
      <c r="I20" t="s">
        <v>629</v>
      </c>
      <c r="J20" t="str">
        <f t="shared" si="0"/>
        <v>ia.assorted_string like '%107535-00001-02-2025%' or</v>
      </c>
    </row>
    <row r="21" spans="1:10" x14ac:dyDescent="0.25">
      <c r="A21" s="1" t="s">
        <v>557</v>
      </c>
      <c r="B21" t="s">
        <v>627</v>
      </c>
      <c r="H21">
        <v>107535</v>
      </c>
      <c r="I21" t="s">
        <v>630</v>
      </c>
      <c r="J21" t="str">
        <f t="shared" si="0"/>
        <v>ia.assorted_string like '%107535-00002-02-2025%' or</v>
      </c>
    </row>
    <row r="22" spans="1:10" x14ac:dyDescent="0.25">
      <c r="A22" s="1" t="s">
        <v>558</v>
      </c>
      <c r="B22" t="s">
        <v>627</v>
      </c>
      <c r="H22">
        <v>107535</v>
      </c>
      <c r="I22" t="s">
        <v>632</v>
      </c>
      <c r="J22" t="str">
        <f t="shared" si="0"/>
        <v>ia.assorted_string like '%107535-00003-02-2025%' or</v>
      </c>
    </row>
    <row r="23" spans="1:10" x14ac:dyDescent="0.25">
      <c r="A23" s="1" t="s">
        <v>559</v>
      </c>
      <c r="B23" t="s">
        <v>627</v>
      </c>
      <c r="H23">
        <v>107561</v>
      </c>
      <c r="I23" t="s">
        <v>629</v>
      </c>
      <c r="J23" t="str">
        <f t="shared" si="0"/>
        <v>ia.assorted_string like '%107561-00001-02-2025%' or</v>
      </c>
    </row>
    <row r="24" spans="1:10" x14ac:dyDescent="0.25">
      <c r="A24" s="1" t="s">
        <v>560</v>
      </c>
      <c r="B24" t="s">
        <v>627</v>
      </c>
      <c r="H24">
        <v>107559</v>
      </c>
      <c r="I24" t="s">
        <v>629</v>
      </c>
      <c r="J24" t="str">
        <f t="shared" si="0"/>
        <v>ia.assorted_string like '%107559-00001-02-2025%' or</v>
      </c>
    </row>
    <row r="25" spans="1:10" x14ac:dyDescent="0.25">
      <c r="A25" s="1" t="s">
        <v>561</v>
      </c>
      <c r="B25" t="s">
        <v>627</v>
      </c>
      <c r="H25">
        <v>107461</v>
      </c>
      <c r="I25" t="s">
        <v>629</v>
      </c>
      <c r="J25" t="str">
        <f t="shared" si="0"/>
        <v>ia.assorted_string like '%107461-00001-02-2025%' or</v>
      </c>
    </row>
    <row r="26" spans="1:10" x14ac:dyDescent="0.25">
      <c r="A26" s="1" t="s">
        <v>562</v>
      </c>
      <c r="B26" t="s">
        <v>627</v>
      </c>
      <c r="H26">
        <v>107459</v>
      </c>
      <c r="I26" t="s">
        <v>629</v>
      </c>
      <c r="J26" t="str">
        <f t="shared" si="0"/>
        <v>ia.assorted_string like '%107459-00001-02-2025%' or</v>
      </c>
    </row>
    <row r="27" spans="1:10" x14ac:dyDescent="0.25">
      <c r="A27" s="1" t="s">
        <v>563</v>
      </c>
      <c r="B27" t="s">
        <v>627</v>
      </c>
      <c r="H27">
        <v>107464</v>
      </c>
      <c r="I27" t="s">
        <v>629</v>
      </c>
      <c r="J27" t="str">
        <f t="shared" si="0"/>
        <v>ia.assorted_string like '%107464-00001-02-2025%' or</v>
      </c>
    </row>
    <row r="28" spans="1:10" x14ac:dyDescent="0.25">
      <c r="A28" s="1" t="s">
        <v>564</v>
      </c>
      <c r="B28" t="s">
        <v>627</v>
      </c>
      <c r="H28">
        <v>107464</v>
      </c>
      <c r="I28" t="s">
        <v>630</v>
      </c>
      <c r="J28" t="str">
        <f t="shared" si="0"/>
        <v>ia.assorted_string like '%107464-00002-02-2025%' or</v>
      </c>
    </row>
    <row r="29" spans="1:10" x14ac:dyDescent="0.25">
      <c r="A29" s="1" t="s">
        <v>565</v>
      </c>
      <c r="B29" t="s">
        <v>627</v>
      </c>
      <c r="H29">
        <v>107550</v>
      </c>
      <c r="I29" t="s">
        <v>629</v>
      </c>
      <c r="J29" t="str">
        <f t="shared" si="0"/>
        <v>ia.assorted_string like '%107550-00001-02-2025%' or</v>
      </c>
    </row>
    <row r="30" spans="1:10" x14ac:dyDescent="0.25">
      <c r="A30" s="1" t="s">
        <v>566</v>
      </c>
      <c r="B30" t="s">
        <v>627</v>
      </c>
      <c r="H30">
        <v>107550</v>
      </c>
      <c r="I30" t="s">
        <v>632</v>
      </c>
      <c r="J30" t="str">
        <f t="shared" si="0"/>
        <v>ia.assorted_string like '%107550-00003-02-2025%' or</v>
      </c>
    </row>
    <row r="31" spans="1:10" x14ac:dyDescent="0.25">
      <c r="A31" s="1" t="s">
        <v>567</v>
      </c>
      <c r="B31" t="s">
        <v>627</v>
      </c>
      <c r="H31">
        <v>107550</v>
      </c>
      <c r="I31" t="s">
        <v>635</v>
      </c>
      <c r="J31" t="str">
        <f t="shared" si="0"/>
        <v>ia.assorted_string like '%107550-00005-02-2025%' or</v>
      </c>
    </row>
    <row r="32" spans="1:10" x14ac:dyDescent="0.25">
      <c r="A32" s="1" t="s">
        <v>568</v>
      </c>
      <c r="B32" t="s">
        <v>627</v>
      </c>
      <c r="H32">
        <v>107541</v>
      </c>
      <c r="I32" t="s">
        <v>630</v>
      </c>
      <c r="J32" t="str">
        <f t="shared" si="0"/>
        <v>ia.assorted_string like '%107541-00002-02-2025%' or</v>
      </c>
    </row>
    <row r="33" spans="1:10" x14ac:dyDescent="0.25">
      <c r="A33" s="1" t="s">
        <v>569</v>
      </c>
      <c r="B33" t="s">
        <v>627</v>
      </c>
      <c r="H33">
        <v>107541</v>
      </c>
      <c r="I33" t="s">
        <v>632</v>
      </c>
      <c r="J33" t="str">
        <f t="shared" si="0"/>
        <v>ia.assorted_string like '%107541-00003-02-2025%' or</v>
      </c>
    </row>
    <row r="34" spans="1:10" x14ac:dyDescent="0.25">
      <c r="A34" s="1" t="s">
        <v>570</v>
      </c>
      <c r="B34" t="s">
        <v>627</v>
      </c>
      <c r="H34">
        <v>107541</v>
      </c>
      <c r="I34" t="s">
        <v>629</v>
      </c>
      <c r="J34" t="str">
        <f t="shared" si="0"/>
        <v>ia.assorted_string like '%107541-00001-02-2025%' or</v>
      </c>
    </row>
    <row r="35" spans="1:10" x14ac:dyDescent="0.25">
      <c r="A35" s="1" t="s">
        <v>571</v>
      </c>
      <c r="B35" t="s">
        <v>627</v>
      </c>
      <c r="H35">
        <v>107554</v>
      </c>
      <c r="I35" t="s">
        <v>629</v>
      </c>
      <c r="J35" t="str">
        <f t="shared" si="0"/>
        <v>ia.assorted_string like '%107554-00001-02-2025%' or</v>
      </c>
    </row>
    <row r="36" spans="1:10" x14ac:dyDescent="0.25">
      <c r="A36" s="1" t="s">
        <v>572</v>
      </c>
      <c r="B36" t="s">
        <v>627</v>
      </c>
      <c r="H36">
        <v>107554</v>
      </c>
      <c r="I36" t="s">
        <v>630</v>
      </c>
      <c r="J36" t="str">
        <f t="shared" si="0"/>
        <v>ia.assorted_string like '%107554-00002-02-2025%' or</v>
      </c>
    </row>
    <row r="37" spans="1:10" x14ac:dyDescent="0.25">
      <c r="A37" s="1" t="s">
        <v>573</v>
      </c>
      <c r="B37" t="s">
        <v>627</v>
      </c>
      <c r="H37">
        <v>107554</v>
      </c>
      <c r="I37" t="s">
        <v>632</v>
      </c>
      <c r="J37" t="str">
        <f t="shared" si="0"/>
        <v>ia.assorted_string like '%107554-00003-02-2025%' or</v>
      </c>
    </row>
    <row r="38" spans="1:10" x14ac:dyDescent="0.25">
      <c r="A38" s="1" t="s">
        <v>574</v>
      </c>
      <c r="B38" t="s">
        <v>627</v>
      </c>
      <c r="H38">
        <v>107554</v>
      </c>
      <c r="I38" t="s">
        <v>633</v>
      </c>
      <c r="J38" t="str">
        <f t="shared" si="0"/>
        <v>ia.assorted_string like '%107554-00004-02-2025%' or</v>
      </c>
    </row>
    <row r="39" spans="1:10" x14ac:dyDescent="0.25">
      <c r="A39" s="1" t="s">
        <v>575</v>
      </c>
      <c r="B39" t="s">
        <v>627</v>
      </c>
      <c r="H39">
        <v>107470</v>
      </c>
      <c r="I39" t="s">
        <v>629</v>
      </c>
      <c r="J39" t="str">
        <f t="shared" si="0"/>
        <v>ia.assorted_string like '%107470-00001-02-2025%' or</v>
      </c>
    </row>
    <row r="40" spans="1:10" x14ac:dyDescent="0.25">
      <c r="A40" s="1" t="s">
        <v>576</v>
      </c>
      <c r="B40" t="s">
        <v>627</v>
      </c>
      <c r="H40">
        <v>107470</v>
      </c>
      <c r="I40" t="s">
        <v>630</v>
      </c>
      <c r="J40" t="str">
        <f t="shared" si="0"/>
        <v>ia.assorted_string like '%107470-00002-02-2025%' or</v>
      </c>
    </row>
    <row r="41" spans="1:10" x14ac:dyDescent="0.25">
      <c r="A41" s="1" t="s">
        <v>577</v>
      </c>
      <c r="B41" t="s">
        <v>627</v>
      </c>
      <c r="H41">
        <v>107473</v>
      </c>
      <c r="I41" t="s">
        <v>629</v>
      </c>
      <c r="J41" t="str">
        <f t="shared" si="0"/>
        <v>ia.assorted_string like '%107473-00001-02-2025%' or</v>
      </c>
    </row>
    <row r="42" spans="1:10" x14ac:dyDescent="0.25">
      <c r="A42" s="1" t="s">
        <v>578</v>
      </c>
      <c r="B42" t="s">
        <v>627</v>
      </c>
      <c r="H42">
        <v>107472</v>
      </c>
      <c r="I42" t="s">
        <v>629</v>
      </c>
      <c r="J42" t="str">
        <f t="shared" si="0"/>
        <v>ia.assorted_string like '%107472-00001-02-2025%' or</v>
      </c>
    </row>
    <row r="43" spans="1:10" x14ac:dyDescent="0.25">
      <c r="A43" s="1" t="s">
        <v>579</v>
      </c>
      <c r="B43" t="s">
        <v>627</v>
      </c>
      <c r="H43">
        <v>107468</v>
      </c>
      <c r="I43" t="s">
        <v>634</v>
      </c>
      <c r="J43" t="str">
        <f t="shared" si="0"/>
        <v>ia.assorted_string like '%107468-00008-02-2025%' or</v>
      </c>
    </row>
    <row r="44" spans="1:10" x14ac:dyDescent="0.25">
      <c r="A44" s="1" t="s">
        <v>580</v>
      </c>
      <c r="B44" t="s">
        <v>627</v>
      </c>
      <c r="H44">
        <v>107468</v>
      </c>
      <c r="I44" t="s">
        <v>633</v>
      </c>
      <c r="J44" t="str">
        <f t="shared" si="0"/>
        <v>ia.assorted_string like '%107468-00004-02-2025%' or</v>
      </c>
    </row>
    <row r="45" spans="1:10" x14ac:dyDescent="0.25">
      <c r="A45" s="1" t="s">
        <v>581</v>
      </c>
      <c r="B45" t="s">
        <v>627</v>
      </c>
      <c r="H45">
        <v>107468</v>
      </c>
      <c r="I45" t="s">
        <v>635</v>
      </c>
      <c r="J45" t="str">
        <f t="shared" si="0"/>
        <v>ia.assorted_string like '%107468-00005-02-2025%' or</v>
      </c>
    </row>
    <row r="46" spans="1:10" x14ac:dyDescent="0.25">
      <c r="A46" s="1" t="s">
        <v>582</v>
      </c>
      <c r="B46" t="s">
        <v>627</v>
      </c>
      <c r="H46">
        <v>107468</v>
      </c>
      <c r="I46" t="s">
        <v>632</v>
      </c>
      <c r="J46" t="str">
        <f t="shared" si="0"/>
        <v>ia.assorted_string like '%107468-00003-02-2025%' or</v>
      </c>
    </row>
    <row r="47" spans="1:10" x14ac:dyDescent="0.25">
      <c r="A47" s="1" t="s">
        <v>583</v>
      </c>
      <c r="B47" t="s">
        <v>627</v>
      </c>
      <c r="H47">
        <v>107468</v>
      </c>
      <c r="I47" t="s">
        <v>628</v>
      </c>
      <c r="J47" t="str">
        <f t="shared" si="0"/>
        <v>ia.assorted_string like '%107468-00007-02-2025%' or</v>
      </c>
    </row>
    <row r="48" spans="1:10" x14ac:dyDescent="0.25">
      <c r="A48" s="1" t="s">
        <v>584</v>
      </c>
      <c r="B48" t="s">
        <v>627</v>
      </c>
      <c r="H48">
        <v>107468</v>
      </c>
      <c r="I48" t="s">
        <v>630</v>
      </c>
      <c r="J48" t="str">
        <f t="shared" si="0"/>
        <v>ia.assorted_string like '%107468-00002-02-2025%' or</v>
      </c>
    </row>
    <row r="49" spans="1:10" x14ac:dyDescent="0.25">
      <c r="A49" s="1" t="s">
        <v>585</v>
      </c>
      <c r="B49" t="s">
        <v>627</v>
      </c>
      <c r="H49">
        <v>107468</v>
      </c>
      <c r="I49" t="s">
        <v>629</v>
      </c>
      <c r="J49" t="str">
        <f t="shared" si="0"/>
        <v>ia.assorted_string like '%107468-00001-02-2025%' or</v>
      </c>
    </row>
    <row r="50" spans="1:10" x14ac:dyDescent="0.25">
      <c r="A50" s="1" t="s">
        <v>586</v>
      </c>
      <c r="B50" t="s">
        <v>627</v>
      </c>
      <c r="H50">
        <v>107468</v>
      </c>
      <c r="I50" t="s">
        <v>631</v>
      </c>
      <c r="J50" t="str">
        <f t="shared" si="0"/>
        <v>ia.assorted_string like '%107468-00006-02-2025%' or</v>
      </c>
    </row>
    <row r="51" spans="1:10" x14ac:dyDescent="0.25">
      <c r="A51" s="1" t="s">
        <v>587</v>
      </c>
      <c r="B51" t="s">
        <v>627</v>
      </c>
      <c r="H51">
        <v>107556</v>
      </c>
      <c r="I51" t="s">
        <v>630</v>
      </c>
      <c r="J51" t="str">
        <f t="shared" si="0"/>
        <v>ia.assorted_string like '%107556-00002-02-2025%' or</v>
      </c>
    </row>
    <row r="52" spans="1:10" x14ac:dyDescent="0.25">
      <c r="A52" s="1" t="s">
        <v>588</v>
      </c>
      <c r="B52" t="s">
        <v>627</v>
      </c>
      <c r="H52">
        <v>107556</v>
      </c>
      <c r="I52" t="s">
        <v>629</v>
      </c>
      <c r="J52" t="str">
        <f t="shared" si="0"/>
        <v>ia.assorted_string like '%107556-00001-02-2025%' or</v>
      </c>
    </row>
    <row r="53" spans="1:10" x14ac:dyDescent="0.25">
      <c r="A53" s="1" t="s">
        <v>589</v>
      </c>
      <c r="B53" t="s">
        <v>627</v>
      </c>
      <c r="H53">
        <v>107557</v>
      </c>
      <c r="I53" t="s">
        <v>630</v>
      </c>
      <c r="J53" t="str">
        <f t="shared" si="0"/>
        <v>ia.assorted_string like '%107557-00002-02-2025%' or</v>
      </c>
    </row>
    <row r="54" spans="1:10" x14ac:dyDescent="0.25">
      <c r="A54" s="1" t="s">
        <v>590</v>
      </c>
      <c r="B54" t="s">
        <v>627</v>
      </c>
      <c r="H54">
        <v>107557</v>
      </c>
      <c r="I54" t="s">
        <v>629</v>
      </c>
      <c r="J54" t="str">
        <f t="shared" si="0"/>
        <v>ia.assorted_string like '%107557-00001-02-2025%' or</v>
      </c>
    </row>
    <row r="55" spans="1:10" x14ac:dyDescent="0.25">
      <c r="A55" s="1" t="s">
        <v>591</v>
      </c>
      <c r="B55" t="s">
        <v>627</v>
      </c>
      <c r="H55">
        <v>107555</v>
      </c>
      <c r="I55" t="s">
        <v>632</v>
      </c>
      <c r="J55" t="str">
        <f t="shared" si="0"/>
        <v>ia.assorted_string like '%107555-00003-02-2025%' or</v>
      </c>
    </row>
    <row r="56" spans="1:10" x14ac:dyDescent="0.25">
      <c r="A56" s="1" t="s">
        <v>592</v>
      </c>
      <c r="B56" t="s">
        <v>627</v>
      </c>
      <c r="H56">
        <v>107555</v>
      </c>
      <c r="I56" t="s">
        <v>629</v>
      </c>
      <c r="J56" t="str">
        <f t="shared" si="0"/>
        <v>ia.assorted_string like '%107555-00001-02-2025%' or</v>
      </c>
    </row>
    <row r="57" spans="1:10" x14ac:dyDescent="0.25">
      <c r="A57" s="1" t="s">
        <v>593</v>
      </c>
      <c r="B57" t="s">
        <v>627</v>
      </c>
      <c r="H57">
        <v>107555</v>
      </c>
      <c r="I57" t="s">
        <v>630</v>
      </c>
      <c r="J57" t="str">
        <f t="shared" si="0"/>
        <v>ia.assorted_string like '%107555-00002-02-2025%' or</v>
      </c>
    </row>
    <row r="58" spans="1:10" x14ac:dyDescent="0.25">
      <c r="A58" s="1" t="s">
        <v>594</v>
      </c>
      <c r="B58" t="s">
        <v>627</v>
      </c>
      <c r="H58">
        <v>107558</v>
      </c>
      <c r="I58" t="s">
        <v>629</v>
      </c>
      <c r="J58" t="str">
        <f t="shared" si="0"/>
        <v>ia.assorted_string like '%107558-00001-02-2025%' or</v>
      </c>
    </row>
    <row r="59" spans="1:10" x14ac:dyDescent="0.25">
      <c r="A59" s="1" t="s">
        <v>595</v>
      </c>
      <c r="B59" t="s">
        <v>627</v>
      </c>
      <c r="H59">
        <v>107558</v>
      </c>
      <c r="I59" t="s">
        <v>632</v>
      </c>
      <c r="J59" t="str">
        <f t="shared" si="0"/>
        <v>ia.assorted_string like '%107558-00003-02-2025%' or</v>
      </c>
    </row>
    <row r="60" spans="1:10" x14ac:dyDescent="0.25">
      <c r="A60" s="1" t="s">
        <v>596</v>
      </c>
      <c r="B60" t="s">
        <v>627</v>
      </c>
      <c r="H60">
        <v>107558</v>
      </c>
      <c r="I60" t="s">
        <v>630</v>
      </c>
      <c r="J60" t="str">
        <f t="shared" si="0"/>
        <v>ia.assorted_string like '%107558-00002-02-2025%' or</v>
      </c>
    </row>
    <row r="61" spans="1:10" x14ac:dyDescent="0.25">
      <c r="A61" s="1" t="s">
        <v>597</v>
      </c>
      <c r="B61" t="s">
        <v>627</v>
      </c>
      <c r="H61">
        <v>107570</v>
      </c>
      <c r="I61" t="s">
        <v>630</v>
      </c>
      <c r="J61" t="str">
        <f t="shared" si="0"/>
        <v>ia.assorted_string like '%107570-00002-02-2025%' or</v>
      </c>
    </row>
    <row r="62" spans="1:10" x14ac:dyDescent="0.25">
      <c r="A62" s="1" t="s">
        <v>598</v>
      </c>
      <c r="B62" t="s">
        <v>627</v>
      </c>
      <c r="H62">
        <v>107570</v>
      </c>
      <c r="I62" t="s">
        <v>629</v>
      </c>
      <c r="J62" t="str">
        <f t="shared" si="0"/>
        <v>ia.assorted_string like '%107570-00001-02-2025%' or</v>
      </c>
    </row>
    <row r="63" spans="1:10" x14ac:dyDescent="0.25">
      <c r="A63" s="1" t="s">
        <v>599</v>
      </c>
      <c r="B63" t="s">
        <v>627</v>
      </c>
      <c r="H63">
        <v>107568</v>
      </c>
      <c r="I63" t="s">
        <v>629</v>
      </c>
      <c r="J63" t="str">
        <f t="shared" si="0"/>
        <v>ia.assorted_string like '%107568-00001-02-2025%' or</v>
      </c>
    </row>
    <row r="64" spans="1:10" x14ac:dyDescent="0.25">
      <c r="A64" s="1" t="s">
        <v>600</v>
      </c>
      <c r="B64" t="s">
        <v>627</v>
      </c>
      <c r="H64">
        <v>107550</v>
      </c>
      <c r="I64" t="s">
        <v>630</v>
      </c>
      <c r="J64" t="str">
        <f t="shared" si="0"/>
        <v>ia.assorted_string like '%107550-00002-02-2025%' or</v>
      </c>
    </row>
    <row r="65" spans="1:10" x14ac:dyDescent="0.25">
      <c r="A65" s="1" t="s">
        <v>601</v>
      </c>
      <c r="B65" t="s">
        <v>627</v>
      </c>
      <c r="H65">
        <v>107550</v>
      </c>
      <c r="I65" t="s">
        <v>633</v>
      </c>
      <c r="J65" t="str">
        <f t="shared" si="0"/>
        <v>ia.assorted_string like '%107550-00004-02-2025%' or</v>
      </c>
    </row>
    <row r="66" spans="1:10" x14ac:dyDescent="0.25">
      <c r="A66" s="1" t="s">
        <v>602</v>
      </c>
      <c r="B66" t="s">
        <v>627</v>
      </c>
      <c r="H66">
        <v>107563</v>
      </c>
      <c r="I66" t="s">
        <v>629</v>
      </c>
      <c r="J66" t="str">
        <f t="shared" ref="J66:J90" si="1">"ia.assorted_string like '%"&amp;H66&amp;"-"&amp;I66&amp;B66&amp;"%' or"</f>
        <v>ia.assorted_string like '%107563-00001-02-2025%' or</v>
      </c>
    </row>
    <row r="67" spans="1:10" x14ac:dyDescent="0.25">
      <c r="A67" s="1" t="s">
        <v>603</v>
      </c>
      <c r="B67" t="s">
        <v>627</v>
      </c>
      <c r="H67">
        <v>107565</v>
      </c>
      <c r="I67" t="s">
        <v>629</v>
      </c>
      <c r="J67" t="str">
        <f t="shared" si="1"/>
        <v>ia.assorted_string like '%107565-00001-02-2025%' or</v>
      </c>
    </row>
    <row r="68" spans="1:10" x14ac:dyDescent="0.25">
      <c r="A68" s="1" t="s">
        <v>604</v>
      </c>
      <c r="B68" t="s">
        <v>627</v>
      </c>
      <c r="H68">
        <v>107458</v>
      </c>
      <c r="I68" t="s">
        <v>635</v>
      </c>
      <c r="J68" t="str">
        <f t="shared" si="1"/>
        <v>ia.assorted_string like '%107458-00005-02-2025%' or</v>
      </c>
    </row>
    <row r="69" spans="1:10" x14ac:dyDescent="0.25">
      <c r="A69" s="1" t="s">
        <v>605</v>
      </c>
      <c r="B69" t="s">
        <v>627</v>
      </c>
      <c r="H69">
        <v>107458</v>
      </c>
      <c r="I69" t="s">
        <v>630</v>
      </c>
      <c r="J69" t="str">
        <f t="shared" si="1"/>
        <v>ia.assorted_string like '%107458-00002-02-2025%' or</v>
      </c>
    </row>
    <row r="70" spans="1:10" x14ac:dyDescent="0.25">
      <c r="A70" s="1" t="s">
        <v>606</v>
      </c>
      <c r="B70" t="s">
        <v>627</v>
      </c>
      <c r="H70">
        <v>107459</v>
      </c>
      <c r="I70" t="s">
        <v>630</v>
      </c>
      <c r="J70" t="str">
        <f t="shared" si="1"/>
        <v>ia.assorted_string like '%107459-00002-02-2025%' or</v>
      </c>
    </row>
    <row r="71" spans="1:10" x14ac:dyDescent="0.25">
      <c r="A71" s="1" t="s">
        <v>607</v>
      </c>
      <c r="B71" t="s">
        <v>627</v>
      </c>
      <c r="H71">
        <v>107459</v>
      </c>
      <c r="I71" t="s">
        <v>632</v>
      </c>
      <c r="J71" t="str">
        <f t="shared" si="1"/>
        <v>ia.assorted_string like '%107459-00003-02-2025%' or</v>
      </c>
    </row>
    <row r="72" spans="1:10" x14ac:dyDescent="0.25">
      <c r="A72" s="1" t="s">
        <v>608</v>
      </c>
      <c r="B72" t="s">
        <v>627</v>
      </c>
      <c r="H72">
        <v>107462</v>
      </c>
      <c r="I72" t="s">
        <v>629</v>
      </c>
      <c r="J72" t="str">
        <f t="shared" si="1"/>
        <v>ia.assorted_string like '%107462-00001-02-2025%' or</v>
      </c>
    </row>
    <row r="73" spans="1:10" x14ac:dyDescent="0.25">
      <c r="A73" s="1" t="s">
        <v>609</v>
      </c>
      <c r="B73" t="s">
        <v>627</v>
      </c>
      <c r="H73">
        <v>107462</v>
      </c>
      <c r="I73" t="s">
        <v>630</v>
      </c>
      <c r="J73" t="str">
        <f t="shared" si="1"/>
        <v>ia.assorted_string like '%107462-00002-02-2025%' or</v>
      </c>
    </row>
    <row r="74" spans="1:10" x14ac:dyDescent="0.25">
      <c r="A74" s="1" t="s">
        <v>610</v>
      </c>
      <c r="B74" t="s">
        <v>627</v>
      </c>
      <c r="H74">
        <v>107458</v>
      </c>
      <c r="I74" t="s">
        <v>629</v>
      </c>
      <c r="J74" t="str">
        <f t="shared" si="1"/>
        <v>ia.assorted_string like '%107458-00001-02-2025%' or</v>
      </c>
    </row>
    <row r="75" spans="1:10" x14ac:dyDescent="0.25">
      <c r="A75" s="1" t="s">
        <v>611</v>
      </c>
      <c r="B75" t="s">
        <v>627</v>
      </c>
      <c r="H75">
        <v>107458</v>
      </c>
      <c r="I75" t="s">
        <v>633</v>
      </c>
      <c r="J75" t="str">
        <f t="shared" si="1"/>
        <v>ia.assorted_string like '%107458-00004-02-2025%' or</v>
      </c>
    </row>
    <row r="76" spans="1:10" x14ac:dyDescent="0.25">
      <c r="A76" s="1" t="s">
        <v>612</v>
      </c>
      <c r="B76" t="s">
        <v>627</v>
      </c>
      <c r="H76">
        <v>107458</v>
      </c>
      <c r="I76" t="s">
        <v>632</v>
      </c>
      <c r="J76" t="str">
        <f t="shared" si="1"/>
        <v>ia.assorted_string like '%107458-00003-02-2025%' or</v>
      </c>
    </row>
    <row r="77" spans="1:10" x14ac:dyDescent="0.25">
      <c r="A77" s="1" t="s">
        <v>613</v>
      </c>
      <c r="B77" t="s">
        <v>627</v>
      </c>
      <c r="H77">
        <v>107466</v>
      </c>
      <c r="I77" t="s">
        <v>629</v>
      </c>
      <c r="J77" t="str">
        <f t="shared" si="1"/>
        <v>ia.assorted_string like '%107466-00001-02-2025%' or</v>
      </c>
    </row>
    <row r="78" spans="1:10" x14ac:dyDescent="0.25">
      <c r="A78" s="1" t="s">
        <v>614</v>
      </c>
      <c r="B78" t="s">
        <v>627</v>
      </c>
      <c r="H78">
        <v>107465</v>
      </c>
      <c r="I78" t="s">
        <v>629</v>
      </c>
      <c r="J78" t="str">
        <f t="shared" si="1"/>
        <v>ia.assorted_string like '%107465-00001-02-2025%' or</v>
      </c>
    </row>
    <row r="79" spans="1:10" x14ac:dyDescent="0.25">
      <c r="A79" s="1" t="s">
        <v>615</v>
      </c>
      <c r="B79" t="s">
        <v>627</v>
      </c>
      <c r="H79">
        <v>107466</v>
      </c>
      <c r="I79" t="s">
        <v>630</v>
      </c>
      <c r="J79" t="str">
        <f t="shared" si="1"/>
        <v>ia.assorted_string like '%107466-00002-02-2025%' or</v>
      </c>
    </row>
    <row r="80" spans="1:10" x14ac:dyDescent="0.25">
      <c r="A80" s="1" t="s">
        <v>616</v>
      </c>
      <c r="B80" t="s">
        <v>627</v>
      </c>
      <c r="H80">
        <v>107462</v>
      </c>
      <c r="I80" t="s">
        <v>632</v>
      </c>
      <c r="J80" t="str">
        <f t="shared" si="1"/>
        <v>ia.assorted_string like '%107462-00003-02-2025%' or</v>
      </c>
    </row>
    <row r="81" spans="1:10" x14ac:dyDescent="0.25">
      <c r="A81" s="1" t="s">
        <v>617</v>
      </c>
      <c r="B81" t="s">
        <v>627</v>
      </c>
      <c r="H81">
        <v>107574</v>
      </c>
      <c r="I81" t="s">
        <v>632</v>
      </c>
      <c r="J81" t="str">
        <f t="shared" si="1"/>
        <v>ia.assorted_string like '%107574-00003-02-2025%' or</v>
      </c>
    </row>
    <row r="82" spans="1:10" x14ac:dyDescent="0.25">
      <c r="A82" s="1" t="s">
        <v>618</v>
      </c>
      <c r="B82" t="s">
        <v>627</v>
      </c>
      <c r="H82">
        <v>107574</v>
      </c>
      <c r="I82" t="s">
        <v>629</v>
      </c>
      <c r="J82" t="str">
        <f t="shared" si="1"/>
        <v>ia.assorted_string like '%107574-00001-02-2025%' or</v>
      </c>
    </row>
    <row r="83" spans="1:10" x14ac:dyDescent="0.25">
      <c r="A83" s="1" t="s">
        <v>619</v>
      </c>
      <c r="B83" t="s">
        <v>627</v>
      </c>
      <c r="H83">
        <v>107572</v>
      </c>
      <c r="I83" t="s">
        <v>629</v>
      </c>
      <c r="J83" t="str">
        <f t="shared" si="1"/>
        <v>ia.assorted_string like '%107572-00001-02-2025%' or</v>
      </c>
    </row>
    <row r="84" spans="1:10" x14ac:dyDescent="0.25">
      <c r="A84" s="1" t="s">
        <v>620</v>
      </c>
      <c r="B84" t="s">
        <v>627</v>
      </c>
      <c r="H84">
        <v>107574</v>
      </c>
      <c r="I84" t="s">
        <v>635</v>
      </c>
      <c r="J84" t="str">
        <f t="shared" si="1"/>
        <v>ia.assorted_string like '%107574-00005-02-2025%' or</v>
      </c>
    </row>
    <row r="85" spans="1:10" x14ac:dyDescent="0.25">
      <c r="A85" s="1" t="s">
        <v>621</v>
      </c>
      <c r="B85" t="s">
        <v>627</v>
      </c>
      <c r="H85">
        <v>107572</v>
      </c>
      <c r="I85" t="s">
        <v>630</v>
      </c>
      <c r="J85" t="str">
        <f t="shared" si="1"/>
        <v>ia.assorted_string like '%107572-00002-02-2025%' or</v>
      </c>
    </row>
    <row r="86" spans="1:10" x14ac:dyDescent="0.25">
      <c r="A86" s="1" t="s">
        <v>622</v>
      </c>
      <c r="B86" t="s">
        <v>627</v>
      </c>
      <c r="H86">
        <v>107572</v>
      </c>
      <c r="I86" t="s">
        <v>632</v>
      </c>
      <c r="J86" t="str">
        <f t="shared" si="1"/>
        <v>ia.assorted_string like '%107572-00003-02-2025%' or</v>
      </c>
    </row>
    <row r="87" spans="1:10" x14ac:dyDescent="0.25">
      <c r="A87" s="1" t="s">
        <v>623</v>
      </c>
      <c r="B87" t="s">
        <v>627</v>
      </c>
      <c r="H87">
        <v>107573</v>
      </c>
      <c r="I87" t="s">
        <v>629</v>
      </c>
      <c r="J87" t="str">
        <f t="shared" si="1"/>
        <v>ia.assorted_string like '%107573-00001-02-2025%' or</v>
      </c>
    </row>
    <row r="88" spans="1:10" x14ac:dyDescent="0.25">
      <c r="A88" s="1" t="s">
        <v>624</v>
      </c>
      <c r="B88" t="s">
        <v>627</v>
      </c>
      <c r="H88">
        <v>107573</v>
      </c>
      <c r="I88" t="s">
        <v>630</v>
      </c>
      <c r="J88" t="str">
        <f t="shared" si="1"/>
        <v>ia.assorted_string like '%107573-00002-02-2025%' or</v>
      </c>
    </row>
    <row r="89" spans="1:10" x14ac:dyDescent="0.25">
      <c r="A89" s="1" t="s">
        <v>625</v>
      </c>
      <c r="B89" t="s">
        <v>627</v>
      </c>
      <c r="H89">
        <v>107574</v>
      </c>
      <c r="I89" t="s">
        <v>633</v>
      </c>
      <c r="J89" t="str">
        <f t="shared" si="1"/>
        <v>ia.assorted_string like '%107574-00004-02-2025%' or</v>
      </c>
    </row>
    <row r="90" spans="1:10" x14ac:dyDescent="0.25">
      <c r="A90" s="1" t="s">
        <v>626</v>
      </c>
      <c r="B90" t="s">
        <v>627</v>
      </c>
      <c r="H90">
        <v>107574</v>
      </c>
      <c r="I90" t="s">
        <v>630</v>
      </c>
      <c r="J90" t="str">
        <f t="shared" si="1"/>
        <v>ia.assorted_string like '%107574-00002-02-2025%'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F8B3-BC86-4FD6-85C5-5AE4C44C8B9E}">
  <dimension ref="A1:C91"/>
  <sheetViews>
    <sheetView workbookViewId="0">
      <selection activeCell="G7" sqref="G7"/>
    </sheetView>
  </sheetViews>
  <sheetFormatPr defaultColWidth="7.85546875" defaultRowHeight="15" x14ac:dyDescent="0.25"/>
  <cols>
    <col min="1" max="1" width="3" bestFit="1" customWidth="1"/>
    <col min="2" max="2" width="42.28515625" bestFit="1" customWidth="1"/>
    <col min="3" max="3" width="15" bestFit="1" customWidth="1"/>
  </cols>
  <sheetData>
    <row r="1" spans="1:3" s="9" customFormat="1" ht="12" x14ac:dyDescent="0.2">
      <c r="A1" s="9" t="s">
        <v>636</v>
      </c>
      <c r="B1" s="9" t="s">
        <v>637</v>
      </c>
      <c r="C1" s="9" t="s">
        <v>638</v>
      </c>
    </row>
    <row r="2" spans="1:3" x14ac:dyDescent="0.25">
      <c r="A2">
        <v>1</v>
      </c>
      <c r="B2" t="s">
        <v>547</v>
      </c>
      <c r="C2" t="s">
        <v>639</v>
      </c>
    </row>
    <row r="3" spans="1:3" x14ac:dyDescent="0.25">
      <c r="A3">
        <v>2</v>
      </c>
      <c r="B3" t="s">
        <v>546</v>
      </c>
      <c r="C3" t="s">
        <v>640</v>
      </c>
    </row>
    <row r="4" spans="1:3" x14ac:dyDescent="0.25">
      <c r="A4">
        <v>3</v>
      </c>
      <c r="B4" t="s">
        <v>551</v>
      </c>
      <c r="C4" t="s">
        <v>641</v>
      </c>
    </row>
    <row r="5" spans="1:3" x14ac:dyDescent="0.25">
      <c r="A5">
        <v>4</v>
      </c>
      <c r="B5" t="s">
        <v>550</v>
      </c>
      <c r="C5" t="s">
        <v>642</v>
      </c>
    </row>
    <row r="6" spans="1:3" x14ac:dyDescent="0.25">
      <c r="A6">
        <v>5</v>
      </c>
      <c r="B6" t="s">
        <v>553</v>
      </c>
      <c r="C6" t="s">
        <v>643</v>
      </c>
    </row>
    <row r="7" spans="1:3" x14ac:dyDescent="0.25">
      <c r="A7">
        <v>6</v>
      </c>
      <c r="B7" t="s">
        <v>552</v>
      </c>
      <c r="C7" t="s">
        <v>644</v>
      </c>
    </row>
    <row r="8" spans="1:3" x14ac:dyDescent="0.25">
      <c r="A8">
        <v>7</v>
      </c>
      <c r="B8" t="s">
        <v>554</v>
      </c>
      <c r="C8" t="s">
        <v>645</v>
      </c>
    </row>
    <row r="9" spans="1:3" x14ac:dyDescent="0.25">
      <c r="A9">
        <v>8</v>
      </c>
      <c r="B9" t="s">
        <v>538</v>
      </c>
      <c r="C9" t="s">
        <v>646</v>
      </c>
    </row>
    <row r="10" spans="1:3" x14ac:dyDescent="0.25">
      <c r="A10">
        <v>9</v>
      </c>
      <c r="B10" t="s">
        <v>539</v>
      </c>
      <c r="C10" t="s">
        <v>647</v>
      </c>
    </row>
    <row r="11" spans="1:3" x14ac:dyDescent="0.25">
      <c r="A11">
        <v>10</v>
      </c>
      <c r="B11" t="s">
        <v>541</v>
      </c>
      <c r="C11" t="s">
        <v>648</v>
      </c>
    </row>
    <row r="12" spans="1:3" x14ac:dyDescent="0.25">
      <c r="A12">
        <v>11</v>
      </c>
      <c r="B12" t="s">
        <v>543</v>
      </c>
      <c r="C12" t="s">
        <v>649</v>
      </c>
    </row>
    <row r="13" spans="1:3" x14ac:dyDescent="0.25">
      <c r="A13">
        <v>12</v>
      </c>
      <c r="B13" t="s">
        <v>555</v>
      </c>
      <c r="C13" t="s">
        <v>650</v>
      </c>
    </row>
    <row r="14" spans="1:3" x14ac:dyDescent="0.25">
      <c r="A14">
        <v>13</v>
      </c>
      <c r="B14" t="s">
        <v>559</v>
      </c>
      <c r="C14" t="s">
        <v>651</v>
      </c>
    </row>
    <row r="15" spans="1:3" x14ac:dyDescent="0.25">
      <c r="A15">
        <v>14</v>
      </c>
      <c r="B15" t="s">
        <v>599</v>
      </c>
      <c r="C15" t="s">
        <v>652</v>
      </c>
    </row>
    <row r="16" spans="1:3" x14ac:dyDescent="0.25">
      <c r="A16">
        <v>15</v>
      </c>
      <c r="B16" t="s">
        <v>560</v>
      </c>
      <c r="C16" t="s">
        <v>653</v>
      </c>
    </row>
    <row r="17" spans="1:3" x14ac:dyDescent="0.25">
      <c r="A17">
        <v>16</v>
      </c>
      <c r="B17" t="s">
        <v>602</v>
      </c>
      <c r="C17" t="s">
        <v>654</v>
      </c>
    </row>
    <row r="18" spans="1:3" x14ac:dyDescent="0.25">
      <c r="A18">
        <v>17</v>
      </c>
      <c r="B18" t="s">
        <v>537</v>
      </c>
      <c r="C18" t="s">
        <v>655</v>
      </c>
    </row>
    <row r="19" spans="1:3" x14ac:dyDescent="0.25">
      <c r="A19">
        <v>18</v>
      </c>
      <c r="B19" t="s">
        <v>569</v>
      </c>
      <c r="C19" t="s">
        <v>656</v>
      </c>
    </row>
    <row r="20" spans="1:3" x14ac:dyDescent="0.25">
      <c r="A20">
        <v>19</v>
      </c>
      <c r="B20" t="s">
        <v>613</v>
      </c>
      <c r="C20" t="s">
        <v>657</v>
      </c>
    </row>
    <row r="21" spans="1:3" x14ac:dyDescent="0.25">
      <c r="A21">
        <v>20</v>
      </c>
      <c r="B21" t="s">
        <v>615</v>
      </c>
      <c r="C21" t="s">
        <v>658</v>
      </c>
    </row>
    <row r="22" spans="1:3" x14ac:dyDescent="0.25">
      <c r="A22">
        <v>21</v>
      </c>
      <c r="B22" t="s">
        <v>585</v>
      </c>
      <c r="C22" t="s">
        <v>659</v>
      </c>
    </row>
    <row r="23" spans="1:3" x14ac:dyDescent="0.25">
      <c r="A23">
        <v>22</v>
      </c>
      <c r="B23" t="s">
        <v>584</v>
      </c>
      <c r="C23" t="s">
        <v>660</v>
      </c>
    </row>
    <row r="24" spans="1:3" x14ac:dyDescent="0.25">
      <c r="A24">
        <v>23</v>
      </c>
      <c r="B24" t="s">
        <v>582</v>
      </c>
      <c r="C24" t="s">
        <v>661</v>
      </c>
    </row>
    <row r="25" spans="1:3" x14ac:dyDescent="0.25">
      <c r="A25">
        <v>24</v>
      </c>
      <c r="B25" t="s">
        <v>580</v>
      </c>
      <c r="C25" t="s">
        <v>662</v>
      </c>
    </row>
    <row r="26" spans="1:3" x14ac:dyDescent="0.25">
      <c r="A26">
        <v>25</v>
      </c>
      <c r="B26" t="s">
        <v>581</v>
      </c>
      <c r="C26" t="s">
        <v>663</v>
      </c>
    </row>
    <row r="27" spans="1:3" x14ac:dyDescent="0.25">
      <c r="A27">
        <v>26</v>
      </c>
      <c r="B27" t="s">
        <v>586</v>
      </c>
      <c r="C27" t="s">
        <v>664</v>
      </c>
    </row>
    <row r="28" spans="1:3" x14ac:dyDescent="0.25">
      <c r="A28">
        <v>27</v>
      </c>
      <c r="B28" t="s">
        <v>583</v>
      </c>
      <c r="C28" t="s">
        <v>665</v>
      </c>
    </row>
    <row r="29" spans="1:3" x14ac:dyDescent="0.25">
      <c r="A29">
        <v>28</v>
      </c>
      <c r="B29" t="s">
        <v>579</v>
      </c>
      <c r="C29" t="s">
        <v>666</v>
      </c>
    </row>
    <row r="30" spans="1:3" x14ac:dyDescent="0.25">
      <c r="A30">
        <v>29</v>
      </c>
      <c r="B30" t="s">
        <v>556</v>
      </c>
      <c r="C30" t="s">
        <v>667</v>
      </c>
    </row>
    <row r="31" spans="1:3" x14ac:dyDescent="0.25">
      <c r="A31">
        <v>30</v>
      </c>
      <c r="B31" t="s">
        <v>557</v>
      </c>
      <c r="C31" t="s">
        <v>668</v>
      </c>
    </row>
    <row r="32" spans="1:3" x14ac:dyDescent="0.25">
      <c r="A32">
        <v>31</v>
      </c>
      <c r="B32" t="s">
        <v>558</v>
      </c>
      <c r="C32" t="s">
        <v>669</v>
      </c>
    </row>
    <row r="33" spans="1:3" x14ac:dyDescent="0.25">
      <c r="A33">
        <v>32</v>
      </c>
      <c r="B33" t="s">
        <v>542</v>
      </c>
      <c r="C33" t="s">
        <v>670</v>
      </c>
    </row>
    <row r="34" spans="1:3" x14ac:dyDescent="0.25">
      <c r="A34">
        <v>33</v>
      </c>
      <c r="B34" t="s">
        <v>540</v>
      </c>
      <c r="C34" t="s">
        <v>671</v>
      </c>
    </row>
    <row r="35" spans="1:3" x14ac:dyDescent="0.25">
      <c r="A35">
        <v>34</v>
      </c>
      <c r="B35" t="s">
        <v>549</v>
      </c>
      <c r="C35" t="s">
        <v>672</v>
      </c>
    </row>
    <row r="36" spans="1:3" x14ac:dyDescent="0.25">
      <c r="A36">
        <v>35</v>
      </c>
      <c r="B36" t="s">
        <v>570</v>
      </c>
      <c r="C36" t="s">
        <v>673</v>
      </c>
    </row>
    <row r="37" spans="1:3" x14ac:dyDescent="0.25">
      <c r="A37">
        <v>36</v>
      </c>
      <c r="B37" t="s">
        <v>568</v>
      </c>
      <c r="C37" t="s">
        <v>674</v>
      </c>
    </row>
    <row r="38" spans="1:3" x14ac:dyDescent="0.25">
      <c r="A38">
        <v>37</v>
      </c>
      <c r="B38" t="s">
        <v>619</v>
      </c>
      <c r="C38" t="s">
        <v>675</v>
      </c>
    </row>
    <row r="39" spans="1:3" x14ac:dyDescent="0.25">
      <c r="A39">
        <v>38</v>
      </c>
      <c r="B39" t="s">
        <v>621</v>
      </c>
      <c r="C39" t="s">
        <v>676</v>
      </c>
    </row>
    <row r="40" spans="1:3" x14ac:dyDescent="0.25">
      <c r="A40">
        <v>39</v>
      </c>
      <c r="B40" t="s">
        <v>622</v>
      </c>
      <c r="C40" t="s">
        <v>677</v>
      </c>
    </row>
    <row r="41" spans="1:3" x14ac:dyDescent="0.25">
      <c r="A41">
        <v>40</v>
      </c>
      <c r="B41" t="s">
        <v>623</v>
      </c>
      <c r="C41" t="s">
        <v>678</v>
      </c>
    </row>
    <row r="42" spans="1:3" x14ac:dyDescent="0.25">
      <c r="A42">
        <v>41</v>
      </c>
      <c r="B42" t="s">
        <v>624</v>
      </c>
      <c r="C42" t="s">
        <v>679</v>
      </c>
    </row>
    <row r="43" spans="1:3" x14ac:dyDescent="0.25">
      <c r="A43">
        <v>42</v>
      </c>
      <c r="B43" t="s">
        <v>562</v>
      </c>
      <c r="C43" t="s">
        <v>680</v>
      </c>
    </row>
    <row r="44" spans="1:3" x14ac:dyDescent="0.25">
      <c r="A44">
        <v>43</v>
      </c>
      <c r="B44" t="s">
        <v>620</v>
      </c>
      <c r="C44" t="s">
        <v>681</v>
      </c>
    </row>
    <row r="45" spans="1:3" x14ac:dyDescent="0.25">
      <c r="A45">
        <v>44</v>
      </c>
      <c r="B45" t="s">
        <v>603</v>
      </c>
      <c r="C45" t="s">
        <v>682</v>
      </c>
    </row>
    <row r="46" spans="1:3" x14ac:dyDescent="0.25">
      <c r="A46">
        <v>45</v>
      </c>
      <c r="B46" t="s">
        <v>598</v>
      </c>
      <c r="C46" t="s">
        <v>683</v>
      </c>
    </row>
    <row r="47" spans="1:3" x14ac:dyDescent="0.25">
      <c r="A47">
        <v>46</v>
      </c>
      <c r="B47" t="s">
        <v>597</v>
      </c>
      <c r="C47" t="s">
        <v>684</v>
      </c>
    </row>
    <row r="48" spans="1:3" x14ac:dyDescent="0.25">
      <c r="A48">
        <v>47</v>
      </c>
      <c r="B48" t="s">
        <v>618</v>
      </c>
      <c r="C48" t="s">
        <v>685</v>
      </c>
    </row>
    <row r="49" spans="1:3" x14ac:dyDescent="0.25">
      <c r="A49">
        <v>48</v>
      </c>
      <c r="B49" t="s">
        <v>626</v>
      </c>
      <c r="C49" t="s">
        <v>686</v>
      </c>
    </row>
    <row r="50" spans="1:3" x14ac:dyDescent="0.25">
      <c r="A50">
        <v>49</v>
      </c>
      <c r="B50" t="s">
        <v>617</v>
      </c>
      <c r="C50" t="s">
        <v>687</v>
      </c>
    </row>
    <row r="51" spans="1:3" x14ac:dyDescent="0.25">
      <c r="A51">
        <v>50</v>
      </c>
      <c r="B51" t="s">
        <v>625</v>
      </c>
      <c r="C51" t="s">
        <v>688</v>
      </c>
    </row>
    <row r="52" spans="1:3" x14ac:dyDescent="0.25">
      <c r="A52">
        <v>51</v>
      </c>
      <c r="B52" t="s">
        <v>608</v>
      </c>
      <c r="C52" t="s">
        <v>689</v>
      </c>
    </row>
    <row r="53" spans="1:3" x14ac:dyDescent="0.25">
      <c r="A53">
        <v>52</v>
      </c>
      <c r="B53" t="s">
        <v>609</v>
      </c>
      <c r="C53" t="s">
        <v>690</v>
      </c>
    </row>
    <row r="54" spans="1:3" x14ac:dyDescent="0.25">
      <c r="A54">
        <v>53</v>
      </c>
      <c r="B54" t="s">
        <v>616</v>
      </c>
      <c r="C54" t="s">
        <v>691</v>
      </c>
    </row>
    <row r="55" spans="1:3" x14ac:dyDescent="0.25">
      <c r="A55">
        <v>54</v>
      </c>
      <c r="B55" t="s">
        <v>563</v>
      </c>
      <c r="C55" t="s">
        <v>692</v>
      </c>
    </row>
    <row r="56" spans="1:3" x14ac:dyDescent="0.25">
      <c r="A56">
        <v>55</v>
      </c>
      <c r="B56" t="s">
        <v>564</v>
      </c>
      <c r="C56" t="s">
        <v>693</v>
      </c>
    </row>
    <row r="57" spans="1:3" x14ac:dyDescent="0.25">
      <c r="A57">
        <v>56</v>
      </c>
      <c r="B57" t="s">
        <v>545</v>
      </c>
      <c r="C57" t="s">
        <v>694</v>
      </c>
    </row>
    <row r="58" spans="1:3" x14ac:dyDescent="0.25">
      <c r="A58">
        <v>57</v>
      </c>
      <c r="B58" t="s">
        <v>548</v>
      </c>
      <c r="C58" t="s">
        <v>695</v>
      </c>
    </row>
    <row r="59" spans="1:3" x14ac:dyDescent="0.25">
      <c r="A59">
        <v>58</v>
      </c>
      <c r="B59" t="s">
        <v>544</v>
      </c>
      <c r="C59" t="s">
        <v>696</v>
      </c>
    </row>
    <row r="60" spans="1:3" x14ac:dyDescent="0.25">
      <c r="A60">
        <v>59</v>
      </c>
      <c r="B60" t="s">
        <v>577</v>
      </c>
      <c r="C60" t="s">
        <v>697</v>
      </c>
    </row>
    <row r="61" spans="1:3" x14ac:dyDescent="0.25">
      <c r="A61">
        <v>60</v>
      </c>
      <c r="B61" t="s">
        <v>575</v>
      </c>
      <c r="C61" t="s">
        <v>698</v>
      </c>
    </row>
    <row r="62" spans="1:3" x14ac:dyDescent="0.25">
      <c r="A62">
        <v>61</v>
      </c>
      <c r="B62" t="s">
        <v>576</v>
      </c>
      <c r="C62" t="s">
        <v>699</v>
      </c>
    </row>
    <row r="63" spans="1:3" x14ac:dyDescent="0.25">
      <c r="A63">
        <v>62</v>
      </c>
      <c r="B63" t="s">
        <v>578</v>
      </c>
      <c r="C63" t="s">
        <v>700</v>
      </c>
    </row>
    <row r="64" spans="1:3" x14ac:dyDescent="0.25">
      <c r="A64">
        <v>63</v>
      </c>
      <c r="B64" t="s">
        <v>565</v>
      </c>
      <c r="C64" t="s">
        <v>701</v>
      </c>
    </row>
    <row r="65" spans="1:3" x14ac:dyDescent="0.25">
      <c r="A65">
        <v>64</v>
      </c>
      <c r="B65" t="s">
        <v>600</v>
      </c>
      <c r="C65" t="s">
        <v>702</v>
      </c>
    </row>
    <row r="66" spans="1:3" x14ac:dyDescent="0.25">
      <c r="A66">
        <v>65</v>
      </c>
      <c r="B66" t="s">
        <v>566</v>
      </c>
      <c r="C66" t="s">
        <v>703</v>
      </c>
    </row>
    <row r="67" spans="1:3" x14ac:dyDescent="0.25">
      <c r="A67">
        <v>66</v>
      </c>
      <c r="B67" t="s">
        <v>601</v>
      </c>
      <c r="C67" t="s">
        <v>704</v>
      </c>
    </row>
    <row r="68" spans="1:3" x14ac:dyDescent="0.25">
      <c r="A68">
        <v>67</v>
      </c>
      <c r="B68" t="s">
        <v>567</v>
      </c>
      <c r="C68" t="s">
        <v>705</v>
      </c>
    </row>
    <row r="69" spans="1:3" x14ac:dyDescent="0.25">
      <c r="A69">
        <v>68</v>
      </c>
      <c r="B69" t="s">
        <v>571</v>
      </c>
      <c r="C69" t="s">
        <v>706</v>
      </c>
    </row>
    <row r="70" spans="1:3" x14ac:dyDescent="0.25">
      <c r="A70">
        <v>69</v>
      </c>
      <c r="B70" t="s">
        <v>572</v>
      </c>
      <c r="C70" t="s">
        <v>707</v>
      </c>
    </row>
    <row r="71" spans="1:3" x14ac:dyDescent="0.25">
      <c r="A71">
        <v>70</v>
      </c>
      <c r="B71" t="s">
        <v>573</v>
      </c>
      <c r="C71" t="s">
        <v>708</v>
      </c>
    </row>
    <row r="72" spans="1:3" x14ac:dyDescent="0.25">
      <c r="A72">
        <v>71</v>
      </c>
      <c r="B72" t="s">
        <v>574</v>
      </c>
      <c r="C72" t="s">
        <v>709</v>
      </c>
    </row>
    <row r="73" spans="1:3" x14ac:dyDescent="0.25">
      <c r="A73">
        <v>72</v>
      </c>
      <c r="B73" t="s">
        <v>594</v>
      </c>
      <c r="C73" t="s">
        <v>710</v>
      </c>
    </row>
    <row r="74" spans="1:3" x14ac:dyDescent="0.25">
      <c r="A74">
        <v>73</v>
      </c>
      <c r="B74" t="s">
        <v>596</v>
      </c>
      <c r="C74" t="s">
        <v>711</v>
      </c>
    </row>
    <row r="75" spans="1:3" x14ac:dyDescent="0.25">
      <c r="A75">
        <v>74</v>
      </c>
      <c r="B75" t="s">
        <v>595</v>
      </c>
      <c r="C75" t="s">
        <v>712</v>
      </c>
    </row>
    <row r="76" spans="1:3" x14ac:dyDescent="0.25">
      <c r="A76">
        <v>75</v>
      </c>
      <c r="B76" t="s">
        <v>610</v>
      </c>
      <c r="C76" t="s">
        <v>713</v>
      </c>
    </row>
    <row r="77" spans="1:3" x14ac:dyDescent="0.25">
      <c r="A77">
        <v>76</v>
      </c>
      <c r="B77" t="s">
        <v>605</v>
      </c>
      <c r="C77" t="s">
        <v>714</v>
      </c>
    </row>
    <row r="78" spans="1:3" x14ac:dyDescent="0.25">
      <c r="A78">
        <v>77</v>
      </c>
      <c r="B78" t="s">
        <v>612</v>
      </c>
      <c r="C78" t="s">
        <v>715</v>
      </c>
    </row>
    <row r="79" spans="1:3" x14ac:dyDescent="0.25">
      <c r="A79">
        <v>78</v>
      </c>
      <c r="B79" t="s">
        <v>611</v>
      </c>
      <c r="C79" t="s">
        <v>716</v>
      </c>
    </row>
    <row r="80" spans="1:3" x14ac:dyDescent="0.25">
      <c r="A80">
        <v>79</v>
      </c>
      <c r="B80" t="s">
        <v>561</v>
      </c>
      <c r="C80" t="s">
        <v>717</v>
      </c>
    </row>
    <row r="81" spans="1:3" x14ac:dyDescent="0.25">
      <c r="A81">
        <v>80</v>
      </c>
      <c r="B81" t="s">
        <v>614</v>
      </c>
      <c r="C81" t="s">
        <v>718</v>
      </c>
    </row>
    <row r="82" spans="1:3" x14ac:dyDescent="0.25">
      <c r="A82">
        <v>81</v>
      </c>
      <c r="B82" t="s">
        <v>592</v>
      </c>
      <c r="C82" t="s">
        <v>719</v>
      </c>
    </row>
    <row r="83" spans="1:3" x14ac:dyDescent="0.25">
      <c r="A83">
        <v>82</v>
      </c>
      <c r="B83" t="s">
        <v>593</v>
      </c>
      <c r="C83" t="s">
        <v>720</v>
      </c>
    </row>
    <row r="84" spans="1:3" x14ac:dyDescent="0.25">
      <c r="A84">
        <v>83</v>
      </c>
      <c r="B84" t="s">
        <v>591</v>
      </c>
      <c r="C84" t="s">
        <v>721</v>
      </c>
    </row>
    <row r="85" spans="1:3" x14ac:dyDescent="0.25">
      <c r="A85">
        <v>84</v>
      </c>
      <c r="B85" t="s">
        <v>604</v>
      </c>
      <c r="C85" t="s">
        <v>722</v>
      </c>
    </row>
    <row r="86" spans="1:3" x14ac:dyDescent="0.25">
      <c r="A86">
        <v>85</v>
      </c>
      <c r="B86" t="s">
        <v>606</v>
      </c>
      <c r="C86" t="s">
        <v>723</v>
      </c>
    </row>
    <row r="87" spans="1:3" x14ac:dyDescent="0.25">
      <c r="A87">
        <v>86</v>
      </c>
      <c r="B87" t="s">
        <v>607</v>
      </c>
      <c r="C87" t="s">
        <v>724</v>
      </c>
    </row>
    <row r="88" spans="1:3" x14ac:dyDescent="0.25">
      <c r="A88">
        <v>87</v>
      </c>
      <c r="B88" t="s">
        <v>590</v>
      </c>
      <c r="C88" t="s">
        <v>725</v>
      </c>
    </row>
    <row r="89" spans="1:3" x14ac:dyDescent="0.25">
      <c r="A89">
        <v>88</v>
      </c>
      <c r="B89" t="s">
        <v>589</v>
      </c>
      <c r="C89" t="s">
        <v>726</v>
      </c>
    </row>
    <row r="90" spans="1:3" x14ac:dyDescent="0.25">
      <c r="A90">
        <v>89</v>
      </c>
      <c r="B90" t="s">
        <v>588</v>
      </c>
      <c r="C90" t="s">
        <v>727</v>
      </c>
    </row>
    <row r="91" spans="1:3" x14ac:dyDescent="0.25">
      <c r="A91">
        <v>90</v>
      </c>
      <c r="B91" t="s">
        <v>587</v>
      </c>
      <c r="C91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Umair Hassan</dc:creator>
  <cp:lastModifiedBy>IT User Software</cp:lastModifiedBy>
  <dcterms:created xsi:type="dcterms:W3CDTF">2015-06-05T18:17:20Z</dcterms:created>
  <dcterms:modified xsi:type="dcterms:W3CDTF">2025-03-26T07:29:06Z</dcterms:modified>
</cp:coreProperties>
</file>