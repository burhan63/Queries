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remium\Premium\Saqib Saleem\22-Jan-2025\"/>
    </mc:Choice>
  </mc:AlternateContent>
  <xr:revisionPtr revIDLastSave="0" documentId="13_ncr:1_{C68B7A5B-4A8F-4344-AAD4-B41E3AFE0D3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working" sheetId="2" r:id="rId2"/>
    <sheet name="Sheet3" sheetId="3" r:id="rId3"/>
    <sheet name="policy" sheetId="4" r:id="rId4"/>
  </sheets>
  <definedNames>
    <definedName name="_xlnm._FilterDatabase" localSheetId="0" hidden="1">Sheet1!$A$1:$S$81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2" l="1"/>
  <c r="D8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2" i="2"/>
  <c r="F2" i="2"/>
  <c r="D2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1" i="3"/>
  <c r="G2" i="2" l="1"/>
  <c r="H2" i="2" s="1"/>
  <c r="Q81" i="1" l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2" i="1"/>
</calcChain>
</file>

<file path=xl/sharedStrings.xml><?xml version="1.0" encoding="utf-8"?>
<sst xmlns="http://schemas.openxmlformats.org/spreadsheetml/2006/main" count="1530" uniqueCount="651">
  <si>
    <t>Loan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</si>
  <si>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</si>
  <si>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</si>
  <si>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</si>
  <si>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</si>
  <si>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</si>
  <si>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</si>
  <si>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</si>
  <si>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</si>
  <si>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</si>
  <si>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</si>
  <si>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</si>
  <si>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</si>
  <si>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CI-2021-0000-1432</t>
  </si>
  <si>
    <t>PK0010002</t>
  </si>
  <si>
    <t>SYED MOHSIN RAZA</t>
  </si>
  <si>
    <t>TOYOTA COROLLA ALTIS 1.6</t>
  </si>
  <si>
    <t>Q086015</t>
  </si>
  <si>
    <t>6063457</t>
  </si>
  <si>
    <t>-</t>
  </si>
  <si>
    <t xml:space="preserve"> 12 MONTHS</t>
  </si>
  <si>
    <t>1.50</t>
  </si>
  <si>
    <t>New Takaful Company</t>
  </si>
  <si>
    <t>SALAM TAKAFUL</t>
  </si>
  <si>
    <t>CI-2021-0112-6754</t>
  </si>
  <si>
    <t>TAIMOOR AFZAL</t>
  </si>
  <si>
    <t>Alto VXL</t>
  </si>
  <si>
    <t>R126114</t>
  </si>
  <si>
    <t>H1026153</t>
  </si>
  <si>
    <t>BRS-399</t>
  </si>
  <si>
    <t>CI-2021-0115-2303</t>
  </si>
  <si>
    <t>BILAL AHMED SOOMRO</t>
  </si>
  <si>
    <t>BRVS CVT</t>
  </si>
  <si>
    <t>Z14807253</t>
  </si>
  <si>
    <t>MR023940</t>
  </si>
  <si>
    <t>CI-2021-0119-1626</t>
  </si>
  <si>
    <t>SYED ZIA RAFI</t>
  </si>
  <si>
    <t>Cultus VXR</t>
  </si>
  <si>
    <t>K190362</t>
  </si>
  <si>
    <t>H10090358</t>
  </si>
  <si>
    <t>CI-2021-5501-1140</t>
  </si>
  <si>
    <t>MUHAMMAD NAWAZ</t>
  </si>
  <si>
    <t>Alsvin</t>
  </si>
  <si>
    <t>CAD522228</t>
  </si>
  <si>
    <t>M1005069</t>
  </si>
  <si>
    <t>CI-2021-9938-6375</t>
  </si>
  <si>
    <t>ABDUL HASEEB</t>
  </si>
  <si>
    <t>City PT 1.2</t>
  </si>
  <si>
    <t>B51004840</t>
  </si>
  <si>
    <t>MR006890</t>
  </si>
  <si>
    <t>CI-2021-9953-1722</t>
  </si>
  <si>
    <t>NUSRAT ABBAS</t>
  </si>
  <si>
    <t>Karvan</t>
  </si>
  <si>
    <t>U506454</t>
  </si>
  <si>
    <t>M101961</t>
  </si>
  <si>
    <t>CI-2021-9968-1774</t>
  </si>
  <si>
    <t>ZEESHAN AHMED</t>
  </si>
  <si>
    <t>Picanto MT</t>
  </si>
  <si>
    <t>MP200512</t>
  </si>
  <si>
    <t>KP502698</t>
  </si>
  <si>
    <t>CI-2022-0196-0017</t>
  </si>
  <si>
    <t>MUHAMMAD FARHAN KHAN MUGHAL</t>
  </si>
  <si>
    <t>Alto VXL AGS</t>
  </si>
  <si>
    <t>R256992</t>
  </si>
  <si>
    <t>H1156966</t>
  </si>
  <si>
    <t>BXZ-877</t>
  </si>
  <si>
    <t>CI-2022-9949-0058</t>
  </si>
  <si>
    <t>MUZAMMIL HAYAT</t>
  </si>
  <si>
    <t>Corolla Altis 1.6 AT</t>
  </si>
  <si>
    <t>Q044750</t>
  </si>
  <si>
    <t>R-6022235</t>
  </si>
  <si>
    <t>BLW-876</t>
  </si>
  <si>
    <t>CM-2018-8301-0916</t>
  </si>
  <si>
    <t>AFROZ BANO</t>
  </si>
  <si>
    <t>SUZUKI CULTUS VXR EURO</t>
  </si>
  <si>
    <t>134235</t>
  </si>
  <si>
    <t>10034218</t>
  </si>
  <si>
    <t>BPC-809</t>
  </si>
  <si>
    <t>3.3</t>
  </si>
  <si>
    <t>CM-2018-9201-0190</t>
  </si>
  <si>
    <t>QASID HUSSAIN MALLAH</t>
  </si>
  <si>
    <t>HONDA BR V I VTEC</t>
  </si>
  <si>
    <t>13513702</t>
  </si>
  <si>
    <t>013701</t>
  </si>
  <si>
    <t>BH-1675</t>
  </si>
  <si>
    <t>CI-2022-0000-1370</t>
  </si>
  <si>
    <t>PK0010007</t>
  </si>
  <si>
    <t>NAIMAT ULLAH</t>
  </si>
  <si>
    <t>BOLAN VX</t>
  </si>
  <si>
    <t>PKT1025967</t>
  </si>
  <si>
    <t>SV308PK01142473</t>
  </si>
  <si>
    <t>BAW-847</t>
  </si>
  <si>
    <t>CI-2023-1290-0001</t>
  </si>
  <si>
    <t>UZAIR SULTAN</t>
  </si>
  <si>
    <t>6R288070</t>
  </si>
  <si>
    <t>NF1AET306H1188194</t>
  </si>
  <si>
    <t>BCY-549</t>
  </si>
  <si>
    <t>CI-2022-0000-1383</t>
  </si>
  <si>
    <t>PK0010011</t>
  </si>
  <si>
    <t>MUHAMMAD ATHAR KHAN</t>
  </si>
  <si>
    <t>L12B51016343</t>
  </si>
  <si>
    <t>NFBGN862XNR029011</t>
  </si>
  <si>
    <t>BAT-86</t>
  </si>
  <si>
    <t>CI-2022-1302-0009</t>
  </si>
  <si>
    <t>MUHAMMAD SAFDAR</t>
  </si>
  <si>
    <t>Alto VXR</t>
  </si>
  <si>
    <t>6R261081</t>
  </si>
  <si>
    <t>NF1AET306H1161055</t>
  </si>
  <si>
    <t>BBA-985</t>
  </si>
  <si>
    <t>CI-2022-2101-0015</t>
  </si>
  <si>
    <t>MUHAMMAD ATHAR MASUD</t>
  </si>
  <si>
    <t>Wagon R VXL</t>
  </si>
  <si>
    <t>PK10B241015</t>
  </si>
  <si>
    <t>A1J310PK10141026</t>
  </si>
  <si>
    <t>AMN-838</t>
  </si>
  <si>
    <t>CI-2022-5801-0026</t>
  </si>
  <si>
    <t>GHULAM HAIDER</t>
  </si>
  <si>
    <t>PKR1027037</t>
  </si>
  <si>
    <t>SV308PK01143546</t>
  </si>
  <si>
    <t>AMR-263</t>
  </si>
  <si>
    <t>CI-2023-1240-0012</t>
  </si>
  <si>
    <t>MUHAMMAD SOHAIL</t>
  </si>
  <si>
    <t>6R288603</t>
  </si>
  <si>
    <t>NF1AET306H1188621</t>
  </si>
  <si>
    <t>AQH-948</t>
  </si>
  <si>
    <t>CI-2023-9844-0008</t>
  </si>
  <si>
    <t>MUHAMMAD ASLAM</t>
  </si>
  <si>
    <t>6R289166</t>
  </si>
  <si>
    <t>NF1AET306H1189176</t>
  </si>
  <si>
    <t>AQH-128</t>
  </si>
  <si>
    <t>CM-2021-0501-0851</t>
  </si>
  <si>
    <t>ASGHAR ALI</t>
  </si>
  <si>
    <t>HONDA CITY A/T</t>
  </si>
  <si>
    <t>L12B51004607</t>
  </si>
  <si>
    <t>NFBGN8620MR006187</t>
  </si>
  <si>
    <t>PUN-AFZ-551</t>
  </si>
  <si>
    <t>1.5</t>
  </si>
  <si>
    <t>CM-2021-0507-1122</t>
  </si>
  <si>
    <t>MUHAMMAD ARIF HUSSAIN</t>
  </si>
  <si>
    <t>CHANGAN ALSVIN 1.5L DCT LUMIERE</t>
  </si>
  <si>
    <t>JL473QFM3CAD525119</t>
  </si>
  <si>
    <t>NKMA2ASE5M1004845</t>
  </si>
  <si>
    <t>PUN-AGE-156</t>
  </si>
  <si>
    <t>CM-2021-0508-1882</t>
  </si>
  <si>
    <t>MUHAMMAD RIZWAN SOHAIL</t>
  </si>
  <si>
    <t>HONDA CIVIC I VTEC 1.8 L CVT</t>
  </si>
  <si>
    <t>R18Z16929253</t>
  </si>
  <si>
    <t>NFBFC6660MR081822</t>
  </si>
  <si>
    <t>ICT-AVS-474</t>
  </si>
  <si>
    <t>CM-2021-0508-2331</t>
  </si>
  <si>
    <t>ABDUL WAHAB</t>
  </si>
  <si>
    <t>Honda City M/T</t>
  </si>
  <si>
    <t>L12B51004664</t>
  </si>
  <si>
    <t>NFBGN8520MR006689</t>
  </si>
  <si>
    <t>PUN-AGC-207</t>
  </si>
  <si>
    <t>CM-2021-2902-0846</t>
  </si>
  <si>
    <t>SHOAIB AHSAN</t>
  </si>
  <si>
    <t>Q102052</t>
  </si>
  <si>
    <t>ZRE171R-6079536</t>
  </si>
  <si>
    <t>AMS-106</t>
  </si>
  <si>
    <t>CM-2021-2903-0940</t>
  </si>
  <si>
    <t>MUHAMMAD SALEEM</t>
  </si>
  <si>
    <t>HONDA CITY PT 1.5</t>
  </si>
  <si>
    <t>L15Z81002318</t>
  </si>
  <si>
    <t>NFBGN9667MR007328</t>
  </si>
  <si>
    <t>PUN-AGE-766</t>
  </si>
  <si>
    <t>CI-2021-7601-3469</t>
  </si>
  <si>
    <t>PK0010014</t>
  </si>
  <si>
    <t>ALLAH BAKHSH</t>
  </si>
  <si>
    <t>PKT1017743</t>
  </si>
  <si>
    <t>SV308PK01134293</t>
  </si>
  <si>
    <t>AGA-783</t>
  </si>
  <si>
    <t>CI-2023-2201-0015</t>
  </si>
  <si>
    <t>MUHAMMAD ANWAR</t>
  </si>
  <si>
    <t>SONATA 2.0L MPi engine</t>
  </si>
  <si>
    <t>G4NAPU346384</t>
  </si>
  <si>
    <t>PMHL3416MPN404944</t>
  </si>
  <si>
    <t>AQH-237</t>
  </si>
  <si>
    <t>CI-2023-2204-0010</t>
  </si>
  <si>
    <t>HAFIZ MUHAMMAD ZEESHAN ASLAM</t>
  </si>
  <si>
    <t>City MT 1.2</t>
  </si>
  <si>
    <t>L12B51020399</t>
  </si>
  <si>
    <t>NFBGN8525PR035268</t>
  </si>
  <si>
    <t>AQH-847</t>
  </si>
  <si>
    <t>CM-2020-2202-0182</t>
  </si>
  <si>
    <t>UMAIR MURTAZA</t>
  </si>
  <si>
    <t>KIA PICANTO AT</t>
  </si>
  <si>
    <t>G3LALP064390</t>
  </si>
  <si>
    <t>NNATA52AZKP703648</t>
  </si>
  <si>
    <t>ASD-190</t>
  </si>
  <si>
    <t>2</t>
  </si>
  <si>
    <t>CM-2020-2206-0199</t>
  </si>
  <si>
    <t>FAROOQ AHMAD</t>
  </si>
  <si>
    <t>NISSAN DAYZ</t>
  </si>
  <si>
    <t>3B20-MB7467</t>
  </si>
  <si>
    <t>B21W-0433107</t>
  </si>
  <si>
    <t>ABE-372</t>
  </si>
  <si>
    <t>CM-2021-4702-0026</t>
  </si>
  <si>
    <t>SABIR HUSSAIN</t>
  </si>
  <si>
    <t>HYUNDAI ELANTRA</t>
  </si>
  <si>
    <t>G4NAMU910936</t>
  </si>
  <si>
    <t>PMHD841FMMN302086</t>
  </si>
  <si>
    <t>AWD-77</t>
  </si>
  <si>
    <t>CM-2021-9888-0340</t>
  </si>
  <si>
    <t>MUHAMMAD SOHAIL BABAR</t>
  </si>
  <si>
    <t>CHANGAN KARVAN</t>
  </si>
  <si>
    <t>JL466Q9M69U504544</t>
  </si>
  <si>
    <t>NKMAAB3D1M1011155</t>
  </si>
  <si>
    <t>AGB-815</t>
  </si>
  <si>
    <t>CI-2022-0903-0012</t>
  </si>
  <si>
    <t>PK0010015</t>
  </si>
  <si>
    <t>MUHAMMAD SAQIB WARRAICH</t>
  </si>
  <si>
    <t>Alto VXR AGS</t>
  </si>
  <si>
    <t>6R259843</t>
  </si>
  <si>
    <t>NF1AET306H1159827</t>
  </si>
  <si>
    <t>BAY-464 (ICT)</t>
  </si>
  <si>
    <t>CI-2022-0917-0004</t>
  </si>
  <si>
    <t>HAFIZ NOMAN YOUSAF</t>
  </si>
  <si>
    <t>Corolla X Altis Grande CVTI 1.8</t>
  </si>
  <si>
    <t>Q364139</t>
  </si>
  <si>
    <t>ZRE172R7063325</t>
  </si>
  <si>
    <t>BAY-605 9ICT)</t>
  </si>
  <si>
    <t>CI-2022-4001-0009</t>
  </si>
  <si>
    <t>AMMAD MUBASHER</t>
  </si>
  <si>
    <t>6R259101</t>
  </si>
  <si>
    <t>NF1AET306H1159550</t>
  </si>
  <si>
    <t>APL</t>
  </si>
  <si>
    <t>CI-2023-0608-0006</t>
  </si>
  <si>
    <t>IMRAN BUTT</t>
  </si>
  <si>
    <t>Swift GLX CVT</t>
  </si>
  <si>
    <t>K12MR1017300</t>
  </si>
  <si>
    <t>NF1SZC63S00117316</t>
  </si>
  <si>
    <t>AQJ-561 (PUNJAB)</t>
  </si>
  <si>
    <t>CI-2022-0801-0001</t>
  </si>
  <si>
    <t>PK0010016</t>
  </si>
  <si>
    <t>MUHAMMAD ABBAS KAKAR</t>
  </si>
  <si>
    <t>6R261984</t>
  </si>
  <si>
    <t>NF1AET306H1162005</t>
  </si>
  <si>
    <t>BAY-371</t>
  </si>
  <si>
    <t>CI-2022-0810-0007</t>
  </si>
  <si>
    <t>MIRZA MUHAMMAD SAGHEER IMRAN</t>
  </si>
  <si>
    <t>Alto VX</t>
  </si>
  <si>
    <t>6R260173</t>
  </si>
  <si>
    <t>NF1AET306H1160202</t>
  </si>
  <si>
    <t>BAY-736</t>
  </si>
  <si>
    <t>CI-2022-0813-0003</t>
  </si>
  <si>
    <t>ZULFIQAR ALI</t>
  </si>
  <si>
    <t>6R262052</t>
  </si>
  <si>
    <t>NF1AET306H1162066</t>
  </si>
  <si>
    <t>BAZ-587</t>
  </si>
  <si>
    <t>CI-2022-0823-0003</t>
  </si>
  <si>
    <t>NAEEMA ZAREEN</t>
  </si>
  <si>
    <t>6R261486</t>
  </si>
  <si>
    <t>NF1AET306H1161435</t>
  </si>
  <si>
    <t>BAY-794</t>
  </si>
  <si>
    <t>CI-2022-9819-0006</t>
  </si>
  <si>
    <t>MUHAMMAD SOHAIB AKBAR</t>
  </si>
  <si>
    <t>6R260582</t>
  </si>
  <si>
    <t>NF1AET306H1160572</t>
  </si>
  <si>
    <t>BAZ-134</t>
  </si>
  <si>
    <t>CI-2023-0821-0008</t>
  </si>
  <si>
    <t>IMRAN USMAN</t>
  </si>
  <si>
    <t>Picanto AT</t>
  </si>
  <si>
    <t>G3LAPP171706</t>
  </si>
  <si>
    <t>NNATA52AZPP712963</t>
  </si>
  <si>
    <t>BCY-472</t>
  </si>
  <si>
    <t>CI-2023-0832-0009</t>
  </si>
  <si>
    <t>ABDUL BASIT</t>
  </si>
  <si>
    <t>6R288127</t>
  </si>
  <si>
    <t>NF1AET306H1188175</t>
  </si>
  <si>
    <t>BCX-741</t>
  </si>
  <si>
    <t>CM-2021-0801-0799</t>
  </si>
  <si>
    <t>KAFAIT ULLAH HAMDANI</t>
  </si>
  <si>
    <t>SUZUKI CULTUS AGS</t>
  </si>
  <si>
    <t>PK10K188897</t>
  </si>
  <si>
    <t>NF1AVK31H10088894</t>
  </si>
  <si>
    <t>XXXXX</t>
  </si>
  <si>
    <t>CI-2022-0000-0998</t>
  </si>
  <si>
    <t>PK0010017</t>
  </si>
  <si>
    <t>MUHAMMAD KHURSHEED</t>
  </si>
  <si>
    <t>6R256299</t>
  </si>
  <si>
    <t>NF1AET306H1156300</t>
  </si>
  <si>
    <t>AMN-612</t>
  </si>
  <si>
    <t>CI-2023-0322-0012</t>
  </si>
  <si>
    <t>PK0010010</t>
  </si>
  <si>
    <t>INTIZAR AHMAD</t>
  </si>
  <si>
    <t>PK10K145097</t>
  </si>
  <si>
    <t>NF1AVK31H10045076</t>
  </si>
  <si>
    <t>ANV-210</t>
  </si>
  <si>
    <t>CI-2023-4203-0010</t>
  </si>
  <si>
    <t>MUHAMMAD WASIM</t>
  </si>
  <si>
    <t>6R284801</t>
  </si>
  <si>
    <t>NF1AET306H1185181</t>
  </si>
  <si>
    <t>BCX-745</t>
  </si>
  <si>
    <t>CI-2023-9805-0003</t>
  </si>
  <si>
    <t>ADEEL ANWER</t>
  </si>
  <si>
    <t>City CVT 1.2L, CVT Transmission</t>
  </si>
  <si>
    <t>L12B51020189</t>
  </si>
  <si>
    <t>NFBGN8628PR035022</t>
  </si>
  <si>
    <t>BCX-460</t>
  </si>
  <si>
    <t>CM-2012-0826-0001</t>
  </si>
  <si>
    <t>IMRAN AJMAL</t>
  </si>
  <si>
    <t>HONDA CITY AT</t>
  </si>
  <si>
    <t>L12B51004361</t>
  </si>
  <si>
    <t>NFBGN8625MR005925</t>
  </si>
  <si>
    <t>CM-2021-0301-0844</t>
  </si>
  <si>
    <t>MIAN ASHFAQ ALI</t>
  </si>
  <si>
    <t>TOYOTA YARIS ATIV CVT 1.3</t>
  </si>
  <si>
    <t>2A40495</t>
  </si>
  <si>
    <t>NSP150R-7025378</t>
  </si>
  <si>
    <t>CM-2021-0312-0732</t>
  </si>
  <si>
    <t>MUHAMMAD ALI</t>
  </si>
  <si>
    <t>TOYOTA YARIS X CVT 1.5</t>
  </si>
  <si>
    <t>2A41144</t>
  </si>
  <si>
    <t>NSP151R-9515284</t>
  </si>
  <si>
    <t>CI-2022-2202-0009</t>
  </si>
  <si>
    <t>TARIQ RAZA</t>
  </si>
  <si>
    <t>6R261150</t>
  </si>
  <si>
    <t>NF1AET306H1161136</t>
  </si>
  <si>
    <t>AMN-710</t>
  </si>
  <si>
    <t>CI-2022-9812-0015</t>
  </si>
  <si>
    <t>HASSAN RAZA</t>
  </si>
  <si>
    <t>6R261407</t>
  </si>
  <si>
    <t>NF1ET306H1161391</t>
  </si>
  <si>
    <t>AMN-409</t>
  </si>
  <si>
    <t>CI-2022-9838-0015</t>
  </si>
  <si>
    <t>MUHAMMAD YOUNAS</t>
  </si>
  <si>
    <t>Changan Oshan X7 Comfort</t>
  </si>
  <si>
    <t>JL4732ZQ7NN8AH227760</t>
  </si>
  <si>
    <t>NKMASE2E6N1001996</t>
  </si>
  <si>
    <t>BAZ-628</t>
  </si>
  <si>
    <t>CI-2022-0000-1410</t>
  </si>
  <si>
    <t>PK0010299</t>
  </si>
  <si>
    <t>MUHAMMAD SHAFIQ</t>
  </si>
  <si>
    <t>City 1.5LS CVT</t>
  </si>
  <si>
    <t>L15Z81011428</t>
  </si>
  <si>
    <t>NFBGN9648NR025708</t>
  </si>
  <si>
    <t>AMR 114</t>
  </si>
  <si>
    <t>CI-2022-0205-0032</t>
  </si>
  <si>
    <t>AZAAN ALI</t>
  </si>
  <si>
    <t>Honda City i VTEC CVT 1.2 Transmission 5 Speed</t>
  </si>
  <si>
    <t>L12B51015120</t>
  </si>
  <si>
    <t>NFBGN8626NR026848</t>
  </si>
  <si>
    <t>AMQ 954</t>
  </si>
  <si>
    <t>CI-2022-0223-0012</t>
  </si>
  <si>
    <t>TARIQ ALI</t>
  </si>
  <si>
    <t>6R250578</t>
  </si>
  <si>
    <t>NF1AET306H1150560</t>
  </si>
  <si>
    <t>AML 812</t>
  </si>
  <si>
    <t>CI-2022-0290-0012</t>
  </si>
  <si>
    <t>UMAR EJAZ KHAN</t>
  </si>
  <si>
    <t>6R262929</t>
  </si>
  <si>
    <t>NF1AET306H1162938</t>
  </si>
  <si>
    <t>AMR 351</t>
  </si>
  <si>
    <t>CM-2021-0226-0773</t>
  </si>
  <si>
    <t>REHMAN SHAFI</t>
  </si>
  <si>
    <t>G3LAMP131372</t>
  </si>
  <si>
    <t>NNATA52AZKP708518</t>
  </si>
  <si>
    <t>AFY 038</t>
  </si>
  <si>
    <t>CI-2022-1142-0003</t>
  </si>
  <si>
    <t>PK0010300</t>
  </si>
  <si>
    <t>RAJA UMAR WAHEED</t>
  </si>
  <si>
    <t>6R259517</t>
  </si>
  <si>
    <t>NF1AET306H1159490</t>
  </si>
  <si>
    <t>AMQ-930</t>
  </si>
  <si>
    <t>CM-2021-0265-1565</t>
  </si>
  <si>
    <t>HAIDER ALI</t>
  </si>
  <si>
    <t>HONDA CITY USED</t>
  </si>
  <si>
    <t>L13Z17454162</t>
  </si>
  <si>
    <t>NFBGM1540GR196400</t>
  </si>
  <si>
    <t>LE-17-4998</t>
  </si>
  <si>
    <t>CM-2021-0287-1246</t>
  </si>
  <si>
    <t>ZAFAR ALI</t>
  </si>
  <si>
    <t>SUZUKI CULTUS VXR</t>
  </si>
  <si>
    <t>PK10K189374</t>
  </si>
  <si>
    <t>NF1AVK31H10089364</t>
  </si>
  <si>
    <t>AFX 766</t>
  </si>
  <si>
    <t>CM-2021-1001-1144</t>
  </si>
  <si>
    <t>JAMIL AHMAD</t>
  </si>
  <si>
    <t>CHANGAN ALSVIN LUMIERE</t>
  </si>
  <si>
    <t>JL473QFM3CAD507589</t>
  </si>
  <si>
    <t>NKMA2ASE5M1004781</t>
  </si>
  <si>
    <t>AVZ-358</t>
  </si>
  <si>
    <t>CM-2021-1140-1420</t>
  </si>
  <si>
    <t>KHURRAM SALIM QURESHI</t>
  </si>
  <si>
    <t>TOYOTA YARIS ATIV 1.3 CVT</t>
  </si>
  <si>
    <t>2A42780</t>
  </si>
  <si>
    <t>NSP150R-7026803</t>
  </si>
  <si>
    <t>AGD 122</t>
  </si>
  <si>
    <t>CM-2021-1151-1503</t>
  </si>
  <si>
    <t>MUHAMMAD ZUBAIR AFZAL BALOOCH</t>
  </si>
  <si>
    <t>SUZUKI BOLAN</t>
  </si>
  <si>
    <t>PKT1017591</t>
  </si>
  <si>
    <t>SV308PK01134127</t>
  </si>
  <si>
    <t>AFX 770</t>
  </si>
  <si>
    <t>CM-2021-9886-1220</t>
  </si>
  <si>
    <t>SEHRISH SARWAR</t>
  </si>
  <si>
    <t>2A41217</t>
  </si>
  <si>
    <t>NSP150R-7025869</t>
  </si>
  <si>
    <t>AFZ 330</t>
  </si>
  <si>
    <t>CI-2022-0230-0008</t>
  </si>
  <si>
    <t>KASHIF AKHTAR SHEIKH</t>
  </si>
  <si>
    <t>Peugeot Active</t>
  </si>
  <si>
    <t>10XVDP1898967</t>
  </si>
  <si>
    <t>NG3USHNLVMH300245</t>
  </si>
  <si>
    <t>AMR-648</t>
  </si>
  <si>
    <t>CI-2023-0285-0009</t>
  </si>
  <si>
    <t>MUHAMMAD TALHA SHAKEEL</t>
  </si>
  <si>
    <t>Toyota Corolla GLI AT</t>
  </si>
  <si>
    <t>Z563513</t>
  </si>
  <si>
    <t>NZE170R-4189060</t>
  </si>
  <si>
    <t>LEA-19A-1531</t>
  </si>
  <si>
    <t>CM-2021-0229-1212</t>
  </si>
  <si>
    <t>MUBARAK ALI</t>
  </si>
  <si>
    <t>TOYOTA COROLLA ALTIS 1.6 AT SPECIAL EDITION</t>
  </si>
  <si>
    <t>Q101839</t>
  </si>
  <si>
    <t>ZRE171R-6079336</t>
  </si>
  <si>
    <t>AMP-134</t>
  </si>
  <si>
    <t>CM-2021-0239-0828</t>
  </si>
  <si>
    <t>MUHAMMAD AMIN</t>
  </si>
  <si>
    <t>HONDA BRV I VTEC S CVT</t>
  </si>
  <si>
    <t>L15Z14807338</t>
  </si>
  <si>
    <t>NFBDG1838MR024012</t>
  </si>
  <si>
    <t>AFY-603</t>
  </si>
  <si>
    <t>CM-2021-2802-0681</t>
  </si>
  <si>
    <t>MUHAMMAD HAROON</t>
  </si>
  <si>
    <t>PROTON X 70 FWD</t>
  </si>
  <si>
    <t>3G15TDN3WA3102946</t>
  </si>
  <si>
    <t>NKPNL2EVRNP000739</t>
  </si>
  <si>
    <t>AMQ-503</t>
  </si>
  <si>
    <t>CI-2022-0000-1415</t>
  </si>
  <si>
    <t>PK0010499</t>
  </si>
  <si>
    <t>AHMAD TABASSUM</t>
  </si>
  <si>
    <t>BRV CVT 1.5L</t>
  </si>
  <si>
    <t>L15Z13513149</t>
  </si>
  <si>
    <t>NFBDG1838JR013359</t>
  </si>
  <si>
    <t>ABK-545-PUNJAB</t>
  </si>
  <si>
    <t>CI-2022-0419-0004</t>
  </si>
  <si>
    <t>Muhammad Nasir khan</t>
  </si>
  <si>
    <t>6R261615</t>
  </si>
  <si>
    <t>NF1AET306H1161581</t>
  </si>
  <si>
    <t>AMN-156-PUNJAB</t>
  </si>
  <si>
    <t>CI-2022-9867-0020</t>
  </si>
  <si>
    <t>MUMTAZ GUL</t>
  </si>
  <si>
    <t>PK10B242340</t>
  </si>
  <si>
    <t>A1J310PK10142342</t>
  </si>
  <si>
    <t>AMS-132-PUNJAB</t>
  </si>
  <si>
    <t>CI-2023-7101-0008</t>
  </si>
  <si>
    <t>MUHAMMAD TANVEER ASLAM</t>
  </si>
  <si>
    <t>Swift GL CVT Limited Edition</t>
  </si>
  <si>
    <t>K12MR1017317</t>
  </si>
  <si>
    <t>NF1SZC63S00117312</t>
  </si>
  <si>
    <t>BCX-735-ICT</t>
  </si>
  <si>
    <t>CM-2021-0415-1127</t>
  </si>
  <si>
    <t>IMRAN NAZIR</t>
  </si>
  <si>
    <t>HONDA CITY ASPIRE PT 1.5</t>
  </si>
  <si>
    <t>L15Z81002489</t>
  </si>
  <si>
    <t>NFBGN9668MR007760</t>
  </si>
  <si>
    <t>CM-2021-4801-1225</t>
  </si>
  <si>
    <t>ADEEL ASGHAR</t>
  </si>
  <si>
    <t>TOYOTA COROLLA ALTIS A/T 1.6</t>
  </si>
  <si>
    <t>Q082787</t>
  </si>
  <si>
    <t>ZRE171R-6060326</t>
  </si>
  <si>
    <t>CM-2021-9855-0393</t>
  </si>
  <si>
    <t>AFTAB MEHDI SHAH</t>
  </si>
  <si>
    <t>L15Z81001774</t>
  </si>
  <si>
    <t>NFBGN966XMR006397</t>
  </si>
  <si>
    <t>Policy #</t>
  </si>
  <si>
    <t>Tms prem</t>
  </si>
  <si>
    <t>Difference</t>
  </si>
  <si>
    <t>Tagging</t>
  </si>
  <si>
    <t>KHI/HO/D/MO/PC COMP/C/104213/1/12/2024</t>
  </si>
  <si>
    <t>KHI/HO/D/MO/PC COMP/C/104370/4/12/2024</t>
  </si>
  <si>
    <t>KHI/HO/D/MO/PC COMP/C/104233/2/12/2024</t>
  </si>
  <si>
    <t>KHI/HO/D/MO/PC COMP/C/104233/4/12/2024</t>
  </si>
  <si>
    <t>KHI/HO/D/MO/PC COMP/C/104240/2/12/2024</t>
  </si>
  <si>
    <t>KHI/HO/D/MO/PC COMP/C/104279/1/12/2024</t>
  </si>
  <si>
    <t>KHI/HO/D/MO/PC COMP/C/104274/1/12/2024</t>
  </si>
  <si>
    <t>KHI/HO/D/MO/PC COMP/C/104369/2/12/2024</t>
  </si>
  <si>
    <t>KHI/HO/D/MO/PC COMP/C/104369/3/12/2024</t>
  </si>
  <si>
    <t>KHI/HO/D/MO/PC COMP/C/104370/3/12/2024</t>
  </si>
  <si>
    <t>KHI/HO/D/MO/PC COMP/C/104220/5/12/2024</t>
  </si>
  <si>
    <t>KHI/HO/D/MO/PC COMP/C/104220/7/12/2024</t>
  </si>
  <si>
    <t>KHI/HO/D/MO/PC COMP/C/104220/3/12/2024</t>
  </si>
  <si>
    <t>KHI/HO/D/MO/PC COMP/C/104220/6/12/2024</t>
  </si>
  <si>
    <t>KHI/HO/D/MO/PC COMP/C/104220/2/12/2024</t>
  </si>
  <si>
    <t>KHI/HO/D/MO/PC COMP/C/104220/8/12/2024</t>
  </si>
  <si>
    <t>KHI/HO/D/MO/PC COMP/C/104220/4/12/2024</t>
  </si>
  <si>
    <t>KHI/HO/D/MO/PC COMP/C/104220/1/12/2024</t>
  </si>
  <si>
    <t>KHI/HO/D/MO/PC COMP/C/104213/2/12/2024</t>
  </si>
  <si>
    <t>KHI/HO/D/MO/PC COMP/C/104227/1/12/2024</t>
  </si>
  <si>
    <t>KHI/HO/D/MO/PC COMP/C/104227/2/12/2024</t>
  </si>
  <si>
    <t>KHI/HO/D/MO/PC COMP/C/104269/1/12/2024</t>
  </si>
  <si>
    <t>KHI/HO/D/MO/PC COMP/C/104233/3/12/2024</t>
  </si>
  <si>
    <t>KHI/HO/D/MO/PC COMP/C/104233/1/12/2024</t>
  </si>
  <si>
    <t>KHI/HO/D/MO/PC COMP/C/104228/1/12/2024</t>
  </si>
  <si>
    <t>KHI/HO/D/MO/PC COMP/C/104234/1/12/2024</t>
  </si>
  <si>
    <t>KHI/HO/D/MO/PC COMP/C/104230/1/12/2024</t>
  </si>
  <si>
    <t>KHI/HO/D/MO/PC COMP/C/104230/4/12/2024</t>
  </si>
  <si>
    <t>KHI/HO/D/MO/PC COMP/C/104230/2/12/2024</t>
  </si>
  <si>
    <t>KHI/HO/D/MO/PC COMP/C/104230/3/12/2024</t>
  </si>
  <si>
    <t>KHI/HO/D/MO/PC COMP/C/104233/7/12/2024</t>
  </si>
  <si>
    <t>KHI/HO/D/MO/PC COMP/C/104230/5/12/2024</t>
  </si>
  <si>
    <t>KHI/HO/D/MO/PC COMP/C/104243/3/12/2024</t>
  </si>
  <si>
    <t>KHI/HO/D/MO/PC COMP/C/104240/1/12/2024</t>
  </si>
  <si>
    <t>KHI/HO/D/MO/PC COMP/C/104248/2/12/2024</t>
  </si>
  <si>
    <t>KHI/HO/D/MO/PC COMP/C/104248/1/12/2024</t>
  </si>
  <si>
    <t>KHI/HO/D/MO/PC COMP/C/104243/2/12/2024</t>
  </si>
  <si>
    <t>KHI/HO/D/MO/PC COMP/C/104243/1/12/2024</t>
  </si>
  <si>
    <t>KHI/HO/D/MO/PC COMP/C/104265/2/12/2024</t>
  </si>
  <si>
    <t>KHI/HO/D/MO/PC COMP/C/104265/3/12/2024</t>
  </si>
  <si>
    <t>KHI/HO/D/MO/PC COMP/C/104265/1/12/2024</t>
  </si>
  <si>
    <t>KHI/HO/D/MO/PC COMP/C/104264/1/12/2024</t>
  </si>
  <si>
    <t>KHI/HO/D/MO/PC COMP/C/104283/1/12/2024</t>
  </si>
  <si>
    <t>KHI/HO/D/MO/PC COMP/C/104283/3/12/2024</t>
  </si>
  <si>
    <t>KHI/HO/D/MO/PC COMP/C/104283/5/12/2024</t>
  </si>
  <si>
    <t>KHI/HO/D/MO/PC COMP/C/104283/2/12/2024</t>
  </si>
  <si>
    <t>KHI/HO/D/MO/PC COMP/C/104283/4/12/2024</t>
  </si>
  <si>
    <t>KHI/HO/D/MO/PC COMP/C/104281/2/12/2024</t>
  </si>
  <si>
    <t>KHI/HO/D/MO/PC COMP/C/104281/1/12/2024</t>
  </si>
  <si>
    <t>HO/D/MO/PC COMP/C/104366/1/12/2024</t>
  </si>
  <si>
    <t>KHI/HO/D/MO/PC COMP/C/104366/3/12/2024</t>
  </si>
  <si>
    <t>KHI/HO/D/MO/PC COMP/C/104366/2/12/2024</t>
  </si>
  <si>
    <t>KHI/HO/D/MO/PC COMP/C/102302/3/11/2024</t>
  </si>
  <si>
    <t>KHI/HO/D/MO/PC COMP/C/102302/2/11/2024</t>
  </si>
  <si>
    <t>KHI/HO/D/MO/PC COMP/C/104373/2/12/2024</t>
  </si>
  <si>
    <t>KHI/HO/D/MO/PC COMP/C/104373/1/12/2024</t>
  </si>
  <si>
    <t>KHI/HO/D/MO/PC COMP/C/104373/3/12/2024</t>
  </si>
  <si>
    <t>KHI/HO/D/MO/PC COMP/C/104369/6/12/2024</t>
  </si>
  <si>
    <t>KHI/HO/D/MO/PC COMP/C/104374/2/12/2024</t>
  </si>
  <si>
    <t>KHI/HO/D/MO/PC COMP/C/104370/1/12/2024</t>
  </si>
  <si>
    <t>KHI/HO/D/MO/PC COMP/C/104305/1/12/2024</t>
  </si>
  <si>
    <t>KHI/HO/D/MO/PC COMP/C/104370/2/12/2024</t>
  </si>
  <si>
    <t>KHI/HO/D/MO/PC COMP/C/104363/1/12/2024</t>
  </si>
  <si>
    <t>KHI/HO/D/MO/PC COMP/C/104359/1/12/2024</t>
  </si>
  <si>
    <t>KHI/HO/D/MO/PC COMP/C/104359/2/12/2024</t>
  </si>
  <si>
    <t>KHI/HO/D/MO/PC COMP/C/104363/2/12/2024</t>
  </si>
  <si>
    <t>KHI/HO/D/MO/PC COMP/C/104369/4/12/2024</t>
  </si>
  <si>
    <t>KHI/HO/D/MO/PC COMP/C/104368/1/12/2024</t>
  </si>
  <si>
    <t>KHI/HO/D/MO/PC COMP/C/104369/1/12/2024</t>
  </si>
  <si>
    <t>KHI/HO/D/MO/PC COMP/C/104369/5/12/2024</t>
  </si>
  <si>
    <t>KHI/HO/D/MO/PC COMP/C/104298/2/12/2024</t>
  </si>
  <si>
    <t>KHI/HO/D/MO/PC COMP/C/104298/1/12/2024</t>
  </si>
  <si>
    <t>KHI/HO/D/MO/PC COMP/C/104298/3/12/2024</t>
  </si>
  <si>
    <t>KHI/HO/D/MO/PC COMP/C/104297/1/12/2024</t>
  </si>
  <si>
    <t>KHI/HO/D/MO/PC COMP/C/104299/3/12/2024</t>
  </si>
  <si>
    <t>KHI/HO/D/MO/PC COMP/C/104299/1/12/2024</t>
  </si>
  <si>
    <t>KHI/HO/D/MO/PC COMP/C/104299/2/12/2024</t>
  </si>
  <si>
    <t>KHI/HO/D/MO/PC COMP/C/104271/1/12/2024</t>
  </si>
  <si>
    <t>KHI/HO/D/MO/PC COMP/C/104374/1/12/2024</t>
  </si>
  <si>
    <t>REN</t>
  </si>
  <si>
    <t>ENDT. NO.</t>
  </si>
  <si>
    <t>KHI/HO/D/MO/PC COMP/E/51763/00001/01/2025</t>
  </si>
  <si>
    <t>KHI/HO/D/MO/PC COMP/E/51649/00002/01/2025</t>
  </si>
  <si>
    <t>KHI/HO/D/MO/PC COMP/E/51764/00002/01/2025</t>
  </si>
  <si>
    <t>-12-2024</t>
  </si>
  <si>
    <t>-11-2024</t>
  </si>
  <si>
    <t>00005</t>
  </si>
  <si>
    <t>00007</t>
  </si>
  <si>
    <t>00003</t>
  </si>
  <si>
    <t>00006</t>
  </si>
  <si>
    <t>00002</t>
  </si>
  <si>
    <t>00008</t>
  </si>
  <si>
    <t>00004</t>
  </si>
  <si>
    <t>00001</t>
  </si>
  <si>
    <t xml:space="preserve">   </t>
  </si>
  <si>
    <t>FUNC_ASSORTED_STRING(IA.ASSORTED_CODE)</t>
  </si>
  <si>
    <t>ASSORTED_CODE</t>
  </si>
  <si>
    <t>070000172667</t>
  </si>
  <si>
    <t>070000172657</t>
  </si>
  <si>
    <t>070000172659</t>
  </si>
  <si>
    <t>070000172661</t>
  </si>
  <si>
    <t>070000172716</t>
  </si>
  <si>
    <t>070000172573</t>
  </si>
  <si>
    <t>070000172574</t>
  </si>
  <si>
    <t>070000172608</t>
  </si>
  <si>
    <t>070000172621</t>
  </si>
  <si>
    <t>070000172627</t>
  </si>
  <si>
    <t>070000172628</t>
  </si>
  <si>
    <t>070000172631</t>
  </si>
  <si>
    <t>070000172632</t>
  </si>
  <si>
    <t>070000172633</t>
  </si>
  <si>
    <t>070000172541</t>
  </si>
  <si>
    <t>070000172559</t>
  </si>
  <si>
    <t>070000172560</t>
  </si>
  <si>
    <t>070000172561</t>
  </si>
  <si>
    <t>070000172562</t>
  </si>
  <si>
    <t>070000172565</t>
  </si>
  <si>
    <t>070000172577</t>
  </si>
  <si>
    <t>070000172578</t>
  </si>
  <si>
    <t>070000172579</t>
  </si>
  <si>
    <t>070000172606</t>
  </si>
  <si>
    <t>070000172500</t>
  </si>
  <si>
    <t>070000172542</t>
  </si>
  <si>
    <t>070000172546</t>
  </si>
  <si>
    <t>070000172547</t>
  </si>
  <si>
    <t>070000172550</t>
  </si>
  <si>
    <t>070000172551</t>
  </si>
  <si>
    <t>070000172498</t>
  </si>
  <si>
    <t>070000172536</t>
  </si>
  <si>
    <t>070000172537</t>
  </si>
  <si>
    <t>070000172570</t>
  </si>
  <si>
    <t>070000172580</t>
  </si>
  <si>
    <t>070000172581</t>
  </si>
  <si>
    <t>070000172689</t>
  </si>
  <si>
    <t>070000172703</t>
  </si>
  <si>
    <t>070000172704</t>
  </si>
  <si>
    <t>070000172706</t>
  </si>
  <si>
    <t>070000172709</t>
  </si>
  <si>
    <t>070000172710</t>
  </si>
  <si>
    <t>070000172711</t>
  </si>
  <si>
    <t>070000172713</t>
  </si>
  <si>
    <t>070000172714</t>
  </si>
  <si>
    <t>070000172599</t>
  </si>
  <si>
    <t>070000172615</t>
  </si>
  <si>
    <t>070000172624</t>
  </si>
  <si>
    <t>070000172625</t>
  </si>
  <si>
    <t>070000172694</t>
  </si>
  <si>
    <t>070000172696</t>
  </si>
  <si>
    <t>070000172697</t>
  </si>
  <si>
    <t>070000172698</t>
  </si>
  <si>
    <t>070000172699</t>
  </si>
  <si>
    <t>070000172700</t>
  </si>
  <si>
    <t>070000172647</t>
  </si>
  <si>
    <t>070000172527</t>
  </si>
  <si>
    <t>070000172650</t>
  </si>
  <si>
    <t>070000172651</t>
  </si>
  <si>
    <t>070000172654</t>
  </si>
  <si>
    <t>070000170545</t>
  </si>
  <si>
    <t>070000170546</t>
  </si>
  <si>
    <t>070000172509</t>
  </si>
  <si>
    <t>070000172513</t>
  </si>
  <si>
    <t>070000172514</t>
  </si>
  <si>
    <t>070000172516</t>
  </si>
  <si>
    <t>070000172517</t>
  </si>
  <si>
    <t>070000172520</t>
  </si>
  <si>
    <t>070000172521</t>
  </si>
  <si>
    <t>070000172682</t>
  </si>
  <si>
    <t>070000172683</t>
  </si>
  <si>
    <t>070000172686</t>
  </si>
  <si>
    <t>070000172687</t>
  </si>
  <si>
    <t>070000172688</t>
  </si>
  <si>
    <t>070000172601</t>
  </si>
  <si>
    <t>070000172602</t>
  </si>
  <si>
    <t>070000172603</t>
  </si>
  <si>
    <t>070000172678</t>
  </si>
  <si>
    <t>070000172679</t>
  </si>
  <si>
    <t>POLICY NO.</t>
  </si>
  <si>
    <t>Assorted_code</t>
  </si>
  <si>
    <t>Premium</t>
  </si>
  <si>
    <t>22Jan250017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</si>
</sst>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165" fontId="0" fillId="0" borderId="1" xfId="1" applyNumberFormat="1" applyFont="1" applyBorder="1"/>
    <xf numFmtId="165" fontId="2" fillId="0" borderId="2" xfId="1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3" borderId="1" xfId="1" applyNumberFormat="1" applyFont="1" applyFill="1" applyBorder="1"/>
    <xf numFmtId="166" fontId="0" fillId="3" borderId="1" xfId="1" applyNumberFormat="1" applyFont="1" applyFill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5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6" fillId="0" borderId="0" xfId="0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opLeftCell="O73" workbookViewId="0">
      <selection activeCell="Q2" sqref="Q2:Q80"/>
    </sheetView>
  </sheetViews>
  <sheetFormatPr defaultRowHeight="15" x14ac:dyDescent="0.25"/>
  <cols>
    <col min="1" max="1" width="18.28515625" hidden="1" customWidth="1"/>
    <col min="2" max="2" width="10.28515625" hidden="1" customWidth="1"/>
    <col min="3" max="3" width="35.140625" hidden="1" customWidth="1"/>
    <col min="4" max="4" width="43.85546875" hidden="1" customWidth="1"/>
    <col min="5" max="5" width="22.85546875" hidden="1" customWidth="1"/>
    <col min="6" max="6" width="21.7109375" hidden="1" customWidth="1"/>
    <col min="7" max="7" width="17.28515625" hidden="1" customWidth="1"/>
    <col min="8" max="8" width="9.7109375" hidden="1" customWidth="1"/>
    <col min="9" max="9" width="11" hidden="1" customWidth="1"/>
    <col min="10" max="10" width="11.7109375" hidden="1" customWidth="1"/>
    <col min="11" max="11" width="14.140625" hidden="1" customWidth="1"/>
    <col min="12" max="12" width="17" hidden="1" customWidth="1"/>
    <col min="13" max="13" width="19" hidden="1" customWidth="1"/>
    <col min="14" max="14" width="21" hidden="1" customWidth="1"/>
    <col min="15" max="15" width="40.140625" bestFit="1" customWidth="1"/>
    <col min="16" max="16" width="43.140625" bestFit="1" customWidth="1"/>
    <col min="17" max="17" width="11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</v>
      </c>
      <c r="O1" s="1" t="s">
        <v>467</v>
      </c>
      <c r="P1" s="1" t="s">
        <v>551</v>
      </c>
      <c r="Q1" s="1" t="s">
        <v>468</v>
      </c>
      <c r="R1" s="1" t="s">
        <v>469</v>
      </c>
      <c r="S1" s="1" t="s">
        <v>470</v>
      </c>
    </row>
    <row r="2" spans="1:19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45646</v>
      </c>
      <c r="I2" s="3">
        <v>46011</v>
      </c>
      <c r="J2" s="2" t="s">
        <v>20</v>
      </c>
      <c r="K2" s="4">
        <v>2372895</v>
      </c>
      <c r="L2" s="4">
        <v>35593</v>
      </c>
      <c r="M2" s="2" t="s">
        <v>21</v>
      </c>
      <c r="N2" s="2" t="s">
        <v>23</v>
      </c>
      <c r="O2" s="2" t="s">
        <v>481</v>
      </c>
      <c r="P2" s="2"/>
      <c r="Q2" s="8">
        <v>35593</v>
      </c>
      <c r="R2" s="6">
        <f>L2-Q2</f>
        <v>0</v>
      </c>
      <c r="S2" s="2" t="s">
        <v>550</v>
      </c>
    </row>
    <row r="3" spans="1:19" x14ac:dyDescent="0.25">
      <c r="A3" s="2" t="s">
        <v>24</v>
      </c>
      <c r="B3" s="2" t="s">
        <v>14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45651</v>
      </c>
      <c r="I3" s="3">
        <v>46016</v>
      </c>
      <c r="J3" s="2" t="s">
        <v>20</v>
      </c>
      <c r="K3" s="4">
        <v>1093500</v>
      </c>
      <c r="L3" s="4">
        <v>16403</v>
      </c>
      <c r="M3" s="2" t="s">
        <v>21</v>
      </c>
      <c r="N3" s="2" t="s">
        <v>23</v>
      </c>
      <c r="O3" s="2" t="s">
        <v>482</v>
      </c>
      <c r="P3" s="2"/>
      <c r="Q3" s="8">
        <v>16403</v>
      </c>
      <c r="R3" s="6">
        <f t="shared" ref="R3:R66" si="0">L3-Q3</f>
        <v>0</v>
      </c>
      <c r="S3" s="2" t="s">
        <v>550</v>
      </c>
    </row>
    <row r="4" spans="1:19" x14ac:dyDescent="0.25">
      <c r="A4" s="2" t="s">
        <v>30</v>
      </c>
      <c r="B4" s="2" t="s">
        <v>14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19</v>
      </c>
      <c r="H4" s="3">
        <v>45631</v>
      </c>
      <c r="I4" s="3">
        <v>45996</v>
      </c>
      <c r="J4" s="2" t="s">
        <v>20</v>
      </c>
      <c r="K4" s="4">
        <v>2471310</v>
      </c>
      <c r="L4" s="4">
        <v>37070</v>
      </c>
      <c r="M4" s="2" t="s">
        <v>21</v>
      </c>
      <c r="N4" s="2" t="s">
        <v>23</v>
      </c>
      <c r="O4" s="2" t="s">
        <v>483</v>
      </c>
      <c r="P4" s="2"/>
      <c r="Q4" s="8">
        <v>37070</v>
      </c>
      <c r="R4" s="6">
        <f t="shared" si="0"/>
        <v>0</v>
      </c>
      <c r="S4" s="2" t="s">
        <v>550</v>
      </c>
    </row>
    <row r="5" spans="1:19" x14ac:dyDescent="0.25">
      <c r="A5" s="2" t="s">
        <v>35</v>
      </c>
      <c r="B5" s="2" t="s">
        <v>14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19</v>
      </c>
      <c r="H5" s="3">
        <v>45651</v>
      </c>
      <c r="I5" s="3">
        <v>46016</v>
      </c>
      <c r="J5" s="2" t="s">
        <v>20</v>
      </c>
      <c r="K5" s="4">
        <v>1206495</v>
      </c>
      <c r="L5" s="4">
        <v>18097</v>
      </c>
      <c r="M5" s="2" t="s">
        <v>21</v>
      </c>
      <c r="N5" s="2" t="s">
        <v>23</v>
      </c>
      <c r="O5" s="2" t="s">
        <v>484</v>
      </c>
      <c r="P5" s="2"/>
      <c r="Q5" s="8">
        <v>18097</v>
      </c>
      <c r="R5" s="6">
        <f t="shared" si="0"/>
        <v>0</v>
      </c>
      <c r="S5" s="2" t="s">
        <v>550</v>
      </c>
    </row>
    <row r="6" spans="1:19" x14ac:dyDescent="0.25">
      <c r="A6" s="2" t="s">
        <v>40</v>
      </c>
      <c r="B6" s="2" t="s">
        <v>14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19</v>
      </c>
      <c r="H6" s="3">
        <v>45636</v>
      </c>
      <c r="I6" s="3">
        <v>46001</v>
      </c>
      <c r="J6" s="2" t="s">
        <v>20</v>
      </c>
      <c r="K6" s="4">
        <v>1887381</v>
      </c>
      <c r="L6" s="4">
        <v>28311</v>
      </c>
      <c r="M6" s="2" t="s">
        <v>21</v>
      </c>
      <c r="N6" s="2" t="s">
        <v>23</v>
      </c>
      <c r="O6" s="2" t="s">
        <v>485</v>
      </c>
      <c r="P6" s="2"/>
      <c r="Q6" s="8">
        <v>28311</v>
      </c>
      <c r="R6" s="6">
        <f t="shared" si="0"/>
        <v>0</v>
      </c>
      <c r="S6" s="2" t="s">
        <v>550</v>
      </c>
    </row>
    <row r="7" spans="1:19" x14ac:dyDescent="0.25">
      <c r="A7" s="2" t="s">
        <v>45</v>
      </c>
      <c r="B7" s="2" t="s">
        <v>14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19</v>
      </c>
      <c r="H7" s="3">
        <v>45651</v>
      </c>
      <c r="I7" s="3">
        <v>46016</v>
      </c>
      <c r="J7" s="2" t="s">
        <v>20</v>
      </c>
      <c r="K7" s="4">
        <v>2162943</v>
      </c>
      <c r="L7" s="4">
        <v>32444</v>
      </c>
      <c r="M7" s="2" t="s">
        <v>21</v>
      </c>
      <c r="N7" s="2" t="s">
        <v>23</v>
      </c>
      <c r="O7" s="2" t="s">
        <v>486</v>
      </c>
      <c r="P7" s="2"/>
      <c r="Q7" s="8">
        <v>32444</v>
      </c>
      <c r="R7" s="6">
        <f t="shared" si="0"/>
        <v>0</v>
      </c>
      <c r="S7" s="2" t="s">
        <v>550</v>
      </c>
    </row>
    <row r="8" spans="1:19" x14ac:dyDescent="0.25">
      <c r="A8" s="2" t="s">
        <v>50</v>
      </c>
      <c r="B8" s="2" t="s">
        <v>14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19</v>
      </c>
      <c r="H8" s="3">
        <v>45641</v>
      </c>
      <c r="I8" s="3">
        <v>46006</v>
      </c>
      <c r="J8" s="2" t="s">
        <v>20</v>
      </c>
      <c r="K8" s="4">
        <v>1121931</v>
      </c>
      <c r="L8" s="4">
        <v>16829</v>
      </c>
      <c r="M8" s="2" t="s">
        <v>21</v>
      </c>
      <c r="N8" s="2" t="s">
        <v>23</v>
      </c>
      <c r="O8" s="2" t="s">
        <v>487</v>
      </c>
      <c r="P8" s="2"/>
      <c r="Q8" s="8">
        <v>16829</v>
      </c>
      <c r="R8" s="6">
        <f t="shared" si="0"/>
        <v>0</v>
      </c>
      <c r="S8" s="2" t="s">
        <v>550</v>
      </c>
    </row>
    <row r="9" spans="1:19" x14ac:dyDescent="0.25">
      <c r="A9" s="2" t="s">
        <v>55</v>
      </c>
      <c r="B9" s="2" t="s">
        <v>14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19</v>
      </c>
      <c r="H9" s="3">
        <v>45636</v>
      </c>
      <c r="I9" s="3">
        <v>46001</v>
      </c>
      <c r="J9" s="2" t="s">
        <v>20</v>
      </c>
      <c r="K9" s="4">
        <v>1301994</v>
      </c>
      <c r="L9" s="4">
        <v>19530</v>
      </c>
      <c r="M9" s="2" t="s">
        <v>21</v>
      </c>
      <c r="N9" s="2" t="s">
        <v>23</v>
      </c>
      <c r="O9" s="2" t="s">
        <v>488</v>
      </c>
      <c r="P9" s="2"/>
      <c r="Q9" s="8">
        <v>19530</v>
      </c>
      <c r="R9" s="6">
        <f t="shared" si="0"/>
        <v>0</v>
      </c>
      <c r="S9" s="2" t="s">
        <v>550</v>
      </c>
    </row>
    <row r="10" spans="1:19" x14ac:dyDescent="0.25">
      <c r="A10" s="2" t="s">
        <v>60</v>
      </c>
      <c r="B10" s="2" t="s">
        <v>14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3">
        <v>45641</v>
      </c>
      <c r="I10" s="3">
        <v>46006</v>
      </c>
      <c r="J10" s="2" t="s">
        <v>20</v>
      </c>
      <c r="K10" s="4">
        <v>1800630</v>
      </c>
      <c r="L10" s="4">
        <v>27009</v>
      </c>
      <c r="M10" s="2" t="s">
        <v>21</v>
      </c>
      <c r="N10" s="2" t="s">
        <v>23</v>
      </c>
      <c r="O10" s="2" t="s">
        <v>471</v>
      </c>
      <c r="P10" s="2"/>
      <c r="Q10" s="8">
        <v>27009</v>
      </c>
      <c r="R10" s="6">
        <f t="shared" si="0"/>
        <v>0</v>
      </c>
      <c r="S10" s="2" t="s">
        <v>550</v>
      </c>
    </row>
    <row r="11" spans="1:19" x14ac:dyDescent="0.25">
      <c r="A11" s="2" t="s">
        <v>66</v>
      </c>
      <c r="B11" s="2" t="s">
        <v>14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3">
        <v>45651</v>
      </c>
      <c r="I11" s="3">
        <v>46016</v>
      </c>
      <c r="J11" s="2" t="s">
        <v>20</v>
      </c>
      <c r="K11" s="4">
        <v>2430000</v>
      </c>
      <c r="L11" s="4">
        <v>36450</v>
      </c>
      <c r="M11" s="2" t="s">
        <v>21</v>
      </c>
      <c r="N11" s="2" t="s">
        <v>23</v>
      </c>
      <c r="O11" s="2" t="s">
        <v>489</v>
      </c>
      <c r="P11" s="2"/>
      <c r="Q11" s="8">
        <v>36450</v>
      </c>
      <c r="R11" s="6">
        <f t="shared" si="0"/>
        <v>0</v>
      </c>
      <c r="S11" s="2" t="s">
        <v>550</v>
      </c>
    </row>
    <row r="12" spans="1:19" x14ac:dyDescent="0.25">
      <c r="A12" s="2" t="s">
        <v>72</v>
      </c>
      <c r="B12" s="2" t="s">
        <v>14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3">
        <v>45641</v>
      </c>
      <c r="I12" s="3">
        <v>46006</v>
      </c>
      <c r="J12" s="2" t="s">
        <v>20</v>
      </c>
      <c r="K12" s="4">
        <v>733388</v>
      </c>
      <c r="L12" s="4">
        <v>24202</v>
      </c>
      <c r="M12" s="2" t="s">
        <v>78</v>
      </c>
      <c r="N12" s="2" t="s">
        <v>23</v>
      </c>
      <c r="O12" s="2" t="s">
        <v>490</v>
      </c>
      <c r="P12" s="2"/>
      <c r="Q12" s="8">
        <v>24202</v>
      </c>
      <c r="R12" s="6">
        <f t="shared" si="0"/>
        <v>0</v>
      </c>
      <c r="S12" s="2" t="s">
        <v>550</v>
      </c>
    </row>
    <row r="13" spans="1:19" x14ac:dyDescent="0.25">
      <c r="A13" s="2" t="s">
        <v>79</v>
      </c>
      <c r="B13" s="2" t="s">
        <v>14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3">
        <v>45651</v>
      </c>
      <c r="I13" s="3">
        <v>46016</v>
      </c>
      <c r="J13" s="2" t="s">
        <v>20</v>
      </c>
      <c r="K13" s="4">
        <v>1300436</v>
      </c>
      <c r="L13" s="4">
        <v>42914</v>
      </c>
      <c r="M13" s="2" t="s">
        <v>78</v>
      </c>
      <c r="N13" s="2" t="s">
        <v>23</v>
      </c>
      <c r="O13" s="2" t="s">
        <v>491</v>
      </c>
      <c r="P13" s="2"/>
      <c r="Q13" s="8">
        <v>42914</v>
      </c>
      <c r="R13" s="6">
        <f t="shared" si="0"/>
        <v>0</v>
      </c>
      <c r="S13" s="2" t="s">
        <v>550</v>
      </c>
    </row>
    <row r="14" spans="1:19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3">
        <v>45631</v>
      </c>
      <c r="I14" s="3">
        <v>45996</v>
      </c>
      <c r="J14" s="2" t="s">
        <v>20</v>
      </c>
      <c r="K14" s="4">
        <v>1215000</v>
      </c>
      <c r="L14" s="4">
        <v>18225</v>
      </c>
      <c r="M14" s="2" t="s">
        <v>21</v>
      </c>
      <c r="N14" s="2" t="s">
        <v>23</v>
      </c>
      <c r="O14" s="2" t="s">
        <v>548</v>
      </c>
      <c r="P14" s="10" t="s">
        <v>552</v>
      </c>
      <c r="Q14" s="9">
        <v>20250</v>
      </c>
      <c r="R14" s="11">
        <f t="shared" si="0"/>
        <v>-2025</v>
      </c>
      <c r="S14" s="2" t="s">
        <v>550</v>
      </c>
    </row>
    <row r="15" spans="1:19" x14ac:dyDescent="0.25">
      <c r="A15" s="2" t="s">
        <v>92</v>
      </c>
      <c r="B15" s="2" t="s">
        <v>86</v>
      </c>
      <c r="C15" s="2" t="s">
        <v>93</v>
      </c>
      <c r="D15" s="2" t="s">
        <v>26</v>
      </c>
      <c r="E15" s="2" t="s">
        <v>94</v>
      </c>
      <c r="F15" s="2" t="s">
        <v>95</v>
      </c>
      <c r="G15" s="2" t="s">
        <v>96</v>
      </c>
      <c r="H15" s="3">
        <v>45646</v>
      </c>
      <c r="I15" s="3">
        <v>46011</v>
      </c>
      <c r="J15" s="2" t="s">
        <v>20</v>
      </c>
      <c r="K15" s="4">
        <v>2641533.3333333335</v>
      </c>
      <c r="L15" s="4">
        <v>39623</v>
      </c>
      <c r="M15" s="2" t="s">
        <v>21</v>
      </c>
      <c r="N15" s="2" t="s">
        <v>23</v>
      </c>
      <c r="O15" s="2" t="s">
        <v>492</v>
      </c>
      <c r="P15" s="2"/>
      <c r="Q15" s="8">
        <v>39623</v>
      </c>
      <c r="R15" s="6">
        <f t="shared" si="0"/>
        <v>0</v>
      </c>
      <c r="S15" s="2" t="s">
        <v>550</v>
      </c>
    </row>
    <row r="16" spans="1:19" x14ac:dyDescent="0.25">
      <c r="A16" s="2" t="s">
        <v>97</v>
      </c>
      <c r="B16" s="2" t="s">
        <v>98</v>
      </c>
      <c r="C16" s="2" t="s">
        <v>99</v>
      </c>
      <c r="D16" s="2" t="s">
        <v>47</v>
      </c>
      <c r="E16" s="2" t="s">
        <v>100</v>
      </c>
      <c r="F16" s="2" t="s">
        <v>101</v>
      </c>
      <c r="G16" s="2" t="s">
        <v>102</v>
      </c>
      <c r="H16" s="3">
        <v>45651</v>
      </c>
      <c r="I16" s="3">
        <v>46016</v>
      </c>
      <c r="J16" s="2" t="s">
        <v>20</v>
      </c>
      <c r="K16" s="4">
        <v>3178035</v>
      </c>
      <c r="L16" s="4">
        <v>47671</v>
      </c>
      <c r="M16" s="2" t="s">
        <v>21</v>
      </c>
      <c r="N16" s="2" t="s">
        <v>23</v>
      </c>
      <c r="O16" s="2" t="s">
        <v>493</v>
      </c>
      <c r="P16" s="2"/>
      <c r="Q16" s="8">
        <v>47671</v>
      </c>
      <c r="R16" s="6">
        <f t="shared" si="0"/>
        <v>0</v>
      </c>
      <c r="S16" s="2" t="s">
        <v>550</v>
      </c>
    </row>
    <row r="17" spans="1:19" x14ac:dyDescent="0.25">
      <c r="A17" s="2" t="s">
        <v>103</v>
      </c>
      <c r="B17" s="2" t="s">
        <v>98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108</v>
      </c>
      <c r="H17" s="3">
        <v>45651</v>
      </c>
      <c r="I17" s="3">
        <v>46016</v>
      </c>
      <c r="J17" s="2" t="s">
        <v>20</v>
      </c>
      <c r="K17" s="4">
        <v>1403730</v>
      </c>
      <c r="L17" s="4">
        <v>21056</v>
      </c>
      <c r="M17" s="2" t="s">
        <v>21</v>
      </c>
      <c r="N17" s="2" t="s">
        <v>23</v>
      </c>
      <c r="O17" s="2" t="s">
        <v>473</v>
      </c>
      <c r="P17" s="2"/>
      <c r="Q17" s="8">
        <v>21056</v>
      </c>
      <c r="R17" s="6">
        <f t="shared" si="0"/>
        <v>0</v>
      </c>
      <c r="S17" s="2" t="s">
        <v>550</v>
      </c>
    </row>
    <row r="18" spans="1:19" x14ac:dyDescent="0.25">
      <c r="A18" s="2" t="s">
        <v>109</v>
      </c>
      <c r="B18" s="2" t="s">
        <v>98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3">
        <v>45646</v>
      </c>
      <c r="I18" s="3">
        <v>46011</v>
      </c>
      <c r="J18" s="2" t="s">
        <v>20</v>
      </c>
      <c r="K18" s="4">
        <v>2076840</v>
      </c>
      <c r="L18" s="4">
        <v>31153</v>
      </c>
      <c r="M18" s="2" t="s">
        <v>21</v>
      </c>
      <c r="N18" s="2" t="s">
        <v>23</v>
      </c>
      <c r="O18" s="2" t="s">
        <v>494</v>
      </c>
      <c r="P18" s="2"/>
      <c r="Q18" s="8">
        <v>31153</v>
      </c>
      <c r="R18" s="6">
        <f t="shared" si="0"/>
        <v>0</v>
      </c>
      <c r="S18" s="2" t="s">
        <v>550</v>
      </c>
    </row>
    <row r="19" spans="1:19" x14ac:dyDescent="0.25">
      <c r="A19" s="2" t="s">
        <v>115</v>
      </c>
      <c r="B19" s="2" t="s">
        <v>98</v>
      </c>
      <c r="C19" s="2" t="s">
        <v>116</v>
      </c>
      <c r="D19" s="2" t="s">
        <v>88</v>
      </c>
      <c r="E19" s="2" t="s">
        <v>117</v>
      </c>
      <c r="F19" s="2" t="s">
        <v>118</v>
      </c>
      <c r="G19" s="2" t="s">
        <v>119</v>
      </c>
      <c r="H19" s="3">
        <v>45651</v>
      </c>
      <c r="I19" s="3">
        <v>46016</v>
      </c>
      <c r="J19" s="2" t="s">
        <v>20</v>
      </c>
      <c r="K19" s="4">
        <v>1215000</v>
      </c>
      <c r="L19" s="4">
        <v>18225</v>
      </c>
      <c r="M19" s="2" t="s">
        <v>21</v>
      </c>
      <c r="N19" s="2" t="s">
        <v>23</v>
      </c>
      <c r="O19" s="2" t="s">
        <v>474</v>
      </c>
      <c r="P19" s="2"/>
      <c r="Q19" s="8">
        <v>18225</v>
      </c>
      <c r="R19" s="6">
        <f t="shared" si="0"/>
        <v>0</v>
      </c>
      <c r="S19" s="2" t="s">
        <v>550</v>
      </c>
    </row>
    <row r="20" spans="1:19" x14ac:dyDescent="0.25">
      <c r="A20" s="2" t="s">
        <v>120</v>
      </c>
      <c r="B20" s="2" t="s">
        <v>98</v>
      </c>
      <c r="C20" s="2" t="s">
        <v>121</v>
      </c>
      <c r="D20" s="2" t="s">
        <v>105</v>
      </c>
      <c r="E20" s="2" t="s">
        <v>122</v>
      </c>
      <c r="F20" s="2" t="s">
        <v>123</v>
      </c>
      <c r="G20" s="2" t="s">
        <v>124</v>
      </c>
      <c r="H20" s="3">
        <v>45651</v>
      </c>
      <c r="I20" s="3">
        <v>46016</v>
      </c>
      <c r="J20" s="2" t="s">
        <v>20</v>
      </c>
      <c r="K20" s="4">
        <v>2350800</v>
      </c>
      <c r="L20" s="4">
        <v>35262</v>
      </c>
      <c r="M20" s="2" t="s">
        <v>21</v>
      </c>
      <c r="N20" s="2" t="s">
        <v>23</v>
      </c>
      <c r="O20" s="2" t="s">
        <v>495</v>
      </c>
      <c r="P20" s="2"/>
      <c r="Q20" s="8">
        <v>35262</v>
      </c>
      <c r="R20" s="6">
        <f t="shared" si="0"/>
        <v>0</v>
      </c>
      <c r="S20" s="2" t="s">
        <v>550</v>
      </c>
    </row>
    <row r="21" spans="1:19" x14ac:dyDescent="0.25">
      <c r="A21" s="2" t="s">
        <v>125</v>
      </c>
      <c r="B21" s="2" t="s">
        <v>98</v>
      </c>
      <c r="C21" s="2" t="s">
        <v>126</v>
      </c>
      <c r="D21" s="2" t="s">
        <v>105</v>
      </c>
      <c r="E21" s="2" t="s">
        <v>127</v>
      </c>
      <c r="F21" s="2" t="s">
        <v>128</v>
      </c>
      <c r="G21" s="2" t="s">
        <v>129</v>
      </c>
      <c r="H21" s="3">
        <v>45651</v>
      </c>
      <c r="I21" s="3">
        <v>46016</v>
      </c>
      <c r="J21" s="2" t="s">
        <v>20</v>
      </c>
      <c r="K21" s="4">
        <v>2350800</v>
      </c>
      <c r="L21" s="4">
        <v>35262</v>
      </c>
      <c r="M21" s="2" t="s">
        <v>21</v>
      </c>
      <c r="N21" s="2" t="s">
        <v>23</v>
      </c>
      <c r="O21" s="2" t="s">
        <v>496</v>
      </c>
      <c r="P21" s="2"/>
      <c r="Q21" s="8">
        <v>35262</v>
      </c>
      <c r="R21" s="6">
        <f t="shared" si="0"/>
        <v>0</v>
      </c>
      <c r="S21" s="2" t="s">
        <v>550</v>
      </c>
    </row>
    <row r="22" spans="1:19" x14ac:dyDescent="0.25">
      <c r="A22" s="2" t="s">
        <v>130</v>
      </c>
      <c r="B22" s="2" t="s">
        <v>98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135</v>
      </c>
      <c r="H22" s="3">
        <v>45641</v>
      </c>
      <c r="I22" s="3">
        <v>46006</v>
      </c>
      <c r="J22" s="2" t="s">
        <v>20</v>
      </c>
      <c r="K22" s="4">
        <v>2050313</v>
      </c>
      <c r="L22" s="4">
        <v>30755</v>
      </c>
      <c r="M22" s="2" t="s">
        <v>136</v>
      </c>
      <c r="N22" s="2" t="s">
        <v>23</v>
      </c>
      <c r="O22" s="2" t="s">
        <v>497</v>
      </c>
      <c r="P22" s="2"/>
      <c r="Q22" s="8">
        <v>30755</v>
      </c>
      <c r="R22" s="6">
        <f t="shared" si="0"/>
        <v>0</v>
      </c>
      <c r="S22" s="2" t="s">
        <v>550</v>
      </c>
    </row>
    <row r="23" spans="1:19" x14ac:dyDescent="0.25">
      <c r="A23" s="2" t="s">
        <v>137</v>
      </c>
      <c r="B23" s="2" t="s">
        <v>98</v>
      </c>
      <c r="C23" s="2" t="s">
        <v>138</v>
      </c>
      <c r="D23" s="2" t="s">
        <v>139</v>
      </c>
      <c r="E23" s="2" t="s">
        <v>140</v>
      </c>
      <c r="F23" s="2" t="s">
        <v>141</v>
      </c>
      <c r="G23" s="2" t="s">
        <v>142</v>
      </c>
      <c r="H23" s="3">
        <v>45651</v>
      </c>
      <c r="I23" s="3">
        <v>46016</v>
      </c>
      <c r="J23" s="2" t="s">
        <v>20</v>
      </c>
      <c r="K23" s="4">
        <v>1887381</v>
      </c>
      <c r="L23" s="4">
        <v>28311</v>
      </c>
      <c r="M23" s="2" t="s">
        <v>136</v>
      </c>
      <c r="N23" s="2" t="s">
        <v>23</v>
      </c>
      <c r="O23" s="2" t="s">
        <v>498</v>
      </c>
      <c r="P23" s="2"/>
      <c r="Q23" s="8">
        <v>28311</v>
      </c>
      <c r="R23" s="6">
        <f t="shared" si="0"/>
        <v>0</v>
      </c>
      <c r="S23" s="2" t="s">
        <v>550</v>
      </c>
    </row>
    <row r="24" spans="1:19" x14ac:dyDescent="0.25">
      <c r="A24" s="2" t="s">
        <v>143</v>
      </c>
      <c r="B24" s="2" t="s">
        <v>98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148</v>
      </c>
      <c r="H24" s="3">
        <v>45646</v>
      </c>
      <c r="I24" s="3">
        <v>46011</v>
      </c>
      <c r="J24" s="2" t="s">
        <v>20</v>
      </c>
      <c r="K24" s="4">
        <v>2930216</v>
      </c>
      <c r="L24" s="4">
        <v>43953</v>
      </c>
      <c r="M24" s="2" t="s">
        <v>136</v>
      </c>
      <c r="N24" s="2" t="s">
        <v>23</v>
      </c>
      <c r="O24" s="2" t="s">
        <v>499</v>
      </c>
      <c r="P24" s="2"/>
      <c r="Q24" s="8">
        <v>43953</v>
      </c>
      <c r="R24" s="6">
        <f t="shared" si="0"/>
        <v>0</v>
      </c>
      <c r="S24" s="2" t="s">
        <v>550</v>
      </c>
    </row>
    <row r="25" spans="1:19" x14ac:dyDescent="0.25">
      <c r="A25" s="2" t="s">
        <v>149</v>
      </c>
      <c r="B25" s="2" t="s">
        <v>98</v>
      </c>
      <c r="C25" s="2" t="s">
        <v>150</v>
      </c>
      <c r="D25" s="2" t="s">
        <v>151</v>
      </c>
      <c r="E25" s="2" t="s">
        <v>152</v>
      </c>
      <c r="F25" s="2" t="s">
        <v>153</v>
      </c>
      <c r="G25" s="2" t="s">
        <v>154</v>
      </c>
      <c r="H25" s="3">
        <v>45646</v>
      </c>
      <c r="I25" s="3">
        <v>46011</v>
      </c>
      <c r="J25" s="2" t="s">
        <v>20</v>
      </c>
      <c r="K25" s="4">
        <v>1999283</v>
      </c>
      <c r="L25" s="4">
        <v>29989</v>
      </c>
      <c r="M25" s="2" t="s">
        <v>136</v>
      </c>
      <c r="N25" s="2" t="s">
        <v>23</v>
      </c>
      <c r="O25" s="2" t="s">
        <v>500</v>
      </c>
      <c r="P25" s="2"/>
      <c r="Q25" s="8">
        <v>29989</v>
      </c>
      <c r="R25" s="6">
        <f t="shared" si="0"/>
        <v>0</v>
      </c>
      <c r="S25" s="2" t="s">
        <v>550</v>
      </c>
    </row>
    <row r="26" spans="1:19" x14ac:dyDescent="0.25">
      <c r="A26" s="2" t="s">
        <v>155</v>
      </c>
      <c r="B26" s="2" t="s">
        <v>98</v>
      </c>
      <c r="C26" s="2" t="s">
        <v>156</v>
      </c>
      <c r="D26" s="2" t="s">
        <v>16</v>
      </c>
      <c r="E26" s="2" t="s">
        <v>157</v>
      </c>
      <c r="F26" s="2" t="s">
        <v>158</v>
      </c>
      <c r="G26" s="2" t="s">
        <v>159</v>
      </c>
      <c r="H26" s="3">
        <v>45651</v>
      </c>
      <c r="I26" s="3">
        <v>46016</v>
      </c>
      <c r="J26" s="2" t="s">
        <v>20</v>
      </c>
      <c r="K26" s="4">
        <v>4332690</v>
      </c>
      <c r="L26" s="4">
        <v>64990</v>
      </c>
      <c r="M26" s="2" t="s">
        <v>21</v>
      </c>
      <c r="N26" s="2" t="s">
        <v>23</v>
      </c>
      <c r="O26" s="2" t="s">
        <v>501</v>
      </c>
      <c r="P26" s="2"/>
      <c r="Q26" s="8">
        <v>64990</v>
      </c>
      <c r="R26" s="6">
        <f t="shared" si="0"/>
        <v>0</v>
      </c>
      <c r="S26" s="2" t="s">
        <v>550</v>
      </c>
    </row>
    <row r="27" spans="1:19" x14ac:dyDescent="0.25">
      <c r="A27" s="2" t="s">
        <v>160</v>
      </c>
      <c r="B27" s="2" t="s">
        <v>98</v>
      </c>
      <c r="C27" s="2" t="s">
        <v>161</v>
      </c>
      <c r="D27" s="2" t="s">
        <v>162</v>
      </c>
      <c r="E27" s="2" t="s">
        <v>163</v>
      </c>
      <c r="F27" s="2" t="s">
        <v>164</v>
      </c>
      <c r="G27" s="2" t="s">
        <v>165</v>
      </c>
      <c r="H27" s="3">
        <v>45651</v>
      </c>
      <c r="I27" s="3">
        <v>46016</v>
      </c>
      <c r="J27" s="2" t="s">
        <v>20</v>
      </c>
      <c r="K27" s="4">
        <v>2318220</v>
      </c>
      <c r="L27" s="4">
        <v>34773</v>
      </c>
      <c r="M27" s="2" t="s">
        <v>136</v>
      </c>
      <c r="N27" s="2" t="s">
        <v>23</v>
      </c>
      <c r="O27" s="2" t="s">
        <v>502</v>
      </c>
      <c r="P27" s="2"/>
      <c r="Q27" s="8">
        <v>34773</v>
      </c>
      <c r="R27" s="6">
        <f t="shared" si="0"/>
        <v>0</v>
      </c>
      <c r="S27" s="2" t="s">
        <v>550</v>
      </c>
    </row>
    <row r="28" spans="1:19" x14ac:dyDescent="0.25">
      <c r="A28" s="2" t="s">
        <v>166</v>
      </c>
      <c r="B28" s="2" t="s">
        <v>167</v>
      </c>
      <c r="C28" s="2" t="s">
        <v>168</v>
      </c>
      <c r="D28" s="2" t="s">
        <v>88</v>
      </c>
      <c r="E28" s="2" t="s">
        <v>169</v>
      </c>
      <c r="F28" s="2" t="s">
        <v>170</v>
      </c>
      <c r="G28" s="2" t="s">
        <v>171</v>
      </c>
      <c r="H28" s="3">
        <v>45651</v>
      </c>
      <c r="I28" s="3">
        <v>46016</v>
      </c>
      <c r="J28" s="2" t="s">
        <v>20</v>
      </c>
      <c r="K28" s="4">
        <v>764721</v>
      </c>
      <c r="L28" s="4">
        <v>11471</v>
      </c>
      <c r="M28" s="2" t="s">
        <v>21</v>
      </c>
      <c r="N28" s="2" t="s">
        <v>23</v>
      </c>
      <c r="O28" s="2" t="s">
        <v>503</v>
      </c>
      <c r="P28" s="2"/>
      <c r="Q28" s="8">
        <v>11471</v>
      </c>
      <c r="R28" s="6">
        <f t="shared" si="0"/>
        <v>0</v>
      </c>
      <c r="S28" s="2" t="s">
        <v>550</v>
      </c>
    </row>
    <row r="29" spans="1:19" x14ac:dyDescent="0.25">
      <c r="A29" s="2" t="s">
        <v>172</v>
      </c>
      <c r="B29" s="2" t="s">
        <v>167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177</v>
      </c>
      <c r="H29" s="3">
        <v>45646</v>
      </c>
      <c r="I29" s="3">
        <v>46011</v>
      </c>
      <c r="J29" s="2" t="s">
        <v>20</v>
      </c>
      <c r="K29" s="4">
        <v>9009000</v>
      </c>
      <c r="L29" s="4">
        <v>135135</v>
      </c>
      <c r="M29" s="2" t="s">
        <v>21</v>
      </c>
      <c r="N29" s="2" t="s">
        <v>23</v>
      </c>
      <c r="O29" s="2" t="s">
        <v>504</v>
      </c>
      <c r="P29" s="2"/>
      <c r="Q29" s="8">
        <v>135135</v>
      </c>
      <c r="R29" s="6">
        <f t="shared" si="0"/>
        <v>0</v>
      </c>
      <c r="S29" s="2" t="s">
        <v>550</v>
      </c>
    </row>
    <row r="30" spans="1:19" x14ac:dyDescent="0.25">
      <c r="A30" s="2" t="s">
        <v>178</v>
      </c>
      <c r="B30" s="2" t="s">
        <v>167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183</v>
      </c>
      <c r="H30" s="3">
        <v>45646</v>
      </c>
      <c r="I30" s="3">
        <v>46011</v>
      </c>
      <c r="J30" s="2" t="s">
        <v>20</v>
      </c>
      <c r="K30" s="4">
        <v>4251133.333333334</v>
      </c>
      <c r="L30" s="4">
        <v>63767</v>
      </c>
      <c r="M30" s="2" t="s">
        <v>21</v>
      </c>
      <c r="N30" s="2" t="s">
        <v>23</v>
      </c>
      <c r="O30" s="2" t="s">
        <v>475</v>
      </c>
      <c r="P30" s="2"/>
      <c r="Q30" s="8">
        <v>63767</v>
      </c>
      <c r="R30" s="6">
        <f t="shared" si="0"/>
        <v>0</v>
      </c>
      <c r="S30" s="2" t="s">
        <v>550</v>
      </c>
    </row>
    <row r="31" spans="1:19" x14ac:dyDescent="0.25">
      <c r="A31" s="2" t="s">
        <v>184</v>
      </c>
      <c r="B31" s="2" t="s">
        <v>167</v>
      </c>
      <c r="C31" s="2" t="s">
        <v>185</v>
      </c>
      <c r="D31" s="2" t="s">
        <v>186</v>
      </c>
      <c r="E31" s="2" t="s">
        <v>187</v>
      </c>
      <c r="F31" s="2" t="s">
        <v>188</v>
      </c>
      <c r="G31" s="2" t="s">
        <v>189</v>
      </c>
      <c r="H31" s="3">
        <v>45646</v>
      </c>
      <c r="I31" s="3">
        <v>46011</v>
      </c>
      <c r="J31" s="2" t="s">
        <v>20</v>
      </c>
      <c r="K31" s="4">
        <v>1365344</v>
      </c>
      <c r="L31" s="4">
        <v>27307</v>
      </c>
      <c r="M31" s="2" t="s">
        <v>190</v>
      </c>
      <c r="N31" s="2" t="s">
        <v>23</v>
      </c>
      <c r="O31" s="2" t="s">
        <v>505</v>
      </c>
      <c r="P31" s="2"/>
      <c r="Q31" s="8">
        <v>27307</v>
      </c>
      <c r="R31" s="6">
        <f t="shared" si="0"/>
        <v>0</v>
      </c>
      <c r="S31" s="2" t="s">
        <v>550</v>
      </c>
    </row>
    <row r="32" spans="1:19" x14ac:dyDescent="0.25">
      <c r="A32" s="2" t="s">
        <v>191</v>
      </c>
      <c r="B32" s="2" t="s">
        <v>167</v>
      </c>
      <c r="C32" s="2" t="s">
        <v>192</v>
      </c>
      <c r="D32" s="2" t="s">
        <v>193</v>
      </c>
      <c r="E32" s="2" t="s">
        <v>194</v>
      </c>
      <c r="F32" s="2" t="s">
        <v>195</v>
      </c>
      <c r="G32" s="2" t="s">
        <v>196</v>
      </c>
      <c r="H32" s="3">
        <v>45646</v>
      </c>
      <c r="I32" s="3">
        <v>46011</v>
      </c>
      <c r="J32" s="2" t="s">
        <v>20</v>
      </c>
      <c r="K32" s="4">
        <v>1312200</v>
      </c>
      <c r="L32" s="4">
        <v>26244</v>
      </c>
      <c r="M32" s="2" t="s">
        <v>190</v>
      </c>
      <c r="N32" s="2" t="s">
        <v>23</v>
      </c>
      <c r="O32" s="2" t="s">
        <v>506</v>
      </c>
      <c r="P32" s="2"/>
      <c r="Q32" s="8">
        <v>26244</v>
      </c>
      <c r="R32" s="6">
        <f t="shared" si="0"/>
        <v>0</v>
      </c>
      <c r="S32" s="2" t="s">
        <v>550</v>
      </c>
    </row>
    <row r="33" spans="1:20" x14ac:dyDescent="0.25">
      <c r="A33" s="2" t="s">
        <v>197</v>
      </c>
      <c r="B33" s="2" t="s">
        <v>167</v>
      </c>
      <c r="C33" s="2" t="s">
        <v>198</v>
      </c>
      <c r="D33" s="2" t="s">
        <v>199</v>
      </c>
      <c r="E33" s="2" t="s">
        <v>200</v>
      </c>
      <c r="F33" s="2" t="s">
        <v>201</v>
      </c>
      <c r="G33" s="2" t="s">
        <v>202</v>
      </c>
      <c r="H33" s="3">
        <v>45651</v>
      </c>
      <c r="I33" s="3">
        <v>46016</v>
      </c>
      <c r="J33" s="2" t="s">
        <v>20</v>
      </c>
      <c r="K33" s="4">
        <v>2849515</v>
      </c>
      <c r="L33" s="4">
        <v>42743</v>
      </c>
      <c r="M33" s="2" t="s">
        <v>21</v>
      </c>
      <c r="N33" s="2" t="s">
        <v>23</v>
      </c>
      <c r="O33" s="2" t="s">
        <v>507</v>
      </c>
      <c r="P33" s="2"/>
      <c r="Q33" s="8">
        <v>42743</v>
      </c>
      <c r="R33" s="6">
        <f t="shared" si="0"/>
        <v>0</v>
      </c>
      <c r="S33" s="2" t="s">
        <v>550</v>
      </c>
    </row>
    <row r="34" spans="1:20" x14ac:dyDescent="0.25">
      <c r="A34" s="2" t="s">
        <v>203</v>
      </c>
      <c r="B34" s="2" t="s">
        <v>167</v>
      </c>
      <c r="C34" s="2" t="s">
        <v>204</v>
      </c>
      <c r="D34" s="2" t="s">
        <v>205</v>
      </c>
      <c r="E34" s="2" t="s">
        <v>206</v>
      </c>
      <c r="F34" s="2" t="s">
        <v>207</v>
      </c>
      <c r="G34" s="2" t="s">
        <v>208</v>
      </c>
      <c r="H34" s="3">
        <v>45646</v>
      </c>
      <c r="I34" s="3">
        <v>46011</v>
      </c>
      <c r="J34" s="2" t="s">
        <v>20</v>
      </c>
      <c r="K34" s="4">
        <v>1121931</v>
      </c>
      <c r="L34" s="4">
        <v>16829</v>
      </c>
      <c r="M34" s="2" t="s">
        <v>21</v>
      </c>
      <c r="N34" s="2" t="s">
        <v>23</v>
      </c>
      <c r="O34" s="2" t="s">
        <v>508</v>
      </c>
      <c r="P34" s="2"/>
      <c r="Q34" s="8">
        <v>16829</v>
      </c>
      <c r="R34" s="6">
        <f t="shared" si="0"/>
        <v>0</v>
      </c>
      <c r="S34" s="2" t="s">
        <v>550</v>
      </c>
    </row>
    <row r="35" spans="1:20" x14ac:dyDescent="0.25">
      <c r="A35" s="2" t="s">
        <v>209</v>
      </c>
      <c r="B35" s="2" t="s">
        <v>210</v>
      </c>
      <c r="C35" s="2" t="s">
        <v>211</v>
      </c>
      <c r="D35" s="2" t="s">
        <v>212</v>
      </c>
      <c r="E35" s="2" t="s">
        <v>213</v>
      </c>
      <c r="F35" s="2" t="s">
        <v>214</v>
      </c>
      <c r="G35" s="2" t="s">
        <v>215</v>
      </c>
      <c r="H35" s="3">
        <v>45641</v>
      </c>
      <c r="I35" s="3">
        <v>46006</v>
      </c>
      <c r="J35" s="2" t="s">
        <v>20</v>
      </c>
      <c r="K35" s="4">
        <v>1717200</v>
      </c>
      <c r="L35" s="4">
        <v>25758</v>
      </c>
      <c r="M35" s="2" t="s">
        <v>21</v>
      </c>
      <c r="N35" s="2" t="s">
        <v>23</v>
      </c>
      <c r="O35" s="2" t="s">
        <v>509</v>
      </c>
      <c r="P35" s="10" t="s">
        <v>553</v>
      </c>
      <c r="Q35" s="8">
        <v>28620</v>
      </c>
      <c r="R35" s="11">
        <f t="shared" si="0"/>
        <v>-2862</v>
      </c>
      <c r="S35" s="2" t="s">
        <v>550</v>
      </c>
      <c r="T35" s="7"/>
    </row>
    <row r="36" spans="1:20" x14ac:dyDescent="0.25">
      <c r="A36" s="2" t="s">
        <v>216</v>
      </c>
      <c r="B36" s="2" t="s">
        <v>210</v>
      </c>
      <c r="C36" s="2" t="s">
        <v>217</v>
      </c>
      <c r="D36" s="2" t="s">
        <v>218</v>
      </c>
      <c r="E36" s="2" t="s">
        <v>219</v>
      </c>
      <c r="F36" s="2" t="s">
        <v>220</v>
      </c>
      <c r="G36" s="2" t="s">
        <v>221</v>
      </c>
      <c r="H36" s="3">
        <v>45641</v>
      </c>
      <c r="I36" s="3">
        <v>46006</v>
      </c>
      <c r="J36" s="2" t="s">
        <v>20</v>
      </c>
      <c r="K36" s="4">
        <v>3692336</v>
      </c>
      <c r="L36" s="4">
        <v>55385</v>
      </c>
      <c r="M36" s="2" t="s">
        <v>21</v>
      </c>
      <c r="N36" s="2" t="s">
        <v>23</v>
      </c>
      <c r="O36" s="2" t="s">
        <v>510</v>
      </c>
      <c r="P36" s="2"/>
      <c r="Q36" s="8">
        <v>55385</v>
      </c>
      <c r="R36" s="6">
        <f t="shared" si="0"/>
        <v>0</v>
      </c>
      <c r="S36" s="2" t="s">
        <v>550</v>
      </c>
    </row>
    <row r="37" spans="1:20" x14ac:dyDescent="0.25">
      <c r="A37" s="2" t="s">
        <v>222</v>
      </c>
      <c r="B37" s="2" t="s">
        <v>210</v>
      </c>
      <c r="C37" s="2" t="s">
        <v>223</v>
      </c>
      <c r="D37" s="2" t="s">
        <v>105</v>
      </c>
      <c r="E37" s="2" t="s">
        <v>224</v>
      </c>
      <c r="F37" s="2" t="s">
        <v>225</v>
      </c>
      <c r="G37" s="2" t="s">
        <v>226</v>
      </c>
      <c r="H37" s="3">
        <v>45651</v>
      </c>
      <c r="I37" s="3">
        <v>46016</v>
      </c>
      <c r="J37" s="2" t="s">
        <v>20</v>
      </c>
      <c r="K37" s="4">
        <v>1403730</v>
      </c>
      <c r="L37" s="4">
        <v>21056</v>
      </c>
      <c r="M37" s="2" t="s">
        <v>21</v>
      </c>
      <c r="N37" s="2" t="s">
        <v>23</v>
      </c>
      <c r="O37" s="2" t="s">
        <v>511</v>
      </c>
      <c r="P37" s="2"/>
      <c r="Q37" s="8">
        <v>21056</v>
      </c>
      <c r="R37" s="6">
        <f t="shared" si="0"/>
        <v>0</v>
      </c>
      <c r="S37" s="2" t="s">
        <v>550</v>
      </c>
    </row>
    <row r="38" spans="1:20" x14ac:dyDescent="0.25">
      <c r="A38" s="2" t="s">
        <v>227</v>
      </c>
      <c r="B38" s="2" t="s">
        <v>210</v>
      </c>
      <c r="C38" s="2" t="s">
        <v>228</v>
      </c>
      <c r="D38" s="2" t="s">
        <v>229</v>
      </c>
      <c r="E38" s="2" t="s">
        <v>230</v>
      </c>
      <c r="F38" s="2" t="s">
        <v>231</v>
      </c>
      <c r="G38" s="2" t="s">
        <v>232</v>
      </c>
      <c r="H38" s="3">
        <v>45651</v>
      </c>
      <c r="I38" s="3">
        <v>46016</v>
      </c>
      <c r="J38" s="2" t="s">
        <v>20</v>
      </c>
      <c r="K38" s="4">
        <v>4464000</v>
      </c>
      <c r="L38" s="4">
        <v>66960</v>
      </c>
      <c r="M38" s="2" t="s">
        <v>21</v>
      </c>
      <c r="N38" s="2" t="s">
        <v>23</v>
      </c>
      <c r="O38" s="2" t="s">
        <v>512</v>
      </c>
      <c r="P38" s="2"/>
      <c r="Q38" s="8">
        <v>66960</v>
      </c>
      <c r="R38" s="6">
        <f t="shared" si="0"/>
        <v>0</v>
      </c>
      <c r="S38" s="2" t="s">
        <v>550</v>
      </c>
    </row>
    <row r="39" spans="1:20" x14ac:dyDescent="0.25">
      <c r="A39" s="2" t="s">
        <v>233</v>
      </c>
      <c r="B39" s="2" t="s">
        <v>234</v>
      </c>
      <c r="C39" s="2" t="s">
        <v>235</v>
      </c>
      <c r="D39" s="2" t="s">
        <v>62</v>
      </c>
      <c r="E39" s="2" t="s">
        <v>236</v>
      </c>
      <c r="F39" s="2" t="s">
        <v>237</v>
      </c>
      <c r="G39" s="2" t="s">
        <v>238</v>
      </c>
      <c r="H39" s="3">
        <v>45646</v>
      </c>
      <c r="I39" s="3">
        <v>46011</v>
      </c>
      <c r="J39" s="2" t="s">
        <v>20</v>
      </c>
      <c r="K39" s="4">
        <v>1580310</v>
      </c>
      <c r="L39" s="4">
        <v>23705</v>
      </c>
      <c r="M39" s="2" t="s">
        <v>21</v>
      </c>
      <c r="N39" s="2" t="s">
        <v>23</v>
      </c>
      <c r="O39" s="2" t="s">
        <v>513</v>
      </c>
      <c r="P39" s="2"/>
      <c r="Q39" s="8">
        <v>23705</v>
      </c>
      <c r="R39" s="6">
        <f t="shared" si="0"/>
        <v>0</v>
      </c>
      <c r="S39" s="2" t="s">
        <v>550</v>
      </c>
    </row>
    <row r="40" spans="1:20" x14ac:dyDescent="0.25">
      <c r="A40" s="2" t="s">
        <v>239</v>
      </c>
      <c r="B40" s="2" t="s">
        <v>234</v>
      </c>
      <c r="C40" s="2" t="s">
        <v>240</v>
      </c>
      <c r="D40" s="2" t="s">
        <v>241</v>
      </c>
      <c r="E40" s="2" t="s">
        <v>242</v>
      </c>
      <c r="F40" s="2" t="s">
        <v>243</v>
      </c>
      <c r="G40" s="2" t="s">
        <v>244</v>
      </c>
      <c r="H40" s="3">
        <v>45641</v>
      </c>
      <c r="I40" s="3">
        <v>46006</v>
      </c>
      <c r="J40" s="2" t="s">
        <v>20</v>
      </c>
      <c r="K40" s="4">
        <v>1194750</v>
      </c>
      <c r="L40" s="4">
        <v>17921</v>
      </c>
      <c r="M40" s="2" t="s">
        <v>21</v>
      </c>
      <c r="N40" s="2" t="s">
        <v>23</v>
      </c>
      <c r="O40" s="2" t="s">
        <v>514</v>
      </c>
      <c r="P40" s="2"/>
      <c r="Q40" s="8">
        <v>17921</v>
      </c>
      <c r="R40" s="6">
        <f t="shared" si="0"/>
        <v>0</v>
      </c>
      <c r="S40" s="2" t="s">
        <v>550</v>
      </c>
    </row>
    <row r="41" spans="1:20" x14ac:dyDescent="0.25">
      <c r="A41" s="2" t="s">
        <v>245</v>
      </c>
      <c r="B41" s="2" t="s">
        <v>234</v>
      </c>
      <c r="C41" s="2" t="s">
        <v>246</v>
      </c>
      <c r="D41" s="2" t="s">
        <v>26</v>
      </c>
      <c r="E41" s="2" t="s">
        <v>247</v>
      </c>
      <c r="F41" s="2" t="s">
        <v>248</v>
      </c>
      <c r="G41" s="2" t="s">
        <v>249</v>
      </c>
      <c r="H41" s="3">
        <v>45646</v>
      </c>
      <c r="I41" s="3">
        <v>46011</v>
      </c>
      <c r="J41" s="2" t="s">
        <v>20</v>
      </c>
      <c r="K41" s="4">
        <v>1580310</v>
      </c>
      <c r="L41" s="4">
        <v>23705</v>
      </c>
      <c r="M41" s="2" t="s">
        <v>21</v>
      </c>
      <c r="N41" s="2" t="s">
        <v>23</v>
      </c>
      <c r="O41" s="2" t="s">
        <v>515</v>
      </c>
      <c r="P41" s="2"/>
      <c r="Q41" s="8">
        <v>23705</v>
      </c>
      <c r="R41" s="6">
        <f t="shared" si="0"/>
        <v>0</v>
      </c>
      <c r="S41" s="2" t="s">
        <v>550</v>
      </c>
    </row>
    <row r="42" spans="1:20" x14ac:dyDescent="0.25">
      <c r="A42" s="2" t="s">
        <v>250</v>
      </c>
      <c r="B42" s="2" t="s">
        <v>234</v>
      </c>
      <c r="C42" s="2" t="s">
        <v>251</v>
      </c>
      <c r="D42" s="2" t="s">
        <v>105</v>
      </c>
      <c r="E42" s="2" t="s">
        <v>252</v>
      </c>
      <c r="F42" s="2" t="s">
        <v>253</v>
      </c>
      <c r="G42" s="2" t="s">
        <v>254</v>
      </c>
      <c r="H42" s="3">
        <v>45646</v>
      </c>
      <c r="I42" s="3">
        <v>46011</v>
      </c>
      <c r="J42" s="2" t="s">
        <v>20</v>
      </c>
      <c r="K42" s="4">
        <v>1356750</v>
      </c>
      <c r="L42" s="4">
        <v>20351</v>
      </c>
      <c r="M42" s="2" t="s">
        <v>21</v>
      </c>
      <c r="N42" s="2" t="s">
        <v>23</v>
      </c>
      <c r="O42" s="2" t="s">
        <v>516</v>
      </c>
      <c r="P42" s="2"/>
      <c r="Q42" s="8">
        <v>20351</v>
      </c>
      <c r="R42" s="6">
        <f t="shared" si="0"/>
        <v>0</v>
      </c>
      <c r="S42" s="2" t="s">
        <v>550</v>
      </c>
    </row>
    <row r="43" spans="1:20" x14ac:dyDescent="0.25">
      <c r="A43" s="2" t="s">
        <v>255</v>
      </c>
      <c r="B43" s="2" t="s">
        <v>234</v>
      </c>
      <c r="C43" s="2" t="s">
        <v>256</v>
      </c>
      <c r="D43" s="2" t="s">
        <v>62</v>
      </c>
      <c r="E43" s="2" t="s">
        <v>257</v>
      </c>
      <c r="F43" s="2" t="s">
        <v>258</v>
      </c>
      <c r="G43" s="2" t="s">
        <v>259</v>
      </c>
      <c r="H43" s="3">
        <v>45646</v>
      </c>
      <c r="I43" s="3">
        <v>46011</v>
      </c>
      <c r="J43" s="2" t="s">
        <v>20</v>
      </c>
      <c r="K43" s="4">
        <v>1580310</v>
      </c>
      <c r="L43" s="4">
        <v>23705</v>
      </c>
      <c r="M43" s="2" t="s">
        <v>21</v>
      </c>
      <c r="N43" s="2" t="s">
        <v>23</v>
      </c>
      <c r="O43" s="2" t="s">
        <v>517</v>
      </c>
      <c r="P43" s="2"/>
      <c r="Q43" s="8">
        <v>23705</v>
      </c>
      <c r="R43" s="6">
        <f t="shared" si="0"/>
        <v>0</v>
      </c>
      <c r="S43" s="2" t="s">
        <v>550</v>
      </c>
    </row>
    <row r="44" spans="1:20" x14ac:dyDescent="0.25">
      <c r="A44" s="2" t="s">
        <v>260</v>
      </c>
      <c r="B44" s="2" t="s">
        <v>234</v>
      </c>
      <c r="C44" s="2" t="s">
        <v>261</v>
      </c>
      <c r="D44" s="2" t="s">
        <v>262</v>
      </c>
      <c r="E44" s="2" t="s">
        <v>263</v>
      </c>
      <c r="F44" s="2" t="s">
        <v>264</v>
      </c>
      <c r="G44" s="2" t="s">
        <v>265</v>
      </c>
      <c r="H44" s="3">
        <v>45651</v>
      </c>
      <c r="I44" s="3">
        <v>46016</v>
      </c>
      <c r="J44" s="2" t="s">
        <v>20</v>
      </c>
      <c r="K44" s="4">
        <v>3479400</v>
      </c>
      <c r="L44" s="4">
        <v>52191</v>
      </c>
      <c r="M44" s="2" t="s">
        <v>21</v>
      </c>
      <c r="N44" s="2" t="s">
        <v>23</v>
      </c>
      <c r="O44" s="2" t="s">
        <v>518</v>
      </c>
      <c r="P44" s="10" t="s">
        <v>554</v>
      </c>
      <c r="Q44" s="8">
        <v>52461</v>
      </c>
      <c r="R44" s="11">
        <f t="shared" si="0"/>
        <v>-270</v>
      </c>
      <c r="S44" s="2" t="s">
        <v>550</v>
      </c>
      <c r="T44" s="7"/>
    </row>
    <row r="45" spans="1:20" x14ac:dyDescent="0.25">
      <c r="A45" s="2" t="s">
        <v>266</v>
      </c>
      <c r="B45" s="2" t="s">
        <v>234</v>
      </c>
      <c r="C45" s="2" t="s">
        <v>267</v>
      </c>
      <c r="D45" s="2" t="s">
        <v>105</v>
      </c>
      <c r="E45" s="2" t="s">
        <v>268</v>
      </c>
      <c r="F45" s="2" t="s">
        <v>269</v>
      </c>
      <c r="G45" s="2" t="s">
        <v>270</v>
      </c>
      <c r="H45" s="3">
        <v>45646</v>
      </c>
      <c r="I45" s="3">
        <v>46011</v>
      </c>
      <c r="J45" s="2" t="s">
        <v>20</v>
      </c>
      <c r="K45" s="4">
        <v>2350800</v>
      </c>
      <c r="L45" s="4">
        <v>35262</v>
      </c>
      <c r="M45" s="2" t="s">
        <v>21</v>
      </c>
      <c r="N45" s="2" t="s">
        <v>23</v>
      </c>
      <c r="O45" s="2" t="s">
        <v>519</v>
      </c>
      <c r="P45" s="2"/>
      <c r="Q45" s="8">
        <v>35262</v>
      </c>
      <c r="R45" s="6">
        <f t="shared" si="0"/>
        <v>0</v>
      </c>
      <c r="S45" s="2" t="s">
        <v>550</v>
      </c>
    </row>
    <row r="46" spans="1:20" x14ac:dyDescent="0.25">
      <c r="A46" s="2" t="s">
        <v>271</v>
      </c>
      <c r="B46" s="2" t="s">
        <v>234</v>
      </c>
      <c r="C46" s="2" t="s">
        <v>272</v>
      </c>
      <c r="D46" s="2" t="s">
        <v>273</v>
      </c>
      <c r="E46" s="2" t="s">
        <v>274</v>
      </c>
      <c r="F46" s="2" t="s">
        <v>275</v>
      </c>
      <c r="G46" s="2" t="s">
        <v>276</v>
      </c>
      <c r="H46" s="3">
        <v>45636</v>
      </c>
      <c r="I46" s="3">
        <v>46001</v>
      </c>
      <c r="J46" s="2" t="s">
        <v>20</v>
      </c>
      <c r="K46" s="4">
        <v>1439775</v>
      </c>
      <c r="L46" s="4">
        <v>21597</v>
      </c>
      <c r="M46" s="2" t="s">
        <v>21</v>
      </c>
      <c r="N46" s="2" t="s">
        <v>23</v>
      </c>
      <c r="O46" s="2" t="s">
        <v>476</v>
      </c>
      <c r="P46" s="2"/>
      <c r="Q46" s="8">
        <v>21597</v>
      </c>
      <c r="R46" s="6">
        <f t="shared" si="0"/>
        <v>0</v>
      </c>
      <c r="S46" s="2" t="s">
        <v>550</v>
      </c>
    </row>
    <row r="47" spans="1:20" x14ac:dyDescent="0.25">
      <c r="A47" s="2" t="s">
        <v>277</v>
      </c>
      <c r="B47" s="2" t="s">
        <v>278</v>
      </c>
      <c r="C47" s="2" t="s">
        <v>279</v>
      </c>
      <c r="D47" s="2" t="s">
        <v>26</v>
      </c>
      <c r="E47" s="2" t="s">
        <v>280</v>
      </c>
      <c r="F47" s="2" t="s">
        <v>281</v>
      </c>
      <c r="G47" s="2" t="s">
        <v>282</v>
      </c>
      <c r="H47" s="3">
        <v>45631</v>
      </c>
      <c r="I47" s="3">
        <v>45996</v>
      </c>
      <c r="J47" s="2" t="s">
        <v>20</v>
      </c>
      <c r="K47" s="4">
        <v>1580310</v>
      </c>
      <c r="L47" s="4">
        <v>23705</v>
      </c>
      <c r="M47" s="2" t="s">
        <v>21</v>
      </c>
      <c r="N47" s="2" t="s">
        <v>23</v>
      </c>
      <c r="O47" s="2" t="s">
        <v>477</v>
      </c>
      <c r="P47" s="2"/>
      <c r="Q47" s="8">
        <v>23705</v>
      </c>
      <c r="R47" s="6">
        <f t="shared" si="0"/>
        <v>0</v>
      </c>
      <c r="S47" s="2" t="s">
        <v>550</v>
      </c>
    </row>
    <row r="48" spans="1:20" x14ac:dyDescent="0.25">
      <c r="A48" s="2" t="s">
        <v>283</v>
      </c>
      <c r="B48" s="2" t="s">
        <v>284</v>
      </c>
      <c r="C48" s="2" t="s">
        <v>285</v>
      </c>
      <c r="D48" s="2" t="s">
        <v>37</v>
      </c>
      <c r="E48" s="2" t="s">
        <v>286</v>
      </c>
      <c r="F48" s="2" t="s">
        <v>287</v>
      </c>
      <c r="G48" s="2" t="s">
        <v>288</v>
      </c>
      <c r="H48" s="3">
        <v>45641</v>
      </c>
      <c r="I48" s="3">
        <v>46006</v>
      </c>
      <c r="J48" s="2" t="s">
        <v>20</v>
      </c>
      <c r="K48" s="4">
        <v>2205000</v>
      </c>
      <c r="L48" s="4">
        <v>33075</v>
      </c>
      <c r="M48" s="2" t="s">
        <v>21</v>
      </c>
      <c r="N48" s="2" t="s">
        <v>23</v>
      </c>
      <c r="O48" s="2" t="s">
        <v>520</v>
      </c>
      <c r="P48" s="2"/>
      <c r="Q48" s="8">
        <v>33075</v>
      </c>
      <c r="R48" s="6">
        <f t="shared" si="0"/>
        <v>0</v>
      </c>
      <c r="S48" s="2" t="s">
        <v>550</v>
      </c>
    </row>
    <row r="49" spans="1:19" x14ac:dyDescent="0.25">
      <c r="A49" s="2" t="s">
        <v>289</v>
      </c>
      <c r="B49" s="2" t="s">
        <v>284</v>
      </c>
      <c r="C49" s="2" t="s">
        <v>290</v>
      </c>
      <c r="D49" s="2" t="s">
        <v>62</v>
      </c>
      <c r="E49" s="2" t="s">
        <v>291</v>
      </c>
      <c r="F49" s="2" t="s">
        <v>292</v>
      </c>
      <c r="G49" s="2" t="s">
        <v>293</v>
      </c>
      <c r="H49" s="3">
        <v>45651</v>
      </c>
      <c r="I49" s="3">
        <v>46016</v>
      </c>
      <c r="J49" s="2" t="s">
        <v>20</v>
      </c>
      <c r="K49" s="4">
        <v>2641533.3333333335</v>
      </c>
      <c r="L49" s="4">
        <v>39623</v>
      </c>
      <c r="M49" s="2" t="s">
        <v>21</v>
      </c>
      <c r="N49" s="2" t="s">
        <v>23</v>
      </c>
      <c r="O49" s="2" t="s">
        <v>521</v>
      </c>
      <c r="P49" s="2"/>
      <c r="Q49" s="8">
        <v>39623</v>
      </c>
      <c r="R49" s="6">
        <f t="shared" si="0"/>
        <v>0</v>
      </c>
      <c r="S49" s="2" t="s">
        <v>550</v>
      </c>
    </row>
    <row r="50" spans="1:19" x14ac:dyDescent="0.25">
      <c r="A50" s="2" t="s">
        <v>294</v>
      </c>
      <c r="B50" s="2" t="s">
        <v>284</v>
      </c>
      <c r="C50" s="2" t="s">
        <v>295</v>
      </c>
      <c r="D50" s="2" t="s">
        <v>296</v>
      </c>
      <c r="E50" s="2" t="s">
        <v>297</v>
      </c>
      <c r="F50" s="2" t="s">
        <v>298</v>
      </c>
      <c r="G50" s="2" t="s">
        <v>299</v>
      </c>
      <c r="H50" s="3">
        <v>45641</v>
      </c>
      <c r="I50" s="3">
        <v>46006</v>
      </c>
      <c r="J50" s="2" t="s">
        <v>20</v>
      </c>
      <c r="K50" s="4">
        <v>4373533</v>
      </c>
      <c r="L50" s="4">
        <v>65603</v>
      </c>
      <c r="M50" s="2" t="s">
        <v>21</v>
      </c>
      <c r="N50" s="2" t="s">
        <v>23</v>
      </c>
      <c r="O50" s="2" t="s">
        <v>522</v>
      </c>
      <c r="P50" s="2"/>
      <c r="Q50" s="8">
        <v>65603</v>
      </c>
      <c r="R50" s="6">
        <f t="shared" si="0"/>
        <v>0</v>
      </c>
      <c r="S50" s="2" t="s">
        <v>550</v>
      </c>
    </row>
    <row r="51" spans="1:19" x14ac:dyDescent="0.25">
      <c r="A51" s="2" t="s">
        <v>300</v>
      </c>
      <c r="B51" s="2" t="s">
        <v>284</v>
      </c>
      <c r="C51" s="2" t="s">
        <v>301</v>
      </c>
      <c r="D51" s="2" t="s">
        <v>302</v>
      </c>
      <c r="E51" s="2" t="s">
        <v>303</v>
      </c>
      <c r="F51" s="2" t="s">
        <v>304</v>
      </c>
      <c r="G51" s="2" t="s">
        <v>19</v>
      </c>
      <c r="H51" s="3">
        <v>45631</v>
      </c>
      <c r="I51" s="3">
        <v>45996</v>
      </c>
      <c r="J51" s="2" t="s">
        <v>20</v>
      </c>
      <c r="K51" s="4">
        <v>2052135</v>
      </c>
      <c r="L51" s="4">
        <v>30782</v>
      </c>
      <c r="M51" s="2" t="s">
        <v>21</v>
      </c>
      <c r="N51" s="2" t="s">
        <v>23</v>
      </c>
      <c r="O51" s="2" t="s">
        <v>523</v>
      </c>
      <c r="P51" s="2"/>
      <c r="Q51" s="8">
        <v>30782</v>
      </c>
      <c r="R51" s="6">
        <f t="shared" si="0"/>
        <v>0</v>
      </c>
      <c r="S51" s="2" t="s">
        <v>550</v>
      </c>
    </row>
    <row r="52" spans="1:19" x14ac:dyDescent="0.25">
      <c r="A52" s="2" t="s">
        <v>305</v>
      </c>
      <c r="B52" s="2" t="s">
        <v>284</v>
      </c>
      <c r="C52" s="2" t="s">
        <v>306</v>
      </c>
      <c r="D52" s="2" t="s">
        <v>307</v>
      </c>
      <c r="E52" s="2" t="s">
        <v>308</v>
      </c>
      <c r="F52" s="2" t="s">
        <v>309</v>
      </c>
      <c r="G52" s="2" t="s">
        <v>19</v>
      </c>
      <c r="H52" s="3">
        <v>45631</v>
      </c>
      <c r="I52" s="3">
        <v>45996</v>
      </c>
      <c r="J52" s="2" t="s">
        <v>20</v>
      </c>
      <c r="K52" s="4">
        <v>1973039</v>
      </c>
      <c r="L52" s="4">
        <v>29596</v>
      </c>
      <c r="M52" s="2" t="s">
        <v>21</v>
      </c>
      <c r="N52" s="2" t="s">
        <v>23</v>
      </c>
      <c r="O52" s="2" t="s">
        <v>549</v>
      </c>
      <c r="P52" s="2"/>
      <c r="Q52" s="9">
        <v>29596</v>
      </c>
      <c r="R52" s="6">
        <f t="shared" si="0"/>
        <v>0</v>
      </c>
      <c r="S52" s="2" t="s">
        <v>550</v>
      </c>
    </row>
    <row r="53" spans="1:19" x14ac:dyDescent="0.25">
      <c r="A53" s="2" t="s">
        <v>310</v>
      </c>
      <c r="B53" s="2" t="s">
        <v>284</v>
      </c>
      <c r="C53" s="2" t="s">
        <v>311</v>
      </c>
      <c r="D53" s="2" t="s">
        <v>312</v>
      </c>
      <c r="E53" s="2" t="s">
        <v>313</v>
      </c>
      <c r="F53" s="2" t="s">
        <v>314</v>
      </c>
      <c r="G53" s="2" t="s">
        <v>19</v>
      </c>
      <c r="H53" s="3">
        <v>45631</v>
      </c>
      <c r="I53" s="3">
        <v>45996</v>
      </c>
      <c r="J53" s="2" t="s">
        <v>20</v>
      </c>
      <c r="K53" s="4">
        <v>2138157</v>
      </c>
      <c r="L53" s="4">
        <v>32072</v>
      </c>
      <c r="M53" s="2" t="s">
        <v>21</v>
      </c>
      <c r="N53" s="2" t="s">
        <v>23</v>
      </c>
      <c r="O53" s="2" t="s">
        <v>524</v>
      </c>
      <c r="P53" s="2"/>
      <c r="Q53" s="8">
        <v>32072</v>
      </c>
      <c r="R53" s="6">
        <f t="shared" si="0"/>
        <v>0</v>
      </c>
      <c r="S53" s="2" t="s">
        <v>550</v>
      </c>
    </row>
    <row r="54" spans="1:19" x14ac:dyDescent="0.25">
      <c r="A54" s="2" t="s">
        <v>315</v>
      </c>
      <c r="B54" s="2" t="s">
        <v>167</v>
      </c>
      <c r="C54" s="2" t="s">
        <v>316</v>
      </c>
      <c r="D54" s="2" t="s">
        <v>105</v>
      </c>
      <c r="E54" s="2" t="s">
        <v>317</v>
      </c>
      <c r="F54" s="2" t="s">
        <v>318</v>
      </c>
      <c r="G54" s="2" t="s">
        <v>319</v>
      </c>
      <c r="H54" s="3">
        <v>45646</v>
      </c>
      <c r="I54" s="3">
        <v>46011</v>
      </c>
      <c r="J54" s="2" t="s">
        <v>20</v>
      </c>
      <c r="K54" s="4">
        <v>1403730</v>
      </c>
      <c r="L54" s="4">
        <v>21056</v>
      </c>
      <c r="M54" s="2" t="s">
        <v>21</v>
      </c>
      <c r="N54" s="2" t="s">
        <v>23</v>
      </c>
      <c r="O54" s="2" t="s">
        <v>525</v>
      </c>
      <c r="P54" s="2"/>
      <c r="Q54" s="8">
        <v>21056</v>
      </c>
      <c r="R54" s="6">
        <f t="shared" si="0"/>
        <v>0</v>
      </c>
      <c r="S54" s="2" t="s">
        <v>550</v>
      </c>
    </row>
    <row r="55" spans="1:19" x14ac:dyDescent="0.25">
      <c r="A55" s="2" t="s">
        <v>320</v>
      </c>
      <c r="B55" s="2" t="s">
        <v>167</v>
      </c>
      <c r="C55" s="2" t="s">
        <v>321</v>
      </c>
      <c r="D55" s="2" t="s">
        <v>105</v>
      </c>
      <c r="E55" s="2" t="s">
        <v>322</v>
      </c>
      <c r="F55" s="2" t="s">
        <v>323</v>
      </c>
      <c r="G55" s="2" t="s">
        <v>324</v>
      </c>
      <c r="H55" s="3">
        <v>45641</v>
      </c>
      <c r="I55" s="3">
        <v>46006</v>
      </c>
      <c r="J55" s="2" t="s">
        <v>20</v>
      </c>
      <c r="K55" s="4">
        <v>1403730</v>
      </c>
      <c r="L55" s="4">
        <v>21056</v>
      </c>
      <c r="M55" s="2" t="s">
        <v>21</v>
      </c>
      <c r="N55" s="2" t="s">
        <v>23</v>
      </c>
      <c r="O55" s="2" t="s">
        <v>526</v>
      </c>
      <c r="P55" s="2"/>
      <c r="Q55" s="8">
        <v>21056</v>
      </c>
      <c r="R55" s="6">
        <f t="shared" si="0"/>
        <v>0</v>
      </c>
      <c r="S55" s="2" t="s">
        <v>550</v>
      </c>
    </row>
    <row r="56" spans="1:19" x14ac:dyDescent="0.25">
      <c r="A56" s="2" t="s">
        <v>325</v>
      </c>
      <c r="B56" s="2" t="s">
        <v>167</v>
      </c>
      <c r="C56" s="2" t="s">
        <v>326</v>
      </c>
      <c r="D56" s="2" t="s">
        <v>327</v>
      </c>
      <c r="E56" s="2" t="s">
        <v>328</v>
      </c>
      <c r="F56" s="2" t="s">
        <v>329</v>
      </c>
      <c r="G56" s="2" t="s">
        <v>330</v>
      </c>
      <c r="H56" s="3">
        <v>45651</v>
      </c>
      <c r="I56" s="3">
        <v>46016</v>
      </c>
      <c r="J56" s="2" t="s">
        <v>20</v>
      </c>
      <c r="K56" s="4">
        <v>5883435</v>
      </c>
      <c r="L56" s="4">
        <v>88252</v>
      </c>
      <c r="M56" s="2" t="s">
        <v>21</v>
      </c>
      <c r="N56" s="2" t="s">
        <v>23</v>
      </c>
      <c r="O56" s="2" t="s">
        <v>527</v>
      </c>
      <c r="P56" s="2"/>
      <c r="Q56" s="8">
        <v>88252</v>
      </c>
      <c r="R56" s="6">
        <f t="shared" si="0"/>
        <v>0</v>
      </c>
      <c r="S56" s="2" t="s">
        <v>550</v>
      </c>
    </row>
    <row r="57" spans="1:19" x14ac:dyDescent="0.25">
      <c r="A57" s="2" t="s">
        <v>331</v>
      </c>
      <c r="B57" s="2" t="s">
        <v>332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337</v>
      </c>
      <c r="H57" s="3">
        <v>45651</v>
      </c>
      <c r="I57" s="3">
        <v>46016</v>
      </c>
      <c r="J57" s="2" t="s">
        <v>20</v>
      </c>
      <c r="K57" s="4">
        <v>2949121</v>
      </c>
      <c r="L57" s="4">
        <v>44237</v>
      </c>
      <c r="M57" s="2" t="s">
        <v>21</v>
      </c>
      <c r="N57" s="2" t="s">
        <v>23</v>
      </c>
      <c r="O57" s="2" t="s">
        <v>528</v>
      </c>
      <c r="P57" s="2"/>
      <c r="Q57" s="8">
        <v>44237</v>
      </c>
      <c r="R57" s="6">
        <f t="shared" si="0"/>
        <v>0</v>
      </c>
      <c r="S57" s="2" t="s">
        <v>550</v>
      </c>
    </row>
    <row r="58" spans="1:19" x14ac:dyDescent="0.25">
      <c r="A58" s="2" t="s">
        <v>338</v>
      </c>
      <c r="B58" s="2" t="s">
        <v>332</v>
      </c>
      <c r="C58" s="2" t="s">
        <v>339</v>
      </c>
      <c r="D58" s="2" t="s">
        <v>340</v>
      </c>
      <c r="E58" s="2" t="s">
        <v>341</v>
      </c>
      <c r="F58" s="2" t="s">
        <v>342</v>
      </c>
      <c r="G58" s="2" t="s">
        <v>343</v>
      </c>
      <c r="H58" s="3">
        <v>45646</v>
      </c>
      <c r="I58" s="3">
        <v>46011</v>
      </c>
      <c r="J58" s="2" t="s">
        <v>20</v>
      </c>
      <c r="K58" s="4">
        <v>3166290</v>
      </c>
      <c r="L58" s="4">
        <v>47494</v>
      </c>
      <c r="M58" s="2" t="s">
        <v>21</v>
      </c>
      <c r="N58" s="2" t="s">
        <v>23</v>
      </c>
      <c r="O58" s="2" t="s">
        <v>478</v>
      </c>
      <c r="P58" s="2"/>
      <c r="Q58" s="8">
        <v>47494</v>
      </c>
      <c r="R58" s="6">
        <f t="shared" si="0"/>
        <v>0</v>
      </c>
      <c r="S58" s="2" t="s">
        <v>550</v>
      </c>
    </row>
    <row r="59" spans="1:19" x14ac:dyDescent="0.25">
      <c r="A59" s="2" t="s">
        <v>344</v>
      </c>
      <c r="B59" s="2" t="s">
        <v>332</v>
      </c>
      <c r="C59" s="2" t="s">
        <v>345</v>
      </c>
      <c r="D59" s="2" t="s">
        <v>105</v>
      </c>
      <c r="E59" s="2" t="s">
        <v>346</v>
      </c>
      <c r="F59" s="2" t="s">
        <v>347</v>
      </c>
      <c r="G59" s="2" t="s">
        <v>348</v>
      </c>
      <c r="H59" s="3">
        <v>45631</v>
      </c>
      <c r="I59" s="3">
        <v>45996</v>
      </c>
      <c r="J59" s="2" t="s">
        <v>20</v>
      </c>
      <c r="K59" s="4">
        <v>1600560</v>
      </c>
      <c r="L59" s="4">
        <v>24008</v>
      </c>
      <c r="M59" s="2" t="s">
        <v>21</v>
      </c>
      <c r="N59" s="2" t="s">
        <v>23</v>
      </c>
      <c r="O59" s="2" t="s">
        <v>529</v>
      </c>
      <c r="P59" s="2"/>
      <c r="Q59" s="8">
        <v>24008</v>
      </c>
      <c r="R59" s="6">
        <f t="shared" si="0"/>
        <v>0</v>
      </c>
      <c r="S59" s="2" t="s">
        <v>550</v>
      </c>
    </row>
    <row r="60" spans="1:19" x14ac:dyDescent="0.25">
      <c r="A60" s="2" t="s">
        <v>349</v>
      </c>
      <c r="B60" s="2" t="s">
        <v>332</v>
      </c>
      <c r="C60" s="2" t="s">
        <v>350</v>
      </c>
      <c r="D60" s="2" t="s">
        <v>26</v>
      </c>
      <c r="E60" s="2" t="s">
        <v>351</v>
      </c>
      <c r="F60" s="2" t="s">
        <v>352</v>
      </c>
      <c r="G60" s="2" t="s">
        <v>353</v>
      </c>
      <c r="H60" s="3">
        <v>45651</v>
      </c>
      <c r="I60" s="3">
        <v>46016</v>
      </c>
      <c r="J60" s="2" t="s">
        <v>20</v>
      </c>
      <c r="K60" s="4">
        <v>1580310</v>
      </c>
      <c r="L60" s="4">
        <v>23705</v>
      </c>
      <c r="M60" s="2" t="s">
        <v>21</v>
      </c>
      <c r="N60" s="2" t="s">
        <v>23</v>
      </c>
      <c r="O60" s="2" t="s">
        <v>479</v>
      </c>
      <c r="P60" s="2"/>
      <c r="Q60" s="8">
        <v>23705</v>
      </c>
      <c r="R60" s="6">
        <f t="shared" si="0"/>
        <v>0</v>
      </c>
      <c r="S60" s="2" t="s">
        <v>550</v>
      </c>
    </row>
    <row r="61" spans="1:19" x14ac:dyDescent="0.25">
      <c r="A61" s="2" t="s">
        <v>354</v>
      </c>
      <c r="B61" s="2" t="s">
        <v>332</v>
      </c>
      <c r="C61" s="2" t="s">
        <v>355</v>
      </c>
      <c r="D61" s="2" t="s">
        <v>186</v>
      </c>
      <c r="E61" s="2" t="s">
        <v>356</v>
      </c>
      <c r="F61" s="2" t="s">
        <v>357</v>
      </c>
      <c r="G61" s="2" t="s">
        <v>358</v>
      </c>
      <c r="H61" s="3">
        <v>45641</v>
      </c>
      <c r="I61" s="3">
        <v>46006</v>
      </c>
      <c r="J61" s="2" t="s">
        <v>20</v>
      </c>
      <c r="K61" s="4">
        <v>1419363</v>
      </c>
      <c r="L61" s="4">
        <v>21290</v>
      </c>
      <c r="M61" s="2" t="s">
        <v>136</v>
      </c>
      <c r="N61" s="2" t="s">
        <v>23</v>
      </c>
      <c r="O61" s="2" t="s">
        <v>530</v>
      </c>
      <c r="P61" s="2"/>
      <c r="Q61" s="8">
        <v>21290</v>
      </c>
      <c r="R61" s="6">
        <f t="shared" si="0"/>
        <v>0</v>
      </c>
      <c r="S61" s="2" t="s">
        <v>550</v>
      </c>
    </row>
    <row r="62" spans="1:19" x14ac:dyDescent="0.25">
      <c r="A62" s="2" t="s">
        <v>359</v>
      </c>
      <c r="B62" s="2" t="s">
        <v>360</v>
      </c>
      <c r="C62" s="2" t="s">
        <v>361</v>
      </c>
      <c r="D62" s="2" t="s">
        <v>105</v>
      </c>
      <c r="E62" s="2" t="s">
        <v>362</v>
      </c>
      <c r="F62" s="2" t="s">
        <v>363</v>
      </c>
      <c r="G62" s="2" t="s">
        <v>364</v>
      </c>
      <c r="H62" s="3">
        <v>45636</v>
      </c>
      <c r="I62" s="3">
        <v>46001</v>
      </c>
      <c r="J62" s="2" t="s">
        <v>20</v>
      </c>
      <c r="K62" s="4">
        <v>1403730</v>
      </c>
      <c r="L62" s="4">
        <v>21056</v>
      </c>
      <c r="M62" s="2" t="s">
        <v>21</v>
      </c>
      <c r="N62" s="2" t="s">
        <v>23</v>
      </c>
      <c r="O62" s="2" t="s">
        <v>531</v>
      </c>
      <c r="P62" s="2"/>
      <c r="Q62" s="8">
        <v>21056</v>
      </c>
      <c r="R62" s="6">
        <f t="shared" si="0"/>
        <v>0</v>
      </c>
      <c r="S62" s="2" t="s">
        <v>550</v>
      </c>
    </row>
    <row r="63" spans="1:19" x14ac:dyDescent="0.25">
      <c r="A63" s="2" t="s">
        <v>365</v>
      </c>
      <c r="B63" s="2" t="s">
        <v>332</v>
      </c>
      <c r="C63" s="2" t="s">
        <v>366</v>
      </c>
      <c r="D63" s="2" t="s">
        <v>367</v>
      </c>
      <c r="E63" s="2" t="s">
        <v>368</v>
      </c>
      <c r="F63" s="2" t="s">
        <v>369</v>
      </c>
      <c r="G63" s="2" t="s">
        <v>370</v>
      </c>
      <c r="H63" s="3">
        <v>45646</v>
      </c>
      <c r="I63" s="3">
        <v>46011</v>
      </c>
      <c r="J63" s="2" t="s">
        <v>20</v>
      </c>
      <c r="K63" s="4">
        <v>4289428.5714285718</v>
      </c>
      <c r="L63" s="4">
        <v>16698</v>
      </c>
      <c r="M63" s="2" t="s">
        <v>136</v>
      </c>
      <c r="N63" s="2" t="s">
        <v>23</v>
      </c>
      <c r="O63" s="2" t="s">
        <v>532</v>
      </c>
      <c r="P63" s="2"/>
      <c r="Q63" s="8">
        <v>16698</v>
      </c>
      <c r="R63" s="6">
        <f t="shared" si="0"/>
        <v>0</v>
      </c>
      <c r="S63" s="2" t="s">
        <v>550</v>
      </c>
    </row>
    <row r="64" spans="1:19" x14ac:dyDescent="0.25">
      <c r="A64" s="2" t="s">
        <v>371</v>
      </c>
      <c r="B64" s="2" t="s">
        <v>332</v>
      </c>
      <c r="C64" s="2" t="s">
        <v>372</v>
      </c>
      <c r="D64" s="2" t="s">
        <v>373</v>
      </c>
      <c r="E64" s="2" t="s">
        <v>374</v>
      </c>
      <c r="F64" s="2" t="s">
        <v>375</v>
      </c>
      <c r="G64" s="2" t="s">
        <v>376</v>
      </c>
      <c r="H64" s="3">
        <v>45631</v>
      </c>
      <c r="I64" s="3">
        <v>45996</v>
      </c>
      <c r="J64" s="2" t="s">
        <v>20</v>
      </c>
      <c r="K64" s="4">
        <v>1206495</v>
      </c>
      <c r="L64" s="4">
        <v>18097</v>
      </c>
      <c r="M64" s="2" t="s">
        <v>136</v>
      </c>
      <c r="N64" s="2" t="s">
        <v>23</v>
      </c>
      <c r="O64" s="2" t="s">
        <v>533</v>
      </c>
      <c r="P64" s="2"/>
      <c r="Q64" s="8">
        <v>18097</v>
      </c>
      <c r="R64" s="6">
        <f t="shared" si="0"/>
        <v>0</v>
      </c>
      <c r="S64" s="2" t="s">
        <v>550</v>
      </c>
    </row>
    <row r="65" spans="1:19" x14ac:dyDescent="0.25">
      <c r="A65" s="2" t="s">
        <v>377</v>
      </c>
      <c r="B65" s="2" t="s">
        <v>332</v>
      </c>
      <c r="C65" s="2" t="s">
        <v>378</v>
      </c>
      <c r="D65" s="2" t="s">
        <v>379</v>
      </c>
      <c r="E65" s="2" t="s">
        <v>380</v>
      </c>
      <c r="F65" s="2" t="s">
        <v>381</v>
      </c>
      <c r="G65" s="2" t="s">
        <v>382</v>
      </c>
      <c r="H65" s="3">
        <v>45631</v>
      </c>
      <c r="I65" s="3">
        <v>45996</v>
      </c>
      <c r="J65" s="2" t="s">
        <v>20</v>
      </c>
      <c r="K65" s="4">
        <v>1887381</v>
      </c>
      <c r="L65" s="4">
        <v>28311</v>
      </c>
      <c r="M65" s="2" t="s">
        <v>136</v>
      </c>
      <c r="N65" s="2" t="s">
        <v>23</v>
      </c>
      <c r="O65" s="2" t="s">
        <v>534</v>
      </c>
      <c r="P65" s="2"/>
      <c r="Q65" s="8">
        <v>28311</v>
      </c>
      <c r="R65" s="6">
        <f t="shared" si="0"/>
        <v>0</v>
      </c>
      <c r="S65" s="2" t="s">
        <v>550</v>
      </c>
    </row>
    <row r="66" spans="1:19" x14ac:dyDescent="0.25">
      <c r="A66" s="2" t="s">
        <v>383</v>
      </c>
      <c r="B66" s="2" t="s">
        <v>332</v>
      </c>
      <c r="C66" s="2" t="s">
        <v>384</v>
      </c>
      <c r="D66" s="2" t="s">
        <v>385</v>
      </c>
      <c r="E66" s="2" t="s">
        <v>386</v>
      </c>
      <c r="F66" s="2" t="s">
        <v>387</v>
      </c>
      <c r="G66" s="2" t="s">
        <v>388</v>
      </c>
      <c r="H66" s="3">
        <v>45651</v>
      </c>
      <c r="I66" s="3">
        <v>46016</v>
      </c>
      <c r="J66" s="2" t="s">
        <v>20</v>
      </c>
      <c r="K66" s="4">
        <v>1970487</v>
      </c>
      <c r="L66" s="4">
        <v>29557</v>
      </c>
      <c r="M66" s="2" t="s">
        <v>136</v>
      </c>
      <c r="N66" s="2" t="s">
        <v>23</v>
      </c>
      <c r="O66" s="2" t="s">
        <v>480</v>
      </c>
      <c r="P66" s="2"/>
      <c r="Q66" s="8">
        <v>29557</v>
      </c>
      <c r="R66" s="6">
        <f t="shared" si="0"/>
        <v>0</v>
      </c>
      <c r="S66" s="2" t="s">
        <v>550</v>
      </c>
    </row>
    <row r="67" spans="1:19" x14ac:dyDescent="0.25">
      <c r="A67" s="2" t="s">
        <v>389</v>
      </c>
      <c r="B67" s="2" t="s">
        <v>332</v>
      </c>
      <c r="C67" s="2" t="s">
        <v>390</v>
      </c>
      <c r="D67" s="2" t="s">
        <v>391</v>
      </c>
      <c r="E67" s="2" t="s">
        <v>392</v>
      </c>
      <c r="F67" s="2" t="s">
        <v>393</v>
      </c>
      <c r="G67" s="2" t="s">
        <v>394</v>
      </c>
      <c r="H67" s="3">
        <v>45631</v>
      </c>
      <c r="I67" s="3">
        <v>45996</v>
      </c>
      <c r="J67" s="2" t="s">
        <v>20</v>
      </c>
      <c r="K67" s="4">
        <v>764721</v>
      </c>
      <c r="L67" s="4">
        <v>11471</v>
      </c>
      <c r="M67" s="2" t="s">
        <v>136</v>
      </c>
      <c r="N67" s="2" t="s">
        <v>23</v>
      </c>
      <c r="O67" s="2" t="s">
        <v>535</v>
      </c>
      <c r="P67" s="2"/>
      <c r="Q67" s="8">
        <v>11471</v>
      </c>
      <c r="R67" s="6">
        <f t="shared" ref="R67:R80" si="1">L67-Q67</f>
        <v>0</v>
      </c>
      <c r="S67" s="2" t="s">
        <v>550</v>
      </c>
    </row>
    <row r="68" spans="1:19" x14ac:dyDescent="0.25">
      <c r="A68" s="2" t="s">
        <v>395</v>
      </c>
      <c r="B68" s="2" t="s">
        <v>332</v>
      </c>
      <c r="C68" s="2" t="s">
        <v>396</v>
      </c>
      <c r="D68" s="2" t="s">
        <v>385</v>
      </c>
      <c r="E68" s="2" t="s">
        <v>397</v>
      </c>
      <c r="F68" s="2" t="s">
        <v>398</v>
      </c>
      <c r="G68" s="2" t="s">
        <v>399</v>
      </c>
      <c r="H68" s="3">
        <v>45631</v>
      </c>
      <c r="I68" s="3">
        <v>45996</v>
      </c>
      <c r="J68" s="2" t="s">
        <v>20</v>
      </c>
      <c r="K68" s="4">
        <v>1970487</v>
      </c>
      <c r="L68" s="4">
        <v>29557</v>
      </c>
      <c r="M68" s="2" t="s">
        <v>136</v>
      </c>
      <c r="N68" s="2" t="s">
        <v>23</v>
      </c>
      <c r="O68" s="2" t="s">
        <v>536</v>
      </c>
      <c r="P68" s="2"/>
      <c r="Q68" s="8">
        <v>29557</v>
      </c>
      <c r="R68" s="6">
        <f t="shared" si="1"/>
        <v>0</v>
      </c>
      <c r="S68" s="2" t="s">
        <v>550</v>
      </c>
    </row>
    <row r="69" spans="1:19" x14ac:dyDescent="0.25">
      <c r="A69" s="2" t="s">
        <v>400</v>
      </c>
      <c r="B69" s="2" t="s">
        <v>360</v>
      </c>
      <c r="C69" s="2" t="s">
        <v>401</v>
      </c>
      <c r="D69" s="2" t="s">
        <v>402</v>
      </c>
      <c r="E69" s="2" t="s">
        <v>403</v>
      </c>
      <c r="F69" s="2" t="s">
        <v>404</v>
      </c>
      <c r="G69" s="2" t="s">
        <v>405</v>
      </c>
      <c r="H69" s="3">
        <v>45651</v>
      </c>
      <c r="I69" s="3">
        <v>46016</v>
      </c>
      <c r="J69" s="2" t="s">
        <v>20</v>
      </c>
      <c r="K69" s="4">
        <v>4287330</v>
      </c>
      <c r="L69" s="4">
        <v>64310</v>
      </c>
      <c r="M69" s="2" t="s">
        <v>21</v>
      </c>
      <c r="N69" s="2" t="s">
        <v>23</v>
      </c>
      <c r="O69" s="2" t="s">
        <v>537</v>
      </c>
      <c r="P69" s="2"/>
      <c r="Q69" s="8">
        <v>64310</v>
      </c>
      <c r="R69" s="6">
        <f t="shared" si="1"/>
        <v>0</v>
      </c>
      <c r="S69" s="2" t="s">
        <v>550</v>
      </c>
    </row>
    <row r="70" spans="1:19" x14ac:dyDescent="0.25">
      <c r="A70" s="2" t="s">
        <v>406</v>
      </c>
      <c r="B70" s="2" t="s">
        <v>360</v>
      </c>
      <c r="C70" s="2" t="s">
        <v>407</v>
      </c>
      <c r="D70" s="2" t="s">
        <v>408</v>
      </c>
      <c r="E70" s="2" t="s">
        <v>409</v>
      </c>
      <c r="F70" s="2" t="s">
        <v>410</v>
      </c>
      <c r="G70" s="2" t="s">
        <v>411</v>
      </c>
      <c r="H70" s="3">
        <v>45646</v>
      </c>
      <c r="I70" s="3">
        <v>46011</v>
      </c>
      <c r="J70" s="2" t="s">
        <v>20</v>
      </c>
      <c r="K70" s="4">
        <v>3600000</v>
      </c>
      <c r="L70" s="4">
        <v>54000</v>
      </c>
      <c r="M70" s="2" t="s">
        <v>21</v>
      </c>
      <c r="N70" s="2" t="s">
        <v>23</v>
      </c>
      <c r="O70" s="2" t="s">
        <v>538</v>
      </c>
      <c r="P70" s="2"/>
      <c r="Q70" s="8">
        <v>54000</v>
      </c>
      <c r="R70" s="6">
        <f t="shared" si="1"/>
        <v>0</v>
      </c>
      <c r="S70" s="2" t="s">
        <v>550</v>
      </c>
    </row>
    <row r="71" spans="1:19" x14ac:dyDescent="0.25">
      <c r="A71" s="2" t="s">
        <v>412</v>
      </c>
      <c r="B71" s="2" t="s">
        <v>360</v>
      </c>
      <c r="C71" s="2" t="s">
        <v>413</v>
      </c>
      <c r="D71" s="2" t="s">
        <v>414</v>
      </c>
      <c r="E71" s="2" t="s">
        <v>415</v>
      </c>
      <c r="F71" s="2" t="s">
        <v>416</v>
      </c>
      <c r="G71" s="2" t="s">
        <v>417</v>
      </c>
      <c r="H71" s="3">
        <v>45646</v>
      </c>
      <c r="I71" s="3">
        <v>46011</v>
      </c>
      <c r="J71" s="2" t="s">
        <v>20</v>
      </c>
      <c r="K71" s="4">
        <v>3411319</v>
      </c>
      <c r="L71" s="4">
        <v>51170</v>
      </c>
      <c r="M71" s="2" t="s">
        <v>21</v>
      </c>
      <c r="N71" s="2" t="s">
        <v>23</v>
      </c>
      <c r="O71" s="2" t="s">
        <v>539</v>
      </c>
      <c r="P71" s="2"/>
      <c r="Q71" s="8">
        <v>51170</v>
      </c>
      <c r="R71" s="6">
        <f t="shared" si="1"/>
        <v>0</v>
      </c>
      <c r="S71" s="2" t="s">
        <v>550</v>
      </c>
    </row>
    <row r="72" spans="1:19" x14ac:dyDescent="0.25">
      <c r="A72" s="2" t="s">
        <v>418</v>
      </c>
      <c r="B72" s="2" t="s">
        <v>360</v>
      </c>
      <c r="C72" s="2" t="s">
        <v>419</v>
      </c>
      <c r="D72" s="2" t="s">
        <v>420</v>
      </c>
      <c r="E72" s="2" t="s">
        <v>421</v>
      </c>
      <c r="F72" s="2" t="s">
        <v>422</v>
      </c>
      <c r="G72" s="2" t="s">
        <v>423</v>
      </c>
      <c r="H72" s="3">
        <v>45636</v>
      </c>
      <c r="I72" s="3">
        <v>46001</v>
      </c>
      <c r="J72" s="2" t="s">
        <v>20</v>
      </c>
      <c r="K72" s="4">
        <v>2468759</v>
      </c>
      <c r="L72" s="4">
        <v>37031</v>
      </c>
      <c r="M72" s="2" t="s">
        <v>136</v>
      </c>
      <c r="N72" s="2" t="s">
        <v>23</v>
      </c>
      <c r="O72" s="2" t="s">
        <v>472</v>
      </c>
      <c r="P72" s="2"/>
      <c r="Q72" s="8">
        <v>37031</v>
      </c>
      <c r="R72" s="6">
        <f t="shared" si="1"/>
        <v>0</v>
      </c>
      <c r="S72" s="2" t="s">
        <v>550</v>
      </c>
    </row>
    <row r="73" spans="1:19" x14ac:dyDescent="0.25">
      <c r="A73" s="2" t="s">
        <v>424</v>
      </c>
      <c r="B73" s="2" t="s">
        <v>360</v>
      </c>
      <c r="C73" s="2" t="s">
        <v>425</v>
      </c>
      <c r="D73" s="2" t="s">
        <v>426</v>
      </c>
      <c r="E73" s="2" t="s">
        <v>427</v>
      </c>
      <c r="F73" s="2" t="s">
        <v>428</v>
      </c>
      <c r="G73" s="2" t="s">
        <v>429</v>
      </c>
      <c r="H73" s="3">
        <v>45651</v>
      </c>
      <c r="I73" s="3">
        <v>46016</v>
      </c>
      <c r="J73" s="2" t="s">
        <v>20</v>
      </c>
      <c r="K73" s="4">
        <v>5761692</v>
      </c>
      <c r="L73" s="4">
        <v>86425</v>
      </c>
      <c r="M73" s="2" t="s">
        <v>21</v>
      </c>
      <c r="N73" s="2" t="s">
        <v>23</v>
      </c>
      <c r="O73" s="2" t="s">
        <v>540</v>
      </c>
      <c r="P73" s="2"/>
      <c r="Q73" s="8">
        <v>86425</v>
      </c>
      <c r="R73" s="6">
        <f t="shared" si="1"/>
        <v>0</v>
      </c>
      <c r="S73" s="2" t="s">
        <v>550</v>
      </c>
    </row>
    <row r="74" spans="1:19" x14ac:dyDescent="0.25">
      <c r="A74" s="2" t="s">
        <v>430</v>
      </c>
      <c r="B74" s="2" t="s">
        <v>431</v>
      </c>
      <c r="C74" s="2" t="s">
        <v>432</v>
      </c>
      <c r="D74" s="2" t="s">
        <v>433</v>
      </c>
      <c r="E74" s="2" t="s">
        <v>434</v>
      </c>
      <c r="F74" s="2" t="s">
        <v>435</v>
      </c>
      <c r="G74" s="2" t="s">
        <v>436</v>
      </c>
      <c r="H74" s="3">
        <v>45646</v>
      </c>
      <c r="I74" s="3">
        <v>46011</v>
      </c>
      <c r="J74" s="2" t="s">
        <v>20</v>
      </c>
      <c r="K74" s="4">
        <v>2660850</v>
      </c>
      <c r="L74" s="4">
        <v>39913</v>
      </c>
      <c r="M74" s="2" t="s">
        <v>21</v>
      </c>
      <c r="N74" s="2" t="s">
        <v>23</v>
      </c>
      <c r="O74" s="2" t="s">
        <v>541</v>
      </c>
      <c r="P74" s="2"/>
      <c r="Q74" s="8">
        <v>39913</v>
      </c>
      <c r="R74" s="6">
        <f t="shared" si="1"/>
        <v>0</v>
      </c>
      <c r="S74" s="2" t="s">
        <v>550</v>
      </c>
    </row>
    <row r="75" spans="1:19" x14ac:dyDescent="0.25">
      <c r="A75" s="2" t="s">
        <v>437</v>
      </c>
      <c r="B75" s="2" t="s">
        <v>431</v>
      </c>
      <c r="C75" s="2" t="s">
        <v>438</v>
      </c>
      <c r="D75" s="2" t="s">
        <v>26</v>
      </c>
      <c r="E75" s="2" t="s">
        <v>439</v>
      </c>
      <c r="F75" s="2" t="s">
        <v>440</v>
      </c>
      <c r="G75" s="2" t="s">
        <v>441</v>
      </c>
      <c r="H75" s="3">
        <v>45646</v>
      </c>
      <c r="I75" s="3">
        <v>46011</v>
      </c>
      <c r="J75" s="2" t="s">
        <v>20</v>
      </c>
      <c r="K75" s="4">
        <v>1580310</v>
      </c>
      <c r="L75" s="4">
        <v>23705</v>
      </c>
      <c r="M75" s="2" t="s">
        <v>21</v>
      </c>
      <c r="N75" s="2" t="s">
        <v>23</v>
      </c>
      <c r="O75" s="2" t="s">
        <v>542</v>
      </c>
      <c r="P75" s="2"/>
      <c r="Q75" s="8">
        <v>23705</v>
      </c>
      <c r="R75" s="6">
        <f t="shared" si="1"/>
        <v>0</v>
      </c>
      <c r="S75" s="2" t="s">
        <v>550</v>
      </c>
    </row>
    <row r="76" spans="1:19" x14ac:dyDescent="0.25">
      <c r="A76" s="2" t="s">
        <v>442</v>
      </c>
      <c r="B76" s="2" t="s">
        <v>431</v>
      </c>
      <c r="C76" s="2" t="s">
        <v>443</v>
      </c>
      <c r="D76" s="2" t="s">
        <v>111</v>
      </c>
      <c r="E76" s="2" t="s">
        <v>444</v>
      </c>
      <c r="F76" s="2" t="s">
        <v>445</v>
      </c>
      <c r="G76" s="2" t="s">
        <v>446</v>
      </c>
      <c r="H76" s="3">
        <v>45651</v>
      </c>
      <c r="I76" s="3">
        <v>46016</v>
      </c>
      <c r="J76" s="2" t="s">
        <v>20</v>
      </c>
      <c r="K76" s="4">
        <v>2076840</v>
      </c>
      <c r="L76" s="4">
        <v>31153</v>
      </c>
      <c r="M76" s="2" t="s">
        <v>21</v>
      </c>
      <c r="N76" s="2" t="s">
        <v>23</v>
      </c>
      <c r="O76" s="2" t="s">
        <v>543</v>
      </c>
      <c r="P76" s="2"/>
      <c r="Q76" s="8">
        <v>31153</v>
      </c>
      <c r="R76" s="6">
        <f t="shared" si="1"/>
        <v>0</v>
      </c>
      <c r="S76" s="2" t="s">
        <v>550</v>
      </c>
    </row>
    <row r="77" spans="1:19" x14ac:dyDescent="0.25">
      <c r="A77" s="2" t="s">
        <v>447</v>
      </c>
      <c r="B77" s="2" t="s">
        <v>431</v>
      </c>
      <c r="C77" s="2" t="s">
        <v>448</v>
      </c>
      <c r="D77" s="2" t="s">
        <v>449</v>
      </c>
      <c r="E77" s="2" t="s">
        <v>450</v>
      </c>
      <c r="F77" s="2" t="s">
        <v>451</v>
      </c>
      <c r="G77" s="2" t="s">
        <v>452</v>
      </c>
      <c r="H77" s="3">
        <v>45651</v>
      </c>
      <c r="I77" s="3">
        <v>46016</v>
      </c>
      <c r="J77" s="2" t="s">
        <v>20</v>
      </c>
      <c r="K77" s="4">
        <v>4464000</v>
      </c>
      <c r="L77" s="4">
        <v>66960</v>
      </c>
      <c r="M77" s="2" t="s">
        <v>21</v>
      </c>
      <c r="N77" s="2" t="s">
        <v>23</v>
      </c>
      <c r="O77" s="2" t="s">
        <v>544</v>
      </c>
      <c r="P77" s="2"/>
      <c r="Q77" s="8">
        <v>66960</v>
      </c>
      <c r="R77" s="6">
        <f t="shared" si="1"/>
        <v>0</v>
      </c>
      <c r="S77" s="2" t="s">
        <v>550</v>
      </c>
    </row>
    <row r="78" spans="1:19" x14ac:dyDescent="0.25">
      <c r="A78" s="2" t="s">
        <v>453</v>
      </c>
      <c r="B78" s="2" t="s">
        <v>431</v>
      </c>
      <c r="C78" s="2" t="s">
        <v>454</v>
      </c>
      <c r="D78" s="2" t="s">
        <v>455</v>
      </c>
      <c r="E78" s="2" t="s">
        <v>456</v>
      </c>
      <c r="F78" s="2" t="s">
        <v>457</v>
      </c>
      <c r="G78" s="2" t="s">
        <v>226</v>
      </c>
      <c r="H78" s="3">
        <v>45641</v>
      </c>
      <c r="I78" s="3">
        <v>46006</v>
      </c>
      <c r="J78" s="2" t="s">
        <v>20</v>
      </c>
      <c r="K78" s="4">
        <v>2393672</v>
      </c>
      <c r="L78" s="4">
        <v>35905</v>
      </c>
      <c r="M78" s="2" t="s">
        <v>21</v>
      </c>
      <c r="N78" s="2" t="s">
        <v>23</v>
      </c>
      <c r="O78" s="2" t="s">
        <v>545</v>
      </c>
      <c r="P78" s="2"/>
      <c r="Q78" s="8">
        <v>35905</v>
      </c>
      <c r="R78" s="6">
        <f t="shared" si="1"/>
        <v>0</v>
      </c>
      <c r="S78" s="2" t="s">
        <v>550</v>
      </c>
    </row>
    <row r="79" spans="1:19" x14ac:dyDescent="0.25">
      <c r="A79" s="2" t="s">
        <v>458</v>
      </c>
      <c r="B79" s="2" t="s">
        <v>431</v>
      </c>
      <c r="C79" s="2" t="s">
        <v>459</v>
      </c>
      <c r="D79" s="2" t="s">
        <v>460</v>
      </c>
      <c r="E79" s="2" t="s">
        <v>461</v>
      </c>
      <c r="F79" s="2" t="s">
        <v>462</v>
      </c>
      <c r="G79" s="2" t="s">
        <v>226</v>
      </c>
      <c r="H79" s="3">
        <v>45631</v>
      </c>
      <c r="I79" s="3">
        <v>45996</v>
      </c>
      <c r="J79" s="2" t="s">
        <v>20</v>
      </c>
      <c r="K79" s="4">
        <v>2393307</v>
      </c>
      <c r="L79" s="4">
        <v>35900</v>
      </c>
      <c r="M79" s="2" t="s">
        <v>21</v>
      </c>
      <c r="N79" s="2" t="s">
        <v>23</v>
      </c>
      <c r="O79" s="2" t="s">
        <v>546</v>
      </c>
      <c r="P79" s="2"/>
      <c r="Q79" s="8">
        <v>35900</v>
      </c>
      <c r="R79" s="6">
        <f t="shared" si="1"/>
        <v>0</v>
      </c>
      <c r="S79" s="2" t="s">
        <v>550</v>
      </c>
    </row>
    <row r="80" spans="1:19" ht="15.75" thickBot="1" x14ac:dyDescent="0.3">
      <c r="A80" s="2" t="s">
        <v>463</v>
      </c>
      <c r="B80" s="2" t="s">
        <v>431</v>
      </c>
      <c r="C80" s="2" t="s">
        <v>464</v>
      </c>
      <c r="D80" s="2" t="s">
        <v>455</v>
      </c>
      <c r="E80" s="2" t="s">
        <v>465</v>
      </c>
      <c r="F80" s="2" t="s">
        <v>466</v>
      </c>
      <c r="G80" s="2" t="s">
        <v>226</v>
      </c>
      <c r="H80" s="3">
        <v>45631</v>
      </c>
      <c r="I80" s="3">
        <v>45996</v>
      </c>
      <c r="J80" s="2" t="s">
        <v>20</v>
      </c>
      <c r="K80" s="4">
        <v>2322959</v>
      </c>
      <c r="L80" s="4">
        <v>34844</v>
      </c>
      <c r="M80" s="2" t="s">
        <v>21</v>
      </c>
      <c r="N80" s="2" t="s">
        <v>23</v>
      </c>
      <c r="O80" s="2" t="s">
        <v>547</v>
      </c>
      <c r="P80" s="2"/>
      <c r="Q80" s="8">
        <v>34844</v>
      </c>
      <c r="R80" s="6">
        <f t="shared" si="1"/>
        <v>0</v>
      </c>
      <c r="S80" s="2" t="s">
        <v>550</v>
      </c>
    </row>
    <row r="81" spans="12:17" ht="15.75" thickBot="1" x14ac:dyDescent="0.3">
      <c r="L81" s="5">
        <v>2786809</v>
      </c>
      <c r="Q81" s="7">
        <f>SUM(Q2:Q80)</f>
        <v>2791966</v>
      </c>
    </row>
  </sheetData>
  <autoFilter ref="A1:S81" xr:uid="{00000000-0009-0000-0000-000000000000}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64CF-BE56-45FF-95A9-15D4A3ED561D}">
  <dimension ref="A1:H81"/>
  <sheetViews>
    <sheetView tabSelected="1" topLeftCell="A75" workbookViewId="0">
      <selection activeCell="D81" sqref="D81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10.5703125" bestFit="1" customWidth="1"/>
    <col min="5" max="5" width="13.7109375" bestFit="1" customWidth="1"/>
    <col min="6" max="6" width="96.85546875" customWidth="1"/>
    <col min="7" max="7" width="87.7109375" customWidth="1"/>
    <col min="8" max="8" width="78.42578125" customWidth="1"/>
  </cols>
  <sheetData>
    <row r="1" spans="1:8" x14ac:dyDescent="0.25">
      <c r="A1" s="13" t="s">
        <v>647</v>
      </c>
      <c r="B1" t="s">
        <v>648</v>
      </c>
      <c r="D1" s="14" t="s">
        <v>649</v>
      </c>
      <c r="E1" s="20" t="s">
        <v>650</v>
      </c>
    </row>
    <row r="2" spans="1:8" ht="95.25" customHeight="1" x14ac:dyDescent="0.25">
      <c r="A2" s="2" t="s">
        <v>481</v>
      </c>
      <c r="B2" s="15" t="str">
        <f>VLOOKUP(A2,policy!B:C,2,0)</f>
        <v>070000172517</v>
      </c>
      <c r="C2" s="8">
        <v>35593</v>
      </c>
      <c r="D2" s="16">
        <f>ROUND(C2,0)</f>
        <v>35593</v>
      </c>
      <c r="E2" s="20" t="s">
        <v>650</v>
      </c>
      <c r="F2" s="1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Omair Ali 16-Aug-2024');"</f>
        <v>('22Jan250017','070000172517','35593',(select max(to_number(i.premium_rcv_detail_code))+1
from ins_premium_det i),'35593','35593','02', '11000003','00','Request by Mr. Omair Ali 16-Aug-2024');</v>
      </c>
      <c r="H2" s="19" t="str">
        <f>F2&amp;G2</f>
        <v>insert into ins_premium_det (premium_rcv_code,assorted_code, rec_amount,premium_rcv_detail_code,remaining_amt, payrec, mode_code,coinsurance_code,class_cd,it_remarks) values('22Jan250017','070000172517','35593',(select max(to_number(i.premium_rcv_detail_code))+1
from ins_premium_det i),'35593','35593','02', '11000003','00','Request by Mr. Omair Ali 16-Aug-2024');</v>
      </c>
    </row>
    <row r="3" spans="1:8" ht="45" x14ac:dyDescent="0.25">
      <c r="A3" s="2" t="s">
        <v>482</v>
      </c>
      <c r="B3" s="15" t="str">
        <f>VLOOKUP(A3,policy!B:C,2,0)</f>
        <v>070000172521</v>
      </c>
      <c r="C3" s="8">
        <v>16403</v>
      </c>
      <c r="D3" s="16">
        <f t="shared" ref="D3:D66" si="1">ROUND(C3,0)</f>
        <v>16403</v>
      </c>
      <c r="E3" s="20" t="s">
        <v>650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</row>
    <row r="4" spans="1:8" ht="45" x14ac:dyDescent="0.25">
      <c r="A4" s="2" t="s">
        <v>483</v>
      </c>
      <c r="B4" s="15" t="str">
        <f>VLOOKUP(A4,policy!B:C,2,0)</f>
        <v>070000172514</v>
      </c>
      <c r="C4" s="8">
        <v>37070</v>
      </c>
      <c r="D4" s="16">
        <f t="shared" si="1"/>
        <v>37070</v>
      </c>
      <c r="E4" s="20" t="s">
        <v>650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</row>
    <row r="5" spans="1:8" ht="45" x14ac:dyDescent="0.25">
      <c r="A5" s="2" t="s">
        <v>484</v>
      </c>
      <c r="B5" s="15" t="str">
        <f>VLOOKUP(A5,policy!B:C,2,0)</f>
        <v>070000172520</v>
      </c>
      <c r="C5" s="8">
        <v>18097</v>
      </c>
      <c r="D5" s="16">
        <f t="shared" si="1"/>
        <v>18097</v>
      </c>
      <c r="E5" s="20" t="s">
        <v>650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</row>
    <row r="6" spans="1:8" ht="45" x14ac:dyDescent="0.25">
      <c r="A6" s="2" t="s">
        <v>485</v>
      </c>
      <c r="B6" s="15" t="str">
        <f>VLOOKUP(A6,policy!B:C,2,0)</f>
        <v>070000172513</v>
      </c>
      <c r="C6" s="8">
        <v>28311</v>
      </c>
      <c r="D6" s="16">
        <f t="shared" si="1"/>
        <v>28311</v>
      </c>
      <c r="E6" s="20" t="s">
        <v>650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</row>
    <row r="7" spans="1:8" ht="45" x14ac:dyDescent="0.25">
      <c r="A7" s="2" t="s">
        <v>486</v>
      </c>
      <c r="B7" s="15" t="str">
        <f>VLOOKUP(A7,policy!B:C,2,0)</f>
        <v>070000172527</v>
      </c>
      <c r="C7" s="8">
        <v>32444</v>
      </c>
      <c r="D7" s="16">
        <f t="shared" si="1"/>
        <v>32444</v>
      </c>
      <c r="E7" s="20" t="s">
        <v>650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</row>
    <row r="8" spans="1:8" ht="45" x14ac:dyDescent="0.25">
      <c r="A8" s="2" t="s">
        <v>487</v>
      </c>
      <c r="B8" s="15" t="str">
        <f>VLOOKUP(A8,policy!B:C,2,0)</f>
        <v>070000172516</v>
      </c>
      <c r="C8" s="8">
        <v>16829</v>
      </c>
      <c r="D8" s="16">
        <f t="shared" si="1"/>
        <v>16829</v>
      </c>
      <c r="E8" s="20" t="s">
        <v>650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</row>
    <row r="9" spans="1:8" ht="45" x14ac:dyDescent="0.25">
      <c r="A9" s="2" t="s">
        <v>488</v>
      </c>
      <c r="B9" s="15" t="str">
        <f>VLOOKUP(A9,policy!B:C,2,0)</f>
        <v>070000172509</v>
      </c>
      <c r="C9" s="8">
        <v>19530</v>
      </c>
      <c r="D9" s="16">
        <f t="shared" si="1"/>
        <v>19530</v>
      </c>
      <c r="E9" s="20" t="s">
        <v>650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</row>
    <row r="10" spans="1:8" ht="45" x14ac:dyDescent="0.25">
      <c r="A10" s="2" t="s">
        <v>471</v>
      </c>
      <c r="B10" s="15" t="str">
        <f>VLOOKUP(A10,policy!B:C,2,0)</f>
        <v>070000172498</v>
      </c>
      <c r="C10" s="8">
        <v>27009</v>
      </c>
      <c r="D10" s="16">
        <f t="shared" si="1"/>
        <v>27009</v>
      </c>
      <c r="E10" s="20" t="s">
        <v>650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</row>
    <row r="11" spans="1:8" ht="45" x14ac:dyDescent="0.25">
      <c r="A11" s="2" t="s">
        <v>489</v>
      </c>
      <c r="B11" s="15" t="str">
        <f>VLOOKUP(A11,policy!B:C,2,0)</f>
        <v>070000172500</v>
      </c>
      <c r="C11" s="8">
        <v>36450</v>
      </c>
      <c r="D11" s="16">
        <f t="shared" si="1"/>
        <v>36450</v>
      </c>
      <c r="E11" s="20" t="s">
        <v>650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</row>
    <row r="12" spans="1:8" ht="45" x14ac:dyDescent="0.25">
      <c r="A12" s="2" t="s">
        <v>490</v>
      </c>
      <c r="B12" s="15" t="str">
        <f>VLOOKUP(A12,policy!B:C,2,0)</f>
        <v>070000172536</v>
      </c>
      <c r="C12" s="8">
        <v>24202</v>
      </c>
      <c r="D12" s="16">
        <f t="shared" si="1"/>
        <v>24202</v>
      </c>
      <c r="E12" s="20" t="s">
        <v>650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</row>
    <row r="13" spans="1:8" ht="45" x14ac:dyDescent="0.25">
      <c r="A13" s="2" t="s">
        <v>491</v>
      </c>
      <c r="B13" s="15" t="str">
        <f>VLOOKUP(A13,policy!B:C,2,0)</f>
        <v>070000172537</v>
      </c>
      <c r="C13" s="8">
        <v>42914</v>
      </c>
      <c r="D13" s="16">
        <f t="shared" si="1"/>
        <v>42914</v>
      </c>
      <c r="E13" s="20" t="s">
        <v>650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</row>
    <row r="14" spans="1:8" ht="45" x14ac:dyDescent="0.25">
      <c r="A14" s="2" t="s">
        <v>548</v>
      </c>
      <c r="B14" s="15" t="str">
        <f>VLOOKUP(A14,policy!B:C,2,0)</f>
        <v>070000172608</v>
      </c>
      <c r="C14" s="9">
        <v>20250</v>
      </c>
      <c r="D14" s="16">
        <f t="shared" si="1"/>
        <v>20250</v>
      </c>
      <c r="E14" s="20" t="s">
        <v>650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</row>
    <row r="15" spans="1:8" ht="45" x14ac:dyDescent="0.25">
      <c r="A15" s="2" t="s">
        <v>492</v>
      </c>
      <c r="B15" s="15" t="str">
        <f>VLOOKUP(A15,policy!B:C,2,0)</f>
        <v>070000172606</v>
      </c>
      <c r="C15" s="8">
        <v>39623</v>
      </c>
      <c r="D15" s="16">
        <f t="shared" si="1"/>
        <v>39623</v>
      </c>
      <c r="E15" s="20" t="s">
        <v>650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</row>
    <row r="16" spans="1:8" ht="45" x14ac:dyDescent="0.25">
      <c r="A16" s="2" t="s">
        <v>493</v>
      </c>
      <c r="B16" s="15" t="str">
        <f>VLOOKUP(A16,policy!B:C,2,0)</f>
        <v>070000172561</v>
      </c>
      <c r="C16" s="8">
        <v>47671</v>
      </c>
      <c r="D16" s="16">
        <f t="shared" si="1"/>
        <v>47671</v>
      </c>
      <c r="E16" s="20" t="s">
        <v>650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</row>
    <row r="17" spans="1:6" ht="45" x14ac:dyDescent="0.25">
      <c r="A17" s="2" t="s">
        <v>473</v>
      </c>
      <c r="B17" s="15" t="str">
        <f>VLOOKUP(A17,policy!B:C,2,0)</f>
        <v>070000172560</v>
      </c>
      <c r="C17" s="8">
        <v>21056</v>
      </c>
      <c r="D17" s="16">
        <f t="shared" si="1"/>
        <v>21056</v>
      </c>
      <c r="E17" s="20" t="s">
        <v>650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</row>
    <row r="18" spans="1:6" ht="45" x14ac:dyDescent="0.25">
      <c r="A18" s="2" t="s">
        <v>494</v>
      </c>
      <c r="B18" s="15" t="str">
        <f>VLOOKUP(A18,policy!B:C,2,0)</f>
        <v>070000172559</v>
      </c>
      <c r="C18" s="8">
        <v>31153</v>
      </c>
      <c r="D18" s="16">
        <f t="shared" si="1"/>
        <v>31153</v>
      </c>
      <c r="E18" s="20" t="s">
        <v>650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</row>
    <row r="19" spans="1:6" ht="45" x14ac:dyDescent="0.25">
      <c r="A19" s="2" t="s">
        <v>474</v>
      </c>
      <c r="B19" s="15" t="str">
        <f>VLOOKUP(A19,policy!B:C,2,0)</f>
        <v>070000172562</v>
      </c>
      <c r="C19" s="8">
        <v>18225</v>
      </c>
      <c r="D19" s="16">
        <f t="shared" si="1"/>
        <v>18225</v>
      </c>
      <c r="E19" s="20" t="s">
        <v>650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</row>
    <row r="20" spans="1:6" ht="45" x14ac:dyDescent="0.25">
      <c r="A20" s="2" t="s">
        <v>495</v>
      </c>
      <c r="B20" s="15" t="str">
        <f>VLOOKUP(A20,policy!B:C,2,0)</f>
        <v>070000172541</v>
      </c>
      <c r="C20" s="8">
        <v>35262</v>
      </c>
      <c r="D20" s="16">
        <f t="shared" si="1"/>
        <v>35262</v>
      </c>
      <c r="E20" s="20" t="s">
        <v>650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</row>
    <row r="21" spans="1:6" ht="45" x14ac:dyDescent="0.25">
      <c r="A21" s="2" t="s">
        <v>496</v>
      </c>
      <c r="B21" s="15" t="str">
        <f>VLOOKUP(A21,policy!B:C,2,0)</f>
        <v>070000172570</v>
      </c>
      <c r="C21" s="8">
        <v>35262</v>
      </c>
      <c r="D21" s="16">
        <f t="shared" si="1"/>
        <v>35262</v>
      </c>
      <c r="E21" s="20" t="s">
        <v>650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</row>
    <row r="22" spans="1:6" ht="45" x14ac:dyDescent="0.25">
      <c r="A22" s="2" t="s">
        <v>497</v>
      </c>
      <c r="B22" s="15" t="str">
        <f>VLOOKUP(A22,policy!B:C,2,0)</f>
        <v>070000172542</v>
      </c>
      <c r="C22" s="8">
        <v>30755</v>
      </c>
      <c r="D22" s="16">
        <f t="shared" si="1"/>
        <v>30755</v>
      </c>
      <c r="E22" s="20" t="s">
        <v>650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</row>
    <row r="23" spans="1:6" ht="45" x14ac:dyDescent="0.25">
      <c r="A23" s="2" t="s">
        <v>498</v>
      </c>
      <c r="B23" s="15" t="str">
        <f>VLOOKUP(A23,policy!B:C,2,0)</f>
        <v>070000172550</v>
      </c>
      <c r="C23" s="8">
        <v>28311</v>
      </c>
      <c r="D23" s="16">
        <f t="shared" si="1"/>
        <v>28311</v>
      </c>
      <c r="E23" s="20" t="s">
        <v>650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</row>
    <row r="24" spans="1:6" ht="45" x14ac:dyDescent="0.25">
      <c r="A24" s="2" t="s">
        <v>499</v>
      </c>
      <c r="B24" s="15" t="str">
        <f>VLOOKUP(A24,policy!B:C,2,0)</f>
        <v>070000172546</v>
      </c>
      <c r="C24" s="8">
        <v>43953</v>
      </c>
      <c r="D24" s="16">
        <f t="shared" si="1"/>
        <v>43953</v>
      </c>
      <c r="E24" s="20" t="s">
        <v>650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</row>
    <row r="25" spans="1:6" ht="45" x14ac:dyDescent="0.25">
      <c r="A25" s="2" t="s">
        <v>500</v>
      </c>
      <c r="B25" s="15" t="str">
        <f>VLOOKUP(A25,policy!B:C,2,0)</f>
        <v>070000172547</v>
      </c>
      <c r="C25" s="8">
        <v>29989</v>
      </c>
      <c r="D25" s="16">
        <f t="shared" si="1"/>
        <v>29989</v>
      </c>
      <c r="E25" s="20" t="s">
        <v>650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</row>
    <row r="26" spans="1:6" ht="45" x14ac:dyDescent="0.25">
      <c r="A26" s="2" t="s">
        <v>501</v>
      </c>
      <c r="B26" s="15" t="str">
        <f>VLOOKUP(A26,policy!B:C,2,0)</f>
        <v>070000172565</v>
      </c>
      <c r="C26" s="8">
        <v>64990</v>
      </c>
      <c r="D26" s="16">
        <f t="shared" si="1"/>
        <v>64990</v>
      </c>
      <c r="E26" s="20" t="s">
        <v>650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</row>
    <row r="27" spans="1:6" ht="45" x14ac:dyDescent="0.25">
      <c r="A27" s="2" t="s">
        <v>502</v>
      </c>
      <c r="B27" s="15" t="str">
        <f>VLOOKUP(A27,policy!B:C,2,0)</f>
        <v>070000172551</v>
      </c>
      <c r="C27" s="8">
        <v>34773</v>
      </c>
      <c r="D27" s="16">
        <f t="shared" si="1"/>
        <v>34773</v>
      </c>
      <c r="E27" s="20" t="s">
        <v>650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</row>
    <row r="28" spans="1:6" ht="45" x14ac:dyDescent="0.25">
      <c r="A28" s="2" t="s">
        <v>503</v>
      </c>
      <c r="B28" s="15" t="str">
        <f>VLOOKUP(A28,policy!B:C,2,0)</f>
        <v>070000172579</v>
      </c>
      <c r="C28" s="8">
        <v>11471</v>
      </c>
      <c r="D28" s="16">
        <f t="shared" si="1"/>
        <v>11471</v>
      </c>
      <c r="E28" s="20" t="s">
        <v>650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</row>
    <row r="29" spans="1:6" ht="45" x14ac:dyDescent="0.25">
      <c r="A29" s="2" t="s">
        <v>504</v>
      </c>
      <c r="B29" s="15" t="str">
        <f>VLOOKUP(A29,policy!B:C,2,0)</f>
        <v>070000172573</v>
      </c>
      <c r="C29" s="8">
        <v>135135</v>
      </c>
      <c r="D29" s="16">
        <f t="shared" si="1"/>
        <v>135135</v>
      </c>
      <c r="E29" s="20" t="s">
        <v>650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</row>
    <row r="30" spans="1:6" ht="45" x14ac:dyDescent="0.25">
      <c r="A30" s="2" t="s">
        <v>475</v>
      </c>
      <c r="B30" s="15" t="str">
        <f>VLOOKUP(A30,policy!B:C,2,0)</f>
        <v>070000172574</v>
      </c>
      <c r="C30" s="8">
        <v>63767</v>
      </c>
      <c r="D30" s="16">
        <f t="shared" si="1"/>
        <v>63767</v>
      </c>
      <c r="E30" s="20" t="s">
        <v>650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</row>
    <row r="31" spans="1:6" ht="45" x14ac:dyDescent="0.25">
      <c r="A31" s="2" t="s">
        <v>505</v>
      </c>
      <c r="B31" s="15" t="str">
        <f>VLOOKUP(A31,policy!B:C,2,0)</f>
        <v>070000172581</v>
      </c>
      <c r="C31" s="8">
        <v>27307</v>
      </c>
      <c r="D31" s="16">
        <f t="shared" si="1"/>
        <v>27307</v>
      </c>
      <c r="E31" s="20" t="s">
        <v>650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</row>
    <row r="32" spans="1:6" ht="45" x14ac:dyDescent="0.25">
      <c r="A32" s="2" t="s">
        <v>506</v>
      </c>
      <c r="B32" s="15" t="str">
        <f>VLOOKUP(A32,policy!B:C,2,0)</f>
        <v>070000172580</v>
      </c>
      <c r="C32" s="8">
        <v>26244</v>
      </c>
      <c r="D32" s="16">
        <f t="shared" si="1"/>
        <v>26244</v>
      </c>
      <c r="E32" s="20" t="s">
        <v>650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</row>
    <row r="33" spans="1:6" ht="45" x14ac:dyDescent="0.25">
      <c r="A33" s="2" t="s">
        <v>507</v>
      </c>
      <c r="B33" s="15" t="str">
        <f>VLOOKUP(A33,policy!B:C,2,0)</f>
        <v>070000172578</v>
      </c>
      <c r="C33" s="8">
        <v>42743</v>
      </c>
      <c r="D33" s="16">
        <f t="shared" si="1"/>
        <v>42743</v>
      </c>
      <c r="E33" s="20" t="s">
        <v>650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</row>
    <row r="34" spans="1:6" ht="45" x14ac:dyDescent="0.25">
      <c r="A34" s="2" t="s">
        <v>508</v>
      </c>
      <c r="B34" s="15" t="str">
        <f>VLOOKUP(A34,policy!B:C,2,0)</f>
        <v>070000172577</v>
      </c>
      <c r="C34" s="8">
        <v>16829</v>
      </c>
      <c r="D34" s="16">
        <f t="shared" si="1"/>
        <v>16829</v>
      </c>
      <c r="E34" s="20" t="s">
        <v>650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</row>
    <row r="35" spans="1:6" ht="45" x14ac:dyDescent="0.25">
      <c r="A35" s="2" t="s">
        <v>509</v>
      </c>
      <c r="B35" s="15" t="str">
        <f>VLOOKUP(A35,policy!B:C,2,0)</f>
        <v>070000172602</v>
      </c>
      <c r="C35" s="8">
        <v>28620</v>
      </c>
      <c r="D35" s="16">
        <f t="shared" si="1"/>
        <v>28620</v>
      </c>
      <c r="E35" s="20" t="s">
        <v>650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</row>
    <row r="36" spans="1:6" ht="45" x14ac:dyDescent="0.25">
      <c r="A36" s="2" t="s">
        <v>510</v>
      </c>
      <c r="B36" s="15" t="str">
        <f>VLOOKUP(A36,policy!B:C,2,0)</f>
        <v>070000172603</v>
      </c>
      <c r="C36" s="8">
        <v>55385</v>
      </c>
      <c r="D36" s="16">
        <f t="shared" si="1"/>
        <v>55385</v>
      </c>
      <c r="E36" s="20" t="s">
        <v>650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</row>
    <row r="37" spans="1:6" ht="45" x14ac:dyDescent="0.25">
      <c r="A37" s="2" t="s">
        <v>511</v>
      </c>
      <c r="B37" s="15" t="str">
        <f>VLOOKUP(A37,policy!B:C,2,0)</f>
        <v>070000172601</v>
      </c>
      <c r="C37" s="8">
        <v>21056</v>
      </c>
      <c r="D37" s="16">
        <f t="shared" si="1"/>
        <v>21056</v>
      </c>
      <c r="E37" s="20" t="s">
        <v>650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</row>
    <row r="38" spans="1:6" ht="45" x14ac:dyDescent="0.25">
      <c r="A38" s="2" t="s">
        <v>512</v>
      </c>
      <c r="B38" s="15" t="str">
        <f>VLOOKUP(A38,policy!B:C,2,0)</f>
        <v>070000172599</v>
      </c>
      <c r="C38" s="8">
        <v>66960</v>
      </c>
      <c r="D38" s="16">
        <f t="shared" si="1"/>
        <v>66960</v>
      </c>
      <c r="E38" s="20" t="s">
        <v>650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</row>
    <row r="39" spans="1:6" ht="45" x14ac:dyDescent="0.25">
      <c r="A39" s="2" t="s">
        <v>513</v>
      </c>
      <c r="B39" s="15" t="str">
        <f>VLOOKUP(A39,policy!B:C,2,0)</f>
        <v>070000172627</v>
      </c>
      <c r="C39" s="8">
        <v>23705</v>
      </c>
      <c r="D39" s="16">
        <f t="shared" si="1"/>
        <v>23705</v>
      </c>
      <c r="E39" s="20" t="s">
        <v>650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</row>
    <row r="40" spans="1:6" ht="45" x14ac:dyDescent="0.25">
      <c r="A40" s="2" t="s">
        <v>514</v>
      </c>
      <c r="B40" s="15" t="str">
        <f>VLOOKUP(A40,policy!B:C,2,0)</f>
        <v>070000172631</v>
      </c>
      <c r="C40" s="8">
        <v>17921</v>
      </c>
      <c r="D40" s="16">
        <f t="shared" si="1"/>
        <v>17921</v>
      </c>
      <c r="E40" s="20" t="s">
        <v>650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</row>
    <row r="41" spans="1:6" ht="45" x14ac:dyDescent="0.25">
      <c r="A41" s="2" t="s">
        <v>515</v>
      </c>
      <c r="B41" s="15" t="str">
        <f>VLOOKUP(A41,policy!B:C,2,0)</f>
        <v>070000172633</v>
      </c>
      <c r="C41" s="8">
        <v>23705</v>
      </c>
      <c r="D41" s="16">
        <f t="shared" si="1"/>
        <v>23705</v>
      </c>
      <c r="E41" s="20" t="s">
        <v>650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</row>
    <row r="42" spans="1:6" ht="45" x14ac:dyDescent="0.25">
      <c r="A42" s="2" t="s">
        <v>516</v>
      </c>
      <c r="B42" s="15" t="str">
        <f>VLOOKUP(A42,policy!B:C,2,0)</f>
        <v>070000172628</v>
      </c>
      <c r="C42" s="8">
        <v>20351</v>
      </c>
      <c r="D42" s="16">
        <f t="shared" si="1"/>
        <v>20351</v>
      </c>
      <c r="E42" s="20" t="s">
        <v>650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</row>
    <row r="43" spans="1:6" ht="45" x14ac:dyDescent="0.25">
      <c r="A43" s="2" t="s">
        <v>517</v>
      </c>
      <c r="B43" s="15" t="str">
        <f>VLOOKUP(A43,policy!B:C,2,0)</f>
        <v>070000172632</v>
      </c>
      <c r="C43" s="8">
        <v>23705</v>
      </c>
      <c r="D43" s="16">
        <f t="shared" si="1"/>
        <v>23705</v>
      </c>
      <c r="E43" s="20" t="s">
        <v>650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</row>
    <row r="44" spans="1:6" ht="45" x14ac:dyDescent="0.25">
      <c r="A44" s="2" t="s">
        <v>518</v>
      </c>
      <c r="B44" s="15" t="str">
        <f>VLOOKUP(A44,policy!B:C,2,0)</f>
        <v>070000172625</v>
      </c>
      <c r="C44" s="8">
        <v>52461</v>
      </c>
      <c r="D44" s="16">
        <f t="shared" si="1"/>
        <v>52461</v>
      </c>
      <c r="E44" s="20" t="s">
        <v>650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</row>
    <row r="45" spans="1:6" ht="45" x14ac:dyDescent="0.25">
      <c r="A45" s="2" t="s">
        <v>519</v>
      </c>
      <c r="B45" s="15" t="str">
        <f>VLOOKUP(A45,policy!B:C,2,0)</f>
        <v>070000172624</v>
      </c>
      <c r="C45" s="8">
        <v>35262</v>
      </c>
      <c r="D45" s="16">
        <f t="shared" si="1"/>
        <v>35262</v>
      </c>
      <c r="E45" s="20" t="s">
        <v>650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</row>
    <row r="46" spans="1:6" ht="45" x14ac:dyDescent="0.25">
      <c r="A46" s="2" t="s">
        <v>476</v>
      </c>
      <c r="B46" s="15" t="str">
        <f>VLOOKUP(A46,policy!B:C,2,0)</f>
        <v>070000172621</v>
      </c>
      <c r="C46" s="8">
        <v>21597</v>
      </c>
      <c r="D46" s="16">
        <f t="shared" si="1"/>
        <v>21597</v>
      </c>
      <c r="E46" s="20" t="s">
        <v>650</v>
      </c>
      <c r="F46" s="17" t="str">
        <f t="shared" si="0"/>
        <v>insert into ins_premium_det (premium_rcv_code,assorted_code, rec_amount,premium_rcv_detail_code,remaining_amt, payrec, mode_code,coinsurance_code,class_cd,it_remarks) values</v>
      </c>
    </row>
    <row r="47" spans="1:6" ht="45" x14ac:dyDescent="0.25">
      <c r="A47" s="2" t="s">
        <v>477</v>
      </c>
      <c r="B47" s="15" t="str">
        <f>VLOOKUP(A47,policy!B:C,2,0)</f>
        <v>070000172615</v>
      </c>
      <c r="C47" s="8">
        <v>23705</v>
      </c>
      <c r="D47" s="16">
        <f t="shared" si="1"/>
        <v>23705</v>
      </c>
      <c r="E47" s="20" t="s">
        <v>650</v>
      </c>
      <c r="F47" s="17" t="str">
        <f t="shared" si="0"/>
        <v>insert into ins_premium_det (premium_rcv_code,assorted_code, rec_amount,premium_rcv_detail_code,remaining_amt, payrec, mode_code,coinsurance_code,class_cd,it_remarks) values</v>
      </c>
    </row>
    <row r="48" spans="1:6" ht="45" x14ac:dyDescent="0.25">
      <c r="A48" s="2" t="s">
        <v>520</v>
      </c>
      <c r="B48" s="15" t="str">
        <f>VLOOKUP(A48,policy!B:C,2,0)</f>
        <v>070000172686</v>
      </c>
      <c r="C48" s="8">
        <v>33075</v>
      </c>
      <c r="D48" s="16">
        <f t="shared" si="1"/>
        <v>33075</v>
      </c>
      <c r="E48" s="20" t="s">
        <v>650</v>
      </c>
      <c r="F48" s="17" t="str">
        <f t="shared" si="0"/>
        <v>insert into ins_premium_det (premium_rcv_code,assorted_code, rec_amount,premium_rcv_detail_code,remaining_amt, payrec, mode_code,coinsurance_code,class_cd,it_remarks) values</v>
      </c>
    </row>
    <row r="49" spans="1:6" ht="45" x14ac:dyDescent="0.25">
      <c r="A49" s="2" t="s">
        <v>521</v>
      </c>
      <c r="B49" s="15" t="str">
        <f>VLOOKUP(A49,policy!B:C,2,0)</f>
        <v>070000172688</v>
      </c>
      <c r="C49" s="8">
        <v>39623</v>
      </c>
      <c r="D49" s="16">
        <f t="shared" si="1"/>
        <v>39623</v>
      </c>
      <c r="E49" s="20" t="s">
        <v>650</v>
      </c>
      <c r="F49" s="17" t="str">
        <f t="shared" si="0"/>
        <v>insert into ins_premium_det (premium_rcv_code,assorted_code, rec_amount,premium_rcv_detail_code,remaining_amt, payrec, mode_code,coinsurance_code,class_cd,it_remarks) values</v>
      </c>
    </row>
    <row r="50" spans="1:6" ht="45" x14ac:dyDescent="0.25">
      <c r="A50" s="2" t="s">
        <v>522</v>
      </c>
      <c r="B50" s="15" t="str">
        <f>VLOOKUP(A50,policy!B:C,2,0)</f>
        <v>070000172687</v>
      </c>
      <c r="C50" s="8">
        <v>65603</v>
      </c>
      <c r="D50" s="16">
        <f t="shared" si="1"/>
        <v>65603</v>
      </c>
      <c r="E50" s="20" t="s">
        <v>650</v>
      </c>
      <c r="F50" s="17" t="str">
        <f t="shared" si="0"/>
        <v>insert into ins_premium_det (premium_rcv_code,assorted_code, rec_amount,premium_rcv_detail_code,remaining_amt, payrec, mode_code,coinsurance_code,class_cd,it_remarks) values</v>
      </c>
    </row>
    <row r="51" spans="1:6" ht="45" x14ac:dyDescent="0.25">
      <c r="A51" s="2" t="s">
        <v>523</v>
      </c>
      <c r="B51" s="15" t="str">
        <f>VLOOKUP(A51,policy!B:C,2,0)</f>
        <v>070000170546</v>
      </c>
      <c r="C51" s="8">
        <v>30782</v>
      </c>
      <c r="D51" s="16">
        <f t="shared" si="1"/>
        <v>30782</v>
      </c>
      <c r="E51" s="20" t="s">
        <v>650</v>
      </c>
      <c r="F51" s="17" t="str">
        <f t="shared" si="0"/>
        <v>insert into ins_premium_det (premium_rcv_code,assorted_code, rec_amount,premium_rcv_detail_code,remaining_amt, payrec, mode_code,coinsurance_code,class_cd,it_remarks) values</v>
      </c>
    </row>
    <row r="52" spans="1:6" ht="45" x14ac:dyDescent="0.25">
      <c r="A52" s="2" t="s">
        <v>549</v>
      </c>
      <c r="B52" s="15" t="str">
        <f>VLOOKUP(A52,policy!B:C,2,0)</f>
        <v>070000172714</v>
      </c>
      <c r="C52" s="9">
        <v>29596</v>
      </c>
      <c r="D52" s="16">
        <f t="shared" si="1"/>
        <v>29596</v>
      </c>
      <c r="E52" s="20" t="s">
        <v>650</v>
      </c>
      <c r="F52" s="17" t="str">
        <f t="shared" si="0"/>
        <v>insert into ins_premium_det (premium_rcv_code,assorted_code, rec_amount,premium_rcv_detail_code,remaining_amt, payrec, mode_code,coinsurance_code,class_cd,it_remarks) values</v>
      </c>
    </row>
    <row r="53" spans="1:6" ht="45" x14ac:dyDescent="0.25">
      <c r="A53" s="2" t="s">
        <v>524</v>
      </c>
      <c r="B53" s="15" t="str">
        <f>VLOOKUP(A53,policy!B:C,2,0)</f>
        <v>070000170545</v>
      </c>
      <c r="C53" s="8">
        <v>32072</v>
      </c>
      <c r="D53" s="16">
        <f t="shared" si="1"/>
        <v>32072</v>
      </c>
      <c r="E53" s="20" t="s">
        <v>650</v>
      </c>
      <c r="F53" s="17" t="str">
        <f t="shared" si="0"/>
        <v>insert into ins_premium_det (premium_rcv_code,assorted_code, rec_amount,premium_rcv_detail_code,remaining_amt, payrec, mode_code,coinsurance_code,class_cd,it_remarks) values</v>
      </c>
    </row>
    <row r="54" spans="1:6" ht="45" x14ac:dyDescent="0.25">
      <c r="A54" s="2" t="s">
        <v>525</v>
      </c>
      <c r="B54" s="15" t="str">
        <f>VLOOKUP(A54,policy!B:C,2,0)</f>
        <v>070000172711</v>
      </c>
      <c r="C54" s="8">
        <v>21056</v>
      </c>
      <c r="D54" s="16">
        <f t="shared" si="1"/>
        <v>21056</v>
      </c>
      <c r="E54" s="20" t="s">
        <v>650</v>
      </c>
      <c r="F54" s="17" t="str">
        <f t="shared" si="0"/>
        <v>insert into ins_premium_det (premium_rcv_code,assorted_code, rec_amount,premium_rcv_detail_code,remaining_amt, payrec, mode_code,coinsurance_code,class_cd,it_remarks) values</v>
      </c>
    </row>
    <row r="55" spans="1:6" ht="45" x14ac:dyDescent="0.25">
      <c r="A55" s="2" t="s">
        <v>526</v>
      </c>
      <c r="B55" s="15" t="str">
        <f>VLOOKUP(A55,policy!B:C,2,0)</f>
        <v>070000172710</v>
      </c>
      <c r="C55" s="8">
        <v>21056</v>
      </c>
      <c r="D55" s="16">
        <f t="shared" si="1"/>
        <v>21056</v>
      </c>
      <c r="E55" s="20" t="s">
        <v>650</v>
      </c>
      <c r="F55" s="17" t="str">
        <f t="shared" si="0"/>
        <v>insert into ins_premium_det (premium_rcv_code,assorted_code, rec_amount,premium_rcv_detail_code,remaining_amt, payrec, mode_code,coinsurance_code,class_cd,it_remarks) values</v>
      </c>
    </row>
    <row r="56" spans="1:6" ht="45" x14ac:dyDescent="0.25">
      <c r="A56" s="2" t="s">
        <v>527</v>
      </c>
      <c r="B56" s="15" t="str">
        <f>VLOOKUP(A56,policy!B:C,2,0)</f>
        <v>070000172713</v>
      </c>
      <c r="C56" s="8">
        <v>88252</v>
      </c>
      <c r="D56" s="16">
        <f t="shared" si="1"/>
        <v>88252</v>
      </c>
      <c r="E56" s="20" t="s">
        <v>650</v>
      </c>
      <c r="F56" s="17" t="str">
        <f t="shared" si="0"/>
        <v>insert into ins_premium_det (premium_rcv_code,assorted_code, rec_amount,premium_rcv_detail_code,remaining_amt, payrec, mode_code,coinsurance_code,class_cd,it_remarks) values</v>
      </c>
    </row>
    <row r="57" spans="1:6" ht="45" x14ac:dyDescent="0.25">
      <c r="A57" s="2" t="s">
        <v>528</v>
      </c>
      <c r="B57" s="15" t="str">
        <f>VLOOKUP(A57,policy!B:C,2,0)</f>
        <v>070000172700</v>
      </c>
      <c r="C57" s="8">
        <v>44237</v>
      </c>
      <c r="D57" s="16">
        <f t="shared" si="1"/>
        <v>44237</v>
      </c>
      <c r="E57" s="20" t="s">
        <v>650</v>
      </c>
      <c r="F57" s="17" t="str">
        <f t="shared" si="0"/>
        <v>insert into ins_premium_det (premium_rcv_code,assorted_code, rec_amount,premium_rcv_detail_code,remaining_amt, payrec, mode_code,coinsurance_code,class_cd,it_remarks) values</v>
      </c>
    </row>
    <row r="58" spans="1:6" ht="45" x14ac:dyDescent="0.25">
      <c r="A58" s="2" t="s">
        <v>478</v>
      </c>
      <c r="B58" s="15" t="str">
        <f>VLOOKUP(A58,policy!B:C,2,0)</f>
        <v>070000172696</v>
      </c>
      <c r="C58" s="8">
        <v>47494</v>
      </c>
      <c r="D58" s="16">
        <f t="shared" si="1"/>
        <v>47494</v>
      </c>
      <c r="E58" s="20" t="s">
        <v>650</v>
      </c>
      <c r="F58" s="17" t="str">
        <f t="shared" si="0"/>
        <v>insert into ins_premium_det (premium_rcv_code,assorted_code, rec_amount,premium_rcv_detail_code,remaining_amt, payrec, mode_code,coinsurance_code,class_cd,it_remarks) values</v>
      </c>
    </row>
    <row r="59" spans="1:6" ht="45" x14ac:dyDescent="0.25">
      <c r="A59" s="2" t="s">
        <v>529</v>
      </c>
      <c r="B59" s="15" t="str">
        <f>VLOOKUP(A59,policy!B:C,2,0)</f>
        <v>070000172716</v>
      </c>
      <c r="C59" s="8">
        <v>24008</v>
      </c>
      <c r="D59" s="16">
        <f t="shared" si="1"/>
        <v>24008</v>
      </c>
      <c r="E59" s="20" t="s">
        <v>650</v>
      </c>
      <c r="F59" s="17" t="str">
        <f t="shared" si="0"/>
        <v>insert into ins_premium_det (premium_rcv_code,assorted_code, rec_amount,premium_rcv_detail_code,remaining_amt, payrec, mode_code,coinsurance_code,class_cd,it_remarks) values</v>
      </c>
    </row>
    <row r="60" spans="1:6" ht="45" x14ac:dyDescent="0.25">
      <c r="A60" s="2" t="s">
        <v>479</v>
      </c>
      <c r="B60" s="15" t="str">
        <f>VLOOKUP(A60,policy!B:C,2,0)</f>
        <v>070000172697</v>
      </c>
      <c r="C60" s="8">
        <v>23705</v>
      </c>
      <c r="D60" s="16">
        <f t="shared" si="1"/>
        <v>23705</v>
      </c>
      <c r="E60" s="20" t="s">
        <v>650</v>
      </c>
      <c r="F60" s="17" t="str">
        <f t="shared" si="0"/>
        <v>insert into ins_premium_det (premium_rcv_code,assorted_code, rec_amount,premium_rcv_detail_code,remaining_amt, payrec, mode_code,coinsurance_code,class_cd,it_remarks) values</v>
      </c>
    </row>
    <row r="61" spans="1:6" ht="45" x14ac:dyDescent="0.25">
      <c r="A61" s="2" t="s">
        <v>530</v>
      </c>
      <c r="B61" s="15" t="str">
        <f>VLOOKUP(A61,policy!B:C,2,0)</f>
        <v>070000172703</v>
      </c>
      <c r="C61" s="8">
        <v>21290</v>
      </c>
      <c r="D61" s="16">
        <f t="shared" si="1"/>
        <v>21290</v>
      </c>
      <c r="E61" s="20" t="s">
        <v>650</v>
      </c>
      <c r="F61" s="17" t="str">
        <f t="shared" si="0"/>
        <v>insert into ins_premium_det (premium_rcv_code,assorted_code, rec_amount,premium_rcv_detail_code,remaining_amt, payrec, mode_code,coinsurance_code,class_cd,it_remarks) values</v>
      </c>
    </row>
    <row r="62" spans="1:6" ht="45" x14ac:dyDescent="0.25">
      <c r="A62" s="2" t="s">
        <v>531</v>
      </c>
      <c r="B62" s="15" t="str">
        <f>VLOOKUP(A62,policy!B:C,2,0)</f>
        <v>070000172667</v>
      </c>
      <c r="C62" s="8">
        <v>21056</v>
      </c>
      <c r="D62" s="16">
        <f t="shared" si="1"/>
        <v>21056</v>
      </c>
      <c r="E62" s="20" t="s">
        <v>650</v>
      </c>
      <c r="F62" s="17" t="str">
        <f t="shared" si="0"/>
        <v>insert into ins_premium_det (premium_rcv_code,assorted_code, rec_amount,premium_rcv_detail_code,remaining_amt, payrec, mode_code,coinsurance_code,class_cd,it_remarks) values</v>
      </c>
    </row>
    <row r="63" spans="1:6" ht="45" x14ac:dyDescent="0.25">
      <c r="A63" s="2" t="s">
        <v>532</v>
      </c>
      <c r="B63" s="15" t="str">
        <f>VLOOKUP(A63,policy!B:C,2,0)</f>
        <v>070000172704</v>
      </c>
      <c r="C63" s="8">
        <v>16698</v>
      </c>
      <c r="D63" s="16">
        <f t="shared" si="1"/>
        <v>16698</v>
      </c>
      <c r="E63" s="20" t="s">
        <v>650</v>
      </c>
      <c r="F63" s="17" t="str">
        <f t="shared" si="0"/>
        <v>insert into ins_premium_det (premium_rcv_code,assorted_code, rec_amount,premium_rcv_detail_code,remaining_amt, payrec, mode_code,coinsurance_code,class_cd,it_remarks) values</v>
      </c>
    </row>
    <row r="64" spans="1:6" ht="45" x14ac:dyDescent="0.25">
      <c r="A64" s="2" t="s">
        <v>533</v>
      </c>
      <c r="B64" s="15" t="str">
        <f>VLOOKUP(A64,policy!B:C,2,0)</f>
        <v>070000172682</v>
      </c>
      <c r="C64" s="8">
        <v>18097</v>
      </c>
      <c r="D64" s="16">
        <f t="shared" si="1"/>
        <v>18097</v>
      </c>
      <c r="E64" s="20" t="s">
        <v>650</v>
      </c>
      <c r="F64" s="17" t="str">
        <f t="shared" si="0"/>
        <v>insert into ins_premium_det (premium_rcv_code,assorted_code, rec_amount,premium_rcv_detail_code,remaining_amt, payrec, mode_code,coinsurance_code,class_cd,it_remarks) values</v>
      </c>
    </row>
    <row r="65" spans="1:6" ht="45" x14ac:dyDescent="0.25">
      <c r="A65" s="2" t="s">
        <v>534</v>
      </c>
      <c r="B65" s="15" t="str">
        <f>VLOOKUP(A65,policy!B:C,2,0)</f>
        <v>070000172678</v>
      </c>
      <c r="C65" s="8">
        <v>28311</v>
      </c>
      <c r="D65" s="16">
        <f t="shared" si="1"/>
        <v>28311</v>
      </c>
      <c r="E65" s="20" t="s">
        <v>650</v>
      </c>
      <c r="F65" s="17" t="str">
        <f t="shared" si="0"/>
        <v>insert into ins_premium_det (premium_rcv_code,assorted_code, rec_amount,premium_rcv_detail_code,remaining_amt, payrec, mode_code,coinsurance_code,class_cd,it_remarks) values</v>
      </c>
    </row>
    <row r="66" spans="1:6" ht="45" x14ac:dyDescent="0.25">
      <c r="A66" s="2" t="s">
        <v>480</v>
      </c>
      <c r="B66" s="15" t="str">
        <f>VLOOKUP(A66,policy!B:C,2,0)</f>
        <v>070000172706</v>
      </c>
      <c r="C66" s="8">
        <v>29557</v>
      </c>
      <c r="D66" s="16">
        <f t="shared" si="1"/>
        <v>29557</v>
      </c>
      <c r="E66" s="20" t="s">
        <v>650</v>
      </c>
      <c r="F66" s="17" t="str">
        <f t="shared" ref="F66:F80" si="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</row>
    <row r="67" spans="1:6" ht="45" x14ac:dyDescent="0.25">
      <c r="A67" s="2" t="s">
        <v>535</v>
      </c>
      <c r="B67" s="15" t="str">
        <f>VLOOKUP(A67,policy!B:C,2,0)</f>
        <v>070000172679</v>
      </c>
      <c r="C67" s="8">
        <v>11471</v>
      </c>
      <c r="D67" s="16">
        <f t="shared" ref="D67:D80" si="3">ROUND(C67,0)</f>
        <v>11471</v>
      </c>
      <c r="E67" s="20" t="s">
        <v>650</v>
      </c>
      <c r="F67" s="17" t="str">
        <f t="shared" si="2"/>
        <v>insert into ins_premium_det (premium_rcv_code,assorted_code, rec_amount,premium_rcv_detail_code,remaining_amt, payrec, mode_code,coinsurance_code,class_cd,it_remarks) values</v>
      </c>
    </row>
    <row r="68" spans="1:6" ht="45" x14ac:dyDescent="0.25">
      <c r="A68" s="2" t="s">
        <v>536</v>
      </c>
      <c r="B68" s="15" t="str">
        <f>VLOOKUP(A68,policy!B:C,2,0)</f>
        <v>070000172683</v>
      </c>
      <c r="C68" s="8">
        <v>29557</v>
      </c>
      <c r="D68" s="16">
        <f t="shared" si="3"/>
        <v>29557</v>
      </c>
      <c r="E68" s="20" t="s">
        <v>650</v>
      </c>
      <c r="F68" s="17" t="str">
        <f t="shared" si="2"/>
        <v>insert into ins_premium_det (premium_rcv_code,assorted_code, rec_amount,premium_rcv_detail_code,remaining_amt, payrec, mode_code,coinsurance_code,class_cd,it_remarks) values</v>
      </c>
    </row>
    <row r="69" spans="1:6" ht="45" x14ac:dyDescent="0.25">
      <c r="A69" s="2" t="s">
        <v>537</v>
      </c>
      <c r="B69" s="15" t="str">
        <f>VLOOKUP(A69,policy!B:C,2,0)</f>
        <v>070000172698</v>
      </c>
      <c r="C69" s="8">
        <v>64310</v>
      </c>
      <c r="D69" s="16">
        <f t="shared" si="3"/>
        <v>64310</v>
      </c>
      <c r="E69" s="20" t="s">
        <v>650</v>
      </c>
      <c r="F69" s="17" t="str">
        <f t="shared" si="2"/>
        <v>insert into ins_premium_det (premium_rcv_code,assorted_code, rec_amount,premium_rcv_detail_code,remaining_amt, payrec, mode_code,coinsurance_code,class_cd,it_remarks) values</v>
      </c>
    </row>
    <row r="70" spans="1:6" ht="45" x14ac:dyDescent="0.25">
      <c r="A70" s="2" t="s">
        <v>538</v>
      </c>
      <c r="B70" s="15" t="str">
        <f>VLOOKUP(A70,policy!B:C,2,0)</f>
        <v>070000172689</v>
      </c>
      <c r="C70" s="8">
        <v>54000</v>
      </c>
      <c r="D70" s="16">
        <f t="shared" si="3"/>
        <v>54000</v>
      </c>
      <c r="E70" s="20" t="s">
        <v>650</v>
      </c>
      <c r="F70" s="17" t="str">
        <f t="shared" si="2"/>
        <v>insert into ins_premium_det (premium_rcv_code,assorted_code, rec_amount,premium_rcv_detail_code,remaining_amt, payrec, mode_code,coinsurance_code,class_cd,it_remarks) values</v>
      </c>
    </row>
    <row r="71" spans="1:6" ht="45" x14ac:dyDescent="0.25">
      <c r="A71" s="2" t="s">
        <v>539</v>
      </c>
      <c r="B71" s="15" t="str">
        <f>VLOOKUP(A71,policy!B:C,2,0)</f>
        <v>070000172694</v>
      </c>
      <c r="C71" s="8">
        <v>51170</v>
      </c>
      <c r="D71" s="16">
        <f t="shared" si="3"/>
        <v>51170</v>
      </c>
      <c r="E71" s="20" t="s">
        <v>650</v>
      </c>
      <c r="F71" s="17" t="str">
        <f t="shared" si="2"/>
        <v>insert into ins_premium_det (premium_rcv_code,assorted_code, rec_amount,premium_rcv_detail_code,remaining_amt, payrec, mode_code,coinsurance_code,class_cd,it_remarks) values</v>
      </c>
    </row>
    <row r="72" spans="1:6" ht="45" x14ac:dyDescent="0.25">
      <c r="A72" s="2" t="s">
        <v>472</v>
      </c>
      <c r="B72" s="15" t="str">
        <f>VLOOKUP(A72,policy!B:C,2,0)</f>
        <v>070000172709</v>
      </c>
      <c r="C72" s="8">
        <v>37031</v>
      </c>
      <c r="D72" s="16">
        <f t="shared" si="3"/>
        <v>37031</v>
      </c>
      <c r="E72" s="20" t="s">
        <v>650</v>
      </c>
      <c r="F72" s="17" t="str">
        <f t="shared" si="2"/>
        <v>insert into ins_premium_det (premium_rcv_code,assorted_code, rec_amount,premium_rcv_detail_code,remaining_amt, payrec, mode_code,coinsurance_code,class_cd,it_remarks) values</v>
      </c>
    </row>
    <row r="73" spans="1:6" ht="45" x14ac:dyDescent="0.25">
      <c r="A73" s="2" t="s">
        <v>540</v>
      </c>
      <c r="B73" s="15" t="str">
        <f>VLOOKUP(A73,policy!B:C,2,0)</f>
        <v>070000172699</v>
      </c>
      <c r="C73" s="8">
        <v>86425</v>
      </c>
      <c r="D73" s="16">
        <f t="shared" si="3"/>
        <v>86425</v>
      </c>
      <c r="E73" s="20" t="s">
        <v>650</v>
      </c>
      <c r="F73" s="17" t="str">
        <f t="shared" si="2"/>
        <v>insert into ins_premium_det (premium_rcv_code,assorted_code, rec_amount,premium_rcv_detail_code,remaining_amt, payrec, mode_code,coinsurance_code,class_cd,it_remarks) values</v>
      </c>
    </row>
    <row r="74" spans="1:6" ht="45" x14ac:dyDescent="0.25">
      <c r="A74" s="2" t="s">
        <v>541</v>
      </c>
      <c r="B74" s="15" t="str">
        <f>VLOOKUP(A74,policy!B:C,2,0)</f>
        <v>070000172651</v>
      </c>
      <c r="C74" s="8">
        <v>39913</v>
      </c>
      <c r="D74" s="16">
        <f t="shared" si="3"/>
        <v>39913</v>
      </c>
      <c r="E74" s="20" t="s">
        <v>650</v>
      </c>
      <c r="F74" s="17" t="str">
        <f t="shared" si="2"/>
        <v>insert into ins_premium_det (premium_rcv_code,assorted_code, rec_amount,premium_rcv_detail_code,remaining_amt, payrec, mode_code,coinsurance_code,class_cd,it_remarks) values</v>
      </c>
    </row>
    <row r="75" spans="1:6" ht="45" x14ac:dyDescent="0.25">
      <c r="A75" s="2" t="s">
        <v>542</v>
      </c>
      <c r="B75" s="15" t="str">
        <f>VLOOKUP(A75,policy!B:C,2,0)</f>
        <v>070000172650</v>
      </c>
      <c r="C75" s="8">
        <v>23705</v>
      </c>
      <c r="D75" s="16">
        <f t="shared" si="3"/>
        <v>23705</v>
      </c>
      <c r="E75" s="20" t="s">
        <v>650</v>
      </c>
      <c r="F75" s="17" t="str">
        <f t="shared" si="2"/>
        <v>insert into ins_premium_det (premium_rcv_code,assorted_code, rec_amount,premium_rcv_detail_code,remaining_amt, payrec, mode_code,coinsurance_code,class_cd,it_remarks) values</v>
      </c>
    </row>
    <row r="76" spans="1:6" ht="45" x14ac:dyDescent="0.25">
      <c r="A76" s="2" t="s">
        <v>543</v>
      </c>
      <c r="B76" s="15" t="str">
        <f>VLOOKUP(A76,policy!B:C,2,0)</f>
        <v>070000172654</v>
      </c>
      <c r="C76" s="8">
        <v>31153</v>
      </c>
      <c r="D76" s="16">
        <f t="shared" si="3"/>
        <v>31153</v>
      </c>
      <c r="E76" s="20" t="s">
        <v>650</v>
      </c>
      <c r="F76" s="17" t="str">
        <f t="shared" si="2"/>
        <v>insert into ins_premium_det (premium_rcv_code,assorted_code, rec_amount,premium_rcv_detail_code,remaining_amt, payrec, mode_code,coinsurance_code,class_cd,it_remarks) values</v>
      </c>
    </row>
    <row r="77" spans="1:6" ht="45" x14ac:dyDescent="0.25">
      <c r="A77" s="2" t="s">
        <v>544</v>
      </c>
      <c r="B77" s="15" t="str">
        <f>VLOOKUP(A77,policy!B:C,2,0)</f>
        <v>070000172647</v>
      </c>
      <c r="C77" s="8">
        <v>66960</v>
      </c>
      <c r="D77" s="16">
        <f t="shared" si="3"/>
        <v>66960</v>
      </c>
      <c r="E77" s="20" t="s">
        <v>650</v>
      </c>
      <c r="F77" s="17" t="str">
        <f t="shared" si="2"/>
        <v>insert into ins_premium_det (premium_rcv_code,assorted_code, rec_amount,premium_rcv_detail_code,remaining_amt, payrec, mode_code,coinsurance_code,class_cd,it_remarks) values</v>
      </c>
    </row>
    <row r="78" spans="1:6" ht="45" x14ac:dyDescent="0.25">
      <c r="A78" s="2" t="s">
        <v>545</v>
      </c>
      <c r="B78" s="15" t="str">
        <f>VLOOKUP(A78,policy!B:C,2,0)</f>
        <v>070000172661</v>
      </c>
      <c r="C78" s="8">
        <v>35905</v>
      </c>
      <c r="D78" s="16">
        <f t="shared" si="3"/>
        <v>35905</v>
      </c>
      <c r="E78" s="20" t="s">
        <v>650</v>
      </c>
      <c r="F78" s="17" t="str">
        <f t="shared" si="2"/>
        <v>insert into ins_premium_det (premium_rcv_code,assorted_code, rec_amount,premium_rcv_detail_code,remaining_amt, payrec, mode_code,coinsurance_code,class_cd,it_remarks) values</v>
      </c>
    </row>
    <row r="79" spans="1:6" ht="45" x14ac:dyDescent="0.25">
      <c r="A79" s="2" t="s">
        <v>546</v>
      </c>
      <c r="B79" s="15" t="str">
        <f>VLOOKUP(A79,policy!B:C,2,0)</f>
        <v>070000172657</v>
      </c>
      <c r="C79" s="8">
        <v>35900</v>
      </c>
      <c r="D79" s="16">
        <f t="shared" si="3"/>
        <v>35900</v>
      </c>
      <c r="E79" s="20" t="s">
        <v>650</v>
      </c>
      <c r="F79" s="17" t="str">
        <f t="shared" si="2"/>
        <v>insert into ins_premium_det (premium_rcv_code,assorted_code, rec_amount,premium_rcv_detail_code,remaining_amt, payrec, mode_code,coinsurance_code,class_cd,it_remarks) values</v>
      </c>
    </row>
    <row r="80" spans="1:6" ht="45" x14ac:dyDescent="0.25">
      <c r="A80" s="2" t="s">
        <v>547</v>
      </c>
      <c r="B80" s="15" t="str">
        <f>VLOOKUP(A80,policy!B:C,2,0)</f>
        <v>070000172659</v>
      </c>
      <c r="C80" s="8">
        <v>34844</v>
      </c>
      <c r="D80" s="16">
        <f t="shared" si="3"/>
        <v>34844</v>
      </c>
      <c r="E80" s="20" t="s">
        <v>650</v>
      </c>
      <c r="F80" s="17" t="str">
        <f t="shared" si="2"/>
        <v>insert into ins_premium_det (premium_rcv_code,assorted_code, rec_amount,premium_rcv_detail_code,remaining_amt, payrec, mode_code,coinsurance_code,class_cd,it_remarks) values</v>
      </c>
    </row>
    <row r="81" spans="3:4" x14ac:dyDescent="0.25">
      <c r="C81" s="7">
        <f>SUM(C2:C80)</f>
        <v>2791966</v>
      </c>
      <c r="D81" s="7">
        <f>SUM(D2:D80)</f>
        <v>2791966</v>
      </c>
    </row>
  </sheetData>
  <conditionalFormatting sqref="A1">
    <cfRule type="duplicateValues" dxfId="3" priority="1"/>
  </conditionalFormatting>
  <conditionalFormatting sqref="A2:B2 B3:B80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84D9-DCE4-4975-8626-83C3CF232D60}">
  <dimension ref="A1:J79"/>
  <sheetViews>
    <sheetView workbookViewId="0">
      <selection activeCell="L11" sqref="L11"/>
    </sheetView>
  </sheetViews>
  <sheetFormatPr defaultRowHeight="15" x14ac:dyDescent="0.25"/>
  <cols>
    <col min="1" max="1" width="42.28515625" bestFit="1" customWidth="1"/>
  </cols>
  <sheetData>
    <row r="1" spans="1:10" x14ac:dyDescent="0.25">
      <c r="A1" s="2" t="s">
        <v>481</v>
      </c>
      <c r="B1" t="s">
        <v>555</v>
      </c>
      <c r="H1">
        <v>104220</v>
      </c>
      <c r="I1" t="s">
        <v>557</v>
      </c>
      <c r="J1" t="str">
        <f>"ia.assorted_string like '%"&amp;H1&amp;"-"&amp;I1&amp;B1&amp;"%' or"</f>
        <v>ia.assorted_string like '%104220-00005-12-2024%' or</v>
      </c>
    </row>
    <row r="2" spans="1:10" x14ac:dyDescent="0.25">
      <c r="A2" s="2" t="s">
        <v>482</v>
      </c>
      <c r="B2" t="s">
        <v>555</v>
      </c>
      <c r="H2">
        <v>104220</v>
      </c>
      <c r="I2" t="s">
        <v>558</v>
      </c>
      <c r="J2" t="str">
        <f t="shared" ref="J2:J65" si="0">"ia.assorted_string like '%"&amp;H2&amp;"-"&amp;I2&amp;B2&amp;"%' or"</f>
        <v>ia.assorted_string like '%104220-00007-12-2024%' or</v>
      </c>
    </row>
    <row r="3" spans="1:10" x14ac:dyDescent="0.25">
      <c r="A3" s="2" t="s">
        <v>483</v>
      </c>
      <c r="B3" t="s">
        <v>555</v>
      </c>
      <c r="H3">
        <v>104220</v>
      </c>
      <c r="I3" t="s">
        <v>559</v>
      </c>
      <c r="J3" t="str">
        <f t="shared" si="0"/>
        <v>ia.assorted_string like '%104220-00003-12-2024%' or</v>
      </c>
    </row>
    <row r="4" spans="1:10" x14ac:dyDescent="0.25">
      <c r="A4" s="2" t="s">
        <v>484</v>
      </c>
      <c r="B4" t="s">
        <v>555</v>
      </c>
      <c r="H4">
        <v>104220</v>
      </c>
      <c r="I4" t="s">
        <v>560</v>
      </c>
      <c r="J4" t="str">
        <f t="shared" si="0"/>
        <v>ia.assorted_string like '%104220-00006-12-2024%' or</v>
      </c>
    </row>
    <row r="5" spans="1:10" x14ac:dyDescent="0.25">
      <c r="A5" s="2" t="s">
        <v>485</v>
      </c>
      <c r="B5" t="s">
        <v>555</v>
      </c>
      <c r="H5">
        <v>104220</v>
      </c>
      <c r="I5" t="s">
        <v>561</v>
      </c>
      <c r="J5" t="str">
        <f t="shared" si="0"/>
        <v>ia.assorted_string like '%104220-00002-12-2024%' or</v>
      </c>
    </row>
    <row r="6" spans="1:10" x14ac:dyDescent="0.25">
      <c r="A6" s="2" t="s">
        <v>486</v>
      </c>
      <c r="B6" t="s">
        <v>555</v>
      </c>
      <c r="H6">
        <v>104220</v>
      </c>
      <c r="I6" t="s">
        <v>562</v>
      </c>
      <c r="J6" t="str">
        <f t="shared" si="0"/>
        <v>ia.assorted_string like '%104220-00008-12-2024%' or</v>
      </c>
    </row>
    <row r="7" spans="1:10" x14ac:dyDescent="0.25">
      <c r="A7" s="2" t="s">
        <v>487</v>
      </c>
      <c r="B7" t="s">
        <v>555</v>
      </c>
      <c r="H7">
        <v>104220</v>
      </c>
      <c r="I7" t="s">
        <v>563</v>
      </c>
      <c r="J7" t="str">
        <f t="shared" si="0"/>
        <v>ia.assorted_string like '%104220-00004-12-2024%' or</v>
      </c>
    </row>
    <row r="8" spans="1:10" x14ac:dyDescent="0.25">
      <c r="A8" s="2" t="s">
        <v>488</v>
      </c>
      <c r="B8" t="s">
        <v>555</v>
      </c>
      <c r="H8">
        <v>104220</v>
      </c>
      <c r="I8" t="s">
        <v>564</v>
      </c>
      <c r="J8" t="str">
        <f t="shared" si="0"/>
        <v>ia.assorted_string like '%104220-00001-12-2024%' or</v>
      </c>
    </row>
    <row r="9" spans="1:10" x14ac:dyDescent="0.25">
      <c r="A9" s="2" t="s">
        <v>471</v>
      </c>
      <c r="B9" t="s">
        <v>555</v>
      </c>
      <c r="H9">
        <v>104213</v>
      </c>
      <c r="I9" t="s">
        <v>564</v>
      </c>
      <c r="J9" t="str">
        <f t="shared" si="0"/>
        <v>ia.assorted_string like '%104213-00001-12-2024%' or</v>
      </c>
    </row>
    <row r="10" spans="1:10" x14ac:dyDescent="0.25">
      <c r="A10" s="2" t="s">
        <v>489</v>
      </c>
      <c r="B10" t="s">
        <v>555</v>
      </c>
      <c r="H10">
        <v>104213</v>
      </c>
      <c r="I10" t="s">
        <v>561</v>
      </c>
      <c r="J10" t="str">
        <f t="shared" si="0"/>
        <v>ia.assorted_string like '%104213-00002-12-2024%' or</v>
      </c>
    </row>
    <row r="11" spans="1:10" x14ac:dyDescent="0.25">
      <c r="A11" s="2" t="s">
        <v>490</v>
      </c>
      <c r="B11" t="s">
        <v>555</v>
      </c>
      <c r="H11">
        <v>104227</v>
      </c>
      <c r="I11" t="s">
        <v>564</v>
      </c>
      <c r="J11" t="str">
        <f t="shared" si="0"/>
        <v>ia.assorted_string like '%104227-00001-12-2024%' or</v>
      </c>
    </row>
    <row r="12" spans="1:10" x14ac:dyDescent="0.25">
      <c r="A12" s="2" t="s">
        <v>491</v>
      </c>
      <c r="B12" t="s">
        <v>555</v>
      </c>
      <c r="H12">
        <v>104227</v>
      </c>
      <c r="I12" t="s">
        <v>561</v>
      </c>
      <c r="J12" t="str">
        <f t="shared" si="0"/>
        <v>ia.assorted_string like '%104227-00002-12-2024%' or</v>
      </c>
    </row>
    <row r="13" spans="1:10" x14ac:dyDescent="0.25">
      <c r="A13" s="2" t="s">
        <v>548</v>
      </c>
      <c r="B13" t="s">
        <v>555</v>
      </c>
      <c r="H13">
        <v>104271</v>
      </c>
      <c r="I13" t="s">
        <v>564</v>
      </c>
      <c r="J13" t="str">
        <f t="shared" si="0"/>
        <v>ia.assorted_string like '%104271-00001-12-2024%' or</v>
      </c>
    </row>
    <row r="14" spans="1:10" x14ac:dyDescent="0.25">
      <c r="A14" s="2" t="s">
        <v>492</v>
      </c>
      <c r="B14" t="s">
        <v>555</v>
      </c>
      <c r="H14">
        <v>104269</v>
      </c>
      <c r="I14" t="s">
        <v>564</v>
      </c>
      <c r="J14" t="str">
        <f t="shared" si="0"/>
        <v>ia.assorted_string like '%104269-00001-12-2024%' or</v>
      </c>
    </row>
    <row r="15" spans="1:10" x14ac:dyDescent="0.25">
      <c r="A15" s="2" t="s">
        <v>493</v>
      </c>
      <c r="B15" t="s">
        <v>555</v>
      </c>
      <c r="H15">
        <v>104233</v>
      </c>
      <c r="I15" t="s">
        <v>559</v>
      </c>
      <c r="J15" t="str">
        <f t="shared" si="0"/>
        <v>ia.assorted_string like '%104233-00003-12-2024%' or</v>
      </c>
    </row>
    <row r="16" spans="1:10" x14ac:dyDescent="0.25">
      <c r="A16" s="2" t="s">
        <v>473</v>
      </c>
      <c r="B16" t="s">
        <v>555</v>
      </c>
      <c r="H16">
        <v>104233</v>
      </c>
      <c r="I16" t="s">
        <v>561</v>
      </c>
      <c r="J16" t="str">
        <f t="shared" si="0"/>
        <v>ia.assorted_string like '%104233-00002-12-2024%' or</v>
      </c>
    </row>
    <row r="17" spans="1:10" x14ac:dyDescent="0.25">
      <c r="A17" s="2" t="s">
        <v>494</v>
      </c>
      <c r="B17" t="s">
        <v>555</v>
      </c>
      <c r="H17">
        <v>104233</v>
      </c>
      <c r="I17" t="s">
        <v>564</v>
      </c>
      <c r="J17" t="str">
        <f t="shared" si="0"/>
        <v>ia.assorted_string like '%104233-00001-12-2024%' or</v>
      </c>
    </row>
    <row r="18" spans="1:10" x14ac:dyDescent="0.25">
      <c r="A18" s="2" t="s">
        <v>474</v>
      </c>
      <c r="B18" t="s">
        <v>555</v>
      </c>
      <c r="H18">
        <v>104233</v>
      </c>
      <c r="I18" t="s">
        <v>563</v>
      </c>
      <c r="J18" t="str">
        <f t="shared" si="0"/>
        <v>ia.assorted_string like '%104233-00004-12-2024%' or</v>
      </c>
    </row>
    <row r="19" spans="1:10" x14ac:dyDescent="0.25">
      <c r="A19" s="2" t="s">
        <v>495</v>
      </c>
      <c r="B19" t="s">
        <v>555</v>
      </c>
      <c r="H19">
        <v>104228</v>
      </c>
      <c r="I19" t="s">
        <v>564</v>
      </c>
      <c r="J19" t="str">
        <f t="shared" si="0"/>
        <v>ia.assorted_string like '%104228-00001-12-2024%' or</v>
      </c>
    </row>
    <row r="20" spans="1:10" x14ac:dyDescent="0.25">
      <c r="A20" s="2" t="s">
        <v>496</v>
      </c>
      <c r="B20" t="s">
        <v>555</v>
      </c>
      <c r="H20">
        <v>104234</v>
      </c>
      <c r="I20" t="s">
        <v>564</v>
      </c>
      <c r="J20" t="str">
        <f t="shared" si="0"/>
        <v>ia.assorted_string like '%104234-00001-12-2024%' or</v>
      </c>
    </row>
    <row r="21" spans="1:10" x14ac:dyDescent="0.25">
      <c r="A21" s="2" t="s">
        <v>497</v>
      </c>
      <c r="B21" t="s">
        <v>555</v>
      </c>
      <c r="H21">
        <v>104230</v>
      </c>
      <c r="I21" t="s">
        <v>564</v>
      </c>
      <c r="J21" t="str">
        <f t="shared" si="0"/>
        <v>ia.assorted_string like '%104230-00001-12-2024%' or</v>
      </c>
    </row>
    <row r="22" spans="1:10" x14ac:dyDescent="0.25">
      <c r="A22" s="2" t="s">
        <v>498</v>
      </c>
      <c r="B22" t="s">
        <v>555</v>
      </c>
      <c r="H22">
        <v>104230</v>
      </c>
      <c r="I22" t="s">
        <v>563</v>
      </c>
      <c r="J22" t="str">
        <f t="shared" si="0"/>
        <v>ia.assorted_string like '%104230-00004-12-2024%' or</v>
      </c>
    </row>
    <row r="23" spans="1:10" x14ac:dyDescent="0.25">
      <c r="A23" s="2" t="s">
        <v>499</v>
      </c>
      <c r="B23" t="s">
        <v>555</v>
      </c>
      <c r="H23">
        <v>104230</v>
      </c>
      <c r="I23" t="s">
        <v>561</v>
      </c>
      <c r="J23" t="str">
        <f t="shared" si="0"/>
        <v>ia.assorted_string like '%104230-00002-12-2024%' or</v>
      </c>
    </row>
    <row r="24" spans="1:10" x14ac:dyDescent="0.25">
      <c r="A24" s="2" t="s">
        <v>500</v>
      </c>
      <c r="B24" t="s">
        <v>555</v>
      </c>
      <c r="H24">
        <v>104230</v>
      </c>
      <c r="I24" t="s">
        <v>559</v>
      </c>
      <c r="J24" t="str">
        <f t="shared" si="0"/>
        <v>ia.assorted_string like '%104230-00003-12-2024%' or</v>
      </c>
    </row>
    <row r="25" spans="1:10" x14ac:dyDescent="0.25">
      <c r="A25" s="2" t="s">
        <v>501</v>
      </c>
      <c r="B25" t="s">
        <v>555</v>
      </c>
      <c r="H25">
        <v>104233</v>
      </c>
      <c r="I25" t="s">
        <v>558</v>
      </c>
      <c r="J25" t="str">
        <f t="shared" si="0"/>
        <v>ia.assorted_string like '%104233-00007-12-2024%' or</v>
      </c>
    </row>
    <row r="26" spans="1:10" x14ac:dyDescent="0.25">
      <c r="A26" s="2" t="s">
        <v>502</v>
      </c>
      <c r="B26" t="s">
        <v>555</v>
      </c>
      <c r="H26">
        <v>104230</v>
      </c>
      <c r="I26" t="s">
        <v>557</v>
      </c>
      <c r="J26" t="str">
        <f t="shared" si="0"/>
        <v>ia.assorted_string like '%104230-00005-12-2024%' or</v>
      </c>
    </row>
    <row r="27" spans="1:10" x14ac:dyDescent="0.25">
      <c r="A27" s="2" t="s">
        <v>503</v>
      </c>
      <c r="B27" t="s">
        <v>555</v>
      </c>
      <c r="H27">
        <v>104243</v>
      </c>
      <c r="I27" t="s">
        <v>559</v>
      </c>
      <c r="J27" t="str">
        <f t="shared" si="0"/>
        <v>ia.assorted_string like '%104243-00003-12-2024%' or</v>
      </c>
    </row>
    <row r="28" spans="1:10" x14ac:dyDescent="0.25">
      <c r="A28" s="2" t="s">
        <v>504</v>
      </c>
      <c r="B28" t="s">
        <v>555</v>
      </c>
      <c r="H28">
        <v>104240</v>
      </c>
      <c r="I28" t="s">
        <v>564</v>
      </c>
      <c r="J28" t="str">
        <f t="shared" si="0"/>
        <v>ia.assorted_string like '%104240-00001-12-2024%' or</v>
      </c>
    </row>
    <row r="29" spans="1:10" x14ac:dyDescent="0.25">
      <c r="A29" s="2" t="s">
        <v>475</v>
      </c>
      <c r="B29" t="s">
        <v>555</v>
      </c>
      <c r="H29">
        <v>104240</v>
      </c>
      <c r="I29" t="s">
        <v>561</v>
      </c>
      <c r="J29" t="str">
        <f t="shared" si="0"/>
        <v>ia.assorted_string like '%104240-00002-12-2024%' or</v>
      </c>
    </row>
    <row r="30" spans="1:10" x14ac:dyDescent="0.25">
      <c r="A30" s="2" t="s">
        <v>505</v>
      </c>
      <c r="B30" t="s">
        <v>555</v>
      </c>
      <c r="H30">
        <v>104248</v>
      </c>
      <c r="I30" t="s">
        <v>561</v>
      </c>
      <c r="J30" t="str">
        <f t="shared" si="0"/>
        <v>ia.assorted_string like '%104248-00002-12-2024%' or</v>
      </c>
    </row>
    <row r="31" spans="1:10" x14ac:dyDescent="0.25">
      <c r="A31" s="2" t="s">
        <v>506</v>
      </c>
      <c r="B31" t="s">
        <v>555</v>
      </c>
      <c r="H31">
        <v>104248</v>
      </c>
      <c r="I31" t="s">
        <v>564</v>
      </c>
      <c r="J31" t="str">
        <f t="shared" si="0"/>
        <v>ia.assorted_string like '%104248-00001-12-2024%' or</v>
      </c>
    </row>
    <row r="32" spans="1:10" x14ac:dyDescent="0.25">
      <c r="A32" s="2" t="s">
        <v>507</v>
      </c>
      <c r="B32" t="s">
        <v>555</v>
      </c>
      <c r="H32">
        <v>104243</v>
      </c>
      <c r="I32" t="s">
        <v>561</v>
      </c>
      <c r="J32" t="str">
        <f t="shared" si="0"/>
        <v>ia.assorted_string like '%104243-00002-12-2024%' or</v>
      </c>
    </row>
    <row r="33" spans="1:10" x14ac:dyDescent="0.25">
      <c r="A33" s="2" t="s">
        <v>508</v>
      </c>
      <c r="B33" t="s">
        <v>555</v>
      </c>
      <c r="H33">
        <v>104243</v>
      </c>
      <c r="I33" t="s">
        <v>564</v>
      </c>
      <c r="J33" t="str">
        <f t="shared" si="0"/>
        <v>ia.assorted_string like '%104243-00001-12-2024%' or</v>
      </c>
    </row>
    <row r="34" spans="1:10" x14ac:dyDescent="0.25">
      <c r="A34" s="2" t="s">
        <v>509</v>
      </c>
      <c r="B34" t="s">
        <v>555</v>
      </c>
      <c r="H34">
        <v>104265</v>
      </c>
      <c r="I34" t="s">
        <v>561</v>
      </c>
      <c r="J34" t="str">
        <f t="shared" si="0"/>
        <v>ia.assorted_string like '%104265-00002-12-2024%' or</v>
      </c>
    </row>
    <row r="35" spans="1:10" x14ac:dyDescent="0.25">
      <c r="A35" s="2" t="s">
        <v>510</v>
      </c>
      <c r="B35" t="s">
        <v>555</v>
      </c>
      <c r="H35">
        <v>104265</v>
      </c>
      <c r="I35" t="s">
        <v>559</v>
      </c>
      <c r="J35" t="str">
        <f t="shared" si="0"/>
        <v>ia.assorted_string like '%104265-00003-12-2024%' or</v>
      </c>
    </row>
    <row r="36" spans="1:10" x14ac:dyDescent="0.25">
      <c r="A36" s="2" t="s">
        <v>511</v>
      </c>
      <c r="B36" t="s">
        <v>555</v>
      </c>
      <c r="H36">
        <v>104265</v>
      </c>
      <c r="I36" t="s">
        <v>564</v>
      </c>
      <c r="J36" t="str">
        <f t="shared" si="0"/>
        <v>ia.assorted_string like '%104265-00001-12-2024%' or</v>
      </c>
    </row>
    <row r="37" spans="1:10" x14ac:dyDescent="0.25">
      <c r="A37" s="2" t="s">
        <v>512</v>
      </c>
      <c r="B37" t="s">
        <v>555</v>
      </c>
      <c r="H37">
        <v>104264</v>
      </c>
      <c r="I37" t="s">
        <v>564</v>
      </c>
      <c r="J37" t="str">
        <f t="shared" si="0"/>
        <v>ia.assorted_string like '%104264-00001-12-2024%' or</v>
      </c>
    </row>
    <row r="38" spans="1:10" x14ac:dyDescent="0.25">
      <c r="A38" s="2" t="s">
        <v>513</v>
      </c>
      <c r="B38" t="s">
        <v>555</v>
      </c>
      <c r="H38">
        <v>104283</v>
      </c>
      <c r="I38" t="s">
        <v>564</v>
      </c>
      <c r="J38" t="str">
        <f t="shared" si="0"/>
        <v>ia.assorted_string like '%104283-00001-12-2024%' or</v>
      </c>
    </row>
    <row r="39" spans="1:10" x14ac:dyDescent="0.25">
      <c r="A39" s="2" t="s">
        <v>514</v>
      </c>
      <c r="B39" t="s">
        <v>555</v>
      </c>
      <c r="H39">
        <v>104283</v>
      </c>
      <c r="I39" t="s">
        <v>559</v>
      </c>
      <c r="J39" t="str">
        <f t="shared" si="0"/>
        <v>ia.assorted_string like '%104283-00003-12-2024%' or</v>
      </c>
    </row>
    <row r="40" spans="1:10" x14ac:dyDescent="0.25">
      <c r="A40" s="2" t="s">
        <v>515</v>
      </c>
      <c r="B40" t="s">
        <v>555</v>
      </c>
      <c r="H40">
        <v>104283</v>
      </c>
      <c r="I40" t="s">
        <v>557</v>
      </c>
      <c r="J40" t="str">
        <f t="shared" si="0"/>
        <v>ia.assorted_string like '%104283-00005-12-2024%' or</v>
      </c>
    </row>
    <row r="41" spans="1:10" x14ac:dyDescent="0.25">
      <c r="A41" s="2" t="s">
        <v>516</v>
      </c>
      <c r="B41" t="s">
        <v>555</v>
      </c>
      <c r="H41">
        <v>104283</v>
      </c>
      <c r="I41" t="s">
        <v>561</v>
      </c>
      <c r="J41" t="str">
        <f t="shared" si="0"/>
        <v>ia.assorted_string like '%104283-00002-12-2024%' or</v>
      </c>
    </row>
    <row r="42" spans="1:10" x14ac:dyDescent="0.25">
      <c r="A42" s="2" t="s">
        <v>517</v>
      </c>
      <c r="B42" t="s">
        <v>555</v>
      </c>
      <c r="H42">
        <v>104283</v>
      </c>
      <c r="I42" t="s">
        <v>563</v>
      </c>
      <c r="J42" t="str">
        <f t="shared" si="0"/>
        <v>ia.assorted_string like '%104283-00004-12-2024%' or</v>
      </c>
    </row>
    <row r="43" spans="1:10" x14ac:dyDescent="0.25">
      <c r="A43" s="2" t="s">
        <v>518</v>
      </c>
      <c r="B43" t="s">
        <v>555</v>
      </c>
      <c r="H43">
        <v>104281</v>
      </c>
      <c r="I43" t="s">
        <v>561</v>
      </c>
      <c r="J43" t="str">
        <f t="shared" si="0"/>
        <v>ia.assorted_string like '%104281-00002-12-2024%' or</v>
      </c>
    </row>
    <row r="44" spans="1:10" x14ac:dyDescent="0.25">
      <c r="A44" s="2" t="s">
        <v>519</v>
      </c>
      <c r="B44" t="s">
        <v>555</v>
      </c>
      <c r="H44">
        <v>104281</v>
      </c>
      <c r="I44" t="s">
        <v>564</v>
      </c>
      <c r="J44" t="str">
        <f t="shared" si="0"/>
        <v>ia.assorted_string like '%104281-00001-12-2024%' or</v>
      </c>
    </row>
    <row r="45" spans="1:10" x14ac:dyDescent="0.25">
      <c r="A45" s="2" t="s">
        <v>476</v>
      </c>
      <c r="B45" t="s">
        <v>555</v>
      </c>
      <c r="H45">
        <v>104279</v>
      </c>
      <c r="I45" t="s">
        <v>564</v>
      </c>
      <c r="J45" t="str">
        <f t="shared" si="0"/>
        <v>ia.assorted_string like '%104279-00001-12-2024%' or</v>
      </c>
    </row>
    <row r="46" spans="1:10" x14ac:dyDescent="0.25">
      <c r="A46" s="2" t="s">
        <v>477</v>
      </c>
      <c r="B46" t="s">
        <v>555</v>
      </c>
      <c r="H46">
        <v>104274</v>
      </c>
      <c r="I46" t="s">
        <v>564</v>
      </c>
      <c r="J46" t="str">
        <f t="shared" si="0"/>
        <v>ia.assorted_string like '%104274-00001-12-2024%' or</v>
      </c>
    </row>
    <row r="47" spans="1:10" x14ac:dyDescent="0.25">
      <c r="A47" s="2" t="s">
        <v>520</v>
      </c>
      <c r="B47" t="s">
        <v>555</v>
      </c>
      <c r="H47">
        <v>104366</v>
      </c>
      <c r="I47" t="s">
        <v>564</v>
      </c>
      <c r="J47" t="str">
        <f t="shared" si="0"/>
        <v>ia.assorted_string like '%104366-00001-12-2024%' or</v>
      </c>
    </row>
    <row r="48" spans="1:10" x14ac:dyDescent="0.25">
      <c r="A48" s="2" t="s">
        <v>521</v>
      </c>
      <c r="B48" t="s">
        <v>555</v>
      </c>
      <c r="H48">
        <v>104366</v>
      </c>
      <c r="I48" t="s">
        <v>559</v>
      </c>
      <c r="J48" t="str">
        <f t="shared" si="0"/>
        <v>ia.assorted_string like '%104366-00003-12-2024%' or</v>
      </c>
    </row>
    <row r="49" spans="1:10" x14ac:dyDescent="0.25">
      <c r="A49" s="2" t="s">
        <v>522</v>
      </c>
      <c r="B49" t="s">
        <v>555</v>
      </c>
      <c r="H49">
        <v>104366</v>
      </c>
      <c r="I49" t="s">
        <v>561</v>
      </c>
      <c r="J49" t="str">
        <f t="shared" si="0"/>
        <v>ia.assorted_string like '%104366-00002-12-2024%' or</v>
      </c>
    </row>
    <row r="50" spans="1:10" x14ac:dyDescent="0.25">
      <c r="A50" s="2" t="s">
        <v>523</v>
      </c>
      <c r="B50" t="s">
        <v>556</v>
      </c>
      <c r="H50">
        <v>102302</v>
      </c>
      <c r="I50" t="s">
        <v>559</v>
      </c>
      <c r="J50" t="str">
        <f t="shared" si="0"/>
        <v>ia.assorted_string like '%102302-00003-11-2024%' or</v>
      </c>
    </row>
    <row r="51" spans="1:10" x14ac:dyDescent="0.25">
      <c r="A51" s="2" t="s">
        <v>549</v>
      </c>
      <c r="B51" t="s">
        <v>555</v>
      </c>
      <c r="H51">
        <v>104374</v>
      </c>
      <c r="I51" t="s">
        <v>564</v>
      </c>
      <c r="J51" t="str">
        <f t="shared" si="0"/>
        <v>ia.assorted_string like '%104374-00001-12-2024%' or</v>
      </c>
    </row>
    <row r="52" spans="1:10" x14ac:dyDescent="0.25">
      <c r="A52" s="2" t="s">
        <v>524</v>
      </c>
      <c r="B52" t="s">
        <v>556</v>
      </c>
      <c r="H52">
        <v>102302</v>
      </c>
      <c r="I52" t="s">
        <v>561</v>
      </c>
      <c r="J52" t="str">
        <f t="shared" si="0"/>
        <v>ia.assorted_string like '%102302-00002-11-2024%' or</v>
      </c>
    </row>
    <row r="53" spans="1:10" x14ac:dyDescent="0.25">
      <c r="A53" s="2" t="s">
        <v>525</v>
      </c>
      <c r="B53" t="s">
        <v>555</v>
      </c>
      <c r="H53">
        <v>104373</v>
      </c>
      <c r="I53" t="s">
        <v>561</v>
      </c>
      <c r="J53" t="str">
        <f t="shared" si="0"/>
        <v>ia.assorted_string like '%104373-00002-12-2024%' or</v>
      </c>
    </row>
    <row r="54" spans="1:10" x14ac:dyDescent="0.25">
      <c r="A54" s="2" t="s">
        <v>526</v>
      </c>
      <c r="B54" t="s">
        <v>555</v>
      </c>
      <c r="H54">
        <v>104373</v>
      </c>
      <c r="I54" t="s">
        <v>564</v>
      </c>
      <c r="J54" t="str">
        <f t="shared" si="0"/>
        <v>ia.assorted_string like '%104373-00001-12-2024%' or</v>
      </c>
    </row>
    <row r="55" spans="1:10" x14ac:dyDescent="0.25">
      <c r="A55" s="2" t="s">
        <v>527</v>
      </c>
      <c r="B55" t="s">
        <v>555</v>
      </c>
      <c r="H55">
        <v>104373</v>
      </c>
      <c r="I55" t="s">
        <v>559</v>
      </c>
      <c r="J55" t="str">
        <f t="shared" si="0"/>
        <v>ia.assorted_string like '%104373-00003-12-2024%' or</v>
      </c>
    </row>
    <row r="56" spans="1:10" x14ac:dyDescent="0.25">
      <c r="A56" s="2" t="s">
        <v>528</v>
      </c>
      <c r="B56" t="s">
        <v>555</v>
      </c>
      <c r="H56">
        <v>104369</v>
      </c>
      <c r="I56" t="s">
        <v>560</v>
      </c>
      <c r="J56" t="str">
        <f t="shared" si="0"/>
        <v>ia.assorted_string like '%104369-00006-12-2024%' or</v>
      </c>
    </row>
    <row r="57" spans="1:10" x14ac:dyDescent="0.25">
      <c r="A57" s="2" t="s">
        <v>478</v>
      </c>
      <c r="B57" t="s">
        <v>555</v>
      </c>
      <c r="H57">
        <v>104369</v>
      </c>
      <c r="I57" t="s">
        <v>561</v>
      </c>
      <c r="J57" t="str">
        <f t="shared" si="0"/>
        <v>ia.assorted_string like '%104369-00002-12-2024%' or</v>
      </c>
    </row>
    <row r="58" spans="1:10" x14ac:dyDescent="0.25">
      <c r="A58" s="2" t="s">
        <v>529</v>
      </c>
      <c r="B58" t="s">
        <v>555</v>
      </c>
      <c r="H58">
        <v>104374</v>
      </c>
      <c r="I58" t="s">
        <v>561</v>
      </c>
      <c r="J58" t="str">
        <f t="shared" si="0"/>
        <v>ia.assorted_string like '%104374-00002-12-2024%' or</v>
      </c>
    </row>
    <row r="59" spans="1:10" x14ac:dyDescent="0.25">
      <c r="A59" s="2" t="s">
        <v>479</v>
      </c>
      <c r="B59" t="s">
        <v>555</v>
      </c>
      <c r="H59">
        <v>104369</v>
      </c>
      <c r="I59" t="s">
        <v>559</v>
      </c>
      <c r="J59" t="str">
        <f t="shared" si="0"/>
        <v>ia.assorted_string like '%104369-00003-12-2024%' or</v>
      </c>
    </row>
    <row r="60" spans="1:10" x14ac:dyDescent="0.25">
      <c r="A60" s="2" t="s">
        <v>530</v>
      </c>
      <c r="B60" t="s">
        <v>555</v>
      </c>
      <c r="H60">
        <v>104370</v>
      </c>
      <c r="I60" t="s">
        <v>564</v>
      </c>
      <c r="J60" t="str">
        <f t="shared" si="0"/>
        <v>ia.assorted_string like '%104370-00001-12-2024%' or</v>
      </c>
    </row>
    <row r="61" spans="1:10" x14ac:dyDescent="0.25">
      <c r="A61" s="2" t="s">
        <v>531</v>
      </c>
      <c r="B61" t="s">
        <v>555</v>
      </c>
      <c r="H61">
        <v>104305</v>
      </c>
      <c r="I61" t="s">
        <v>564</v>
      </c>
      <c r="J61" t="str">
        <f t="shared" si="0"/>
        <v>ia.assorted_string like '%104305-00001-12-2024%' or</v>
      </c>
    </row>
    <row r="62" spans="1:10" x14ac:dyDescent="0.25">
      <c r="A62" s="2" t="s">
        <v>532</v>
      </c>
      <c r="B62" t="s">
        <v>555</v>
      </c>
      <c r="H62">
        <v>104370</v>
      </c>
      <c r="I62" t="s">
        <v>561</v>
      </c>
      <c r="J62" t="str">
        <f t="shared" si="0"/>
        <v>ia.assorted_string like '%104370-00002-12-2024%' or</v>
      </c>
    </row>
    <row r="63" spans="1:10" x14ac:dyDescent="0.25">
      <c r="A63" s="2" t="s">
        <v>533</v>
      </c>
      <c r="B63" t="s">
        <v>555</v>
      </c>
      <c r="H63">
        <v>104363</v>
      </c>
      <c r="I63" t="s">
        <v>564</v>
      </c>
      <c r="J63" t="str">
        <f t="shared" si="0"/>
        <v>ia.assorted_string like '%104363-00001-12-2024%' or</v>
      </c>
    </row>
    <row r="64" spans="1:10" x14ac:dyDescent="0.25">
      <c r="A64" s="2" t="s">
        <v>534</v>
      </c>
      <c r="B64" t="s">
        <v>555</v>
      </c>
      <c r="H64">
        <v>104359</v>
      </c>
      <c r="I64" t="s">
        <v>564</v>
      </c>
      <c r="J64" t="str">
        <f t="shared" si="0"/>
        <v>ia.assorted_string like '%104359-00001-12-2024%' or</v>
      </c>
    </row>
    <row r="65" spans="1:10" x14ac:dyDescent="0.25">
      <c r="A65" s="2" t="s">
        <v>480</v>
      </c>
      <c r="B65" t="s">
        <v>555</v>
      </c>
      <c r="H65">
        <v>104370</v>
      </c>
      <c r="I65" t="s">
        <v>559</v>
      </c>
      <c r="J65" t="str">
        <f t="shared" si="0"/>
        <v>ia.assorted_string like '%104370-00003-12-2024%' or</v>
      </c>
    </row>
    <row r="66" spans="1:10" x14ac:dyDescent="0.25">
      <c r="A66" s="2" t="s">
        <v>535</v>
      </c>
      <c r="B66" t="s">
        <v>555</v>
      </c>
      <c r="H66">
        <v>104359</v>
      </c>
      <c r="I66" t="s">
        <v>561</v>
      </c>
      <c r="J66" t="str">
        <f t="shared" ref="J66:J79" si="1">"ia.assorted_string like '%"&amp;H66&amp;"-"&amp;I66&amp;B66&amp;"%' or"</f>
        <v>ia.assorted_string like '%104359-00002-12-2024%' or</v>
      </c>
    </row>
    <row r="67" spans="1:10" x14ac:dyDescent="0.25">
      <c r="A67" s="2" t="s">
        <v>536</v>
      </c>
      <c r="B67" t="s">
        <v>555</v>
      </c>
      <c r="H67">
        <v>104363</v>
      </c>
      <c r="I67" t="s">
        <v>561</v>
      </c>
      <c r="J67" t="str">
        <f t="shared" si="1"/>
        <v>ia.assorted_string like '%104363-00002-12-2024%' or</v>
      </c>
    </row>
    <row r="68" spans="1:10" x14ac:dyDescent="0.25">
      <c r="A68" s="2" t="s">
        <v>537</v>
      </c>
      <c r="B68" t="s">
        <v>555</v>
      </c>
      <c r="H68">
        <v>104369</v>
      </c>
      <c r="I68" t="s">
        <v>563</v>
      </c>
      <c r="J68" t="str">
        <f t="shared" si="1"/>
        <v>ia.assorted_string like '%104369-00004-12-2024%' or</v>
      </c>
    </row>
    <row r="69" spans="1:10" x14ac:dyDescent="0.25">
      <c r="A69" s="2" t="s">
        <v>538</v>
      </c>
      <c r="B69" t="s">
        <v>555</v>
      </c>
      <c r="H69">
        <v>104368</v>
      </c>
      <c r="I69" t="s">
        <v>564</v>
      </c>
      <c r="J69" t="str">
        <f t="shared" si="1"/>
        <v>ia.assorted_string like '%104368-00001-12-2024%' or</v>
      </c>
    </row>
    <row r="70" spans="1:10" x14ac:dyDescent="0.25">
      <c r="A70" s="2" t="s">
        <v>539</v>
      </c>
      <c r="B70" t="s">
        <v>555</v>
      </c>
      <c r="H70">
        <v>104369</v>
      </c>
      <c r="I70" t="s">
        <v>564</v>
      </c>
      <c r="J70" t="str">
        <f t="shared" si="1"/>
        <v>ia.assorted_string like '%104369-00001-12-2024%' or</v>
      </c>
    </row>
    <row r="71" spans="1:10" x14ac:dyDescent="0.25">
      <c r="A71" s="2" t="s">
        <v>472</v>
      </c>
      <c r="B71" t="s">
        <v>555</v>
      </c>
      <c r="H71">
        <v>104370</v>
      </c>
      <c r="I71" t="s">
        <v>563</v>
      </c>
      <c r="J71" t="str">
        <f t="shared" si="1"/>
        <v>ia.assorted_string like '%104370-00004-12-2024%' or</v>
      </c>
    </row>
    <row r="72" spans="1:10" x14ac:dyDescent="0.25">
      <c r="A72" s="2" t="s">
        <v>540</v>
      </c>
      <c r="B72" t="s">
        <v>555</v>
      </c>
      <c r="H72">
        <v>104369</v>
      </c>
      <c r="I72" t="s">
        <v>557</v>
      </c>
      <c r="J72" t="str">
        <f t="shared" si="1"/>
        <v>ia.assorted_string like '%104369-00005-12-2024%' or</v>
      </c>
    </row>
    <row r="73" spans="1:10" x14ac:dyDescent="0.25">
      <c r="A73" s="2" t="s">
        <v>541</v>
      </c>
      <c r="B73" t="s">
        <v>555</v>
      </c>
      <c r="H73">
        <v>104298</v>
      </c>
      <c r="I73" t="s">
        <v>561</v>
      </c>
      <c r="J73" t="str">
        <f t="shared" si="1"/>
        <v>ia.assorted_string like '%104298-00002-12-2024%' or</v>
      </c>
    </row>
    <row r="74" spans="1:10" x14ac:dyDescent="0.25">
      <c r="A74" s="2" t="s">
        <v>542</v>
      </c>
      <c r="B74" t="s">
        <v>555</v>
      </c>
      <c r="H74">
        <v>104298</v>
      </c>
      <c r="I74" t="s">
        <v>564</v>
      </c>
      <c r="J74" t="str">
        <f t="shared" si="1"/>
        <v>ia.assorted_string like '%104298-00001-12-2024%' or</v>
      </c>
    </row>
    <row r="75" spans="1:10" x14ac:dyDescent="0.25">
      <c r="A75" s="2" t="s">
        <v>543</v>
      </c>
      <c r="B75" t="s">
        <v>555</v>
      </c>
      <c r="H75">
        <v>104298</v>
      </c>
      <c r="I75" t="s">
        <v>559</v>
      </c>
      <c r="J75" t="str">
        <f t="shared" si="1"/>
        <v>ia.assorted_string like '%104298-00003-12-2024%' or</v>
      </c>
    </row>
    <row r="76" spans="1:10" x14ac:dyDescent="0.25">
      <c r="A76" s="2" t="s">
        <v>544</v>
      </c>
      <c r="B76" t="s">
        <v>555</v>
      </c>
      <c r="H76">
        <v>104297</v>
      </c>
      <c r="I76" t="s">
        <v>564</v>
      </c>
      <c r="J76" t="str">
        <f t="shared" si="1"/>
        <v>ia.assorted_string like '%104297-00001-12-2024%' or</v>
      </c>
    </row>
    <row r="77" spans="1:10" x14ac:dyDescent="0.25">
      <c r="A77" s="2" t="s">
        <v>545</v>
      </c>
      <c r="B77" t="s">
        <v>555</v>
      </c>
      <c r="H77">
        <v>104299</v>
      </c>
      <c r="I77" t="s">
        <v>559</v>
      </c>
      <c r="J77" t="str">
        <f t="shared" si="1"/>
        <v>ia.assorted_string like '%104299-00003-12-2024%' or</v>
      </c>
    </row>
    <row r="78" spans="1:10" x14ac:dyDescent="0.25">
      <c r="A78" s="2" t="s">
        <v>546</v>
      </c>
      <c r="B78" t="s">
        <v>555</v>
      </c>
      <c r="H78">
        <v>104299</v>
      </c>
      <c r="I78" t="s">
        <v>564</v>
      </c>
      <c r="J78" t="str">
        <f t="shared" si="1"/>
        <v>ia.assorted_string like '%104299-00001-12-2024%' or</v>
      </c>
    </row>
    <row r="79" spans="1:10" x14ac:dyDescent="0.25">
      <c r="A79" s="2" t="s">
        <v>547</v>
      </c>
      <c r="B79" t="s">
        <v>555</v>
      </c>
      <c r="H79">
        <v>104299</v>
      </c>
      <c r="I79" t="s">
        <v>561</v>
      </c>
      <c r="J79" t="str">
        <f t="shared" si="1"/>
        <v>ia.assorted_string like '%104299-00002-12-2024%'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E6CE-A45F-4CEF-A439-3A40AFBA3F30}">
  <dimension ref="A1:C80"/>
  <sheetViews>
    <sheetView workbookViewId="0">
      <selection activeCell="I13" sqref="I13"/>
    </sheetView>
  </sheetViews>
  <sheetFormatPr defaultColWidth="7.85546875" defaultRowHeight="15" x14ac:dyDescent="0.25"/>
  <cols>
    <col min="1" max="1" width="3" bestFit="1" customWidth="1"/>
    <col min="2" max="2" width="42.28515625" bestFit="1" customWidth="1"/>
    <col min="3" max="3" width="15" bestFit="1" customWidth="1"/>
  </cols>
  <sheetData>
    <row r="1" spans="1:3" s="12" customFormat="1" ht="12" x14ac:dyDescent="0.2">
      <c r="A1" s="12" t="s">
        <v>565</v>
      </c>
      <c r="B1" s="12" t="s">
        <v>566</v>
      </c>
      <c r="C1" s="12" t="s">
        <v>567</v>
      </c>
    </row>
    <row r="2" spans="1:3" x14ac:dyDescent="0.25">
      <c r="A2">
        <v>1</v>
      </c>
      <c r="B2" t="s">
        <v>531</v>
      </c>
      <c r="C2" t="s">
        <v>568</v>
      </c>
    </row>
    <row r="3" spans="1:3" x14ac:dyDescent="0.25">
      <c r="A3">
        <v>2</v>
      </c>
      <c r="B3" t="s">
        <v>546</v>
      </c>
      <c r="C3" t="s">
        <v>569</v>
      </c>
    </row>
    <row r="4" spans="1:3" x14ac:dyDescent="0.25">
      <c r="A4">
        <v>3</v>
      </c>
      <c r="B4" t="s">
        <v>547</v>
      </c>
      <c r="C4" t="s">
        <v>570</v>
      </c>
    </row>
    <row r="5" spans="1:3" x14ac:dyDescent="0.25">
      <c r="A5">
        <v>4</v>
      </c>
      <c r="B5" t="s">
        <v>545</v>
      </c>
      <c r="C5" t="s">
        <v>571</v>
      </c>
    </row>
    <row r="6" spans="1:3" x14ac:dyDescent="0.25">
      <c r="A6">
        <v>5</v>
      </c>
      <c r="B6" t="s">
        <v>529</v>
      </c>
      <c r="C6" t="s">
        <v>572</v>
      </c>
    </row>
    <row r="7" spans="1:3" x14ac:dyDescent="0.25">
      <c r="A7">
        <v>6</v>
      </c>
      <c r="B7" t="s">
        <v>504</v>
      </c>
      <c r="C7" t="s">
        <v>573</v>
      </c>
    </row>
    <row r="8" spans="1:3" x14ac:dyDescent="0.25">
      <c r="A8">
        <v>7</v>
      </c>
      <c r="B8" t="s">
        <v>475</v>
      </c>
      <c r="C8" t="s">
        <v>574</v>
      </c>
    </row>
    <row r="9" spans="1:3" x14ac:dyDescent="0.25">
      <c r="A9">
        <v>8</v>
      </c>
      <c r="B9" t="s">
        <v>548</v>
      </c>
      <c r="C9" t="s">
        <v>575</v>
      </c>
    </row>
    <row r="10" spans="1:3" x14ac:dyDescent="0.25">
      <c r="A10">
        <v>9</v>
      </c>
      <c r="B10" t="s">
        <v>476</v>
      </c>
      <c r="C10" t="s">
        <v>576</v>
      </c>
    </row>
    <row r="11" spans="1:3" x14ac:dyDescent="0.25">
      <c r="A11">
        <v>10</v>
      </c>
      <c r="B11" t="s">
        <v>513</v>
      </c>
      <c r="C11" t="s">
        <v>577</v>
      </c>
    </row>
    <row r="12" spans="1:3" x14ac:dyDescent="0.25">
      <c r="A12">
        <v>11</v>
      </c>
      <c r="B12" t="s">
        <v>516</v>
      </c>
      <c r="C12" t="s">
        <v>578</v>
      </c>
    </row>
    <row r="13" spans="1:3" x14ac:dyDescent="0.25">
      <c r="A13">
        <v>12</v>
      </c>
      <c r="B13" t="s">
        <v>514</v>
      </c>
      <c r="C13" t="s">
        <v>579</v>
      </c>
    </row>
    <row r="14" spans="1:3" x14ac:dyDescent="0.25">
      <c r="A14">
        <v>13</v>
      </c>
      <c r="B14" t="s">
        <v>517</v>
      </c>
      <c r="C14" t="s">
        <v>580</v>
      </c>
    </row>
    <row r="15" spans="1:3" x14ac:dyDescent="0.25">
      <c r="A15">
        <v>14</v>
      </c>
      <c r="B15" t="s">
        <v>515</v>
      </c>
      <c r="C15" t="s">
        <v>581</v>
      </c>
    </row>
    <row r="16" spans="1:3" x14ac:dyDescent="0.25">
      <c r="A16">
        <v>15</v>
      </c>
      <c r="B16" t="s">
        <v>495</v>
      </c>
      <c r="C16" t="s">
        <v>582</v>
      </c>
    </row>
    <row r="17" spans="1:3" x14ac:dyDescent="0.25">
      <c r="A17">
        <v>16</v>
      </c>
      <c r="B17" t="s">
        <v>494</v>
      </c>
      <c r="C17" t="s">
        <v>583</v>
      </c>
    </row>
    <row r="18" spans="1:3" x14ac:dyDescent="0.25">
      <c r="A18">
        <v>17</v>
      </c>
      <c r="B18" t="s">
        <v>473</v>
      </c>
      <c r="C18" t="s">
        <v>584</v>
      </c>
    </row>
    <row r="19" spans="1:3" x14ac:dyDescent="0.25">
      <c r="A19">
        <v>18</v>
      </c>
      <c r="B19" t="s">
        <v>493</v>
      </c>
      <c r="C19" t="s">
        <v>585</v>
      </c>
    </row>
    <row r="20" spans="1:3" x14ac:dyDescent="0.25">
      <c r="A20">
        <v>19</v>
      </c>
      <c r="B20" t="s">
        <v>474</v>
      </c>
      <c r="C20" t="s">
        <v>586</v>
      </c>
    </row>
    <row r="21" spans="1:3" x14ac:dyDescent="0.25">
      <c r="A21">
        <v>20</v>
      </c>
      <c r="B21" t="s">
        <v>501</v>
      </c>
      <c r="C21" t="s">
        <v>587</v>
      </c>
    </row>
    <row r="22" spans="1:3" x14ac:dyDescent="0.25">
      <c r="A22">
        <v>21</v>
      </c>
      <c r="B22" t="s">
        <v>508</v>
      </c>
      <c r="C22" t="s">
        <v>588</v>
      </c>
    </row>
    <row r="23" spans="1:3" x14ac:dyDescent="0.25">
      <c r="A23">
        <v>22</v>
      </c>
      <c r="B23" t="s">
        <v>507</v>
      </c>
      <c r="C23" t="s">
        <v>589</v>
      </c>
    </row>
    <row r="24" spans="1:3" x14ac:dyDescent="0.25">
      <c r="A24">
        <v>23</v>
      </c>
      <c r="B24" t="s">
        <v>503</v>
      </c>
      <c r="C24" t="s">
        <v>590</v>
      </c>
    </row>
    <row r="25" spans="1:3" x14ac:dyDescent="0.25">
      <c r="A25">
        <v>24</v>
      </c>
      <c r="B25" t="s">
        <v>492</v>
      </c>
      <c r="C25" t="s">
        <v>591</v>
      </c>
    </row>
    <row r="26" spans="1:3" x14ac:dyDescent="0.25">
      <c r="A26">
        <v>25</v>
      </c>
      <c r="B26" t="s">
        <v>489</v>
      </c>
      <c r="C26" t="s">
        <v>592</v>
      </c>
    </row>
    <row r="27" spans="1:3" x14ac:dyDescent="0.25">
      <c r="A27">
        <v>26</v>
      </c>
      <c r="B27" t="s">
        <v>497</v>
      </c>
      <c r="C27" t="s">
        <v>593</v>
      </c>
    </row>
    <row r="28" spans="1:3" x14ac:dyDescent="0.25">
      <c r="A28">
        <v>27</v>
      </c>
      <c r="B28" t="s">
        <v>499</v>
      </c>
      <c r="C28" t="s">
        <v>594</v>
      </c>
    </row>
    <row r="29" spans="1:3" x14ac:dyDescent="0.25">
      <c r="A29">
        <v>28</v>
      </c>
      <c r="B29" t="s">
        <v>500</v>
      </c>
      <c r="C29" t="s">
        <v>595</v>
      </c>
    </row>
    <row r="30" spans="1:3" x14ac:dyDescent="0.25">
      <c r="A30">
        <v>29</v>
      </c>
      <c r="B30" t="s">
        <v>498</v>
      </c>
      <c r="C30" t="s">
        <v>596</v>
      </c>
    </row>
    <row r="31" spans="1:3" x14ac:dyDescent="0.25">
      <c r="A31">
        <v>30</v>
      </c>
      <c r="B31" t="s">
        <v>502</v>
      </c>
      <c r="C31" t="s">
        <v>597</v>
      </c>
    </row>
    <row r="32" spans="1:3" x14ac:dyDescent="0.25">
      <c r="A32">
        <v>31</v>
      </c>
      <c r="B32" t="s">
        <v>471</v>
      </c>
      <c r="C32" t="s">
        <v>598</v>
      </c>
    </row>
    <row r="33" spans="1:3" x14ac:dyDescent="0.25">
      <c r="A33">
        <v>32</v>
      </c>
      <c r="B33" t="s">
        <v>490</v>
      </c>
      <c r="C33" t="s">
        <v>599</v>
      </c>
    </row>
    <row r="34" spans="1:3" x14ac:dyDescent="0.25">
      <c r="A34">
        <v>33</v>
      </c>
      <c r="B34" t="s">
        <v>491</v>
      </c>
      <c r="C34" t="s">
        <v>600</v>
      </c>
    </row>
    <row r="35" spans="1:3" x14ac:dyDescent="0.25">
      <c r="A35">
        <v>34</v>
      </c>
      <c r="B35" t="s">
        <v>496</v>
      </c>
      <c r="C35" t="s">
        <v>601</v>
      </c>
    </row>
    <row r="36" spans="1:3" x14ac:dyDescent="0.25">
      <c r="A36">
        <v>35</v>
      </c>
      <c r="B36" t="s">
        <v>506</v>
      </c>
      <c r="C36" t="s">
        <v>602</v>
      </c>
    </row>
    <row r="37" spans="1:3" x14ac:dyDescent="0.25">
      <c r="A37">
        <v>36</v>
      </c>
      <c r="B37" t="s">
        <v>505</v>
      </c>
      <c r="C37" t="s">
        <v>603</v>
      </c>
    </row>
    <row r="38" spans="1:3" x14ac:dyDescent="0.25">
      <c r="A38">
        <v>37</v>
      </c>
      <c r="B38" t="s">
        <v>538</v>
      </c>
      <c r="C38" t="s">
        <v>604</v>
      </c>
    </row>
    <row r="39" spans="1:3" x14ac:dyDescent="0.25">
      <c r="A39">
        <v>38</v>
      </c>
      <c r="B39" t="s">
        <v>530</v>
      </c>
      <c r="C39" t="s">
        <v>605</v>
      </c>
    </row>
    <row r="40" spans="1:3" x14ac:dyDescent="0.25">
      <c r="A40">
        <v>39</v>
      </c>
      <c r="B40" t="s">
        <v>532</v>
      </c>
      <c r="C40" t="s">
        <v>606</v>
      </c>
    </row>
    <row r="41" spans="1:3" x14ac:dyDescent="0.25">
      <c r="A41">
        <v>40</v>
      </c>
      <c r="B41" t="s">
        <v>480</v>
      </c>
      <c r="C41" t="s">
        <v>607</v>
      </c>
    </row>
    <row r="42" spans="1:3" x14ac:dyDescent="0.25">
      <c r="A42">
        <v>41</v>
      </c>
      <c r="B42" t="s">
        <v>472</v>
      </c>
      <c r="C42" t="s">
        <v>608</v>
      </c>
    </row>
    <row r="43" spans="1:3" x14ac:dyDescent="0.25">
      <c r="A43">
        <v>42</v>
      </c>
      <c r="B43" t="s">
        <v>526</v>
      </c>
      <c r="C43" t="s">
        <v>609</v>
      </c>
    </row>
    <row r="44" spans="1:3" x14ac:dyDescent="0.25">
      <c r="A44">
        <v>43</v>
      </c>
      <c r="B44" t="s">
        <v>525</v>
      </c>
      <c r="C44" t="s">
        <v>610</v>
      </c>
    </row>
    <row r="45" spans="1:3" x14ac:dyDescent="0.25">
      <c r="A45">
        <v>44</v>
      </c>
      <c r="B45" t="s">
        <v>527</v>
      </c>
      <c r="C45" t="s">
        <v>611</v>
      </c>
    </row>
    <row r="46" spans="1:3" x14ac:dyDescent="0.25">
      <c r="A46">
        <v>45</v>
      </c>
      <c r="B46" t="s">
        <v>549</v>
      </c>
      <c r="C46" t="s">
        <v>612</v>
      </c>
    </row>
    <row r="47" spans="1:3" x14ac:dyDescent="0.25">
      <c r="A47">
        <v>46</v>
      </c>
      <c r="B47" t="s">
        <v>512</v>
      </c>
      <c r="C47" t="s">
        <v>613</v>
      </c>
    </row>
    <row r="48" spans="1:3" x14ac:dyDescent="0.25">
      <c r="A48">
        <v>47</v>
      </c>
      <c r="B48" t="s">
        <v>477</v>
      </c>
      <c r="C48" t="s">
        <v>614</v>
      </c>
    </row>
    <row r="49" spans="1:3" x14ac:dyDescent="0.25">
      <c r="A49">
        <v>48</v>
      </c>
      <c r="B49" t="s">
        <v>519</v>
      </c>
      <c r="C49" t="s">
        <v>615</v>
      </c>
    </row>
    <row r="50" spans="1:3" x14ac:dyDescent="0.25">
      <c r="A50">
        <v>49</v>
      </c>
      <c r="B50" t="s">
        <v>518</v>
      </c>
      <c r="C50" t="s">
        <v>616</v>
      </c>
    </row>
    <row r="51" spans="1:3" x14ac:dyDescent="0.25">
      <c r="A51">
        <v>50</v>
      </c>
      <c r="B51" t="s">
        <v>539</v>
      </c>
      <c r="C51" t="s">
        <v>617</v>
      </c>
    </row>
    <row r="52" spans="1:3" x14ac:dyDescent="0.25">
      <c r="A52">
        <v>51</v>
      </c>
      <c r="B52" t="s">
        <v>478</v>
      </c>
      <c r="C52" t="s">
        <v>618</v>
      </c>
    </row>
    <row r="53" spans="1:3" x14ac:dyDescent="0.25">
      <c r="A53">
        <v>52</v>
      </c>
      <c r="B53" t="s">
        <v>479</v>
      </c>
      <c r="C53" t="s">
        <v>619</v>
      </c>
    </row>
    <row r="54" spans="1:3" x14ac:dyDescent="0.25">
      <c r="A54">
        <v>53</v>
      </c>
      <c r="B54" t="s">
        <v>537</v>
      </c>
      <c r="C54" t="s">
        <v>620</v>
      </c>
    </row>
    <row r="55" spans="1:3" x14ac:dyDescent="0.25">
      <c r="A55">
        <v>54</v>
      </c>
      <c r="B55" t="s">
        <v>540</v>
      </c>
      <c r="C55" t="s">
        <v>621</v>
      </c>
    </row>
    <row r="56" spans="1:3" x14ac:dyDescent="0.25">
      <c r="A56">
        <v>55</v>
      </c>
      <c r="B56" t="s">
        <v>528</v>
      </c>
      <c r="C56" t="s">
        <v>622</v>
      </c>
    </row>
    <row r="57" spans="1:3" x14ac:dyDescent="0.25">
      <c r="A57">
        <v>56</v>
      </c>
      <c r="B57" t="s">
        <v>544</v>
      </c>
      <c r="C57" t="s">
        <v>623</v>
      </c>
    </row>
    <row r="58" spans="1:3" x14ac:dyDescent="0.25">
      <c r="A58">
        <v>57</v>
      </c>
      <c r="B58" t="s">
        <v>486</v>
      </c>
      <c r="C58" t="s">
        <v>624</v>
      </c>
    </row>
    <row r="59" spans="1:3" x14ac:dyDescent="0.25">
      <c r="A59">
        <v>58</v>
      </c>
      <c r="B59" t="s">
        <v>542</v>
      </c>
      <c r="C59" t="s">
        <v>625</v>
      </c>
    </row>
    <row r="60" spans="1:3" x14ac:dyDescent="0.25">
      <c r="A60">
        <v>59</v>
      </c>
      <c r="B60" t="s">
        <v>541</v>
      </c>
      <c r="C60" t="s">
        <v>626</v>
      </c>
    </row>
    <row r="61" spans="1:3" x14ac:dyDescent="0.25">
      <c r="A61">
        <v>60</v>
      </c>
      <c r="B61" t="s">
        <v>543</v>
      </c>
      <c r="C61" t="s">
        <v>627</v>
      </c>
    </row>
    <row r="62" spans="1:3" x14ac:dyDescent="0.25">
      <c r="A62">
        <v>61</v>
      </c>
      <c r="B62" t="s">
        <v>524</v>
      </c>
      <c r="C62" t="s">
        <v>628</v>
      </c>
    </row>
    <row r="63" spans="1:3" x14ac:dyDescent="0.25">
      <c r="A63">
        <v>62</v>
      </c>
      <c r="B63" t="s">
        <v>523</v>
      </c>
      <c r="C63" t="s">
        <v>629</v>
      </c>
    </row>
    <row r="64" spans="1:3" x14ac:dyDescent="0.25">
      <c r="A64">
        <v>63</v>
      </c>
      <c r="B64" t="s">
        <v>488</v>
      </c>
      <c r="C64" t="s">
        <v>630</v>
      </c>
    </row>
    <row r="65" spans="1:3" x14ac:dyDescent="0.25">
      <c r="A65">
        <v>64</v>
      </c>
      <c r="B65" t="s">
        <v>485</v>
      </c>
      <c r="C65" t="s">
        <v>631</v>
      </c>
    </row>
    <row r="66" spans="1:3" x14ac:dyDescent="0.25">
      <c r="A66">
        <v>65</v>
      </c>
      <c r="B66" t="s">
        <v>483</v>
      </c>
      <c r="C66" t="s">
        <v>632</v>
      </c>
    </row>
    <row r="67" spans="1:3" x14ac:dyDescent="0.25">
      <c r="A67">
        <v>66</v>
      </c>
      <c r="B67" t="s">
        <v>487</v>
      </c>
      <c r="C67" t="s">
        <v>633</v>
      </c>
    </row>
    <row r="68" spans="1:3" x14ac:dyDescent="0.25">
      <c r="A68">
        <v>67</v>
      </c>
      <c r="B68" t="s">
        <v>481</v>
      </c>
      <c r="C68" t="s">
        <v>634</v>
      </c>
    </row>
    <row r="69" spans="1:3" x14ac:dyDescent="0.25">
      <c r="A69">
        <v>68</v>
      </c>
      <c r="B69" t="s">
        <v>484</v>
      </c>
      <c r="C69" t="s">
        <v>635</v>
      </c>
    </row>
    <row r="70" spans="1:3" x14ac:dyDescent="0.25">
      <c r="A70">
        <v>69</v>
      </c>
      <c r="B70" t="s">
        <v>482</v>
      </c>
      <c r="C70" t="s">
        <v>636</v>
      </c>
    </row>
    <row r="71" spans="1:3" x14ac:dyDescent="0.25">
      <c r="A71">
        <v>70</v>
      </c>
      <c r="B71" t="s">
        <v>533</v>
      </c>
      <c r="C71" t="s">
        <v>637</v>
      </c>
    </row>
    <row r="72" spans="1:3" x14ac:dyDescent="0.25">
      <c r="A72">
        <v>71</v>
      </c>
      <c r="B72" t="s">
        <v>536</v>
      </c>
      <c r="C72" t="s">
        <v>638</v>
      </c>
    </row>
    <row r="73" spans="1:3" x14ac:dyDescent="0.25">
      <c r="A73">
        <v>72</v>
      </c>
      <c r="B73" t="s">
        <v>520</v>
      </c>
      <c r="C73" t="s">
        <v>639</v>
      </c>
    </row>
    <row r="74" spans="1:3" x14ac:dyDescent="0.25">
      <c r="A74">
        <v>73</v>
      </c>
      <c r="B74" t="s">
        <v>522</v>
      </c>
      <c r="C74" t="s">
        <v>640</v>
      </c>
    </row>
    <row r="75" spans="1:3" x14ac:dyDescent="0.25">
      <c r="A75">
        <v>74</v>
      </c>
      <c r="B75" t="s">
        <v>521</v>
      </c>
      <c r="C75" t="s">
        <v>641</v>
      </c>
    </row>
    <row r="76" spans="1:3" x14ac:dyDescent="0.25">
      <c r="A76">
        <v>75</v>
      </c>
      <c r="B76" t="s">
        <v>511</v>
      </c>
      <c r="C76" t="s">
        <v>642</v>
      </c>
    </row>
    <row r="77" spans="1:3" x14ac:dyDescent="0.25">
      <c r="A77">
        <v>76</v>
      </c>
      <c r="B77" t="s">
        <v>509</v>
      </c>
      <c r="C77" t="s">
        <v>643</v>
      </c>
    </row>
    <row r="78" spans="1:3" x14ac:dyDescent="0.25">
      <c r="A78">
        <v>77</v>
      </c>
      <c r="B78" t="s">
        <v>510</v>
      </c>
      <c r="C78" t="s">
        <v>644</v>
      </c>
    </row>
    <row r="79" spans="1:3" x14ac:dyDescent="0.25">
      <c r="A79">
        <v>78</v>
      </c>
      <c r="B79" t="s">
        <v>534</v>
      </c>
      <c r="C79" t="s">
        <v>645</v>
      </c>
    </row>
    <row r="80" spans="1:3" x14ac:dyDescent="0.25">
      <c r="A80">
        <v>79</v>
      </c>
      <c r="B80" t="s">
        <v>535</v>
      </c>
      <c r="C80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Umair Hassan</dc:creator>
  <cp:lastModifiedBy>IT User Software</cp:lastModifiedBy>
  <dcterms:created xsi:type="dcterms:W3CDTF">2015-06-05T18:17:20Z</dcterms:created>
  <dcterms:modified xsi:type="dcterms:W3CDTF">2025-01-22T10:29:06Z</dcterms:modified>
</cp:coreProperties>
</file>